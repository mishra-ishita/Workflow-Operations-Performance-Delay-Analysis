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Analyst\Projects\WorkflowOperations\"/>
    </mc:Choice>
  </mc:AlternateContent>
  <xr:revisionPtr revIDLastSave="0" documentId="13_ncr:1_{61AA7D55-4DA7-4172-A30E-13D05A6D524E}" xr6:coauthVersionLast="47" xr6:coauthVersionMax="47" xr10:uidLastSave="{00000000-0000-0000-0000-000000000000}"/>
  <bookViews>
    <workbookView xWindow="-110" yWindow="-110" windowWidth="19420" windowHeight="11500" activeTab="4" xr2:uid="{AD501BFF-1253-4B25-9BF2-CE37A65282AE}"/>
  </bookViews>
  <sheets>
    <sheet name="raw_data" sheetId="1" r:id="rId1"/>
    <sheet name="calculated_columns" sheetId="3" r:id="rId2"/>
    <sheet name="pivot_tables" sheetId="4" r:id="rId3"/>
    <sheet name="Sheet2" sheetId="7" state="hidden" r:id="rId4"/>
    <sheet name="operations_performance_dashboar" sheetId="5" r:id="rId5"/>
  </sheets>
  <definedNames>
    <definedName name="_xlnm._FilterDatabase" localSheetId="1" hidden="1">calculated_columns!$A$1:$T$2501</definedName>
    <definedName name="Slicer_Department">#N/A</definedName>
    <definedName name="Slicer_Priority_Level">#N/A</definedName>
    <definedName name="Slicer_Task_Type">#N/A</definedName>
  </definedNames>
  <calcPr calcId="191029"/>
  <pivotCaches>
    <pivotCache cacheId="0" r:id="rId6"/>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7" l="1"/>
  <c r="G3" i="7"/>
  <c r="F3" i="7"/>
  <c r="E3" i="7"/>
  <c r="D3" i="7"/>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T2" i="3"/>
  <c r="S2" i="3"/>
  <c r="R2" i="3"/>
  <c r="Q2" i="3"/>
  <c r="P2" i="3"/>
</calcChain>
</file>

<file path=xl/sharedStrings.xml><?xml version="1.0" encoding="utf-8"?>
<sst xmlns="http://schemas.openxmlformats.org/spreadsheetml/2006/main" count="40118" uniqueCount="5210">
  <si>
    <t>Workflow_ID</t>
  </si>
  <si>
    <t>Process_Name</t>
  </si>
  <si>
    <t>Task_ID</t>
  </si>
  <si>
    <t>Task_Type</t>
  </si>
  <si>
    <t>Priority_Level</t>
  </si>
  <si>
    <t>Department</t>
  </si>
  <si>
    <t>Assigned_Employee_ID</t>
  </si>
  <si>
    <t>Task_Start_Time</t>
  </si>
  <si>
    <t>Task_End_Time</t>
  </si>
  <si>
    <t>Estimated_Time_Minutes</t>
  </si>
  <si>
    <t>Actual_Time_Minutes</t>
  </si>
  <si>
    <t>Delay_Flag</t>
  </si>
  <si>
    <t>Approval_Level</t>
  </si>
  <si>
    <t>Employee_Workload</t>
  </si>
  <si>
    <t>Cost_Per_Task</t>
  </si>
  <si>
    <t>WF_1</t>
  </si>
  <si>
    <t>Customer Complaint</t>
  </si>
  <si>
    <t>TASK_1</t>
  </si>
  <si>
    <t>Review</t>
  </si>
  <si>
    <t>Low</t>
  </si>
  <si>
    <t>Customer Service</t>
  </si>
  <si>
    <t>EMP_128</t>
  </si>
  <si>
    <t>Level 1</t>
  </si>
  <si>
    <t>WF_2</t>
  </si>
  <si>
    <t>HR Onboarding</t>
  </si>
  <si>
    <t>TASK_2</t>
  </si>
  <si>
    <t>Approval</t>
  </si>
  <si>
    <t>HR</t>
  </si>
  <si>
    <t>EMP_35</t>
  </si>
  <si>
    <t>Level 2</t>
  </si>
  <si>
    <t>WF_3</t>
  </si>
  <si>
    <t>Invoice Approval</t>
  </si>
  <si>
    <t>TASK_3</t>
  </si>
  <si>
    <t>High</t>
  </si>
  <si>
    <t>Finance</t>
  </si>
  <si>
    <t>EMP_88</t>
  </si>
  <si>
    <t>WF_4</t>
  </si>
  <si>
    <t>TASK_4</t>
  </si>
  <si>
    <t>Medium</t>
  </si>
  <si>
    <t>Operations</t>
  </si>
  <si>
    <t>EMP_133</t>
  </si>
  <si>
    <t>Level 3</t>
  </si>
  <si>
    <t>WF_5</t>
  </si>
  <si>
    <t>TASK_5</t>
  </si>
  <si>
    <t>Escalation</t>
  </si>
  <si>
    <t>EMP_80</t>
  </si>
  <si>
    <t>WF_6</t>
  </si>
  <si>
    <t>TASK_6</t>
  </si>
  <si>
    <t>Validation</t>
  </si>
  <si>
    <t>EMP_61</t>
  </si>
  <si>
    <t>WF_7</t>
  </si>
  <si>
    <t>Purchase Order</t>
  </si>
  <si>
    <t>TASK_7</t>
  </si>
  <si>
    <t>EMP_55</t>
  </si>
  <si>
    <t>WF_8</t>
  </si>
  <si>
    <t>TASK_8</t>
  </si>
  <si>
    <t>Data Entry</t>
  </si>
  <si>
    <t>IT</t>
  </si>
  <si>
    <t>EMP_42</t>
  </si>
  <si>
    <t>WF_9</t>
  </si>
  <si>
    <t>TASK_9</t>
  </si>
  <si>
    <t>EMP_21</t>
  </si>
  <si>
    <t>WF_10</t>
  </si>
  <si>
    <t>IT Support Ticket</t>
  </si>
  <si>
    <t>TASK_10</t>
  </si>
  <si>
    <t>EMP_2</t>
  </si>
  <si>
    <t>WF_11</t>
  </si>
  <si>
    <t>TASK_11</t>
  </si>
  <si>
    <t>EMP_140</t>
  </si>
  <si>
    <t>WF_12</t>
  </si>
  <si>
    <t>TASK_12</t>
  </si>
  <si>
    <t>WF_13</t>
  </si>
  <si>
    <t>TASK_13</t>
  </si>
  <si>
    <t>EMP_22</t>
  </si>
  <si>
    <t>WF_14</t>
  </si>
  <si>
    <t>TASK_14</t>
  </si>
  <si>
    <t>EMP_102</t>
  </si>
  <si>
    <t>WF_15</t>
  </si>
  <si>
    <t>TASK_15</t>
  </si>
  <si>
    <t>EMP_51</t>
  </si>
  <si>
    <t>WF_16</t>
  </si>
  <si>
    <t>TASK_16</t>
  </si>
  <si>
    <t>EMP_143</t>
  </si>
  <si>
    <t>WF_17</t>
  </si>
  <si>
    <t>TASK_17</t>
  </si>
  <si>
    <t>Critical</t>
  </si>
  <si>
    <t>WF_18</t>
  </si>
  <si>
    <t>TASK_18</t>
  </si>
  <si>
    <t>EMP_59</t>
  </si>
  <si>
    <t>WF_19</t>
  </si>
  <si>
    <t>TASK_19</t>
  </si>
  <si>
    <t>EMP_120</t>
  </si>
  <si>
    <t>WF_20</t>
  </si>
  <si>
    <t>TASK_20</t>
  </si>
  <si>
    <t>EMP_108</t>
  </si>
  <si>
    <t>WF_21</t>
  </si>
  <si>
    <t>TASK_21</t>
  </si>
  <si>
    <t>EMP_114</t>
  </si>
  <si>
    <t>WF_22</t>
  </si>
  <si>
    <t>TASK_22</t>
  </si>
  <si>
    <t>EMP_58</t>
  </si>
  <si>
    <t>WF_23</t>
  </si>
  <si>
    <t>TASK_23</t>
  </si>
  <si>
    <t>EMP_30</t>
  </si>
  <si>
    <t>WF_24</t>
  </si>
  <si>
    <t>TASK_24</t>
  </si>
  <si>
    <t>WF_25</t>
  </si>
  <si>
    <t>TASK_25</t>
  </si>
  <si>
    <t>EMP_1</t>
  </si>
  <si>
    <t>WF_26</t>
  </si>
  <si>
    <t>TASK_26</t>
  </si>
  <si>
    <t>EMP_56</t>
  </si>
  <si>
    <t>WF_27</t>
  </si>
  <si>
    <t>TASK_27</t>
  </si>
  <si>
    <t>EMP_9</t>
  </si>
  <si>
    <t>WF_28</t>
  </si>
  <si>
    <t>TASK_28</t>
  </si>
  <si>
    <t>EMP_92</t>
  </si>
  <si>
    <t>WF_29</t>
  </si>
  <si>
    <t>TASK_29</t>
  </si>
  <si>
    <t>EMP_18</t>
  </si>
  <si>
    <t>WF_30</t>
  </si>
  <si>
    <t>TASK_30</t>
  </si>
  <si>
    <t>EMP_86</t>
  </si>
  <si>
    <t>WF_31</t>
  </si>
  <si>
    <t>TASK_31</t>
  </si>
  <si>
    <t>EMP_110</t>
  </si>
  <si>
    <t>WF_32</t>
  </si>
  <si>
    <t>TASK_32</t>
  </si>
  <si>
    <t>EMP_44</t>
  </si>
  <si>
    <t>WF_33</t>
  </si>
  <si>
    <t>TASK_33</t>
  </si>
  <si>
    <t>EMP_107</t>
  </si>
  <si>
    <t>WF_34</t>
  </si>
  <si>
    <t>TASK_34</t>
  </si>
  <si>
    <t>WF_35</t>
  </si>
  <si>
    <t>TASK_35</t>
  </si>
  <si>
    <t>EMP_91</t>
  </si>
  <si>
    <t>WF_36</t>
  </si>
  <si>
    <t>TASK_36</t>
  </si>
  <si>
    <t>EMP_26</t>
  </si>
  <si>
    <t>WF_37</t>
  </si>
  <si>
    <t>TASK_37</t>
  </si>
  <si>
    <t>EMP_87</t>
  </si>
  <si>
    <t>WF_38</t>
  </si>
  <si>
    <t>TASK_38</t>
  </si>
  <si>
    <t>EMP_147</t>
  </si>
  <si>
    <t>WF_39</t>
  </si>
  <si>
    <t>TASK_39</t>
  </si>
  <si>
    <t>EMP_90</t>
  </si>
  <si>
    <t>WF_40</t>
  </si>
  <si>
    <t>TASK_40</t>
  </si>
  <si>
    <t>EMP_5</t>
  </si>
  <si>
    <t>WF_41</t>
  </si>
  <si>
    <t>TASK_41</t>
  </si>
  <si>
    <t>EMP_131</t>
  </si>
  <si>
    <t>WF_42</t>
  </si>
  <si>
    <t>TASK_42</t>
  </si>
  <si>
    <t>EMP_138</t>
  </si>
  <si>
    <t>WF_43</t>
  </si>
  <si>
    <t>TASK_43</t>
  </si>
  <si>
    <t>EMP_77</t>
  </si>
  <si>
    <t>WF_44</t>
  </si>
  <si>
    <t>TASK_44</t>
  </si>
  <si>
    <t>EMP_7</t>
  </si>
  <si>
    <t>WF_45</t>
  </si>
  <si>
    <t>TASK_45</t>
  </si>
  <si>
    <t>EMP_16</t>
  </si>
  <si>
    <t>WF_46</t>
  </si>
  <si>
    <t>TASK_46</t>
  </si>
  <si>
    <t>EMP_28</t>
  </si>
  <si>
    <t>WF_47</t>
  </si>
  <si>
    <t>TASK_47</t>
  </si>
  <si>
    <t>EMP_94</t>
  </si>
  <si>
    <t>WF_48</t>
  </si>
  <si>
    <t>TASK_48</t>
  </si>
  <si>
    <t>WF_49</t>
  </si>
  <si>
    <t>TASK_49</t>
  </si>
  <si>
    <t>WF_50</t>
  </si>
  <si>
    <t>TASK_50</t>
  </si>
  <si>
    <t>WF_51</t>
  </si>
  <si>
    <t>TASK_51</t>
  </si>
  <si>
    <t>EMP_53</t>
  </si>
  <si>
    <t>WF_52</t>
  </si>
  <si>
    <t>TASK_52</t>
  </si>
  <si>
    <t>EMP_121</t>
  </si>
  <si>
    <t>WF_53</t>
  </si>
  <si>
    <t>TASK_53</t>
  </si>
  <si>
    <t>EMP_118</t>
  </si>
  <si>
    <t>WF_54</t>
  </si>
  <si>
    <t>TASK_54</t>
  </si>
  <si>
    <t>EMP_146</t>
  </si>
  <si>
    <t>WF_55</t>
  </si>
  <si>
    <t>TASK_55</t>
  </si>
  <si>
    <t>EMP_125</t>
  </si>
  <si>
    <t>WF_56</t>
  </si>
  <si>
    <t>TASK_56</t>
  </si>
  <si>
    <t>WF_57</t>
  </si>
  <si>
    <t>TASK_57</t>
  </si>
  <si>
    <t>WF_58</t>
  </si>
  <si>
    <t>TASK_58</t>
  </si>
  <si>
    <t>EMP_68</t>
  </si>
  <si>
    <t>WF_59</t>
  </si>
  <si>
    <t>TASK_59</t>
  </si>
  <si>
    <t>EMP_106</t>
  </si>
  <si>
    <t>WF_60</t>
  </si>
  <si>
    <t>TASK_60</t>
  </si>
  <si>
    <t>EMP_45</t>
  </si>
  <si>
    <t>WF_61</t>
  </si>
  <si>
    <t>TASK_61</t>
  </si>
  <si>
    <t>EMP_101</t>
  </si>
  <si>
    <t>WF_62</t>
  </si>
  <si>
    <t>TASK_62</t>
  </si>
  <si>
    <t>EMP_105</t>
  </si>
  <si>
    <t>WF_63</t>
  </si>
  <si>
    <t>TASK_63</t>
  </si>
  <si>
    <t>WF_64</t>
  </si>
  <si>
    <t>TASK_64</t>
  </si>
  <si>
    <t>WF_65</t>
  </si>
  <si>
    <t>TASK_65</t>
  </si>
  <si>
    <t>WF_66</t>
  </si>
  <si>
    <t>TASK_66</t>
  </si>
  <si>
    <t>EMP_75</t>
  </si>
  <si>
    <t>WF_67</t>
  </si>
  <si>
    <t>TASK_67</t>
  </si>
  <si>
    <t>EMP_20</t>
  </si>
  <si>
    <t>WF_68</t>
  </si>
  <si>
    <t>TASK_68</t>
  </si>
  <si>
    <t>EMP_67</t>
  </si>
  <si>
    <t>WF_69</t>
  </si>
  <si>
    <t>TASK_69</t>
  </si>
  <si>
    <t>EMP_124</t>
  </si>
  <si>
    <t>WF_70</t>
  </si>
  <si>
    <t>TASK_70</t>
  </si>
  <si>
    <t>EMP_135</t>
  </si>
  <si>
    <t>WF_71</t>
  </si>
  <si>
    <t>TASK_71</t>
  </si>
  <si>
    <t>EMP_76</t>
  </si>
  <si>
    <t>WF_72</t>
  </si>
  <si>
    <t>TASK_72</t>
  </si>
  <si>
    <t>EMP_27</t>
  </si>
  <si>
    <t>WF_73</t>
  </si>
  <si>
    <t>TASK_73</t>
  </si>
  <si>
    <t>WF_74</t>
  </si>
  <si>
    <t>TASK_74</t>
  </si>
  <si>
    <t>WF_75</t>
  </si>
  <si>
    <t>TASK_75</t>
  </si>
  <si>
    <t>WF_76</t>
  </si>
  <si>
    <t>TASK_76</t>
  </si>
  <si>
    <t>WF_77</t>
  </si>
  <si>
    <t>TASK_77</t>
  </si>
  <si>
    <t>EMP_71</t>
  </si>
  <si>
    <t>WF_78</t>
  </si>
  <si>
    <t>TASK_78</t>
  </si>
  <si>
    <t>EMP_8</t>
  </si>
  <si>
    <t>WF_79</t>
  </si>
  <si>
    <t>TASK_79</t>
  </si>
  <si>
    <t>WF_80</t>
  </si>
  <si>
    <t>TASK_80</t>
  </si>
  <si>
    <t>EMP_63</t>
  </si>
  <si>
    <t>WF_81</t>
  </si>
  <si>
    <t>TASK_81</t>
  </si>
  <si>
    <t>EMP_38</t>
  </si>
  <si>
    <t>WF_82</t>
  </si>
  <si>
    <t>TASK_82</t>
  </si>
  <si>
    <t>EMP_78</t>
  </si>
  <si>
    <t>WF_83</t>
  </si>
  <si>
    <t>TASK_83</t>
  </si>
  <si>
    <t>EMP_129</t>
  </si>
  <si>
    <t>WF_84</t>
  </si>
  <si>
    <t>TASK_84</t>
  </si>
  <si>
    <t>WF_85</t>
  </si>
  <si>
    <t>TASK_85</t>
  </si>
  <si>
    <t>WF_86</t>
  </si>
  <si>
    <t>TASK_86</t>
  </si>
  <si>
    <t>WF_87</t>
  </si>
  <si>
    <t>TASK_87</t>
  </si>
  <si>
    <t>WF_88</t>
  </si>
  <si>
    <t>TASK_88</t>
  </si>
  <si>
    <t>WF_89</t>
  </si>
  <si>
    <t>TASK_89</t>
  </si>
  <si>
    <t>WF_90</t>
  </si>
  <si>
    <t>TASK_90</t>
  </si>
  <si>
    <t>EMP_136</t>
  </si>
  <si>
    <t>WF_91</t>
  </si>
  <si>
    <t>TASK_91</t>
  </si>
  <si>
    <t>WF_92</t>
  </si>
  <si>
    <t>TASK_92</t>
  </si>
  <si>
    <t>EMP_134</t>
  </si>
  <si>
    <t>WF_93</t>
  </si>
  <si>
    <t>TASK_93</t>
  </si>
  <si>
    <t>WF_94</t>
  </si>
  <si>
    <t>TASK_94</t>
  </si>
  <si>
    <t>EMP_83</t>
  </si>
  <si>
    <t>WF_95</t>
  </si>
  <si>
    <t>TASK_95</t>
  </si>
  <si>
    <t>EMP_137</t>
  </si>
  <si>
    <t>WF_96</t>
  </si>
  <si>
    <t>TASK_96</t>
  </si>
  <si>
    <t>EMP_112</t>
  </si>
  <si>
    <t>WF_97</t>
  </si>
  <si>
    <t>TASK_97</t>
  </si>
  <si>
    <t>WF_98</t>
  </si>
  <si>
    <t>TASK_98</t>
  </si>
  <si>
    <t>WF_99</t>
  </si>
  <si>
    <t>TASK_99</t>
  </si>
  <si>
    <t>WF_100</t>
  </si>
  <si>
    <t>TASK_100</t>
  </si>
  <si>
    <t>EMP_64</t>
  </si>
  <si>
    <t>WF_101</t>
  </si>
  <si>
    <t>TASK_101</t>
  </si>
  <si>
    <t>EMP_15</t>
  </si>
  <si>
    <t>WF_102</t>
  </si>
  <si>
    <t>TASK_102</t>
  </si>
  <si>
    <t>WF_103</t>
  </si>
  <si>
    <t>TASK_103</t>
  </si>
  <si>
    <t>EMP_37</t>
  </si>
  <si>
    <t>WF_104</t>
  </si>
  <si>
    <t>TASK_104</t>
  </si>
  <si>
    <t>WF_105</t>
  </si>
  <si>
    <t>TASK_105</t>
  </si>
  <si>
    <t>EMP_127</t>
  </si>
  <si>
    <t>WF_106</t>
  </si>
  <si>
    <t>TASK_106</t>
  </si>
  <si>
    <t>WF_107</t>
  </si>
  <si>
    <t>TASK_107</t>
  </si>
  <si>
    <t>WF_108</t>
  </si>
  <si>
    <t>TASK_108</t>
  </si>
  <si>
    <t>WF_109</t>
  </si>
  <si>
    <t>TASK_109</t>
  </si>
  <si>
    <t>EMP_10</t>
  </si>
  <si>
    <t>WF_110</t>
  </si>
  <si>
    <t>TASK_110</t>
  </si>
  <si>
    <t>WF_111</t>
  </si>
  <si>
    <t>TASK_111</t>
  </si>
  <si>
    <t>EMP_11</t>
  </si>
  <si>
    <t>WF_112</t>
  </si>
  <si>
    <t>TASK_112</t>
  </si>
  <si>
    <t>EMP_99</t>
  </si>
  <si>
    <t>WF_113</t>
  </si>
  <si>
    <t>TASK_113</t>
  </si>
  <si>
    <t>WF_114</t>
  </si>
  <si>
    <t>TASK_114</t>
  </si>
  <si>
    <t>EMP_73</t>
  </si>
  <si>
    <t>WF_115</t>
  </si>
  <si>
    <t>TASK_115</t>
  </si>
  <si>
    <t>WF_116</t>
  </si>
  <si>
    <t>TASK_116</t>
  </si>
  <si>
    <t>WF_117</t>
  </si>
  <si>
    <t>TASK_117</t>
  </si>
  <si>
    <t>WF_118</t>
  </si>
  <si>
    <t>TASK_118</t>
  </si>
  <si>
    <t>WF_119</t>
  </si>
  <si>
    <t>TASK_119</t>
  </si>
  <si>
    <t>EMP_4</t>
  </si>
  <si>
    <t>WF_120</t>
  </si>
  <si>
    <t>TASK_120</t>
  </si>
  <si>
    <t>WF_121</t>
  </si>
  <si>
    <t>TASK_121</t>
  </si>
  <si>
    <t>EMP_17</t>
  </si>
  <si>
    <t>WF_122</t>
  </si>
  <si>
    <t>TASK_122</t>
  </si>
  <si>
    <t>WF_123</t>
  </si>
  <si>
    <t>TASK_123</t>
  </si>
  <si>
    <t>EMP_34</t>
  </si>
  <si>
    <t>WF_124</t>
  </si>
  <si>
    <t>TASK_124</t>
  </si>
  <si>
    <t>WF_125</t>
  </si>
  <si>
    <t>TASK_125</t>
  </si>
  <si>
    <t>WF_126</t>
  </si>
  <si>
    <t>TASK_126</t>
  </si>
  <si>
    <t>EMP_141</t>
  </si>
  <si>
    <t>WF_127</t>
  </si>
  <si>
    <t>TASK_127</t>
  </si>
  <si>
    <t>WF_128</t>
  </si>
  <si>
    <t>TASK_128</t>
  </si>
  <si>
    <t>EMP_145</t>
  </si>
  <si>
    <t>WF_129</t>
  </si>
  <si>
    <t>TASK_129</t>
  </si>
  <si>
    <t>WF_130</t>
  </si>
  <si>
    <t>TASK_130</t>
  </si>
  <si>
    <t>WF_131</t>
  </si>
  <si>
    <t>TASK_131</t>
  </si>
  <si>
    <t>EMP_29</t>
  </si>
  <si>
    <t>WF_132</t>
  </si>
  <si>
    <t>TASK_132</t>
  </si>
  <si>
    <t>WF_133</t>
  </si>
  <si>
    <t>TASK_133</t>
  </si>
  <si>
    <t>EMP_36</t>
  </si>
  <si>
    <t>WF_134</t>
  </si>
  <si>
    <t>TASK_134</t>
  </si>
  <si>
    <t>WF_135</t>
  </si>
  <si>
    <t>TASK_135</t>
  </si>
  <si>
    <t>WF_136</t>
  </si>
  <si>
    <t>TASK_136</t>
  </si>
  <si>
    <t>WF_137</t>
  </si>
  <si>
    <t>TASK_137</t>
  </si>
  <si>
    <t>EMP_47</t>
  </si>
  <si>
    <t>WF_138</t>
  </si>
  <si>
    <t>TASK_138</t>
  </si>
  <si>
    <t>WF_139</t>
  </si>
  <si>
    <t>TASK_139</t>
  </si>
  <si>
    <t>EMP_113</t>
  </si>
  <si>
    <t>WF_140</t>
  </si>
  <si>
    <t>TASK_140</t>
  </si>
  <si>
    <t>WF_141</t>
  </si>
  <si>
    <t>TASK_141</t>
  </si>
  <si>
    <t>EMP_72</t>
  </si>
  <si>
    <t>WF_142</t>
  </si>
  <si>
    <t>TASK_142</t>
  </si>
  <si>
    <t>EMP_62</t>
  </si>
  <si>
    <t>WF_143</t>
  </si>
  <si>
    <t>TASK_143</t>
  </si>
  <si>
    <t>WF_144</t>
  </si>
  <si>
    <t>TASK_144</t>
  </si>
  <si>
    <t>EMP_13</t>
  </si>
  <si>
    <t>WF_145</t>
  </si>
  <si>
    <t>TASK_145</t>
  </si>
  <si>
    <t>EMP_95</t>
  </si>
  <si>
    <t>WF_146</t>
  </si>
  <si>
    <t>TASK_146</t>
  </si>
  <si>
    <t>WF_147</t>
  </si>
  <si>
    <t>TASK_147</t>
  </si>
  <si>
    <t>WF_148</t>
  </si>
  <si>
    <t>TASK_148</t>
  </si>
  <si>
    <t>WF_149</t>
  </si>
  <si>
    <t>TASK_149</t>
  </si>
  <si>
    <t>EMP_117</t>
  </si>
  <si>
    <t>WF_150</t>
  </si>
  <si>
    <t>TASK_150</t>
  </si>
  <si>
    <t>EMP_74</t>
  </si>
  <si>
    <t>WF_151</t>
  </si>
  <si>
    <t>TASK_151</t>
  </si>
  <si>
    <t>WF_152</t>
  </si>
  <si>
    <t>TASK_152</t>
  </si>
  <si>
    <t>WF_153</t>
  </si>
  <si>
    <t>TASK_153</t>
  </si>
  <si>
    <t>WF_154</t>
  </si>
  <si>
    <t>TASK_154</t>
  </si>
  <si>
    <t>WF_155</t>
  </si>
  <si>
    <t>TASK_155</t>
  </si>
  <si>
    <t>WF_156</t>
  </si>
  <si>
    <t>TASK_156</t>
  </si>
  <si>
    <t>WF_157</t>
  </si>
  <si>
    <t>TASK_157</t>
  </si>
  <si>
    <t>EMP_54</t>
  </si>
  <si>
    <t>WF_158</t>
  </si>
  <si>
    <t>TASK_158</t>
  </si>
  <si>
    <t>WF_159</t>
  </si>
  <si>
    <t>TASK_159</t>
  </si>
  <si>
    <t>WF_160</t>
  </si>
  <si>
    <t>TASK_160</t>
  </si>
  <si>
    <t>WF_161</t>
  </si>
  <si>
    <t>TASK_161</t>
  </si>
  <si>
    <t>WF_162</t>
  </si>
  <si>
    <t>TASK_162</t>
  </si>
  <si>
    <t>EMP_109</t>
  </si>
  <si>
    <t>WF_163</t>
  </si>
  <si>
    <t>TASK_163</t>
  </si>
  <si>
    <t>EMP_81</t>
  </si>
  <si>
    <t>WF_164</t>
  </si>
  <si>
    <t>TASK_164</t>
  </si>
  <si>
    <t>EMP_69</t>
  </si>
  <si>
    <t>WF_165</t>
  </si>
  <si>
    <t>TASK_165</t>
  </si>
  <si>
    <t>EMP_132</t>
  </si>
  <si>
    <t>WF_166</t>
  </si>
  <si>
    <t>TASK_166</t>
  </si>
  <si>
    <t>WF_167</t>
  </si>
  <si>
    <t>TASK_167</t>
  </si>
  <si>
    <t>EMP_25</t>
  </si>
  <si>
    <t>WF_168</t>
  </si>
  <si>
    <t>TASK_168</t>
  </si>
  <si>
    <t>EMP_122</t>
  </si>
  <si>
    <t>WF_169</t>
  </si>
  <si>
    <t>TASK_169</t>
  </si>
  <si>
    <t>EMP_139</t>
  </si>
  <si>
    <t>WF_170</t>
  </si>
  <si>
    <t>TASK_170</t>
  </si>
  <si>
    <t>WF_171</t>
  </si>
  <si>
    <t>TASK_171</t>
  </si>
  <si>
    <t>WF_172</t>
  </si>
  <si>
    <t>TASK_172</t>
  </si>
  <si>
    <t>WF_173</t>
  </si>
  <si>
    <t>TASK_173</t>
  </si>
  <si>
    <t>EMP_126</t>
  </si>
  <si>
    <t>WF_174</t>
  </si>
  <si>
    <t>TASK_174</t>
  </si>
  <si>
    <t>WF_175</t>
  </si>
  <si>
    <t>TASK_175</t>
  </si>
  <si>
    <t>WF_176</t>
  </si>
  <si>
    <t>TASK_176</t>
  </si>
  <si>
    <t>WF_177</t>
  </si>
  <si>
    <t>TASK_177</t>
  </si>
  <si>
    <t>WF_178</t>
  </si>
  <si>
    <t>TASK_178</t>
  </si>
  <si>
    <t>WF_179</t>
  </si>
  <si>
    <t>TASK_179</t>
  </si>
  <si>
    <t>WF_180</t>
  </si>
  <si>
    <t>TASK_180</t>
  </si>
  <si>
    <t>EMP_97</t>
  </si>
  <si>
    <t>WF_181</t>
  </si>
  <si>
    <t>TASK_181</t>
  </si>
  <si>
    <t>WF_182</t>
  </si>
  <si>
    <t>TASK_182</t>
  </si>
  <si>
    <t>EMP_3</t>
  </si>
  <si>
    <t>WF_183</t>
  </si>
  <si>
    <t>TASK_183</t>
  </si>
  <si>
    <t>WF_184</t>
  </si>
  <si>
    <t>TASK_184</t>
  </si>
  <si>
    <t>WF_185</t>
  </si>
  <si>
    <t>TASK_185</t>
  </si>
  <si>
    <t>EMP_43</t>
  </si>
  <si>
    <t>WF_186</t>
  </si>
  <si>
    <t>TASK_186</t>
  </si>
  <si>
    <t>WF_187</t>
  </si>
  <si>
    <t>TASK_187</t>
  </si>
  <si>
    <t>WF_188</t>
  </si>
  <si>
    <t>TASK_188</t>
  </si>
  <si>
    <t>WF_189</t>
  </si>
  <si>
    <t>TASK_189</t>
  </si>
  <si>
    <t>EMP_39</t>
  </si>
  <si>
    <t>WF_190</t>
  </si>
  <si>
    <t>TASK_190</t>
  </si>
  <si>
    <t>WF_191</t>
  </si>
  <si>
    <t>TASK_191</t>
  </si>
  <si>
    <t>EMP_14</t>
  </si>
  <si>
    <t>WF_192</t>
  </si>
  <si>
    <t>TASK_192</t>
  </si>
  <si>
    <t>WF_193</t>
  </si>
  <si>
    <t>TASK_193</t>
  </si>
  <si>
    <t>WF_194</t>
  </si>
  <si>
    <t>TASK_194</t>
  </si>
  <si>
    <t>WF_195</t>
  </si>
  <si>
    <t>TASK_195</t>
  </si>
  <si>
    <t>WF_196</t>
  </si>
  <si>
    <t>TASK_196</t>
  </si>
  <si>
    <t>WF_197</t>
  </si>
  <si>
    <t>TASK_197</t>
  </si>
  <si>
    <t>EMP_142</t>
  </si>
  <si>
    <t>WF_198</t>
  </si>
  <si>
    <t>TASK_198</t>
  </si>
  <si>
    <t>WF_199</t>
  </si>
  <si>
    <t>TASK_199</t>
  </si>
  <si>
    <t>WF_200</t>
  </si>
  <si>
    <t>TASK_200</t>
  </si>
  <si>
    <t>EMP_31</t>
  </si>
  <si>
    <t>WF_201</t>
  </si>
  <si>
    <t>TASK_201</t>
  </si>
  <si>
    <t>WF_202</t>
  </si>
  <si>
    <t>TASK_202</t>
  </si>
  <si>
    <t>WF_203</t>
  </si>
  <si>
    <t>TASK_203</t>
  </si>
  <si>
    <t>WF_204</t>
  </si>
  <si>
    <t>TASK_204</t>
  </si>
  <si>
    <t>WF_205</t>
  </si>
  <si>
    <t>TASK_205</t>
  </si>
  <si>
    <t>WF_206</t>
  </si>
  <si>
    <t>TASK_206</t>
  </si>
  <si>
    <t>WF_207</t>
  </si>
  <si>
    <t>TASK_207</t>
  </si>
  <si>
    <t>WF_208</t>
  </si>
  <si>
    <t>TASK_208</t>
  </si>
  <si>
    <t>WF_209</t>
  </si>
  <si>
    <t>TASK_209</t>
  </si>
  <si>
    <t>WF_210</t>
  </si>
  <si>
    <t>TASK_210</t>
  </si>
  <si>
    <t>WF_211</t>
  </si>
  <si>
    <t>TASK_211</t>
  </si>
  <si>
    <t>WF_212</t>
  </si>
  <si>
    <t>TASK_212</t>
  </si>
  <si>
    <t>WF_213</t>
  </si>
  <si>
    <t>TASK_213</t>
  </si>
  <si>
    <t>WF_214</t>
  </si>
  <si>
    <t>TASK_214</t>
  </si>
  <si>
    <t>WF_215</t>
  </si>
  <si>
    <t>TASK_215</t>
  </si>
  <si>
    <t>EMP_52</t>
  </si>
  <si>
    <t>WF_216</t>
  </si>
  <si>
    <t>TASK_216</t>
  </si>
  <si>
    <t>WF_217</t>
  </si>
  <si>
    <t>TASK_217</t>
  </si>
  <si>
    <t>WF_218</t>
  </si>
  <si>
    <t>TASK_218</t>
  </si>
  <si>
    <t>WF_219</t>
  </si>
  <si>
    <t>TASK_219</t>
  </si>
  <si>
    <t>WF_220</t>
  </si>
  <si>
    <t>TASK_220</t>
  </si>
  <si>
    <t>WF_221</t>
  </si>
  <si>
    <t>TASK_221</t>
  </si>
  <si>
    <t>WF_222</t>
  </si>
  <si>
    <t>TASK_222</t>
  </si>
  <si>
    <t>WF_223</t>
  </si>
  <si>
    <t>TASK_223</t>
  </si>
  <si>
    <t>EMP_46</t>
  </si>
  <si>
    <t>WF_224</t>
  </si>
  <si>
    <t>TASK_224</t>
  </si>
  <si>
    <t>WF_225</t>
  </si>
  <si>
    <t>TASK_225</t>
  </si>
  <si>
    <t>EMP_130</t>
  </si>
  <si>
    <t>WF_226</t>
  </si>
  <si>
    <t>TASK_226</t>
  </si>
  <si>
    <t>EMP_96</t>
  </si>
  <si>
    <t>WF_227</t>
  </si>
  <si>
    <t>TASK_227</t>
  </si>
  <si>
    <t>WF_228</t>
  </si>
  <si>
    <t>TASK_228</t>
  </si>
  <si>
    <t>WF_229</t>
  </si>
  <si>
    <t>TASK_229</t>
  </si>
  <si>
    <t>WF_230</t>
  </si>
  <si>
    <t>TASK_230</t>
  </si>
  <si>
    <t>WF_231</t>
  </si>
  <si>
    <t>TASK_231</t>
  </si>
  <si>
    <t>WF_232</t>
  </si>
  <si>
    <t>TASK_232</t>
  </si>
  <si>
    <t>EMP_93</t>
  </si>
  <si>
    <t>WF_233</t>
  </si>
  <si>
    <t>TASK_233</t>
  </si>
  <si>
    <t>WF_234</t>
  </si>
  <si>
    <t>TASK_234</t>
  </si>
  <si>
    <t>WF_235</t>
  </si>
  <si>
    <t>TASK_235</t>
  </si>
  <si>
    <t>EMP_23</t>
  </si>
  <si>
    <t>WF_236</t>
  </si>
  <si>
    <t>TASK_236</t>
  </si>
  <si>
    <t>WF_237</t>
  </si>
  <si>
    <t>TASK_237</t>
  </si>
  <si>
    <t>WF_238</t>
  </si>
  <si>
    <t>TASK_238</t>
  </si>
  <si>
    <t>WF_239</t>
  </si>
  <si>
    <t>TASK_239</t>
  </si>
  <si>
    <t>EMP_98</t>
  </si>
  <si>
    <t>WF_240</t>
  </si>
  <si>
    <t>TASK_240</t>
  </si>
  <si>
    <t>WF_241</t>
  </si>
  <si>
    <t>TASK_241</t>
  </si>
  <si>
    <t>WF_242</t>
  </si>
  <si>
    <t>TASK_242</t>
  </si>
  <si>
    <t>WF_243</t>
  </si>
  <si>
    <t>TASK_243</t>
  </si>
  <si>
    <t>EMP_24</t>
  </si>
  <si>
    <t>WF_244</t>
  </si>
  <si>
    <t>TASK_244</t>
  </si>
  <si>
    <t>WF_245</t>
  </si>
  <si>
    <t>TASK_245</t>
  </si>
  <si>
    <t>WF_246</t>
  </si>
  <si>
    <t>TASK_246</t>
  </si>
  <si>
    <t>EMP_70</t>
  </si>
  <si>
    <t>WF_247</t>
  </si>
  <si>
    <t>TASK_247</t>
  </si>
  <si>
    <t>EMP_100</t>
  </si>
  <si>
    <t>WF_248</t>
  </si>
  <si>
    <t>TASK_248</t>
  </si>
  <si>
    <t>WF_249</t>
  </si>
  <si>
    <t>TASK_249</t>
  </si>
  <si>
    <t>WF_250</t>
  </si>
  <si>
    <t>TASK_250</t>
  </si>
  <si>
    <t>WF_251</t>
  </si>
  <si>
    <t>TASK_251</t>
  </si>
  <si>
    <t>WF_252</t>
  </si>
  <si>
    <t>TASK_252</t>
  </si>
  <si>
    <t>WF_253</t>
  </si>
  <si>
    <t>TASK_253</t>
  </si>
  <si>
    <t>WF_254</t>
  </si>
  <si>
    <t>TASK_254</t>
  </si>
  <si>
    <t>WF_255</t>
  </si>
  <si>
    <t>TASK_255</t>
  </si>
  <si>
    <t>WF_256</t>
  </si>
  <si>
    <t>TASK_256</t>
  </si>
  <si>
    <t>EMP_82</t>
  </si>
  <si>
    <t>WF_257</t>
  </si>
  <si>
    <t>TASK_257</t>
  </si>
  <si>
    <t>WF_258</t>
  </si>
  <si>
    <t>TASK_258</t>
  </si>
  <si>
    <t>WF_259</t>
  </si>
  <si>
    <t>TASK_259</t>
  </si>
  <si>
    <t>EMP_84</t>
  </si>
  <si>
    <t>WF_260</t>
  </si>
  <si>
    <t>TASK_260</t>
  </si>
  <si>
    <t>WF_261</t>
  </si>
  <si>
    <t>TASK_261</t>
  </si>
  <si>
    <t>EMP_150</t>
  </si>
  <si>
    <t>WF_262</t>
  </si>
  <si>
    <t>TASK_262</t>
  </si>
  <si>
    <t>EMP_40</t>
  </si>
  <si>
    <t>WF_263</t>
  </si>
  <si>
    <t>TASK_263</t>
  </si>
  <si>
    <t>WF_264</t>
  </si>
  <si>
    <t>TASK_264</t>
  </si>
  <si>
    <t>WF_265</t>
  </si>
  <si>
    <t>TASK_265</t>
  </si>
  <si>
    <t>EMP_115</t>
  </si>
  <si>
    <t>WF_266</t>
  </si>
  <si>
    <t>TASK_266</t>
  </si>
  <si>
    <t>WF_267</t>
  </si>
  <si>
    <t>TASK_267</t>
  </si>
  <si>
    <t>WF_268</t>
  </si>
  <si>
    <t>TASK_268</t>
  </si>
  <si>
    <t>WF_269</t>
  </si>
  <si>
    <t>TASK_269</t>
  </si>
  <si>
    <t>EMP_60</t>
  </si>
  <si>
    <t>WF_270</t>
  </si>
  <si>
    <t>TASK_270</t>
  </si>
  <si>
    <t>WF_271</t>
  </si>
  <si>
    <t>TASK_271</t>
  </si>
  <si>
    <t>WF_272</t>
  </si>
  <si>
    <t>TASK_272</t>
  </si>
  <si>
    <t>WF_273</t>
  </si>
  <si>
    <t>TASK_273</t>
  </si>
  <si>
    <t>WF_274</t>
  </si>
  <si>
    <t>TASK_274</t>
  </si>
  <si>
    <t>WF_275</t>
  </si>
  <si>
    <t>TASK_275</t>
  </si>
  <si>
    <t>WF_276</t>
  </si>
  <si>
    <t>TASK_276</t>
  </si>
  <si>
    <t>WF_277</t>
  </si>
  <si>
    <t>TASK_277</t>
  </si>
  <si>
    <t>WF_278</t>
  </si>
  <si>
    <t>TASK_278</t>
  </si>
  <si>
    <t>WF_279</t>
  </si>
  <si>
    <t>TASK_279</t>
  </si>
  <si>
    <t>WF_280</t>
  </si>
  <si>
    <t>TASK_280</t>
  </si>
  <si>
    <t>WF_281</t>
  </si>
  <si>
    <t>TASK_281</t>
  </si>
  <si>
    <t>WF_282</t>
  </si>
  <si>
    <t>TASK_282</t>
  </si>
  <si>
    <t>WF_283</t>
  </si>
  <si>
    <t>TASK_283</t>
  </si>
  <si>
    <t>WF_284</t>
  </si>
  <si>
    <t>TASK_284</t>
  </si>
  <si>
    <t>WF_285</t>
  </si>
  <si>
    <t>TASK_285</t>
  </si>
  <si>
    <t>WF_286</t>
  </si>
  <si>
    <t>TASK_286</t>
  </si>
  <si>
    <t>WF_287</t>
  </si>
  <si>
    <t>TASK_287</t>
  </si>
  <si>
    <t>WF_288</t>
  </si>
  <si>
    <t>TASK_288</t>
  </si>
  <si>
    <t>WF_289</t>
  </si>
  <si>
    <t>TASK_289</t>
  </si>
  <si>
    <t>WF_290</t>
  </si>
  <si>
    <t>TASK_290</t>
  </si>
  <si>
    <t>WF_291</t>
  </si>
  <si>
    <t>TASK_291</t>
  </si>
  <si>
    <t>WF_292</t>
  </si>
  <si>
    <t>TASK_292</t>
  </si>
  <si>
    <t>WF_293</t>
  </si>
  <si>
    <t>TASK_293</t>
  </si>
  <si>
    <t>EMP_65</t>
  </si>
  <si>
    <t>WF_294</t>
  </si>
  <si>
    <t>TASK_294</t>
  </si>
  <si>
    <t>WF_295</t>
  </si>
  <si>
    <t>TASK_295</t>
  </si>
  <si>
    <t>EMP_119</t>
  </si>
  <si>
    <t>WF_296</t>
  </si>
  <si>
    <t>TASK_296</t>
  </si>
  <si>
    <t>WF_297</t>
  </si>
  <si>
    <t>TASK_297</t>
  </si>
  <si>
    <t>WF_298</t>
  </si>
  <si>
    <t>TASK_298</t>
  </si>
  <si>
    <t>WF_299</t>
  </si>
  <si>
    <t>TASK_299</t>
  </si>
  <si>
    <t>WF_300</t>
  </si>
  <si>
    <t>TASK_300</t>
  </si>
  <si>
    <t>WF_301</t>
  </si>
  <si>
    <t>TASK_301</t>
  </si>
  <si>
    <t>WF_302</t>
  </si>
  <si>
    <t>TASK_302</t>
  </si>
  <si>
    <t>WF_303</t>
  </si>
  <si>
    <t>TASK_303</t>
  </si>
  <si>
    <t>WF_304</t>
  </si>
  <si>
    <t>TASK_304</t>
  </si>
  <si>
    <t>WF_305</t>
  </si>
  <si>
    <t>TASK_305</t>
  </si>
  <si>
    <t>WF_306</t>
  </si>
  <si>
    <t>TASK_306</t>
  </si>
  <si>
    <t>EMP_66</t>
  </si>
  <si>
    <t>WF_307</t>
  </si>
  <si>
    <t>TASK_307</t>
  </si>
  <si>
    <t>WF_308</t>
  </si>
  <si>
    <t>TASK_308</t>
  </si>
  <si>
    <t>EMP_104</t>
  </si>
  <si>
    <t>WF_309</t>
  </si>
  <si>
    <t>TASK_309</t>
  </si>
  <si>
    <t>EMP_33</t>
  </si>
  <si>
    <t>WF_310</t>
  </si>
  <si>
    <t>TASK_310</t>
  </si>
  <si>
    <t>WF_311</t>
  </si>
  <si>
    <t>TASK_311</t>
  </si>
  <si>
    <t>WF_312</t>
  </si>
  <si>
    <t>TASK_312</t>
  </si>
  <si>
    <t>WF_313</t>
  </si>
  <si>
    <t>TASK_313</t>
  </si>
  <si>
    <t>WF_314</t>
  </si>
  <si>
    <t>TASK_314</t>
  </si>
  <si>
    <t>WF_315</t>
  </si>
  <si>
    <t>TASK_315</t>
  </si>
  <si>
    <t>WF_316</t>
  </si>
  <si>
    <t>TASK_316</t>
  </si>
  <si>
    <t>WF_317</t>
  </si>
  <si>
    <t>TASK_317</t>
  </si>
  <si>
    <t>WF_318</t>
  </si>
  <si>
    <t>TASK_318</t>
  </si>
  <si>
    <t>WF_319</t>
  </si>
  <si>
    <t>TASK_319</t>
  </si>
  <si>
    <t>WF_320</t>
  </si>
  <si>
    <t>TASK_320</t>
  </si>
  <si>
    <t>WF_321</t>
  </si>
  <si>
    <t>TASK_321</t>
  </si>
  <si>
    <t>EMP_149</t>
  </si>
  <si>
    <t>WF_322</t>
  </si>
  <si>
    <t>TASK_322</t>
  </si>
  <si>
    <t>WF_323</t>
  </si>
  <si>
    <t>TASK_323</t>
  </si>
  <si>
    <t>WF_324</t>
  </si>
  <si>
    <t>TASK_324</t>
  </si>
  <si>
    <t>EMP_12</t>
  </si>
  <si>
    <t>WF_325</t>
  </si>
  <si>
    <t>TASK_325</t>
  </si>
  <si>
    <t>WF_326</t>
  </si>
  <si>
    <t>TASK_326</t>
  </si>
  <si>
    <t>WF_327</t>
  </si>
  <si>
    <t>TASK_327</t>
  </si>
  <si>
    <t>WF_328</t>
  </si>
  <si>
    <t>TASK_328</t>
  </si>
  <si>
    <t>WF_329</t>
  </si>
  <si>
    <t>TASK_329</t>
  </si>
  <si>
    <t>WF_330</t>
  </si>
  <si>
    <t>TASK_330</t>
  </si>
  <si>
    <t>WF_331</t>
  </si>
  <si>
    <t>TASK_331</t>
  </si>
  <si>
    <t>WF_332</t>
  </si>
  <si>
    <t>TASK_332</t>
  </si>
  <si>
    <t>WF_333</t>
  </si>
  <si>
    <t>TASK_333</t>
  </si>
  <si>
    <t>WF_334</t>
  </si>
  <si>
    <t>TASK_334</t>
  </si>
  <si>
    <t>WF_335</t>
  </si>
  <si>
    <t>TASK_335</t>
  </si>
  <si>
    <t>WF_336</t>
  </si>
  <si>
    <t>TASK_336</t>
  </si>
  <si>
    <t>EMP_41</t>
  </si>
  <si>
    <t>WF_337</t>
  </si>
  <si>
    <t>TASK_337</t>
  </si>
  <si>
    <t>WF_338</t>
  </si>
  <si>
    <t>TASK_338</t>
  </si>
  <si>
    <t>WF_339</t>
  </si>
  <si>
    <t>TASK_339</t>
  </si>
  <si>
    <t>WF_340</t>
  </si>
  <si>
    <t>TASK_340</t>
  </si>
  <si>
    <t>WF_341</t>
  </si>
  <si>
    <t>TASK_341</t>
  </si>
  <si>
    <t>EMP_50</t>
  </si>
  <si>
    <t>WF_342</t>
  </si>
  <si>
    <t>TASK_342</t>
  </si>
  <si>
    <t>WF_343</t>
  </si>
  <si>
    <t>TASK_343</t>
  </si>
  <si>
    <t>WF_344</t>
  </si>
  <si>
    <t>TASK_344</t>
  </si>
  <si>
    <t>WF_345</t>
  </si>
  <si>
    <t>TASK_345</t>
  </si>
  <si>
    <t>WF_346</t>
  </si>
  <si>
    <t>TASK_346</t>
  </si>
  <si>
    <t>WF_347</t>
  </si>
  <si>
    <t>TASK_347</t>
  </si>
  <si>
    <t>WF_348</t>
  </si>
  <si>
    <t>TASK_348</t>
  </si>
  <si>
    <t>WF_349</t>
  </si>
  <si>
    <t>TASK_349</t>
  </si>
  <si>
    <t>WF_350</t>
  </si>
  <si>
    <t>TASK_350</t>
  </si>
  <si>
    <t>WF_351</t>
  </si>
  <si>
    <t>TASK_351</t>
  </si>
  <si>
    <t>WF_352</t>
  </si>
  <si>
    <t>TASK_352</t>
  </si>
  <si>
    <t>WF_353</t>
  </si>
  <si>
    <t>TASK_353</t>
  </si>
  <si>
    <t>WF_354</t>
  </si>
  <si>
    <t>TASK_354</t>
  </si>
  <si>
    <t>WF_355</t>
  </si>
  <si>
    <t>TASK_355</t>
  </si>
  <si>
    <t>WF_356</t>
  </si>
  <si>
    <t>TASK_356</t>
  </si>
  <si>
    <t>WF_357</t>
  </si>
  <si>
    <t>TASK_357</t>
  </si>
  <si>
    <t>WF_358</t>
  </si>
  <si>
    <t>TASK_358</t>
  </si>
  <si>
    <t>WF_359</t>
  </si>
  <si>
    <t>TASK_359</t>
  </si>
  <si>
    <t>WF_360</t>
  </si>
  <si>
    <t>TASK_360</t>
  </si>
  <si>
    <t>WF_361</t>
  </si>
  <si>
    <t>TASK_361</t>
  </si>
  <si>
    <t>EMP_49</t>
  </si>
  <si>
    <t>WF_362</t>
  </si>
  <si>
    <t>TASK_362</t>
  </si>
  <si>
    <t>EMP_48</t>
  </si>
  <si>
    <t>WF_363</t>
  </si>
  <si>
    <t>TASK_363</t>
  </si>
  <si>
    <t>WF_364</t>
  </si>
  <si>
    <t>TASK_364</t>
  </si>
  <si>
    <t>WF_365</t>
  </si>
  <si>
    <t>TASK_365</t>
  </si>
  <si>
    <t>WF_366</t>
  </si>
  <si>
    <t>TASK_366</t>
  </si>
  <si>
    <t>WF_367</t>
  </si>
  <si>
    <t>TASK_367</t>
  </si>
  <si>
    <t>WF_368</t>
  </si>
  <si>
    <t>TASK_368</t>
  </si>
  <si>
    <t>WF_369</t>
  </si>
  <si>
    <t>TASK_369</t>
  </si>
  <si>
    <t>WF_370</t>
  </si>
  <si>
    <t>TASK_370</t>
  </si>
  <si>
    <t>WF_371</t>
  </si>
  <si>
    <t>TASK_371</t>
  </si>
  <si>
    <t>EMP_89</t>
  </si>
  <si>
    <t>WF_372</t>
  </si>
  <si>
    <t>TASK_372</t>
  </si>
  <si>
    <t>WF_373</t>
  </si>
  <si>
    <t>TASK_373</t>
  </si>
  <si>
    <t>WF_374</t>
  </si>
  <si>
    <t>TASK_374</t>
  </si>
  <si>
    <t>WF_375</t>
  </si>
  <si>
    <t>TASK_375</t>
  </si>
  <si>
    <t>WF_376</t>
  </si>
  <si>
    <t>TASK_376</t>
  </si>
  <si>
    <t>WF_377</t>
  </si>
  <si>
    <t>TASK_377</t>
  </si>
  <si>
    <t>WF_378</t>
  </si>
  <si>
    <t>TASK_378</t>
  </si>
  <si>
    <t>WF_379</t>
  </si>
  <si>
    <t>TASK_379</t>
  </si>
  <si>
    <t>WF_380</t>
  </si>
  <si>
    <t>TASK_380</t>
  </si>
  <si>
    <t>WF_381</t>
  </si>
  <si>
    <t>TASK_381</t>
  </si>
  <si>
    <t>WF_382</t>
  </si>
  <si>
    <t>TASK_382</t>
  </si>
  <si>
    <t>WF_383</t>
  </si>
  <si>
    <t>TASK_383</t>
  </si>
  <si>
    <t>WF_384</t>
  </si>
  <si>
    <t>TASK_384</t>
  </si>
  <si>
    <t>WF_385</t>
  </si>
  <si>
    <t>TASK_385</t>
  </si>
  <si>
    <t>WF_386</t>
  </si>
  <si>
    <t>TASK_386</t>
  </si>
  <si>
    <t>WF_387</t>
  </si>
  <si>
    <t>TASK_387</t>
  </si>
  <si>
    <t>WF_388</t>
  </si>
  <si>
    <t>TASK_388</t>
  </si>
  <si>
    <t>WF_389</t>
  </si>
  <si>
    <t>TASK_389</t>
  </si>
  <si>
    <t>WF_390</t>
  </si>
  <si>
    <t>TASK_390</t>
  </si>
  <si>
    <t>WF_391</t>
  </si>
  <si>
    <t>TASK_391</t>
  </si>
  <si>
    <t>WF_392</t>
  </si>
  <si>
    <t>TASK_392</t>
  </si>
  <si>
    <t>WF_393</t>
  </si>
  <si>
    <t>TASK_393</t>
  </si>
  <si>
    <t>WF_394</t>
  </si>
  <si>
    <t>TASK_394</t>
  </si>
  <si>
    <t>WF_395</t>
  </si>
  <si>
    <t>TASK_395</t>
  </si>
  <si>
    <t>WF_396</t>
  </si>
  <si>
    <t>TASK_396</t>
  </si>
  <si>
    <t>WF_397</t>
  </si>
  <si>
    <t>TASK_397</t>
  </si>
  <si>
    <t>WF_398</t>
  </si>
  <si>
    <t>TASK_398</t>
  </si>
  <si>
    <t>WF_399</t>
  </si>
  <si>
    <t>TASK_399</t>
  </si>
  <si>
    <t>WF_400</t>
  </si>
  <si>
    <t>TASK_400</t>
  </si>
  <si>
    <t>WF_401</t>
  </si>
  <si>
    <t>TASK_401</t>
  </si>
  <si>
    <t>WF_402</t>
  </si>
  <si>
    <t>TASK_402</t>
  </si>
  <si>
    <t>WF_403</t>
  </si>
  <si>
    <t>TASK_403</t>
  </si>
  <si>
    <t>WF_404</t>
  </si>
  <si>
    <t>TASK_404</t>
  </si>
  <si>
    <t>EMP_148</t>
  </si>
  <si>
    <t>WF_405</t>
  </si>
  <si>
    <t>TASK_405</t>
  </si>
  <si>
    <t>WF_406</t>
  </si>
  <si>
    <t>TASK_406</t>
  </si>
  <si>
    <t>EMP_32</t>
  </si>
  <si>
    <t>WF_407</t>
  </si>
  <si>
    <t>TASK_407</t>
  </si>
  <si>
    <t>WF_408</t>
  </si>
  <si>
    <t>TASK_408</t>
  </si>
  <si>
    <t>WF_409</t>
  </si>
  <si>
    <t>TASK_409</t>
  </si>
  <si>
    <t>WF_410</t>
  </si>
  <si>
    <t>TASK_410</t>
  </si>
  <si>
    <t>WF_411</t>
  </si>
  <si>
    <t>TASK_411</t>
  </si>
  <si>
    <t>EMP_103</t>
  </si>
  <si>
    <t>WF_412</t>
  </si>
  <si>
    <t>TASK_412</t>
  </si>
  <si>
    <t>WF_413</t>
  </si>
  <si>
    <t>TASK_413</t>
  </si>
  <si>
    <t>WF_414</t>
  </si>
  <si>
    <t>TASK_414</t>
  </si>
  <si>
    <t>WF_415</t>
  </si>
  <si>
    <t>TASK_415</t>
  </si>
  <si>
    <t>WF_416</t>
  </si>
  <si>
    <t>TASK_416</t>
  </si>
  <si>
    <t>WF_417</t>
  </si>
  <si>
    <t>TASK_417</t>
  </si>
  <si>
    <t>WF_418</t>
  </si>
  <si>
    <t>TASK_418</t>
  </si>
  <si>
    <t>WF_419</t>
  </si>
  <si>
    <t>TASK_419</t>
  </si>
  <si>
    <t>WF_420</t>
  </si>
  <si>
    <t>TASK_420</t>
  </si>
  <si>
    <t>WF_421</t>
  </si>
  <si>
    <t>TASK_421</t>
  </si>
  <si>
    <t>WF_422</t>
  </si>
  <si>
    <t>TASK_422</t>
  </si>
  <si>
    <t>WF_423</t>
  </si>
  <si>
    <t>TASK_423</t>
  </si>
  <si>
    <t>WF_424</t>
  </si>
  <si>
    <t>TASK_424</t>
  </si>
  <si>
    <t>WF_425</t>
  </si>
  <si>
    <t>TASK_425</t>
  </si>
  <si>
    <t>WF_426</t>
  </si>
  <si>
    <t>TASK_426</t>
  </si>
  <si>
    <t>EMP_111</t>
  </si>
  <si>
    <t>WF_427</t>
  </si>
  <si>
    <t>TASK_427</t>
  </si>
  <si>
    <t>WF_428</t>
  </si>
  <si>
    <t>TASK_428</t>
  </si>
  <si>
    <t>WF_429</t>
  </si>
  <si>
    <t>TASK_429</t>
  </si>
  <si>
    <t>WF_430</t>
  </si>
  <si>
    <t>TASK_430</t>
  </si>
  <si>
    <t>WF_431</t>
  </si>
  <si>
    <t>TASK_431</t>
  </si>
  <si>
    <t>WF_432</t>
  </si>
  <si>
    <t>TASK_432</t>
  </si>
  <si>
    <t>WF_433</t>
  </si>
  <si>
    <t>TASK_433</t>
  </si>
  <si>
    <t>WF_434</t>
  </si>
  <si>
    <t>TASK_434</t>
  </si>
  <si>
    <t>WF_435</t>
  </si>
  <si>
    <t>TASK_435</t>
  </si>
  <si>
    <t>WF_436</t>
  </si>
  <si>
    <t>TASK_436</t>
  </si>
  <si>
    <t>WF_437</t>
  </si>
  <si>
    <t>TASK_437</t>
  </si>
  <si>
    <t>WF_438</t>
  </si>
  <si>
    <t>TASK_438</t>
  </si>
  <si>
    <t>WF_439</t>
  </si>
  <si>
    <t>TASK_439</t>
  </si>
  <si>
    <t>WF_440</t>
  </si>
  <si>
    <t>TASK_440</t>
  </si>
  <si>
    <t>WF_441</t>
  </si>
  <si>
    <t>TASK_441</t>
  </si>
  <si>
    <t>WF_442</t>
  </si>
  <si>
    <t>TASK_442</t>
  </si>
  <si>
    <t>WF_443</t>
  </si>
  <si>
    <t>TASK_443</t>
  </si>
  <si>
    <t>WF_444</t>
  </si>
  <si>
    <t>TASK_444</t>
  </si>
  <si>
    <t>WF_445</t>
  </si>
  <si>
    <t>TASK_445</t>
  </si>
  <si>
    <t>WF_446</t>
  </si>
  <si>
    <t>TASK_446</t>
  </si>
  <si>
    <t>WF_447</t>
  </si>
  <si>
    <t>TASK_447</t>
  </si>
  <si>
    <t>WF_448</t>
  </si>
  <si>
    <t>TASK_448</t>
  </si>
  <si>
    <t>WF_449</t>
  </si>
  <si>
    <t>TASK_449</t>
  </si>
  <si>
    <t>WF_450</t>
  </si>
  <si>
    <t>TASK_450</t>
  </si>
  <si>
    <t>WF_451</t>
  </si>
  <si>
    <t>TASK_451</t>
  </si>
  <si>
    <t>WF_452</t>
  </si>
  <si>
    <t>TASK_452</t>
  </si>
  <si>
    <t>WF_453</t>
  </si>
  <si>
    <t>TASK_453</t>
  </si>
  <si>
    <t>WF_454</t>
  </si>
  <si>
    <t>TASK_454</t>
  </si>
  <si>
    <t>WF_455</t>
  </si>
  <si>
    <t>TASK_455</t>
  </si>
  <si>
    <t>WF_456</t>
  </si>
  <si>
    <t>TASK_456</t>
  </si>
  <si>
    <t>WF_457</t>
  </si>
  <si>
    <t>TASK_457</t>
  </si>
  <si>
    <t>WF_458</t>
  </si>
  <si>
    <t>TASK_458</t>
  </si>
  <si>
    <t>WF_459</t>
  </si>
  <si>
    <t>TASK_459</t>
  </si>
  <si>
    <t>WF_460</t>
  </si>
  <si>
    <t>TASK_460</t>
  </si>
  <si>
    <t>WF_461</t>
  </si>
  <si>
    <t>TASK_461</t>
  </si>
  <si>
    <t>WF_462</t>
  </si>
  <si>
    <t>TASK_462</t>
  </si>
  <si>
    <t>WF_463</t>
  </si>
  <si>
    <t>TASK_463</t>
  </si>
  <si>
    <t>WF_464</t>
  </si>
  <si>
    <t>TASK_464</t>
  </si>
  <si>
    <t>WF_465</t>
  </si>
  <si>
    <t>TASK_465</t>
  </si>
  <si>
    <t>WF_466</t>
  </si>
  <si>
    <t>TASK_466</t>
  </si>
  <si>
    <t>WF_467</t>
  </si>
  <si>
    <t>TASK_467</t>
  </si>
  <si>
    <t>WF_468</t>
  </si>
  <si>
    <t>TASK_468</t>
  </si>
  <si>
    <t>WF_469</t>
  </si>
  <si>
    <t>TASK_469</t>
  </si>
  <si>
    <t>WF_470</t>
  </si>
  <si>
    <t>TASK_470</t>
  </si>
  <si>
    <t>WF_471</t>
  </si>
  <si>
    <t>TASK_471</t>
  </si>
  <si>
    <t>WF_472</t>
  </si>
  <si>
    <t>TASK_472</t>
  </si>
  <si>
    <t>WF_473</t>
  </si>
  <si>
    <t>TASK_473</t>
  </si>
  <si>
    <t>EMP_6</t>
  </si>
  <si>
    <t>WF_474</t>
  </si>
  <si>
    <t>TASK_474</t>
  </si>
  <si>
    <t>WF_475</t>
  </si>
  <si>
    <t>TASK_475</t>
  </si>
  <si>
    <t>WF_476</t>
  </si>
  <si>
    <t>TASK_476</t>
  </si>
  <si>
    <t>WF_477</t>
  </si>
  <si>
    <t>TASK_477</t>
  </si>
  <si>
    <t>WF_478</t>
  </si>
  <si>
    <t>TASK_478</t>
  </si>
  <si>
    <t>WF_479</t>
  </si>
  <si>
    <t>TASK_479</t>
  </si>
  <si>
    <t>WF_480</t>
  </si>
  <si>
    <t>TASK_480</t>
  </si>
  <si>
    <t>WF_481</t>
  </si>
  <si>
    <t>TASK_481</t>
  </si>
  <si>
    <t>WF_482</t>
  </si>
  <si>
    <t>TASK_482</t>
  </si>
  <si>
    <t>WF_483</t>
  </si>
  <si>
    <t>TASK_483</t>
  </si>
  <si>
    <t>WF_484</t>
  </si>
  <si>
    <t>TASK_484</t>
  </si>
  <si>
    <t>WF_485</t>
  </si>
  <si>
    <t>TASK_485</t>
  </si>
  <si>
    <t>WF_486</t>
  </si>
  <si>
    <t>TASK_486</t>
  </si>
  <si>
    <t>WF_487</t>
  </si>
  <si>
    <t>TASK_487</t>
  </si>
  <si>
    <t>WF_488</t>
  </si>
  <si>
    <t>TASK_488</t>
  </si>
  <si>
    <t>WF_489</t>
  </si>
  <si>
    <t>TASK_489</t>
  </si>
  <si>
    <t>WF_490</t>
  </si>
  <si>
    <t>TASK_490</t>
  </si>
  <si>
    <t>WF_491</t>
  </si>
  <si>
    <t>TASK_491</t>
  </si>
  <si>
    <t>WF_492</t>
  </si>
  <si>
    <t>TASK_492</t>
  </si>
  <si>
    <t>WF_493</t>
  </si>
  <si>
    <t>TASK_493</t>
  </si>
  <si>
    <t>WF_494</t>
  </si>
  <si>
    <t>TASK_494</t>
  </si>
  <si>
    <t>WF_495</t>
  </si>
  <si>
    <t>TASK_495</t>
  </si>
  <si>
    <t>WF_496</t>
  </si>
  <si>
    <t>TASK_496</t>
  </si>
  <si>
    <t>EMP_144</t>
  </si>
  <si>
    <t>WF_497</t>
  </si>
  <si>
    <t>TASK_497</t>
  </si>
  <si>
    <t>WF_498</t>
  </si>
  <si>
    <t>TASK_498</t>
  </si>
  <si>
    <t>WF_499</t>
  </si>
  <si>
    <t>TASK_499</t>
  </si>
  <si>
    <t>WF_500</t>
  </si>
  <si>
    <t>TASK_500</t>
  </si>
  <si>
    <t>WF_501</t>
  </si>
  <si>
    <t>TASK_501</t>
  </si>
  <si>
    <t>WF_502</t>
  </si>
  <si>
    <t>TASK_502</t>
  </si>
  <si>
    <t>WF_503</t>
  </si>
  <si>
    <t>TASK_503</t>
  </si>
  <si>
    <t>EMP_116</t>
  </si>
  <si>
    <t>WF_504</t>
  </si>
  <si>
    <t>TASK_504</t>
  </si>
  <si>
    <t>WF_505</t>
  </si>
  <si>
    <t>TASK_505</t>
  </si>
  <si>
    <t>WF_506</t>
  </si>
  <si>
    <t>TASK_506</t>
  </si>
  <si>
    <t>WF_507</t>
  </si>
  <si>
    <t>TASK_507</t>
  </si>
  <si>
    <t>WF_508</t>
  </si>
  <si>
    <t>TASK_508</t>
  </si>
  <si>
    <t>WF_509</t>
  </si>
  <si>
    <t>TASK_509</t>
  </si>
  <si>
    <t>WF_510</t>
  </si>
  <si>
    <t>TASK_510</t>
  </si>
  <si>
    <t>WF_511</t>
  </si>
  <si>
    <t>TASK_511</t>
  </si>
  <si>
    <t>WF_512</t>
  </si>
  <si>
    <t>TASK_512</t>
  </si>
  <si>
    <t>WF_513</t>
  </si>
  <si>
    <t>TASK_513</t>
  </si>
  <si>
    <t>WF_514</t>
  </si>
  <si>
    <t>TASK_514</t>
  </si>
  <si>
    <t>WF_515</t>
  </si>
  <si>
    <t>TASK_515</t>
  </si>
  <si>
    <t>WF_516</t>
  </si>
  <si>
    <t>TASK_516</t>
  </si>
  <si>
    <t>WF_517</t>
  </si>
  <si>
    <t>TASK_517</t>
  </si>
  <si>
    <t>WF_518</t>
  </si>
  <si>
    <t>TASK_518</t>
  </si>
  <si>
    <t>WF_519</t>
  </si>
  <si>
    <t>TASK_519</t>
  </si>
  <si>
    <t>WF_520</t>
  </si>
  <si>
    <t>TASK_520</t>
  </si>
  <si>
    <t>WF_521</t>
  </si>
  <si>
    <t>TASK_521</t>
  </si>
  <si>
    <t>WF_522</t>
  </si>
  <si>
    <t>TASK_522</t>
  </si>
  <si>
    <t>WF_523</t>
  </si>
  <si>
    <t>TASK_523</t>
  </si>
  <si>
    <t>WF_524</t>
  </si>
  <si>
    <t>TASK_524</t>
  </si>
  <si>
    <t>WF_525</t>
  </si>
  <si>
    <t>TASK_525</t>
  </si>
  <si>
    <t>WF_526</t>
  </si>
  <si>
    <t>TASK_526</t>
  </si>
  <si>
    <t>WF_527</t>
  </si>
  <si>
    <t>TASK_527</t>
  </si>
  <si>
    <t>WF_528</t>
  </si>
  <si>
    <t>TASK_528</t>
  </si>
  <si>
    <t>WF_529</t>
  </si>
  <si>
    <t>TASK_529</t>
  </si>
  <si>
    <t>WF_530</t>
  </si>
  <si>
    <t>TASK_530</t>
  </si>
  <si>
    <t>WF_531</t>
  </si>
  <si>
    <t>TASK_531</t>
  </si>
  <si>
    <t>WF_532</t>
  </si>
  <si>
    <t>TASK_532</t>
  </si>
  <si>
    <t>WF_533</t>
  </si>
  <si>
    <t>TASK_533</t>
  </si>
  <si>
    <t>WF_534</t>
  </si>
  <si>
    <t>TASK_534</t>
  </si>
  <si>
    <t>WF_535</t>
  </si>
  <si>
    <t>TASK_535</t>
  </si>
  <si>
    <t>WF_536</t>
  </si>
  <si>
    <t>TASK_536</t>
  </si>
  <si>
    <t>WF_537</t>
  </si>
  <si>
    <t>TASK_537</t>
  </si>
  <si>
    <t>WF_538</t>
  </si>
  <si>
    <t>TASK_538</t>
  </si>
  <si>
    <t>WF_539</t>
  </si>
  <si>
    <t>TASK_539</t>
  </si>
  <si>
    <t>WF_540</t>
  </si>
  <si>
    <t>TASK_540</t>
  </si>
  <si>
    <t>WF_541</t>
  </si>
  <si>
    <t>TASK_541</t>
  </si>
  <si>
    <t>WF_542</t>
  </si>
  <si>
    <t>TASK_542</t>
  </si>
  <si>
    <t>WF_543</t>
  </si>
  <si>
    <t>TASK_543</t>
  </si>
  <si>
    <t>WF_544</t>
  </si>
  <si>
    <t>TASK_544</t>
  </si>
  <si>
    <t>WF_545</t>
  </si>
  <si>
    <t>TASK_545</t>
  </si>
  <si>
    <t>WF_546</t>
  </si>
  <si>
    <t>TASK_546</t>
  </si>
  <si>
    <t>WF_547</t>
  </si>
  <si>
    <t>TASK_547</t>
  </si>
  <si>
    <t>WF_548</t>
  </si>
  <si>
    <t>TASK_548</t>
  </si>
  <si>
    <t>EMP_123</t>
  </si>
  <si>
    <t>WF_549</t>
  </si>
  <si>
    <t>TASK_549</t>
  </si>
  <si>
    <t>WF_550</t>
  </si>
  <si>
    <t>TASK_550</t>
  </si>
  <si>
    <t>WF_551</t>
  </si>
  <si>
    <t>TASK_551</t>
  </si>
  <si>
    <t>WF_552</t>
  </si>
  <si>
    <t>TASK_552</t>
  </si>
  <si>
    <t>WF_553</t>
  </si>
  <si>
    <t>TASK_553</t>
  </si>
  <si>
    <t>WF_554</t>
  </si>
  <si>
    <t>TASK_554</t>
  </si>
  <si>
    <t>WF_555</t>
  </si>
  <si>
    <t>TASK_555</t>
  </si>
  <si>
    <t>WF_556</t>
  </si>
  <si>
    <t>TASK_556</t>
  </si>
  <si>
    <t>WF_557</t>
  </si>
  <si>
    <t>TASK_557</t>
  </si>
  <si>
    <t>WF_558</t>
  </si>
  <si>
    <t>TASK_558</t>
  </si>
  <si>
    <t>WF_559</t>
  </si>
  <si>
    <t>TASK_559</t>
  </si>
  <si>
    <t>WF_560</t>
  </si>
  <si>
    <t>TASK_560</t>
  </si>
  <si>
    <t>WF_561</t>
  </si>
  <si>
    <t>TASK_561</t>
  </si>
  <si>
    <t>WF_562</t>
  </si>
  <si>
    <t>TASK_562</t>
  </si>
  <si>
    <t>WF_563</t>
  </si>
  <si>
    <t>TASK_563</t>
  </si>
  <si>
    <t>WF_564</t>
  </si>
  <si>
    <t>TASK_564</t>
  </si>
  <si>
    <t>WF_565</t>
  </si>
  <si>
    <t>TASK_565</t>
  </si>
  <si>
    <t>WF_566</t>
  </si>
  <si>
    <t>TASK_566</t>
  </si>
  <si>
    <t>WF_567</t>
  </si>
  <si>
    <t>TASK_567</t>
  </si>
  <si>
    <t>WF_568</t>
  </si>
  <si>
    <t>TASK_568</t>
  </si>
  <si>
    <t>WF_569</t>
  </si>
  <si>
    <t>TASK_569</t>
  </si>
  <si>
    <t>WF_570</t>
  </si>
  <si>
    <t>TASK_570</t>
  </si>
  <si>
    <t>WF_571</t>
  </si>
  <si>
    <t>TASK_571</t>
  </si>
  <si>
    <t>WF_572</t>
  </si>
  <si>
    <t>TASK_572</t>
  </si>
  <si>
    <t>WF_573</t>
  </si>
  <si>
    <t>TASK_573</t>
  </si>
  <si>
    <t>WF_574</t>
  </si>
  <si>
    <t>TASK_574</t>
  </si>
  <si>
    <t>WF_575</t>
  </si>
  <si>
    <t>TASK_575</t>
  </si>
  <si>
    <t>WF_576</t>
  </si>
  <si>
    <t>TASK_576</t>
  </si>
  <si>
    <t>WF_577</t>
  </si>
  <si>
    <t>TASK_577</t>
  </si>
  <si>
    <t>WF_578</t>
  </si>
  <si>
    <t>TASK_578</t>
  </si>
  <si>
    <t>WF_579</t>
  </si>
  <si>
    <t>TASK_579</t>
  </si>
  <si>
    <t>WF_580</t>
  </si>
  <si>
    <t>TASK_580</t>
  </si>
  <si>
    <t>WF_581</t>
  </si>
  <si>
    <t>TASK_581</t>
  </si>
  <si>
    <t>WF_582</t>
  </si>
  <si>
    <t>TASK_582</t>
  </si>
  <si>
    <t>WF_583</t>
  </si>
  <si>
    <t>TASK_583</t>
  </si>
  <si>
    <t>WF_584</t>
  </si>
  <si>
    <t>TASK_584</t>
  </si>
  <si>
    <t>WF_585</t>
  </si>
  <si>
    <t>TASK_585</t>
  </si>
  <si>
    <t>WF_586</t>
  </si>
  <si>
    <t>TASK_586</t>
  </si>
  <si>
    <t>WF_587</t>
  </si>
  <si>
    <t>TASK_587</t>
  </si>
  <si>
    <t>WF_588</t>
  </si>
  <si>
    <t>TASK_588</t>
  </si>
  <si>
    <t>WF_589</t>
  </si>
  <si>
    <t>TASK_589</t>
  </si>
  <si>
    <t>WF_590</t>
  </si>
  <si>
    <t>TASK_590</t>
  </si>
  <si>
    <t>WF_591</t>
  </si>
  <si>
    <t>TASK_591</t>
  </si>
  <si>
    <t>WF_592</t>
  </si>
  <si>
    <t>TASK_592</t>
  </si>
  <si>
    <t>WF_593</t>
  </si>
  <si>
    <t>TASK_593</t>
  </si>
  <si>
    <t>WF_594</t>
  </si>
  <si>
    <t>TASK_594</t>
  </si>
  <si>
    <t>WF_595</t>
  </si>
  <si>
    <t>TASK_595</t>
  </si>
  <si>
    <t>WF_596</t>
  </si>
  <si>
    <t>TASK_596</t>
  </si>
  <si>
    <t>WF_597</t>
  </si>
  <si>
    <t>TASK_597</t>
  </si>
  <si>
    <t>WF_598</t>
  </si>
  <si>
    <t>TASK_598</t>
  </si>
  <si>
    <t>WF_599</t>
  </si>
  <si>
    <t>TASK_599</t>
  </si>
  <si>
    <t>WF_600</t>
  </si>
  <si>
    <t>TASK_600</t>
  </si>
  <si>
    <t>WF_601</t>
  </si>
  <si>
    <t>TASK_601</t>
  </si>
  <si>
    <t>WF_602</t>
  </si>
  <si>
    <t>TASK_602</t>
  </si>
  <si>
    <t>WF_603</t>
  </si>
  <si>
    <t>TASK_603</t>
  </si>
  <si>
    <t>WF_604</t>
  </si>
  <si>
    <t>TASK_604</t>
  </si>
  <si>
    <t>WF_605</t>
  </si>
  <si>
    <t>TASK_605</t>
  </si>
  <si>
    <t>WF_606</t>
  </si>
  <si>
    <t>TASK_606</t>
  </si>
  <si>
    <t>WF_607</t>
  </si>
  <si>
    <t>TASK_607</t>
  </si>
  <si>
    <t>WF_608</t>
  </si>
  <si>
    <t>TASK_608</t>
  </si>
  <si>
    <t>WF_609</t>
  </si>
  <si>
    <t>TASK_609</t>
  </si>
  <si>
    <t>WF_610</t>
  </si>
  <si>
    <t>TASK_610</t>
  </si>
  <si>
    <t>WF_611</t>
  </si>
  <si>
    <t>TASK_611</t>
  </si>
  <si>
    <t>WF_612</t>
  </si>
  <si>
    <t>TASK_612</t>
  </si>
  <si>
    <t>WF_613</t>
  </si>
  <si>
    <t>TASK_613</t>
  </si>
  <si>
    <t>WF_614</t>
  </si>
  <si>
    <t>TASK_614</t>
  </si>
  <si>
    <t>WF_615</t>
  </si>
  <si>
    <t>TASK_615</t>
  </si>
  <si>
    <t>EMP_79</t>
  </si>
  <si>
    <t>WF_616</t>
  </si>
  <si>
    <t>TASK_616</t>
  </si>
  <si>
    <t>WF_617</t>
  </si>
  <si>
    <t>TASK_617</t>
  </si>
  <si>
    <t>WF_618</t>
  </si>
  <si>
    <t>TASK_618</t>
  </si>
  <si>
    <t>WF_619</t>
  </si>
  <si>
    <t>TASK_619</t>
  </si>
  <si>
    <t>WF_620</t>
  </si>
  <si>
    <t>TASK_620</t>
  </si>
  <si>
    <t>WF_621</t>
  </si>
  <si>
    <t>TASK_621</t>
  </si>
  <si>
    <t>WF_622</t>
  </si>
  <si>
    <t>TASK_622</t>
  </si>
  <si>
    <t>WF_623</t>
  </si>
  <si>
    <t>TASK_623</t>
  </si>
  <si>
    <t>WF_624</t>
  </si>
  <si>
    <t>TASK_624</t>
  </si>
  <si>
    <t>WF_625</t>
  </si>
  <si>
    <t>TASK_625</t>
  </si>
  <si>
    <t>WF_626</t>
  </si>
  <si>
    <t>TASK_626</t>
  </si>
  <si>
    <t>WF_627</t>
  </si>
  <si>
    <t>TASK_627</t>
  </si>
  <si>
    <t>WF_628</t>
  </si>
  <si>
    <t>TASK_628</t>
  </si>
  <si>
    <t>WF_629</t>
  </si>
  <si>
    <t>TASK_629</t>
  </si>
  <si>
    <t>WF_630</t>
  </si>
  <si>
    <t>TASK_630</t>
  </si>
  <si>
    <t>WF_631</t>
  </si>
  <si>
    <t>TASK_631</t>
  </si>
  <si>
    <t>WF_632</t>
  </si>
  <si>
    <t>TASK_632</t>
  </si>
  <si>
    <t>WF_633</t>
  </si>
  <si>
    <t>TASK_633</t>
  </si>
  <si>
    <t>WF_634</t>
  </si>
  <si>
    <t>TASK_634</t>
  </si>
  <si>
    <t>WF_635</t>
  </si>
  <si>
    <t>TASK_635</t>
  </si>
  <si>
    <t>WF_636</t>
  </si>
  <si>
    <t>TASK_636</t>
  </si>
  <si>
    <t>WF_637</t>
  </si>
  <si>
    <t>TASK_637</t>
  </si>
  <si>
    <t>WF_638</t>
  </si>
  <si>
    <t>TASK_638</t>
  </si>
  <si>
    <t>WF_639</t>
  </si>
  <si>
    <t>TASK_639</t>
  </si>
  <si>
    <t>WF_640</t>
  </si>
  <si>
    <t>TASK_640</t>
  </si>
  <si>
    <t>WF_641</t>
  </si>
  <si>
    <t>TASK_641</t>
  </si>
  <si>
    <t>WF_642</t>
  </si>
  <si>
    <t>TASK_642</t>
  </si>
  <si>
    <t>WF_643</t>
  </si>
  <si>
    <t>TASK_643</t>
  </si>
  <si>
    <t>WF_644</t>
  </si>
  <si>
    <t>TASK_644</t>
  </si>
  <si>
    <t>WF_645</t>
  </si>
  <si>
    <t>TASK_645</t>
  </si>
  <si>
    <t>WF_646</t>
  </si>
  <si>
    <t>TASK_646</t>
  </si>
  <si>
    <t>WF_647</t>
  </si>
  <si>
    <t>TASK_647</t>
  </si>
  <si>
    <t>WF_648</t>
  </si>
  <si>
    <t>TASK_648</t>
  </si>
  <si>
    <t>WF_649</t>
  </si>
  <si>
    <t>TASK_649</t>
  </si>
  <si>
    <t>WF_650</t>
  </si>
  <si>
    <t>TASK_650</t>
  </si>
  <si>
    <t>WF_651</t>
  </si>
  <si>
    <t>TASK_651</t>
  </si>
  <si>
    <t>WF_652</t>
  </si>
  <si>
    <t>TASK_652</t>
  </si>
  <si>
    <t>WF_653</t>
  </si>
  <si>
    <t>TASK_653</t>
  </si>
  <si>
    <t>WF_654</t>
  </si>
  <si>
    <t>TASK_654</t>
  </si>
  <si>
    <t>WF_655</t>
  </si>
  <si>
    <t>TASK_655</t>
  </si>
  <si>
    <t>WF_656</t>
  </si>
  <si>
    <t>TASK_656</t>
  </si>
  <si>
    <t>WF_657</t>
  </si>
  <si>
    <t>TASK_657</t>
  </si>
  <si>
    <t>WF_658</t>
  </si>
  <si>
    <t>TASK_658</t>
  </si>
  <si>
    <t>WF_659</t>
  </si>
  <si>
    <t>TASK_659</t>
  </si>
  <si>
    <t>WF_660</t>
  </si>
  <si>
    <t>TASK_660</t>
  </si>
  <si>
    <t>WF_661</t>
  </si>
  <si>
    <t>TASK_661</t>
  </si>
  <si>
    <t>WF_662</t>
  </si>
  <si>
    <t>TASK_662</t>
  </si>
  <si>
    <t>WF_663</t>
  </si>
  <si>
    <t>TASK_663</t>
  </si>
  <si>
    <t>WF_664</t>
  </si>
  <si>
    <t>TASK_664</t>
  </si>
  <si>
    <t>WF_665</t>
  </si>
  <si>
    <t>TASK_665</t>
  </si>
  <si>
    <t>WF_666</t>
  </si>
  <si>
    <t>TASK_666</t>
  </si>
  <si>
    <t>WF_667</t>
  </si>
  <si>
    <t>TASK_667</t>
  </si>
  <si>
    <t>WF_668</t>
  </si>
  <si>
    <t>TASK_668</t>
  </si>
  <si>
    <t>WF_669</t>
  </si>
  <si>
    <t>TASK_669</t>
  </si>
  <si>
    <t>WF_670</t>
  </si>
  <si>
    <t>TASK_670</t>
  </si>
  <si>
    <t>WF_671</t>
  </si>
  <si>
    <t>TASK_671</t>
  </si>
  <si>
    <t>WF_672</t>
  </si>
  <si>
    <t>TASK_672</t>
  </si>
  <si>
    <t>WF_673</t>
  </si>
  <si>
    <t>TASK_673</t>
  </si>
  <si>
    <t>WF_674</t>
  </si>
  <si>
    <t>TASK_674</t>
  </si>
  <si>
    <t>WF_675</t>
  </si>
  <si>
    <t>TASK_675</t>
  </si>
  <si>
    <t>WF_676</t>
  </si>
  <si>
    <t>TASK_676</t>
  </si>
  <si>
    <t>WF_677</t>
  </si>
  <si>
    <t>TASK_677</t>
  </si>
  <si>
    <t>WF_678</t>
  </si>
  <si>
    <t>TASK_678</t>
  </si>
  <si>
    <t>WF_679</t>
  </si>
  <si>
    <t>TASK_679</t>
  </si>
  <si>
    <t>WF_680</t>
  </si>
  <si>
    <t>TASK_680</t>
  </si>
  <si>
    <t>WF_681</t>
  </si>
  <si>
    <t>TASK_681</t>
  </si>
  <si>
    <t>WF_682</t>
  </si>
  <si>
    <t>TASK_682</t>
  </si>
  <si>
    <t>WF_683</t>
  </si>
  <si>
    <t>TASK_683</t>
  </si>
  <si>
    <t>WF_684</t>
  </si>
  <si>
    <t>TASK_684</t>
  </si>
  <si>
    <t>WF_685</t>
  </si>
  <si>
    <t>TASK_685</t>
  </si>
  <si>
    <t>WF_686</t>
  </si>
  <si>
    <t>TASK_686</t>
  </si>
  <si>
    <t>WF_687</t>
  </si>
  <si>
    <t>TASK_687</t>
  </si>
  <si>
    <t>WF_688</t>
  </si>
  <si>
    <t>TASK_688</t>
  </si>
  <si>
    <t>WF_689</t>
  </si>
  <si>
    <t>TASK_689</t>
  </si>
  <si>
    <t>WF_690</t>
  </si>
  <si>
    <t>TASK_690</t>
  </si>
  <si>
    <t>WF_691</t>
  </si>
  <si>
    <t>TASK_691</t>
  </si>
  <si>
    <t>WF_692</t>
  </si>
  <si>
    <t>TASK_692</t>
  </si>
  <si>
    <t>WF_693</t>
  </si>
  <si>
    <t>TASK_693</t>
  </si>
  <si>
    <t>WF_694</t>
  </si>
  <si>
    <t>TASK_694</t>
  </si>
  <si>
    <t>WF_695</t>
  </si>
  <si>
    <t>TASK_695</t>
  </si>
  <si>
    <t>WF_696</t>
  </si>
  <si>
    <t>TASK_696</t>
  </si>
  <si>
    <t>WF_697</t>
  </si>
  <si>
    <t>TASK_697</t>
  </si>
  <si>
    <t>WF_698</t>
  </si>
  <si>
    <t>TASK_698</t>
  </si>
  <si>
    <t>WF_699</t>
  </si>
  <si>
    <t>TASK_699</t>
  </si>
  <si>
    <t>WF_700</t>
  </si>
  <si>
    <t>TASK_700</t>
  </si>
  <si>
    <t>WF_701</t>
  </si>
  <si>
    <t>TASK_701</t>
  </si>
  <si>
    <t>WF_702</t>
  </si>
  <si>
    <t>TASK_702</t>
  </si>
  <si>
    <t>WF_703</t>
  </si>
  <si>
    <t>TASK_703</t>
  </si>
  <si>
    <t>WF_704</t>
  </si>
  <si>
    <t>TASK_704</t>
  </si>
  <si>
    <t>WF_705</t>
  </si>
  <si>
    <t>TASK_705</t>
  </si>
  <si>
    <t>WF_706</t>
  </si>
  <si>
    <t>TASK_706</t>
  </si>
  <si>
    <t>WF_707</t>
  </si>
  <si>
    <t>TASK_707</t>
  </si>
  <si>
    <t>WF_708</t>
  </si>
  <si>
    <t>TASK_708</t>
  </si>
  <si>
    <t>WF_709</t>
  </si>
  <si>
    <t>TASK_709</t>
  </si>
  <si>
    <t>WF_710</t>
  </si>
  <si>
    <t>TASK_710</t>
  </si>
  <si>
    <t>WF_711</t>
  </si>
  <si>
    <t>TASK_711</t>
  </si>
  <si>
    <t>WF_712</t>
  </si>
  <si>
    <t>TASK_712</t>
  </si>
  <si>
    <t>WF_713</t>
  </si>
  <si>
    <t>TASK_713</t>
  </si>
  <si>
    <t>WF_714</t>
  </si>
  <si>
    <t>TASK_714</t>
  </si>
  <si>
    <t>WF_715</t>
  </si>
  <si>
    <t>TASK_715</t>
  </si>
  <si>
    <t>WF_716</t>
  </si>
  <si>
    <t>TASK_716</t>
  </si>
  <si>
    <t>WF_717</t>
  </si>
  <si>
    <t>TASK_717</t>
  </si>
  <si>
    <t>WF_718</t>
  </si>
  <si>
    <t>TASK_718</t>
  </si>
  <si>
    <t>WF_719</t>
  </si>
  <si>
    <t>TASK_719</t>
  </si>
  <si>
    <t>EMP_57</t>
  </si>
  <si>
    <t>WF_720</t>
  </si>
  <si>
    <t>TASK_720</t>
  </si>
  <si>
    <t>WF_721</t>
  </si>
  <si>
    <t>TASK_721</t>
  </si>
  <si>
    <t>WF_722</t>
  </si>
  <si>
    <t>TASK_722</t>
  </si>
  <si>
    <t>WF_723</t>
  </si>
  <si>
    <t>TASK_723</t>
  </si>
  <si>
    <t>WF_724</t>
  </si>
  <si>
    <t>TASK_724</t>
  </si>
  <si>
    <t>WF_725</t>
  </si>
  <si>
    <t>TASK_725</t>
  </si>
  <si>
    <t>WF_726</t>
  </si>
  <si>
    <t>TASK_726</t>
  </si>
  <si>
    <t>WF_727</t>
  </si>
  <si>
    <t>TASK_727</t>
  </si>
  <si>
    <t>WF_728</t>
  </si>
  <si>
    <t>TASK_728</t>
  </si>
  <si>
    <t>WF_729</t>
  </si>
  <si>
    <t>TASK_729</t>
  </si>
  <si>
    <t>WF_730</t>
  </si>
  <si>
    <t>TASK_730</t>
  </si>
  <si>
    <t>WF_731</t>
  </si>
  <si>
    <t>TASK_731</t>
  </si>
  <si>
    <t>WF_732</t>
  </si>
  <si>
    <t>TASK_732</t>
  </si>
  <si>
    <t>WF_733</t>
  </si>
  <si>
    <t>TASK_733</t>
  </si>
  <si>
    <t>WF_734</t>
  </si>
  <si>
    <t>TASK_734</t>
  </si>
  <si>
    <t>WF_735</t>
  </si>
  <si>
    <t>TASK_735</t>
  </si>
  <si>
    <t>WF_736</t>
  </si>
  <si>
    <t>TASK_736</t>
  </si>
  <si>
    <t>WF_737</t>
  </si>
  <si>
    <t>TASK_737</t>
  </si>
  <si>
    <t>WF_738</t>
  </si>
  <si>
    <t>TASK_738</t>
  </si>
  <si>
    <t>WF_739</t>
  </si>
  <si>
    <t>TASK_739</t>
  </si>
  <si>
    <t>WF_740</t>
  </si>
  <si>
    <t>TASK_740</t>
  </si>
  <si>
    <t>WF_741</t>
  </si>
  <si>
    <t>TASK_741</t>
  </si>
  <si>
    <t>WF_742</t>
  </si>
  <si>
    <t>TASK_742</t>
  </si>
  <si>
    <t>WF_743</t>
  </si>
  <si>
    <t>TASK_743</t>
  </si>
  <si>
    <t>WF_744</t>
  </si>
  <si>
    <t>TASK_744</t>
  </si>
  <si>
    <t>WF_745</t>
  </si>
  <si>
    <t>TASK_745</t>
  </si>
  <si>
    <t>WF_746</t>
  </si>
  <si>
    <t>TASK_746</t>
  </si>
  <si>
    <t>WF_747</t>
  </si>
  <si>
    <t>TASK_747</t>
  </si>
  <si>
    <t>WF_748</t>
  </si>
  <si>
    <t>TASK_748</t>
  </si>
  <si>
    <t>WF_749</t>
  </si>
  <si>
    <t>TASK_749</t>
  </si>
  <si>
    <t>WF_750</t>
  </si>
  <si>
    <t>TASK_750</t>
  </si>
  <si>
    <t>WF_751</t>
  </si>
  <si>
    <t>TASK_751</t>
  </si>
  <si>
    <t>WF_752</t>
  </si>
  <si>
    <t>TASK_752</t>
  </si>
  <si>
    <t>WF_753</t>
  </si>
  <si>
    <t>TASK_753</t>
  </si>
  <si>
    <t>WF_754</t>
  </si>
  <si>
    <t>TASK_754</t>
  </si>
  <si>
    <t>WF_755</t>
  </si>
  <si>
    <t>TASK_755</t>
  </si>
  <si>
    <t>WF_756</t>
  </si>
  <si>
    <t>TASK_756</t>
  </si>
  <si>
    <t>WF_757</t>
  </si>
  <si>
    <t>TASK_757</t>
  </si>
  <si>
    <t>WF_758</t>
  </si>
  <si>
    <t>TASK_758</t>
  </si>
  <si>
    <t>WF_759</t>
  </si>
  <si>
    <t>TASK_759</t>
  </si>
  <si>
    <t>WF_760</t>
  </si>
  <si>
    <t>TASK_760</t>
  </si>
  <si>
    <t>WF_761</t>
  </si>
  <si>
    <t>TASK_761</t>
  </si>
  <si>
    <t>WF_762</t>
  </si>
  <si>
    <t>TASK_762</t>
  </si>
  <si>
    <t>WF_763</t>
  </si>
  <si>
    <t>TASK_763</t>
  </si>
  <si>
    <t>WF_764</t>
  </si>
  <si>
    <t>TASK_764</t>
  </si>
  <si>
    <t>WF_765</t>
  </si>
  <si>
    <t>TASK_765</t>
  </si>
  <si>
    <t>WF_766</t>
  </si>
  <si>
    <t>TASK_766</t>
  </si>
  <si>
    <t>WF_767</t>
  </si>
  <si>
    <t>TASK_767</t>
  </si>
  <si>
    <t>EMP_85</t>
  </si>
  <si>
    <t>WF_768</t>
  </si>
  <si>
    <t>TASK_768</t>
  </si>
  <si>
    <t>WF_769</t>
  </si>
  <si>
    <t>TASK_769</t>
  </si>
  <si>
    <t>WF_770</t>
  </si>
  <si>
    <t>TASK_770</t>
  </si>
  <si>
    <t>WF_771</t>
  </si>
  <si>
    <t>TASK_771</t>
  </si>
  <si>
    <t>WF_772</t>
  </si>
  <si>
    <t>TASK_772</t>
  </si>
  <si>
    <t>EMP_19</t>
  </si>
  <si>
    <t>WF_773</t>
  </si>
  <si>
    <t>TASK_773</t>
  </si>
  <si>
    <t>WF_774</t>
  </si>
  <si>
    <t>TASK_774</t>
  </si>
  <si>
    <t>WF_775</t>
  </si>
  <si>
    <t>TASK_775</t>
  </si>
  <si>
    <t>WF_776</t>
  </si>
  <si>
    <t>TASK_776</t>
  </si>
  <si>
    <t>WF_777</t>
  </si>
  <si>
    <t>TASK_777</t>
  </si>
  <si>
    <t>WF_778</t>
  </si>
  <si>
    <t>TASK_778</t>
  </si>
  <si>
    <t>WF_779</t>
  </si>
  <si>
    <t>TASK_779</t>
  </si>
  <si>
    <t>WF_780</t>
  </si>
  <si>
    <t>TASK_780</t>
  </si>
  <si>
    <t>WF_781</t>
  </si>
  <si>
    <t>TASK_781</t>
  </si>
  <si>
    <t>WF_782</t>
  </si>
  <si>
    <t>TASK_782</t>
  </si>
  <si>
    <t>WF_783</t>
  </si>
  <si>
    <t>TASK_783</t>
  </si>
  <si>
    <t>WF_784</t>
  </si>
  <si>
    <t>TASK_784</t>
  </si>
  <si>
    <t>WF_785</t>
  </si>
  <si>
    <t>TASK_785</t>
  </si>
  <si>
    <t>WF_786</t>
  </si>
  <si>
    <t>TASK_786</t>
  </si>
  <si>
    <t>WF_787</t>
  </si>
  <si>
    <t>TASK_787</t>
  </si>
  <si>
    <t>WF_788</t>
  </si>
  <si>
    <t>TASK_788</t>
  </si>
  <si>
    <t>WF_789</t>
  </si>
  <si>
    <t>TASK_789</t>
  </si>
  <si>
    <t>WF_790</t>
  </si>
  <si>
    <t>TASK_790</t>
  </si>
  <si>
    <t>WF_791</t>
  </si>
  <si>
    <t>TASK_791</t>
  </si>
  <si>
    <t>WF_792</t>
  </si>
  <si>
    <t>TASK_792</t>
  </si>
  <si>
    <t>WF_793</t>
  </si>
  <si>
    <t>TASK_793</t>
  </si>
  <si>
    <t>WF_794</t>
  </si>
  <si>
    <t>TASK_794</t>
  </si>
  <si>
    <t>WF_795</t>
  </si>
  <si>
    <t>TASK_795</t>
  </si>
  <si>
    <t>WF_796</t>
  </si>
  <si>
    <t>TASK_796</t>
  </si>
  <si>
    <t>WF_797</t>
  </si>
  <si>
    <t>TASK_797</t>
  </si>
  <si>
    <t>WF_798</t>
  </si>
  <si>
    <t>TASK_798</t>
  </si>
  <si>
    <t>WF_799</t>
  </si>
  <si>
    <t>TASK_799</t>
  </si>
  <si>
    <t>WF_800</t>
  </si>
  <si>
    <t>TASK_800</t>
  </si>
  <si>
    <t>WF_801</t>
  </si>
  <si>
    <t>TASK_801</t>
  </si>
  <si>
    <t>WF_802</t>
  </si>
  <si>
    <t>TASK_802</t>
  </si>
  <si>
    <t>WF_803</t>
  </si>
  <si>
    <t>TASK_803</t>
  </si>
  <si>
    <t>WF_804</t>
  </si>
  <si>
    <t>TASK_804</t>
  </si>
  <si>
    <t>WF_805</t>
  </si>
  <si>
    <t>TASK_805</t>
  </si>
  <si>
    <t>WF_806</t>
  </si>
  <si>
    <t>TASK_806</t>
  </si>
  <si>
    <t>WF_807</t>
  </si>
  <si>
    <t>TASK_807</t>
  </si>
  <si>
    <t>WF_808</t>
  </si>
  <si>
    <t>TASK_808</t>
  </si>
  <si>
    <t>WF_809</t>
  </si>
  <si>
    <t>TASK_809</t>
  </si>
  <si>
    <t>WF_810</t>
  </si>
  <si>
    <t>TASK_810</t>
  </si>
  <si>
    <t>WF_811</t>
  </si>
  <si>
    <t>TASK_811</t>
  </si>
  <si>
    <t>WF_812</t>
  </si>
  <si>
    <t>TASK_812</t>
  </si>
  <si>
    <t>WF_813</t>
  </si>
  <si>
    <t>TASK_813</t>
  </si>
  <si>
    <t>WF_814</t>
  </si>
  <si>
    <t>TASK_814</t>
  </si>
  <si>
    <t>WF_815</t>
  </si>
  <si>
    <t>TASK_815</t>
  </si>
  <si>
    <t>WF_816</t>
  </si>
  <si>
    <t>TASK_816</t>
  </si>
  <si>
    <t>WF_817</t>
  </si>
  <si>
    <t>TASK_817</t>
  </si>
  <si>
    <t>WF_818</t>
  </si>
  <si>
    <t>TASK_818</t>
  </si>
  <si>
    <t>WF_819</t>
  </si>
  <si>
    <t>TASK_819</t>
  </si>
  <si>
    <t>WF_820</t>
  </si>
  <si>
    <t>TASK_820</t>
  </si>
  <si>
    <t>WF_821</t>
  </si>
  <si>
    <t>TASK_821</t>
  </si>
  <si>
    <t>WF_822</t>
  </si>
  <si>
    <t>TASK_822</t>
  </si>
  <si>
    <t>WF_823</t>
  </si>
  <si>
    <t>TASK_823</t>
  </si>
  <si>
    <t>WF_824</t>
  </si>
  <si>
    <t>TASK_824</t>
  </si>
  <si>
    <t>WF_825</t>
  </si>
  <si>
    <t>TASK_825</t>
  </si>
  <si>
    <t>WF_826</t>
  </si>
  <si>
    <t>TASK_826</t>
  </si>
  <si>
    <t>WF_827</t>
  </si>
  <si>
    <t>TASK_827</t>
  </si>
  <si>
    <t>WF_828</t>
  </si>
  <si>
    <t>TASK_828</t>
  </si>
  <si>
    <t>WF_829</t>
  </si>
  <si>
    <t>TASK_829</t>
  </si>
  <si>
    <t>WF_830</t>
  </si>
  <si>
    <t>TASK_830</t>
  </si>
  <si>
    <t>WF_831</t>
  </si>
  <si>
    <t>TASK_831</t>
  </si>
  <si>
    <t>WF_832</t>
  </si>
  <si>
    <t>TASK_832</t>
  </si>
  <si>
    <t>WF_833</t>
  </si>
  <si>
    <t>TASK_833</t>
  </si>
  <si>
    <t>WF_834</t>
  </si>
  <si>
    <t>TASK_834</t>
  </si>
  <si>
    <t>WF_835</t>
  </si>
  <si>
    <t>TASK_835</t>
  </si>
  <si>
    <t>WF_836</t>
  </si>
  <si>
    <t>TASK_836</t>
  </si>
  <si>
    <t>WF_837</t>
  </si>
  <si>
    <t>TASK_837</t>
  </si>
  <si>
    <t>WF_838</t>
  </si>
  <si>
    <t>TASK_838</t>
  </si>
  <si>
    <t>WF_839</t>
  </si>
  <si>
    <t>TASK_839</t>
  </si>
  <si>
    <t>WF_840</t>
  </si>
  <si>
    <t>TASK_840</t>
  </si>
  <si>
    <t>WF_841</t>
  </si>
  <si>
    <t>TASK_841</t>
  </si>
  <si>
    <t>WF_842</t>
  </si>
  <si>
    <t>TASK_842</t>
  </si>
  <si>
    <t>WF_843</t>
  </si>
  <si>
    <t>TASK_843</t>
  </si>
  <si>
    <t>WF_844</t>
  </si>
  <si>
    <t>TASK_844</t>
  </si>
  <si>
    <t>WF_845</t>
  </si>
  <si>
    <t>TASK_845</t>
  </si>
  <si>
    <t>WF_846</t>
  </si>
  <si>
    <t>TASK_846</t>
  </si>
  <si>
    <t>WF_847</t>
  </si>
  <si>
    <t>TASK_847</t>
  </si>
  <si>
    <t>WF_848</t>
  </si>
  <si>
    <t>TASK_848</t>
  </si>
  <si>
    <t>WF_849</t>
  </si>
  <si>
    <t>TASK_849</t>
  </si>
  <si>
    <t>WF_850</t>
  </si>
  <si>
    <t>TASK_850</t>
  </si>
  <si>
    <t>WF_851</t>
  </si>
  <si>
    <t>TASK_851</t>
  </si>
  <si>
    <t>WF_852</t>
  </si>
  <si>
    <t>TASK_852</t>
  </si>
  <si>
    <t>WF_853</t>
  </si>
  <si>
    <t>TASK_853</t>
  </si>
  <si>
    <t>WF_854</t>
  </si>
  <si>
    <t>TASK_854</t>
  </si>
  <si>
    <t>WF_855</t>
  </si>
  <si>
    <t>TASK_855</t>
  </si>
  <si>
    <t>WF_856</t>
  </si>
  <si>
    <t>TASK_856</t>
  </si>
  <si>
    <t>WF_857</t>
  </si>
  <si>
    <t>TASK_857</t>
  </si>
  <si>
    <t>WF_858</t>
  </si>
  <si>
    <t>TASK_858</t>
  </si>
  <si>
    <t>WF_859</t>
  </si>
  <si>
    <t>TASK_859</t>
  </si>
  <si>
    <t>WF_860</t>
  </si>
  <si>
    <t>TASK_860</t>
  </si>
  <si>
    <t>WF_861</t>
  </si>
  <si>
    <t>TASK_861</t>
  </si>
  <si>
    <t>WF_862</t>
  </si>
  <si>
    <t>TASK_862</t>
  </si>
  <si>
    <t>WF_863</t>
  </si>
  <si>
    <t>TASK_863</t>
  </si>
  <si>
    <t>WF_864</t>
  </si>
  <si>
    <t>TASK_864</t>
  </si>
  <si>
    <t>WF_865</t>
  </si>
  <si>
    <t>TASK_865</t>
  </si>
  <si>
    <t>WF_866</t>
  </si>
  <si>
    <t>TASK_866</t>
  </si>
  <si>
    <t>WF_867</t>
  </si>
  <si>
    <t>TASK_867</t>
  </si>
  <si>
    <t>WF_868</t>
  </si>
  <si>
    <t>TASK_868</t>
  </si>
  <si>
    <t>WF_869</t>
  </si>
  <si>
    <t>TASK_869</t>
  </si>
  <si>
    <t>WF_870</t>
  </si>
  <si>
    <t>TASK_870</t>
  </si>
  <si>
    <t>WF_871</t>
  </si>
  <si>
    <t>TASK_871</t>
  </si>
  <si>
    <t>WF_872</t>
  </si>
  <si>
    <t>TASK_872</t>
  </si>
  <si>
    <t>WF_873</t>
  </si>
  <si>
    <t>TASK_873</t>
  </si>
  <si>
    <t>WF_874</t>
  </si>
  <si>
    <t>TASK_874</t>
  </si>
  <si>
    <t>WF_875</t>
  </si>
  <si>
    <t>TASK_875</t>
  </si>
  <si>
    <t>WF_876</t>
  </si>
  <si>
    <t>TASK_876</t>
  </si>
  <si>
    <t>WF_877</t>
  </si>
  <si>
    <t>TASK_877</t>
  </si>
  <si>
    <t>WF_878</t>
  </si>
  <si>
    <t>TASK_878</t>
  </si>
  <si>
    <t>WF_879</t>
  </si>
  <si>
    <t>TASK_879</t>
  </si>
  <si>
    <t>WF_880</t>
  </si>
  <si>
    <t>TASK_880</t>
  </si>
  <si>
    <t>WF_881</t>
  </si>
  <si>
    <t>TASK_881</t>
  </si>
  <si>
    <t>WF_882</t>
  </si>
  <si>
    <t>TASK_882</t>
  </si>
  <si>
    <t>WF_883</t>
  </si>
  <si>
    <t>TASK_883</t>
  </si>
  <si>
    <t>WF_884</t>
  </si>
  <si>
    <t>TASK_884</t>
  </si>
  <si>
    <t>WF_885</t>
  </si>
  <si>
    <t>TASK_885</t>
  </si>
  <si>
    <t>WF_886</t>
  </si>
  <si>
    <t>TASK_886</t>
  </si>
  <si>
    <t>WF_887</t>
  </si>
  <si>
    <t>TASK_887</t>
  </si>
  <si>
    <t>WF_888</t>
  </si>
  <si>
    <t>TASK_888</t>
  </si>
  <si>
    <t>WF_889</t>
  </si>
  <si>
    <t>TASK_889</t>
  </si>
  <si>
    <t>WF_890</t>
  </si>
  <si>
    <t>TASK_890</t>
  </si>
  <si>
    <t>WF_891</t>
  </si>
  <si>
    <t>TASK_891</t>
  </si>
  <si>
    <t>WF_892</t>
  </si>
  <si>
    <t>TASK_892</t>
  </si>
  <si>
    <t>WF_893</t>
  </si>
  <si>
    <t>TASK_893</t>
  </si>
  <si>
    <t>WF_894</t>
  </si>
  <si>
    <t>TASK_894</t>
  </si>
  <si>
    <t>WF_895</t>
  </si>
  <si>
    <t>TASK_895</t>
  </si>
  <si>
    <t>WF_896</t>
  </si>
  <si>
    <t>TASK_896</t>
  </si>
  <si>
    <t>WF_897</t>
  </si>
  <si>
    <t>TASK_897</t>
  </si>
  <si>
    <t>WF_898</t>
  </si>
  <si>
    <t>TASK_898</t>
  </si>
  <si>
    <t>WF_899</t>
  </si>
  <si>
    <t>TASK_899</t>
  </si>
  <si>
    <t>WF_900</t>
  </si>
  <si>
    <t>TASK_900</t>
  </si>
  <si>
    <t>WF_901</t>
  </si>
  <si>
    <t>TASK_901</t>
  </si>
  <si>
    <t>WF_902</t>
  </si>
  <si>
    <t>TASK_902</t>
  </si>
  <si>
    <t>WF_903</t>
  </si>
  <si>
    <t>TASK_903</t>
  </si>
  <si>
    <t>WF_904</t>
  </si>
  <si>
    <t>TASK_904</t>
  </si>
  <si>
    <t>WF_905</t>
  </si>
  <si>
    <t>TASK_905</t>
  </si>
  <si>
    <t>WF_906</t>
  </si>
  <si>
    <t>TASK_906</t>
  </si>
  <si>
    <t>WF_907</t>
  </si>
  <si>
    <t>TASK_907</t>
  </si>
  <si>
    <t>WF_908</t>
  </si>
  <si>
    <t>TASK_908</t>
  </si>
  <si>
    <t>WF_909</t>
  </si>
  <si>
    <t>TASK_909</t>
  </si>
  <si>
    <t>WF_910</t>
  </si>
  <si>
    <t>TASK_910</t>
  </si>
  <si>
    <t>WF_911</t>
  </si>
  <si>
    <t>TASK_911</t>
  </si>
  <si>
    <t>WF_912</t>
  </si>
  <si>
    <t>TASK_912</t>
  </si>
  <si>
    <t>WF_913</t>
  </si>
  <si>
    <t>TASK_913</t>
  </si>
  <si>
    <t>WF_914</t>
  </si>
  <si>
    <t>TASK_914</t>
  </si>
  <si>
    <t>WF_915</t>
  </si>
  <si>
    <t>TASK_915</t>
  </si>
  <si>
    <t>WF_916</t>
  </si>
  <si>
    <t>TASK_916</t>
  </si>
  <si>
    <t>WF_917</t>
  </si>
  <si>
    <t>TASK_917</t>
  </si>
  <si>
    <t>WF_918</t>
  </si>
  <si>
    <t>TASK_918</t>
  </si>
  <si>
    <t>WF_919</t>
  </si>
  <si>
    <t>TASK_919</t>
  </si>
  <si>
    <t>WF_920</t>
  </si>
  <si>
    <t>TASK_920</t>
  </si>
  <si>
    <t>WF_921</t>
  </si>
  <si>
    <t>TASK_921</t>
  </si>
  <si>
    <t>WF_922</t>
  </si>
  <si>
    <t>TASK_922</t>
  </si>
  <si>
    <t>WF_923</t>
  </si>
  <si>
    <t>TASK_923</t>
  </si>
  <si>
    <t>WF_924</t>
  </si>
  <si>
    <t>TASK_924</t>
  </si>
  <si>
    <t>WF_925</t>
  </si>
  <si>
    <t>TASK_925</t>
  </si>
  <si>
    <t>WF_926</t>
  </si>
  <si>
    <t>TASK_926</t>
  </si>
  <si>
    <t>WF_927</t>
  </si>
  <si>
    <t>TASK_927</t>
  </si>
  <si>
    <t>WF_928</t>
  </si>
  <si>
    <t>TASK_928</t>
  </si>
  <si>
    <t>WF_929</t>
  </si>
  <si>
    <t>TASK_929</t>
  </si>
  <si>
    <t>WF_930</t>
  </si>
  <si>
    <t>TASK_930</t>
  </si>
  <si>
    <t>WF_931</t>
  </si>
  <si>
    <t>TASK_931</t>
  </si>
  <si>
    <t>WF_932</t>
  </si>
  <si>
    <t>TASK_932</t>
  </si>
  <si>
    <t>WF_933</t>
  </si>
  <si>
    <t>TASK_933</t>
  </si>
  <si>
    <t>WF_934</t>
  </si>
  <si>
    <t>TASK_934</t>
  </si>
  <si>
    <t>WF_935</t>
  </si>
  <si>
    <t>TASK_935</t>
  </si>
  <si>
    <t>WF_936</t>
  </si>
  <si>
    <t>TASK_936</t>
  </si>
  <si>
    <t>WF_937</t>
  </si>
  <si>
    <t>TASK_937</t>
  </si>
  <si>
    <t>WF_938</t>
  </si>
  <si>
    <t>TASK_938</t>
  </si>
  <si>
    <t>WF_939</t>
  </si>
  <si>
    <t>TASK_939</t>
  </si>
  <si>
    <t>WF_940</t>
  </si>
  <si>
    <t>TASK_940</t>
  </si>
  <si>
    <t>WF_941</t>
  </si>
  <si>
    <t>TASK_941</t>
  </si>
  <si>
    <t>WF_942</t>
  </si>
  <si>
    <t>TASK_942</t>
  </si>
  <si>
    <t>WF_943</t>
  </si>
  <si>
    <t>TASK_943</t>
  </si>
  <si>
    <t>WF_944</t>
  </si>
  <si>
    <t>TASK_944</t>
  </si>
  <si>
    <t>WF_945</t>
  </si>
  <si>
    <t>TASK_945</t>
  </si>
  <si>
    <t>WF_946</t>
  </si>
  <si>
    <t>TASK_946</t>
  </si>
  <si>
    <t>WF_947</t>
  </si>
  <si>
    <t>TASK_947</t>
  </si>
  <si>
    <t>WF_948</t>
  </si>
  <si>
    <t>TASK_948</t>
  </si>
  <si>
    <t>WF_949</t>
  </si>
  <si>
    <t>TASK_949</t>
  </si>
  <si>
    <t>WF_950</t>
  </si>
  <si>
    <t>TASK_950</t>
  </si>
  <si>
    <t>WF_951</t>
  </si>
  <si>
    <t>TASK_951</t>
  </si>
  <si>
    <t>WF_952</t>
  </si>
  <si>
    <t>TASK_952</t>
  </si>
  <si>
    <t>WF_953</t>
  </si>
  <si>
    <t>TASK_953</t>
  </si>
  <si>
    <t>WF_954</t>
  </si>
  <si>
    <t>TASK_954</t>
  </si>
  <si>
    <t>WF_955</t>
  </si>
  <si>
    <t>TASK_955</t>
  </si>
  <si>
    <t>WF_956</t>
  </si>
  <si>
    <t>TASK_956</t>
  </si>
  <si>
    <t>WF_957</t>
  </si>
  <si>
    <t>TASK_957</t>
  </si>
  <si>
    <t>WF_958</t>
  </si>
  <si>
    <t>TASK_958</t>
  </si>
  <si>
    <t>WF_959</t>
  </si>
  <si>
    <t>TASK_959</t>
  </si>
  <si>
    <t>WF_960</t>
  </si>
  <si>
    <t>TASK_960</t>
  </si>
  <si>
    <t>WF_961</t>
  </si>
  <si>
    <t>TASK_961</t>
  </si>
  <si>
    <t>WF_962</t>
  </si>
  <si>
    <t>TASK_962</t>
  </si>
  <si>
    <t>WF_963</t>
  </si>
  <si>
    <t>TASK_963</t>
  </si>
  <si>
    <t>WF_964</t>
  </si>
  <si>
    <t>TASK_964</t>
  </si>
  <si>
    <t>WF_965</t>
  </si>
  <si>
    <t>TASK_965</t>
  </si>
  <si>
    <t>WF_966</t>
  </si>
  <si>
    <t>TASK_966</t>
  </si>
  <si>
    <t>WF_967</t>
  </si>
  <si>
    <t>TASK_967</t>
  </si>
  <si>
    <t>WF_968</t>
  </si>
  <si>
    <t>TASK_968</t>
  </si>
  <si>
    <t>WF_969</t>
  </si>
  <si>
    <t>TASK_969</t>
  </si>
  <si>
    <t>WF_970</t>
  </si>
  <si>
    <t>TASK_970</t>
  </si>
  <si>
    <t>WF_971</t>
  </si>
  <si>
    <t>TASK_971</t>
  </si>
  <si>
    <t>WF_972</t>
  </si>
  <si>
    <t>TASK_972</t>
  </si>
  <si>
    <t>WF_973</t>
  </si>
  <si>
    <t>TASK_973</t>
  </si>
  <si>
    <t>WF_974</t>
  </si>
  <si>
    <t>TASK_974</t>
  </si>
  <si>
    <t>WF_975</t>
  </si>
  <si>
    <t>TASK_975</t>
  </si>
  <si>
    <t>WF_976</t>
  </si>
  <si>
    <t>TASK_976</t>
  </si>
  <si>
    <t>WF_977</t>
  </si>
  <si>
    <t>TASK_977</t>
  </si>
  <si>
    <t>WF_978</t>
  </si>
  <si>
    <t>TASK_978</t>
  </si>
  <si>
    <t>WF_979</t>
  </si>
  <si>
    <t>TASK_979</t>
  </si>
  <si>
    <t>WF_980</t>
  </si>
  <si>
    <t>TASK_980</t>
  </si>
  <si>
    <t>WF_981</t>
  </si>
  <si>
    <t>TASK_981</t>
  </si>
  <si>
    <t>WF_982</t>
  </si>
  <si>
    <t>TASK_982</t>
  </si>
  <si>
    <t>WF_983</t>
  </si>
  <si>
    <t>TASK_983</t>
  </si>
  <si>
    <t>WF_984</t>
  </si>
  <si>
    <t>TASK_984</t>
  </si>
  <si>
    <t>WF_985</t>
  </si>
  <si>
    <t>TASK_985</t>
  </si>
  <si>
    <t>WF_986</t>
  </si>
  <si>
    <t>TASK_986</t>
  </si>
  <si>
    <t>WF_987</t>
  </si>
  <si>
    <t>TASK_987</t>
  </si>
  <si>
    <t>WF_988</t>
  </si>
  <si>
    <t>TASK_988</t>
  </si>
  <si>
    <t>WF_989</t>
  </si>
  <si>
    <t>TASK_989</t>
  </si>
  <si>
    <t>WF_990</t>
  </si>
  <si>
    <t>TASK_990</t>
  </si>
  <si>
    <t>WF_991</t>
  </si>
  <si>
    <t>TASK_991</t>
  </si>
  <si>
    <t>WF_992</t>
  </si>
  <si>
    <t>TASK_992</t>
  </si>
  <si>
    <t>WF_993</t>
  </si>
  <si>
    <t>TASK_993</t>
  </si>
  <si>
    <t>WF_994</t>
  </si>
  <si>
    <t>TASK_994</t>
  </si>
  <si>
    <t>WF_995</t>
  </si>
  <si>
    <t>TASK_995</t>
  </si>
  <si>
    <t>WF_996</t>
  </si>
  <si>
    <t>TASK_996</t>
  </si>
  <si>
    <t>WF_997</t>
  </si>
  <si>
    <t>TASK_997</t>
  </si>
  <si>
    <t>WF_998</t>
  </si>
  <si>
    <t>TASK_998</t>
  </si>
  <si>
    <t>WF_999</t>
  </si>
  <si>
    <t>TASK_999</t>
  </si>
  <si>
    <t>WF_1000</t>
  </si>
  <si>
    <t>TASK_1000</t>
  </si>
  <si>
    <t>WF_1001</t>
  </si>
  <si>
    <t>TASK_1001</t>
  </si>
  <si>
    <t>WF_1002</t>
  </si>
  <si>
    <t>TASK_1002</t>
  </si>
  <si>
    <t>WF_1003</t>
  </si>
  <si>
    <t>TASK_1003</t>
  </si>
  <si>
    <t>WF_1004</t>
  </si>
  <si>
    <t>TASK_1004</t>
  </si>
  <si>
    <t>WF_1005</t>
  </si>
  <si>
    <t>TASK_1005</t>
  </si>
  <si>
    <t>WF_1006</t>
  </si>
  <si>
    <t>TASK_1006</t>
  </si>
  <si>
    <t>WF_1007</t>
  </si>
  <si>
    <t>TASK_1007</t>
  </si>
  <si>
    <t>WF_1008</t>
  </si>
  <si>
    <t>TASK_1008</t>
  </si>
  <si>
    <t>WF_1009</t>
  </si>
  <si>
    <t>TASK_1009</t>
  </si>
  <si>
    <t>WF_1010</t>
  </si>
  <si>
    <t>TASK_1010</t>
  </si>
  <si>
    <t>WF_1011</t>
  </si>
  <si>
    <t>TASK_1011</t>
  </si>
  <si>
    <t>WF_1012</t>
  </si>
  <si>
    <t>TASK_1012</t>
  </si>
  <si>
    <t>WF_1013</t>
  </si>
  <si>
    <t>TASK_1013</t>
  </si>
  <si>
    <t>WF_1014</t>
  </si>
  <si>
    <t>TASK_1014</t>
  </si>
  <si>
    <t>WF_1015</t>
  </si>
  <si>
    <t>TASK_1015</t>
  </si>
  <si>
    <t>WF_1016</t>
  </si>
  <si>
    <t>TASK_1016</t>
  </si>
  <si>
    <t>WF_1017</t>
  </si>
  <si>
    <t>TASK_1017</t>
  </si>
  <si>
    <t>WF_1018</t>
  </si>
  <si>
    <t>TASK_1018</t>
  </si>
  <si>
    <t>WF_1019</t>
  </si>
  <si>
    <t>TASK_1019</t>
  </si>
  <si>
    <t>WF_1020</t>
  </si>
  <si>
    <t>TASK_1020</t>
  </si>
  <si>
    <t>WF_1021</t>
  </si>
  <si>
    <t>TASK_1021</t>
  </si>
  <si>
    <t>WF_1022</t>
  </si>
  <si>
    <t>TASK_1022</t>
  </si>
  <si>
    <t>WF_1023</t>
  </si>
  <si>
    <t>TASK_1023</t>
  </si>
  <si>
    <t>WF_1024</t>
  </si>
  <si>
    <t>TASK_1024</t>
  </si>
  <si>
    <t>WF_1025</t>
  </si>
  <si>
    <t>TASK_1025</t>
  </si>
  <si>
    <t>WF_1026</t>
  </si>
  <si>
    <t>TASK_1026</t>
  </si>
  <si>
    <t>WF_1027</t>
  </si>
  <si>
    <t>TASK_1027</t>
  </si>
  <si>
    <t>WF_1028</t>
  </si>
  <si>
    <t>TASK_1028</t>
  </si>
  <si>
    <t>WF_1029</t>
  </si>
  <si>
    <t>TASK_1029</t>
  </si>
  <si>
    <t>WF_1030</t>
  </si>
  <si>
    <t>TASK_1030</t>
  </si>
  <si>
    <t>WF_1031</t>
  </si>
  <si>
    <t>TASK_1031</t>
  </si>
  <si>
    <t>WF_1032</t>
  </si>
  <si>
    <t>TASK_1032</t>
  </si>
  <si>
    <t>WF_1033</t>
  </si>
  <si>
    <t>TASK_1033</t>
  </si>
  <si>
    <t>WF_1034</t>
  </si>
  <si>
    <t>TASK_1034</t>
  </si>
  <si>
    <t>WF_1035</t>
  </si>
  <si>
    <t>TASK_1035</t>
  </si>
  <si>
    <t>WF_1036</t>
  </si>
  <si>
    <t>TASK_1036</t>
  </si>
  <si>
    <t>WF_1037</t>
  </si>
  <si>
    <t>TASK_1037</t>
  </si>
  <si>
    <t>WF_1038</t>
  </si>
  <si>
    <t>TASK_1038</t>
  </si>
  <si>
    <t>WF_1039</t>
  </si>
  <si>
    <t>TASK_1039</t>
  </si>
  <si>
    <t>WF_1040</t>
  </si>
  <si>
    <t>TASK_1040</t>
  </si>
  <si>
    <t>WF_1041</t>
  </si>
  <si>
    <t>TASK_1041</t>
  </si>
  <si>
    <t>WF_1042</t>
  </si>
  <si>
    <t>TASK_1042</t>
  </si>
  <si>
    <t>WF_1043</t>
  </si>
  <si>
    <t>TASK_1043</t>
  </si>
  <si>
    <t>WF_1044</t>
  </si>
  <si>
    <t>TASK_1044</t>
  </si>
  <si>
    <t>WF_1045</t>
  </si>
  <si>
    <t>TASK_1045</t>
  </si>
  <si>
    <t>WF_1046</t>
  </si>
  <si>
    <t>TASK_1046</t>
  </si>
  <si>
    <t>WF_1047</t>
  </si>
  <si>
    <t>TASK_1047</t>
  </si>
  <si>
    <t>WF_1048</t>
  </si>
  <si>
    <t>TASK_1048</t>
  </si>
  <si>
    <t>WF_1049</t>
  </si>
  <si>
    <t>TASK_1049</t>
  </si>
  <si>
    <t>WF_1050</t>
  </si>
  <si>
    <t>TASK_1050</t>
  </si>
  <si>
    <t>WF_1051</t>
  </si>
  <si>
    <t>TASK_1051</t>
  </si>
  <si>
    <t>WF_1052</t>
  </si>
  <si>
    <t>TASK_1052</t>
  </si>
  <si>
    <t>WF_1053</t>
  </si>
  <si>
    <t>TASK_1053</t>
  </si>
  <si>
    <t>WF_1054</t>
  </si>
  <si>
    <t>TASK_1054</t>
  </si>
  <si>
    <t>WF_1055</t>
  </si>
  <si>
    <t>TASK_1055</t>
  </si>
  <si>
    <t>WF_1056</t>
  </si>
  <si>
    <t>TASK_1056</t>
  </si>
  <si>
    <t>WF_1057</t>
  </si>
  <si>
    <t>TASK_1057</t>
  </si>
  <si>
    <t>WF_1058</t>
  </si>
  <si>
    <t>TASK_1058</t>
  </si>
  <si>
    <t>WF_1059</t>
  </si>
  <si>
    <t>TASK_1059</t>
  </si>
  <si>
    <t>WF_1060</t>
  </si>
  <si>
    <t>TASK_1060</t>
  </si>
  <si>
    <t>WF_1061</t>
  </si>
  <si>
    <t>TASK_1061</t>
  </si>
  <si>
    <t>WF_1062</t>
  </si>
  <si>
    <t>TASK_1062</t>
  </si>
  <si>
    <t>WF_1063</t>
  </si>
  <si>
    <t>TASK_1063</t>
  </si>
  <si>
    <t>WF_1064</t>
  </si>
  <si>
    <t>TASK_1064</t>
  </si>
  <si>
    <t>WF_1065</t>
  </si>
  <si>
    <t>TASK_1065</t>
  </si>
  <si>
    <t>WF_1066</t>
  </si>
  <si>
    <t>TASK_1066</t>
  </si>
  <si>
    <t>WF_1067</t>
  </si>
  <si>
    <t>TASK_1067</t>
  </si>
  <si>
    <t>WF_1068</t>
  </si>
  <si>
    <t>TASK_1068</t>
  </si>
  <si>
    <t>WF_1069</t>
  </si>
  <si>
    <t>TASK_1069</t>
  </si>
  <si>
    <t>WF_1070</t>
  </si>
  <si>
    <t>TASK_1070</t>
  </si>
  <si>
    <t>WF_1071</t>
  </si>
  <si>
    <t>TASK_1071</t>
  </si>
  <si>
    <t>WF_1072</t>
  </si>
  <si>
    <t>TASK_1072</t>
  </si>
  <si>
    <t>WF_1073</t>
  </si>
  <si>
    <t>TASK_1073</t>
  </si>
  <si>
    <t>WF_1074</t>
  </si>
  <si>
    <t>TASK_1074</t>
  </si>
  <si>
    <t>WF_1075</t>
  </si>
  <si>
    <t>TASK_1075</t>
  </si>
  <si>
    <t>WF_1076</t>
  </si>
  <si>
    <t>TASK_1076</t>
  </si>
  <si>
    <t>WF_1077</t>
  </si>
  <si>
    <t>TASK_1077</t>
  </si>
  <si>
    <t>WF_1078</t>
  </si>
  <si>
    <t>TASK_1078</t>
  </si>
  <si>
    <t>WF_1079</t>
  </si>
  <si>
    <t>TASK_1079</t>
  </si>
  <si>
    <t>WF_1080</t>
  </si>
  <si>
    <t>TASK_1080</t>
  </si>
  <si>
    <t>WF_1081</t>
  </si>
  <si>
    <t>TASK_1081</t>
  </si>
  <si>
    <t>WF_1082</t>
  </si>
  <si>
    <t>TASK_1082</t>
  </si>
  <si>
    <t>WF_1083</t>
  </si>
  <si>
    <t>TASK_1083</t>
  </si>
  <si>
    <t>WF_1084</t>
  </si>
  <si>
    <t>TASK_1084</t>
  </si>
  <si>
    <t>WF_1085</t>
  </si>
  <si>
    <t>TASK_1085</t>
  </si>
  <si>
    <t>WF_1086</t>
  </si>
  <si>
    <t>TASK_1086</t>
  </si>
  <si>
    <t>WF_1087</t>
  </si>
  <si>
    <t>TASK_1087</t>
  </si>
  <si>
    <t>WF_1088</t>
  </si>
  <si>
    <t>TASK_1088</t>
  </si>
  <si>
    <t>WF_1089</t>
  </si>
  <si>
    <t>TASK_1089</t>
  </si>
  <si>
    <t>WF_1090</t>
  </si>
  <si>
    <t>TASK_1090</t>
  </si>
  <si>
    <t>WF_1091</t>
  </si>
  <si>
    <t>TASK_1091</t>
  </si>
  <si>
    <t>WF_1092</t>
  </si>
  <si>
    <t>TASK_1092</t>
  </si>
  <si>
    <t>WF_1093</t>
  </si>
  <si>
    <t>TASK_1093</t>
  </si>
  <si>
    <t>WF_1094</t>
  </si>
  <si>
    <t>TASK_1094</t>
  </si>
  <si>
    <t>WF_1095</t>
  </si>
  <si>
    <t>TASK_1095</t>
  </si>
  <si>
    <t>WF_1096</t>
  </si>
  <si>
    <t>TASK_1096</t>
  </si>
  <si>
    <t>WF_1097</t>
  </si>
  <si>
    <t>TASK_1097</t>
  </si>
  <si>
    <t>WF_1098</t>
  </si>
  <si>
    <t>TASK_1098</t>
  </si>
  <si>
    <t>WF_1099</t>
  </si>
  <si>
    <t>TASK_1099</t>
  </si>
  <si>
    <t>WF_1100</t>
  </si>
  <si>
    <t>TASK_1100</t>
  </si>
  <si>
    <t>WF_1101</t>
  </si>
  <si>
    <t>TASK_1101</t>
  </si>
  <si>
    <t>WF_1102</t>
  </si>
  <si>
    <t>TASK_1102</t>
  </si>
  <si>
    <t>WF_1103</t>
  </si>
  <si>
    <t>TASK_1103</t>
  </si>
  <si>
    <t>WF_1104</t>
  </si>
  <si>
    <t>TASK_1104</t>
  </si>
  <si>
    <t>WF_1105</t>
  </si>
  <si>
    <t>TASK_1105</t>
  </si>
  <si>
    <t>WF_1106</t>
  </si>
  <si>
    <t>TASK_1106</t>
  </si>
  <si>
    <t>WF_1107</t>
  </si>
  <si>
    <t>TASK_1107</t>
  </si>
  <si>
    <t>WF_1108</t>
  </si>
  <si>
    <t>TASK_1108</t>
  </si>
  <si>
    <t>WF_1109</t>
  </si>
  <si>
    <t>TASK_1109</t>
  </si>
  <si>
    <t>WF_1110</t>
  </si>
  <si>
    <t>TASK_1110</t>
  </si>
  <si>
    <t>WF_1111</t>
  </si>
  <si>
    <t>TASK_1111</t>
  </si>
  <si>
    <t>WF_1112</t>
  </si>
  <si>
    <t>TASK_1112</t>
  </si>
  <si>
    <t>WF_1113</t>
  </si>
  <si>
    <t>TASK_1113</t>
  </si>
  <si>
    <t>WF_1114</t>
  </si>
  <si>
    <t>TASK_1114</t>
  </si>
  <si>
    <t>WF_1115</t>
  </si>
  <si>
    <t>TASK_1115</t>
  </si>
  <si>
    <t>WF_1116</t>
  </si>
  <si>
    <t>TASK_1116</t>
  </si>
  <si>
    <t>WF_1117</t>
  </si>
  <si>
    <t>TASK_1117</t>
  </si>
  <si>
    <t>WF_1118</t>
  </si>
  <si>
    <t>TASK_1118</t>
  </si>
  <si>
    <t>WF_1119</t>
  </si>
  <si>
    <t>TASK_1119</t>
  </si>
  <si>
    <t>WF_1120</t>
  </si>
  <si>
    <t>TASK_1120</t>
  </si>
  <si>
    <t>WF_1121</t>
  </si>
  <si>
    <t>TASK_1121</t>
  </si>
  <si>
    <t>WF_1122</t>
  </si>
  <si>
    <t>TASK_1122</t>
  </si>
  <si>
    <t>WF_1123</t>
  </si>
  <si>
    <t>TASK_1123</t>
  </si>
  <si>
    <t>WF_1124</t>
  </si>
  <si>
    <t>TASK_1124</t>
  </si>
  <si>
    <t>WF_1125</t>
  </si>
  <si>
    <t>TASK_1125</t>
  </si>
  <si>
    <t>WF_1126</t>
  </si>
  <si>
    <t>TASK_1126</t>
  </si>
  <si>
    <t>WF_1127</t>
  </si>
  <si>
    <t>TASK_1127</t>
  </si>
  <si>
    <t>WF_1128</t>
  </si>
  <si>
    <t>TASK_1128</t>
  </si>
  <si>
    <t>WF_1129</t>
  </si>
  <si>
    <t>TASK_1129</t>
  </si>
  <si>
    <t>WF_1130</t>
  </si>
  <si>
    <t>TASK_1130</t>
  </si>
  <si>
    <t>WF_1131</t>
  </si>
  <si>
    <t>TASK_1131</t>
  </si>
  <si>
    <t>WF_1132</t>
  </si>
  <si>
    <t>TASK_1132</t>
  </si>
  <si>
    <t>WF_1133</t>
  </si>
  <si>
    <t>TASK_1133</t>
  </si>
  <si>
    <t>WF_1134</t>
  </si>
  <si>
    <t>TASK_1134</t>
  </si>
  <si>
    <t>WF_1135</t>
  </si>
  <si>
    <t>TASK_1135</t>
  </si>
  <si>
    <t>WF_1136</t>
  </si>
  <si>
    <t>TASK_1136</t>
  </si>
  <si>
    <t>WF_1137</t>
  </si>
  <si>
    <t>TASK_1137</t>
  </si>
  <si>
    <t>WF_1138</t>
  </si>
  <si>
    <t>TASK_1138</t>
  </si>
  <si>
    <t>WF_1139</t>
  </si>
  <si>
    <t>TASK_1139</t>
  </si>
  <si>
    <t>WF_1140</t>
  </si>
  <si>
    <t>TASK_1140</t>
  </si>
  <si>
    <t>WF_1141</t>
  </si>
  <si>
    <t>TASK_1141</t>
  </si>
  <si>
    <t>WF_1142</t>
  </si>
  <si>
    <t>TASK_1142</t>
  </si>
  <si>
    <t>WF_1143</t>
  </si>
  <si>
    <t>TASK_1143</t>
  </si>
  <si>
    <t>WF_1144</t>
  </si>
  <si>
    <t>TASK_1144</t>
  </si>
  <si>
    <t>WF_1145</t>
  </si>
  <si>
    <t>TASK_1145</t>
  </si>
  <si>
    <t>WF_1146</t>
  </si>
  <si>
    <t>TASK_1146</t>
  </si>
  <si>
    <t>WF_1147</t>
  </si>
  <si>
    <t>TASK_1147</t>
  </si>
  <si>
    <t>WF_1148</t>
  </si>
  <si>
    <t>TASK_1148</t>
  </si>
  <si>
    <t>WF_1149</t>
  </si>
  <si>
    <t>TASK_1149</t>
  </si>
  <si>
    <t>WF_1150</t>
  </si>
  <si>
    <t>TASK_1150</t>
  </si>
  <si>
    <t>WF_1151</t>
  </si>
  <si>
    <t>TASK_1151</t>
  </si>
  <si>
    <t>WF_1152</t>
  </si>
  <si>
    <t>TASK_1152</t>
  </si>
  <si>
    <t>WF_1153</t>
  </si>
  <si>
    <t>TASK_1153</t>
  </si>
  <si>
    <t>WF_1154</t>
  </si>
  <si>
    <t>TASK_1154</t>
  </si>
  <si>
    <t>WF_1155</t>
  </si>
  <si>
    <t>TASK_1155</t>
  </si>
  <si>
    <t>WF_1156</t>
  </si>
  <si>
    <t>TASK_1156</t>
  </si>
  <si>
    <t>WF_1157</t>
  </si>
  <si>
    <t>TASK_1157</t>
  </si>
  <si>
    <t>WF_1158</t>
  </si>
  <si>
    <t>TASK_1158</t>
  </si>
  <si>
    <t>WF_1159</t>
  </si>
  <si>
    <t>TASK_1159</t>
  </si>
  <si>
    <t>WF_1160</t>
  </si>
  <si>
    <t>TASK_1160</t>
  </si>
  <si>
    <t>WF_1161</t>
  </si>
  <si>
    <t>TASK_1161</t>
  </si>
  <si>
    <t>WF_1162</t>
  </si>
  <si>
    <t>TASK_1162</t>
  </si>
  <si>
    <t>WF_1163</t>
  </si>
  <si>
    <t>TASK_1163</t>
  </si>
  <si>
    <t>WF_1164</t>
  </si>
  <si>
    <t>TASK_1164</t>
  </si>
  <si>
    <t>WF_1165</t>
  </si>
  <si>
    <t>TASK_1165</t>
  </si>
  <si>
    <t>WF_1166</t>
  </si>
  <si>
    <t>TASK_1166</t>
  </si>
  <si>
    <t>WF_1167</t>
  </si>
  <si>
    <t>TASK_1167</t>
  </si>
  <si>
    <t>WF_1168</t>
  </si>
  <si>
    <t>TASK_1168</t>
  </si>
  <si>
    <t>WF_1169</t>
  </si>
  <si>
    <t>TASK_1169</t>
  </si>
  <si>
    <t>WF_1170</t>
  </si>
  <si>
    <t>TASK_1170</t>
  </si>
  <si>
    <t>WF_1171</t>
  </si>
  <si>
    <t>TASK_1171</t>
  </si>
  <si>
    <t>WF_1172</t>
  </si>
  <si>
    <t>TASK_1172</t>
  </si>
  <si>
    <t>WF_1173</t>
  </si>
  <si>
    <t>TASK_1173</t>
  </si>
  <si>
    <t>WF_1174</t>
  </si>
  <si>
    <t>TASK_1174</t>
  </si>
  <si>
    <t>WF_1175</t>
  </si>
  <si>
    <t>TASK_1175</t>
  </si>
  <si>
    <t>WF_1176</t>
  </si>
  <si>
    <t>TASK_1176</t>
  </si>
  <si>
    <t>WF_1177</t>
  </si>
  <si>
    <t>TASK_1177</t>
  </si>
  <si>
    <t>WF_1178</t>
  </si>
  <si>
    <t>TASK_1178</t>
  </si>
  <si>
    <t>WF_1179</t>
  </si>
  <si>
    <t>TASK_1179</t>
  </si>
  <si>
    <t>WF_1180</t>
  </si>
  <si>
    <t>TASK_1180</t>
  </si>
  <si>
    <t>WF_1181</t>
  </si>
  <si>
    <t>TASK_1181</t>
  </si>
  <si>
    <t>WF_1182</t>
  </si>
  <si>
    <t>TASK_1182</t>
  </si>
  <si>
    <t>WF_1183</t>
  </si>
  <si>
    <t>TASK_1183</t>
  </si>
  <si>
    <t>WF_1184</t>
  </si>
  <si>
    <t>TASK_1184</t>
  </si>
  <si>
    <t>WF_1185</t>
  </si>
  <si>
    <t>TASK_1185</t>
  </si>
  <si>
    <t>WF_1186</t>
  </si>
  <si>
    <t>TASK_1186</t>
  </si>
  <si>
    <t>WF_1187</t>
  </si>
  <si>
    <t>TASK_1187</t>
  </si>
  <si>
    <t>WF_1188</t>
  </si>
  <si>
    <t>TASK_1188</t>
  </si>
  <si>
    <t>WF_1189</t>
  </si>
  <si>
    <t>TASK_1189</t>
  </si>
  <si>
    <t>WF_1190</t>
  </si>
  <si>
    <t>TASK_1190</t>
  </si>
  <si>
    <t>WF_1191</t>
  </si>
  <si>
    <t>TASK_1191</t>
  </si>
  <si>
    <t>WF_1192</t>
  </si>
  <si>
    <t>TASK_1192</t>
  </si>
  <si>
    <t>WF_1193</t>
  </si>
  <si>
    <t>TASK_1193</t>
  </si>
  <si>
    <t>WF_1194</t>
  </si>
  <si>
    <t>TASK_1194</t>
  </si>
  <si>
    <t>WF_1195</t>
  </si>
  <si>
    <t>TASK_1195</t>
  </si>
  <si>
    <t>WF_1196</t>
  </si>
  <si>
    <t>TASK_1196</t>
  </si>
  <si>
    <t>WF_1197</t>
  </si>
  <si>
    <t>TASK_1197</t>
  </si>
  <si>
    <t>WF_1198</t>
  </si>
  <si>
    <t>TASK_1198</t>
  </si>
  <si>
    <t>WF_1199</t>
  </si>
  <si>
    <t>TASK_1199</t>
  </si>
  <si>
    <t>WF_1200</t>
  </si>
  <si>
    <t>TASK_1200</t>
  </si>
  <si>
    <t>WF_1201</t>
  </si>
  <si>
    <t>TASK_1201</t>
  </si>
  <si>
    <t>WF_1202</t>
  </si>
  <si>
    <t>TASK_1202</t>
  </si>
  <si>
    <t>WF_1203</t>
  </si>
  <si>
    <t>TASK_1203</t>
  </si>
  <si>
    <t>WF_1204</t>
  </si>
  <si>
    <t>TASK_1204</t>
  </si>
  <si>
    <t>WF_1205</t>
  </si>
  <si>
    <t>TASK_1205</t>
  </si>
  <si>
    <t>WF_1206</t>
  </si>
  <si>
    <t>TASK_1206</t>
  </si>
  <si>
    <t>WF_1207</t>
  </si>
  <si>
    <t>TASK_1207</t>
  </si>
  <si>
    <t>WF_1208</t>
  </si>
  <si>
    <t>TASK_1208</t>
  </si>
  <si>
    <t>WF_1209</t>
  </si>
  <si>
    <t>TASK_1209</t>
  </si>
  <si>
    <t>WF_1210</t>
  </si>
  <si>
    <t>TASK_1210</t>
  </si>
  <si>
    <t>WF_1211</t>
  </si>
  <si>
    <t>TASK_1211</t>
  </si>
  <si>
    <t>WF_1212</t>
  </si>
  <si>
    <t>TASK_1212</t>
  </si>
  <si>
    <t>WF_1213</t>
  </si>
  <si>
    <t>TASK_1213</t>
  </si>
  <si>
    <t>WF_1214</t>
  </si>
  <si>
    <t>TASK_1214</t>
  </si>
  <si>
    <t>WF_1215</t>
  </si>
  <si>
    <t>TASK_1215</t>
  </si>
  <si>
    <t>WF_1216</t>
  </si>
  <si>
    <t>TASK_1216</t>
  </si>
  <si>
    <t>WF_1217</t>
  </si>
  <si>
    <t>TASK_1217</t>
  </si>
  <si>
    <t>WF_1218</t>
  </si>
  <si>
    <t>TASK_1218</t>
  </si>
  <si>
    <t>WF_1219</t>
  </si>
  <si>
    <t>TASK_1219</t>
  </si>
  <si>
    <t>WF_1220</t>
  </si>
  <si>
    <t>TASK_1220</t>
  </si>
  <si>
    <t>WF_1221</t>
  </si>
  <si>
    <t>TASK_1221</t>
  </si>
  <si>
    <t>WF_1222</t>
  </si>
  <si>
    <t>TASK_1222</t>
  </si>
  <si>
    <t>WF_1223</t>
  </si>
  <si>
    <t>TASK_1223</t>
  </si>
  <si>
    <t>WF_1224</t>
  </si>
  <si>
    <t>TASK_1224</t>
  </si>
  <si>
    <t>WF_1225</t>
  </si>
  <si>
    <t>TASK_1225</t>
  </si>
  <si>
    <t>WF_1226</t>
  </si>
  <si>
    <t>TASK_1226</t>
  </si>
  <si>
    <t>WF_1227</t>
  </si>
  <si>
    <t>TASK_1227</t>
  </si>
  <si>
    <t>WF_1228</t>
  </si>
  <si>
    <t>TASK_1228</t>
  </si>
  <si>
    <t>WF_1229</t>
  </si>
  <si>
    <t>TASK_1229</t>
  </si>
  <si>
    <t>WF_1230</t>
  </si>
  <si>
    <t>TASK_1230</t>
  </si>
  <si>
    <t>WF_1231</t>
  </si>
  <si>
    <t>TASK_1231</t>
  </si>
  <si>
    <t>WF_1232</t>
  </si>
  <si>
    <t>TASK_1232</t>
  </si>
  <si>
    <t>WF_1233</t>
  </si>
  <si>
    <t>TASK_1233</t>
  </si>
  <si>
    <t>WF_1234</t>
  </si>
  <si>
    <t>TASK_1234</t>
  </si>
  <si>
    <t>WF_1235</t>
  </si>
  <si>
    <t>TASK_1235</t>
  </si>
  <si>
    <t>WF_1236</t>
  </si>
  <si>
    <t>TASK_1236</t>
  </si>
  <si>
    <t>WF_1237</t>
  </si>
  <si>
    <t>TASK_1237</t>
  </si>
  <si>
    <t>WF_1238</t>
  </si>
  <si>
    <t>TASK_1238</t>
  </si>
  <si>
    <t>WF_1239</t>
  </si>
  <si>
    <t>TASK_1239</t>
  </si>
  <si>
    <t>WF_1240</t>
  </si>
  <si>
    <t>TASK_1240</t>
  </si>
  <si>
    <t>WF_1241</t>
  </si>
  <si>
    <t>TASK_1241</t>
  </si>
  <si>
    <t>WF_1242</t>
  </si>
  <si>
    <t>TASK_1242</t>
  </si>
  <si>
    <t>WF_1243</t>
  </si>
  <si>
    <t>TASK_1243</t>
  </si>
  <si>
    <t>WF_1244</t>
  </si>
  <si>
    <t>TASK_1244</t>
  </si>
  <si>
    <t>WF_1245</t>
  </si>
  <si>
    <t>TASK_1245</t>
  </si>
  <si>
    <t>WF_1246</t>
  </si>
  <si>
    <t>TASK_1246</t>
  </si>
  <si>
    <t>WF_1247</t>
  </si>
  <si>
    <t>TASK_1247</t>
  </si>
  <si>
    <t>WF_1248</t>
  </si>
  <si>
    <t>TASK_1248</t>
  </si>
  <si>
    <t>WF_1249</t>
  </si>
  <si>
    <t>TASK_1249</t>
  </si>
  <si>
    <t>WF_1250</t>
  </si>
  <si>
    <t>TASK_1250</t>
  </si>
  <si>
    <t>WF_1251</t>
  </si>
  <si>
    <t>TASK_1251</t>
  </si>
  <si>
    <t>WF_1252</t>
  </si>
  <si>
    <t>TASK_1252</t>
  </si>
  <si>
    <t>WF_1253</t>
  </si>
  <si>
    <t>TASK_1253</t>
  </si>
  <si>
    <t>WF_1254</t>
  </si>
  <si>
    <t>TASK_1254</t>
  </si>
  <si>
    <t>WF_1255</t>
  </si>
  <si>
    <t>TASK_1255</t>
  </si>
  <si>
    <t>WF_1256</t>
  </si>
  <si>
    <t>TASK_1256</t>
  </si>
  <si>
    <t>WF_1257</t>
  </si>
  <si>
    <t>TASK_1257</t>
  </si>
  <si>
    <t>WF_1258</t>
  </si>
  <si>
    <t>TASK_1258</t>
  </si>
  <si>
    <t>WF_1259</t>
  </si>
  <si>
    <t>TASK_1259</t>
  </si>
  <si>
    <t>WF_1260</t>
  </si>
  <si>
    <t>TASK_1260</t>
  </si>
  <si>
    <t>WF_1261</t>
  </si>
  <si>
    <t>TASK_1261</t>
  </si>
  <si>
    <t>WF_1262</t>
  </si>
  <si>
    <t>TASK_1262</t>
  </si>
  <si>
    <t>WF_1263</t>
  </si>
  <si>
    <t>TASK_1263</t>
  </si>
  <si>
    <t>WF_1264</t>
  </si>
  <si>
    <t>TASK_1264</t>
  </si>
  <si>
    <t>WF_1265</t>
  </si>
  <si>
    <t>TASK_1265</t>
  </si>
  <si>
    <t>WF_1266</t>
  </si>
  <si>
    <t>TASK_1266</t>
  </si>
  <si>
    <t>WF_1267</t>
  </si>
  <si>
    <t>TASK_1267</t>
  </si>
  <si>
    <t>WF_1268</t>
  </si>
  <si>
    <t>TASK_1268</t>
  </si>
  <si>
    <t>WF_1269</t>
  </si>
  <si>
    <t>TASK_1269</t>
  </si>
  <si>
    <t>WF_1270</t>
  </si>
  <si>
    <t>TASK_1270</t>
  </si>
  <si>
    <t>WF_1271</t>
  </si>
  <si>
    <t>TASK_1271</t>
  </si>
  <si>
    <t>WF_1272</t>
  </si>
  <si>
    <t>TASK_1272</t>
  </si>
  <si>
    <t>WF_1273</t>
  </si>
  <si>
    <t>TASK_1273</t>
  </si>
  <si>
    <t>WF_1274</t>
  </si>
  <si>
    <t>TASK_1274</t>
  </si>
  <si>
    <t>WF_1275</t>
  </si>
  <si>
    <t>TASK_1275</t>
  </si>
  <si>
    <t>WF_1276</t>
  </si>
  <si>
    <t>TASK_1276</t>
  </si>
  <si>
    <t>WF_1277</t>
  </si>
  <si>
    <t>TASK_1277</t>
  </si>
  <si>
    <t>WF_1278</t>
  </si>
  <si>
    <t>TASK_1278</t>
  </si>
  <si>
    <t>WF_1279</t>
  </si>
  <si>
    <t>TASK_1279</t>
  </si>
  <si>
    <t>WF_1280</t>
  </si>
  <si>
    <t>TASK_1280</t>
  </si>
  <si>
    <t>WF_1281</t>
  </si>
  <si>
    <t>TASK_1281</t>
  </si>
  <si>
    <t>WF_1282</t>
  </si>
  <si>
    <t>TASK_1282</t>
  </si>
  <si>
    <t>WF_1283</t>
  </si>
  <si>
    <t>TASK_1283</t>
  </si>
  <si>
    <t>WF_1284</t>
  </si>
  <si>
    <t>TASK_1284</t>
  </si>
  <si>
    <t>WF_1285</t>
  </si>
  <si>
    <t>TASK_1285</t>
  </si>
  <si>
    <t>WF_1286</t>
  </si>
  <si>
    <t>TASK_1286</t>
  </si>
  <si>
    <t>WF_1287</t>
  </si>
  <si>
    <t>TASK_1287</t>
  </si>
  <si>
    <t>WF_1288</t>
  </si>
  <si>
    <t>TASK_1288</t>
  </si>
  <si>
    <t>WF_1289</t>
  </si>
  <si>
    <t>TASK_1289</t>
  </si>
  <si>
    <t>WF_1290</t>
  </si>
  <si>
    <t>TASK_1290</t>
  </si>
  <si>
    <t>WF_1291</t>
  </si>
  <si>
    <t>TASK_1291</t>
  </si>
  <si>
    <t>WF_1292</t>
  </si>
  <si>
    <t>TASK_1292</t>
  </si>
  <si>
    <t>WF_1293</t>
  </si>
  <si>
    <t>TASK_1293</t>
  </si>
  <si>
    <t>WF_1294</t>
  </si>
  <si>
    <t>TASK_1294</t>
  </si>
  <si>
    <t>WF_1295</t>
  </si>
  <si>
    <t>TASK_1295</t>
  </si>
  <si>
    <t>WF_1296</t>
  </si>
  <si>
    <t>TASK_1296</t>
  </si>
  <si>
    <t>WF_1297</t>
  </si>
  <si>
    <t>TASK_1297</t>
  </si>
  <si>
    <t>WF_1298</t>
  </si>
  <si>
    <t>TASK_1298</t>
  </si>
  <si>
    <t>WF_1299</t>
  </si>
  <si>
    <t>TASK_1299</t>
  </si>
  <si>
    <t>WF_1300</t>
  </si>
  <si>
    <t>TASK_1300</t>
  </si>
  <si>
    <t>WF_1301</t>
  </si>
  <si>
    <t>TASK_1301</t>
  </si>
  <si>
    <t>WF_1302</t>
  </si>
  <si>
    <t>TASK_1302</t>
  </si>
  <si>
    <t>WF_1303</t>
  </si>
  <si>
    <t>TASK_1303</t>
  </si>
  <si>
    <t>WF_1304</t>
  </si>
  <si>
    <t>TASK_1304</t>
  </si>
  <si>
    <t>WF_1305</t>
  </si>
  <si>
    <t>TASK_1305</t>
  </si>
  <si>
    <t>WF_1306</t>
  </si>
  <si>
    <t>TASK_1306</t>
  </si>
  <si>
    <t>WF_1307</t>
  </si>
  <si>
    <t>TASK_1307</t>
  </si>
  <si>
    <t>WF_1308</t>
  </si>
  <si>
    <t>TASK_1308</t>
  </si>
  <si>
    <t>WF_1309</t>
  </si>
  <si>
    <t>TASK_1309</t>
  </si>
  <si>
    <t>WF_1310</t>
  </si>
  <si>
    <t>TASK_1310</t>
  </si>
  <si>
    <t>WF_1311</t>
  </si>
  <si>
    <t>TASK_1311</t>
  </si>
  <si>
    <t>WF_1312</t>
  </si>
  <si>
    <t>TASK_1312</t>
  </si>
  <si>
    <t>WF_1313</t>
  </si>
  <si>
    <t>TASK_1313</t>
  </si>
  <si>
    <t>WF_1314</t>
  </si>
  <si>
    <t>TASK_1314</t>
  </si>
  <si>
    <t>WF_1315</t>
  </si>
  <si>
    <t>TASK_1315</t>
  </si>
  <si>
    <t>WF_1316</t>
  </si>
  <si>
    <t>TASK_1316</t>
  </si>
  <si>
    <t>WF_1317</t>
  </si>
  <si>
    <t>TASK_1317</t>
  </si>
  <si>
    <t>WF_1318</t>
  </si>
  <si>
    <t>TASK_1318</t>
  </si>
  <si>
    <t>WF_1319</t>
  </si>
  <si>
    <t>TASK_1319</t>
  </si>
  <si>
    <t>WF_1320</t>
  </si>
  <si>
    <t>TASK_1320</t>
  </si>
  <si>
    <t>WF_1321</t>
  </si>
  <si>
    <t>TASK_1321</t>
  </si>
  <si>
    <t>WF_1322</t>
  </si>
  <si>
    <t>TASK_1322</t>
  </si>
  <si>
    <t>WF_1323</t>
  </si>
  <si>
    <t>TASK_1323</t>
  </si>
  <si>
    <t>WF_1324</t>
  </si>
  <si>
    <t>TASK_1324</t>
  </si>
  <si>
    <t>WF_1325</t>
  </si>
  <si>
    <t>TASK_1325</t>
  </si>
  <si>
    <t>WF_1326</t>
  </si>
  <si>
    <t>TASK_1326</t>
  </si>
  <si>
    <t>WF_1327</t>
  </si>
  <si>
    <t>TASK_1327</t>
  </si>
  <si>
    <t>WF_1328</t>
  </si>
  <si>
    <t>TASK_1328</t>
  </si>
  <si>
    <t>WF_1329</t>
  </si>
  <si>
    <t>TASK_1329</t>
  </si>
  <si>
    <t>WF_1330</t>
  </si>
  <si>
    <t>TASK_1330</t>
  </si>
  <si>
    <t>WF_1331</t>
  </si>
  <si>
    <t>TASK_1331</t>
  </si>
  <si>
    <t>WF_1332</t>
  </si>
  <si>
    <t>TASK_1332</t>
  </si>
  <si>
    <t>WF_1333</t>
  </si>
  <si>
    <t>TASK_1333</t>
  </si>
  <si>
    <t>WF_1334</t>
  </si>
  <si>
    <t>TASK_1334</t>
  </si>
  <si>
    <t>WF_1335</t>
  </si>
  <si>
    <t>TASK_1335</t>
  </si>
  <si>
    <t>WF_1336</t>
  </si>
  <si>
    <t>TASK_1336</t>
  </si>
  <si>
    <t>WF_1337</t>
  </si>
  <si>
    <t>TASK_1337</t>
  </si>
  <si>
    <t>WF_1338</t>
  </si>
  <si>
    <t>TASK_1338</t>
  </si>
  <si>
    <t>WF_1339</t>
  </si>
  <si>
    <t>TASK_1339</t>
  </si>
  <si>
    <t>WF_1340</t>
  </si>
  <si>
    <t>TASK_1340</t>
  </si>
  <si>
    <t>WF_1341</t>
  </si>
  <si>
    <t>TASK_1341</t>
  </si>
  <si>
    <t>WF_1342</t>
  </si>
  <si>
    <t>TASK_1342</t>
  </si>
  <si>
    <t>WF_1343</t>
  </si>
  <si>
    <t>TASK_1343</t>
  </si>
  <si>
    <t>WF_1344</t>
  </si>
  <si>
    <t>TASK_1344</t>
  </si>
  <si>
    <t>WF_1345</t>
  </si>
  <si>
    <t>TASK_1345</t>
  </si>
  <si>
    <t>WF_1346</t>
  </si>
  <si>
    <t>TASK_1346</t>
  </si>
  <si>
    <t>WF_1347</t>
  </si>
  <si>
    <t>TASK_1347</t>
  </si>
  <si>
    <t>WF_1348</t>
  </si>
  <si>
    <t>TASK_1348</t>
  </si>
  <si>
    <t>WF_1349</t>
  </si>
  <si>
    <t>TASK_1349</t>
  </si>
  <si>
    <t>WF_1350</t>
  </si>
  <si>
    <t>TASK_1350</t>
  </si>
  <si>
    <t>WF_1351</t>
  </si>
  <si>
    <t>TASK_1351</t>
  </si>
  <si>
    <t>WF_1352</t>
  </si>
  <si>
    <t>TASK_1352</t>
  </si>
  <si>
    <t>WF_1353</t>
  </si>
  <si>
    <t>TASK_1353</t>
  </si>
  <si>
    <t>WF_1354</t>
  </si>
  <si>
    <t>TASK_1354</t>
  </si>
  <si>
    <t>WF_1355</t>
  </si>
  <si>
    <t>TASK_1355</t>
  </si>
  <si>
    <t>WF_1356</t>
  </si>
  <si>
    <t>TASK_1356</t>
  </si>
  <si>
    <t>WF_1357</t>
  </si>
  <si>
    <t>TASK_1357</t>
  </si>
  <si>
    <t>WF_1358</t>
  </si>
  <si>
    <t>TASK_1358</t>
  </si>
  <si>
    <t>WF_1359</t>
  </si>
  <si>
    <t>TASK_1359</t>
  </si>
  <si>
    <t>WF_1360</t>
  </si>
  <si>
    <t>TASK_1360</t>
  </si>
  <si>
    <t>WF_1361</t>
  </si>
  <si>
    <t>TASK_1361</t>
  </si>
  <si>
    <t>WF_1362</t>
  </si>
  <si>
    <t>TASK_1362</t>
  </si>
  <si>
    <t>WF_1363</t>
  </si>
  <si>
    <t>TASK_1363</t>
  </si>
  <si>
    <t>WF_1364</t>
  </si>
  <si>
    <t>TASK_1364</t>
  </si>
  <si>
    <t>WF_1365</t>
  </si>
  <si>
    <t>TASK_1365</t>
  </si>
  <si>
    <t>WF_1366</t>
  </si>
  <si>
    <t>TASK_1366</t>
  </si>
  <si>
    <t>WF_1367</t>
  </si>
  <si>
    <t>TASK_1367</t>
  </si>
  <si>
    <t>WF_1368</t>
  </si>
  <si>
    <t>TASK_1368</t>
  </si>
  <si>
    <t>WF_1369</t>
  </si>
  <si>
    <t>TASK_1369</t>
  </si>
  <si>
    <t>WF_1370</t>
  </si>
  <si>
    <t>TASK_1370</t>
  </si>
  <si>
    <t>WF_1371</t>
  </si>
  <si>
    <t>TASK_1371</t>
  </si>
  <si>
    <t>WF_1372</t>
  </si>
  <si>
    <t>TASK_1372</t>
  </si>
  <si>
    <t>WF_1373</t>
  </si>
  <si>
    <t>TASK_1373</t>
  </si>
  <si>
    <t>WF_1374</t>
  </si>
  <si>
    <t>TASK_1374</t>
  </si>
  <si>
    <t>WF_1375</t>
  </si>
  <si>
    <t>TASK_1375</t>
  </si>
  <si>
    <t>WF_1376</t>
  </si>
  <si>
    <t>TASK_1376</t>
  </si>
  <si>
    <t>WF_1377</t>
  </si>
  <si>
    <t>TASK_1377</t>
  </si>
  <si>
    <t>WF_1378</t>
  </si>
  <si>
    <t>TASK_1378</t>
  </si>
  <si>
    <t>WF_1379</t>
  </si>
  <si>
    <t>TASK_1379</t>
  </si>
  <si>
    <t>WF_1380</t>
  </si>
  <si>
    <t>TASK_1380</t>
  </si>
  <si>
    <t>WF_1381</t>
  </si>
  <si>
    <t>TASK_1381</t>
  </si>
  <si>
    <t>WF_1382</t>
  </si>
  <si>
    <t>TASK_1382</t>
  </si>
  <si>
    <t>WF_1383</t>
  </si>
  <si>
    <t>TASK_1383</t>
  </si>
  <si>
    <t>WF_1384</t>
  </si>
  <si>
    <t>TASK_1384</t>
  </si>
  <si>
    <t>WF_1385</t>
  </si>
  <si>
    <t>TASK_1385</t>
  </si>
  <si>
    <t>WF_1386</t>
  </si>
  <si>
    <t>TASK_1386</t>
  </si>
  <si>
    <t>WF_1387</t>
  </si>
  <si>
    <t>TASK_1387</t>
  </si>
  <si>
    <t>WF_1388</t>
  </si>
  <si>
    <t>TASK_1388</t>
  </si>
  <si>
    <t>WF_1389</t>
  </si>
  <si>
    <t>TASK_1389</t>
  </si>
  <si>
    <t>WF_1390</t>
  </si>
  <si>
    <t>TASK_1390</t>
  </si>
  <si>
    <t>WF_1391</t>
  </si>
  <si>
    <t>TASK_1391</t>
  </si>
  <si>
    <t>WF_1392</t>
  </si>
  <si>
    <t>TASK_1392</t>
  </si>
  <si>
    <t>WF_1393</t>
  </si>
  <si>
    <t>TASK_1393</t>
  </si>
  <si>
    <t>WF_1394</t>
  </si>
  <si>
    <t>TASK_1394</t>
  </si>
  <si>
    <t>WF_1395</t>
  </si>
  <si>
    <t>TASK_1395</t>
  </si>
  <si>
    <t>WF_1396</t>
  </si>
  <si>
    <t>TASK_1396</t>
  </si>
  <si>
    <t>WF_1397</t>
  </si>
  <si>
    <t>TASK_1397</t>
  </si>
  <si>
    <t>WF_1398</t>
  </si>
  <si>
    <t>TASK_1398</t>
  </si>
  <si>
    <t>WF_1399</t>
  </si>
  <si>
    <t>TASK_1399</t>
  </si>
  <si>
    <t>WF_1400</t>
  </si>
  <si>
    <t>TASK_1400</t>
  </si>
  <si>
    <t>WF_1401</t>
  </si>
  <si>
    <t>TASK_1401</t>
  </si>
  <si>
    <t>WF_1402</t>
  </si>
  <si>
    <t>TASK_1402</t>
  </si>
  <si>
    <t>WF_1403</t>
  </si>
  <si>
    <t>TASK_1403</t>
  </si>
  <si>
    <t>WF_1404</t>
  </si>
  <si>
    <t>TASK_1404</t>
  </si>
  <si>
    <t>WF_1405</t>
  </si>
  <si>
    <t>TASK_1405</t>
  </si>
  <si>
    <t>WF_1406</t>
  </si>
  <si>
    <t>TASK_1406</t>
  </si>
  <si>
    <t>WF_1407</t>
  </si>
  <si>
    <t>TASK_1407</t>
  </si>
  <si>
    <t>WF_1408</t>
  </si>
  <si>
    <t>TASK_1408</t>
  </si>
  <si>
    <t>WF_1409</t>
  </si>
  <si>
    <t>TASK_1409</t>
  </si>
  <si>
    <t>WF_1410</t>
  </si>
  <si>
    <t>TASK_1410</t>
  </si>
  <si>
    <t>WF_1411</t>
  </si>
  <si>
    <t>TASK_1411</t>
  </si>
  <si>
    <t>WF_1412</t>
  </si>
  <si>
    <t>TASK_1412</t>
  </si>
  <si>
    <t>WF_1413</t>
  </si>
  <si>
    <t>TASK_1413</t>
  </si>
  <si>
    <t>WF_1414</t>
  </si>
  <si>
    <t>TASK_1414</t>
  </si>
  <si>
    <t>WF_1415</t>
  </si>
  <si>
    <t>TASK_1415</t>
  </si>
  <si>
    <t>WF_1416</t>
  </si>
  <si>
    <t>TASK_1416</t>
  </si>
  <si>
    <t>WF_1417</t>
  </si>
  <si>
    <t>TASK_1417</t>
  </si>
  <si>
    <t>WF_1418</t>
  </si>
  <si>
    <t>TASK_1418</t>
  </si>
  <si>
    <t>WF_1419</t>
  </si>
  <si>
    <t>TASK_1419</t>
  </si>
  <si>
    <t>WF_1420</t>
  </si>
  <si>
    <t>TASK_1420</t>
  </si>
  <si>
    <t>WF_1421</t>
  </si>
  <si>
    <t>TASK_1421</t>
  </si>
  <si>
    <t>WF_1422</t>
  </si>
  <si>
    <t>TASK_1422</t>
  </si>
  <si>
    <t>WF_1423</t>
  </si>
  <si>
    <t>TASK_1423</t>
  </si>
  <si>
    <t>WF_1424</t>
  </si>
  <si>
    <t>TASK_1424</t>
  </si>
  <si>
    <t>WF_1425</t>
  </si>
  <si>
    <t>TASK_1425</t>
  </si>
  <si>
    <t>WF_1426</t>
  </si>
  <si>
    <t>TASK_1426</t>
  </si>
  <si>
    <t>WF_1427</t>
  </si>
  <si>
    <t>TASK_1427</t>
  </si>
  <si>
    <t>WF_1428</t>
  </si>
  <si>
    <t>TASK_1428</t>
  </si>
  <si>
    <t>WF_1429</t>
  </si>
  <si>
    <t>TASK_1429</t>
  </si>
  <si>
    <t>WF_1430</t>
  </si>
  <si>
    <t>TASK_1430</t>
  </si>
  <si>
    <t>WF_1431</t>
  </si>
  <si>
    <t>TASK_1431</t>
  </si>
  <si>
    <t>WF_1432</t>
  </si>
  <si>
    <t>TASK_1432</t>
  </si>
  <si>
    <t>WF_1433</t>
  </si>
  <si>
    <t>TASK_1433</t>
  </si>
  <si>
    <t>WF_1434</t>
  </si>
  <si>
    <t>TASK_1434</t>
  </si>
  <si>
    <t>WF_1435</t>
  </si>
  <si>
    <t>TASK_1435</t>
  </si>
  <si>
    <t>WF_1436</t>
  </si>
  <si>
    <t>TASK_1436</t>
  </si>
  <si>
    <t>WF_1437</t>
  </si>
  <si>
    <t>TASK_1437</t>
  </si>
  <si>
    <t>WF_1438</t>
  </si>
  <si>
    <t>TASK_1438</t>
  </si>
  <si>
    <t>WF_1439</t>
  </si>
  <si>
    <t>TASK_1439</t>
  </si>
  <si>
    <t>WF_1440</t>
  </si>
  <si>
    <t>TASK_1440</t>
  </si>
  <si>
    <t>WF_1441</t>
  </si>
  <si>
    <t>TASK_1441</t>
  </si>
  <si>
    <t>WF_1442</t>
  </si>
  <si>
    <t>TASK_1442</t>
  </si>
  <si>
    <t>WF_1443</t>
  </si>
  <si>
    <t>TASK_1443</t>
  </si>
  <si>
    <t>WF_1444</t>
  </si>
  <si>
    <t>TASK_1444</t>
  </si>
  <si>
    <t>WF_1445</t>
  </si>
  <si>
    <t>TASK_1445</t>
  </si>
  <si>
    <t>WF_1446</t>
  </si>
  <si>
    <t>TASK_1446</t>
  </si>
  <si>
    <t>WF_1447</t>
  </si>
  <si>
    <t>TASK_1447</t>
  </si>
  <si>
    <t>WF_1448</t>
  </si>
  <si>
    <t>TASK_1448</t>
  </si>
  <si>
    <t>WF_1449</t>
  </si>
  <si>
    <t>TASK_1449</t>
  </si>
  <si>
    <t>WF_1450</t>
  </si>
  <si>
    <t>TASK_1450</t>
  </si>
  <si>
    <t>WF_1451</t>
  </si>
  <si>
    <t>TASK_1451</t>
  </si>
  <si>
    <t>WF_1452</t>
  </si>
  <si>
    <t>TASK_1452</t>
  </si>
  <si>
    <t>WF_1453</t>
  </si>
  <si>
    <t>TASK_1453</t>
  </si>
  <si>
    <t>WF_1454</t>
  </si>
  <si>
    <t>TASK_1454</t>
  </si>
  <si>
    <t>WF_1455</t>
  </si>
  <si>
    <t>TASK_1455</t>
  </si>
  <si>
    <t>WF_1456</t>
  </si>
  <si>
    <t>TASK_1456</t>
  </si>
  <si>
    <t>WF_1457</t>
  </si>
  <si>
    <t>TASK_1457</t>
  </si>
  <si>
    <t>WF_1458</t>
  </si>
  <si>
    <t>TASK_1458</t>
  </si>
  <si>
    <t>WF_1459</t>
  </si>
  <si>
    <t>TASK_1459</t>
  </si>
  <si>
    <t>WF_1460</t>
  </si>
  <si>
    <t>TASK_1460</t>
  </si>
  <si>
    <t>WF_1461</t>
  </si>
  <si>
    <t>TASK_1461</t>
  </si>
  <si>
    <t>WF_1462</t>
  </si>
  <si>
    <t>TASK_1462</t>
  </si>
  <si>
    <t>WF_1463</t>
  </si>
  <si>
    <t>TASK_1463</t>
  </si>
  <si>
    <t>WF_1464</t>
  </si>
  <si>
    <t>TASK_1464</t>
  </si>
  <si>
    <t>WF_1465</t>
  </si>
  <si>
    <t>TASK_1465</t>
  </si>
  <si>
    <t>WF_1466</t>
  </si>
  <si>
    <t>TASK_1466</t>
  </si>
  <si>
    <t>WF_1467</t>
  </si>
  <si>
    <t>TASK_1467</t>
  </si>
  <si>
    <t>WF_1468</t>
  </si>
  <si>
    <t>TASK_1468</t>
  </si>
  <si>
    <t>WF_1469</t>
  </si>
  <si>
    <t>TASK_1469</t>
  </si>
  <si>
    <t>WF_1470</t>
  </si>
  <si>
    <t>TASK_1470</t>
  </si>
  <si>
    <t>WF_1471</t>
  </si>
  <si>
    <t>TASK_1471</t>
  </si>
  <si>
    <t>WF_1472</t>
  </si>
  <si>
    <t>TASK_1472</t>
  </si>
  <si>
    <t>WF_1473</t>
  </si>
  <si>
    <t>TASK_1473</t>
  </si>
  <si>
    <t>WF_1474</t>
  </si>
  <si>
    <t>TASK_1474</t>
  </si>
  <si>
    <t>WF_1475</t>
  </si>
  <si>
    <t>TASK_1475</t>
  </si>
  <si>
    <t>WF_1476</t>
  </si>
  <si>
    <t>TASK_1476</t>
  </si>
  <si>
    <t>WF_1477</t>
  </si>
  <si>
    <t>TASK_1477</t>
  </si>
  <si>
    <t>WF_1478</t>
  </si>
  <si>
    <t>TASK_1478</t>
  </si>
  <si>
    <t>WF_1479</t>
  </si>
  <si>
    <t>TASK_1479</t>
  </si>
  <si>
    <t>WF_1480</t>
  </si>
  <si>
    <t>TASK_1480</t>
  </si>
  <si>
    <t>WF_1481</t>
  </si>
  <si>
    <t>TASK_1481</t>
  </si>
  <si>
    <t>WF_1482</t>
  </si>
  <si>
    <t>TASK_1482</t>
  </si>
  <si>
    <t>WF_1483</t>
  </si>
  <si>
    <t>TASK_1483</t>
  </si>
  <si>
    <t>WF_1484</t>
  </si>
  <si>
    <t>TASK_1484</t>
  </si>
  <si>
    <t>WF_1485</t>
  </si>
  <si>
    <t>TASK_1485</t>
  </si>
  <si>
    <t>WF_1486</t>
  </si>
  <si>
    <t>TASK_1486</t>
  </si>
  <si>
    <t>WF_1487</t>
  </si>
  <si>
    <t>TASK_1487</t>
  </si>
  <si>
    <t>WF_1488</t>
  </si>
  <si>
    <t>TASK_1488</t>
  </si>
  <si>
    <t>WF_1489</t>
  </si>
  <si>
    <t>TASK_1489</t>
  </si>
  <si>
    <t>WF_1490</t>
  </si>
  <si>
    <t>TASK_1490</t>
  </si>
  <si>
    <t>WF_1491</t>
  </si>
  <si>
    <t>TASK_1491</t>
  </si>
  <si>
    <t>WF_1492</t>
  </si>
  <si>
    <t>TASK_1492</t>
  </si>
  <si>
    <t>WF_1493</t>
  </si>
  <si>
    <t>TASK_1493</t>
  </si>
  <si>
    <t>WF_1494</t>
  </si>
  <si>
    <t>TASK_1494</t>
  </si>
  <si>
    <t>WF_1495</t>
  </si>
  <si>
    <t>TASK_1495</t>
  </si>
  <si>
    <t>WF_1496</t>
  </si>
  <si>
    <t>TASK_1496</t>
  </si>
  <si>
    <t>WF_1497</t>
  </si>
  <si>
    <t>TASK_1497</t>
  </si>
  <si>
    <t>WF_1498</t>
  </si>
  <si>
    <t>TASK_1498</t>
  </si>
  <si>
    <t>WF_1499</t>
  </si>
  <si>
    <t>TASK_1499</t>
  </si>
  <si>
    <t>WF_1500</t>
  </si>
  <si>
    <t>TASK_1500</t>
  </si>
  <si>
    <t>WF_1501</t>
  </si>
  <si>
    <t>TASK_1501</t>
  </si>
  <si>
    <t>WF_1502</t>
  </si>
  <si>
    <t>TASK_1502</t>
  </si>
  <si>
    <t>WF_1503</t>
  </si>
  <si>
    <t>TASK_1503</t>
  </si>
  <si>
    <t>WF_1504</t>
  </si>
  <si>
    <t>TASK_1504</t>
  </si>
  <si>
    <t>WF_1505</t>
  </si>
  <si>
    <t>TASK_1505</t>
  </si>
  <si>
    <t>WF_1506</t>
  </si>
  <si>
    <t>TASK_1506</t>
  </si>
  <si>
    <t>WF_1507</t>
  </si>
  <si>
    <t>TASK_1507</t>
  </si>
  <si>
    <t>WF_1508</t>
  </si>
  <si>
    <t>TASK_1508</t>
  </si>
  <si>
    <t>WF_1509</t>
  </si>
  <si>
    <t>TASK_1509</t>
  </si>
  <si>
    <t>WF_1510</t>
  </si>
  <si>
    <t>TASK_1510</t>
  </si>
  <si>
    <t>WF_1511</t>
  </si>
  <si>
    <t>TASK_1511</t>
  </si>
  <si>
    <t>WF_1512</t>
  </si>
  <si>
    <t>TASK_1512</t>
  </si>
  <si>
    <t>WF_1513</t>
  </si>
  <si>
    <t>TASK_1513</t>
  </si>
  <si>
    <t>WF_1514</t>
  </si>
  <si>
    <t>TASK_1514</t>
  </si>
  <si>
    <t>WF_1515</t>
  </si>
  <si>
    <t>TASK_1515</t>
  </si>
  <si>
    <t>WF_1516</t>
  </si>
  <si>
    <t>TASK_1516</t>
  </si>
  <si>
    <t>WF_1517</t>
  </si>
  <si>
    <t>TASK_1517</t>
  </si>
  <si>
    <t>WF_1518</t>
  </si>
  <si>
    <t>TASK_1518</t>
  </si>
  <si>
    <t>WF_1519</t>
  </si>
  <si>
    <t>TASK_1519</t>
  </si>
  <si>
    <t>WF_1520</t>
  </si>
  <si>
    <t>TASK_1520</t>
  </si>
  <si>
    <t>WF_1521</t>
  </si>
  <si>
    <t>TASK_1521</t>
  </si>
  <si>
    <t>WF_1522</t>
  </si>
  <si>
    <t>TASK_1522</t>
  </si>
  <si>
    <t>WF_1523</t>
  </si>
  <si>
    <t>TASK_1523</t>
  </si>
  <si>
    <t>WF_1524</t>
  </si>
  <si>
    <t>TASK_1524</t>
  </si>
  <si>
    <t>WF_1525</t>
  </si>
  <si>
    <t>TASK_1525</t>
  </si>
  <si>
    <t>WF_1526</t>
  </si>
  <si>
    <t>TASK_1526</t>
  </si>
  <si>
    <t>WF_1527</t>
  </si>
  <si>
    <t>TASK_1527</t>
  </si>
  <si>
    <t>WF_1528</t>
  </si>
  <si>
    <t>TASK_1528</t>
  </si>
  <si>
    <t>WF_1529</t>
  </si>
  <si>
    <t>TASK_1529</t>
  </si>
  <si>
    <t>WF_1530</t>
  </si>
  <si>
    <t>TASK_1530</t>
  </si>
  <si>
    <t>WF_1531</t>
  </si>
  <si>
    <t>TASK_1531</t>
  </si>
  <si>
    <t>WF_1532</t>
  </si>
  <si>
    <t>TASK_1532</t>
  </si>
  <si>
    <t>WF_1533</t>
  </si>
  <si>
    <t>TASK_1533</t>
  </si>
  <si>
    <t>WF_1534</t>
  </si>
  <si>
    <t>TASK_1534</t>
  </si>
  <si>
    <t>WF_1535</t>
  </si>
  <si>
    <t>TASK_1535</t>
  </si>
  <si>
    <t>WF_1536</t>
  </si>
  <si>
    <t>TASK_1536</t>
  </si>
  <si>
    <t>WF_1537</t>
  </si>
  <si>
    <t>TASK_1537</t>
  </si>
  <si>
    <t>WF_1538</t>
  </si>
  <si>
    <t>TASK_1538</t>
  </si>
  <si>
    <t>WF_1539</t>
  </si>
  <si>
    <t>TASK_1539</t>
  </si>
  <si>
    <t>WF_1540</t>
  </si>
  <si>
    <t>TASK_1540</t>
  </si>
  <si>
    <t>WF_1541</t>
  </si>
  <si>
    <t>TASK_1541</t>
  </si>
  <si>
    <t>WF_1542</t>
  </si>
  <si>
    <t>TASK_1542</t>
  </si>
  <si>
    <t>WF_1543</t>
  </si>
  <si>
    <t>TASK_1543</t>
  </si>
  <si>
    <t>WF_1544</t>
  </si>
  <si>
    <t>TASK_1544</t>
  </si>
  <si>
    <t>WF_1545</t>
  </si>
  <si>
    <t>TASK_1545</t>
  </si>
  <si>
    <t>WF_1546</t>
  </si>
  <si>
    <t>TASK_1546</t>
  </si>
  <si>
    <t>WF_1547</t>
  </si>
  <si>
    <t>TASK_1547</t>
  </si>
  <si>
    <t>WF_1548</t>
  </si>
  <si>
    <t>TASK_1548</t>
  </si>
  <si>
    <t>WF_1549</t>
  </si>
  <si>
    <t>TASK_1549</t>
  </si>
  <si>
    <t>WF_1550</t>
  </si>
  <si>
    <t>TASK_1550</t>
  </si>
  <si>
    <t>WF_1551</t>
  </si>
  <si>
    <t>TASK_1551</t>
  </si>
  <si>
    <t>WF_1552</t>
  </si>
  <si>
    <t>TASK_1552</t>
  </si>
  <si>
    <t>WF_1553</t>
  </si>
  <si>
    <t>TASK_1553</t>
  </si>
  <si>
    <t>WF_1554</t>
  </si>
  <si>
    <t>TASK_1554</t>
  </si>
  <si>
    <t>WF_1555</t>
  </si>
  <si>
    <t>TASK_1555</t>
  </si>
  <si>
    <t>WF_1556</t>
  </si>
  <si>
    <t>TASK_1556</t>
  </si>
  <si>
    <t>WF_1557</t>
  </si>
  <si>
    <t>TASK_1557</t>
  </si>
  <si>
    <t>WF_1558</t>
  </si>
  <si>
    <t>TASK_1558</t>
  </si>
  <si>
    <t>WF_1559</t>
  </si>
  <si>
    <t>TASK_1559</t>
  </si>
  <si>
    <t>WF_1560</t>
  </si>
  <si>
    <t>TASK_1560</t>
  </si>
  <si>
    <t>WF_1561</t>
  </si>
  <si>
    <t>TASK_1561</t>
  </si>
  <si>
    <t>WF_1562</t>
  </si>
  <si>
    <t>TASK_1562</t>
  </si>
  <si>
    <t>WF_1563</t>
  </si>
  <si>
    <t>TASK_1563</t>
  </si>
  <si>
    <t>WF_1564</t>
  </si>
  <si>
    <t>TASK_1564</t>
  </si>
  <si>
    <t>WF_1565</t>
  </si>
  <si>
    <t>TASK_1565</t>
  </si>
  <si>
    <t>WF_1566</t>
  </si>
  <si>
    <t>TASK_1566</t>
  </si>
  <si>
    <t>WF_1567</t>
  </si>
  <si>
    <t>TASK_1567</t>
  </si>
  <si>
    <t>WF_1568</t>
  </si>
  <si>
    <t>TASK_1568</t>
  </si>
  <si>
    <t>WF_1569</t>
  </si>
  <si>
    <t>TASK_1569</t>
  </si>
  <si>
    <t>WF_1570</t>
  </si>
  <si>
    <t>TASK_1570</t>
  </si>
  <si>
    <t>WF_1571</t>
  </si>
  <si>
    <t>TASK_1571</t>
  </si>
  <si>
    <t>WF_1572</t>
  </si>
  <si>
    <t>TASK_1572</t>
  </si>
  <si>
    <t>WF_1573</t>
  </si>
  <si>
    <t>TASK_1573</t>
  </si>
  <si>
    <t>WF_1574</t>
  </si>
  <si>
    <t>TASK_1574</t>
  </si>
  <si>
    <t>WF_1575</t>
  </si>
  <si>
    <t>TASK_1575</t>
  </si>
  <si>
    <t>WF_1576</t>
  </si>
  <si>
    <t>TASK_1576</t>
  </si>
  <si>
    <t>WF_1577</t>
  </si>
  <si>
    <t>TASK_1577</t>
  </si>
  <si>
    <t>WF_1578</t>
  </si>
  <si>
    <t>TASK_1578</t>
  </si>
  <si>
    <t>WF_1579</t>
  </si>
  <si>
    <t>TASK_1579</t>
  </si>
  <si>
    <t>WF_1580</t>
  </si>
  <si>
    <t>TASK_1580</t>
  </si>
  <si>
    <t>WF_1581</t>
  </si>
  <si>
    <t>TASK_1581</t>
  </si>
  <si>
    <t>WF_1582</t>
  </si>
  <si>
    <t>TASK_1582</t>
  </si>
  <si>
    <t>WF_1583</t>
  </si>
  <si>
    <t>TASK_1583</t>
  </si>
  <si>
    <t>WF_1584</t>
  </si>
  <si>
    <t>TASK_1584</t>
  </si>
  <si>
    <t>WF_1585</t>
  </si>
  <si>
    <t>TASK_1585</t>
  </si>
  <si>
    <t>WF_1586</t>
  </si>
  <si>
    <t>TASK_1586</t>
  </si>
  <si>
    <t>WF_1587</t>
  </si>
  <si>
    <t>TASK_1587</t>
  </si>
  <si>
    <t>WF_1588</t>
  </si>
  <si>
    <t>TASK_1588</t>
  </si>
  <si>
    <t>WF_1589</t>
  </si>
  <si>
    <t>TASK_1589</t>
  </si>
  <si>
    <t>WF_1590</t>
  </si>
  <si>
    <t>TASK_1590</t>
  </si>
  <si>
    <t>WF_1591</t>
  </si>
  <si>
    <t>TASK_1591</t>
  </si>
  <si>
    <t>WF_1592</t>
  </si>
  <si>
    <t>TASK_1592</t>
  </si>
  <si>
    <t>WF_1593</t>
  </si>
  <si>
    <t>TASK_1593</t>
  </si>
  <si>
    <t>WF_1594</t>
  </si>
  <si>
    <t>TASK_1594</t>
  </si>
  <si>
    <t>WF_1595</t>
  </si>
  <si>
    <t>TASK_1595</t>
  </si>
  <si>
    <t>WF_1596</t>
  </si>
  <si>
    <t>TASK_1596</t>
  </si>
  <si>
    <t>WF_1597</t>
  </si>
  <si>
    <t>TASK_1597</t>
  </si>
  <si>
    <t>WF_1598</t>
  </si>
  <si>
    <t>TASK_1598</t>
  </si>
  <si>
    <t>WF_1599</t>
  </si>
  <si>
    <t>TASK_1599</t>
  </si>
  <si>
    <t>WF_1600</t>
  </si>
  <si>
    <t>TASK_1600</t>
  </si>
  <si>
    <t>WF_1601</t>
  </si>
  <si>
    <t>TASK_1601</t>
  </si>
  <si>
    <t>WF_1602</t>
  </si>
  <si>
    <t>TASK_1602</t>
  </si>
  <si>
    <t>WF_1603</t>
  </si>
  <si>
    <t>TASK_1603</t>
  </si>
  <si>
    <t>WF_1604</t>
  </si>
  <si>
    <t>TASK_1604</t>
  </si>
  <si>
    <t>WF_1605</t>
  </si>
  <si>
    <t>TASK_1605</t>
  </si>
  <si>
    <t>WF_1606</t>
  </si>
  <si>
    <t>TASK_1606</t>
  </si>
  <si>
    <t>WF_1607</t>
  </si>
  <si>
    <t>TASK_1607</t>
  </si>
  <si>
    <t>WF_1608</t>
  </si>
  <si>
    <t>TASK_1608</t>
  </si>
  <si>
    <t>WF_1609</t>
  </si>
  <si>
    <t>TASK_1609</t>
  </si>
  <si>
    <t>WF_1610</t>
  </si>
  <si>
    <t>TASK_1610</t>
  </si>
  <si>
    <t>WF_1611</t>
  </si>
  <si>
    <t>TASK_1611</t>
  </si>
  <si>
    <t>WF_1612</t>
  </si>
  <si>
    <t>TASK_1612</t>
  </si>
  <si>
    <t>WF_1613</t>
  </si>
  <si>
    <t>TASK_1613</t>
  </si>
  <si>
    <t>WF_1614</t>
  </si>
  <si>
    <t>TASK_1614</t>
  </si>
  <si>
    <t>WF_1615</t>
  </si>
  <si>
    <t>TASK_1615</t>
  </si>
  <si>
    <t>WF_1616</t>
  </si>
  <si>
    <t>TASK_1616</t>
  </si>
  <si>
    <t>WF_1617</t>
  </si>
  <si>
    <t>TASK_1617</t>
  </si>
  <si>
    <t>WF_1618</t>
  </si>
  <si>
    <t>TASK_1618</t>
  </si>
  <si>
    <t>WF_1619</t>
  </si>
  <si>
    <t>TASK_1619</t>
  </si>
  <si>
    <t>WF_1620</t>
  </si>
  <si>
    <t>TASK_1620</t>
  </si>
  <si>
    <t>WF_1621</t>
  </si>
  <si>
    <t>TASK_1621</t>
  </si>
  <si>
    <t>WF_1622</t>
  </si>
  <si>
    <t>TASK_1622</t>
  </si>
  <si>
    <t>WF_1623</t>
  </si>
  <si>
    <t>TASK_1623</t>
  </si>
  <si>
    <t>WF_1624</t>
  </si>
  <si>
    <t>TASK_1624</t>
  </si>
  <si>
    <t>WF_1625</t>
  </si>
  <si>
    <t>TASK_1625</t>
  </si>
  <si>
    <t>WF_1626</t>
  </si>
  <si>
    <t>TASK_1626</t>
  </si>
  <si>
    <t>WF_1627</t>
  </si>
  <si>
    <t>TASK_1627</t>
  </si>
  <si>
    <t>WF_1628</t>
  </si>
  <si>
    <t>TASK_1628</t>
  </si>
  <si>
    <t>WF_1629</t>
  </si>
  <si>
    <t>TASK_1629</t>
  </si>
  <si>
    <t>WF_1630</t>
  </si>
  <si>
    <t>TASK_1630</t>
  </si>
  <si>
    <t>WF_1631</t>
  </si>
  <si>
    <t>TASK_1631</t>
  </si>
  <si>
    <t>WF_1632</t>
  </si>
  <si>
    <t>TASK_1632</t>
  </si>
  <si>
    <t>WF_1633</t>
  </si>
  <si>
    <t>TASK_1633</t>
  </si>
  <si>
    <t>WF_1634</t>
  </si>
  <si>
    <t>TASK_1634</t>
  </si>
  <si>
    <t>WF_1635</t>
  </si>
  <si>
    <t>TASK_1635</t>
  </si>
  <si>
    <t>WF_1636</t>
  </si>
  <si>
    <t>TASK_1636</t>
  </si>
  <si>
    <t>WF_1637</t>
  </si>
  <si>
    <t>TASK_1637</t>
  </si>
  <si>
    <t>WF_1638</t>
  </si>
  <si>
    <t>TASK_1638</t>
  </si>
  <si>
    <t>WF_1639</t>
  </si>
  <si>
    <t>TASK_1639</t>
  </si>
  <si>
    <t>WF_1640</t>
  </si>
  <si>
    <t>TASK_1640</t>
  </si>
  <si>
    <t>WF_1641</t>
  </si>
  <si>
    <t>TASK_1641</t>
  </si>
  <si>
    <t>WF_1642</t>
  </si>
  <si>
    <t>TASK_1642</t>
  </si>
  <si>
    <t>WF_1643</t>
  </si>
  <si>
    <t>TASK_1643</t>
  </si>
  <si>
    <t>WF_1644</t>
  </si>
  <si>
    <t>TASK_1644</t>
  </si>
  <si>
    <t>WF_1645</t>
  </si>
  <si>
    <t>TASK_1645</t>
  </si>
  <si>
    <t>WF_1646</t>
  </si>
  <si>
    <t>TASK_1646</t>
  </si>
  <si>
    <t>WF_1647</t>
  </si>
  <si>
    <t>TASK_1647</t>
  </si>
  <si>
    <t>WF_1648</t>
  </si>
  <si>
    <t>TASK_1648</t>
  </si>
  <si>
    <t>WF_1649</t>
  </si>
  <si>
    <t>TASK_1649</t>
  </si>
  <si>
    <t>WF_1650</t>
  </si>
  <si>
    <t>TASK_1650</t>
  </si>
  <si>
    <t>WF_1651</t>
  </si>
  <si>
    <t>TASK_1651</t>
  </si>
  <si>
    <t>WF_1652</t>
  </si>
  <si>
    <t>TASK_1652</t>
  </si>
  <si>
    <t>WF_1653</t>
  </si>
  <si>
    <t>TASK_1653</t>
  </si>
  <si>
    <t>WF_1654</t>
  </si>
  <si>
    <t>TASK_1654</t>
  </si>
  <si>
    <t>WF_1655</t>
  </si>
  <si>
    <t>TASK_1655</t>
  </si>
  <si>
    <t>WF_1656</t>
  </si>
  <si>
    <t>TASK_1656</t>
  </si>
  <si>
    <t>WF_1657</t>
  </si>
  <si>
    <t>TASK_1657</t>
  </si>
  <si>
    <t>WF_1658</t>
  </si>
  <si>
    <t>TASK_1658</t>
  </si>
  <si>
    <t>WF_1659</t>
  </si>
  <si>
    <t>TASK_1659</t>
  </si>
  <si>
    <t>WF_1660</t>
  </si>
  <si>
    <t>TASK_1660</t>
  </si>
  <si>
    <t>WF_1661</t>
  </si>
  <si>
    <t>TASK_1661</t>
  </si>
  <si>
    <t>WF_1662</t>
  </si>
  <si>
    <t>TASK_1662</t>
  </si>
  <si>
    <t>WF_1663</t>
  </si>
  <si>
    <t>TASK_1663</t>
  </si>
  <si>
    <t>WF_1664</t>
  </si>
  <si>
    <t>TASK_1664</t>
  </si>
  <si>
    <t>WF_1665</t>
  </si>
  <si>
    <t>TASK_1665</t>
  </si>
  <si>
    <t>WF_1666</t>
  </si>
  <si>
    <t>TASK_1666</t>
  </si>
  <si>
    <t>WF_1667</t>
  </si>
  <si>
    <t>TASK_1667</t>
  </si>
  <si>
    <t>WF_1668</t>
  </si>
  <si>
    <t>TASK_1668</t>
  </si>
  <si>
    <t>WF_1669</t>
  </si>
  <si>
    <t>TASK_1669</t>
  </si>
  <si>
    <t>WF_1670</t>
  </si>
  <si>
    <t>TASK_1670</t>
  </si>
  <si>
    <t>WF_1671</t>
  </si>
  <si>
    <t>TASK_1671</t>
  </si>
  <si>
    <t>WF_1672</t>
  </si>
  <si>
    <t>TASK_1672</t>
  </si>
  <si>
    <t>WF_1673</t>
  </si>
  <si>
    <t>TASK_1673</t>
  </si>
  <si>
    <t>WF_1674</t>
  </si>
  <si>
    <t>TASK_1674</t>
  </si>
  <si>
    <t>WF_1675</t>
  </si>
  <si>
    <t>TASK_1675</t>
  </si>
  <si>
    <t>WF_1676</t>
  </si>
  <si>
    <t>TASK_1676</t>
  </si>
  <si>
    <t>WF_1677</t>
  </si>
  <si>
    <t>TASK_1677</t>
  </si>
  <si>
    <t>WF_1678</t>
  </si>
  <si>
    <t>TASK_1678</t>
  </si>
  <si>
    <t>WF_1679</t>
  </si>
  <si>
    <t>TASK_1679</t>
  </si>
  <si>
    <t>WF_1680</t>
  </si>
  <si>
    <t>TASK_1680</t>
  </si>
  <si>
    <t>WF_1681</t>
  </si>
  <si>
    <t>TASK_1681</t>
  </si>
  <si>
    <t>WF_1682</t>
  </si>
  <si>
    <t>TASK_1682</t>
  </si>
  <si>
    <t>WF_1683</t>
  </si>
  <si>
    <t>TASK_1683</t>
  </si>
  <si>
    <t>WF_1684</t>
  </si>
  <si>
    <t>TASK_1684</t>
  </si>
  <si>
    <t>WF_1685</t>
  </si>
  <si>
    <t>TASK_1685</t>
  </si>
  <si>
    <t>WF_1686</t>
  </si>
  <si>
    <t>TASK_1686</t>
  </si>
  <si>
    <t>WF_1687</t>
  </si>
  <si>
    <t>TASK_1687</t>
  </si>
  <si>
    <t>WF_1688</t>
  </si>
  <si>
    <t>TASK_1688</t>
  </si>
  <si>
    <t>WF_1689</t>
  </si>
  <si>
    <t>TASK_1689</t>
  </si>
  <si>
    <t>WF_1690</t>
  </si>
  <si>
    <t>TASK_1690</t>
  </si>
  <si>
    <t>WF_1691</t>
  </si>
  <si>
    <t>TASK_1691</t>
  </si>
  <si>
    <t>WF_1692</t>
  </si>
  <si>
    <t>TASK_1692</t>
  </si>
  <si>
    <t>WF_1693</t>
  </si>
  <si>
    <t>TASK_1693</t>
  </si>
  <si>
    <t>WF_1694</t>
  </si>
  <si>
    <t>TASK_1694</t>
  </si>
  <si>
    <t>WF_1695</t>
  </si>
  <si>
    <t>TASK_1695</t>
  </si>
  <si>
    <t>WF_1696</t>
  </si>
  <si>
    <t>TASK_1696</t>
  </si>
  <si>
    <t>WF_1697</t>
  </si>
  <si>
    <t>TASK_1697</t>
  </si>
  <si>
    <t>WF_1698</t>
  </si>
  <si>
    <t>TASK_1698</t>
  </si>
  <si>
    <t>WF_1699</t>
  </si>
  <si>
    <t>TASK_1699</t>
  </si>
  <si>
    <t>WF_1700</t>
  </si>
  <si>
    <t>TASK_1700</t>
  </si>
  <si>
    <t>WF_1701</t>
  </si>
  <si>
    <t>TASK_1701</t>
  </si>
  <si>
    <t>WF_1702</t>
  </si>
  <si>
    <t>TASK_1702</t>
  </si>
  <si>
    <t>WF_1703</t>
  </si>
  <si>
    <t>TASK_1703</t>
  </si>
  <si>
    <t>WF_1704</t>
  </si>
  <si>
    <t>TASK_1704</t>
  </si>
  <si>
    <t>WF_1705</t>
  </si>
  <si>
    <t>TASK_1705</t>
  </si>
  <si>
    <t>WF_1706</t>
  </si>
  <si>
    <t>TASK_1706</t>
  </si>
  <si>
    <t>WF_1707</t>
  </si>
  <si>
    <t>TASK_1707</t>
  </si>
  <si>
    <t>WF_1708</t>
  </si>
  <si>
    <t>TASK_1708</t>
  </si>
  <si>
    <t>WF_1709</t>
  </si>
  <si>
    <t>TASK_1709</t>
  </si>
  <si>
    <t>WF_1710</t>
  </si>
  <si>
    <t>TASK_1710</t>
  </si>
  <si>
    <t>WF_1711</t>
  </si>
  <si>
    <t>TASK_1711</t>
  </si>
  <si>
    <t>WF_1712</t>
  </si>
  <si>
    <t>TASK_1712</t>
  </si>
  <si>
    <t>WF_1713</t>
  </si>
  <si>
    <t>TASK_1713</t>
  </si>
  <si>
    <t>WF_1714</t>
  </si>
  <si>
    <t>TASK_1714</t>
  </si>
  <si>
    <t>WF_1715</t>
  </si>
  <si>
    <t>TASK_1715</t>
  </si>
  <si>
    <t>WF_1716</t>
  </si>
  <si>
    <t>TASK_1716</t>
  </si>
  <si>
    <t>WF_1717</t>
  </si>
  <si>
    <t>TASK_1717</t>
  </si>
  <si>
    <t>WF_1718</t>
  </si>
  <si>
    <t>TASK_1718</t>
  </si>
  <si>
    <t>WF_1719</t>
  </si>
  <si>
    <t>TASK_1719</t>
  </si>
  <si>
    <t>WF_1720</t>
  </si>
  <si>
    <t>TASK_1720</t>
  </si>
  <si>
    <t>WF_1721</t>
  </si>
  <si>
    <t>TASK_1721</t>
  </si>
  <si>
    <t>WF_1722</t>
  </si>
  <si>
    <t>TASK_1722</t>
  </si>
  <si>
    <t>WF_1723</t>
  </si>
  <si>
    <t>TASK_1723</t>
  </si>
  <si>
    <t>WF_1724</t>
  </si>
  <si>
    <t>TASK_1724</t>
  </si>
  <si>
    <t>WF_1725</t>
  </si>
  <si>
    <t>TASK_1725</t>
  </si>
  <si>
    <t>WF_1726</t>
  </si>
  <si>
    <t>TASK_1726</t>
  </si>
  <si>
    <t>WF_1727</t>
  </si>
  <si>
    <t>TASK_1727</t>
  </si>
  <si>
    <t>WF_1728</t>
  </si>
  <si>
    <t>TASK_1728</t>
  </si>
  <si>
    <t>WF_1729</t>
  </si>
  <si>
    <t>TASK_1729</t>
  </si>
  <si>
    <t>WF_1730</t>
  </si>
  <si>
    <t>TASK_1730</t>
  </si>
  <si>
    <t>WF_1731</t>
  </si>
  <si>
    <t>TASK_1731</t>
  </si>
  <si>
    <t>WF_1732</t>
  </si>
  <si>
    <t>TASK_1732</t>
  </si>
  <si>
    <t>WF_1733</t>
  </si>
  <si>
    <t>TASK_1733</t>
  </si>
  <si>
    <t>WF_1734</t>
  </si>
  <si>
    <t>TASK_1734</t>
  </si>
  <si>
    <t>WF_1735</t>
  </si>
  <si>
    <t>TASK_1735</t>
  </si>
  <si>
    <t>WF_1736</t>
  </si>
  <si>
    <t>TASK_1736</t>
  </si>
  <si>
    <t>WF_1737</t>
  </si>
  <si>
    <t>TASK_1737</t>
  </si>
  <si>
    <t>WF_1738</t>
  </si>
  <si>
    <t>TASK_1738</t>
  </si>
  <si>
    <t>WF_1739</t>
  </si>
  <si>
    <t>TASK_1739</t>
  </si>
  <si>
    <t>WF_1740</t>
  </si>
  <si>
    <t>TASK_1740</t>
  </si>
  <si>
    <t>WF_1741</t>
  </si>
  <si>
    <t>TASK_1741</t>
  </si>
  <si>
    <t>WF_1742</t>
  </si>
  <si>
    <t>TASK_1742</t>
  </si>
  <si>
    <t>WF_1743</t>
  </si>
  <si>
    <t>TASK_1743</t>
  </si>
  <si>
    <t>WF_1744</t>
  </si>
  <si>
    <t>TASK_1744</t>
  </si>
  <si>
    <t>WF_1745</t>
  </si>
  <si>
    <t>TASK_1745</t>
  </si>
  <si>
    <t>WF_1746</t>
  </si>
  <si>
    <t>TASK_1746</t>
  </si>
  <si>
    <t>WF_1747</t>
  </si>
  <si>
    <t>TASK_1747</t>
  </si>
  <si>
    <t>WF_1748</t>
  </si>
  <si>
    <t>TASK_1748</t>
  </si>
  <si>
    <t>WF_1749</t>
  </si>
  <si>
    <t>TASK_1749</t>
  </si>
  <si>
    <t>WF_1750</t>
  </si>
  <si>
    <t>TASK_1750</t>
  </si>
  <si>
    <t>WF_1751</t>
  </si>
  <si>
    <t>TASK_1751</t>
  </si>
  <si>
    <t>WF_1752</t>
  </si>
  <si>
    <t>TASK_1752</t>
  </si>
  <si>
    <t>WF_1753</t>
  </si>
  <si>
    <t>TASK_1753</t>
  </si>
  <si>
    <t>WF_1754</t>
  </si>
  <si>
    <t>TASK_1754</t>
  </si>
  <si>
    <t>WF_1755</t>
  </si>
  <si>
    <t>TASK_1755</t>
  </si>
  <si>
    <t>WF_1756</t>
  </si>
  <si>
    <t>TASK_1756</t>
  </si>
  <si>
    <t>WF_1757</t>
  </si>
  <si>
    <t>TASK_1757</t>
  </si>
  <si>
    <t>WF_1758</t>
  </si>
  <si>
    <t>TASK_1758</t>
  </si>
  <si>
    <t>WF_1759</t>
  </si>
  <si>
    <t>TASK_1759</t>
  </si>
  <si>
    <t>WF_1760</t>
  </si>
  <si>
    <t>TASK_1760</t>
  </si>
  <si>
    <t>WF_1761</t>
  </si>
  <si>
    <t>TASK_1761</t>
  </si>
  <si>
    <t>WF_1762</t>
  </si>
  <si>
    <t>TASK_1762</t>
  </si>
  <si>
    <t>WF_1763</t>
  </si>
  <si>
    <t>TASK_1763</t>
  </si>
  <si>
    <t>WF_1764</t>
  </si>
  <si>
    <t>TASK_1764</t>
  </si>
  <si>
    <t>WF_1765</t>
  </si>
  <si>
    <t>TASK_1765</t>
  </si>
  <si>
    <t>WF_1766</t>
  </si>
  <si>
    <t>TASK_1766</t>
  </si>
  <si>
    <t>WF_1767</t>
  </si>
  <si>
    <t>TASK_1767</t>
  </si>
  <si>
    <t>WF_1768</t>
  </si>
  <si>
    <t>TASK_1768</t>
  </si>
  <si>
    <t>WF_1769</t>
  </si>
  <si>
    <t>TASK_1769</t>
  </si>
  <si>
    <t>WF_1770</t>
  </si>
  <si>
    <t>TASK_1770</t>
  </si>
  <si>
    <t>WF_1771</t>
  </si>
  <si>
    <t>TASK_1771</t>
  </si>
  <si>
    <t>WF_1772</t>
  </si>
  <si>
    <t>TASK_1772</t>
  </si>
  <si>
    <t>WF_1773</t>
  </si>
  <si>
    <t>TASK_1773</t>
  </si>
  <si>
    <t>WF_1774</t>
  </si>
  <si>
    <t>TASK_1774</t>
  </si>
  <si>
    <t>WF_1775</t>
  </si>
  <si>
    <t>TASK_1775</t>
  </si>
  <si>
    <t>WF_1776</t>
  </si>
  <si>
    <t>TASK_1776</t>
  </si>
  <si>
    <t>WF_1777</t>
  </si>
  <si>
    <t>TASK_1777</t>
  </si>
  <si>
    <t>WF_1778</t>
  </si>
  <si>
    <t>TASK_1778</t>
  </si>
  <si>
    <t>WF_1779</t>
  </si>
  <si>
    <t>TASK_1779</t>
  </si>
  <si>
    <t>WF_1780</t>
  </si>
  <si>
    <t>TASK_1780</t>
  </si>
  <si>
    <t>WF_1781</t>
  </si>
  <si>
    <t>TASK_1781</t>
  </si>
  <si>
    <t>WF_1782</t>
  </si>
  <si>
    <t>TASK_1782</t>
  </si>
  <si>
    <t>WF_1783</t>
  </si>
  <si>
    <t>TASK_1783</t>
  </si>
  <si>
    <t>WF_1784</t>
  </si>
  <si>
    <t>TASK_1784</t>
  </si>
  <si>
    <t>WF_1785</t>
  </si>
  <si>
    <t>TASK_1785</t>
  </si>
  <si>
    <t>WF_1786</t>
  </si>
  <si>
    <t>TASK_1786</t>
  </si>
  <si>
    <t>WF_1787</t>
  </si>
  <si>
    <t>TASK_1787</t>
  </si>
  <si>
    <t>WF_1788</t>
  </si>
  <si>
    <t>TASK_1788</t>
  </si>
  <si>
    <t>WF_1789</t>
  </si>
  <si>
    <t>TASK_1789</t>
  </si>
  <si>
    <t>WF_1790</t>
  </si>
  <si>
    <t>TASK_1790</t>
  </si>
  <si>
    <t>WF_1791</t>
  </si>
  <si>
    <t>TASK_1791</t>
  </si>
  <si>
    <t>WF_1792</t>
  </si>
  <si>
    <t>TASK_1792</t>
  </si>
  <si>
    <t>WF_1793</t>
  </si>
  <si>
    <t>TASK_1793</t>
  </si>
  <si>
    <t>WF_1794</t>
  </si>
  <si>
    <t>TASK_1794</t>
  </si>
  <si>
    <t>WF_1795</t>
  </si>
  <si>
    <t>TASK_1795</t>
  </si>
  <si>
    <t>WF_1796</t>
  </si>
  <si>
    <t>TASK_1796</t>
  </si>
  <si>
    <t>WF_1797</t>
  </si>
  <si>
    <t>TASK_1797</t>
  </si>
  <si>
    <t>WF_1798</t>
  </si>
  <si>
    <t>TASK_1798</t>
  </si>
  <si>
    <t>WF_1799</t>
  </si>
  <si>
    <t>TASK_1799</t>
  </si>
  <si>
    <t>WF_1800</t>
  </si>
  <si>
    <t>TASK_1800</t>
  </si>
  <si>
    <t>WF_1801</t>
  </si>
  <si>
    <t>TASK_1801</t>
  </si>
  <si>
    <t>WF_1802</t>
  </si>
  <si>
    <t>TASK_1802</t>
  </si>
  <si>
    <t>WF_1803</t>
  </si>
  <si>
    <t>TASK_1803</t>
  </si>
  <si>
    <t>WF_1804</t>
  </si>
  <si>
    <t>TASK_1804</t>
  </si>
  <si>
    <t>WF_1805</t>
  </si>
  <si>
    <t>TASK_1805</t>
  </si>
  <si>
    <t>WF_1806</t>
  </si>
  <si>
    <t>TASK_1806</t>
  </si>
  <si>
    <t>WF_1807</t>
  </si>
  <si>
    <t>TASK_1807</t>
  </si>
  <si>
    <t>WF_1808</t>
  </si>
  <si>
    <t>TASK_1808</t>
  </si>
  <si>
    <t>WF_1809</t>
  </si>
  <si>
    <t>TASK_1809</t>
  </si>
  <si>
    <t>WF_1810</t>
  </si>
  <si>
    <t>TASK_1810</t>
  </si>
  <si>
    <t>WF_1811</t>
  </si>
  <si>
    <t>TASK_1811</t>
  </si>
  <si>
    <t>WF_1812</t>
  </si>
  <si>
    <t>TASK_1812</t>
  </si>
  <si>
    <t>WF_1813</t>
  </si>
  <si>
    <t>TASK_1813</t>
  </si>
  <si>
    <t>WF_1814</t>
  </si>
  <si>
    <t>TASK_1814</t>
  </si>
  <si>
    <t>WF_1815</t>
  </si>
  <si>
    <t>TASK_1815</t>
  </si>
  <si>
    <t>WF_1816</t>
  </si>
  <si>
    <t>TASK_1816</t>
  </si>
  <si>
    <t>WF_1817</t>
  </si>
  <si>
    <t>TASK_1817</t>
  </si>
  <si>
    <t>WF_1818</t>
  </si>
  <si>
    <t>TASK_1818</t>
  </si>
  <si>
    <t>WF_1819</t>
  </si>
  <si>
    <t>TASK_1819</t>
  </si>
  <si>
    <t>WF_1820</t>
  </si>
  <si>
    <t>TASK_1820</t>
  </si>
  <si>
    <t>WF_1821</t>
  </si>
  <si>
    <t>TASK_1821</t>
  </si>
  <si>
    <t>WF_1822</t>
  </si>
  <si>
    <t>TASK_1822</t>
  </si>
  <si>
    <t>WF_1823</t>
  </si>
  <si>
    <t>TASK_1823</t>
  </si>
  <si>
    <t>WF_1824</t>
  </si>
  <si>
    <t>TASK_1824</t>
  </si>
  <si>
    <t>WF_1825</t>
  </si>
  <si>
    <t>TASK_1825</t>
  </si>
  <si>
    <t>WF_1826</t>
  </si>
  <si>
    <t>TASK_1826</t>
  </si>
  <si>
    <t>WF_1827</t>
  </si>
  <si>
    <t>TASK_1827</t>
  </si>
  <si>
    <t>WF_1828</t>
  </si>
  <si>
    <t>TASK_1828</t>
  </si>
  <si>
    <t>WF_1829</t>
  </si>
  <si>
    <t>TASK_1829</t>
  </si>
  <si>
    <t>WF_1830</t>
  </si>
  <si>
    <t>TASK_1830</t>
  </si>
  <si>
    <t>WF_1831</t>
  </si>
  <si>
    <t>TASK_1831</t>
  </si>
  <si>
    <t>WF_1832</t>
  </si>
  <si>
    <t>TASK_1832</t>
  </si>
  <si>
    <t>WF_1833</t>
  </si>
  <si>
    <t>TASK_1833</t>
  </si>
  <si>
    <t>WF_1834</t>
  </si>
  <si>
    <t>TASK_1834</t>
  </si>
  <si>
    <t>WF_1835</t>
  </si>
  <si>
    <t>TASK_1835</t>
  </si>
  <si>
    <t>WF_1836</t>
  </si>
  <si>
    <t>TASK_1836</t>
  </si>
  <si>
    <t>WF_1837</t>
  </si>
  <si>
    <t>TASK_1837</t>
  </si>
  <si>
    <t>WF_1838</t>
  </si>
  <si>
    <t>TASK_1838</t>
  </si>
  <si>
    <t>WF_1839</t>
  </si>
  <si>
    <t>TASK_1839</t>
  </si>
  <si>
    <t>WF_1840</t>
  </si>
  <si>
    <t>TASK_1840</t>
  </si>
  <si>
    <t>WF_1841</t>
  </si>
  <si>
    <t>TASK_1841</t>
  </si>
  <si>
    <t>WF_1842</t>
  </si>
  <si>
    <t>TASK_1842</t>
  </si>
  <si>
    <t>WF_1843</t>
  </si>
  <si>
    <t>TASK_1843</t>
  </si>
  <si>
    <t>WF_1844</t>
  </si>
  <si>
    <t>TASK_1844</t>
  </si>
  <si>
    <t>WF_1845</t>
  </si>
  <si>
    <t>TASK_1845</t>
  </si>
  <si>
    <t>WF_1846</t>
  </si>
  <si>
    <t>TASK_1846</t>
  </si>
  <si>
    <t>WF_1847</t>
  </si>
  <si>
    <t>TASK_1847</t>
  </si>
  <si>
    <t>WF_1848</t>
  </si>
  <si>
    <t>TASK_1848</t>
  </si>
  <si>
    <t>WF_1849</t>
  </si>
  <si>
    <t>TASK_1849</t>
  </si>
  <si>
    <t>WF_1850</t>
  </si>
  <si>
    <t>TASK_1850</t>
  </si>
  <si>
    <t>WF_1851</t>
  </si>
  <si>
    <t>TASK_1851</t>
  </si>
  <si>
    <t>WF_1852</t>
  </si>
  <si>
    <t>TASK_1852</t>
  </si>
  <si>
    <t>WF_1853</t>
  </si>
  <si>
    <t>TASK_1853</t>
  </si>
  <si>
    <t>WF_1854</t>
  </si>
  <si>
    <t>TASK_1854</t>
  </si>
  <si>
    <t>WF_1855</t>
  </si>
  <si>
    <t>TASK_1855</t>
  </si>
  <si>
    <t>WF_1856</t>
  </si>
  <si>
    <t>TASK_1856</t>
  </si>
  <si>
    <t>WF_1857</t>
  </si>
  <si>
    <t>TASK_1857</t>
  </si>
  <si>
    <t>WF_1858</t>
  </si>
  <si>
    <t>TASK_1858</t>
  </si>
  <si>
    <t>WF_1859</t>
  </si>
  <si>
    <t>TASK_1859</t>
  </si>
  <si>
    <t>WF_1860</t>
  </si>
  <si>
    <t>TASK_1860</t>
  </si>
  <si>
    <t>WF_1861</t>
  </si>
  <si>
    <t>TASK_1861</t>
  </si>
  <si>
    <t>WF_1862</t>
  </si>
  <si>
    <t>TASK_1862</t>
  </si>
  <si>
    <t>WF_1863</t>
  </si>
  <si>
    <t>TASK_1863</t>
  </si>
  <si>
    <t>WF_1864</t>
  </si>
  <si>
    <t>TASK_1864</t>
  </si>
  <si>
    <t>WF_1865</t>
  </si>
  <si>
    <t>TASK_1865</t>
  </si>
  <si>
    <t>WF_1866</t>
  </si>
  <si>
    <t>TASK_1866</t>
  </si>
  <si>
    <t>WF_1867</t>
  </si>
  <si>
    <t>TASK_1867</t>
  </si>
  <si>
    <t>WF_1868</t>
  </si>
  <si>
    <t>TASK_1868</t>
  </si>
  <si>
    <t>WF_1869</t>
  </si>
  <si>
    <t>TASK_1869</t>
  </si>
  <si>
    <t>WF_1870</t>
  </si>
  <si>
    <t>TASK_1870</t>
  </si>
  <si>
    <t>WF_1871</t>
  </si>
  <si>
    <t>TASK_1871</t>
  </si>
  <si>
    <t>WF_1872</t>
  </si>
  <si>
    <t>TASK_1872</t>
  </si>
  <si>
    <t>WF_1873</t>
  </si>
  <si>
    <t>TASK_1873</t>
  </si>
  <si>
    <t>WF_1874</t>
  </si>
  <si>
    <t>TASK_1874</t>
  </si>
  <si>
    <t>WF_1875</t>
  </si>
  <si>
    <t>TASK_1875</t>
  </si>
  <si>
    <t>WF_1876</t>
  </si>
  <si>
    <t>TASK_1876</t>
  </si>
  <si>
    <t>WF_1877</t>
  </si>
  <si>
    <t>TASK_1877</t>
  </si>
  <si>
    <t>WF_1878</t>
  </si>
  <si>
    <t>TASK_1878</t>
  </si>
  <si>
    <t>WF_1879</t>
  </si>
  <si>
    <t>TASK_1879</t>
  </si>
  <si>
    <t>WF_1880</t>
  </si>
  <si>
    <t>TASK_1880</t>
  </si>
  <si>
    <t>WF_1881</t>
  </si>
  <si>
    <t>TASK_1881</t>
  </si>
  <si>
    <t>WF_1882</t>
  </si>
  <si>
    <t>TASK_1882</t>
  </si>
  <si>
    <t>WF_1883</t>
  </si>
  <si>
    <t>TASK_1883</t>
  </si>
  <si>
    <t>WF_1884</t>
  </si>
  <si>
    <t>TASK_1884</t>
  </si>
  <si>
    <t>WF_1885</t>
  </si>
  <si>
    <t>TASK_1885</t>
  </si>
  <si>
    <t>WF_1886</t>
  </si>
  <si>
    <t>TASK_1886</t>
  </si>
  <si>
    <t>WF_1887</t>
  </si>
  <si>
    <t>TASK_1887</t>
  </si>
  <si>
    <t>WF_1888</t>
  </si>
  <si>
    <t>TASK_1888</t>
  </si>
  <si>
    <t>WF_1889</t>
  </si>
  <si>
    <t>TASK_1889</t>
  </si>
  <si>
    <t>WF_1890</t>
  </si>
  <si>
    <t>TASK_1890</t>
  </si>
  <si>
    <t>WF_1891</t>
  </si>
  <si>
    <t>TASK_1891</t>
  </si>
  <si>
    <t>WF_1892</t>
  </si>
  <si>
    <t>TASK_1892</t>
  </si>
  <si>
    <t>WF_1893</t>
  </si>
  <si>
    <t>TASK_1893</t>
  </si>
  <si>
    <t>WF_1894</t>
  </si>
  <si>
    <t>TASK_1894</t>
  </si>
  <si>
    <t>WF_1895</t>
  </si>
  <si>
    <t>TASK_1895</t>
  </si>
  <si>
    <t>WF_1896</t>
  </si>
  <si>
    <t>TASK_1896</t>
  </si>
  <si>
    <t>WF_1897</t>
  </si>
  <si>
    <t>TASK_1897</t>
  </si>
  <si>
    <t>WF_1898</t>
  </si>
  <si>
    <t>TASK_1898</t>
  </si>
  <si>
    <t>WF_1899</t>
  </si>
  <si>
    <t>TASK_1899</t>
  </si>
  <si>
    <t>WF_1900</t>
  </si>
  <si>
    <t>TASK_1900</t>
  </si>
  <si>
    <t>WF_1901</t>
  </si>
  <si>
    <t>TASK_1901</t>
  </si>
  <si>
    <t>WF_1902</t>
  </si>
  <si>
    <t>TASK_1902</t>
  </si>
  <si>
    <t>WF_1903</t>
  </si>
  <si>
    <t>TASK_1903</t>
  </si>
  <si>
    <t>WF_1904</t>
  </si>
  <si>
    <t>TASK_1904</t>
  </si>
  <si>
    <t>WF_1905</t>
  </si>
  <si>
    <t>TASK_1905</t>
  </si>
  <si>
    <t>WF_1906</t>
  </si>
  <si>
    <t>TASK_1906</t>
  </si>
  <si>
    <t>WF_1907</t>
  </si>
  <si>
    <t>TASK_1907</t>
  </si>
  <si>
    <t>WF_1908</t>
  </si>
  <si>
    <t>TASK_1908</t>
  </si>
  <si>
    <t>WF_1909</t>
  </si>
  <si>
    <t>TASK_1909</t>
  </si>
  <si>
    <t>WF_1910</t>
  </si>
  <si>
    <t>TASK_1910</t>
  </si>
  <si>
    <t>WF_1911</t>
  </si>
  <si>
    <t>TASK_1911</t>
  </si>
  <si>
    <t>WF_1912</t>
  </si>
  <si>
    <t>TASK_1912</t>
  </si>
  <si>
    <t>WF_1913</t>
  </si>
  <si>
    <t>TASK_1913</t>
  </si>
  <si>
    <t>WF_1914</t>
  </si>
  <si>
    <t>TASK_1914</t>
  </si>
  <si>
    <t>WF_1915</t>
  </si>
  <si>
    <t>TASK_1915</t>
  </si>
  <si>
    <t>WF_1916</t>
  </si>
  <si>
    <t>TASK_1916</t>
  </si>
  <si>
    <t>WF_1917</t>
  </si>
  <si>
    <t>TASK_1917</t>
  </si>
  <si>
    <t>WF_1918</t>
  </si>
  <si>
    <t>TASK_1918</t>
  </si>
  <si>
    <t>WF_1919</t>
  </si>
  <si>
    <t>TASK_1919</t>
  </si>
  <si>
    <t>WF_1920</t>
  </si>
  <si>
    <t>TASK_1920</t>
  </si>
  <si>
    <t>WF_1921</t>
  </si>
  <si>
    <t>TASK_1921</t>
  </si>
  <si>
    <t>WF_1922</t>
  </si>
  <si>
    <t>TASK_1922</t>
  </si>
  <si>
    <t>WF_1923</t>
  </si>
  <si>
    <t>TASK_1923</t>
  </si>
  <si>
    <t>WF_1924</t>
  </si>
  <si>
    <t>TASK_1924</t>
  </si>
  <si>
    <t>WF_1925</t>
  </si>
  <si>
    <t>TASK_1925</t>
  </si>
  <si>
    <t>WF_1926</t>
  </si>
  <si>
    <t>TASK_1926</t>
  </si>
  <si>
    <t>WF_1927</t>
  </si>
  <si>
    <t>TASK_1927</t>
  </si>
  <si>
    <t>WF_1928</t>
  </si>
  <si>
    <t>TASK_1928</t>
  </si>
  <si>
    <t>WF_1929</t>
  </si>
  <si>
    <t>TASK_1929</t>
  </si>
  <si>
    <t>WF_1930</t>
  </si>
  <si>
    <t>TASK_1930</t>
  </si>
  <si>
    <t>WF_1931</t>
  </si>
  <si>
    <t>TASK_1931</t>
  </si>
  <si>
    <t>WF_1932</t>
  </si>
  <si>
    <t>TASK_1932</t>
  </si>
  <si>
    <t>WF_1933</t>
  </si>
  <si>
    <t>TASK_1933</t>
  </si>
  <si>
    <t>WF_1934</t>
  </si>
  <si>
    <t>TASK_1934</t>
  </si>
  <si>
    <t>WF_1935</t>
  </si>
  <si>
    <t>TASK_1935</t>
  </si>
  <si>
    <t>WF_1936</t>
  </si>
  <si>
    <t>TASK_1936</t>
  </si>
  <si>
    <t>WF_1937</t>
  </si>
  <si>
    <t>TASK_1937</t>
  </si>
  <si>
    <t>WF_1938</t>
  </si>
  <si>
    <t>TASK_1938</t>
  </si>
  <si>
    <t>WF_1939</t>
  </si>
  <si>
    <t>TASK_1939</t>
  </si>
  <si>
    <t>WF_1940</t>
  </si>
  <si>
    <t>TASK_1940</t>
  </si>
  <si>
    <t>WF_1941</t>
  </si>
  <si>
    <t>TASK_1941</t>
  </si>
  <si>
    <t>WF_1942</t>
  </si>
  <si>
    <t>TASK_1942</t>
  </si>
  <si>
    <t>WF_1943</t>
  </si>
  <si>
    <t>TASK_1943</t>
  </si>
  <si>
    <t>WF_1944</t>
  </si>
  <si>
    <t>TASK_1944</t>
  </si>
  <si>
    <t>WF_1945</t>
  </si>
  <si>
    <t>TASK_1945</t>
  </si>
  <si>
    <t>WF_1946</t>
  </si>
  <si>
    <t>TASK_1946</t>
  </si>
  <si>
    <t>WF_1947</t>
  </si>
  <si>
    <t>TASK_1947</t>
  </si>
  <si>
    <t>WF_1948</t>
  </si>
  <si>
    <t>TASK_1948</t>
  </si>
  <si>
    <t>WF_1949</t>
  </si>
  <si>
    <t>TASK_1949</t>
  </si>
  <si>
    <t>WF_1950</t>
  </si>
  <si>
    <t>TASK_1950</t>
  </si>
  <si>
    <t>WF_1951</t>
  </si>
  <si>
    <t>TASK_1951</t>
  </si>
  <si>
    <t>WF_1952</t>
  </si>
  <si>
    <t>TASK_1952</t>
  </si>
  <si>
    <t>WF_1953</t>
  </si>
  <si>
    <t>TASK_1953</t>
  </si>
  <si>
    <t>WF_1954</t>
  </si>
  <si>
    <t>TASK_1954</t>
  </si>
  <si>
    <t>WF_1955</t>
  </si>
  <si>
    <t>TASK_1955</t>
  </si>
  <si>
    <t>WF_1956</t>
  </si>
  <si>
    <t>TASK_1956</t>
  </si>
  <si>
    <t>WF_1957</t>
  </si>
  <si>
    <t>TASK_1957</t>
  </si>
  <si>
    <t>WF_1958</t>
  </si>
  <si>
    <t>TASK_1958</t>
  </si>
  <si>
    <t>WF_1959</t>
  </si>
  <si>
    <t>TASK_1959</t>
  </si>
  <si>
    <t>WF_1960</t>
  </si>
  <si>
    <t>TASK_1960</t>
  </si>
  <si>
    <t>WF_1961</t>
  </si>
  <si>
    <t>TASK_1961</t>
  </si>
  <si>
    <t>WF_1962</t>
  </si>
  <si>
    <t>TASK_1962</t>
  </si>
  <si>
    <t>WF_1963</t>
  </si>
  <si>
    <t>TASK_1963</t>
  </si>
  <si>
    <t>WF_1964</t>
  </si>
  <si>
    <t>TASK_1964</t>
  </si>
  <si>
    <t>WF_1965</t>
  </si>
  <si>
    <t>TASK_1965</t>
  </si>
  <si>
    <t>WF_1966</t>
  </si>
  <si>
    <t>TASK_1966</t>
  </si>
  <si>
    <t>WF_1967</t>
  </si>
  <si>
    <t>TASK_1967</t>
  </si>
  <si>
    <t>WF_1968</t>
  </si>
  <si>
    <t>TASK_1968</t>
  </si>
  <si>
    <t>WF_1969</t>
  </si>
  <si>
    <t>TASK_1969</t>
  </si>
  <si>
    <t>WF_1970</t>
  </si>
  <si>
    <t>TASK_1970</t>
  </si>
  <si>
    <t>WF_1971</t>
  </si>
  <si>
    <t>TASK_1971</t>
  </si>
  <si>
    <t>WF_1972</t>
  </si>
  <si>
    <t>TASK_1972</t>
  </si>
  <si>
    <t>WF_1973</t>
  </si>
  <si>
    <t>TASK_1973</t>
  </si>
  <si>
    <t>WF_1974</t>
  </si>
  <si>
    <t>TASK_1974</t>
  </si>
  <si>
    <t>WF_1975</t>
  </si>
  <si>
    <t>TASK_1975</t>
  </si>
  <si>
    <t>WF_1976</t>
  </si>
  <si>
    <t>TASK_1976</t>
  </si>
  <si>
    <t>WF_1977</t>
  </si>
  <si>
    <t>TASK_1977</t>
  </si>
  <si>
    <t>WF_1978</t>
  </si>
  <si>
    <t>TASK_1978</t>
  </si>
  <si>
    <t>WF_1979</t>
  </si>
  <si>
    <t>TASK_1979</t>
  </si>
  <si>
    <t>WF_1980</t>
  </si>
  <si>
    <t>TASK_1980</t>
  </si>
  <si>
    <t>WF_1981</t>
  </si>
  <si>
    <t>TASK_1981</t>
  </si>
  <si>
    <t>WF_1982</t>
  </si>
  <si>
    <t>TASK_1982</t>
  </si>
  <si>
    <t>WF_1983</t>
  </si>
  <si>
    <t>TASK_1983</t>
  </si>
  <si>
    <t>WF_1984</t>
  </si>
  <si>
    <t>TASK_1984</t>
  </si>
  <si>
    <t>WF_1985</t>
  </si>
  <si>
    <t>TASK_1985</t>
  </si>
  <si>
    <t>WF_1986</t>
  </si>
  <si>
    <t>TASK_1986</t>
  </si>
  <si>
    <t>WF_1987</t>
  </si>
  <si>
    <t>TASK_1987</t>
  </si>
  <si>
    <t>WF_1988</t>
  </si>
  <si>
    <t>TASK_1988</t>
  </si>
  <si>
    <t>WF_1989</t>
  </si>
  <si>
    <t>TASK_1989</t>
  </si>
  <si>
    <t>WF_1990</t>
  </si>
  <si>
    <t>TASK_1990</t>
  </si>
  <si>
    <t>WF_1991</t>
  </si>
  <si>
    <t>TASK_1991</t>
  </si>
  <si>
    <t>WF_1992</t>
  </si>
  <si>
    <t>TASK_1992</t>
  </si>
  <si>
    <t>WF_1993</t>
  </si>
  <si>
    <t>TASK_1993</t>
  </si>
  <si>
    <t>WF_1994</t>
  </si>
  <si>
    <t>TASK_1994</t>
  </si>
  <si>
    <t>WF_1995</t>
  </si>
  <si>
    <t>TASK_1995</t>
  </si>
  <si>
    <t>WF_1996</t>
  </si>
  <si>
    <t>TASK_1996</t>
  </si>
  <si>
    <t>WF_1997</t>
  </si>
  <si>
    <t>TASK_1997</t>
  </si>
  <si>
    <t>WF_1998</t>
  </si>
  <si>
    <t>TASK_1998</t>
  </si>
  <si>
    <t>WF_1999</t>
  </si>
  <si>
    <t>TASK_1999</t>
  </si>
  <si>
    <t>WF_2000</t>
  </si>
  <si>
    <t>TASK_2000</t>
  </si>
  <si>
    <t>WF_2001</t>
  </si>
  <si>
    <t>TASK_2001</t>
  </si>
  <si>
    <t>WF_2002</t>
  </si>
  <si>
    <t>TASK_2002</t>
  </si>
  <si>
    <t>WF_2003</t>
  </si>
  <si>
    <t>TASK_2003</t>
  </si>
  <si>
    <t>WF_2004</t>
  </si>
  <si>
    <t>TASK_2004</t>
  </si>
  <si>
    <t>WF_2005</t>
  </si>
  <si>
    <t>TASK_2005</t>
  </si>
  <si>
    <t>WF_2006</t>
  </si>
  <si>
    <t>TASK_2006</t>
  </si>
  <si>
    <t>WF_2007</t>
  </si>
  <si>
    <t>TASK_2007</t>
  </si>
  <si>
    <t>WF_2008</t>
  </si>
  <si>
    <t>TASK_2008</t>
  </si>
  <si>
    <t>WF_2009</t>
  </si>
  <si>
    <t>TASK_2009</t>
  </si>
  <si>
    <t>WF_2010</t>
  </si>
  <si>
    <t>TASK_2010</t>
  </si>
  <si>
    <t>WF_2011</t>
  </si>
  <si>
    <t>TASK_2011</t>
  </si>
  <si>
    <t>WF_2012</t>
  </si>
  <si>
    <t>TASK_2012</t>
  </si>
  <si>
    <t>WF_2013</t>
  </si>
  <si>
    <t>TASK_2013</t>
  </si>
  <si>
    <t>WF_2014</t>
  </si>
  <si>
    <t>TASK_2014</t>
  </si>
  <si>
    <t>WF_2015</t>
  </si>
  <si>
    <t>TASK_2015</t>
  </si>
  <si>
    <t>WF_2016</t>
  </si>
  <si>
    <t>TASK_2016</t>
  </si>
  <si>
    <t>WF_2017</t>
  </si>
  <si>
    <t>TASK_2017</t>
  </si>
  <si>
    <t>WF_2018</t>
  </si>
  <si>
    <t>TASK_2018</t>
  </si>
  <si>
    <t>WF_2019</t>
  </si>
  <si>
    <t>TASK_2019</t>
  </si>
  <si>
    <t>WF_2020</t>
  </si>
  <si>
    <t>TASK_2020</t>
  </si>
  <si>
    <t>WF_2021</t>
  </si>
  <si>
    <t>TASK_2021</t>
  </si>
  <si>
    <t>WF_2022</t>
  </si>
  <si>
    <t>TASK_2022</t>
  </si>
  <si>
    <t>WF_2023</t>
  </si>
  <si>
    <t>TASK_2023</t>
  </si>
  <si>
    <t>WF_2024</t>
  </si>
  <si>
    <t>TASK_2024</t>
  </si>
  <si>
    <t>WF_2025</t>
  </si>
  <si>
    <t>TASK_2025</t>
  </si>
  <si>
    <t>WF_2026</t>
  </si>
  <si>
    <t>TASK_2026</t>
  </si>
  <si>
    <t>WF_2027</t>
  </si>
  <si>
    <t>TASK_2027</t>
  </si>
  <si>
    <t>WF_2028</t>
  </si>
  <si>
    <t>TASK_2028</t>
  </si>
  <si>
    <t>WF_2029</t>
  </si>
  <si>
    <t>TASK_2029</t>
  </si>
  <si>
    <t>WF_2030</t>
  </si>
  <si>
    <t>TASK_2030</t>
  </si>
  <si>
    <t>WF_2031</t>
  </si>
  <si>
    <t>TASK_2031</t>
  </si>
  <si>
    <t>WF_2032</t>
  </si>
  <si>
    <t>TASK_2032</t>
  </si>
  <si>
    <t>WF_2033</t>
  </si>
  <si>
    <t>TASK_2033</t>
  </si>
  <si>
    <t>WF_2034</t>
  </si>
  <si>
    <t>TASK_2034</t>
  </si>
  <si>
    <t>WF_2035</t>
  </si>
  <si>
    <t>TASK_2035</t>
  </si>
  <si>
    <t>WF_2036</t>
  </si>
  <si>
    <t>TASK_2036</t>
  </si>
  <si>
    <t>WF_2037</t>
  </si>
  <si>
    <t>TASK_2037</t>
  </si>
  <si>
    <t>WF_2038</t>
  </si>
  <si>
    <t>TASK_2038</t>
  </si>
  <si>
    <t>WF_2039</t>
  </si>
  <si>
    <t>TASK_2039</t>
  </si>
  <si>
    <t>WF_2040</t>
  </si>
  <si>
    <t>TASK_2040</t>
  </si>
  <si>
    <t>WF_2041</t>
  </si>
  <si>
    <t>TASK_2041</t>
  </si>
  <si>
    <t>WF_2042</t>
  </si>
  <si>
    <t>TASK_2042</t>
  </si>
  <si>
    <t>WF_2043</t>
  </si>
  <si>
    <t>TASK_2043</t>
  </si>
  <si>
    <t>WF_2044</t>
  </si>
  <si>
    <t>TASK_2044</t>
  </si>
  <si>
    <t>WF_2045</t>
  </si>
  <si>
    <t>TASK_2045</t>
  </si>
  <si>
    <t>WF_2046</t>
  </si>
  <si>
    <t>TASK_2046</t>
  </si>
  <si>
    <t>WF_2047</t>
  </si>
  <si>
    <t>TASK_2047</t>
  </si>
  <si>
    <t>WF_2048</t>
  </si>
  <si>
    <t>TASK_2048</t>
  </si>
  <si>
    <t>WF_2049</t>
  </si>
  <si>
    <t>TASK_2049</t>
  </si>
  <si>
    <t>WF_2050</t>
  </si>
  <si>
    <t>TASK_2050</t>
  </si>
  <si>
    <t>WF_2051</t>
  </si>
  <si>
    <t>TASK_2051</t>
  </si>
  <si>
    <t>WF_2052</t>
  </si>
  <si>
    <t>TASK_2052</t>
  </si>
  <si>
    <t>WF_2053</t>
  </si>
  <si>
    <t>TASK_2053</t>
  </si>
  <si>
    <t>WF_2054</t>
  </si>
  <si>
    <t>TASK_2054</t>
  </si>
  <si>
    <t>WF_2055</t>
  </si>
  <si>
    <t>TASK_2055</t>
  </si>
  <si>
    <t>WF_2056</t>
  </si>
  <si>
    <t>TASK_2056</t>
  </si>
  <si>
    <t>WF_2057</t>
  </si>
  <si>
    <t>TASK_2057</t>
  </si>
  <si>
    <t>WF_2058</t>
  </si>
  <si>
    <t>TASK_2058</t>
  </si>
  <si>
    <t>WF_2059</t>
  </si>
  <si>
    <t>TASK_2059</t>
  </si>
  <si>
    <t>WF_2060</t>
  </si>
  <si>
    <t>TASK_2060</t>
  </si>
  <si>
    <t>WF_2061</t>
  </si>
  <si>
    <t>TASK_2061</t>
  </si>
  <si>
    <t>WF_2062</t>
  </si>
  <si>
    <t>TASK_2062</t>
  </si>
  <si>
    <t>WF_2063</t>
  </si>
  <si>
    <t>TASK_2063</t>
  </si>
  <si>
    <t>WF_2064</t>
  </si>
  <si>
    <t>TASK_2064</t>
  </si>
  <si>
    <t>WF_2065</t>
  </si>
  <si>
    <t>TASK_2065</t>
  </si>
  <si>
    <t>WF_2066</t>
  </si>
  <si>
    <t>TASK_2066</t>
  </si>
  <si>
    <t>WF_2067</t>
  </si>
  <si>
    <t>TASK_2067</t>
  </si>
  <si>
    <t>WF_2068</t>
  </si>
  <si>
    <t>TASK_2068</t>
  </si>
  <si>
    <t>WF_2069</t>
  </si>
  <si>
    <t>TASK_2069</t>
  </si>
  <si>
    <t>WF_2070</t>
  </si>
  <si>
    <t>TASK_2070</t>
  </si>
  <si>
    <t>WF_2071</t>
  </si>
  <si>
    <t>TASK_2071</t>
  </si>
  <si>
    <t>WF_2072</t>
  </si>
  <si>
    <t>TASK_2072</t>
  </si>
  <si>
    <t>WF_2073</t>
  </si>
  <si>
    <t>TASK_2073</t>
  </si>
  <si>
    <t>WF_2074</t>
  </si>
  <si>
    <t>TASK_2074</t>
  </si>
  <si>
    <t>WF_2075</t>
  </si>
  <si>
    <t>TASK_2075</t>
  </si>
  <si>
    <t>WF_2076</t>
  </si>
  <si>
    <t>TASK_2076</t>
  </si>
  <si>
    <t>WF_2077</t>
  </si>
  <si>
    <t>TASK_2077</t>
  </si>
  <si>
    <t>WF_2078</t>
  </si>
  <si>
    <t>TASK_2078</t>
  </si>
  <si>
    <t>WF_2079</t>
  </si>
  <si>
    <t>TASK_2079</t>
  </si>
  <si>
    <t>WF_2080</t>
  </si>
  <si>
    <t>TASK_2080</t>
  </si>
  <si>
    <t>WF_2081</t>
  </si>
  <si>
    <t>TASK_2081</t>
  </si>
  <si>
    <t>WF_2082</t>
  </si>
  <si>
    <t>TASK_2082</t>
  </si>
  <si>
    <t>WF_2083</t>
  </si>
  <si>
    <t>TASK_2083</t>
  </si>
  <si>
    <t>WF_2084</t>
  </si>
  <si>
    <t>TASK_2084</t>
  </si>
  <si>
    <t>WF_2085</t>
  </si>
  <si>
    <t>TASK_2085</t>
  </si>
  <si>
    <t>WF_2086</t>
  </si>
  <si>
    <t>TASK_2086</t>
  </si>
  <si>
    <t>WF_2087</t>
  </si>
  <si>
    <t>TASK_2087</t>
  </si>
  <si>
    <t>WF_2088</t>
  </si>
  <si>
    <t>TASK_2088</t>
  </si>
  <si>
    <t>WF_2089</t>
  </si>
  <si>
    <t>TASK_2089</t>
  </si>
  <si>
    <t>WF_2090</t>
  </si>
  <si>
    <t>TASK_2090</t>
  </si>
  <si>
    <t>WF_2091</t>
  </si>
  <si>
    <t>TASK_2091</t>
  </si>
  <si>
    <t>WF_2092</t>
  </si>
  <si>
    <t>TASK_2092</t>
  </si>
  <si>
    <t>WF_2093</t>
  </si>
  <si>
    <t>TASK_2093</t>
  </si>
  <si>
    <t>WF_2094</t>
  </si>
  <si>
    <t>TASK_2094</t>
  </si>
  <si>
    <t>WF_2095</t>
  </si>
  <si>
    <t>TASK_2095</t>
  </si>
  <si>
    <t>WF_2096</t>
  </si>
  <si>
    <t>TASK_2096</t>
  </si>
  <si>
    <t>WF_2097</t>
  </si>
  <si>
    <t>TASK_2097</t>
  </si>
  <si>
    <t>WF_2098</t>
  </si>
  <si>
    <t>TASK_2098</t>
  </si>
  <si>
    <t>WF_2099</t>
  </si>
  <si>
    <t>TASK_2099</t>
  </si>
  <si>
    <t>WF_2100</t>
  </si>
  <si>
    <t>TASK_2100</t>
  </si>
  <si>
    <t>WF_2101</t>
  </si>
  <si>
    <t>TASK_2101</t>
  </si>
  <si>
    <t>WF_2102</t>
  </si>
  <si>
    <t>TASK_2102</t>
  </si>
  <si>
    <t>WF_2103</t>
  </si>
  <si>
    <t>TASK_2103</t>
  </si>
  <si>
    <t>WF_2104</t>
  </si>
  <si>
    <t>TASK_2104</t>
  </si>
  <si>
    <t>WF_2105</t>
  </si>
  <si>
    <t>TASK_2105</t>
  </si>
  <si>
    <t>WF_2106</t>
  </si>
  <si>
    <t>TASK_2106</t>
  </si>
  <si>
    <t>WF_2107</t>
  </si>
  <si>
    <t>TASK_2107</t>
  </si>
  <si>
    <t>WF_2108</t>
  </si>
  <si>
    <t>TASK_2108</t>
  </si>
  <si>
    <t>WF_2109</t>
  </si>
  <si>
    <t>TASK_2109</t>
  </si>
  <si>
    <t>WF_2110</t>
  </si>
  <si>
    <t>TASK_2110</t>
  </si>
  <si>
    <t>WF_2111</t>
  </si>
  <si>
    <t>TASK_2111</t>
  </si>
  <si>
    <t>WF_2112</t>
  </si>
  <si>
    <t>TASK_2112</t>
  </si>
  <si>
    <t>WF_2113</t>
  </si>
  <si>
    <t>TASK_2113</t>
  </si>
  <si>
    <t>WF_2114</t>
  </si>
  <si>
    <t>TASK_2114</t>
  </si>
  <si>
    <t>WF_2115</t>
  </si>
  <si>
    <t>TASK_2115</t>
  </si>
  <si>
    <t>WF_2116</t>
  </si>
  <si>
    <t>TASK_2116</t>
  </si>
  <si>
    <t>WF_2117</t>
  </si>
  <si>
    <t>TASK_2117</t>
  </si>
  <si>
    <t>WF_2118</t>
  </si>
  <si>
    <t>TASK_2118</t>
  </si>
  <si>
    <t>WF_2119</t>
  </si>
  <si>
    <t>TASK_2119</t>
  </si>
  <si>
    <t>WF_2120</t>
  </si>
  <si>
    <t>TASK_2120</t>
  </si>
  <si>
    <t>WF_2121</t>
  </si>
  <si>
    <t>TASK_2121</t>
  </si>
  <si>
    <t>WF_2122</t>
  </si>
  <si>
    <t>TASK_2122</t>
  </si>
  <si>
    <t>WF_2123</t>
  </si>
  <si>
    <t>TASK_2123</t>
  </si>
  <si>
    <t>WF_2124</t>
  </si>
  <si>
    <t>TASK_2124</t>
  </si>
  <si>
    <t>WF_2125</t>
  </si>
  <si>
    <t>TASK_2125</t>
  </si>
  <si>
    <t>WF_2126</t>
  </si>
  <si>
    <t>TASK_2126</t>
  </si>
  <si>
    <t>WF_2127</t>
  </si>
  <si>
    <t>TASK_2127</t>
  </si>
  <si>
    <t>WF_2128</t>
  </si>
  <si>
    <t>TASK_2128</t>
  </si>
  <si>
    <t>WF_2129</t>
  </si>
  <si>
    <t>TASK_2129</t>
  </si>
  <si>
    <t>WF_2130</t>
  </si>
  <si>
    <t>TASK_2130</t>
  </si>
  <si>
    <t>WF_2131</t>
  </si>
  <si>
    <t>TASK_2131</t>
  </si>
  <si>
    <t>WF_2132</t>
  </si>
  <si>
    <t>TASK_2132</t>
  </si>
  <si>
    <t>WF_2133</t>
  </si>
  <si>
    <t>TASK_2133</t>
  </si>
  <si>
    <t>WF_2134</t>
  </si>
  <si>
    <t>TASK_2134</t>
  </si>
  <si>
    <t>WF_2135</t>
  </si>
  <si>
    <t>TASK_2135</t>
  </si>
  <si>
    <t>WF_2136</t>
  </si>
  <si>
    <t>TASK_2136</t>
  </si>
  <si>
    <t>WF_2137</t>
  </si>
  <si>
    <t>TASK_2137</t>
  </si>
  <si>
    <t>WF_2138</t>
  </si>
  <si>
    <t>TASK_2138</t>
  </si>
  <si>
    <t>WF_2139</t>
  </si>
  <si>
    <t>TASK_2139</t>
  </si>
  <si>
    <t>WF_2140</t>
  </si>
  <si>
    <t>TASK_2140</t>
  </si>
  <si>
    <t>WF_2141</t>
  </si>
  <si>
    <t>TASK_2141</t>
  </si>
  <si>
    <t>WF_2142</t>
  </si>
  <si>
    <t>TASK_2142</t>
  </si>
  <si>
    <t>WF_2143</t>
  </si>
  <si>
    <t>TASK_2143</t>
  </si>
  <si>
    <t>WF_2144</t>
  </si>
  <si>
    <t>TASK_2144</t>
  </si>
  <si>
    <t>WF_2145</t>
  </si>
  <si>
    <t>TASK_2145</t>
  </si>
  <si>
    <t>WF_2146</t>
  </si>
  <si>
    <t>TASK_2146</t>
  </si>
  <si>
    <t>WF_2147</t>
  </si>
  <si>
    <t>TASK_2147</t>
  </si>
  <si>
    <t>WF_2148</t>
  </si>
  <si>
    <t>TASK_2148</t>
  </si>
  <si>
    <t>WF_2149</t>
  </si>
  <si>
    <t>TASK_2149</t>
  </si>
  <si>
    <t>WF_2150</t>
  </si>
  <si>
    <t>TASK_2150</t>
  </si>
  <si>
    <t>WF_2151</t>
  </si>
  <si>
    <t>TASK_2151</t>
  </si>
  <si>
    <t>WF_2152</t>
  </si>
  <si>
    <t>TASK_2152</t>
  </si>
  <si>
    <t>WF_2153</t>
  </si>
  <si>
    <t>TASK_2153</t>
  </si>
  <si>
    <t>WF_2154</t>
  </si>
  <si>
    <t>TASK_2154</t>
  </si>
  <si>
    <t>WF_2155</t>
  </si>
  <si>
    <t>TASK_2155</t>
  </si>
  <si>
    <t>WF_2156</t>
  </si>
  <si>
    <t>TASK_2156</t>
  </si>
  <si>
    <t>WF_2157</t>
  </si>
  <si>
    <t>TASK_2157</t>
  </si>
  <si>
    <t>WF_2158</t>
  </si>
  <si>
    <t>TASK_2158</t>
  </si>
  <si>
    <t>WF_2159</t>
  </si>
  <si>
    <t>TASK_2159</t>
  </si>
  <si>
    <t>WF_2160</t>
  </si>
  <si>
    <t>TASK_2160</t>
  </si>
  <si>
    <t>WF_2161</t>
  </si>
  <si>
    <t>TASK_2161</t>
  </si>
  <si>
    <t>WF_2162</t>
  </si>
  <si>
    <t>TASK_2162</t>
  </si>
  <si>
    <t>WF_2163</t>
  </si>
  <si>
    <t>TASK_2163</t>
  </si>
  <si>
    <t>WF_2164</t>
  </si>
  <si>
    <t>TASK_2164</t>
  </si>
  <si>
    <t>WF_2165</t>
  </si>
  <si>
    <t>TASK_2165</t>
  </si>
  <si>
    <t>WF_2166</t>
  </si>
  <si>
    <t>TASK_2166</t>
  </si>
  <si>
    <t>WF_2167</t>
  </si>
  <si>
    <t>TASK_2167</t>
  </si>
  <si>
    <t>WF_2168</t>
  </si>
  <si>
    <t>TASK_2168</t>
  </si>
  <si>
    <t>WF_2169</t>
  </si>
  <si>
    <t>TASK_2169</t>
  </si>
  <si>
    <t>WF_2170</t>
  </si>
  <si>
    <t>TASK_2170</t>
  </si>
  <si>
    <t>WF_2171</t>
  </si>
  <si>
    <t>TASK_2171</t>
  </si>
  <si>
    <t>WF_2172</t>
  </si>
  <si>
    <t>TASK_2172</t>
  </si>
  <si>
    <t>WF_2173</t>
  </si>
  <si>
    <t>TASK_2173</t>
  </si>
  <si>
    <t>WF_2174</t>
  </si>
  <si>
    <t>TASK_2174</t>
  </si>
  <si>
    <t>WF_2175</t>
  </si>
  <si>
    <t>TASK_2175</t>
  </si>
  <si>
    <t>WF_2176</t>
  </si>
  <si>
    <t>TASK_2176</t>
  </si>
  <si>
    <t>WF_2177</t>
  </si>
  <si>
    <t>TASK_2177</t>
  </si>
  <si>
    <t>WF_2178</t>
  </si>
  <si>
    <t>TASK_2178</t>
  </si>
  <si>
    <t>WF_2179</t>
  </si>
  <si>
    <t>TASK_2179</t>
  </si>
  <si>
    <t>WF_2180</t>
  </si>
  <si>
    <t>TASK_2180</t>
  </si>
  <si>
    <t>WF_2181</t>
  </si>
  <si>
    <t>TASK_2181</t>
  </si>
  <si>
    <t>WF_2182</t>
  </si>
  <si>
    <t>TASK_2182</t>
  </si>
  <si>
    <t>WF_2183</t>
  </si>
  <si>
    <t>TASK_2183</t>
  </si>
  <si>
    <t>WF_2184</t>
  </si>
  <si>
    <t>TASK_2184</t>
  </si>
  <si>
    <t>WF_2185</t>
  </si>
  <si>
    <t>TASK_2185</t>
  </si>
  <si>
    <t>WF_2186</t>
  </si>
  <si>
    <t>TASK_2186</t>
  </si>
  <si>
    <t>WF_2187</t>
  </si>
  <si>
    <t>TASK_2187</t>
  </si>
  <si>
    <t>WF_2188</t>
  </si>
  <si>
    <t>TASK_2188</t>
  </si>
  <si>
    <t>WF_2189</t>
  </si>
  <si>
    <t>TASK_2189</t>
  </si>
  <si>
    <t>WF_2190</t>
  </si>
  <si>
    <t>TASK_2190</t>
  </si>
  <si>
    <t>WF_2191</t>
  </si>
  <si>
    <t>TASK_2191</t>
  </si>
  <si>
    <t>WF_2192</t>
  </si>
  <si>
    <t>TASK_2192</t>
  </si>
  <si>
    <t>WF_2193</t>
  </si>
  <si>
    <t>TASK_2193</t>
  </si>
  <si>
    <t>WF_2194</t>
  </si>
  <si>
    <t>TASK_2194</t>
  </si>
  <si>
    <t>WF_2195</t>
  </si>
  <si>
    <t>TASK_2195</t>
  </si>
  <si>
    <t>WF_2196</t>
  </si>
  <si>
    <t>TASK_2196</t>
  </si>
  <si>
    <t>WF_2197</t>
  </si>
  <si>
    <t>TASK_2197</t>
  </si>
  <si>
    <t>WF_2198</t>
  </si>
  <si>
    <t>TASK_2198</t>
  </si>
  <si>
    <t>WF_2199</t>
  </si>
  <si>
    <t>TASK_2199</t>
  </si>
  <si>
    <t>WF_2200</t>
  </si>
  <si>
    <t>TASK_2200</t>
  </si>
  <si>
    <t>WF_2201</t>
  </si>
  <si>
    <t>TASK_2201</t>
  </si>
  <si>
    <t>WF_2202</t>
  </si>
  <si>
    <t>TASK_2202</t>
  </si>
  <si>
    <t>WF_2203</t>
  </si>
  <si>
    <t>TASK_2203</t>
  </si>
  <si>
    <t>WF_2204</t>
  </si>
  <si>
    <t>TASK_2204</t>
  </si>
  <si>
    <t>WF_2205</t>
  </si>
  <si>
    <t>TASK_2205</t>
  </si>
  <si>
    <t>WF_2206</t>
  </si>
  <si>
    <t>TASK_2206</t>
  </si>
  <si>
    <t>WF_2207</t>
  </si>
  <si>
    <t>TASK_2207</t>
  </si>
  <si>
    <t>WF_2208</t>
  </si>
  <si>
    <t>TASK_2208</t>
  </si>
  <si>
    <t>WF_2209</t>
  </si>
  <si>
    <t>TASK_2209</t>
  </si>
  <si>
    <t>WF_2210</t>
  </si>
  <si>
    <t>TASK_2210</t>
  </si>
  <si>
    <t>WF_2211</t>
  </si>
  <si>
    <t>TASK_2211</t>
  </si>
  <si>
    <t>WF_2212</t>
  </si>
  <si>
    <t>TASK_2212</t>
  </si>
  <si>
    <t>WF_2213</t>
  </si>
  <si>
    <t>TASK_2213</t>
  </si>
  <si>
    <t>WF_2214</t>
  </si>
  <si>
    <t>TASK_2214</t>
  </si>
  <si>
    <t>WF_2215</t>
  </si>
  <si>
    <t>TASK_2215</t>
  </si>
  <si>
    <t>WF_2216</t>
  </si>
  <si>
    <t>TASK_2216</t>
  </si>
  <si>
    <t>WF_2217</t>
  </si>
  <si>
    <t>TASK_2217</t>
  </si>
  <si>
    <t>WF_2218</t>
  </si>
  <si>
    <t>TASK_2218</t>
  </si>
  <si>
    <t>WF_2219</t>
  </si>
  <si>
    <t>TASK_2219</t>
  </si>
  <si>
    <t>WF_2220</t>
  </si>
  <si>
    <t>TASK_2220</t>
  </si>
  <si>
    <t>WF_2221</t>
  </si>
  <si>
    <t>TASK_2221</t>
  </si>
  <si>
    <t>WF_2222</t>
  </si>
  <si>
    <t>TASK_2222</t>
  </si>
  <si>
    <t>WF_2223</t>
  </si>
  <si>
    <t>TASK_2223</t>
  </si>
  <si>
    <t>WF_2224</t>
  </si>
  <si>
    <t>TASK_2224</t>
  </si>
  <si>
    <t>WF_2225</t>
  </si>
  <si>
    <t>TASK_2225</t>
  </si>
  <si>
    <t>WF_2226</t>
  </si>
  <si>
    <t>TASK_2226</t>
  </si>
  <si>
    <t>WF_2227</t>
  </si>
  <si>
    <t>TASK_2227</t>
  </si>
  <si>
    <t>WF_2228</t>
  </si>
  <si>
    <t>TASK_2228</t>
  </si>
  <si>
    <t>WF_2229</t>
  </si>
  <si>
    <t>TASK_2229</t>
  </si>
  <si>
    <t>WF_2230</t>
  </si>
  <si>
    <t>TASK_2230</t>
  </si>
  <si>
    <t>WF_2231</t>
  </si>
  <si>
    <t>TASK_2231</t>
  </si>
  <si>
    <t>WF_2232</t>
  </si>
  <si>
    <t>TASK_2232</t>
  </si>
  <si>
    <t>WF_2233</t>
  </si>
  <si>
    <t>TASK_2233</t>
  </si>
  <si>
    <t>WF_2234</t>
  </si>
  <si>
    <t>TASK_2234</t>
  </si>
  <si>
    <t>WF_2235</t>
  </si>
  <si>
    <t>TASK_2235</t>
  </si>
  <si>
    <t>WF_2236</t>
  </si>
  <si>
    <t>TASK_2236</t>
  </si>
  <si>
    <t>WF_2237</t>
  </si>
  <si>
    <t>TASK_2237</t>
  </si>
  <si>
    <t>WF_2238</t>
  </si>
  <si>
    <t>TASK_2238</t>
  </si>
  <si>
    <t>WF_2239</t>
  </si>
  <si>
    <t>TASK_2239</t>
  </si>
  <si>
    <t>WF_2240</t>
  </si>
  <si>
    <t>TASK_2240</t>
  </si>
  <si>
    <t>WF_2241</t>
  </si>
  <si>
    <t>TASK_2241</t>
  </si>
  <si>
    <t>WF_2242</t>
  </si>
  <si>
    <t>TASK_2242</t>
  </si>
  <si>
    <t>WF_2243</t>
  </si>
  <si>
    <t>TASK_2243</t>
  </si>
  <si>
    <t>WF_2244</t>
  </si>
  <si>
    <t>TASK_2244</t>
  </si>
  <si>
    <t>WF_2245</t>
  </si>
  <si>
    <t>TASK_2245</t>
  </si>
  <si>
    <t>WF_2246</t>
  </si>
  <si>
    <t>TASK_2246</t>
  </si>
  <si>
    <t>WF_2247</t>
  </si>
  <si>
    <t>TASK_2247</t>
  </si>
  <si>
    <t>WF_2248</t>
  </si>
  <si>
    <t>TASK_2248</t>
  </si>
  <si>
    <t>WF_2249</t>
  </si>
  <si>
    <t>TASK_2249</t>
  </si>
  <si>
    <t>WF_2250</t>
  </si>
  <si>
    <t>TASK_2250</t>
  </si>
  <si>
    <t>WF_2251</t>
  </si>
  <si>
    <t>TASK_2251</t>
  </si>
  <si>
    <t>WF_2252</t>
  </si>
  <si>
    <t>TASK_2252</t>
  </si>
  <si>
    <t>WF_2253</t>
  </si>
  <si>
    <t>TASK_2253</t>
  </si>
  <si>
    <t>WF_2254</t>
  </si>
  <si>
    <t>TASK_2254</t>
  </si>
  <si>
    <t>WF_2255</t>
  </si>
  <si>
    <t>TASK_2255</t>
  </si>
  <si>
    <t>WF_2256</t>
  </si>
  <si>
    <t>TASK_2256</t>
  </si>
  <si>
    <t>WF_2257</t>
  </si>
  <si>
    <t>TASK_2257</t>
  </si>
  <si>
    <t>WF_2258</t>
  </si>
  <si>
    <t>TASK_2258</t>
  </si>
  <si>
    <t>WF_2259</t>
  </si>
  <si>
    <t>TASK_2259</t>
  </si>
  <si>
    <t>WF_2260</t>
  </si>
  <si>
    <t>TASK_2260</t>
  </si>
  <si>
    <t>WF_2261</t>
  </si>
  <si>
    <t>TASK_2261</t>
  </si>
  <si>
    <t>WF_2262</t>
  </si>
  <si>
    <t>TASK_2262</t>
  </si>
  <si>
    <t>WF_2263</t>
  </si>
  <si>
    <t>TASK_2263</t>
  </si>
  <si>
    <t>WF_2264</t>
  </si>
  <si>
    <t>TASK_2264</t>
  </si>
  <si>
    <t>WF_2265</t>
  </si>
  <si>
    <t>TASK_2265</t>
  </si>
  <si>
    <t>WF_2266</t>
  </si>
  <si>
    <t>TASK_2266</t>
  </si>
  <si>
    <t>WF_2267</t>
  </si>
  <si>
    <t>TASK_2267</t>
  </si>
  <si>
    <t>WF_2268</t>
  </si>
  <si>
    <t>TASK_2268</t>
  </si>
  <si>
    <t>WF_2269</t>
  </si>
  <si>
    <t>TASK_2269</t>
  </si>
  <si>
    <t>WF_2270</t>
  </si>
  <si>
    <t>TASK_2270</t>
  </si>
  <si>
    <t>WF_2271</t>
  </si>
  <si>
    <t>TASK_2271</t>
  </si>
  <si>
    <t>WF_2272</t>
  </si>
  <si>
    <t>TASK_2272</t>
  </si>
  <si>
    <t>WF_2273</t>
  </si>
  <si>
    <t>TASK_2273</t>
  </si>
  <si>
    <t>WF_2274</t>
  </si>
  <si>
    <t>TASK_2274</t>
  </si>
  <si>
    <t>WF_2275</t>
  </si>
  <si>
    <t>TASK_2275</t>
  </si>
  <si>
    <t>WF_2276</t>
  </si>
  <si>
    <t>TASK_2276</t>
  </si>
  <si>
    <t>WF_2277</t>
  </si>
  <si>
    <t>TASK_2277</t>
  </si>
  <si>
    <t>WF_2278</t>
  </si>
  <si>
    <t>TASK_2278</t>
  </si>
  <si>
    <t>WF_2279</t>
  </si>
  <si>
    <t>TASK_2279</t>
  </si>
  <si>
    <t>WF_2280</t>
  </si>
  <si>
    <t>TASK_2280</t>
  </si>
  <si>
    <t>WF_2281</t>
  </si>
  <si>
    <t>TASK_2281</t>
  </si>
  <si>
    <t>WF_2282</t>
  </si>
  <si>
    <t>TASK_2282</t>
  </si>
  <si>
    <t>WF_2283</t>
  </si>
  <si>
    <t>TASK_2283</t>
  </si>
  <si>
    <t>WF_2284</t>
  </si>
  <si>
    <t>TASK_2284</t>
  </si>
  <si>
    <t>WF_2285</t>
  </si>
  <si>
    <t>TASK_2285</t>
  </si>
  <si>
    <t>WF_2286</t>
  </si>
  <si>
    <t>TASK_2286</t>
  </si>
  <si>
    <t>WF_2287</t>
  </si>
  <si>
    <t>TASK_2287</t>
  </si>
  <si>
    <t>WF_2288</t>
  </si>
  <si>
    <t>TASK_2288</t>
  </si>
  <si>
    <t>WF_2289</t>
  </si>
  <si>
    <t>TASK_2289</t>
  </si>
  <si>
    <t>WF_2290</t>
  </si>
  <si>
    <t>TASK_2290</t>
  </si>
  <si>
    <t>WF_2291</t>
  </si>
  <si>
    <t>TASK_2291</t>
  </si>
  <si>
    <t>WF_2292</t>
  </si>
  <si>
    <t>TASK_2292</t>
  </si>
  <si>
    <t>WF_2293</t>
  </si>
  <si>
    <t>TASK_2293</t>
  </si>
  <si>
    <t>WF_2294</t>
  </si>
  <si>
    <t>TASK_2294</t>
  </si>
  <si>
    <t>WF_2295</t>
  </si>
  <si>
    <t>TASK_2295</t>
  </si>
  <si>
    <t>WF_2296</t>
  </si>
  <si>
    <t>TASK_2296</t>
  </si>
  <si>
    <t>WF_2297</t>
  </si>
  <si>
    <t>TASK_2297</t>
  </si>
  <si>
    <t>WF_2298</t>
  </si>
  <si>
    <t>TASK_2298</t>
  </si>
  <si>
    <t>WF_2299</t>
  </si>
  <si>
    <t>TASK_2299</t>
  </si>
  <si>
    <t>WF_2300</t>
  </si>
  <si>
    <t>TASK_2300</t>
  </si>
  <si>
    <t>WF_2301</t>
  </si>
  <si>
    <t>TASK_2301</t>
  </si>
  <si>
    <t>WF_2302</t>
  </si>
  <si>
    <t>TASK_2302</t>
  </si>
  <si>
    <t>WF_2303</t>
  </si>
  <si>
    <t>TASK_2303</t>
  </si>
  <si>
    <t>WF_2304</t>
  </si>
  <si>
    <t>TASK_2304</t>
  </si>
  <si>
    <t>WF_2305</t>
  </si>
  <si>
    <t>TASK_2305</t>
  </si>
  <si>
    <t>WF_2306</t>
  </si>
  <si>
    <t>TASK_2306</t>
  </si>
  <si>
    <t>WF_2307</t>
  </si>
  <si>
    <t>TASK_2307</t>
  </si>
  <si>
    <t>WF_2308</t>
  </si>
  <si>
    <t>TASK_2308</t>
  </si>
  <si>
    <t>WF_2309</t>
  </si>
  <si>
    <t>TASK_2309</t>
  </si>
  <si>
    <t>WF_2310</t>
  </si>
  <si>
    <t>TASK_2310</t>
  </si>
  <si>
    <t>WF_2311</t>
  </si>
  <si>
    <t>TASK_2311</t>
  </si>
  <si>
    <t>WF_2312</t>
  </si>
  <si>
    <t>TASK_2312</t>
  </si>
  <si>
    <t>WF_2313</t>
  </si>
  <si>
    <t>TASK_2313</t>
  </si>
  <si>
    <t>WF_2314</t>
  </si>
  <si>
    <t>TASK_2314</t>
  </si>
  <si>
    <t>WF_2315</t>
  </si>
  <si>
    <t>TASK_2315</t>
  </si>
  <si>
    <t>WF_2316</t>
  </si>
  <si>
    <t>TASK_2316</t>
  </si>
  <si>
    <t>WF_2317</t>
  </si>
  <si>
    <t>TASK_2317</t>
  </si>
  <si>
    <t>WF_2318</t>
  </si>
  <si>
    <t>TASK_2318</t>
  </si>
  <si>
    <t>WF_2319</t>
  </si>
  <si>
    <t>TASK_2319</t>
  </si>
  <si>
    <t>WF_2320</t>
  </si>
  <si>
    <t>TASK_2320</t>
  </si>
  <si>
    <t>WF_2321</t>
  </si>
  <si>
    <t>TASK_2321</t>
  </si>
  <si>
    <t>WF_2322</t>
  </si>
  <si>
    <t>TASK_2322</t>
  </si>
  <si>
    <t>WF_2323</t>
  </si>
  <si>
    <t>TASK_2323</t>
  </si>
  <si>
    <t>WF_2324</t>
  </si>
  <si>
    <t>TASK_2324</t>
  </si>
  <si>
    <t>WF_2325</t>
  </si>
  <si>
    <t>TASK_2325</t>
  </si>
  <si>
    <t>WF_2326</t>
  </si>
  <si>
    <t>TASK_2326</t>
  </si>
  <si>
    <t>WF_2327</t>
  </si>
  <si>
    <t>TASK_2327</t>
  </si>
  <si>
    <t>WF_2328</t>
  </si>
  <si>
    <t>TASK_2328</t>
  </si>
  <si>
    <t>WF_2329</t>
  </si>
  <si>
    <t>TASK_2329</t>
  </si>
  <si>
    <t>WF_2330</t>
  </si>
  <si>
    <t>TASK_2330</t>
  </si>
  <si>
    <t>WF_2331</t>
  </si>
  <si>
    <t>TASK_2331</t>
  </si>
  <si>
    <t>WF_2332</t>
  </si>
  <si>
    <t>TASK_2332</t>
  </si>
  <si>
    <t>WF_2333</t>
  </si>
  <si>
    <t>TASK_2333</t>
  </si>
  <si>
    <t>WF_2334</t>
  </si>
  <si>
    <t>TASK_2334</t>
  </si>
  <si>
    <t>WF_2335</t>
  </si>
  <si>
    <t>TASK_2335</t>
  </si>
  <si>
    <t>WF_2336</t>
  </si>
  <si>
    <t>TASK_2336</t>
  </si>
  <si>
    <t>WF_2337</t>
  </si>
  <si>
    <t>TASK_2337</t>
  </si>
  <si>
    <t>WF_2338</t>
  </si>
  <si>
    <t>TASK_2338</t>
  </si>
  <si>
    <t>WF_2339</t>
  </si>
  <si>
    <t>TASK_2339</t>
  </si>
  <si>
    <t>WF_2340</t>
  </si>
  <si>
    <t>TASK_2340</t>
  </si>
  <si>
    <t>WF_2341</t>
  </si>
  <si>
    <t>TASK_2341</t>
  </si>
  <si>
    <t>WF_2342</t>
  </si>
  <si>
    <t>TASK_2342</t>
  </si>
  <si>
    <t>WF_2343</t>
  </si>
  <si>
    <t>TASK_2343</t>
  </si>
  <si>
    <t>WF_2344</t>
  </si>
  <si>
    <t>TASK_2344</t>
  </si>
  <si>
    <t>WF_2345</t>
  </si>
  <si>
    <t>TASK_2345</t>
  </si>
  <si>
    <t>WF_2346</t>
  </si>
  <si>
    <t>TASK_2346</t>
  </si>
  <si>
    <t>WF_2347</t>
  </si>
  <si>
    <t>TASK_2347</t>
  </si>
  <si>
    <t>WF_2348</t>
  </si>
  <si>
    <t>TASK_2348</t>
  </si>
  <si>
    <t>WF_2349</t>
  </si>
  <si>
    <t>TASK_2349</t>
  </si>
  <si>
    <t>WF_2350</t>
  </si>
  <si>
    <t>TASK_2350</t>
  </si>
  <si>
    <t>WF_2351</t>
  </si>
  <si>
    <t>TASK_2351</t>
  </si>
  <si>
    <t>WF_2352</t>
  </si>
  <si>
    <t>TASK_2352</t>
  </si>
  <si>
    <t>WF_2353</t>
  </si>
  <si>
    <t>TASK_2353</t>
  </si>
  <si>
    <t>WF_2354</t>
  </si>
  <si>
    <t>TASK_2354</t>
  </si>
  <si>
    <t>WF_2355</t>
  </si>
  <si>
    <t>TASK_2355</t>
  </si>
  <si>
    <t>WF_2356</t>
  </si>
  <si>
    <t>TASK_2356</t>
  </si>
  <si>
    <t>WF_2357</t>
  </si>
  <si>
    <t>TASK_2357</t>
  </si>
  <si>
    <t>WF_2358</t>
  </si>
  <si>
    <t>TASK_2358</t>
  </si>
  <si>
    <t>WF_2359</t>
  </si>
  <si>
    <t>TASK_2359</t>
  </si>
  <si>
    <t>WF_2360</t>
  </si>
  <si>
    <t>TASK_2360</t>
  </si>
  <si>
    <t>WF_2361</t>
  </si>
  <si>
    <t>TASK_2361</t>
  </si>
  <si>
    <t>WF_2362</t>
  </si>
  <si>
    <t>TASK_2362</t>
  </si>
  <si>
    <t>WF_2363</t>
  </si>
  <si>
    <t>TASK_2363</t>
  </si>
  <si>
    <t>WF_2364</t>
  </si>
  <si>
    <t>TASK_2364</t>
  </si>
  <si>
    <t>WF_2365</t>
  </si>
  <si>
    <t>TASK_2365</t>
  </si>
  <si>
    <t>WF_2366</t>
  </si>
  <si>
    <t>TASK_2366</t>
  </si>
  <si>
    <t>WF_2367</t>
  </si>
  <si>
    <t>TASK_2367</t>
  </si>
  <si>
    <t>WF_2368</t>
  </si>
  <si>
    <t>TASK_2368</t>
  </si>
  <si>
    <t>WF_2369</t>
  </si>
  <si>
    <t>TASK_2369</t>
  </si>
  <si>
    <t>WF_2370</t>
  </si>
  <si>
    <t>TASK_2370</t>
  </si>
  <si>
    <t>WF_2371</t>
  </si>
  <si>
    <t>TASK_2371</t>
  </si>
  <si>
    <t>WF_2372</t>
  </si>
  <si>
    <t>TASK_2372</t>
  </si>
  <si>
    <t>WF_2373</t>
  </si>
  <si>
    <t>TASK_2373</t>
  </si>
  <si>
    <t>WF_2374</t>
  </si>
  <si>
    <t>TASK_2374</t>
  </si>
  <si>
    <t>WF_2375</t>
  </si>
  <si>
    <t>TASK_2375</t>
  </si>
  <si>
    <t>WF_2376</t>
  </si>
  <si>
    <t>TASK_2376</t>
  </si>
  <si>
    <t>WF_2377</t>
  </si>
  <si>
    <t>TASK_2377</t>
  </si>
  <si>
    <t>WF_2378</t>
  </si>
  <si>
    <t>TASK_2378</t>
  </si>
  <si>
    <t>WF_2379</t>
  </si>
  <si>
    <t>TASK_2379</t>
  </si>
  <si>
    <t>WF_2380</t>
  </si>
  <si>
    <t>TASK_2380</t>
  </si>
  <si>
    <t>WF_2381</t>
  </si>
  <si>
    <t>TASK_2381</t>
  </si>
  <si>
    <t>WF_2382</t>
  </si>
  <si>
    <t>TASK_2382</t>
  </si>
  <si>
    <t>WF_2383</t>
  </si>
  <si>
    <t>TASK_2383</t>
  </si>
  <si>
    <t>WF_2384</t>
  </si>
  <si>
    <t>TASK_2384</t>
  </si>
  <si>
    <t>WF_2385</t>
  </si>
  <si>
    <t>TASK_2385</t>
  </si>
  <si>
    <t>WF_2386</t>
  </si>
  <si>
    <t>TASK_2386</t>
  </si>
  <si>
    <t>WF_2387</t>
  </si>
  <si>
    <t>TASK_2387</t>
  </si>
  <si>
    <t>WF_2388</t>
  </si>
  <si>
    <t>TASK_2388</t>
  </si>
  <si>
    <t>WF_2389</t>
  </si>
  <si>
    <t>TASK_2389</t>
  </si>
  <si>
    <t>WF_2390</t>
  </si>
  <si>
    <t>TASK_2390</t>
  </si>
  <si>
    <t>WF_2391</t>
  </si>
  <si>
    <t>TASK_2391</t>
  </si>
  <si>
    <t>WF_2392</t>
  </si>
  <si>
    <t>TASK_2392</t>
  </si>
  <si>
    <t>WF_2393</t>
  </si>
  <si>
    <t>TASK_2393</t>
  </si>
  <si>
    <t>WF_2394</t>
  </si>
  <si>
    <t>TASK_2394</t>
  </si>
  <si>
    <t>WF_2395</t>
  </si>
  <si>
    <t>TASK_2395</t>
  </si>
  <si>
    <t>WF_2396</t>
  </si>
  <si>
    <t>TASK_2396</t>
  </si>
  <si>
    <t>WF_2397</t>
  </si>
  <si>
    <t>TASK_2397</t>
  </si>
  <si>
    <t>WF_2398</t>
  </si>
  <si>
    <t>TASK_2398</t>
  </si>
  <si>
    <t>WF_2399</t>
  </si>
  <si>
    <t>TASK_2399</t>
  </si>
  <si>
    <t>WF_2400</t>
  </si>
  <si>
    <t>TASK_2400</t>
  </si>
  <si>
    <t>WF_2401</t>
  </si>
  <si>
    <t>TASK_2401</t>
  </si>
  <si>
    <t>WF_2402</t>
  </si>
  <si>
    <t>TASK_2402</t>
  </si>
  <si>
    <t>WF_2403</t>
  </si>
  <si>
    <t>TASK_2403</t>
  </si>
  <si>
    <t>WF_2404</t>
  </si>
  <si>
    <t>TASK_2404</t>
  </si>
  <si>
    <t>WF_2405</t>
  </si>
  <si>
    <t>TASK_2405</t>
  </si>
  <si>
    <t>WF_2406</t>
  </si>
  <si>
    <t>TASK_2406</t>
  </si>
  <si>
    <t>WF_2407</t>
  </si>
  <si>
    <t>TASK_2407</t>
  </si>
  <si>
    <t>WF_2408</t>
  </si>
  <si>
    <t>TASK_2408</t>
  </si>
  <si>
    <t>WF_2409</t>
  </si>
  <si>
    <t>TASK_2409</t>
  </si>
  <si>
    <t>WF_2410</t>
  </si>
  <si>
    <t>TASK_2410</t>
  </si>
  <si>
    <t>WF_2411</t>
  </si>
  <si>
    <t>TASK_2411</t>
  </si>
  <si>
    <t>WF_2412</t>
  </si>
  <si>
    <t>TASK_2412</t>
  </si>
  <si>
    <t>WF_2413</t>
  </si>
  <si>
    <t>TASK_2413</t>
  </si>
  <si>
    <t>WF_2414</t>
  </si>
  <si>
    <t>TASK_2414</t>
  </si>
  <si>
    <t>WF_2415</t>
  </si>
  <si>
    <t>TASK_2415</t>
  </si>
  <si>
    <t>WF_2416</t>
  </si>
  <si>
    <t>TASK_2416</t>
  </si>
  <si>
    <t>WF_2417</t>
  </si>
  <si>
    <t>TASK_2417</t>
  </si>
  <si>
    <t>WF_2418</t>
  </si>
  <si>
    <t>TASK_2418</t>
  </si>
  <si>
    <t>WF_2419</t>
  </si>
  <si>
    <t>TASK_2419</t>
  </si>
  <si>
    <t>WF_2420</t>
  </si>
  <si>
    <t>TASK_2420</t>
  </si>
  <si>
    <t>WF_2421</t>
  </si>
  <si>
    <t>TASK_2421</t>
  </si>
  <si>
    <t>WF_2422</t>
  </si>
  <si>
    <t>TASK_2422</t>
  </si>
  <si>
    <t>WF_2423</t>
  </si>
  <si>
    <t>TASK_2423</t>
  </si>
  <si>
    <t>WF_2424</t>
  </si>
  <si>
    <t>TASK_2424</t>
  </si>
  <si>
    <t>WF_2425</t>
  </si>
  <si>
    <t>TASK_2425</t>
  </si>
  <si>
    <t>WF_2426</t>
  </si>
  <si>
    <t>TASK_2426</t>
  </si>
  <si>
    <t>WF_2427</t>
  </si>
  <si>
    <t>TASK_2427</t>
  </si>
  <si>
    <t>WF_2428</t>
  </si>
  <si>
    <t>TASK_2428</t>
  </si>
  <si>
    <t>WF_2429</t>
  </si>
  <si>
    <t>TASK_2429</t>
  </si>
  <si>
    <t>WF_2430</t>
  </si>
  <si>
    <t>TASK_2430</t>
  </si>
  <si>
    <t>WF_2431</t>
  </si>
  <si>
    <t>TASK_2431</t>
  </si>
  <si>
    <t>WF_2432</t>
  </si>
  <si>
    <t>TASK_2432</t>
  </si>
  <si>
    <t>WF_2433</t>
  </si>
  <si>
    <t>TASK_2433</t>
  </si>
  <si>
    <t>WF_2434</t>
  </si>
  <si>
    <t>TASK_2434</t>
  </si>
  <si>
    <t>WF_2435</t>
  </si>
  <si>
    <t>TASK_2435</t>
  </si>
  <si>
    <t>WF_2436</t>
  </si>
  <si>
    <t>TASK_2436</t>
  </si>
  <si>
    <t>WF_2437</t>
  </si>
  <si>
    <t>TASK_2437</t>
  </si>
  <si>
    <t>WF_2438</t>
  </si>
  <si>
    <t>TASK_2438</t>
  </si>
  <si>
    <t>WF_2439</t>
  </si>
  <si>
    <t>TASK_2439</t>
  </si>
  <si>
    <t>WF_2440</t>
  </si>
  <si>
    <t>TASK_2440</t>
  </si>
  <si>
    <t>WF_2441</t>
  </si>
  <si>
    <t>TASK_2441</t>
  </si>
  <si>
    <t>WF_2442</t>
  </si>
  <si>
    <t>TASK_2442</t>
  </si>
  <si>
    <t>WF_2443</t>
  </si>
  <si>
    <t>TASK_2443</t>
  </si>
  <si>
    <t>WF_2444</t>
  </si>
  <si>
    <t>TASK_2444</t>
  </si>
  <si>
    <t>WF_2445</t>
  </si>
  <si>
    <t>TASK_2445</t>
  </si>
  <si>
    <t>WF_2446</t>
  </si>
  <si>
    <t>TASK_2446</t>
  </si>
  <si>
    <t>WF_2447</t>
  </si>
  <si>
    <t>TASK_2447</t>
  </si>
  <si>
    <t>WF_2448</t>
  </si>
  <si>
    <t>TASK_2448</t>
  </si>
  <si>
    <t>WF_2449</t>
  </si>
  <si>
    <t>TASK_2449</t>
  </si>
  <si>
    <t>WF_2450</t>
  </si>
  <si>
    <t>TASK_2450</t>
  </si>
  <si>
    <t>WF_2451</t>
  </si>
  <si>
    <t>TASK_2451</t>
  </si>
  <si>
    <t>WF_2452</t>
  </si>
  <si>
    <t>TASK_2452</t>
  </si>
  <si>
    <t>WF_2453</t>
  </si>
  <si>
    <t>TASK_2453</t>
  </si>
  <si>
    <t>WF_2454</t>
  </si>
  <si>
    <t>TASK_2454</t>
  </si>
  <si>
    <t>WF_2455</t>
  </si>
  <si>
    <t>TASK_2455</t>
  </si>
  <si>
    <t>WF_2456</t>
  </si>
  <si>
    <t>TASK_2456</t>
  </si>
  <si>
    <t>WF_2457</t>
  </si>
  <si>
    <t>TASK_2457</t>
  </si>
  <si>
    <t>WF_2458</t>
  </si>
  <si>
    <t>TASK_2458</t>
  </si>
  <si>
    <t>WF_2459</t>
  </si>
  <si>
    <t>TASK_2459</t>
  </si>
  <si>
    <t>WF_2460</t>
  </si>
  <si>
    <t>TASK_2460</t>
  </si>
  <si>
    <t>WF_2461</t>
  </si>
  <si>
    <t>TASK_2461</t>
  </si>
  <si>
    <t>WF_2462</t>
  </si>
  <si>
    <t>TASK_2462</t>
  </si>
  <si>
    <t>WF_2463</t>
  </si>
  <si>
    <t>TASK_2463</t>
  </si>
  <si>
    <t>WF_2464</t>
  </si>
  <si>
    <t>TASK_2464</t>
  </si>
  <si>
    <t>WF_2465</t>
  </si>
  <si>
    <t>TASK_2465</t>
  </si>
  <si>
    <t>WF_2466</t>
  </si>
  <si>
    <t>TASK_2466</t>
  </si>
  <si>
    <t>WF_2467</t>
  </si>
  <si>
    <t>TASK_2467</t>
  </si>
  <si>
    <t>WF_2468</t>
  </si>
  <si>
    <t>TASK_2468</t>
  </si>
  <si>
    <t>WF_2469</t>
  </si>
  <si>
    <t>TASK_2469</t>
  </si>
  <si>
    <t>WF_2470</t>
  </si>
  <si>
    <t>TASK_2470</t>
  </si>
  <si>
    <t>WF_2471</t>
  </si>
  <si>
    <t>TASK_2471</t>
  </si>
  <si>
    <t>WF_2472</t>
  </si>
  <si>
    <t>TASK_2472</t>
  </si>
  <si>
    <t>WF_2473</t>
  </si>
  <si>
    <t>TASK_2473</t>
  </si>
  <si>
    <t>WF_2474</t>
  </si>
  <si>
    <t>TASK_2474</t>
  </si>
  <si>
    <t>WF_2475</t>
  </si>
  <si>
    <t>TASK_2475</t>
  </si>
  <si>
    <t>WF_2476</t>
  </si>
  <si>
    <t>TASK_2476</t>
  </si>
  <si>
    <t>WF_2477</t>
  </si>
  <si>
    <t>TASK_2477</t>
  </si>
  <si>
    <t>WF_2478</t>
  </si>
  <si>
    <t>TASK_2478</t>
  </si>
  <si>
    <t>WF_2479</t>
  </si>
  <si>
    <t>TASK_2479</t>
  </si>
  <si>
    <t>WF_2480</t>
  </si>
  <si>
    <t>TASK_2480</t>
  </si>
  <si>
    <t>WF_2481</t>
  </si>
  <si>
    <t>TASK_2481</t>
  </si>
  <si>
    <t>WF_2482</t>
  </si>
  <si>
    <t>TASK_2482</t>
  </si>
  <si>
    <t>WF_2483</t>
  </si>
  <si>
    <t>TASK_2483</t>
  </si>
  <si>
    <t>WF_2484</t>
  </si>
  <si>
    <t>TASK_2484</t>
  </si>
  <si>
    <t>WF_2485</t>
  </si>
  <si>
    <t>TASK_2485</t>
  </si>
  <si>
    <t>WF_2486</t>
  </si>
  <si>
    <t>TASK_2486</t>
  </si>
  <si>
    <t>WF_2487</t>
  </si>
  <si>
    <t>TASK_2487</t>
  </si>
  <si>
    <t>WF_2488</t>
  </si>
  <si>
    <t>TASK_2488</t>
  </si>
  <si>
    <t>WF_2489</t>
  </si>
  <si>
    <t>TASK_2489</t>
  </si>
  <si>
    <t>WF_2490</t>
  </si>
  <si>
    <t>TASK_2490</t>
  </si>
  <si>
    <t>WF_2491</t>
  </si>
  <si>
    <t>TASK_2491</t>
  </si>
  <si>
    <t>WF_2492</t>
  </si>
  <si>
    <t>TASK_2492</t>
  </si>
  <si>
    <t>WF_2493</t>
  </si>
  <si>
    <t>TASK_2493</t>
  </si>
  <si>
    <t>WF_2494</t>
  </si>
  <si>
    <t>TASK_2494</t>
  </si>
  <si>
    <t>WF_2495</t>
  </si>
  <si>
    <t>TASK_2495</t>
  </si>
  <si>
    <t>WF_2496</t>
  </si>
  <si>
    <t>TASK_2496</t>
  </si>
  <si>
    <t>WF_2497</t>
  </si>
  <si>
    <t>TASK_2497</t>
  </si>
  <si>
    <t>WF_2498</t>
  </si>
  <si>
    <t>TASK_2498</t>
  </si>
  <si>
    <t>WF_2499</t>
  </si>
  <si>
    <t>TASK_2499</t>
  </si>
  <si>
    <t>WF_2500</t>
  </si>
  <si>
    <t>TASK_2500</t>
  </si>
  <si>
    <t>Grand Total</t>
  </si>
  <si>
    <t>Count of Task_ID</t>
  </si>
  <si>
    <t>Average of Actual_Time_Minutes</t>
  </si>
  <si>
    <t>Average of Delay_Flag</t>
  </si>
  <si>
    <t>Time_Overrun</t>
  </si>
  <si>
    <t>Efficiency_Ratio</t>
  </si>
  <si>
    <t>Efficiency_Status</t>
  </si>
  <si>
    <t>Task_Duration</t>
  </si>
  <si>
    <t>Delay_Severity</t>
  </si>
  <si>
    <t>Process Performance</t>
  </si>
  <si>
    <t>Department Performance</t>
  </si>
  <si>
    <t>Average of Cost_Per_Task</t>
  </si>
  <si>
    <t xml:space="preserve">Department </t>
  </si>
  <si>
    <t>Task Type Analysis</t>
  </si>
  <si>
    <t>Approval Level Bottleneck Analysis</t>
  </si>
  <si>
    <t>Workload vs Delay</t>
  </si>
  <si>
    <t>Row Labels</t>
  </si>
  <si>
    <t>Sum of Cost_Per_Task</t>
  </si>
  <si>
    <t>Total Tasks</t>
  </si>
  <si>
    <t>Total Delays</t>
  </si>
  <si>
    <t>Delay Rate</t>
  </si>
  <si>
    <t>Avg Completion Time</t>
  </si>
  <si>
    <t>Avg Cost Per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</si>
</sst>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_ [$₹-4009]\ * #,##0.00_ ;_ [$₹-4009]\ * \-#,##0.00_ ;_ [$₹-4009]\ * &quot;-&quot;??_ ;_ @_ "/>
    <numFmt numFmtId="166"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22" fontId="0" fillId="0" borderId="0" xfId="0" applyNumberFormat="1"/>
    <xf numFmtId="0" fontId="0" fillId="0" borderId="10" xfId="0" applyBorder="1"/>
    <xf numFmtId="22" fontId="0" fillId="0" borderId="10" xfId="0" applyNumberFormat="1" applyBorder="1"/>
    <xf numFmtId="2" fontId="0" fillId="0" borderId="10" xfId="0" applyNumberFormat="1" applyBorder="1"/>
    <xf numFmtId="0" fontId="0" fillId="33" borderId="10" xfId="0" applyFill="1" applyBorder="1"/>
    <xf numFmtId="0" fontId="0" fillId="0" borderId="10" xfId="0" pivotButton="1" applyBorder="1"/>
    <xf numFmtId="0" fontId="0" fillId="0" borderId="10" xfId="0" applyBorder="1" applyAlignment="1">
      <alignment horizontal="left"/>
    </xf>
    <xf numFmtId="164" fontId="0" fillId="0" borderId="10" xfId="0" applyNumberFormat="1" applyBorder="1"/>
    <xf numFmtId="0" fontId="0" fillId="0" borderId="0" xfId="0" applyAlignment="1">
      <alignment vertical="center" wrapText="1"/>
    </xf>
    <xf numFmtId="165" fontId="0" fillId="0" borderId="10" xfId="0" applyNumberFormat="1" applyBorder="1"/>
    <xf numFmtId="10" fontId="0" fillId="0" borderId="10" xfId="0" applyNumberFormat="1" applyBorder="1"/>
    <xf numFmtId="0" fontId="0" fillId="34" borderId="10" xfId="0" applyFill="1" applyBorder="1" applyAlignment="1">
      <alignment horizontal="center"/>
    </xf>
    <xf numFmtId="0" fontId="0" fillId="34" borderId="10" xfId="0"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10" xfId="0" applyNumberFormat="1" applyBorder="1"/>
    <xf numFmtId="0" fontId="18" fillId="0" borderId="0" xfId="0" applyFon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55">
    <dxf>
      <numFmt numFmtId="165" formatCode="_ [$₹-4009]\ * #,##0.00_ ;_ [$₹-4009]\ * \-#,##0.00_ ;_ [$₹-4009]\ * &quot;-&quot;??_ ;_ @_ "/>
    </dxf>
    <dxf>
      <numFmt numFmtId="165" formatCode="_ [$₹-4009]\ * #,##0.00_ ;_ [$₹-4009]\ * \-#,##0.00_ ;_ [$₹-4009]\ * &quot;-&quot;??_ ;_ @_ "/>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2" formatCode="0.00"/>
    </dxf>
    <dxf>
      <numFmt numFmtId="165" formatCode="_ [$₹-4009]\ * #,##0.00_ ;_ [$₹-4009]\ * \-#,##0.00_ ;_ [$₹-4009]\ * &quot;-&quot;??_ ;_ @_ "/>
    </dxf>
    <dxf>
      <numFmt numFmtId="165" formatCode="_ [$₹-4009]\ * #,##0.00_ ;_ [$₹-4009]\ * \-#,##0.00_ ;_ [$₹-4009]\ * &quot;-&quot;??_ ;_ @_ "/>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2" formatCode="0.00"/>
    </dxf>
    <dxf>
      <numFmt numFmtId="165" formatCode="_ [$₹-4009]\ * #,##0.00_ ;_ [$₹-4009]\ * \-#,##0.00_ ;_ [$₹-4009]\ * &quot;-&quot;??_ ;_ @_ "/>
    </dxf>
    <dxf>
      <numFmt numFmtId="165" formatCode="_ [$₹-4009]\ * #,##0.00_ ;_ [$₹-4009]\ * \-#,##0.00_ ;_ [$₹-4009]\ * &quot;-&quot;??_ ;_ @_ "/>
    </dxf>
    <dxf>
      <numFmt numFmtId="164" formatCode="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4009]\ * #,##0.00_ ;_ [$₹-4009]\ * \-#,##0.00_ ;_ [$₹-4009]\ * &quot;-&quot;??_ ;_ @_ "/>
    </dxf>
    <dxf>
      <numFmt numFmtId="2" formatCode="0.00"/>
    </dxf>
    <dxf>
      <font>
        <sz val="12"/>
      </fon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u/>
        <color theme="1"/>
      </font>
    </dxf>
    <dxf>
      <numFmt numFmtId="165" formatCode="_ [$₹-4009]\ * #,##0.00_ ;_ [$₹-4009]\ * \-#,##0.00_ ;_ [$₹-4009]\ * &quot;-&quot;??_ ;_ @_ "/>
    </dxf>
    <dxf>
      <numFmt numFmtId="165" formatCode="_ [$₹-4009]\ * #,##0.00_ ;_ [$₹-4009]\ * \-#,##0.00_ ;_ [$₹-4009]\ * &quot;-&quot;??_ ;_ @_ "/>
    </dxf>
    <dxf>
      <numFmt numFmtId="164" formatCode="0.0"/>
    </dxf>
    <dxf>
      <font>
        <color rgb="FF0070C0"/>
      </font>
      <fill>
        <patternFill>
          <bgColor theme="7" tint="0.79998168889431442"/>
        </patternFill>
      </fill>
    </dxf>
    <dxf>
      <font>
        <color rgb="FF0070C0"/>
      </font>
      <fill>
        <patternFill>
          <bgColor theme="7" tint="0.79998168889431442"/>
        </patternFill>
      </fill>
    </dxf>
    <dxf>
      <font>
        <color theme="5" tint="-0.24994659260841701"/>
      </font>
      <fill>
        <patternFill>
          <bgColor theme="5" tint="0.79998168889431442"/>
        </patternFill>
      </fill>
    </dxf>
    <dxf>
      <font>
        <color rgb="FF9C0006"/>
      </font>
      <fill>
        <patternFill>
          <bgColor rgb="FFFFC7CE"/>
        </patternFill>
      </fill>
    </dxf>
    <dxf>
      <numFmt numFmtId="2" formatCode="0.00"/>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5" formatCode="_ [$₹-4009]\ * #,##0.00_ ;_ [$₹-4009]\ * \-#,##0.00_ ;_ [$₹-4009]\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s>
  <tableStyles count="4" defaultTableStyle="TableStyleMedium2" defaultPivotStyle="PivotStyleLight16">
    <tableStyle name="Slicer Style 1" pivot="0" table="0" count="3" xr9:uid="{43F8A5AE-D8C6-4C05-881C-44A07FABC4BC}"/>
    <tableStyle name="Slicer Style 2" pivot="0" table="0" count="1" xr9:uid="{21B32F48-3D6F-4172-91F5-03B7E238BF32}"/>
    <tableStyle name="Slicer Style 3" pivot="0" table="0" count="2" xr9:uid="{82A9A839-494E-4F11-9126-78962FE9CBF3}">
      <tableStyleElement type="wholeTable" dxfId="106"/>
      <tableStyleElement type="headerRow" dxfId="107"/>
    </tableStyle>
    <tableStyle name="Slicer Style 4" pivot="0" table="0" count="9" xr9:uid="{78ED732A-C0C5-4ED3-86D2-3DAD243C876D}">
      <tableStyleElement type="wholeTable" dxfId="105"/>
    </tableStyle>
  </tableStyles>
  <colors>
    <mruColors>
      <color rgb="FF0F9ED5"/>
    </mruColors>
  </colors>
  <extLst>
    <ext xmlns:x14="http://schemas.microsoft.com/office/spreadsheetml/2009/9/main" uri="{46F421CA-312F-682f-3DD2-61675219B42D}">
      <x14:dxfs count="12">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theme="4" tint="0.3999450666829432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theme="4" tint="0.59996337778862885"/>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bgColor rgb="FF00B0F0"/>
            </patternFill>
          </fill>
        </dxf>
        <dxf>
          <fill>
            <patternFill>
              <bgColor rgb="FF00B0F0"/>
            </patternFill>
          </fill>
        </dxf>
        <dxf>
          <fill>
            <patternFill>
              <bgColor rgb="FF00B0F0"/>
            </patternFill>
          </fill>
        </dxf>
        <dxf>
          <fill>
            <patternFill>
              <bgColor rgb="FF00B0F0"/>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9"/>
            <x14:slicerStyleElement type="hoveredSelectedItemWithData" dxfId="11"/>
            <x14:slicerStyleElement type="hoveredSelectedItemWithNoData" dxfId="10"/>
          </x14:slicerStyleElements>
        </x14:slicerStyle>
        <x14:slicerStyle name="Slicer Style 2">
          <x14:slicerStyleElements>
            <x14:slicerStyleElement type="selectedItemWithData" dxfId="8"/>
          </x14:slicerStyleElements>
        </x14:slicerStyle>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[excel_workflow_operations.xlsx]Sheet2!PivotTable1</c:name>
    <c:fmtId val="5"/>
  </c:pivotSource>
  <c:chart>
    <c:title>
      <c:tx>
        <c:rich>
          <a:bodyPr rot="0" spcFirstLastPara="1" vertOverflow="ellipsis" vert="horz" wrap="square" anchor="ctr" anchorCtr="1"/>
          <a:lstStyle/>
          <a:p>
            <a:pPr>
              <a:defRPr sz="1440" b="0" i="0" u="none" strike="noStrike" kern="1200" cap="all" spc="0" baseline="0">
                <a:solidFill>
                  <a:schemeClr val="dk1"/>
                </a:solidFill>
                <a:latin typeface="+mn-lt"/>
                <a:ea typeface="+mn-ea"/>
                <a:cs typeface="+mn-cs"/>
              </a:defRPr>
            </a:pPr>
            <a:r>
              <a:rPr lang="en-IN" sz="1200" b="1">
                <a:solidFill>
                  <a:schemeClr val="tx1"/>
                </a:solidFill>
              </a:rPr>
              <a:t>Employee Workload vs Delay Rate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40" b="0" i="0" u="none" strike="noStrike" kern="1200" cap="all"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19050" cap="rnd" cmpd="sng" algn="ctr">
              <a:solidFill>
                <a:schemeClr val="accent4">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Sheet2!$A$4:$A$9</c:f>
              <c:strCache>
                <c:ptCount val="5"/>
                <c:pt idx="0">
                  <c:v>Customer Complaint</c:v>
                </c:pt>
                <c:pt idx="1">
                  <c:v>HR Onboarding</c:v>
                </c:pt>
                <c:pt idx="2">
                  <c:v>Invoice Approval</c:v>
                </c:pt>
                <c:pt idx="3">
                  <c:v>IT Support Ticket</c:v>
                </c:pt>
                <c:pt idx="4">
                  <c:v>Purchase Order</c:v>
                </c:pt>
              </c:strCache>
            </c:strRef>
          </c:cat>
          <c:val>
            <c:numRef>
              <c:f>Sheet2!$B$4:$B$9</c:f>
              <c:numCache>
                <c:formatCode>0.0%</c:formatCode>
                <c:ptCount val="5"/>
                <c:pt idx="0">
                  <c:v>0.94810379241516962</c:v>
                </c:pt>
                <c:pt idx="1">
                  <c:v>0.94117647058823528</c:v>
                </c:pt>
                <c:pt idx="2">
                  <c:v>0.96250000000000002</c:v>
                </c:pt>
                <c:pt idx="3">
                  <c:v>0.94105691056910568</c:v>
                </c:pt>
                <c:pt idx="4">
                  <c:v>0.95357833655705992</c:v>
                </c:pt>
              </c:numCache>
            </c:numRef>
          </c:val>
          <c:smooth val="0"/>
          <c:extLst>
            <c:ext xmlns:c16="http://schemas.microsoft.com/office/drawing/2014/chart" uri="{C3380CC4-5D6E-409C-BE32-E72D297353CC}">
              <c16:uniqueId val="{00000002-C0EF-487B-8D97-0F223D521E38}"/>
            </c:ext>
          </c:extLst>
        </c:ser>
        <c:dLbls>
          <c:dLblPos val="ctr"/>
          <c:showLegendKey val="0"/>
          <c:showVal val="1"/>
          <c:showCatName val="0"/>
          <c:showSerName val="0"/>
          <c:showPercent val="0"/>
          <c:showBubbleSize val="0"/>
        </c:dLbls>
        <c:marker val="1"/>
        <c:smooth val="0"/>
        <c:axId val="605439728"/>
        <c:axId val="605437808"/>
      </c:lineChart>
      <c:catAx>
        <c:axId val="6054397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DELAY_RATE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605437808"/>
        <c:crosses val="autoZero"/>
        <c:auto val="1"/>
        <c:lblAlgn val="ctr"/>
        <c:lblOffset val="100"/>
        <c:noMultiLvlLbl val="0"/>
      </c:catAx>
      <c:valAx>
        <c:axId val="605437808"/>
        <c:scaling>
          <c:orientation val="minMax"/>
        </c:scaling>
        <c:delete val="1"/>
        <c:axPos val="l"/>
        <c:majorGridlines>
          <c:spPr>
            <a:ln>
              <a:solidFill>
                <a:schemeClr val="dk1">
                  <a:lumMod val="15000"/>
                  <a:lumOff val="85000"/>
                </a:schemeClr>
              </a:solidFill>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WORKLOAD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0%" sourceLinked="1"/>
        <c:majorTickMark val="none"/>
        <c:minorTickMark val="none"/>
        <c:tickLblPos val="nextTo"/>
        <c:crossAx val="605439728"/>
        <c:crosses val="autoZero"/>
        <c:crossBetween val="between"/>
      </c:valAx>
      <c:spPr>
        <a:noFill/>
        <a:ln>
          <a:noFill/>
        </a:ln>
        <a:effectLst/>
      </c:spPr>
    </c:plotArea>
    <c:plotVisOnly val="1"/>
    <c:dispBlanksAs val="gap"/>
    <c:showDLblsOverMax val="0"/>
    <c:extLst/>
  </c:chart>
  <c:spPr>
    <a:solidFill>
      <a:schemeClr val="lt1"/>
    </a:solidFill>
    <a:ln w="19050" cap="flat" cmpd="sng" algn="ctr">
      <a:solidFill>
        <a:srgbClr val="0F9ED5"/>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[excel_workflow_operations.xlsx]Sheet2!PivotTable2</c:name>
    <c:fmtId val="3"/>
  </c:pivotSource>
  <c:chart>
    <c:title>
      <c:tx>
        <c:rich>
          <a:bodyPr rot="0" spcFirstLastPara="1" vertOverflow="ellipsis" vert="horz" wrap="square" anchor="ctr" anchorCtr="1"/>
          <a:lstStyle/>
          <a:p>
            <a:pPr algn="ctr" rtl="0">
              <a:defRPr sz="1800" b="1" i="0" u="none" strike="noStrike" kern="1200" cap="all" spc="50" baseline="0">
                <a:solidFill>
                  <a:schemeClr val="dk1"/>
                </a:solidFill>
                <a:latin typeface="+mn-lt"/>
                <a:ea typeface="+mn-ea"/>
                <a:cs typeface="+mn-cs"/>
              </a:defRPr>
            </a:pPr>
            <a:r>
              <a:rPr lang="en-IN" sz="1200">
                <a:solidFill>
                  <a:schemeClr val="tx1"/>
                </a:solidFill>
              </a:rPr>
              <a:t>Average Completion Time by Task TypE</a:t>
            </a:r>
            <a:endParaRPr lang="en-US" sz="1200">
              <a:solidFill>
                <a:schemeClr val="tx1"/>
              </a:solidFill>
            </a:endParaRPr>
          </a:p>
        </c:rich>
      </c:tx>
      <c:overlay val="0"/>
      <c:spPr>
        <a:noFill/>
        <a:ln>
          <a:noFill/>
        </a:ln>
        <a:effectLst/>
      </c:spPr>
      <c:txPr>
        <a:bodyPr rot="0" spcFirstLastPara="1" vertOverflow="ellipsis" vert="horz" wrap="square" anchor="ctr" anchorCtr="1"/>
        <a:lstStyle/>
        <a:p>
          <a:pPr algn="ctr" rtl="0">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87063364552"/>
          <c:y val="0.12138373401969094"/>
          <c:w val="0.78533453430602951"/>
          <c:h val="0.72761943011391272"/>
        </c:manualLayout>
      </c:layout>
      <c:barChart>
        <c:barDir val="col"/>
        <c:grouping val="clustered"/>
        <c:varyColors val="0"/>
        <c:ser>
          <c:idx val="0"/>
          <c:order val="0"/>
          <c:tx>
            <c:strRef>
              <c:f>Sheet2!$B$12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Sheet2!$A$13:$A$18</c:f>
              <c:strCache>
                <c:ptCount val="5"/>
                <c:pt idx="0">
                  <c:v>Approval</c:v>
                </c:pt>
                <c:pt idx="1">
                  <c:v>Data Entry</c:v>
                </c:pt>
                <c:pt idx="2">
                  <c:v>Escalation</c:v>
                </c:pt>
                <c:pt idx="3">
                  <c:v>Review</c:v>
                </c:pt>
                <c:pt idx="4">
                  <c:v>Validation</c:v>
                </c:pt>
              </c:strCache>
            </c:strRef>
          </c:cat>
          <c:val>
            <c:numRef>
              <c:f>Sheet2!$B$13:$B$18</c:f>
              <c:numCache>
                <c:formatCode>0.0</c:formatCode>
                <c:ptCount val="5"/>
                <c:pt idx="0">
                  <c:v>178.51115618661257</c:v>
                </c:pt>
                <c:pt idx="1">
                  <c:v>180.39583333333334</c:v>
                </c:pt>
                <c:pt idx="2">
                  <c:v>179.4345238095238</c:v>
                </c:pt>
                <c:pt idx="3">
                  <c:v>180.6</c:v>
                </c:pt>
                <c:pt idx="4">
                  <c:v>185.41784989858013</c:v>
                </c:pt>
              </c:numCache>
            </c:numRef>
          </c:val>
          <c:extLst>
            <c:ext xmlns:c16="http://schemas.microsoft.com/office/drawing/2014/chart" uri="{C3380CC4-5D6E-409C-BE32-E72D297353CC}">
              <c16:uniqueId val="{00000000-5E5A-4853-AD5F-BB870454E2A5}"/>
            </c:ext>
          </c:extLst>
        </c:ser>
        <c:dLbls>
          <c:dLblPos val="outEnd"/>
          <c:showLegendKey val="0"/>
          <c:showVal val="1"/>
          <c:showCatName val="0"/>
          <c:showSerName val="0"/>
          <c:showPercent val="0"/>
          <c:showBubbleSize val="0"/>
        </c:dLbls>
        <c:gapWidth val="355"/>
        <c:overlap val="-70"/>
        <c:axId val="728887488"/>
        <c:axId val="728888928"/>
      </c:barChart>
      <c:catAx>
        <c:axId val="7288874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Task_Type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888928"/>
        <c:crosses val="autoZero"/>
        <c:auto val="1"/>
        <c:lblAlgn val="ctr"/>
        <c:lblOffset val="100"/>
        <c:noMultiLvlLbl val="0"/>
      </c:catAx>
      <c:valAx>
        <c:axId val="7288889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Avg Time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88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[excel_workflow_operations.xlsx]Sheet2!PivotTable4</c:name>
    <c:fmtId val="3"/>
  </c:pivotSource>
  <c:chart>
    <c:title>
      <c:tx>
        <c:rich>
          <a:bodyPr rot="0" spcFirstLastPara="1" vertOverflow="ellipsis" vert="horz" wrap="square" anchor="ctr" anchorCtr="1"/>
          <a:lstStyle/>
          <a:p>
            <a:pPr algn="ctr" rtl="0">
              <a:defRPr sz="1800" b="1" i="0" u="none" strike="noStrike" kern="1200" cap="all" spc="50" baseline="0">
                <a:solidFill>
                  <a:schemeClr val="dk1"/>
                </a:solidFill>
                <a:latin typeface="+mn-lt"/>
                <a:ea typeface="+mn-ea"/>
                <a:cs typeface="+mn-cs"/>
              </a:defRPr>
            </a:pPr>
            <a:r>
              <a:rPr lang="en-IN" sz="1200">
                <a:solidFill>
                  <a:schemeClr val="tx1"/>
                </a:solidFill>
              </a:rPr>
              <a:t>Department Cost Distribution</a:t>
            </a:r>
            <a:endParaRPr lang="en-US" sz="1200">
              <a:solidFill>
                <a:schemeClr val="tx1"/>
              </a:solidFill>
            </a:endParaRPr>
          </a:p>
        </c:rich>
      </c:tx>
      <c:overlay val="0"/>
      <c:spPr>
        <a:noFill/>
        <a:ln>
          <a:noFill/>
        </a:ln>
        <a:effectLst/>
      </c:spPr>
      <c:txPr>
        <a:bodyPr rot="0" spcFirstLastPara="1" vertOverflow="ellipsis" vert="horz" wrap="square" anchor="ctr" anchorCtr="1"/>
        <a:lstStyle/>
        <a:p>
          <a:pPr algn="ctr" rtl="0">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Sheet2!$B$35</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Sheet2!$A$36:$A$41</c:f>
              <c:strCache>
                <c:ptCount val="5"/>
                <c:pt idx="0">
                  <c:v>Customer Service</c:v>
                </c:pt>
                <c:pt idx="1">
                  <c:v>Finance</c:v>
                </c:pt>
                <c:pt idx="2">
                  <c:v>HR</c:v>
                </c:pt>
                <c:pt idx="3">
                  <c:v>IT</c:v>
                </c:pt>
                <c:pt idx="4">
                  <c:v>Operations</c:v>
                </c:pt>
              </c:strCache>
            </c:strRef>
          </c:cat>
          <c:val>
            <c:numRef>
              <c:f>Sheet2!$B$36:$B$41</c:f>
              <c:numCache>
                <c:formatCode>_ [$₹-4009]\ * #,##0.00_ ;_ [$₹-4009]\ * \-#,##0.00_ ;_ [$₹-4009]\ * "-"??_ ;_ @_ </c:formatCode>
                <c:ptCount val="5"/>
                <c:pt idx="0">
                  <c:v>134760.95000000004</c:v>
                </c:pt>
                <c:pt idx="1">
                  <c:v>138633.01000000013</c:v>
                </c:pt>
                <c:pt idx="2">
                  <c:v>139109.55000000002</c:v>
                </c:pt>
                <c:pt idx="3">
                  <c:v>140654.50000000006</c:v>
                </c:pt>
                <c:pt idx="4">
                  <c:v>141783.76000000007</c:v>
                </c:pt>
              </c:numCache>
            </c:numRef>
          </c:val>
          <c:extLst>
            <c:ext xmlns:c16="http://schemas.microsoft.com/office/drawing/2014/chart" uri="{C3380CC4-5D6E-409C-BE32-E72D297353CC}">
              <c16:uniqueId val="{00000000-C8AD-418B-9E14-6ACB0E253347}"/>
            </c:ext>
          </c:extLst>
        </c:ser>
        <c:dLbls>
          <c:dLblPos val="outEnd"/>
          <c:showLegendKey val="0"/>
          <c:showVal val="1"/>
          <c:showCatName val="0"/>
          <c:showSerName val="0"/>
          <c:showPercent val="0"/>
          <c:showBubbleSize val="0"/>
        </c:dLbls>
        <c:gapWidth val="355"/>
        <c:overlap val="-70"/>
        <c:axId val="728784288"/>
        <c:axId val="728797728"/>
      </c:barChart>
      <c:catAx>
        <c:axId val="72878428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797728"/>
        <c:crosses val="autoZero"/>
        <c:auto val="1"/>
        <c:lblAlgn val="ctr"/>
        <c:lblOffset val="100"/>
        <c:noMultiLvlLbl val="0"/>
      </c:catAx>
      <c:valAx>
        <c:axId val="72879772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TOTAL COST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78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[excel_workflow_operations.xlsx]Sheet2!PivotTable1</c:name>
    <c:fmtId val="12"/>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IN" sz="1200">
                <a:solidFill>
                  <a:schemeClr val="tx1"/>
                </a:solidFill>
              </a:rPr>
              <a:t>Delay Rate by Process</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Sheet2!$A$4:$A$9</c:f>
              <c:strCache>
                <c:ptCount val="5"/>
                <c:pt idx="0">
                  <c:v>Customer Complaint</c:v>
                </c:pt>
                <c:pt idx="1">
                  <c:v>HR Onboarding</c:v>
                </c:pt>
                <c:pt idx="2">
                  <c:v>Invoice Approval</c:v>
                </c:pt>
                <c:pt idx="3">
                  <c:v>IT Support Ticket</c:v>
                </c:pt>
                <c:pt idx="4">
                  <c:v>Purchase Order</c:v>
                </c:pt>
              </c:strCache>
            </c:strRef>
          </c:cat>
          <c:val>
            <c:numRef>
              <c:f>Sheet2!$B$4:$B$9</c:f>
              <c:numCache>
                <c:formatCode>0.0%</c:formatCode>
                <c:ptCount val="5"/>
                <c:pt idx="0">
                  <c:v>0.94810379241516962</c:v>
                </c:pt>
                <c:pt idx="1">
                  <c:v>0.94117647058823528</c:v>
                </c:pt>
                <c:pt idx="2">
                  <c:v>0.96250000000000002</c:v>
                </c:pt>
                <c:pt idx="3">
                  <c:v>0.94105691056910568</c:v>
                </c:pt>
                <c:pt idx="4">
                  <c:v>0.95357833655705992</c:v>
                </c:pt>
              </c:numCache>
            </c:numRef>
          </c:val>
          <c:extLst>
            <c:ext xmlns:c16="http://schemas.microsoft.com/office/drawing/2014/chart" uri="{C3380CC4-5D6E-409C-BE32-E72D297353CC}">
              <c16:uniqueId val="{00000000-4AB5-437A-AF11-38BEEF0798F5}"/>
            </c:ext>
          </c:extLst>
        </c:ser>
        <c:dLbls>
          <c:dLblPos val="outEnd"/>
          <c:showLegendKey val="0"/>
          <c:showVal val="1"/>
          <c:showCatName val="0"/>
          <c:showSerName val="0"/>
          <c:showPercent val="0"/>
          <c:showBubbleSize val="0"/>
        </c:dLbls>
        <c:gapWidth val="326"/>
        <c:overlap val="-58"/>
        <c:axId val="728902368"/>
        <c:axId val="728902848"/>
      </c:barChart>
      <c:catAx>
        <c:axId val="72890236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Process_Name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902848"/>
        <c:crosses val="autoZero"/>
        <c:auto val="1"/>
        <c:lblAlgn val="ctr"/>
        <c:lblOffset val="100"/>
        <c:noMultiLvlLbl val="0"/>
      </c:catAx>
      <c:valAx>
        <c:axId val="7289028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Delay Rate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90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[excel_workflow_operations.xlsx]Sheet2!PivotTable5</c:name>
    <c:fmtId val="3"/>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sz="1200" b="1">
                <a:solidFill>
                  <a:schemeClr val="tx1"/>
                </a:solidFill>
                <a:effectLst/>
              </a:rPr>
              <a:t>TASK STATUS DISTRIBUTION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shade val="53000"/>
                  <a:lumMod val="110000"/>
                  <a:satMod val="105000"/>
                  <a:tint val="67000"/>
                </a:schemeClr>
              </a:gs>
              <a:gs pos="50000">
                <a:schemeClr val="accent4">
                  <a:shade val="53000"/>
                  <a:lumMod val="105000"/>
                  <a:satMod val="103000"/>
                  <a:tint val="73000"/>
                </a:schemeClr>
              </a:gs>
              <a:gs pos="100000">
                <a:schemeClr val="accent4">
                  <a:shade val="53000"/>
                  <a:lumMod val="105000"/>
                  <a:satMod val="109000"/>
                  <a:tint val="81000"/>
                </a:schemeClr>
              </a:gs>
            </a:gsLst>
            <a:lin ang="5400000" scaled="0"/>
          </a:gradFill>
          <a:ln w="9525" cap="flat" cmpd="sng" algn="ctr">
            <a:solidFill>
              <a:schemeClr val="accent4">
                <a:shade val="53000"/>
                <a:shade val="95000"/>
              </a:schemeClr>
            </a:solidFill>
            <a:round/>
          </a:ln>
          <a:effectLst/>
        </c:spPr>
      </c:pivotFmt>
      <c:pivotFmt>
        <c:idx val="9"/>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pivotFmt>
      <c:pivotFmt>
        <c:idx val="1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11"/>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12"/>
        <c:spPr>
          <a:gradFill rotWithShape="1">
            <a:gsLst>
              <a:gs pos="0">
                <a:schemeClr val="accent4">
                  <a:tint val="54000"/>
                  <a:lumMod val="110000"/>
                  <a:satMod val="105000"/>
                  <a:tint val="67000"/>
                </a:schemeClr>
              </a:gs>
              <a:gs pos="50000">
                <a:schemeClr val="accent4">
                  <a:tint val="54000"/>
                  <a:lumMod val="105000"/>
                  <a:satMod val="103000"/>
                  <a:tint val="73000"/>
                </a:schemeClr>
              </a:gs>
              <a:gs pos="100000">
                <a:schemeClr val="accent4">
                  <a:tint val="54000"/>
                  <a:lumMod val="105000"/>
                  <a:satMod val="109000"/>
                  <a:tint val="81000"/>
                </a:schemeClr>
              </a:gs>
            </a:gsLst>
            <a:lin ang="5400000" scaled="0"/>
          </a:gradFill>
          <a:ln w="9525" cap="flat" cmpd="sng" algn="ctr">
            <a:solidFill>
              <a:schemeClr val="accent4">
                <a:tint val="54000"/>
                <a:shade val="95000"/>
              </a:schemeClr>
            </a:solidFill>
            <a:round/>
          </a:ln>
          <a:effectLst/>
        </c:spPr>
      </c:pivotFmt>
    </c:pivotFmts>
    <c:plotArea>
      <c:layout/>
      <c:doughnutChart>
        <c:varyColors val="1"/>
        <c:ser>
          <c:idx val="0"/>
          <c:order val="0"/>
          <c:tx>
            <c:strRef>
              <c:f>Sheet2!$B$44</c:f>
              <c:strCache>
                <c:ptCount val="1"/>
                <c:pt idx="0">
                  <c:v>Total</c:v>
                </c:pt>
              </c:strCache>
            </c:strRef>
          </c:tx>
          <c:dPt>
            <c:idx val="0"/>
            <c:bubble3D val="0"/>
            <c:spPr>
              <a:gradFill rotWithShape="1">
                <a:gsLst>
                  <a:gs pos="0">
                    <a:schemeClr val="accent4">
                      <a:shade val="53000"/>
                      <a:lumMod val="110000"/>
                      <a:satMod val="105000"/>
                      <a:tint val="67000"/>
                    </a:schemeClr>
                  </a:gs>
                  <a:gs pos="50000">
                    <a:schemeClr val="accent4">
                      <a:shade val="53000"/>
                      <a:lumMod val="105000"/>
                      <a:satMod val="103000"/>
                      <a:tint val="73000"/>
                    </a:schemeClr>
                  </a:gs>
                  <a:gs pos="100000">
                    <a:schemeClr val="accent4">
                      <a:shade val="53000"/>
                      <a:lumMod val="105000"/>
                      <a:satMod val="109000"/>
                      <a:tint val="81000"/>
                    </a:schemeClr>
                  </a:gs>
                </a:gsLst>
                <a:lin ang="5400000" scaled="0"/>
              </a:gradFill>
              <a:ln w="9525" cap="flat" cmpd="sng" algn="ctr">
                <a:solidFill>
                  <a:schemeClr val="accent4">
                    <a:shade val="53000"/>
                    <a:shade val="95000"/>
                  </a:schemeClr>
                </a:solidFill>
                <a:round/>
              </a:ln>
              <a:effectLst/>
            </c:spPr>
            <c:extLst>
              <c:ext xmlns:c16="http://schemas.microsoft.com/office/drawing/2014/chart" uri="{C3380CC4-5D6E-409C-BE32-E72D297353CC}">
                <c16:uniqueId val="{00000001-9468-438C-8CB8-36739188F3BF}"/>
              </c:ext>
            </c:extLst>
          </c:dPt>
          <c:dPt>
            <c:idx val="1"/>
            <c:bubble3D val="0"/>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extLst>
              <c:ext xmlns:c16="http://schemas.microsoft.com/office/drawing/2014/chart" uri="{C3380CC4-5D6E-409C-BE32-E72D297353CC}">
                <c16:uniqueId val="{00000003-9468-438C-8CB8-36739188F3BF}"/>
              </c:ext>
            </c:extLst>
          </c:dPt>
          <c:dPt>
            <c:idx val="2"/>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5-9468-438C-8CB8-36739188F3BF}"/>
              </c:ext>
            </c:extLst>
          </c:dPt>
          <c:dPt>
            <c:idx val="3"/>
            <c:bubble3D val="0"/>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extLst>
              <c:ext xmlns:c16="http://schemas.microsoft.com/office/drawing/2014/chart" uri="{C3380CC4-5D6E-409C-BE32-E72D297353CC}">
                <c16:uniqueId val="{00000007-9468-438C-8CB8-36739188F3BF}"/>
              </c:ext>
            </c:extLst>
          </c:dPt>
          <c:dPt>
            <c:idx val="4"/>
            <c:bubble3D val="0"/>
            <c:spPr>
              <a:gradFill rotWithShape="1">
                <a:gsLst>
                  <a:gs pos="0">
                    <a:schemeClr val="accent4">
                      <a:tint val="54000"/>
                      <a:lumMod val="110000"/>
                      <a:satMod val="105000"/>
                      <a:tint val="67000"/>
                    </a:schemeClr>
                  </a:gs>
                  <a:gs pos="50000">
                    <a:schemeClr val="accent4">
                      <a:tint val="54000"/>
                      <a:lumMod val="105000"/>
                      <a:satMod val="103000"/>
                      <a:tint val="73000"/>
                    </a:schemeClr>
                  </a:gs>
                  <a:gs pos="100000">
                    <a:schemeClr val="accent4">
                      <a:tint val="54000"/>
                      <a:lumMod val="105000"/>
                      <a:satMod val="109000"/>
                      <a:tint val="81000"/>
                    </a:schemeClr>
                  </a:gs>
                </a:gsLst>
                <a:lin ang="5400000" scaled="0"/>
              </a:gradFill>
              <a:ln w="9525" cap="flat" cmpd="sng" algn="ctr">
                <a:solidFill>
                  <a:schemeClr val="accent4">
                    <a:tint val="54000"/>
                    <a:shade val="95000"/>
                  </a:schemeClr>
                </a:solidFill>
                <a:round/>
              </a:ln>
              <a:effectLst/>
            </c:spPr>
            <c:extLst>
              <c:ext xmlns:c16="http://schemas.microsoft.com/office/drawing/2014/chart" uri="{C3380CC4-5D6E-409C-BE32-E72D297353CC}">
                <c16:uniqueId val="{00000009-9468-438C-8CB8-36739188F3B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Sheet2!$A$45:$A$50</c:f>
              <c:strCache>
                <c:ptCount val="5"/>
                <c:pt idx="0">
                  <c:v>Approval</c:v>
                </c:pt>
                <c:pt idx="1">
                  <c:v>Data Entry</c:v>
                </c:pt>
                <c:pt idx="2">
                  <c:v>Escalation</c:v>
                </c:pt>
                <c:pt idx="3">
                  <c:v>Review</c:v>
                </c:pt>
                <c:pt idx="4">
                  <c:v>Validation</c:v>
                </c:pt>
              </c:strCache>
            </c:strRef>
          </c:cat>
          <c:val>
            <c:numRef>
              <c:f>Sheet2!$B$45:$B$50</c:f>
              <c:numCache>
                <c:formatCode>General</c:formatCode>
                <c:ptCount val="5"/>
                <c:pt idx="0">
                  <c:v>493</c:v>
                </c:pt>
                <c:pt idx="1">
                  <c:v>480</c:v>
                </c:pt>
                <c:pt idx="2">
                  <c:v>504</c:v>
                </c:pt>
                <c:pt idx="3">
                  <c:v>530</c:v>
                </c:pt>
                <c:pt idx="4">
                  <c:v>493</c:v>
                </c:pt>
              </c:numCache>
            </c:numRef>
          </c:val>
          <c:extLst>
            <c:ext xmlns:c16="http://schemas.microsoft.com/office/drawing/2014/chart" uri="{C3380CC4-5D6E-409C-BE32-E72D297353CC}">
              <c16:uniqueId val="{0000000A-9468-438C-8CB8-36739188F3BF}"/>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4"/>
      </a:solidFill>
      <a:prstDash val="solid"/>
      <a:miter lim="800000"/>
    </a:ln>
    <a:effectLst>
      <a:outerShdw blurRad="63500" sx="102000" sy="102000" algn="ctr"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529167</xdr:colOff>
      <xdr:row>4</xdr:row>
      <xdr:rowOff>21167</xdr:rowOff>
    </xdr:from>
    <xdr:to>
      <xdr:col>31</xdr:col>
      <xdr:colOff>254000</xdr:colOff>
      <xdr:row>60</xdr:row>
      <xdr:rowOff>169333</xdr:rowOff>
    </xdr:to>
    <xdr:sp macro="" textlink="">
      <xdr:nvSpPr>
        <xdr:cNvPr id="34" name="Rectangle 33">
          <a:extLst>
            <a:ext uri="{FF2B5EF4-FFF2-40B4-BE49-F238E27FC236}">
              <a16:creationId xmlns:a16="http://schemas.microsoft.com/office/drawing/2014/main" id="{05E46EB6-ED99-C343-D405-D284A58ADC41}"/>
            </a:ext>
          </a:extLst>
        </xdr:cNvPr>
        <xdr:cNvSpPr/>
      </xdr:nvSpPr>
      <xdr:spPr>
        <a:xfrm>
          <a:off x="529167" y="783167"/>
          <a:ext cx="18753666" cy="10816166"/>
        </a:xfrm>
        <a:prstGeom prst="rect">
          <a:avLst/>
        </a:prstGeom>
        <a:solidFill>
          <a:schemeClr val="tx2">
            <a:lumMod val="10000"/>
            <a:lumOff val="90000"/>
          </a:schemeClr>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272657</xdr:colOff>
      <xdr:row>20</xdr:row>
      <xdr:rowOff>167535</xdr:rowOff>
    </xdr:from>
    <xdr:to>
      <xdr:col>12</xdr:col>
      <xdr:colOff>299723</xdr:colOff>
      <xdr:row>24</xdr:row>
      <xdr:rowOff>121117</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9D9EEDD5-24D7-B9A0-14EE-9893717A091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82257" y="3977535"/>
              <a:ext cx="6732666" cy="715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326777</xdr:colOff>
      <xdr:row>21</xdr:row>
      <xdr:rowOff>17249</xdr:rowOff>
    </xdr:from>
    <xdr:to>
      <xdr:col>23</xdr:col>
      <xdr:colOff>509579</xdr:colOff>
      <xdr:row>24</xdr:row>
      <xdr:rowOff>142835</xdr:rowOff>
    </xdr:to>
    <mc:AlternateContent xmlns:mc="http://schemas.openxmlformats.org/markup-compatibility/2006">
      <mc:Choice xmlns:a14="http://schemas.microsoft.com/office/drawing/2010/main" Requires="a14">
        <xdr:graphicFrame macro="">
          <xdr:nvGraphicFramePr>
            <xdr:cNvPr id="8" name="Task_Type">
              <a:extLst>
                <a:ext uri="{FF2B5EF4-FFF2-40B4-BE49-F238E27FC236}">
                  <a16:creationId xmlns:a16="http://schemas.microsoft.com/office/drawing/2014/main" id="{E2FDB686-55B5-A323-66C8-C7AC72AD38A2}"/>
                </a:ext>
              </a:extLst>
            </xdr:cNvPr>
            <xdr:cNvGraphicFramePr/>
          </xdr:nvGraphicFramePr>
          <xdr:xfrm>
            <a:off x="0" y="0"/>
            <a:ext cx="0" cy="0"/>
          </xdr:xfrm>
          <a:graphic>
            <a:graphicData uri="http://schemas.microsoft.com/office/drawing/2010/slicer">
              <sle:slicer xmlns:sle="http://schemas.microsoft.com/office/drawing/2010/slicer" name="Task_Type"/>
            </a:graphicData>
          </a:graphic>
        </xdr:graphicFrame>
      </mc:Choice>
      <mc:Fallback>
        <xdr:sp macro="" textlink="">
          <xdr:nvSpPr>
            <xdr:cNvPr id="0" name=""/>
            <xdr:cNvSpPr>
              <a:spLocks noTextEdit="1"/>
            </xdr:cNvSpPr>
          </xdr:nvSpPr>
          <xdr:spPr>
            <a:xfrm>
              <a:off x="8251577" y="4017749"/>
              <a:ext cx="6278802" cy="697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214717</xdr:colOff>
      <xdr:row>21</xdr:row>
      <xdr:rowOff>29054</xdr:rowOff>
    </xdr:from>
    <xdr:to>
      <xdr:col>30</xdr:col>
      <xdr:colOff>437020</xdr:colOff>
      <xdr:row>24</xdr:row>
      <xdr:rowOff>144078</xdr:rowOff>
    </xdr:to>
    <mc:AlternateContent xmlns:mc="http://schemas.openxmlformats.org/markup-compatibility/2006">
      <mc:Choice xmlns:a14="http://schemas.microsoft.com/office/drawing/2010/main" Requires="a14">
        <xdr:graphicFrame macro="">
          <xdr:nvGraphicFramePr>
            <xdr:cNvPr id="9" name="Priority_Level">
              <a:extLst>
                <a:ext uri="{FF2B5EF4-FFF2-40B4-BE49-F238E27FC236}">
                  <a16:creationId xmlns:a16="http://schemas.microsoft.com/office/drawing/2014/main" id="{8417CFC3-E064-3828-F629-9B87B4818916}"/>
                </a:ext>
              </a:extLst>
            </xdr:cNvPr>
            <xdr:cNvGraphicFramePr/>
          </xdr:nvGraphicFramePr>
          <xdr:xfrm>
            <a:off x="0" y="0"/>
            <a:ext cx="0" cy="0"/>
          </xdr:xfrm>
          <a:graphic>
            <a:graphicData uri="http://schemas.microsoft.com/office/drawing/2010/slicer">
              <sle:slicer xmlns:sle="http://schemas.microsoft.com/office/drawing/2010/slicer" name="Priority_Level"/>
            </a:graphicData>
          </a:graphic>
        </xdr:graphicFrame>
      </mc:Choice>
      <mc:Fallback>
        <xdr:sp macro="" textlink="">
          <xdr:nvSpPr>
            <xdr:cNvPr id="0" name=""/>
            <xdr:cNvSpPr>
              <a:spLocks noTextEdit="1"/>
            </xdr:cNvSpPr>
          </xdr:nvSpPr>
          <xdr:spPr>
            <a:xfrm>
              <a:off x="14845117" y="4029554"/>
              <a:ext cx="3879903" cy="686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320524</xdr:colOff>
      <xdr:row>43</xdr:row>
      <xdr:rowOff>29501</xdr:rowOff>
    </xdr:from>
    <xdr:to>
      <xdr:col>13</xdr:col>
      <xdr:colOff>195231</xdr:colOff>
      <xdr:row>58</xdr:row>
      <xdr:rowOff>143670</xdr:rowOff>
    </xdr:to>
    <xdr:graphicFrame macro="">
      <xdr:nvGraphicFramePr>
        <xdr:cNvPr id="7" name="Chart 6">
          <a:extLst>
            <a:ext uri="{FF2B5EF4-FFF2-40B4-BE49-F238E27FC236}">
              <a16:creationId xmlns:a16="http://schemas.microsoft.com/office/drawing/2014/main" id="{794759E1-C091-49A8-8C24-56135CB46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188911</xdr:colOff>
      <xdr:row>26</xdr:row>
      <xdr:rowOff>34525</xdr:rowOff>
    </xdr:from>
    <xdr:to>
      <xdr:col>30</xdr:col>
      <xdr:colOff>464478</xdr:colOff>
      <xdr:row>58</xdr:row>
      <xdr:rowOff>80847</xdr:rowOff>
    </xdr:to>
    <xdr:graphicFrame macro="">
      <xdr:nvGraphicFramePr>
        <xdr:cNvPr id="10" name="Chart 9">
          <a:extLst>
            <a:ext uri="{FF2B5EF4-FFF2-40B4-BE49-F238E27FC236}">
              <a16:creationId xmlns:a16="http://schemas.microsoft.com/office/drawing/2014/main" id="{7EEEC614-BB48-460A-8D62-11E3F1947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xdr:colOff>
      <xdr:row>25</xdr:row>
      <xdr:rowOff>161218</xdr:rowOff>
    </xdr:from>
    <xdr:to>
      <xdr:col>23</xdr:col>
      <xdr:colOff>489122</xdr:colOff>
      <xdr:row>43</xdr:row>
      <xdr:rowOff>25778</xdr:rowOff>
    </xdr:to>
    <xdr:graphicFrame macro="">
      <xdr:nvGraphicFramePr>
        <xdr:cNvPr id="11" name="Chart 10">
          <a:extLst>
            <a:ext uri="{FF2B5EF4-FFF2-40B4-BE49-F238E27FC236}">
              <a16:creationId xmlns:a16="http://schemas.microsoft.com/office/drawing/2014/main" id="{7D9FB4D0-8072-42AF-9122-6AAF4CB36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444500</xdr:colOff>
      <xdr:row>12</xdr:row>
      <xdr:rowOff>17407</xdr:rowOff>
    </xdr:from>
    <xdr:to>
      <xdr:col>6</xdr:col>
      <xdr:colOff>137097</xdr:colOff>
      <xdr:row>19</xdr:row>
      <xdr:rowOff>16933</xdr:rowOff>
    </xdr:to>
    <xdr:sp macro="" textlink="">
      <xdr:nvSpPr>
        <xdr:cNvPr id="15" name="Rectangle 14">
          <a:extLst>
            <a:ext uri="{FF2B5EF4-FFF2-40B4-BE49-F238E27FC236}">
              <a16:creationId xmlns:a16="http://schemas.microsoft.com/office/drawing/2014/main" id="{542BB946-2AFC-3796-46ED-0E88CF37D966}"/>
            </a:ext>
          </a:extLst>
        </xdr:cNvPr>
        <xdr:cNvSpPr/>
      </xdr:nvSpPr>
      <xdr:spPr>
        <a:xfrm>
          <a:off x="1054720" y="2210480"/>
          <a:ext cx="2743694" cy="1278819"/>
        </a:xfrm>
        <a:prstGeom prst="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230467</xdr:colOff>
      <xdr:row>14</xdr:row>
      <xdr:rowOff>171721</xdr:rowOff>
    </xdr:from>
    <xdr:to>
      <xdr:col>6</xdr:col>
      <xdr:colOff>311285</xdr:colOff>
      <xdr:row>17</xdr:row>
      <xdr:rowOff>136023</xdr:rowOff>
    </xdr:to>
    <xdr:sp macro="" textlink="Sheet2!D3">
      <xdr:nvSpPr>
        <xdr:cNvPr id="16" name="TextBox 15">
          <a:extLst>
            <a:ext uri="{FF2B5EF4-FFF2-40B4-BE49-F238E27FC236}">
              <a16:creationId xmlns:a16="http://schemas.microsoft.com/office/drawing/2014/main" id="{75F21E9F-786F-D999-E3ED-FE3FD270C057}"/>
            </a:ext>
          </a:extLst>
        </xdr:cNvPr>
        <xdr:cNvSpPr txBox="1"/>
      </xdr:nvSpPr>
      <xdr:spPr>
        <a:xfrm>
          <a:off x="835932" y="2652651"/>
          <a:ext cx="3108144" cy="495930"/>
        </a:xfrm>
        <a:prstGeom prst="rect">
          <a:avLst/>
        </a:prstGeom>
        <a:solidFill>
          <a:schemeClr val="accent1">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45FA2E-850F-4EC5-9337-8A50A4F39CE8}" type="TxLink">
            <a:rPr lang="en-US" sz="2400" b="1" i="0" u="none" strike="noStrike">
              <a:solidFill>
                <a:srgbClr val="000000"/>
              </a:solidFill>
              <a:latin typeface="Aptos Narrow"/>
            </a:rPr>
            <a:t>2500</a:t>
          </a:fld>
          <a:endParaRPr lang="en-IN" sz="2400" b="1"/>
        </a:p>
      </xdr:txBody>
    </xdr:sp>
    <xdr:clientData/>
  </xdr:twoCellAnchor>
  <xdr:twoCellAnchor>
    <xdr:from>
      <xdr:col>1</xdr:col>
      <xdr:colOff>315559</xdr:colOff>
      <xdr:row>26</xdr:row>
      <xdr:rowOff>53210</xdr:rowOff>
    </xdr:from>
    <xdr:to>
      <xdr:col>13</xdr:col>
      <xdr:colOff>264044</xdr:colOff>
      <xdr:row>41</xdr:row>
      <xdr:rowOff>143340</xdr:rowOff>
    </xdr:to>
    <xdr:graphicFrame macro="">
      <xdr:nvGraphicFramePr>
        <xdr:cNvPr id="12" name="Chart 11">
          <a:extLst>
            <a:ext uri="{FF2B5EF4-FFF2-40B4-BE49-F238E27FC236}">
              <a16:creationId xmlns:a16="http://schemas.microsoft.com/office/drawing/2014/main" id="{B752F12A-5834-42C6-8BEE-5BD722B5D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108810</xdr:colOff>
      <xdr:row>12</xdr:row>
      <xdr:rowOff>81367</xdr:rowOff>
    </xdr:from>
    <xdr:to>
      <xdr:col>5</xdr:col>
      <xdr:colOff>554252</xdr:colOff>
      <xdr:row>14</xdr:row>
      <xdr:rowOff>104460</xdr:rowOff>
    </xdr:to>
    <xdr:sp macro="" textlink="">
      <xdr:nvSpPr>
        <xdr:cNvPr id="17" name="TextBox 16">
          <a:extLst>
            <a:ext uri="{FF2B5EF4-FFF2-40B4-BE49-F238E27FC236}">
              <a16:creationId xmlns:a16="http://schemas.microsoft.com/office/drawing/2014/main" id="{4D44D2B2-5783-1EC6-E969-FC925155C5B2}"/>
            </a:ext>
          </a:extLst>
        </xdr:cNvPr>
        <xdr:cNvSpPr txBox="1"/>
      </xdr:nvSpPr>
      <xdr:spPr>
        <a:xfrm>
          <a:off x="1329249" y="2274440"/>
          <a:ext cx="2276101" cy="388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Total Tasks</a:t>
          </a:r>
        </a:p>
      </xdr:txBody>
    </xdr:sp>
    <xdr:clientData/>
  </xdr:twoCellAnchor>
  <xdr:twoCellAnchor>
    <xdr:from>
      <xdr:col>8</xdr:col>
      <xdr:colOff>23054</xdr:colOff>
      <xdr:row>12</xdr:row>
      <xdr:rowOff>20934</xdr:rowOff>
    </xdr:from>
    <xdr:to>
      <xdr:col>12</xdr:col>
      <xdr:colOff>321115</xdr:colOff>
      <xdr:row>19</xdr:row>
      <xdr:rowOff>23760</xdr:rowOff>
    </xdr:to>
    <xdr:sp macro="" textlink="">
      <xdr:nvSpPr>
        <xdr:cNvPr id="19" name="Rectangle 18">
          <a:extLst>
            <a:ext uri="{FF2B5EF4-FFF2-40B4-BE49-F238E27FC236}">
              <a16:creationId xmlns:a16="http://schemas.microsoft.com/office/drawing/2014/main" id="{716C7176-C418-4EF1-8CB7-4EBEE1F4FAB7}"/>
            </a:ext>
          </a:extLst>
        </xdr:cNvPr>
        <xdr:cNvSpPr/>
      </xdr:nvSpPr>
      <xdr:spPr>
        <a:xfrm>
          <a:off x="4900590" y="2229630"/>
          <a:ext cx="2736829" cy="1291231"/>
        </a:xfrm>
        <a:prstGeom prst="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291142</xdr:colOff>
      <xdr:row>12</xdr:row>
      <xdr:rowOff>75640</xdr:rowOff>
    </xdr:from>
    <xdr:to>
      <xdr:col>12</xdr:col>
      <xdr:colOff>123734</xdr:colOff>
      <xdr:row>14</xdr:row>
      <xdr:rowOff>98733</xdr:rowOff>
    </xdr:to>
    <xdr:sp macro="" textlink="">
      <xdr:nvSpPr>
        <xdr:cNvPr id="20" name="TextBox 19">
          <a:extLst>
            <a:ext uri="{FF2B5EF4-FFF2-40B4-BE49-F238E27FC236}">
              <a16:creationId xmlns:a16="http://schemas.microsoft.com/office/drawing/2014/main" id="{A98E004A-24DA-495C-BB7D-FA28C4742461}"/>
            </a:ext>
          </a:extLst>
        </xdr:cNvPr>
        <xdr:cNvSpPr txBox="1"/>
      </xdr:nvSpPr>
      <xdr:spPr>
        <a:xfrm>
          <a:off x="5168678" y="2284336"/>
          <a:ext cx="2271360" cy="3912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Total Delays</a:t>
          </a:r>
        </a:p>
      </xdr:txBody>
    </xdr:sp>
    <xdr:clientData/>
  </xdr:twoCellAnchor>
  <xdr:twoCellAnchor>
    <xdr:from>
      <xdr:col>7</xdr:col>
      <xdr:colOff>430959</xdr:colOff>
      <xdr:row>15</xdr:row>
      <xdr:rowOff>795</xdr:rowOff>
    </xdr:from>
    <xdr:to>
      <xdr:col>12</xdr:col>
      <xdr:colOff>511776</xdr:colOff>
      <xdr:row>17</xdr:row>
      <xdr:rowOff>149970</xdr:rowOff>
    </xdr:to>
    <xdr:sp macro="" textlink="Sheet2!E3">
      <xdr:nvSpPr>
        <xdr:cNvPr id="21" name="TextBox 20">
          <a:extLst>
            <a:ext uri="{FF2B5EF4-FFF2-40B4-BE49-F238E27FC236}">
              <a16:creationId xmlns:a16="http://schemas.microsoft.com/office/drawing/2014/main" id="{12E7794C-D509-407B-9A7E-72EAE3E88DCF}"/>
            </a:ext>
          </a:extLst>
        </xdr:cNvPr>
        <xdr:cNvSpPr txBox="1"/>
      </xdr:nvSpPr>
      <xdr:spPr>
        <a:xfrm>
          <a:off x="4707162" y="2773896"/>
          <a:ext cx="3135247" cy="518922"/>
        </a:xfrm>
        <a:prstGeom prst="rect">
          <a:avLst/>
        </a:prstGeom>
        <a:solidFill>
          <a:schemeClr val="accent1">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FDA84B-8F79-436F-B8ED-39DDB796A82E}" type="TxLink">
            <a:rPr lang="en-US" sz="2400" b="1" i="0" u="none" strike="noStrike">
              <a:solidFill>
                <a:schemeClr val="tx1"/>
              </a:solidFill>
              <a:latin typeface="Aptos Narrow"/>
            </a:rPr>
            <a:t>2373</a:t>
          </a:fld>
          <a:endParaRPr lang="en-IN" sz="2400" b="1">
            <a:solidFill>
              <a:schemeClr val="tx1"/>
            </a:solidFill>
          </a:endParaRPr>
        </a:p>
      </xdr:txBody>
    </xdr:sp>
    <xdr:clientData/>
  </xdr:twoCellAnchor>
  <xdr:twoCellAnchor>
    <xdr:from>
      <xdr:col>14</xdr:col>
      <xdr:colOff>26186</xdr:colOff>
      <xdr:row>12</xdr:row>
      <xdr:rowOff>6546</xdr:rowOff>
    </xdr:from>
    <xdr:to>
      <xdr:col>18</xdr:col>
      <xdr:colOff>324248</xdr:colOff>
      <xdr:row>19</xdr:row>
      <xdr:rowOff>9242</xdr:rowOff>
    </xdr:to>
    <xdr:sp macro="" textlink="">
      <xdr:nvSpPr>
        <xdr:cNvPr id="22" name="Rectangle 21">
          <a:extLst>
            <a:ext uri="{FF2B5EF4-FFF2-40B4-BE49-F238E27FC236}">
              <a16:creationId xmlns:a16="http://schemas.microsoft.com/office/drawing/2014/main" id="{60A0AF0C-B8D6-4297-A7BA-A5E8B655F1E3}"/>
            </a:ext>
          </a:extLst>
        </xdr:cNvPr>
        <xdr:cNvSpPr/>
      </xdr:nvSpPr>
      <xdr:spPr>
        <a:xfrm>
          <a:off x="8549588" y="2206134"/>
          <a:ext cx="2733320" cy="1285788"/>
        </a:xfrm>
        <a:prstGeom prst="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262089</xdr:colOff>
      <xdr:row>12</xdr:row>
      <xdr:rowOff>63490</xdr:rowOff>
    </xdr:from>
    <xdr:to>
      <xdr:col>18</xdr:col>
      <xdr:colOff>94680</xdr:colOff>
      <xdr:row>14</xdr:row>
      <xdr:rowOff>86583</xdr:rowOff>
    </xdr:to>
    <xdr:sp macro="" textlink="">
      <xdr:nvSpPr>
        <xdr:cNvPr id="23" name="TextBox 22">
          <a:extLst>
            <a:ext uri="{FF2B5EF4-FFF2-40B4-BE49-F238E27FC236}">
              <a16:creationId xmlns:a16="http://schemas.microsoft.com/office/drawing/2014/main" id="{45F40826-6670-4505-92F6-CC51752EC083}"/>
            </a:ext>
          </a:extLst>
        </xdr:cNvPr>
        <xdr:cNvSpPr txBox="1"/>
      </xdr:nvSpPr>
      <xdr:spPr>
        <a:xfrm>
          <a:off x="8791684" y="2260247"/>
          <a:ext cx="2269618" cy="389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Delay Rate</a:t>
          </a:r>
        </a:p>
      </xdr:txBody>
    </xdr:sp>
    <xdr:clientData/>
  </xdr:twoCellAnchor>
  <xdr:twoCellAnchor>
    <xdr:from>
      <xdr:col>13</xdr:col>
      <xdr:colOff>395639</xdr:colOff>
      <xdr:row>14</xdr:row>
      <xdr:rowOff>165102</xdr:rowOff>
    </xdr:from>
    <xdr:to>
      <xdr:col>18</xdr:col>
      <xdr:colOff>476456</xdr:colOff>
      <xdr:row>17</xdr:row>
      <xdr:rowOff>129405</xdr:rowOff>
    </xdr:to>
    <xdr:sp macro="" textlink="Sheet2!F3">
      <xdr:nvSpPr>
        <xdr:cNvPr id="24" name="TextBox 23">
          <a:extLst>
            <a:ext uri="{FF2B5EF4-FFF2-40B4-BE49-F238E27FC236}">
              <a16:creationId xmlns:a16="http://schemas.microsoft.com/office/drawing/2014/main" id="{6F22D16A-5C89-4C02-8BE4-6AC210824A53}"/>
            </a:ext>
          </a:extLst>
        </xdr:cNvPr>
        <xdr:cNvSpPr txBox="1"/>
      </xdr:nvSpPr>
      <xdr:spPr>
        <a:xfrm>
          <a:off x="8310227" y="2731288"/>
          <a:ext cx="3124889" cy="514199"/>
        </a:xfrm>
        <a:prstGeom prst="rect">
          <a:avLst/>
        </a:prstGeom>
        <a:solidFill>
          <a:schemeClr val="accent1">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AE101C-858F-4B88-8616-BCE8240CAFD9}" type="TxLink">
            <a:rPr lang="en-US" sz="2000" b="1" i="0" u="none" strike="noStrike">
              <a:solidFill>
                <a:schemeClr val="tx1"/>
              </a:solidFill>
              <a:latin typeface="Aptos Narrow"/>
            </a:rPr>
            <a:t>95%</a:t>
          </a:fld>
          <a:endParaRPr lang="en-IN" sz="2000" b="1">
            <a:solidFill>
              <a:schemeClr val="tx1"/>
            </a:solidFill>
          </a:endParaRPr>
        </a:p>
      </xdr:txBody>
    </xdr:sp>
    <xdr:clientData/>
  </xdr:twoCellAnchor>
  <xdr:twoCellAnchor>
    <xdr:from>
      <xdr:col>20</xdr:col>
      <xdr:colOff>18707</xdr:colOff>
      <xdr:row>12</xdr:row>
      <xdr:rowOff>10307</xdr:rowOff>
    </xdr:from>
    <xdr:to>
      <xdr:col>24</xdr:col>
      <xdr:colOff>316769</xdr:colOff>
      <xdr:row>19</xdr:row>
      <xdr:rowOff>8152</xdr:rowOff>
    </xdr:to>
    <xdr:sp macro="" textlink="">
      <xdr:nvSpPr>
        <xdr:cNvPr id="25" name="Rectangle 24">
          <a:extLst>
            <a:ext uri="{FF2B5EF4-FFF2-40B4-BE49-F238E27FC236}">
              <a16:creationId xmlns:a16="http://schemas.microsoft.com/office/drawing/2014/main" id="{2E9E035A-7CFB-405C-8B30-BB3EB79980DB}"/>
            </a:ext>
          </a:extLst>
        </xdr:cNvPr>
        <xdr:cNvSpPr/>
      </xdr:nvSpPr>
      <xdr:spPr>
        <a:xfrm>
          <a:off x="12237646" y="2203943"/>
          <a:ext cx="2741850" cy="1277467"/>
        </a:xfrm>
        <a:prstGeom prst="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411587</xdr:colOff>
      <xdr:row>14</xdr:row>
      <xdr:rowOff>166697</xdr:rowOff>
    </xdr:from>
    <xdr:to>
      <xdr:col>24</xdr:col>
      <xdr:colOff>492404</xdr:colOff>
      <xdr:row>17</xdr:row>
      <xdr:rowOff>130879</xdr:rowOff>
    </xdr:to>
    <xdr:sp macro="" textlink="Sheet2!G3">
      <xdr:nvSpPr>
        <xdr:cNvPr id="26" name="TextBox 25">
          <a:extLst>
            <a:ext uri="{FF2B5EF4-FFF2-40B4-BE49-F238E27FC236}">
              <a16:creationId xmlns:a16="http://schemas.microsoft.com/office/drawing/2014/main" id="{2862A7A6-20AD-4181-B061-28DF6C1B207A}"/>
            </a:ext>
          </a:extLst>
        </xdr:cNvPr>
        <xdr:cNvSpPr txBox="1"/>
      </xdr:nvSpPr>
      <xdr:spPr>
        <a:xfrm>
          <a:off x="11980085" y="2727602"/>
          <a:ext cx="3125159" cy="512948"/>
        </a:xfrm>
        <a:prstGeom prst="rect">
          <a:avLst/>
        </a:prstGeom>
        <a:solidFill>
          <a:schemeClr val="accent1">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CD34E5-182D-458A-B444-8C909FD08F94}" type="TxLink">
            <a:rPr lang="en-US" sz="2000" b="1" i="0" u="none" strike="noStrike">
              <a:solidFill>
                <a:schemeClr val="tx1"/>
              </a:solidFill>
              <a:latin typeface="Aptos Narrow"/>
            </a:rPr>
            <a:t>180.86</a:t>
          </a:fld>
          <a:endParaRPr lang="en-IN" sz="2000" b="1">
            <a:solidFill>
              <a:schemeClr val="tx1"/>
            </a:solidFill>
          </a:endParaRPr>
        </a:p>
      </xdr:txBody>
    </xdr:sp>
    <xdr:clientData/>
  </xdr:twoCellAnchor>
  <xdr:twoCellAnchor>
    <xdr:from>
      <xdr:col>25</xdr:col>
      <xdr:colOff>611651</xdr:colOff>
      <xdr:row>12</xdr:row>
      <xdr:rowOff>8875</xdr:rowOff>
    </xdr:from>
    <xdr:to>
      <xdr:col>30</xdr:col>
      <xdr:colOff>297805</xdr:colOff>
      <xdr:row>19</xdr:row>
      <xdr:rowOff>6721</xdr:rowOff>
    </xdr:to>
    <xdr:sp macro="" textlink="">
      <xdr:nvSpPr>
        <xdr:cNvPr id="27" name="Rectangle 26">
          <a:extLst>
            <a:ext uri="{FF2B5EF4-FFF2-40B4-BE49-F238E27FC236}">
              <a16:creationId xmlns:a16="http://schemas.microsoft.com/office/drawing/2014/main" id="{5BDB1012-D5A2-4934-A72E-4DC5D7785E13}"/>
            </a:ext>
          </a:extLst>
        </xdr:cNvPr>
        <xdr:cNvSpPr/>
      </xdr:nvSpPr>
      <xdr:spPr>
        <a:xfrm>
          <a:off x="15909378" y="2225602"/>
          <a:ext cx="2745700" cy="1290937"/>
        </a:xfrm>
        <a:prstGeom prst="rect">
          <a:avLst/>
        </a:prstGeom>
        <a:effectLst>
          <a:outerShdw blurRad="50800" dist="38100" dir="2700000" algn="tl" rotWithShape="0">
            <a:prstClr val="black">
              <a:alpha val="40000"/>
            </a:prstClr>
          </a:outerShdw>
        </a:effectLst>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407791</xdr:colOff>
      <xdr:row>14</xdr:row>
      <xdr:rowOff>174506</xdr:rowOff>
    </xdr:from>
    <xdr:to>
      <xdr:col>30</xdr:col>
      <xdr:colOff>488609</xdr:colOff>
      <xdr:row>17</xdr:row>
      <xdr:rowOff>138808</xdr:rowOff>
    </xdr:to>
    <xdr:sp macro="" textlink="Sheet2!H3">
      <xdr:nvSpPr>
        <xdr:cNvPr id="28" name="TextBox 27">
          <a:extLst>
            <a:ext uri="{FF2B5EF4-FFF2-40B4-BE49-F238E27FC236}">
              <a16:creationId xmlns:a16="http://schemas.microsoft.com/office/drawing/2014/main" id="{689E5A98-4F8D-42ED-B9A6-425CCA6B7C1F}"/>
            </a:ext>
          </a:extLst>
        </xdr:cNvPr>
        <xdr:cNvSpPr txBox="1"/>
      </xdr:nvSpPr>
      <xdr:spPr>
        <a:xfrm>
          <a:off x="15705518" y="2760688"/>
          <a:ext cx="3140364" cy="518484"/>
        </a:xfrm>
        <a:prstGeom prst="rect">
          <a:avLst/>
        </a:prstGeom>
        <a:solidFill>
          <a:schemeClr val="accent1">
            <a:lumMod val="40000"/>
            <a:lumOff val="60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402C96-A602-4B69-9249-DD4A6B58629A}" type="TxLink">
            <a:rPr lang="en-US" sz="2000" b="1" i="0" u="none" strike="noStrike">
              <a:solidFill>
                <a:srgbClr val="000000"/>
              </a:solidFill>
              <a:latin typeface="Aptos Narrow"/>
            </a:rPr>
            <a:t>277.98</a:t>
          </a:fld>
          <a:endParaRPr lang="en-IN" sz="2000" b="1">
            <a:solidFill>
              <a:schemeClr val="tx1"/>
            </a:solidFill>
          </a:endParaRPr>
        </a:p>
      </xdr:txBody>
    </xdr:sp>
    <xdr:clientData/>
  </xdr:twoCellAnchor>
  <xdr:twoCellAnchor>
    <xdr:from>
      <xdr:col>20</xdr:col>
      <xdr:colOff>314451</xdr:colOff>
      <xdr:row>12</xdr:row>
      <xdr:rowOff>60250</xdr:rowOff>
    </xdr:from>
    <xdr:to>
      <xdr:col>24</xdr:col>
      <xdr:colOff>147042</xdr:colOff>
      <xdr:row>14</xdr:row>
      <xdr:rowOff>83343</xdr:rowOff>
    </xdr:to>
    <xdr:sp macro="" textlink="">
      <xdr:nvSpPr>
        <xdr:cNvPr id="29" name="TextBox 28">
          <a:extLst>
            <a:ext uri="{FF2B5EF4-FFF2-40B4-BE49-F238E27FC236}">
              <a16:creationId xmlns:a16="http://schemas.microsoft.com/office/drawing/2014/main" id="{B15CE879-1806-4990-8358-62FBBC52C06B}"/>
            </a:ext>
          </a:extLst>
        </xdr:cNvPr>
        <xdr:cNvSpPr txBox="1"/>
      </xdr:nvSpPr>
      <xdr:spPr>
        <a:xfrm>
          <a:off x="12533390" y="2253886"/>
          <a:ext cx="2276379" cy="3886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Avg Completion Time</a:t>
          </a:r>
        </a:p>
      </xdr:txBody>
    </xdr:sp>
    <xdr:clientData/>
  </xdr:twoCellAnchor>
  <xdr:twoCellAnchor>
    <xdr:from>
      <xdr:col>26</xdr:col>
      <xdr:colOff>254739</xdr:colOff>
      <xdr:row>12</xdr:row>
      <xdr:rowOff>85527</xdr:rowOff>
    </xdr:from>
    <xdr:to>
      <xdr:col>30</xdr:col>
      <xdr:colOff>87331</xdr:colOff>
      <xdr:row>14</xdr:row>
      <xdr:rowOff>108620</xdr:rowOff>
    </xdr:to>
    <xdr:sp macro="" textlink="">
      <xdr:nvSpPr>
        <xdr:cNvPr id="30" name="TextBox 29">
          <a:extLst>
            <a:ext uri="{FF2B5EF4-FFF2-40B4-BE49-F238E27FC236}">
              <a16:creationId xmlns:a16="http://schemas.microsoft.com/office/drawing/2014/main" id="{240DFC38-C95D-4548-BBCA-E4F9DCF0E25B}"/>
            </a:ext>
          </a:extLst>
        </xdr:cNvPr>
        <xdr:cNvSpPr txBox="1"/>
      </xdr:nvSpPr>
      <xdr:spPr>
        <a:xfrm>
          <a:off x="16164375" y="2302254"/>
          <a:ext cx="2280229" cy="3925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Avg Cost Per Task</a:t>
          </a:r>
        </a:p>
      </xdr:txBody>
    </xdr:sp>
    <xdr:clientData/>
  </xdr:twoCellAnchor>
  <xdr:twoCellAnchor>
    <xdr:from>
      <xdr:col>14</xdr:col>
      <xdr:colOff>14632</xdr:colOff>
      <xdr:row>44</xdr:row>
      <xdr:rowOff>139665</xdr:rowOff>
    </xdr:from>
    <xdr:to>
      <xdr:col>23</xdr:col>
      <xdr:colOff>534132</xdr:colOff>
      <xdr:row>58</xdr:row>
      <xdr:rowOff>136974</xdr:rowOff>
    </xdr:to>
    <xdr:graphicFrame macro="">
      <xdr:nvGraphicFramePr>
        <xdr:cNvPr id="31" name="Chart 30">
          <a:extLst>
            <a:ext uri="{FF2B5EF4-FFF2-40B4-BE49-F238E27FC236}">
              <a16:creationId xmlns:a16="http://schemas.microsoft.com/office/drawing/2014/main" id="{2AA83D83-8B1B-48FD-95C1-37EC7A28E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154684</xdr:colOff>
      <xdr:row>5</xdr:row>
      <xdr:rowOff>118633</xdr:rowOff>
    </xdr:from>
    <xdr:to>
      <xdr:col>12</xdr:col>
      <xdr:colOff>597757</xdr:colOff>
      <xdr:row>10</xdr:row>
      <xdr:rowOff>142697</xdr:rowOff>
    </xdr:to>
    <xdr:sp macro="" textlink="">
      <xdr:nvSpPr>
        <xdr:cNvPr id="32" name="Rectangle: Single Corner Rounded 31">
          <a:extLst>
            <a:ext uri="{FF2B5EF4-FFF2-40B4-BE49-F238E27FC236}">
              <a16:creationId xmlns:a16="http://schemas.microsoft.com/office/drawing/2014/main" id="{F06C53DB-BBDB-BDEA-2342-93E957C57C8A}"/>
            </a:ext>
          </a:extLst>
        </xdr:cNvPr>
        <xdr:cNvSpPr/>
      </xdr:nvSpPr>
      <xdr:spPr>
        <a:xfrm>
          <a:off x="761145" y="1046161"/>
          <a:ext cx="7114140" cy="951592"/>
        </a:xfrm>
        <a:prstGeom prst="round1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289688</xdr:colOff>
      <xdr:row>6</xdr:row>
      <xdr:rowOff>66574</xdr:rowOff>
    </xdr:from>
    <xdr:to>
      <xdr:col>12</xdr:col>
      <xdr:colOff>485169</xdr:colOff>
      <xdr:row>10</xdr:row>
      <xdr:rowOff>7135</xdr:rowOff>
    </xdr:to>
    <xdr:sp macro="" textlink="">
      <xdr:nvSpPr>
        <xdr:cNvPr id="33" name="TextBox 32">
          <a:extLst>
            <a:ext uri="{FF2B5EF4-FFF2-40B4-BE49-F238E27FC236}">
              <a16:creationId xmlns:a16="http://schemas.microsoft.com/office/drawing/2014/main" id="{8E404DC3-50B0-F9E2-DD22-C441AA092A2D}"/>
            </a:ext>
          </a:extLst>
        </xdr:cNvPr>
        <xdr:cNvSpPr txBox="1"/>
      </xdr:nvSpPr>
      <xdr:spPr>
        <a:xfrm>
          <a:off x="896149" y="1179608"/>
          <a:ext cx="6866548" cy="682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rPr>
            <a:t>Workflow Operations Performance &amp; Delay Analysis</a:t>
          </a:r>
          <a:br>
            <a:rPr lang="en-IN"/>
          </a:br>
          <a:r>
            <a:rPr lang="en-IN" sz="1200">
              <a:solidFill>
                <a:schemeClr val="bg1"/>
              </a:solidFill>
            </a:rPr>
            <a:t>A Data-Driven Study on Workflow Efficiency, Delay Patterns, and Operational Bottlenecks</a:t>
          </a:r>
          <a:br>
            <a:rPr lang="en-IN"/>
          </a:b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Mishra" refreshedDate="46088.969095949076" createdVersion="8" refreshedVersion="8" minRefreshableVersion="3" recordCount="2500" xr:uid="{DFA23D16-7818-45BE-BD9B-D9265E1AFBD9}">
  <cacheSource type="worksheet">
    <worksheetSource ref="A1:O2501" sheet="calculated_columns"/>
  </cacheSource>
  <cacheFields count="15">
    <cacheField name="Workflow_ID" numFmtId="0">
      <sharedItems/>
    </cacheField>
    <cacheField name="Process_Name" numFmtId="0">
      <sharedItems count="5">
        <s v="Customer Complaint"/>
        <s v="HR Onboarding"/>
        <s v="Invoice Approval"/>
        <s v="Purchase Order"/>
        <s v="IT Support Ticket"/>
      </sharedItems>
    </cacheField>
    <cacheField name="Task_ID" numFmtId="0">
      <sharedItems count="2500">
        <s v="TASK_1"/>
        <s v="TASK_2"/>
        <s v="TASK_3"/>
        <s v="TASK_4"/>
        <s v="TASK_5"/>
        <s v="TASK_6"/>
        <s v="TASK_7"/>
        <s v="TASK_8"/>
        <s v="TASK_9"/>
        <s v="TASK_10"/>
        <s v="TASK_11"/>
        <s v="TASK_12"/>
        <s v="TASK_13"/>
        <s v="TASK_14"/>
        <s v="TASK_15"/>
        <s v="TASK_16"/>
        <s v="TASK_17"/>
        <s v="TASK_18"/>
        <s v="TASK_19"/>
        <s v="TASK_20"/>
        <s v="TASK_21"/>
        <s v="TASK_22"/>
        <s v="TASK_23"/>
        <s v="TASK_24"/>
        <s v="TASK_25"/>
        <s v="TASK_26"/>
        <s v="TASK_27"/>
        <s v="TASK_28"/>
        <s v="TASK_29"/>
        <s v="TASK_30"/>
        <s v="TASK_31"/>
        <s v="TASK_32"/>
        <s v="TASK_33"/>
        <s v="TASK_34"/>
        <s v="TASK_35"/>
        <s v="TASK_36"/>
        <s v="TASK_37"/>
        <s v="TASK_38"/>
        <s v="TASK_39"/>
        <s v="TASK_40"/>
        <s v="TASK_41"/>
        <s v="TASK_42"/>
        <s v="TASK_43"/>
        <s v="TASK_44"/>
        <s v="TASK_45"/>
        <s v="TASK_46"/>
        <s v="TASK_47"/>
        <s v="TASK_48"/>
        <s v="TASK_49"/>
        <s v="TASK_50"/>
        <s v="TASK_51"/>
        <s v="TASK_52"/>
        <s v="TASK_53"/>
        <s v="TASK_54"/>
        <s v="TASK_55"/>
        <s v="TASK_56"/>
        <s v="TASK_57"/>
        <s v="TASK_58"/>
        <s v="TASK_59"/>
        <s v="TASK_60"/>
        <s v="TASK_61"/>
        <s v="TASK_62"/>
        <s v="TASK_63"/>
        <s v="TASK_64"/>
        <s v="TASK_65"/>
        <s v="TASK_66"/>
        <s v="TASK_67"/>
        <s v="TASK_68"/>
        <s v="TASK_69"/>
        <s v="TASK_70"/>
        <s v="TASK_71"/>
        <s v="TASK_72"/>
        <s v="TASK_73"/>
        <s v="TASK_74"/>
        <s v="TASK_75"/>
        <s v="TASK_76"/>
        <s v="TASK_77"/>
        <s v="TASK_78"/>
        <s v="TASK_79"/>
        <s v="TASK_80"/>
        <s v="TASK_81"/>
        <s v="TASK_82"/>
        <s v="TASK_83"/>
        <s v="TASK_84"/>
        <s v="TASK_85"/>
        <s v="TASK_86"/>
        <s v="TASK_87"/>
        <s v="TASK_88"/>
        <s v="TASK_89"/>
        <s v="TASK_90"/>
        <s v="TASK_91"/>
        <s v="TASK_92"/>
        <s v="TASK_93"/>
        <s v="TASK_94"/>
        <s v="TASK_95"/>
        <s v="TASK_96"/>
        <s v="TASK_97"/>
        <s v="TASK_98"/>
        <s v="TASK_99"/>
        <s v="TASK_100"/>
        <s v="TASK_101"/>
        <s v="TASK_102"/>
        <s v="TASK_103"/>
        <s v="TASK_104"/>
        <s v="TASK_105"/>
        <s v="TASK_106"/>
        <s v="TASK_107"/>
        <s v="TASK_108"/>
        <s v="TASK_109"/>
        <s v="TASK_110"/>
        <s v="TASK_111"/>
        <s v="TASK_112"/>
        <s v="TASK_113"/>
        <s v="TASK_114"/>
        <s v="TASK_115"/>
        <s v="TASK_116"/>
        <s v="TASK_117"/>
        <s v="TASK_118"/>
        <s v="TASK_119"/>
        <s v="TASK_120"/>
        <s v="TASK_121"/>
        <s v="TASK_122"/>
        <s v="TASK_123"/>
        <s v="TASK_124"/>
        <s v="TASK_125"/>
        <s v="TASK_126"/>
        <s v="TASK_127"/>
        <s v="TASK_128"/>
        <s v="TASK_129"/>
        <s v="TASK_130"/>
        <s v="TASK_131"/>
        <s v="TASK_132"/>
        <s v="TASK_133"/>
        <s v="TASK_134"/>
        <s v="TASK_135"/>
        <s v="TASK_136"/>
        <s v="TASK_137"/>
        <s v="TASK_138"/>
        <s v="TASK_139"/>
        <s v="TASK_140"/>
        <s v="TASK_141"/>
        <s v="TASK_142"/>
        <s v="TASK_143"/>
        <s v="TASK_144"/>
        <s v="TASK_145"/>
        <s v="TASK_146"/>
        <s v="TASK_147"/>
        <s v="TASK_148"/>
        <s v="TASK_149"/>
        <s v="TASK_150"/>
        <s v="TASK_151"/>
        <s v="TASK_152"/>
        <s v="TASK_153"/>
        <s v="TASK_154"/>
        <s v="TASK_155"/>
        <s v="TASK_156"/>
        <s v="TASK_157"/>
        <s v="TASK_158"/>
        <s v="TASK_159"/>
        <s v="TASK_160"/>
        <s v="TASK_161"/>
        <s v="TASK_162"/>
        <s v="TASK_163"/>
        <s v="TASK_164"/>
        <s v="TASK_165"/>
        <s v="TASK_166"/>
        <s v="TASK_167"/>
        <s v="TASK_168"/>
        <s v="TASK_169"/>
        <s v="TASK_170"/>
        <s v="TASK_171"/>
        <s v="TASK_172"/>
        <s v="TASK_173"/>
        <s v="TASK_174"/>
        <s v="TASK_175"/>
        <s v="TASK_176"/>
        <s v="TASK_177"/>
        <s v="TASK_178"/>
        <s v="TASK_179"/>
        <s v="TASK_180"/>
        <s v="TASK_181"/>
        <s v="TASK_182"/>
        <s v="TASK_183"/>
        <s v="TASK_184"/>
        <s v="TASK_185"/>
        <s v="TASK_186"/>
        <s v="TASK_187"/>
        <s v="TASK_188"/>
        <s v="TASK_189"/>
        <s v="TASK_190"/>
        <s v="TASK_191"/>
        <s v="TASK_192"/>
        <s v="TASK_193"/>
        <s v="TASK_194"/>
        <s v="TASK_195"/>
        <s v="TASK_196"/>
        <s v="TASK_197"/>
        <s v="TASK_198"/>
        <s v="TASK_199"/>
        <s v="TASK_200"/>
        <s v="TASK_201"/>
        <s v="TASK_202"/>
        <s v="TASK_203"/>
        <s v="TASK_204"/>
        <s v="TASK_205"/>
        <s v="TASK_206"/>
        <s v="TASK_207"/>
        <s v="TASK_208"/>
        <s v="TASK_209"/>
        <s v="TASK_210"/>
        <s v="TASK_211"/>
        <s v="TASK_212"/>
        <s v="TASK_213"/>
        <s v="TASK_214"/>
        <s v="TASK_215"/>
        <s v="TASK_216"/>
        <s v="TASK_217"/>
        <s v="TASK_218"/>
        <s v="TASK_219"/>
        <s v="TASK_220"/>
        <s v="TASK_221"/>
        <s v="TASK_222"/>
        <s v="TASK_223"/>
        <s v="TASK_224"/>
        <s v="TASK_225"/>
        <s v="TASK_226"/>
        <s v="TASK_227"/>
        <s v="TASK_228"/>
        <s v="TASK_229"/>
        <s v="TASK_230"/>
        <s v="TASK_231"/>
        <s v="TASK_232"/>
        <s v="TASK_233"/>
        <s v="TASK_234"/>
        <s v="TASK_235"/>
        <s v="TASK_236"/>
        <s v="TASK_237"/>
        <s v="TASK_238"/>
        <s v="TASK_239"/>
        <s v="TASK_240"/>
        <s v="TASK_241"/>
        <s v="TASK_242"/>
        <s v="TASK_243"/>
        <s v="TASK_244"/>
        <s v="TASK_245"/>
        <s v="TASK_246"/>
        <s v="TASK_247"/>
        <s v="TASK_248"/>
        <s v="TASK_249"/>
        <s v="TASK_250"/>
        <s v="TASK_251"/>
        <s v="TASK_252"/>
        <s v="TASK_253"/>
        <s v="TASK_254"/>
        <s v="TASK_255"/>
        <s v="TASK_256"/>
        <s v="TASK_257"/>
        <s v="TASK_258"/>
        <s v="TASK_259"/>
        <s v="TASK_260"/>
        <s v="TASK_261"/>
        <s v="TASK_262"/>
        <s v="TASK_263"/>
        <s v="TASK_264"/>
        <s v="TASK_265"/>
        <s v="TASK_266"/>
        <s v="TASK_267"/>
        <s v="TASK_268"/>
        <s v="TASK_269"/>
        <s v="TASK_270"/>
        <s v="TASK_271"/>
        <s v="TASK_272"/>
        <s v="TASK_273"/>
        <s v="TASK_274"/>
        <s v="TASK_275"/>
        <s v="TASK_276"/>
        <s v="TASK_277"/>
        <s v="TASK_278"/>
        <s v="TASK_279"/>
        <s v="TASK_280"/>
        <s v="TASK_281"/>
        <s v="TASK_282"/>
        <s v="TASK_283"/>
        <s v="TASK_284"/>
        <s v="TASK_285"/>
        <s v="TASK_286"/>
        <s v="TASK_287"/>
        <s v="TASK_288"/>
        <s v="TASK_289"/>
        <s v="TASK_290"/>
        <s v="TASK_291"/>
        <s v="TASK_292"/>
        <s v="TASK_293"/>
        <s v="TASK_294"/>
        <s v="TASK_295"/>
        <s v="TASK_296"/>
        <s v="TASK_297"/>
        <s v="TASK_298"/>
        <s v="TASK_299"/>
        <s v="TASK_300"/>
        <s v="TASK_301"/>
        <s v="TASK_302"/>
        <s v="TASK_303"/>
        <s v="TASK_304"/>
        <s v="TASK_305"/>
        <s v="TASK_306"/>
        <s v="TASK_307"/>
        <s v="TASK_308"/>
        <s v="TASK_309"/>
        <s v="TASK_310"/>
        <s v="TASK_311"/>
        <s v="TASK_312"/>
        <s v="TASK_313"/>
        <s v="TASK_314"/>
        <s v="TASK_315"/>
        <s v="TASK_316"/>
        <s v="TASK_317"/>
        <s v="TASK_318"/>
        <s v="TASK_319"/>
        <s v="TASK_320"/>
        <s v="TASK_321"/>
        <s v="TASK_322"/>
        <s v="TASK_323"/>
        <s v="TASK_324"/>
        <s v="TASK_325"/>
        <s v="TASK_326"/>
        <s v="TASK_327"/>
        <s v="TASK_328"/>
        <s v="TASK_329"/>
        <s v="TASK_330"/>
        <s v="TASK_331"/>
        <s v="TASK_332"/>
        <s v="TASK_333"/>
        <s v="TASK_334"/>
        <s v="TASK_335"/>
        <s v="TASK_336"/>
        <s v="TASK_337"/>
        <s v="TASK_338"/>
        <s v="TASK_339"/>
        <s v="TASK_340"/>
        <s v="TASK_341"/>
        <s v="TASK_342"/>
        <s v="TASK_343"/>
        <s v="TASK_344"/>
        <s v="TASK_345"/>
        <s v="TASK_346"/>
        <s v="TASK_347"/>
        <s v="TASK_348"/>
        <s v="TASK_349"/>
        <s v="TASK_350"/>
        <s v="TASK_351"/>
        <s v="TASK_352"/>
        <s v="TASK_353"/>
        <s v="TASK_354"/>
        <s v="TASK_355"/>
        <s v="TASK_356"/>
        <s v="TASK_357"/>
        <s v="TASK_358"/>
        <s v="TASK_359"/>
        <s v="TASK_360"/>
        <s v="TASK_361"/>
        <s v="TASK_362"/>
        <s v="TASK_363"/>
        <s v="TASK_364"/>
        <s v="TASK_365"/>
        <s v="TASK_366"/>
        <s v="TASK_367"/>
        <s v="TASK_368"/>
        <s v="TASK_369"/>
        <s v="TASK_370"/>
        <s v="TASK_371"/>
        <s v="TASK_372"/>
        <s v="TASK_373"/>
        <s v="TASK_374"/>
        <s v="TASK_375"/>
        <s v="TASK_376"/>
        <s v="TASK_377"/>
        <s v="TASK_378"/>
        <s v="TASK_379"/>
        <s v="TASK_380"/>
        <s v="TASK_381"/>
        <s v="TASK_382"/>
        <s v="TASK_383"/>
        <s v="TASK_384"/>
        <s v="TASK_385"/>
        <s v="TASK_386"/>
        <s v="TASK_387"/>
        <s v="TASK_388"/>
        <s v="TASK_389"/>
        <s v="TASK_390"/>
        <s v="TASK_391"/>
        <s v="TASK_392"/>
        <s v="TASK_393"/>
        <s v="TASK_394"/>
        <s v="TASK_395"/>
        <s v="TASK_396"/>
        <s v="TASK_397"/>
        <s v="TASK_398"/>
        <s v="TASK_399"/>
        <s v="TASK_400"/>
        <s v="TASK_401"/>
        <s v="TASK_402"/>
        <s v="TASK_403"/>
        <s v="TASK_404"/>
        <s v="TASK_405"/>
        <s v="TASK_406"/>
        <s v="TASK_407"/>
        <s v="TASK_408"/>
        <s v="TASK_409"/>
        <s v="TASK_410"/>
        <s v="TASK_411"/>
        <s v="TASK_412"/>
        <s v="TASK_413"/>
        <s v="TASK_414"/>
        <s v="TASK_415"/>
        <s v="TASK_416"/>
        <s v="TASK_417"/>
        <s v="TASK_418"/>
        <s v="TASK_419"/>
        <s v="TASK_420"/>
        <s v="TASK_421"/>
        <s v="TASK_422"/>
        <s v="TASK_423"/>
        <s v="TASK_424"/>
        <s v="TASK_425"/>
        <s v="TASK_426"/>
        <s v="TASK_427"/>
        <s v="TASK_428"/>
        <s v="TASK_429"/>
        <s v="TASK_430"/>
        <s v="TASK_431"/>
        <s v="TASK_432"/>
        <s v="TASK_433"/>
        <s v="TASK_434"/>
        <s v="TASK_435"/>
        <s v="TASK_436"/>
        <s v="TASK_437"/>
        <s v="TASK_438"/>
        <s v="TASK_439"/>
        <s v="TASK_440"/>
        <s v="TASK_441"/>
        <s v="TASK_442"/>
        <s v="TASK_443"/>
        <s v="TASK_444"/>
        <s v="TASK_445"/>
        <s v="TASK_446"/>
        <s v="TASK_447"/>
        <s v="TASK_448"/>
        <s v="TASK_449"/>
        <s v="TASK_450"/>
        <s v="TASK_451"/>
        <s v="TASK_452"/>
        <s v="TASK_453"/>
        <s v="TASK_454"/>
        <s v="TASK_455"/>
        <s v="TASK_456"/>
        <s v="TASK_457"/>
        <s v="TASK_458"/>
        <s v="TASK_459"/>
        <s v="TASK_460"/>
        <s v="TASK_461"/>
        <s v="TASK_462"/>
        <s v="TASK_463"/>
        <s v="TASK_464"/>
        <s v="TASK_465"/>
        <s v="TASK_466"/>
        <s v="TASK_467"/>
        <s v="TASK_468"/>
        <s v="TASK_469"/>
        <s v="TASK_470"/>
        <s v="TASK_471"/>
        <s v="TASK_472"/>
        <s v="TASK_473"/>
        <s v="TASK_474"/>
        <s v="TASK_475"/>
        <s v="TASK_476"/>
        <s v="TASK_477"/>
        <s v="TASK_478"/>
        <s v="TASK_479"/>
        <s v="TASK_480"/>
        <s v="TASK_481"/>
        <s v="TASK_482"/>
        <s v="TASK_483"/>
        <s v="TASK_484"/>
        <s v="TASK_485"/>
        <s v="TASK_486"/>
        <s v="TASK_487"/>
        <s v="TASK_488"/>
        <s v="TASK_489"/>
        <s v="TASK_490"/>
        <s v="TASK_491"/>
        <s v="TASK_492"/>
        <s v="TASK_493"/>
        <s v="TASK_494"/>
        <s v="TASK_495"/>
        <s v="TASK_496"/>
        <s v="TASK_497"/>
        <s v="TASK_498"/>
        <s v="TASK_499"/>
        <s v="TASK_500"/>
        <s v="TASK_501"/>
        <s v="TASK_502"/>
        <s v="TASK_503"/>
        <s v="TASK_504"/>
        <s v="TASK_505"/>
        <s v="TASK_506"/>
        <s v="TASK_507"/>
        <s v="TASK_508"/>
        <s v="TASK_509"/>
        <s v="TASK_510"/>
        <s v="TASK_511"/>
        <s v="TASK_512"/>
        <s v="TASK_513"/>
        <s v="TASK_514"/>
        <s v="TASK_515"/>
        <s v="TASK_516"/>
        <s v="TASK_517"/>
        <s v="TASK_518"/>
        <s v="TASK_519"/>
        <s v="TASK_520"/>
        <s v="TASK_521"/>
        <s v="TASK_522"/>
        <s v="TASK_523"/>
        <s v="TASK_524"/>
        <s v="TASK_525"/>
        <s v="TASK_526"/>
        <s v="TASK_527"/>
        <s v="TASK_528"/>
        <s v="TASK_529"/>
        <s v="TASK_530"/>
        <s v="TASK_531"/>
        <s v="TASK_532"/>
        <s v="TASK_533"/>
        <s v="TASK_534"/>
        <s v="TASK_535"/>
        <s v="TASK_536"/>
        <s v="TASK_537"/>
        <s v="TASK_538"/>
        <s v="TASK_539"/>
        <s v="TASK_540"/>
        <s v="TASK_541"/>
        <s v="TASK_542"/>
        <s v="TASK_543"/>
        <s v="TASK_544"/>
        <s v="TASK_545"/>
        <s v="TASK_546"/>
        <s v="TASK_547"/>
        <s v="TASK_548"/>
        <s v="TASK_549"/>
        <s v="TASK_550"/>
        <s v="TASK_551"/>
        <s v="TASK_552"/>
        <s v="TASK_553"/>
        <s v="TASK_554"/>
        <s v="TASK_555"/>
        <s v="TASK_556"/>
        <s v="TASK_557"/>
        <s v="TASK_558"/>
        <s v="TASK_559"/>
        <s v="TASK_560"/>
        <s v="TASK_561"/>
        <s v="TASK_562"/>
        <s v="TASK_563"/>
        <s v="TASK_564"/>
        <s v="TASK_565"/>
        <s v="TASK_566"/>
        <s v="TASK_567"/>
        <s v="TASK_568"/>
        <s v="TASK_569"/>
        <s v="TASK_570"/>
        <s v="TASK_571"/>
        <s v="TASK_572"/>
        <s v="TASK_573"/>
        <s v="TASK_574"/>
        <s v="TASK_575"/>
        <s v="TASK_576"/>
        <s v="TASK_577"/>
        <s v="TASK_578"/>
        <s v="TASK_579"/>
        <s v="TASK_580"/>
        <s v="TASK_581"/>
        <s v="TASK_582"/>
        <s v="TASK_583"/>
        <s v="TASK_584"/>
        <s v="TASK_585"/>
        <s v="TASK_586"/>
        <s v="TASK_587"/>
        <s v="TASK_588"/>
        <s v="TASK_589"/>
        <s v="TASK_590"/>
        <s v="TASK_591"/>
        <s v="TASK_592"/>
        <s v="TASK_593"/>
        <s v="TASK_594"/>
        <s v="TASK_595"/>
        <s v="TASK_596"/>
        <s v="TASK_597"/>
        <s v="TASK_598"/>
        <s v="TASK_599"/>
        <s v="TASK_600"/>
        <s v="TASK_601"/>
        <s v="TASK_602"/>
        <s v="TASK_603"/>
        <s v="TASK_604"/>
        <s v="TASK_605"/>
        <s v="TASK_606"/>
        <s v="TASK_607"/>
        <s v="TASK_608"/>
        <s v="TASK_609"/>
        <s v="TASK_610"/>
        <s v="TASK_611"/>
        <s v="TASK_612"/>
        <s v="TASK_613"/>
        <s v="TASK_614"/>
        <s v="TASK_615"/>
        <s v="TASK_616"/>
        <s v="TASK_617"/>
        <s v="TASK_618"/>
        <s v="TASK_619"/>
        <s v="TASK_620"/>
        <s v="TASK_621"/>
        <s v="TASK_622"/>
        <s v="TASK_623"/>
        <s v="TASK_624"/>
        <s v="TASK_625"/>
        <s v="TASK_626"/>
        <s v="TASK_627"/>
        <s v="TASK_628"/>
        <s v="TASK_629"/>
        <s v="TASK_630"/>
        <s v="TASK_631"/>
        <s v="TASK_632"/>
        <s v="TASK_633"/>
        <s v="TASK_634"/>
        <s v="TASK_635"/>
        <s v="TASK_636"/>
        <s v="TASK_637"/>
        <s v="TASK_638"/>
        <s v="TASK_639"/>
        <s v="TASK_640"/>
        <s v="TASK_641"/>
        <s v="TASK_642"/>
        <s v="TASK_643"/>
        <s v="TASK_644"/>
        <s v="TASK_645"/>
        <s v="TASK_646"/>
        <s v="TASK_647"/>
        <s v="TASK_648"/>
        <s v="TASK_649"/>
        <s v="TASK_650"/>
        <s v="TASK_651"/>
        <s v="TASK_652"/>
        <s v="TASK_653"/>
        <s v="TASK_654"/>
        <s v="TASK_655"/>
        <s v="TASK_656"/>
        <s v="TASK_657"/>
        <s v="TASK_658"/>
        <s v="TASK_659"/>
        <s v="TASK_660"/>
        <s v="TASK_661"/>
        <s v="TASK_662"/>
        <s v="TASK_663"/>
        <s v="TASK_664"/>
        <s v="TASK_665"/>
        <s v="TASK_666"/>
        <s v="TASK_667"/>
        <s v="TASK_668"/>
        <s v="TASK_669"/>
        <s v="TASK_670"/>
        <s v="TASK_671"/>
        <s v="TASK_672"/>
        <s v="TASK_673"/>
        <s v="TASK_674"/>
        <s v="TASK_675"/>
        <s v="TASK_676"/>
        <s v="TASK_677"/>
        <s v="TASK_678"/>
        <s v="TASK_679"/>
        <s v="TASK_680"/>
        <s v="TASK_681"/>
        <s v="TASK_682"/>
        <s v="TASK_683"/>
        <s v="TASK_684"/>
        <s v="TASK_685"/>
        <s v="TASK_686"/>
        <s v="TASK_687"/>
        <s v="TASK_688"/>
        <s v="TASK_689"/>
        <s v="TASK_690"/>
        <s v="TASK_691"/>
        <s v="TASK_692"/>
        <s v="TASK_693"/>
        <s v="TASK_694"/>
        <s v="TASK_695"/>
        <s v="TASK_696"/>
        <s v="TASK_697"/>
        <s v="TASK_698"/>
        <s v="TASK_699"/>
        <s v="TASK_700"/>
        <s v="TASK_701"/>
        <s v="TASK_702"/>
        <s v="TASK_703"/>
        <s v="TASK_704"/>
        <s v="TASK_705"/>
        <s v="TASK_706"/>
        <s v="TASK_707"/>
        <s v="TASK_708"/>
        <s v="TASK_709"/>
        <s v="TASK_710"/>
        <s v="TASK_711"/>
        <s v="TASK_712"/>
        <s v="TASK_713"/>
        <s v="TASK_714"/>
        <s v="TASK_715"/>
        <s v="TASK_716"/>
        <s v="TASK_717"/>
        <s v="TASK_718"/>
        <s v="TASK_719"/>
        <s v="TASK_720"/>
        <s v="TASK_721"/>
        <s v="TASK_722"/>
        <s v="TASK_723"/>
        <s v="TASK_724"/>
        <s v="TASK_725"/>
        <s v="TASK_726"/>
        <s v="TASK_727"/>
        <s v="TASK_728"/>
        <s v="TASK_729"/>
        <s v="TASK_730"/>
        <s v="TASK_731"/>
        <s v="TASK_732"/>
        <s v="TASK_733"/>
        <s v="TASK_734"/>
        <s v="TASK_735"/>
        <s v="TASK_736"/>
        <s v="TASK_737"/>
        <s v="TASK_738"/>
        <s v="TASK_739"/>
        <s v="TASK_740"/>
        <s v="TASK_741"/>
        <s v="TASK_742"/>
        <s v="TASK_743"/>
        <s v="TASK_744"/>
        <s v="TASK_745"/>
        <s v="TASK_746"/>
        <s v="TASK_747"/>
        <s v="TASK_748"/>
        <s v="TASK_749"/>
        <s v="TASK_750"/>
        <s v="TASK_751"/>
        <s v="TASK_752"/>
        <s v="TASK_753"/>
        <s v="TASK_754"/>
        <s v="TASK_755"/>
        <s v="TASK_756"/>
        <s v="TASK_757"/>
        <s v="TASK_758"/>
        <s v="TASK_759"/>
        <s v="TASK_760"/>
        <s v="TASK_761"/>
        <s v="TASK_762"/>
        <s v="TASK_763"/>
        <s v="TASK_764"/>
        <s v="TASK_765"/>
        <s v="TASK_766"/>
        <s v="TASK_767"/>
        <s v="TASK_768"/>
        <s v="TASK_769"/>
        <s v="TASK_770"/>
        <s v="TASK_771"/>
        <s v="TASK_772"/>
        <s v="TASK_773"/>
        <s v="TASK_774"/>
        <s v="TASK_775"/>
        <s v="TASK_776"/>
        <s v="TASK_777"/>
        <s v="TASK_778"/>
        <s v="TASK_779"/>
        <s v="TASK_780"/>
        <s v="TASK_781"/>
        <s v="TASK_782"/>
        <s v="TASK_783"/>
        <s v="TASK_784"/>
        <s v="TASK_785"/>
        <s v="TASK_786"/>
        <s v="TASK_787"/>
        <s v="TASK_788"/>
        <s v="TASK_789"/>
        <s v="TASK_790"/>
        <s v="TASK_791"/>
        <s v="TASK_792"/>
        <s v="TASK_793"/>
        <s v="TASK_794"/>
        <s v="TASK_795"/>
        <s v="TASK_796"/>
        <s v="TASK_797"/>
        <s v="TASK_798"/>
        <s v="TASK_799"/>
        <s v="TASK_800"/>
        <s v="TASK_801"/>
        <s v="TASK_802"/>
        <s v="TASK_803"/>
        <s v="TASK_804"/>
        <s v="TASK_805"/>
        <s v="TASK_806"/>
        <s v="TASK_807"/>
        <s v="TASK_808"/>
        <s v="TASK_809"/>
        <s v="TASK_810"/>
        <s v="TASK_811"/>
        <s v="TASK_812"/>
        <s v="TASK_813"/>
        <s v="TASK_814"/>
        <s v="TASK_815"/>
        <s v="TASK_816"/>
        <s v="TASK_817"/>
        <s v="TASK_818"/>
        <s v="TASK_819"/>
        <s v="TASK_820"/>
        <s v="TASK_821"/>
        <s v="TASK_822"/>
        <s v="TASK_823"/>
        <s v="TASK_824"/>
        <s v="TASK_825"/>
        <s v="TASK_826"/>
        <s v="TASK_827"/>
        <s v="TASK_828"/>
        <s v="TASK_829"/>
        <s v="TASK_830"/>
        <s v="TASK_831"/>
        <s v="TASK_832"/>
        <s v="TASK_833"/>
        <s v="TASK_834"/>
        <s v="TASK_835"/>
        <s v="TASK_836"/>
        <s v="TASK_837"/>
        <s v="TASK_838"/>
        <s v="TASK_839"/>
        <s v="TASK_840"/>
        <s v="TASK_841"/>
        <s v="TASK_842"/>
        <s v="TASK_843"/>
        <s v="TASK_844"/>
        <s v="TASK_845"/>
        <s v="TASK_846"/>
        <s v="TASK_847"/>
        <s v="TASK_848"/>
        <s v="TASK_849"/>
        <s v="TASK_850"/>
        <s v="TASK_851"/>
        <s v="TASK_852"/>
        <s v="TASK_853"/>
        <s v="TASK_854"/>
        <s v="TASK_855"/>
        <s v="TASK_856"/>
        <s v="TASK_857"/>
        <s v="TASK_858"/>
        <s v="TASK_859"/>
        <s v="TASK_860"/>
        <s v="TASK_861"/>
        <s v="TASK_862"/>
        <s v="TASK_863"/>
        <s v="TASK_864"/>
        <s v="TASK_865"/>
        <s v="TASK_866"/>
        <s v="TASK_867"/>
        <s v="TASK_868"/>
        <s v="TASK_869"/>
        <s v="TASK_870"/>
        <s v="TASK_871"/>
        <s v="TASK_872"/>
        <s v="TASK_873"/>
        <s v="TASK_874"/>
        <s v="TASK_875"/>
        <s v="TASK_876"/>
        <s v="TASK_877"/>
        <s v="TASK_878"/>
        <s v="TASK_879"/>
        <s v="TASK_880"/>
        <s v="TASK_881"/>
        <s v="TASK_882"/>
        <s v="TASK_883"/>
        <s v="TASK_884"/>
        <s v="TASK_885"/>
        <s v="TASK_886"/>
        <s v="TASK_887"/>
        <s v="TASK_888"/>
        <s v="TASK_889"/>
        <s v="TASK_890"/>
        <s v="TASK_891"/>
        <s v="TASK_892"/>
        <s v="TASK_893"/>
        <s v="TASK_894"/>
        <s v="TASK_895"/>
        <s v="TASK_896"/>
        <s v="TASK_897"/>
        <s v="TASK_898"/>
        <s v="TASK_899"/>
        <s v="TASK_900"/>
        <s v="TASK_901"/>
        <s v="TASK_902"/>
        <s v="TASK_903"/>
        <s v="TASK_904"/>
        <s v="TASK_905"/>
        <s v="TASK_906"/>
        <s v="TASK_907"/>
        <s v="TASK_908"/>
        <s v="TASK_909"/>
        <s v="TASK_910"/>
        <s v="TASK_911"/>
        <s v="TASK_912"/>
        <s v="TASK_913"/>
        <s v="TASK_914"/>
        <s v="TASK_915"/>
        <s v="TASK_916"/>
        <s v="TASK_917"/>
        <s v="TASK_918"/>
        <s v="TASK_919"/>
        <s v="TASK_920"/>
        <s v="TASK_921"/>
        <s v="TASK_922"/>
        <s v="TASK_923"/>
        <s v="TASK_924"/>
        <s v="TASK_925"/>
        <s v="TASK_926"/>
        <s v="TASK_927"/>
        <s v="TASK_928"/>
        <s v="TASK_929"/>
        <s v="TASK_930"/>
        <s v="TASK_931"/>
        <s v="TASK_932"/>
        <s v="TASK_933"/>
        <s v="TASK_934"/>
        <s v="TASK_935"/>
        <s v="TASK_936"/>
        <s v="TASK_937"/>
        <s v="TASK_938"/>
        <s v="TASK_939"/>
        <s v="TASK_940"/>
        <s v="TASK_941"/>
        <s v="TASK_942"/>
        <s v="TASK_943"/>
        <s v="TASK_944"/>
        <s v="TASK_945"/>
        <s v="TASK_946"/>
        <s v="TASK_947"/>
        <s v="TASK_948"/>
        <s v="TASK_949"/>
        <s v="TASK_950"/>
        <s v="TASK_951"/>
        <s v="TASK_952"/>
        <s v="TASK_953"/>
        <s v="TASK_954"/>
        <s v="TASK_955"/>
        <s v="TASK_956"/>
        <s v="TASK_957"/>
        <s v="TASK_958"/>
        <s v="TASK_959"/>
        <s v="TASK_960"/>
        <s v="TASK_961"/>
        <s v="TASK_962"/>
        <s v="TASK_963"/>
        <s v="TASK_964"/>
        <s v="TASK_965"/>
        <s v="TASK_966"/>
        <s v="TASK_967"/>
        <s v="TASK_968"/>
        <s v="TASK_969"/>
        <s v="TASK_970"/>
        <s v="TASK_971"/>
        <s v="TASK_972"/>
        <s v="TASK_973"/>
        <s v="TASK_974"/>
        <s v="TASK_975"/>
        <s v="TASK_976"/>
        <s v="TASK_977"/>
        <s v="TASK_978"/>
        <s v="TASK_979"/>
        <s v="TASK_980"/>
        <s v="TASK_981"/>
        <s v="TASK_982"/>
        <s v="TASK_983"/>
        <s v="TASK_984"/>
        <s v="TASK_985"/>
        <s v="TASK_986"/>
        <s v="TASK_987"/>
        <s v="TASK_988"/>
        <s v="TASK_989"/>
        <s v="TASK_990"/>
        <s v="TASK_991"/>
        <s v="TASK_992"/>
        <s v="TASK_993"/>
        <s v="TASK_994"/>
        <s v="TASK_995"/>
        <s v="TASK_996"/>
        <s v="TASK_997"/>
        <s v="TASK_998"/>
        <s v="TASK_999"/>
        <s v="TASK_1000"/>
        <s v="TASK_1001"/>
        <s v="TASK_1002"/>
        <s v="TASK_1003"/>
        <s v="TASK_1004"/>
        <s v="TASK_1005"/>
        <s v="TASK_1006"/>
        <s v="TASK_1007"/>
        <s v="TASK_1008"/>
        <s v="TASK_1009"/>
        <s v="TASK_1010"/>
        <s v="TASK_1011"/>
        <s v="TASK_1012"/>
        <s v="TASK_1013"/>
        <s v="TASK_1014"/>
        <s v="TASK_1015"/>
        <s v="TASK_1016"/>
        <s v="TASK_1017"/>
        <s v="TASK_1018"/>
        <s v="TASK_1019"/>
        <s v="TASK_1020"/>
        <s v="TASK_1021"/>
        <s v="TASK_1022"/>
        <s v="TASK_1023"/>
        <s v="TASK_1024"/>
        <s v="TASK_1025"/>
        <s v="TASK_1026"/>
        <s v="TASK_1027"/>
        <s v="TASK_1028"/>
        <s v="TASK_1029"/>
        <s v="TASK_1030"/>
        <s v="TASK_1031"/>
        <s v="TASK_1032"/>
        <s v="TASK_1033"/>
        <s v="TASK_1034"/>
        <s v="TASK_1035"/>
        <s v="TASK_1036"/>
        <s v="TASK_1037"/>
        <s v="TASK_1038"/>
        <s v="TASK_1039"/>
        <s v="TASK_1040"/>
        <s v="TASK_1041"/>
        <s v="TASK_1042"/>
        <s v="TASK_1043"/>
        <s v="TASK_1044"/>
        <s v="TASK_1045"/>
        <s v="TASK_1046"/>
        <s v="TASK_1047"/>
        <s v="TASK_1048"/>
        <s v="TASK_1049"/>
        <s v="TASK_1050"/>
        <s v="TASK_1051"/>
        <s v="TASK_1052"/>
        <s v="TASK_1053"/>
        <s v="TASK_1054"/>
        <s v="TASK_1055"/>
        <s v="TASK_1056"/>
        <s v="TASK_1057"/>
        <s v="TASK_1058"/>
        <s v="TASK_1059"/>
        <s v="TASK_1060"/>
        <s v="TASK_1061"/>
        <s v="TASK_1062"/>
        <s v="TASK_1063"/>
        <s v="TASK_1064"/>
        <s v="TASK_1065"/>
        <s v="TASK_1066"/>
        <s v="TASK_1067"/>
        <s v="TASK_1068"/>
        <s v="TASK_1069"/>
        <s v="TASK_1070"/>
        <s v="TASK_1071"/>
        <s v="TASK_1072"/>
        <s v="TASK_1073"/>
        <s v="TASK_1074"/>
        <s v="TASK_1075"/>
        <s v="TASK_1076"/>
        <s v="TASK_1077"/>
        <s v="TASK_1078"/>
        <s v="TASK_1079"/>
        <s v="TASK_1080"/>
        <s v="TASK_1081"/>
        <s v="TASK_1082"/>
        <s v="TASK_1083"/>
        <s v="TASK_1084"/>
        <s v="TASK_1085"/>
        <s v="TASK_1086"/>
        <s v="TASK_1087"/>
        <s v="TASK_1088"/>
        <s v="TASK_1089"/>
        <s v="TASK_1090"/>
        <s v="TASK_1091"/>
        <s v="TASK_1092"/>
        <s v="TASK_1093"/>
        <s v="TASK_1094"/>
        <s v="TASK_1095"/>
        <s v="TASK_1096"/>
        <s v="TASK_1097"/>
        <s v="TASK_1098"/>
        <s v="TASK_1099"/>
        <s v="TASK_1100"/>
        <s v="TASK_1101"/>
        <s v="TASK_1102"/>
        <s v="TASK_1103"/>
        <s v="TASK_1104"/>
        <s v="TASK_1105"/>
        <s v="TASK_1106"/>
        <s v="TASK_1107"/>
        <s v="TASK_1108"/>
        <s v="TASK_1109"/>
        <s v="TASK_1110"/>
        <s v="TASK_1111"/>
        <s v="TASK_1112"/>
        <s v="TASK_1113"/>
        <s v="TASK_1114"/>
        <s v="TASK_1115"/>
        <s v="TASK_1116"/>
        <s v="TASK_1117"/>
        <s v="TASK_1118"/>
        <s v="TASK_1119"/>
        <s v="TASK_1120"/>
        <s v="TASK_1121"/>
        <s v="TASK_1122"/>
        <s v="TASK_1123"/>
        <s v="TASK_1124"/>
        <s v="TASK_1125"/>
        <s v="TASK_1126"/>
        <s v="TASK_1127"/>
        <s v="TASK_1128"/>
        <s v="TASK_1129"/>
        <s v="TASK_1130"/>
        <s v="TASK_1131"/>
        <s v="TASK_1132"/>
        <s v="TASK_1133"/>
        <s v="TASK_1134"/>
        <s v="TASK_1135"/>
        <s v="TASK_1136"/>
        <s v="TASK_1137"/>
        <s v="TASK_1138"/>
        <s v="TASK_1139"/>
        <s v="TASK_1140"/>
        <s v="TASK_1141"/>
        <s v="TASK_1142"/>
        <s v="TASK_1143"/>
        <s v="TASK_1144"/>
        <s v="TASK_1145"/>
        <s v="TASK_1146"/>
        <s v="TASK_1147"/>
        <s v="TASK_1148"/>
        <s v="TASK_1149"/>
        <s v="TASK_1150"/>
        <s v="TASK_1151"/>
        <s v="TASK_1152"/>
        <s v="TASK_1153"/>
        <s v="TASK_1154"/>
        <s v="TASK_1155"/>
        <s v="TASK_1156"/>
        <s v="TASK_1157"/>
        <s v="TASK_1158"/>
        <s v="TASK_1159"/>
        <s v="TASK_1160"/>
        <s v="TASK_1161"/>
        <s v="TASK_1162"/>
        <s v="TASK_1163"/>
        <s v="TASK_1164"/>
        <s v="TASK_1165"/>
        <s v="TASK_1166"/>
        <s v="TASK_1167"/>
        <s v="TASK_1168"/>
        <s v="TASK_1169"/>
        <s v="TASK_1170"/>
        <s v="TASK_1171"/>
        <s v="TASK_1172"/>
        <s v="TASK_1173"/>
        <s v="TASK_1174"/>
        <s v="TASK_1175"/>
        <s v="TASK_1176"/>
        <s v="TASK_1177"/>
        <s v="TASK_1178"/>
        <s v="TASK_1179"/>
        <s v="TASK_1180"/>
        <s v="TASK_1181"/>
        <s v="TASK_1182"/>
        <s v="TASK_1183"/>
        <s v="TASK_1184"/>
        <s v="TASK_1185"/>
        <s v="TASK_1186"/>
        <s v="TASK_1187"/>
        <s v="TASK_1188"/>
        <s v="TASK_1189"/>
        <s v="TASK_1190"/>
        <s v="TASK_1191"/>
        <s v="TASK_1192"/>
        <s v="TASK_1193"/>
        <s v="TASK_1194"/>
        <s v="TASK_1195"/>
        <s v="TASK_1196"/>
        <s v="TASK_1197"/>
        <s v="TASK_1198"/>
        <s v="TASK_1199"/>
        <s v="TASK_1200"/>
        <s v="TASK_1201"/>
        <s v="TASK_1202"/>
        <s v="TASK_1203"/>
        <s v="TASK_1204"/>
        <s v="TASK_1205"/>
        <s v="TASK_1206"/>
        <s v="TASK_1207"/>
        <s v="TASK_1208"/>
        <s v="TASK_1209"/>
        <s v="TASK_1210"/>
        <s v="TASK_1211"/>
        <s v="TASK_1212"/>
        <s v="TASK_1213"/>
        <s v="TASK_1214"/>
        <s v="TASK_1215"/>
        <s v="TASK_1216"/>
        <s v="TASK_1217"/>
        <s v="TASK_1218"/>
        <s v="TASK_1219"/>
        <s v="TASK_1220"/>
        <s v="TASK_1221"/>
        <s v="TASK_1222"/>
        <s v="TASK_1223"/>
        <s v="TASK_1224"/>
        <s v="TASK_1225"/>
        <s v="TASK_1226"/>
        <s v="TASK_1227"/>
        <s v="TASK_1228"/>
        <s v="TASK_1229"/>
        <s v="TASK_1230"/>
        <s v="TASK_1231"/>
        <s v="TASK_1232"/>
        <s v="TASK_1233"/>
        <s v="TASK_1234"/>
        <s v="TASK_1235"/>
        <s v="TASK_1236"/>
        <s v="TASK_1237"/>
        <s v="TASK_1238"/>
        <s v="TASK_1239"/>
        <s v="TASK_1240"/>
        <s v="TASK_1241"/>
        <s v="TASK_1242"/>
        <s v="TASK_1243"/>
        <s v="TASK_1244"/>
        <s v="TASK_1245"/>
        <s v="TASK_1246"/>
        <s v="TASK_1247"/>
        <s v="TASK_1248"/>
        <s v="TASK_1249"/>
        <s v="TASK_1250"/>
        <s v="TASK_1251"/>
        <s v="TASK_1252"/>
        <s v="TASK_1253"/>
        <s v="TASK_1254"/>
        <s v="TASK_1255"/>
        <s v="TASK_1256"/>
        <s v="TASK_1257"/>
        <s v="TASK_1258"/>
        <s v="TASK_1259"/>
        <s v="TASK_1260"/>
        <s v="TASK_1261"/>
        <s v="TASK_1262"/>
        <s v="TASK_1263"/>
        <s v="TASK_1264"/>
        <s v="TASK_1265"/>
        <s v="TASK_1266"/>
        <s v="TASK_1267"/>
        <s v="TASK_1268"/>
        <s v="TASK_1269"/>
        <s v="TASK_1270"/>
        <s v="TASK_1271"/>
        <s v="TASK_1272"/>
        <s v="TASK_1273"/>
        <s v="TASK_1274"/>
        <s v="TASK_1275"/>
        <s v="TASK_1276"/>
        <s v="TASK_1277"/>
        <s v="TASK_1278"/>
        <s v="TASK_1279"/>
        <s v="TASK_1280"/>
        <s v="TASK_1281"/>
        <s v="TASK_1282"/>
        <s v="TASK_1283"/>
        <s v="TASK_1284"/>
        <s v="TASK_1285"/>
        <s v="TASK_1286"/>
        <s v="TASK_1287"/>
        <s v="TASK_1288"/>
        <s v="TASK_1289"/>
        <s v="TASK_1290"/>
        <s v="TASK_1291"/>
        <s v="TASK_1292"/>
        <s v="TASK_1293"/>
        <s v="TASK_1294"/>
        <s v="TASK_1295"/>
        <s v="TASK_1296"/>
        <s v="TASK_1297"/>
        <s v="TASK_1298"/>
        <s v="TASK_1299"/>
        <s v="TASK_1300"/>
        <s v="TASK_1301"/>
        <s v="TASK_1302"/>
        <s v="TASK_1303"/>
        <s v="TASK_1304"/>
        <s v="TASK_1305"/>
        <s v="TASK_1306"/>
        <s v="TASK_1307"/>
        <s v="TASK_1308"/>
        <s v="TASK_1309"/>
        <s v="TASK_1310"/>
        <s v="TASK_1311"/>
        <s v="TASK_1312"/>
        <s v="TASK_1313"/>
        <s v="TASK_1314"/>
        <s v="TASK_1315"/>
        <s v="TASK_1316"/>
        <s v="TASK_1317"/>
        <s v="TASK_1318"/>
        <s v="TASK_1319"/>
        <s v="TASK_1320"/>
        <s v="TASK_1321"/>
        <s v="TASK_1322"/>
        <s v="TASK_1323"/>
        <s v="TASK_1324"/>
        <s v="TASK_1325"/>
        <s v="TASK_1326"/>
        <s v="TASK_1327"/>
        <s v="TASK_1328"/>
        <s v="TASK_1329"/>
        <s v="TASK_1330"/>
        <s v="TASK_1331"/>
        <s v="TASK_1332"/>
        <s v="TASK_1333"/>
        <s v="TASK_1334"/>
        <s v="TASK_1335"/>
        <s v="TASK_1336"/>
        <s v="TASK_1337"/>
        <s v="TASK_1338"/>
        <s v="TASK_1339"/>
        <s v="TASK_1340"/>
        <s v="TASK_1341"/>
        <s v="TASK_1342"/>
        <s v="TASK_1343"/>
        <s v="TASK_1344"/>
        <s v="TASK_1345"/>
        <s v="TASK_1346"/>
        <s v="TASK_1347"/>
        <s v="TASK_1348"/>
        <s v="TASK_1349"/>
        <s v="TASK_1350"/>
        <s v="TASK_1351"/>
        <s v="TASK_1352"/>
        <s v="TASK_1353"/>
        <s v="TASK_1354"/>
        <s v="TASK_1355"/>
        <s v="TASK_1356"/>
        <s v="TASK_1357"/>
        <s v="TASK_1358"/>
        <s v="TASK_1359"/>
        <s v="TASK_1360"/>
        <s v="TASK_1361"/>
        <s v="TASK_1362"/>
        <s v="TASK_1363"/>
        <s v="TASK_1364"/>
        <s v="TASK_1365"/>
        <s v="TASK_1366"/>
        <s v="TASK_1367"/>
        <s v="TASK_1368"/>
        <s v="TASK_1369"/>
        <s v="TASK_1370"/>
        <s v="TASK_1371"/>
        <s v="TASK_1372"/>
        <s v="TASK_1373"/>
        <s v="TASK_1374"/>
        <s v="TASK_1375"/>
        <s v="TASK_1376"/>
        <s v="TASK_1377"/>
        <s v="TASK_1378"/>
        <s v="TASK_1379"/>
        <s v="TASK_1380"/>
        <s v="TASK_1381"/>
        <s v="TASK_1382"/>
        <s v="TASK_1383"/>
        <s v="TASK_1384"/>
        <s v="TASK_1385"/>
        <s v="TASK_1386"/>
        <s v="TASK_1387"/>
        <s v="TASK_1388"/>
        <s v="TASK_1389"/>
        <s v="TASK_1390"/>
        <s v="TASK_1391"/>
        <s v="TASK_1392"/>
        <s v="TASK_1393"/>
        <s v="TASK_1394"/>
        <s v="TASK_1395"/>
        <s v="TASK_1396"/>
        <s v="TASK_1397"/>
        <s v="TASK_1398"/>
        <s v="TASK_1399"/>
        <s v="TASK_1400"/>
        <s v="TASK_1401"/>
        <s v="TASK_1402"/>
        <s v="TASK_1403"/>
        <s v="TASK_1404"/>
        <s v="TASK_1405"/>
        <s v="TASK_1406"/>
        <s v="TASK_1407"/>
        <s v="TASK_1408"/>
        <s v="TASK_1409"/>
        <s v="TASK_1410"/>
        <s v="TASK_1411"/>
        <s v="TASK_1412"/>
        <s v="TASK_1413"/>
        <s v="TASK_1414"/>
        <s v="TASK_1415"/>
        <s v="TASK_1416"/>
        <s v="TASK_1417"/>
        <s v="TASK_1418"/>
        <s v="TASK_1419"/>
        <s v="TASK_1420"/>
        <s v="TASK_1421"/>
        <s v="TASK_1422"/>
        <s v="TASK_1423"/>
        <s v="TASK_1424"/>
        <s v="TASK_1425"/>
        <s v="TASK_1426"/>
        <s v="TASK_1427"/>
        <s v="TASK_1428"/>
        <s v="TASK_1429"/>
        <s v="TASK_1430"/>
        <s v="TASK_1431"/>
        <s v="TASK_1432"/>
        <s v="TASK_1433"/>
        <s v="TASK_1434"/>
        <s v="TASK_1435"/>
        <s v="TASK_1436"/>
        <s v="TASK_1437"/>
        <s v="TASK_1438"/>
        <s v="TASK_1439"/>
        <s v="TASK_1440"/>
        <s v="TASK_1441"/>
        <s v="TASK_1442"/>
        <s v="TASK_1443"/>
        <s v="TASK_1444"/>
        <s v="TASK_1445"/>
        <s v="TASK_1446"/>
        <s v="TASK_1447"/>
        <s v="TASK_1448"/>
        <s v="TASK_1449"/>
        <s v="TASK_1450"/>
        <s v="TASK_1451"/>
        <s v="TASK_1452"/>
        <s v="TASK_1453"/>
        <s v="TASK_1454"/>
        <s v="TASK_1455"/>
        <s v="TASK_1456"/>
        <s v="TASK_1457"/>
        <s v="TASK_1458"/>
        <s v="TASK_1459"/>
        <s v="TASK_1460"/>
        <s v="TASK_1461"/>
        <s v="TASK_1462"/>
        <s v="TASK_1463"/>
        <s v="TASK_1464"/>
        <s v="TASK_1465"/>
        <s v="TASK_1466"/>
        <s v="TASK_1467"/>
        <s v="TASK_1468"/>
        <s v="TASK_1469"/>
        <s v="TASK_1470"/>
        <s v="TASK_1471"/>
        <s v="TASK_1472"/>
        <s v="TASK_1473"/>
        <s v="TASK_1474"/>
        <s v="TASK_1475"/>
        <s v="TASK_1476"/>
        <s v="TASK_1477"/>
        <s v="TASK_1478"/>
        <s v="TASK_1479"/>
        <s v="TASK_1480"/>
        <s v="TASK_1481"/>
        <s v="TASK_1482"/>
        <s v="TASK_1483"/>
        <s v="TASK_1484"/>
        <s v="TASK_1485"/>
        <s v="TASK_1486"/>
        <s v="TASK_1487"/>
        <s v="TASK_1488"/>
        <s v="TASK_1489"/>
        <s v="TASK_1490"/>
        <s v="TASK_1491"/>
        <s v="TASK_1492"/>
        <s v="TASK_1493"/>
        <s v="TASK_1494"/>
        <s v="TASK_1495"/>
        <s v="TASK_1496"/>
        <s v="TASK_1497"/>
        <s v="TASK_1498"/>
        <s v="TASK_1499"/>
        <s v="TASK_1500"/>
        <s v="TASK_1501"/>
        <s v="TASK_1502"/>
        <s v="TASK_1503"/>
        <s v="TASK_1504"/>
        <s v="TASK_1505"/>
        <s v="TASK_1506"/>
        <s v="TASK_1507"/>
        <s v="TASK_1508"/>
        <s v="TASK_1509"/>
        <s v="TASK_1510"/>
        <s v="TASK_1511"/>
        <s v="TASK_1512"/>
        <s v="TASK_1513"/>
        <s v="TASK_1514"/>
        <s v="TASK_1515"/>
        <s v="TASK_1516"/>
        <s v="TASK_1517"/>
        <s v="TASK_1518"/>
        <s v="TASK_1519"/>
        <s v="TASK_1520"/>
        <s v="TASK_1521"/>
        <s v="TASK_1522"/>
        <s v="TASK_1523"/>
        <s v="TASK_1524"/>
        <s v="TASK_1525"/>
        <s v="TASK_1526"/>
        <s v="TASK_1527"/>
        <s v="TASK_1528"/>
        <s v="TASK_1529"/>
        <s v="TASK_1530"/>
        <s v="TASK_1531"/>
        <s v="TASK_1532"/>
        <s v="TASK_1533"/>
        <s v="TASK_1534"/>
        <s v="TASK_1535"/>
        <s v="TASK_1536"/>
        <s v="TASK_1537"/>
        <s v="TASK_1538"/>
        <s v="TASK_1539"/>
        <s v="TASK_1540"/>
        <s v="TASK_1541"/>
        <s v="TASK_1542"/>
        <s v="TASK_1543"/>
        <s v="TASK_1544"/>
        <s v="TASK_1545"/>
        <s v="TASK_1546"/>
        <s v="TASK_1547"/>
        <s v="TASK_1548"/>
        <s v="TASK_1549"/>
        <s v="TASK_1550"/>
        <s v="TASK_1551"/>
        <s v="TASK_1552"/>
        <s v="TASK_1553"/>
        <s v="TASK_1554"/>
        <s v="TASK_1555"/>
        <s v="TASK_1556"/>
        <s v="TASK_1557"/>
        <s v="TASK_1558"/>
        <s v="TASK_1559"/>
        <s v="TASK_1560"/>
        <s v="TASK_1561"/>
        <s v="TASK_1562"/>
        <s v="TASK_1563"/>
        <s v="TASK_1564"/>
        <s v="TASK_1565"/>
        <s v="TASK_1566"/>
        <s v="TASK_1567"/>
        <s v="TASK_1568"/>
        <s v="TASK_1569"/>
        <s v="TASK_1570"/>
        <s v="TASK_1571"/>
        <s v="TASK_1572"/>
        <s v="TASK_1573"/>
        <s v="TASK_1574"/>
        <s v="TASK_1575"/>
        <s v="TASK_1576"/>
        <s v="TASK_1577"/>
        <s v="TASK_1578"/>
        <s v="TASK_1579"/>
        <s v="TASK_1580"/>
        <s v="TASK_1581"/>
        <s v="TASK_1582"/>
        <s v="TASK_1583"/>
        <s v="TASK_1584"/>
        <s v="TASK_1585"/>
        <s v="TASK_1586"/>
        <s v="TASK_1587"/>
        <s v="TASK_1588"/>
        <s v="TASK_1589"/>
        <s v="TASK_1590"/>
        <s v="TASK_1591"/>
        <s v="TASK_1592"/>
        <s v="TASK_1593"/>
        <s v="TASK_1594"/>
        <s v="TASK_1595"/>
        <s v="TASK_1596"/>
        <s v="TASK_1597"/>
        <s v="TASK_1598"/>
        <s v="TASK_1599"/>
        <s v="TASK_1600"/>
        <s v="TASK_1601"/>
        <s v="TASK_1602"/>
        <s v="TASK_1603"/>
        <s v="TASK_1604"/>
        <s v="TASK_1605"/>
        <s v="TASK_1606"/>
        <s v="TASK_1607"/>
        <s v="TASK_1608"/>
        <s v="TASK_1609"/>
        <s v="TASK_1610"/>
        <s v="TASK_1611"/>
        <s v="TASK_1612"/>
        <s v="TASK_1613"/>
        <s v="TASK_1614"/>
        <s v="TASK_1615"/>
        <s v="TASK_1616"/>
        <s v="TASK_1617"/>
        <s v="TASK_1618"/>
        <s v="TASK_1619"/>
        <s v="TASK_1620"/>
        <s v="TASK_1621"/>
        <s v="TASK_1622"/>
        <s v="TASK_1623"/>
        <s v="TASK_1624"/>
        <s v="TASK_1625"/>
        <s v="TASK_1626"/>
        <s v="TASK_1627"/>
        <s v="TASK_1628"/>
        <s v="TASK_1629"/>
        <s v="TASK_1630"/>
        <s v="TASK_1631"/>
        <s v="TASK_1632"/>
        <s v="TASK_1633"/>
        <s v="TASK_1634"/>
        <s v="TASK_1635"/>
        <s v="TASK_1636"/>
        <s v="TASK_1637"/>
        <s v="TASK_1638"/>
        <s v="TASK_1639"/>
        <s v="TASK_1640"/>
        <s v="TASK_1641"/>
        <s v="TASK_1642"/>
        <s v="TASK_1643"/>
        <s v="TASK_1644"/>
        <s v="TASK_1645"/>
        <s v="TASK_1646"/>
        <s v="TASK_1647"/>
        <s v="TASK_1648"/>
        <s v="TASK_1649"/>
        <s v="TASK_1650"/>
        <s v="TASK_1651"/>
        <s v="TASK_1652"/>
        <s v="TASK_1653"/>
        <s v="TASK_1654"/>
        <s v="TASK_1655"/>
        <s v="TASK_1656"/>
        <s v="TASK_1657"/>
        <s v="TASK_1658"/>
        <s v="TASK_1659"/>
        <s v="TASK_1660"/>
        <s v="TASK_1661"/>
        <s v="TASK_1662"/>
        <s v="TASK_1663"/>
        <s v="TASK_1664"/>
        <s v="TASK_1665"/>
        <s v="TASK_1666"/>
        <s v="TASK_1667"/>
        <s v="TASK_1668"/>
        <s v="TASK_1669"/>
        <s v="TASK_1670"/>
        <s v="TASK_1671"/>
        <s v="TASK_1672"/>
        <s v="TASK_1673"/>
        <s v="TASK_1674"/>
        <s v="TASK_1675"/>
        <s v="TASK_1676"/>
        <s v="TASK_1677"/>
        <s v="TASK_1678"/>
        <s v="TASK_1679"/>
        <s v="TASK_1680"/>
        <s v="TASK_1681"/>
        <s v="TASK_1682"/>
        <s v="TASK_1683"/>
        <s v="TASK_1684"/>
        <s v="TASK_1685"/>
        <s v="TASK_1686"/>
        <s v="TASK_1687"/>
        <s v="TASK_1688"/>
        <s v="TASK_1689"/>
        <s v="TASK_1690"/>
        <s v="TASK_1691"/>
        <s v="TASK_1692"/>
        <s v="TASK_1693"/>
        <s v="TASK_1694"/>
        <s v="TASK_1695"/>
        <s v="TASK_1696"/>
        <s v="TASK_1697"/>
        <s v="TASK_1698"/>
        <s v="TASK_1699"/>
        <s v="TASK_1700"/>
        <s v="TASK_1701"/>
        <s v="TASK_1702"/>
        <s v="TASK_1703"/>
        <s v="TASK_1704"/>
        <s v="TASK_1705"/>
        <s v="TASK_1706"/>
        <s v="TASK_1707"/>
        <s v="TASK_1708"/>
        <s v="TASK_1709"/>
        <s v="TASK_1710"/>
        <s v="TASK_1711"/>
        <s v="TASK_1712"/>
        <s v="TASK_1713"/>
        <s v="TASK_1714"/>
        <s v="TASK_1715"/>
        <s v="TASK_1716"/>
        <s v="TASK_1717"/>
        <s v="TASK_1718"/>
        <s v="TASK_1719"/>
        <s v="TASK_1720"/>
        <s v="TASK_1721"/>
        <s v="TASK_1722"/>
        <s v="TASK_1723"/>
        <s v="TASK_1724"/>
        <s v="TASK_1725"/>
        <s v="TASK_1726"/>
        <s v="TASK_1727"/>
        <s v="TASK_1728"/>
        <s v="TASK_1729"/>
        <s v="TASK_1730"/>
        <s v="TASK_1731"/>
        <s v="TASK_1732"/>
        <s v="TASK_1733"/>
        <s v="TASK_1734"/>
        <s v="TASK_1735"/>
        <s v="TASK_1736"/>
        <s v="TASK_1737"/>
        <s v="TASK_1738"/>
        <s v="TASK_1739"/>
        <s v="TASK_1740"/>
        <s v="TASK_1741"/>
        <s v="TASK_1742"/>
        <s v="TASK_1743"/>
        <s v="TASK_1744"/>
        <s v="TASK_1745"/>
        <s v="TASK_1746"/>
        <s v="TASK_1747"/>
        <s v="TASK_1748"/>
        <s v="TASK_1749"/>
        <s v="TASK_1750"/>
        <s v="TASK_1751"/>
        <s v="TASK_1752"/>
        <s v="TASK_1753"/>
        <s v="TASK_1754"/>
        <s v="TASK_1755"/>
        <s v="TASK_1756"/>
        <s v="TASK_1757"/>
        <s v="TASK_1758"/>
        <s v="TASK_1759"/>
        <s v="TASK_1760"/>
        <s v="TASK_1761"/>
        <s v="TASK_1762"/>
        <s v="TASK_1763"/>
        <s v="TASK_1764"/>
        <s v="TASK_1765"/>
        <s v="TASK_1766"/>
        <s v="TASK_1767"/>
        <s v="TASK_1768"/>
        <s v="TASK_1769"/>
        <s v="TASK_1770"/>
        <s v="TASK_1771"/>
        <s v="TASK_1772"/>
        <s v="TASK_1773"/>
        <s v="TASK_1774"/>
        <s v="TASK_1775"/>
        <s v="TASK_1776"/>
        <s v="TASK_1777"/>
        <s v="TASK_1778"/>
        <s v="TASK_1779"/>
        <s v="TASK_1780"/>
        <s v="TASK_1781"/>
        <s v="TASK_1782"/>
        <s v="TASK_1783"/>
        <s v="TASK_1784"/>
        <s v="TASK_1785"/>
        <s v="TASK_1786"/>
        <s v="TASK_1787"/>
        <s v="TASK_1788"/>
        <s v="TASK_1789"/>
        <s v="TASK_1790"/>
        <s v="TASK_1791"/>
        <s v="TASK_1792"/>
        <s v="TASK_1793"/>
        <s v="TASK_1794"/>
        <s v="TASK_1795"/>
        <s v="TASK_1796"/>
        <s v="TASK_1797"/>
        <s v="TASK_1798"/>
        <s v="TASK_1799"/>
        <s v="TASK_1800"/>
        <s v="TASK_1801"/>
        <s v="TASK_1802"/>
        <s v="TASK_1803"/>
        <s v="TASK_1804"/>
        <s v="TASK_1805"/>
        <s v="TASK_1806"/>
        <s v="TASK_1807"/>
        <s v="TASK_1808"/>
        <s v="TASK_1809"/>
        <s v="TASK_1810"/>
        <s v="TASK_1811"/>
        <s v="TASK_1812"/>
        <s v="TASK_1813"/>
        <s v="TASK_1814"/>
        <s v="TASK_1815"/>
        <s v="TASK_1816"/>
        <s v="TASK_1817"/>
        <s v="TASK_1818"/>
        <s v="TASK_1819"/>
        <s v="TASK_1820"/>
        <s v="TASK_1821"/>
        <s v="TASK_1822"/>
        <s v="TASK_1823"/>
        <s v="TASK_1824"/>
        <s v="TASK_1825"/>
        <s v="TASK_1826"/>
        <s v="TASK_1827"/>
        <s v="TASK_1828"/>
        <s v="TASK_1829"/>
        <s v="TASK_1830"/>
        <s v="TASK_1831"/>
        <s v="TASK_1832"/>
        <s v="TASK_1833"/>
        <s v="TASK_1834"/>
        <s v="TASK_1835"/>
        <s v="TASK_1836"/>
        <s v="TASK_1837"/>
        <s v="TASK_1838"/>
        <s v="TASK_1839"/>
        <s v="TASK_1840"/>
        <s v="TASK_1841"/>
        <s v="TASK_1842"/>
        <s v="TASK_1843"/>
        <s v="TASK_1844"/>
        <s v="TASK_1845"/>
        <s v="TASK_1846"/>
        <s v="TASK_1847"/>
        <s v="TASK_1848"/>
        <s v="TASK_1849"/>
        <s v="TASK_1850"/>
        <s v="TASK_1851"/>
        <s v="TASK_1852"/>
        <s v="TASK_1853"/>
        <s v="TASK_1854"/>
        <s v="TASK_1855"/>
        <s v="TASK_1856"/>
        <s v="TASK_1857"/>
        <s v="TASK_1858"/>
        <s v="TASK_1859"/>
        <s v="TASK_1860"/>
        <s v="TASK_1861"/>
        <s v="TASK_1862"/>
        <s v="TASK_1863"/>
        <s v="TASK_1864"/>
        <s v="TASK_1865"/>
        <s v="TASK_1866"/>
        <s v="TASK_1867"/>
        <s v="TASK_1868"/>
        <s v="TASK_1869"/>
        <s v="TASK_1870"/>
        <s v="TASK_1871"/>
        <s v="TASK_1872"/>
        <s v="TASK_1873"/>
        <s v="TASK_1874"/>
        <s v="TASK_1875"/>
        <s v="TASK_1876"/>
        <s v="TASK_1877"/>
        <s v="TASK_1878"/>
        <s v="TASK_1879"/>
        <s v="TASK_1880"/>
        <s v="TASK_1881"/>
        <s v="TASK_1882"/>
        <s v="TASK_1883"/>
        <s v="TASK_1884"/>
        <s v="TASK_1885"/>
        <s v="TASK_1886"/>
        <s v="TASK_1887"/>
        <s v="TASK_1888"/>
        <s v="TASK_1889"/>
        <s v="TASK_1890"/>
        <s v="TASK_1891"/>
        <s v="TASK_1892"/>
        <s v="TASK_1893"/>
        <s v="TASK_1894"/>
        <s v="TASK_1895"/>
        <s v="TASK_1896"/>
        <s v="TASK_1897"/>
        <s v="TASK_1898"/>
        <s v="TASK_1899"/>
        <s v="TASK_1900"/>
        <s v="TASK_1901"/>
        <s v="TASK_1902"/>
        <s v="TASK_1903"/>
        <s v="TASK_1904"/>
        <s v="TASK_1905"/>
        <s v="TASK_1906"/>
        <s v="TASK_1907"/>
        <s v="TASK_1908"/>
        <s v="TASK_1909"/>
        <s v="TASK_1910"/>
        <s v="TASK_1911"/>
        <s v="TASK_1912"/>
        <s v="TASK_1913"/>
        <s v="TASK_1914"/>
        <s v="TASK_1915"/>
        <s v="TASK_1916"/>
        <s v="TASK_1917"/>
        <s v="TASK_1918"/>
        <s v="TASK_1919"/>
        <s v="TASK_1920"/>
        <s v="TASK_1921"/>
        <s v="TASK_1922"/>
        <s v="TASK_1923"/>
        <s v="TASK_1924"/>
        <s v="TASK_1925"/>
        <s v="TASK_1926"/>
        <s v="TASK_1927"/>
        <s v="TASK_1928"/>
        <s v="TASK_1929"/>
        <s v="TASK_1930"/>
        <s v="TASK_1931"/>
        <s v="TASK_1932"/>
        <s v="TASK_1933"/>
        <s v="TASK_1934"/>
        <s v="TASK_1935"/>
        <s v="TASK_1936"/>
        <s v="TASK_1937"/>
        <s v="TASK_1938"/>
        <s v="TASK_1939"/>
        <s v="TASK_1940"/>
        <s v="TASK_1941"/>
        <s v="TASK_1942"/>
        <s v="TASK_1943"/>
        <s v="TASK_1944"/>
        <s v="TASK_1945"/>
        <s v="TASK_1946"/>
        <s v="TASK_1947"/>
        <s v="TASK_1948"/>
        <s v="TASK_1949"/>
        <s v="TASK_1950"/>
        <s v="TASK_1951"/>
        <s v="TASK_1952"/>
        <s v="TASK_1953"/>
        <s v="TASK_1954"/>
        <s v="TASK_1955"/>
        <s v="TASK_1956"/>
        <s v="TASK_1957"/>
        <s v="TASK_1958"/>
        <s v="TASK_1959"/>
        <s v="TASK_1960"/>
        <s v="TASK_1961"/>
        <s v="TASK_1962"/>
        <s v="TASK_1963"/>
        <s v="TASK_1964"/>
        <s v="TASK_1965"/>
        <s v="TASK_1966"/>
        <s v="TASK_1967"/>
        <s v="TASK_1968"/>
        <s v="TASK_1969"/>
        <s v="TASK_1970"/>
        <s v="TASK_1971"/>
        <s v="TASK_1972"/>
        <s v="TASK_1973"/>
        <s v="TASK_1974"/>
        <s v="TASK_1975"/>
        <s v="TASK_1976"/>
        <s v="TASK_1977"/>
        <s v="TASK_1978"/>
        <s v="TASK_1979"/>
        <s v="TASK_1980"/>
        <s v="TASK_1981"/>
        <s v="TASK_1982"/>
        <s v="TASK_1983"/>
        <s v="TASK_1984"/>
        <s v="TASK_1985"/>
        <s v="TASK_1986"/>
        <s v="TASK_1987"/>
        <s v="TASK_1988"/>
        <s v="TASK_1989"/>
        <s v="TASK_1990"/>
        <s v="TASK_1991"/>
        <s v="TASK_1992"/>
        <s v="TASK_1993"/>
        <s v="TASK_1994"/>
        <s v="TASK_1995"/>
        <s v="TASK_1996"/>
        <s v="TASK_1997"/>
        <s v="TASK_1998"/>
        <s v="TASK_1999"/>
        <s v="TASK_2000"/>
        <s v="TASK_2001"/>
        <s v="TASK_2002"/>
        <s v="TASK_2003"/>
        <s v="TASK_2004"/>
        <s v="TASK_2005"/>
        <s v="TASK_2006"/>
        <s v="TASK_2007"/>
        <s v="TASK_2008"/>
        <s v="TASK_2009"/>
        <s v="TASK_2010"/>
        <s v="TASK_2011"/>
        <s v="TASK_2012"/>
        <s v="TASK_2013"/>
        <s v="TASK_2014"/>
        <s v="TASK_2015"/>
        <s v="TASK_2016"/>
        <s v="TASK_2017"/>
        <s v="TASK_2018"/>
        <s v="TASK_2019"/>
        <s v="TASK_2020"/>
        <s v="TASK_2021"/>
        <s v="TASK_2022"/>
        <s v="TASK_2023"/>
        <s v="TASK_2024"/>
        <s v="TASK_2025"/>
        <s v="TASK_2026"/>
        <s v="TASK_2027"/>
        <s v="TASK_2028"/>
        <s v="TASK_2029"/>
        <s v="TASK_2030"/>
        <s v="TASK_2031"/>
        <s v="TASK_2032"/>
        <s v="TASK_2033"/>
        <s v="TASK_2034"/>
        <s v="TASK_2035"/>
        <s v="TASK_2036"/>
        <s v="TASK_2037"/>
        <s v="TASK_2038"/>
        <s v="TASK_2039"/>
        <s v="TASK_2040"/>
        <s v="TASK_2041"/>
        <s v="TASK_2042"/>
        <s v="TASK_2043"/>
        <s v="TASK_2044"/>
        <s v="TASK_2045"/>
        <s v="TASK_2046"/>
        <s v="TASK_2047"/>
        <s v="TASK_2048"/>
        <s v="TASK_2049"/>
        <s v="TASK_2050"/>
        <s v="TASK_2051"/>
        <s v="TASK_2052"/>
        <s v="TASK_2053"/>
        <s v="TASK_2054"/>
        <s v="TASK_2055"/>
        <s v="TASK_2056"/>
        <s v="TASK_2057"/>
        <s v="TASK_2058"/>
        <s v="TASK_2059"/>
        <s v="TASK_2060"/>
        <s v="TASK_2061"/>
        <s v="TASK_2062"/>
        <s v="TASK_2063"/>
        <s v="TASK_2064"/>
        <s v="TASK_2065"/>
        <s v="TASK_2066"/>
        <s v="TASK_2067"/>
        <s v="TASK_2068"/>
        <s v="TASK_2069"/>
        <s v="TASK_2070"/>
        <s v="TASK_2071"/>
        <s v="TASK_2072"/>
        <s v="TASK_2073"/>
        <s v="TASK_2074"/>
        <s v="TASK_2075"/>
        <s v="TASK_2076"/>
        <s v="TASK_2077"/>
        <s v="TASK_2078"/>
        <s v="TASK_2079"/>
        <s v="TASK_2080"/>
        <s v="TASK_2081"/>
        <s v="TASK_2082"/>
        <s v="TASK_2083"/>
        <s v="TASK_2084"/>
        <s v="TASK_2085"/>
        <s v="TASK_2086"/>
        <s v="TASK_2087"/>
        <s v="TASK_2088"/>
        <s v="TASK_2089"/>
        <s v="TASK_2090"/>
        <s v="TASK_2091"/>
        <s v="TASK_2092"/>
        <s v="TASK_2093"/>
        <s v="TASK_2094"/>
        <s v="TASK_2095"/>
        <s v="TASK_2096"/>
        <s v="TASK_2097"/>
        <s v="TASK_2098"/>
        <s v="TASK_2099"/>
        <s v="TASK_2100"/>
        <s v="TASK_2101"/>
        <s v="TASK_2102"/>
        <s v="TASK_2103"/>
        <s v="TASK_2104"/>
        <s v="TASK_2105"/>
        <s v="TASK_2106"/>
        <s v="TASK_2107"/>
        <s v="TASK_2108"/>
        <s v="TASK_2109"/>
        <s v="TASK_2110"/>
        <s v="TASK_2111"/>
        <s v="TASK_2112"/>
        <s v="TASK_2113"/>
        <s v="TASK_2114"/>
        <s v="TASK_2115"/>
        <s v="TASK_2116"/>
        <s v="TASK_2117"/>
        <s v="TASK_2118"/>
        <s v="TASK_2119"/>
        <s v="TASK_2120"/>
        <s v="TASK_2121"/>
        <s v="TASK_2122"/>
        <s v="TASK_2123"/>
        <s v="TASK_2124"/>
        <s v="TASK_2125"/>
        <s v="TASK_2126"/>
        <s v="TASK_2127"/>
        <s v="TASK_2128"/>
        <s v="TASK_2129"/>
        <s v="TASK_2130"/>
        <s v="TASK_2131"/>
        <s v="TASK_2132"/>
        <s v="TASK_2133"/>
        <s v="TASK_2134"/>
        <s v="TASK_2135"/>
        <s v="TASK_2136"/>
        <s v="TASK_2137"/>
        <s v="TASK_2138"/>
        <s v="TASK_2139"/>
        <s v="TASK_2140"/>
        <s v="TASK_2141"/>
        <s v="TASK_2142"/>
        <s v="TASK_2143"/>
        <s v="TASK_2144"/>
        <s v="TASK_2145"/>
        <s v="TASK_2146"/>
        <s v="TASK_2147"/>
        <s v="TASK_2148"/>
        <s v="TASK_2149"/>
        <s v="TASK_2150"/>
        <s v="TASK_2151"/>
        <s v="TASK_2152"/>
        <s v="TASK_2153"/>
        <s v="TASK_2154"/>
        <s v="TASK_2155"/>
        <s v="TASK_2156"/>
        <s v="TASK_2157"/>
        <s v="TASK_2158"/>
        <s v="TASK_2159"/>
        <s v="TASK_2160"/>
        <s v="TASK_2161"/>
        <s v="TASK_2162"/>
        <s v="TASK_2163"/>
        <s v="TASK_2164"/>
        <s v="TASK_2165"/>
        <s v="TASK_2166"/>
        <s v="TASK_2167"/>
        <s v="TASK_2168"/>
        <s v="TASK_2169"/>
        <s v="TASK_2170"/>
        <s v="TASK_2171"/>
        <s v="TASK_2172"/>
        <s v="TASK_2173"/>
        <s v="TASK_2174"/>
        <s v="TASK_2175"/>
        <s v="TASK_2176"/>
        <s v="TASK_2177"/>
        <s v="TASK_2178"/>
        <s v="TASK_2179"/>
        <s v="TASK_2180"/>
        <s v="TASK_2181"/>
        <s v="TASK_2182"/>
        <s v="TASK_2183"/>
        <s v="TASK_2184"/>
        <s v="TASK_2185"/>
        <s v="TASK_2186"/>
        <s v="TASK_2187"/>
        <s v="TASK_2188"/>
        <s v="TASK_2189"/>
        <s v="TASK_2190"/>
        <s v="TASK_2191"/>
        <s v="TASK_2192"/>
        <s v="TASK_2193"/>
        <s v="TASK_2194"/>
        <s v="TASK_2195"/>
        <s v="TASK_2196"/>
        <s v="TASK_2197"/>
        <s v="TASK_2198"/>
        <s v="TASK_2199"/>
        <s v="TASK_2200"/>
        <s v="TASK_2201"/>
        <s v="TASK_2202"/>
        <s v="TASK_2203"/>
        <s v="TASK_2204"/>
        <s v="TASK_2205"/>
        <s v="TASK_2206"/>
        <s v="TASK_2207"/>
        <s v="TASK_2208"/>
        <s v="TASK_2209"/>
        <s v="TASK_2210"/>
        <s v="TASK_2211"/>
        <s v="TASK_2212"/>
        <s v="TASK_2213"/>
        <s v="TASK_2214"/>
        <s v="TASK_2215"/>
        <s v="TASK_2216"/>
        <s v="TASK_2217"/>
        <s v="TASK_2218"/>
        <s v="TASK_2219"/>
        <s v="TASK_2220"/>
        <s v="TASK_2221"/>
        <s v="TASK_2222"/>
        <s v="TASK_2223"/>
        <s v="TASK_2224"/>
        <s v="TASK_2225"/>
        <s v="TASK_2226"/>
        <s v="TASK_2227"/>
        <s v="TASK_2228"/>
        <s v="TASK_2229"/>
        <s v="TASK_2230"/>
        <s v="TASK_2231"/>
        <s v="TASK_2232"/>
        <s v="TASK_2233"/>
        <s v="TASK_2234"/>
        <s v="TASK_2235"/>
        <s v="TASK_2236"/>
        <s v="TASK_2237"/>
        <s v="TASK_2238"/>
        <s v="TASK_2239"/>
        <s v="TASK_2240"/>
        <s v="TASK_2241"/>
        <s v="TASK_2242"/>
        <s v="TASK_2243"/>
        <s v="TASK_2244"/>
        <s v="TASK_2245"/>
        <s v="TASK_2246"/>
        <s v="TASK_2247"/>
        <s v="TASK_2248"/>
        <s v="TASK_2249"/>
        <s v="TASK_2250"/>
        <s v="TASK_2251"/>
        <s v="TASK_2252"/>
        <s v="TASK_2253"/>
        <s v="TASK_2254"/>
        <s v="TASK_2255"/>
        <s v="TASK_2256"/>
        <s v="TASK_2257"/>
        <s v="TASK_2258"/>
        <s v="TASK_2259"/>
        <s v="TASK_2260"/>
        <s v="TASK_2261"/>
        <s v="TASK_2262"/>
        <s v="TASK_2263"/>
        <s v="TASK_2264"/>
        <s v="TASK_2265"/>
        <s v="TASK_2266"/>
        <s v="TASK_2267"/>
        <s v="TASK_2268"/>
        <s v="TASK_2269"/>
        <s v="TASK_2270"/>
        <s v="TASK_2271"/>
        <s v="TASK_2272"/>
        <s v="TASK_2273"/>
        <s v="TASK_2274"/>
        <s v="TASK_2275"/>
        <s v="TASK_2276"/>
        <s v="TASK_2277"/>
        <s v="TASK_2278"/>
        <s v="TASK_2279"/>
        <s v="TASK_2280"/>
        <s v="TASK_2281"/>
        <s v="TASK_2282"/>
        <s v="TASK_2283"/>
        <s v="TASK_2284"/>
        <s v="TASK_2285"/>
        <s v="TASK_2286"/>
        <s v="TASK_2287"/>
        <s v="TASK_2288"/>
        <s v="TASK_2289"/>
        <s v="TASK_2290"/>
        <s v="TASK_2291"/>
        <s v="TASK_2292"/>
        <s v="TASK_2293"/>
        <s v="TASK_2294"/>
        <s v="TASK_2295"/>
        <s v="TASK_2296"/>
        <s v="TASK_2297"/>
        <s v="TASK_2298"/>
        <s v="TASK_2299"/>
        <s v="TASK_2300"/>
        <s v="TASK_2301"/>
        <s v="TASK_2302"/>
        <s v="TASK_2303"/>
        <s v="TASK_2304"/>
        <s v="TASK_2305"/>
        <s v="TASK_2306"/>
        <s v="TASK_2307"/>
        <s v="TASK_2308"/>
        <s v="TASK_2309"/>
        <s v="TASK_2310"/>
        <s v="TASK_2311"/>
        <s v="TASK_2312"/>
        <s v="TASK_2313"/>
        <s v="TASK_2314"/>
        <s v="TASK_2315"/>
        <s v="TASK_2316"/>
        <s v="TASK_2317"/>
        <s v="TASK_2318"/>
        <s v="TASK_2319"/>
        <s v="TASK_2320"/>
        <s v="TASK_2321"/>
        <s v="TASK_2322"/>
        <s v="TASK_2323"/>
        <s v="TASK_2324"/>
        <s v="TASK_2325"/>
        <s v="TASK_2326"/>
        <s v="TASK_2327"/>
        <s v="TASK_2328"/>
        <s v="TASK_2329"/>
        <s v="TASK_2330"/>
        <s v="TASK_2331"/>
        <s v="TASK_2332"/>
        <s v="TASK_2333"/>
        <s v="TASK_2334"/>
        <s v="TASK_2335"/>
        <s v="TASK_2336"/>
        <s v="TASK_2337"/>
        <s v="TASK_2338"/>
        <s v="TASK_2339"/>
        <s v="TASK_2340"/>
        <s v="TASK_2341"/>
        <s v="TASK_2342"/>
        <s v="TASK_2343"/>
        <s v="TASK_2344"/>
        <s v="TASK_2345"/>
        <s v="TASK_2346"/>
        <s v="TASK_2347"/>
        <s v="TASK_2348"/>
        <s v="TASK_2349"/>
        <s v="TASK_2350"/>
        <s v="TASK_2351"/>
        <s v="TASK_2352"/>
        <s v="TASK_2353"/>
        <s v="TASK_2354"/>
        <s v="TASK_2355"/>
        <s v="TASK_2356"/>
        <s v="TASK_2357"/>
        <s v="TASK_2358"/>
        <s v="TASK_2359"/>
        <s v="TASK_2360"/>
        <s v="TASK_2361"/>
        <s v="TASK_2362"/>
        <s v="TASK_2363"/>
        <s v="TASK_2364"/>
        <s v="TASK_2365"/>
        <s v="TASK_2366"/>
        <s v="TASK_2367"/>
        <s v="TASK_2368"/>
        <s v="TASK_2369"/>
        <s v="TASK_2370"/>
        <s v="TASK_2371"/>
        <s v="TASK_2372"/>
        <s v="TASK_2373"/>
        <s v="TASK_2374"/>
        <s v="TASK_2375"/>
        <s v="TASK_2376"/>
        <s v="TASK_2377"/>
        <s v="TASK_2378"/>
        <s v="TASK_2379"/>
        <s v="TASK_2380"/>
        <s v="TASK_2381"/>
        <s v="TASK_2382"/>
        <s v="TASK_2383"/>
        <s v="TASK_2384"/>
        <s v="TASK_2385"/>
        <s v="TASK_2386"/>
        <s v="TASK_2387"/>
        <s v="TASK_2388"/>
        <s v="TASK_2389"/>
        <s v="TASK_2390"/>
        <s v="TASK_2391"/>
        <s v="TASK_2392"/>
        <s v="TASK_2393"/>
        <s v="TASK_2394"/>
        <s v="TASK_2395"/>
        <s v="TASK_2396"/>
        <s v="TASK_2397"/>
        <s v="TASK_2398"/>
        <s v="TASK_2399"/>
        <s v="TASK_2400"/>
        <s v="TASK_2401"/>
        <s v="TASK_2402"/>
        <s v="TASK_2403"/>
        <s v="TASK_2404"/>
        <s v="TASK_2405"/>
        <s v="TASK_2406"/>
        <s v="TASK_2407"/>
        <s v="TASK_2408"/>
        <s v="TASK_2409"/>
        <s v="TASK_2410"/>
        <s v="TASK_2411"/>
        <s v="TASK_2412"/>
        <s v="TASK_2413"/>
        <s v="TASK_2414"/>
        <s v="TASK_2415"/>
        <s v="TASK_2416"/>
        <s v="TASK_2417"/>
        <s v="TASK_2418"/>
        <s v="TASK_2419"/>
        <s v="TASK_2420"/>
        <s v="TASK_2421"/>
        <s v="TASK_2422"/>
        <s v="TASK_2423"/>
        <s v="TASK_2424"/>
        <s v="TASK_2425"/>
        <s v="TASK_2426"/>
        <s v="TASK_2427"/>
        <s v="TASK_2428"/>
        <s v="TASK_2429"/>
        <s v="TASK_2430"/>
        <s v="TASK_2431"/>
        <s v="TASK_2432"/>
        <s v="TASK_2433"/>
        <s v="TASK_2434"/>
        <s v="TASK_2435"/>
        <s v="TASK_2436"/>
        <s v="TASK_2437"/>
        <s v="TASK_2438"/>
        <s v="TASK_2439"/>
        <s v="TASK_2440"/>
        <s v="TASK_2441"/>
        <s v="TASK_2442"/>
        <s v="TASK_2443"/>
        <s v="TASK_2444"/>
        <s v="TASK_2445"/>
        <s v="TASK_2446"/>
        <s v="TASK_2447"/>
        <s v="TASK_2448"/>
        <s v="TASK_2449"/>
        <s v="TASK_2450"/>
        <s v="TASK_2451"/>
        <s v="TASK_2452"/>
        <s v="TASK_2453"/>
        <s v="TASK_2454"/>
        <s v="TASK_2455"/>
        <s v="TASK_2456"/>
        <s v="TASK_2457"/>
        <s v="TASK_2458"/>
        <s v="TASK_2459"/>
        <s v="TASK_2460"/>
        <s v="TASK_2461"/>
        <s v="TASK_2462"/>
        <s v="TASK_2463"/>
        <s v="TASK_2464"/>
        <s v="TASK_2465"/>
        <s v="TASK_2466"/>
        <s v="TASK_2467"/>
        <s v="TASK_2468"/>
        <s v="TASK_2469"/>
        <s v="TASK_2470"/>
        <s v="TASK_2471"/>
        <s v="TASK_2472"/>
        <s v="TASK_2473"/>
        <s v="TASK_2474"/>
        <s v="TASK_2475"/>
        <s v="TASK_2476"/>
        <s v="TASK_2477"/>
        <s v="TASK_2478"/>
        <s v="TASK_2479"/>
        <s v="TASK_2480"/>
        <s v="TASK_2481"/>
        <s v="TASK_2482"/>
        <s v="TASK_2483"/>
        <s v="TASK_2484"/>
        <s v="TASK_2485"/>
        <s v="TASK_2486"/>
        <s v="TASK_2487"/>
        <s v="TASK_2488"/>
        <s v="TASK_2489"/>
        <s v="TASK_2490"/>
        <s v="TASK_2491"/>
        <s v="TASK_2492"/>
        <s v="TASK_2493"/>
        <s v="TASK_2494"/>
        <s v="TASK_2495"/>
        <s v="TASK_2496"/>
        <s v="TASK_2497"/>
        <s v="TASK_2498"/>
        <s v="TASK_2499"/>
        <s v="TASK_2500"/>
      </sharedItems>
    </cacheField>
    <cacheField name="Task_Type" numFmtId="0">
      <sharedItems/>
    </cacheField>
    <cacheField name="Priority_Level" numFmtId="0">
      <sharedItems/>
    </cacheField>
    <cacheField name="Department" numFmtId="0">
      <sharedItems/>
    </cacheField>
    <cacheField name="Assigned_Employee_ID" numFmtId="0">
      <sharedItems/>
    </cacheField>
    <cacheField name="Task_Start_Time" numFmtId="22">
      <sharedItems containsSemiMixedTypes="0" containsNonDate="0" containsDate="1" containsString="0" minDate="2024-01-01T02:40:00" maxDate="2024-12-30T23:07:00"/>
    </cacheField>
    <cacheField name="Task_End_Time" numFmtId="22">
      <sharedItems containsSemiMixedTypes="0" containsNonDate="0" containsDate="1" containsString="0" minDate="2024-01-01T05:24:00" maxDate="2024-12-31T02:04:00"/>
    </cacheField>
    <cacheField name="Estimated_Time_Minutes" numFmtId="0">
      <sharedItems containsSemiMixedTypes="0" containsString="0" containsNumber="1" containsInteger="1" minValue="10" maxValue="240"/>
    </cacheField>
    <cacheField name="Actual_Time_Minutes" numFmtId="0">
      <sharedItems containsSemiMixedTypes="0" containsString="0" containsNumber="1" containsInteger="1" minValue="7" maxValue="357"/>
    </cacheField>
    <cacheField name="Delay_Flag" numFmtId="0">
      <sharedItems containsSemiMixedTypes="0" containsString="0" containsNumber="1" containsInteger="1" minValue="0" maxValue="1"/>
    </cacheField>
    <cacheField name="Approval_Level" numFmtId="0">
      <sharedItems/>
    </cacheField>
    <cacheField name="Employee_Workload" numFmtId="0">
      <sharedItems containsSemiMixedTypes="0" containsString="0" containsNumber="1" containsInteger="1" minValue="1" maxValue="10"/>
    </cacheField>
    <cacheField name="Cost_Per_Task" numFmtId="0">
      <sharedItems containsSemiMixedTypes="0" containsString="0" containsNumber="1" minValue="50.32" maxValue="499.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Mishra" refreshedDate="46089.004582986112" createdVersion="8" refreshedVersion="8" minRefreshableVersion="3" recordCount="2500" xr:uid="{7F01FB79-068C-4B89-8DAE-E5BB250CEA4C}">
  <cacheSource type="worksheet">
    <worksheetSource ref="A1:T2501" sheet="calculated_columns"/>
  </cacheSource>
  <cacheFields count="20">
    <cacheField name="Workflow_ID" numFmtId="0">
      <sharedItems count="2500">
        <s v="WF_1"/>
        <s v="WF_2"/>
        <s v="WF_3"/>
        <s v="WF_4"/>
        <s v="WF_5"/>
        <s v="WF_6"/>
        <s v="WF_7"/>
        <s v="WF_8"/>
        <s v="WF_9"/>
        <s v="WF_10"/>
        <s v="WF_11"/>
        <s v="WF_12"/>
        <s v="WF_13"/>
        <s v="WF_14"/>
        <s v="WF_15"/>
        <s v="WF_16"/>
        <s v="WF_17"/>
        <s v="WF_18"/>
        <s v="WF_19"/>
        <s v="WF_20"/>
        <s v="WF_21"/>
        <s v="WF_22"/>
        <s v="WF_23"/>
        <s v="WF_24"/>
        <s v="WF_25"/>
        <s v="WF_26"/>
        <s v="WF_27"/>
        <s v="WF_28"/>
        <s v="WF_29"/>
        <s v="WF_30"/>
        <s v="WF_31"/>
        <s v="WF_32"/>
        <s v="WF_33"/>
        <s v="WF_34"/>
        <s v="WF_35"/>
        <s v="WF_36"/>
        <s v="WF_37"/>
        <s v="WF_38"/>
        <s v="WF_39"/>
        <s v="WF_40"/>
        <s v="WF_41"/>
        <s v="WF_42"/>
        <s v="WF_43"/>
        <s v="WF_44"/>
        <s v="WF_45"/>
        <s v="WF_46"/>
        <s v="WF_47"/>
        <s v="WF_48"/>
        <s v="WF_49"/>
        <s v="WF_50"/>
        <s v="WF_51"/>
        <s v="WF_52"/>
        <s v="WF_53"/>
        <s v="WF_54"/>
        <s v="WF_55"/>
        <s v="WF_56"/>
        <s v="WF_57"/>
        <s v="WF_58"/>
        <s v="WF_59"/>
        <s v="WF_60"/>
        <s v="WF_61"/>
        <s v="WF_62"/>
        <s v="WF_63"/>
        <s v="WF_64"/>
        <s v="WF_65"/>
        <s v="WF_66"/>
        <s v="WF_67"/>
        <s v="WF_68"/>
        <s v="WF_69"/>
        <s v="WF_70"/>
        <s v="WF_71"/>
        <s v="WF_72"/>
        <s v="WF_73"/>
        <s v="WF_74"/>
        <s v="WF_75"/>
        <s v="WF_76"/>
        <s v="WF_77"/>
        <s v="WF_78"/>
        <s v="WF_79"/>
        <s v="WF_80"/>
        <s v="WF_81"/>
        <s v="WF_82"/>
        <s v="WF_83"/>
        <s v="WF_84"/>
        <s v="WF_85"/>
        <s v="WF_86"/>
        <s v="WF_87"/>
        <s v="WF_88"/>
        <s v="WF_89"/>
        <s v="WF_90"/>
        <s v="WF_91"/>
        <s v="WF_92"/>
        <s v="WF_93"/>
        <s v="WF_94"/>
        <s v="WF_95"/>
        <s v="WF_96"/>
        <s v="WF_97"/>
        <s v="WF_98"/>
        <s v="WF_99"/>
        <s v="WF_100"/>
        <s v="WF_101"/>
        <s v="WF_102"/>
        <s v="WF_103"/>
        <s v="WF_104"/>
        <s v="WF_105"/>
        <s v="WF_106"/>
        <s v="WF_107"/>
        <s v="WF_108"/>
        <s v="WF_109"/>
        <s v="WF_110"/>
        <s v="WF_111"/>
        <s v="WF_112"/>
        <s v="WF_113"/>
        <s v="WF_114"/>
        <s v="WF_115"/>
        <s v="WF_116"/>
        <s v="WF_117"/>
        <s v="WF_118"/>
        <s v="WF_119"/>
        <s v="WF_120"/>
        <s v="WF_121"/>
        <s v="WF_122"/>
        <s v="WF_123"/>
        <s v="WF_124"/>
        <s v="WF_125"/>
        <s v="WF_126"/>
        <s v="WF_127"/>
        <s v="WF_128"/>
        <s v="WF_129"/>
        <s v="WF_130"/>
        <s v="WF_131"/>
        <s v="WF_132"/>
        <s v="WF_133"/>
        <s v="WF_134"/>
        <s v="WF_135"/>
        <s v="WF_136"/>
        <s v="WF_137"/>
        <s v="WF_138"/>
        <s v="WF_139"/>
        <s v="WF_140"/>
        <s v="WF_141"/>
        <s v="WF_142"/>
        <s v="WF_143"/>
        <s v="WF_144"/>
        <s v="WF_145"/>
        <s v="WF_146"/>
        <s v="WF_147"/>
        <s v="WF_148"/>
        <s v="WF_149"/>
        <s v="WF_150"/>
        <s v="WF_151"/>
        <s v="WF_152"/>
        <s v="WF_153"/>
        <s v="WF_154"/>
        <s v="WF_155"/>
        <s v="WF_156"/>
        <s v="WF_157"/>
        <s v="WF_158"/>
        <s v="WF_159"/>
        <s v="WF_160"/>
        <s v="WF_161"/>
        <s v="WF_162"/>
        <s v="WF_163"/>
        <s v="WF_164"/>
        <s v="WF_165"/>
        <s v="WF_166"/>
        <s v="WF_167"/>
        <s v="WF_168"/>
        <s v="WF_169"/>
        <s v="WF_170"/>
        <s v="WF_171"/>
        <s v="WF_172"/>
        <s v="WF_173"/>
        <s v="WF_174"/>
        <s v="WF_175"/>
        <s v="WF_176"/>
        <s v="WF_177"/>
        <s v="WF_178"/>
        <s v="WF_179"/>
        <s v="WF_180"/>
        <s v="WF_181"/>
        <s v="WF_182"/>
        <s v="WF_183"/>
        <s v="WF_184"/>
        <s v="WF_185"/>
        <s v="WF_186"/>
        <s v="WF_187"/>
        <s v="WF_188"/>
        <s v="WF_189"/>
        <s v="WF_190"/>
        <s v="WF_191"/>
        <s v="WF_192"/>
        <s v="WF_193"/>
        <s v="WF_194"/>
        <s v="WF_195"/>
        <s v="WF_196"/>
        <s v="WF_197"/>
        <s v="WF_198"/>
        <s v="WF_199"/>
        <s v="WF_200"/>
        <s v="WF_201"/>
        <s v="WF_202"/>
        <s v="WF_203"/>
        <s v="WF_204"/>
        <s v="WF_205"/>
        <s v="WF_206"/>
        <s v="WF_207"/>
        <s v="WF_208"/>
        <s v="WF_209"/>
        <s v="WF_210"/>
        <s v="WF_211"/>
        <s v="WF_212"/>
        <s v="WF_213"/>
        <s v="WF_214"/>
        <s v="WF_215"/>
        <s v="WF_216"/>
        <s v="WF_217"/>
        <s v="WF_218"/>
        <s v="WF_219"/>
        <s v="WF_220"/>
        <s v="WF_221"/>
        <s v="WF_222"/>
        <s v="WF_223"/>
        <s v="WF_224"/>
        <s v="WF_225"/>
        <s v="WF_226"/>
        <s v="WF_227"/>
        <s v="WF_228"/>
        <s v="WF_229"/>
        <s v="WF_230"/>
        <s v="WF_231"/>
        <s v="WF_232"/>
        <s v="WF_233"/>
        <s v="WF_234"/>
        <s v="WF_235"/>
        <s v="WF_236"/>
        <s v="WF_237"/>
        <s v="WF_238"/>
        <s v="WF_239"/>
        <s v="WF_240"/>
        <s v="WF_241"/>
        <s v="WF_242"/>
        <s v="WF_243"/>
        <s v="WF_244"/>
        <s v="WF_245"/>
        <s v="WF_246"/>
        <s v="WF_247"/>
        <s v="WF_248"/>
        <s v="WF_249"/>
        <s v="WF_250"/>
        <s v="WF_251"/>
        <s v="WF_252"/>
        <s v="WF_253"/>
        <s v="WF_254"/>
        <s v="WF_255"/>
        <s v="WF_256"/>
        <s v="WF_257"/>
        <s v="WF_258"/>
        <s v="WF_259"/>
        <s v="WF_260"/>
        <s v="WF_261"/>
        <s v="WF_262"/>
        <s v="WF_263"/>
        <s v="WF_264"/>
        <s v="WF_265"/>
        <s v="WF_266"/>
        <s v="WF_267"/>
        <s v="WF_268"/>
        <s v="WF_269"/>
        <s v="WF_270"/>
        <s v="WF_271"/>
        <s v="WF_272"/>
        <s v="WF_273"/>
        <s v="WF_274"/>
        <s v="WF_275"/>
        <s v="WF_276"/>
        <s v="WF_277"/>
        <s v="WF_278"/>
        <s v="WF_279"/>
        <s v="WF_280"/>
        <s v="WF_281"/>
        <s v="WF_282"/>
        <s v="WF_283"/>
        <s v="WF_284"/>
        <s v="WF_285"/>
        <s v="WF_286"/>
        <s v="WF_287"/>
        <s v="WF_288"/>
        <s v="WF_289"/>
        <s v="WF_290"/>
        <s v="WF_291"/>
        <s v="WF_292"/>
        <s v="WF_293"/>
        <s v="WF_294"/>
        <s v="WF_295"/>
        <s v="WF_296"/>
        <s v="WF_297"/>
        <s v="WF_298"/>
        <s v="WF_299"/>
        <s v="WF_300"/>
        <s v="WF_301"/>
        <s v="WF_302"/>
        <s v="WF_303"/>
        <s v="WF_304"/>
        <s v="WF_305"/>
        <s v="WF_306"/>
        <s v="WF_307"/>
        <s v="WF_308"/>
        <s v="WF_309"/>
        <s v="WF_310"/>
        <s v="WF_311"/>
        <s v="WF_312"/>
        <s v="WF_313"/>
        <s v="WF_314"/>
        <s v="WF_315"/>
        <s v="WF_316"/>
        <s v="WF_317"/>
        <s v="WF_318"/>
        <s v="WF_319"/>
        <s v="WF_320"/>
        <s v="WF_321"/>
        <s v="WF_322"/>
        <s v="WF_323"/>
        <s v="WF_324"/>
        <s v="WF_325"/>
        <s v="WF_326"/>
        <s v="WF_327"/>
        <s v="WF_328"/>
        <s v="WF_329"/>
        <s v="WF_330"/>
        <s v="WF_331"/>
        <s v="WF_332"/>
        <s v="WF_333"/>
        <s v="WF_334"/>
        <s v="WF_335"/>
        <s v="WF_336"/>
        <s v="WF_337"/>
        <s v="WF_338"/>
        <s v="WF_339"/>
        <s v="WF_340"/>
        <s v="WF_341"/>
        <s v="WF_342"/>
        <s v="WF_343"/>
        <s v="WF_344"/>
        <s v="WF_345"/>
        <s v="WF_346"/>
        <s v="WF_347"/>
        <s v="WF_348"/>
        <s v="WF_349"/>
        <s v="WF_350"/>
        <s v="WF_351"/>
        <s v="WF_352"/>
        <s v="WF_353"/>
        <s v="WF_354"/>
        <s v="WF_355"/>
        <s v="WF_356"/>
        <s v="WF_357"/>
        <s v="WF_358"/>
        <s v="WF_359"/>
        <s v="WF_360"/>
        <s v="WF_361"/>
        <s v="WF_362"/>
        <s v="WF_363"/>
        <s v="WF_364"/>
        <s v="WF_365"/>
        <s v="WF_366"/>
        <s v="WF_367"/>
        <s v="WF_368"/>
        <s v="WF_369"/>
        <s v="WF_370"/>
        <s v="WF_371"/>
        <s v="WF_372"/>
        <s v="WF_373"/>
        <s v="WF_374"/>
        <s v="WF_375"/>
        <s v="WF_376"/>
        <s v="WF_377"/>
        <s v="WF_378"/>
        <s v="WF_379"/>
        <s v="WF_380"/>
        <s v="WF_381"/>
        <s v="WF_382"/>
        <s v="WF_383"/>
        <s v="WF_384"/>
        <s v="WF_385"/>
        <s v="WF_386"/>
        <s v="WF_387"/>
        <s v="WF_388"/>
        <s v="WF_389"/>
        <s v="WF_390"/>
        <s v="WF_391"/>
        <s v="WF_392"/>
        <s v="WF_393"/>
        <s v="WF_394"/>
        <s v="WF_395"/>
        <s v="WF_396"/>
        <s v="WF_397"/>
        <s v="WF_398"/>
        <s v="WF_399"/>
        <s v="WF_400"/>
        <s v="WF_401"/>
        <s v="WF_402"/>
        <s v="WF_403"/>
        <s v="WF_404"/>
        <s v="WF_405"/>
        <s v="WF_406"/>
        <s v="WF_407"/>
        <s v="WF_408"/>
        <s v="WF_409"/>
        <s v="WF_410"/>
        <s v="WF_411"/>
        <s v="WF_412"/>
        <s v="WF_413"/>
        <s v="WF_414"/>
        <s v="WF_415"/>
        <s v="WF_416"/>
        <s v="WF_417"/>
        <s v="WF_418"/>
        <s v="WF_419"/>
        <s v="WF_420"/>
        <s v="WF_421"/>
        <s v="WF_422"/>
        <s v="WF_423"/>
        <s v="WF_424"/>
        <s v="WF_425"/>
        <s v="WF_426"/>
        <s v="WF_427"/>
        <s v="WF_428"/>
        <s v="WF_429"/>
        <s v="WF_430"/>
        <s v="WF_431"/>
        <s v="WF_432"/>
        <s v="WF_433"/>
        <s v="WF_434"/>
        <s v="WF_435"/>
        <s v="WF_436"/>
        <s v="WF_437"/>
        <s v="WF_438"/>
        <s v="WF_439"/>
        <s v="WF_440"/>
        <s v="WF_441"/>
        <s v="WF_442"/>
        <s v="WF_443"/>
        <s v="WF_444"/>
        <s v="WF_445"/>
        <s v="WF_446"/>
        <s v="WF_447"/>
        <s v="WF_448"/>
        <s v="WF_449"/>
        <s v="WF_450"/>
        <s v="WF_451"/>
        <s v="WF_452"/>
        <s v="WF_453"/>
        <s v="WF_454"/>
        <s v="WF_455"/>
        <s v="WF_456"/>
        <s v="WF_457"/>
        <s v="WF_458"/>
        <s v="WF_459"/>
        <s v="WF_460"/>
        <s v="WF_461"/>
        <s v="WF_462"/>
        <s v="WF_463"/>
        <s v="WF_464"/>
        <s v="WF_465"/>
        <s v="WF_466"/>
        <s v="WF_467"/>
        <s v="WF_468"/>
        <s v="WF_469"/>
        <s v="WF_470"/>
        <s v="WF_471"/>
        <s v="WF_472"/>
        <s v="WF_473"/>
        <s v="WF_474"/>
        <s v="WF_475"/>
        <s v="WF_476"/>
        <s v="WF_477"/>
        <s v="WF_478"/>
        <s v="WF_479"/>
        <s v="WF_480"/>
        <s v="WF_481"/>
        <s v="WF_482"/>
        <s v="WF_483"/>
        <s v="WF_484"/>
        <s v="WF_485"/>
        <s v="WF_486"/>
        <s v="WF_487"/>
        <s v="WF_488"/>
        <s v="WF_489"/>
        <s v="WF_490"/>
        <s v="WF_491"/>
        <s v="WF_492"/>
        <s v="WF_493"/>
        <s v="WF_494"/>
        <s v="WF_495"/>
        <s v="WF_496"/>
        <s v="WF_497"/>
        <s v="WF_498"/>
        <s v="WF_499"/>
        <s v="WF_500"/>
        <s v="WF_501"/>
        <s v="WF_502"/>
        <s v="WF_503"/>
        <s v="WF_504"/>
        <s v="WF_505"/>
        <s v="WF_506"/>
        <s v="WF_507"/>
        <s v="WF_508"/>
        <s v="WF_509"/>
        <s v="WF_510"/>
        <s v="WF_511"/>
        <s v="WF_512"/>
        <s v="WF_513"/>
        <s v="WF_514"/>
        <s v="WF_515"/>
        <s v="WF_516"/>
        <s v="WF_517"/>
        <s v="WF_518"/>
        <s v="WF_519"/>
        <s v="WF_520"/>
        <s v="WF_521"/>
        <s v="WF_522"/>
        <s v="WF_523"/>
        <s v="WF_524"/>
        <s v="WF_525"/>
        <s v="WF_526"/>
        <s v="WF_527"/>
        <s v="WF_528"/>
        <s v="WF_529"/>
        <s v="WF_530"/>
        <s v="WF_531"/>
        <s v="WF_532"/>
        <s v="WF_533"/>
        <s v="WF_534"/>
        <s v="WF_535"/>
        <s v="WF_536"/>
        <s v="WF_537"/>
        <s v="WF_538"/>
        <s v="WF_539"/>
        <s v="WF_540"/>
        <s v="WF_541"/>
        <s v="WF_542"/>
        <s v="WF_543"/>
        <s v="WF_544"/>
        <s v="WF_545"/>
        <s v="WF_546"/>
        <s v="WF_547"/>
        <s v="WF_548"/>
        <s v="WF_549"/>
        <s v="WF_550"/>
        <s v="WF_551"/>
        <s v="WF_552"/>
        <s v="WF_553"/>
        <s v="WF_554"/>
        <s v="WF_555"/>
        <s v="WF_556"/>
        <s v="WF_557"/>
        <s v="WF_558"/>
        <s v="WF_559"/>
        <s v="WF_560"/>
        <s v="WF_561"/>
        <s v="WF_562"/>
        <s v="WF_563"/>
        <s v="WF_564"/>
        <s v="WF_565"/>
        <s v="WF_566"/>
        <s v="WF_567"/>
        <s v="WF_568"/>
        <s v="WF_569"/>
        <s v="WF_570"/>
        <s v="WF_571"/>
        <s v="WF_572"/>
        <s v="WF_573"/>
        <s v="WF_574"/>
        <s v="WF_575"/>
        <s v="WF_576"/>
        <s v="WF_577"/>
        <s v="WF_578"/>
        <s v="WF_579"/>
        <s v="WF_580"/>
        <s v="WF_581"/>
        <s v="WF_582"/>
        <s v="WF_583"/>
        <s v="WF_584"/>
        <s v="WF_585"/>
        <s v="WF_586"/>
        <s v="WF_587"/>
        <s v="WF_588"/>
        <s v="WF_589"/>
        <s v="WF_590"/>
        <s v="WF_591"/>
        <s v="WF_592"/>
        <s v="WF_593"/>
        <s v="WF_594"/>
        <s v="WF_595"/>
        <s v="WF_596"/>
        <s v="WF_597"/>
        <s v="WF_598"/>
        <s v="WF_599"/>
        <s v="WF_600"/>
        <s v="WF_601"/>
        <s v="WF_602"/>
        <s v="WF_603"/>
        <s v="WF_604"/>
        <s v="WF_605"/>
        <s v="WF_606"/>
        <s v="WF_607"/>
        <s v="WF_608"/>
        <s v="WF_609"/>
        <s v="WF_610"/>
        <s v="WF_611"/>
        <s v="WF_612"/>
        <s v="WF_613"/>
        <s v="WF_614"/>
        <s v="WF_615"/>
        <s v="WF_616"/>
        <s v="WF_617"/>
        <s v="WF_618"/>
        <s v="WF_619"/>
        <s v="WF_620"/>
        <s v="WF_621"/>
        <s v="WF_622"/>
        <s v="WF_623"/>
        <s v="WF_624"/>
        <s v="WF_625"/>
        <s v="WF_626"/>
        <s v="WF_627"/>
        <s v="WF_628"/>
        <s v="WF_629"/>
        <s v="WF_630"/>
        <s v="WF_631"/>
        <s v="WF_632"/>
        <s v="WF_633"/>
        <s v="WF_634"/>
        <s v="WF_635"/>
        <s v="WF_636"/>
        <s v="WF_637"/>
        <s v="WF_638"/>
        <s v="WF_639"/>
        <s v="WF_640"/>
        <s v="WF_641"/>
        <s v="WF_642"/>
        <s v="WF_643"/>
        <s v="WF_644"/>
        <s v="WF_645"/>
        <s v="WF_646"/>
        <s v="WF_647"/>
        <s v="WF_648"/>
        <s v="WF_649"/>
        <s v="WF_650"/>
        <s v="WF_651"/>
        <s v="WF_652"/>
        <s v="WF_653"/>
        <s v="WF_654"/>
        <s v="WF_655"/>
        <s v="WF_656"/>
        <s v="WF_657"/>
        <s v="WF_658"/>
        <s v="WF_659"/>
        <s v="WF_660"/>
        <s v="WF_661"/>
        <s v="WF_662"/>
        <s v="WF_663"/>
        <s v="WF_664"/>
        <s v="WF_665"/>
        <s v="WF_666"/>
        <s v="WF_667"/>
        <s v="WF_668"/>
        <s v="WF_669"/>
        <s v="WF_670"/>
        <s v="WF_671"/>
        <s v="WF_672"/>
        <s v="WF_673"/>
        <s v="WF_674"/>
        <s v="WF_675"/>
        <s v="WF_676"/>
        <s v="WF_677"/>
        <s v="WF_678"/>
        <s v="WF_679"/>
        <s v="WF_680"/>
        <s v="WF_681"/>
        <s v="WF_682"/>
        <s v="WF_683"/>
        <s v="WF_684"/>
        <s v="WF_685"/>
        <s v="WF_686"/>
        <s v="WF_687"/>
        <s v="WF_688"/>
        <s v="WF_689"/>
        <s v="WF_690"/>
        <s v="WF_691"/>
        <s v="WF_692"/>
        <s v="WF_693"/>
        <s v="WF_694"/>
        <s v="WF_695"/>
        <s v="WF_696"/>
        <s v="WF_697"/>
        <s v="WF_698"/>
        <s v="WF_699"/>
        <s v="WF_700"/>
        <s v="WF_701"/>
        <s v="WF_702"/>
        <s v="WF_703"/>
        <s v="WF_704"/>
        <s v="WF_705"/>
        <s v="WF_706"/>
        <s v="WF_707"/>
        <s v="WF_708"/>
        <s v="WF_709"/>
        <s v="WF_710"/>
        <s v="WF_711"/>
        <s v="WF_712"/>
        <s v="WF_713"/>
        <s v="WF_714"/>
        <s v="WF_715"/>
        <s v="WF_716"/>
        <s v="WF_717"/>
        <s v="WF_718"/>
        <s v="WF_719"/>
        <s v="WF_720"/>
        <s v="WF_721"/>
        <s v="WF_722"/>
        <s v="WF_723"/>
        <s v="WF_724"/>
        <s v="WF_725"/>
        <s v="WF_726"/>
        <s v="WF_727"/>
        <s v="WF_728"/>
        <s v="WF_729"/>
        <s v="WF_730"/>
        <s v="WF_731"/>
        <s v="WF_732"/>
        <s v="WF_733"/>
        <s v="WF_734"/>
        <s v="WF_735"/>
        <s v="WF_736"/>
        <s v="WF_737"/>
        <s v="WF_738"/>
        <s v="WF_739"/>
        <s v="WF_740"/>
        <s v="WF_741"/>
        <s v="WF_742"/>
        <s v="WF_743"/>
        <s v="WF_744"/>
        <s v="WF_745"/>
        <s v="WF_746"/>
        <s v="WF_747"/>
        <s v="WF_748"/>
        <s v="WF_749"/>
        <s v="WF_750"/>
        <s v="WF_751"/>
        <s v="WF_752"/>
        <s v="WF_753"/>
        <s v="WF_754"/>
        <s v="WF_755"/>
        <s v="WF_756"/>
        <s v="WF_757"/>
        <s v="WF_758"/>
        <s v="WF_759"/>
        <s v="WF_760"/>
        <s v="WF_761"/>
        <s v="WF_762"/>
        <s v="WF_763"/>
        <s v="WF_764"/>
        <s v="WF_765"/>
        <s v="WF_766"/>
        <s v="WF_767"/>
        <s v="WF_768"/>
        <s v="WF_769"/>
        <s v="WF_770"/>
        <s v="WF_771"/>
        <s v="WF_772"/>
        <s v="WF_773"/>
        <s v="WF_774"/>
        <s v="WF_775"/>
        <s v="WF_776"/>
        <s v="WF_777"/>
        <s v="WF_778"/>
        <s v="WF_779"/>
        <s v="WF_780"/>
        <s v="WF_781"/>
        <s v="WF_782"/>
        <s v="WF_783"/>
        <s v="WF_784"/>
        <s v="WF_785"/>
        <s v="WF_786"/>
        <s v="WF_787"/>
        <s v="WF_788"/>
        <s v="WF_789"/>
        <s v="WF_790"/>
        <s v="WF_791"/>
        <s v="WF_792"/>
        <s v="WF_793"/>
        <s v="WF_794"/>
        <s v="WF_795"/>
        <s v="WF_796"/>
        <s v="WF_797"/>
        <s v="WF_798"/>
        <s v="WF_799"/>
        <s v="WF_800"/>
        <s v="WF_801"/>
        <s v="WF_802"/>
        <s v="WF_803"/>
        <s v="WF_804"/>
        <s v="WF_805"/>
        <s v="WF_806"/>
        <s v="WF_807"/>
        <s v="WF_808"/>
        <s v="WF_809"/>
        <s v="WF_810"/>
        <s v="WF_811"/>
        <s v="WF_812"/>
        <s v="WF_813"/>
        <s v="WF_814"/>
        <s v="WF_815"/>
        <s v="WF_816"/>
        <s v="WF_817"/>
        <s v="WF_818"/>
        <s v="WF_819"/>
        <s v="WF_820"/>
        <s v="WF_821"/>
        <s v="WF_822"/>
        <s v="WF_823"/>
        <s v="WF_824"/>
        <s v="WF_825"/>
        <s v="WF_826"/>
        <s v="WF_827"/>
        <s v="WF_828"/>
        <s v="WF_829"/>
        <s v="WF_830"/>
        <s v="WF_831"/>
        <s v="WF_832"/>
        <s v="WF_833"/>
        <s v="WF_834"/>
        <s v="WF_835"/>
        <s v="WF_836"/>
        <s v="WF_837"/>
        <s v="WF_838"/>
        <s v="WF_839"/>
        <s v="WF_840"/>
        <s v="WF_841"/>
        <s v="WF_842"/>
        <s v="WF_843"/>
        <s v="WF_844"/>
        <s v="WF_845"/>
        <s v="WF_846"/>
        <s v="WF_847"/>
        <s v="WF_848"/>
        <s v="WF_849"/>
        <s v="WF_850"/>
        <s v="WF_851"/>
        <s v="WF_852"/>
        <s v="WF_853"/>
        <s v="WF_854"/>
        <s v="WF_855"/>
        <s v="WF_856"/>
        <s v="WF_857"/>
        <s v="WF_858"/>
        <s v="WF_859"/>
        <s v="WF_860"/>
        <s v="WF_861"/>
        <s v="WF_862"/>
        <s v="WF_863"/>
        <s v="WF_864"/>
        <s v="WF_865"/>
        <s v="WF_866"/>
        <s v="WF_867"/>
        <s v="WF_868"/>
        <s v="WF_869"/>
        <s v="WF_870"/>
        <s v="WF_871"/>
        <s v="WF_872"/>
        <s v="WF_873"/>
        <s v="WF_874"/>
        <s v="WF_875"/>
        <s v="WF_876"/>
        <s v="WF_877"/>
        <s v="WF_878"/>
        <s v="WF_879"/>
        <s v="WF_880"/>
        <s v="WF_881"/>
        <s v="WF_882"/>
        <s v="WF_883"/>
        <s v="WF_884"/>
        <s v="WF_885"/>
        <s v="WF_886"/>
        <s v="WF_887"/>
        <s v="WF_888"/>
        <s v="WF_889"/>
        <s v="WF_890"/>
        <s v="WF_891"/>
        <s v="WF_892"/>
        <s v="WF_893"/>
        <s v="WF_894"/>
        <s v="WF_895"/>
        <s v="WF_896"/>
        <s v="WF_897"/>
        <s v="WF_898"/>
        <s v="WF_899"/>
        <s v="WF_900"/>
        <s v="WF_901"/>
        <s v="WF_902"/>
        <s v="WF_903"/>
        <s v="WF_904"/>
        <s v="WF_905"/>
        <s v="WF_906"/>
        <s v="WF_907"/>
        <s v="WF_908"/>
        <s v="WF_909"/>
        <s v="WF_910"/>
        <s v="WF_911"/>
        <s v="WF_912"/>
        <s v="WF_913"/>
        <s v="WF_914"/>
        <s v="WF_915"/>
        <s v="WF_916"/>
        <s v="WF_917"/>
        <s v="WF_918"/>
        <s v="WF_919"/>
        <s v="WF_920"/>
        <s v="WF_921"/>
        <s v="WF_922"/>
        <s v="WF_923"/>
        <s v="WF_924"/>
        <s v="WF_925"/>
        <s v="WF_926"/>
        <s v="WF_927"/>
        <s v="WF_928"/>
        <s v="WF_929"/>
        <s v="WF_930"/>
        <s v="WF_931"/>
        <s v="WF_932"/>
        <s v="WF_933"/>
        <s v="WF_934"/>
        <s v="WF_935"/>
        <s v="WF_936"/>
        <s v="WF_937"/>
        <s v="WF_938"/>
        <s v="WF_939"/>
        <s v="WF_940"/>
        <s v="WF_941"/>
        <s v="WF_942"/>
        <s v="WF_943"/>
        <s v="WF_944"/>
        <s v="WF_945"/>
        <s v="WF_946"/>
        <s v="WF_947"/>
        <s v="WF_948"/>
        <s v="WF_949"/>
        <s v="WF_950"/>
        <s v="WF_951"/>
        <s v="WF_952"/>
        <s v="WF_953"/>
        <s v="WF_954"/>
        <s v="WF_955"/>
        <s v="WF_956"/>
        <s v="WF_957"/>
        <s v="WF_958"/>
        <s v="WF_959"/>
        <s v="WF_960"/>
        <s v="WF_961"/>
        <s v="WF_962"/>
        <s v="WF_963"/>
        <s v="WF_964"/>
        <s v="WF_965"/>
        <s v="WF_966"/>
        <s v="WF_967"/>
        <s v="WF_968"/>
        <s v="WF_969"/>
        <s v="WF_970"/>
        <s v="WF_971"/>
        <s v="WF_972"/>
        <s v="WF_973"/>
        <s v="WF_974"/>
        <s v="WF_975"/>
        <s v="WF_976"/>
        <s v="WF_977"/>
        <s v="WF_978"/>
        <s v="WF_979"/>
        <s v="WF_980"/>
        <s v="WF_981"/>
        <s v="WF_982"/>
        <s v="WF_983"/>
        <s v="WF_984"/>
        <s v="WF_985"/>
        <s v="WF_986"/>
        <s v="WF_987"/>
        <s v="WF_988"/>
        <s v="WF_989"/>
        <s v="WF_990"/>
        <s v="WF_991"/>
        <s v="WF_992"/>
        <s v="WF_993"/>
        <s v="WF_994"/>
        <s v="WF_995"/>
        <s v="WF_996"/>
        <s v="WF_997"/>
        <s v="WF_998"/>
        <s v="WF_999"/>
        <s v="WF_1000"/>
        <s v="WF_1001"/>
        <s v="WF_1002"/>
        <s v="WF_1003"/>
        <s v="WF_1004"/>
        <s v="WF_1005"/>
        <s v="WF_1006"/>
        <s v="WF_1007"/>
        <s v="WF_1008"/>
        <s v="WF_1009"/>
        <s v="WF_1010"/>
        <s v="WF_1011"/>
        <s v="WF_1012"/>
        <s v="WF_1013"/>
        <s v="WF_1014"/>
        <s v="WF_1015"/>
        <s v="WF_1016"/>
        <s v="WF_1017"/>
        <s v="WF_1018"/>
        <s v="WF_1019"/>
        <s v="WF_1020"/>
        <s v="WF_1021"/>
        <s v="WF_1022"/>
        <s v="WF_1023"/>
        <s v="WF_1024"/>
        <s v="WF_1025"/>
        <s v="WF_1026"/>
        <s v="WF_1027"/>
        <s v="WF_1028"/>
        <s v="WF_1029"/>
        <s v="WF_1030"/>
        <s v="WF_1031"/>
        <s v="WF_1032"/>
        <s v="WF_1033"/>
        <s v="WF_1034"/>
        <s v="WF_1035"/>
        <s v="WF_1036"/>
        <s v="WF_1037"/>
        <s v="WF_1038"/>
        <s v="WF_1039"/>
        <s v="WF_1040"/>
        <s v="WF_1041"/>
        <s v="WF_1042"/>
        <s v="WF_1043"/>
        <s v="WF_1044"/>
        <s v="WF_1045"/>
        <s v="WF_1046"/>
        <s v="WF_1047"/>
        <s v="WF_1048"/>
        <s v="WF_1049"/>
        <s v="WF_1050"/>
        <s v="WF_1051"/>
        <s v="WF_1052"/>
        <s v="WF_1053"/>
        <s v="WF_1054"/>
        <s v="WF_1055"/>
        <s v="WF_1056"/>
        <s v="WF_1057"/>
        <s v="WF_1058"/>
        <s v="WF_1059"/>
        <s v="WF_1060"/>
        <s v="WF_1061"/>
        <s v="WF_1062"/>
        <s v="WF_1063"/>
        <s v="WF_1064"/>
        <s v="WF_1065"/>
        <s v="WF_1066"/>
        <s v="WF_1067"/>
        <s v="WF_1068"/>
        <s v="WF_1069"/>
        <s v="WF_1070"/>
        <s v="WF_1071"/>
        <s v="WF_1072"/>
        <s v="WF_1073"/>
        <s v="WF_1074"/>
        <s v="WF_1075"/>
        <s v="WF_1076"/>
        <s v="WF_1077"/>
        <s v="WF_1078"/>
        <s v="WF_1079"/>
        <s v="WF_1080"/>
        <s v="WF_1081"/>
        <s v="WF_1082"/>
        <s v="WF_1083"/>
        <s v="WF_1084"/>
        <s v="WF_1085"/>
        <s v="WF_1086"/>
        <s v="WF_1087"/>
        <s v="WF_1088"/>
        <s v="WF_1089"/>
        <s v="WF_1090"/>
        <s v="WF_1091"/>
        <s v="WF_1092"/>
        <s v="WF_1093"/>
        <s v="WF_1094"/>
        <s v="WF_1095"/>
        <s v="WF_1096"/>
        <s v="WF_1097"/>
        <s v="WF_1098"/>
        <s v="WF_1099"/>
        <s v="WF_1100"/>
        <s v="WF_1101"/>
        <s v="WF_1102"/>
        <s v="WF_1103"/>
        <s v="WF_1104"/>
        <s v="WF_1105"/>
        <s v="WF_1106"/>
        <s v="WF_1107"/>
        <s v="WF_1108"/>
        <s v="WF_1109"/>
        <s v="WF_1110"/>
        <s v="WF_1111"/>
        <s v="WF_1112"/>
        <s v="WF_1113"/>
        <s v="WF_1114"/>
        <s v="WF_1115"/>
        <s v="WF_1116"/>
        <s v="WF_1117"/>
        <s v="WF_1118"/>
        <s v="WF_1119"/>
        <s v="WF_1120"/>
        <s v="WF_1121"/>
        <s v="WF_1122"/>
        <s v="WF_1123"/>
        <s v="WF_1124"/>
        <s v="WF_1125"/>
        <s v="WF_1126"/>
        <s v="WF_1127"/>
        <s v="WF_1128"/>
        <s v="WF_1129"/>
        <s v="WF_1130"/>
        <s v="WF_1131"/>
        <s v="WF_1132"/>
        <s v="WF_1133"/>
        <s v="WF_1134"/>
        <s v="WF_1135"/>
        <s v="WF_1136"/>
        <s v="WF_1137"/>
        <s v="WF_1138"/>
        <s v="WF_1139"/>
        <s v="WF_1140"/>
        <s v="WF_1141"/>
        <s v="WF_1142"/>
        <s v="WF_1143"/>
        <s v="WF_1144"/>
        <s v="WF_1145"/>
        <s v="WF_1146"/>
        <s v="WF_1147"/>
        <s v="WF_1148"/>
        <s v="WF_1149"/>
        <s v="WF_1150"/>
        <s v="WF_1151"/>
        <s v="WF_1152"/>
        <s v="WF_1153"/>
        <s v="WF_1154"/>
        <s v="WF_1155"/>
        <s v="WF_1156"/>
        <s v="WF_1157"/>
        <s v="WF_1158"/>
        <s v="WF_1159"/>
        <s v="WF_1160"/>
        <s v="WF_1161"/>
        <s v="WF_1162"/>
        <s v="WF_1163"/>
        <s v="WF_1164"/>
        <s v="WF_1165"/>
        <s v="WF_1166"/>
        <s v="WF_1167"/>
        <s v="WF_1168"/>
        <s v="WF_1169"/>
        <s v="WF_1170"/>
        <s v="WF_1171"/>
        <s v="WF_1172"/>
        <s v="WF_1173"/>
        <s v="WF_1174"/>
        <s v="WF_1175"/>
        <s v="WF_1176"/>
        <s v="WF_1177"/>
        <s v="WF_1178"/>
        <s v="WF_1179"/>
        <s v="WF_1180"/>
        <s v="WF_1181"/>
        <s v="WF_1182"/>
        <s v="WF_1183"/>
        <s v="WF_1184"/>
        <s v="WF_1185"/>
        <s v="WF_1186"/>
        <s v="WF_1187"/>
        <s v="WF_1188"/>
        <s v="WF_1189"/>
        <s v="WF_1190"/>
        <s v="WF_1191"/>
        <s v="WF_1192"/>
        <s v="WF_1193"/>
        <s v="WF_1194"/>
        <s v="WF_1195"/>
        <s v="WF_1196"/>
        <s v="WF_1197"/>
        <s v="WF_1198"/>
        <s v="WF_1199"/>
        <s v="WF_1200"/>
        <s v="WF_1201"/>
        <s v="WF_1202"/>
        <s v="WF_1203"/>
        <s v="WF_1204"/>
        <s v="WF_1205"/>
        <s v="WF_1206"/>
        <s v="WF_1207"/>
        <s v="WF_1208"/>
        <s v="WF_1209"/>
        <s v="WF_1210"/>
        <s v="WF_1211"/>
        <s v="WF_1212"/>
        <s v="WF_1213"/>
        <s v="WF_1214"/>
        <s v="WF_1215"/>
        <s v="WF_1216"/>
        <s v="WF_1217"/>
        <s v="WF_1218"/>
        <s v="WF_1219"/>
        <s v="WF_1220"/>
        <s v="WF_1221"/>
        <s v="WF_1222"/>
        <s v="WF_1223"/>
        <s v="WF_1224"/>
        <s v="WF_1225"/>
        <s v="WF_1226"/>
        <s v="WF_1227"/>
        <s v="WF_1228"/>
        <s v="WF_1229"/>
        <s v="WF_1230"/>
        <s v="WF_1231"/>
        <s v="WF_1232"/>
        <s v="WF_1233"/>
        <s v="WF_1234"/>
        <s v="WF_1235"/>
        <s v="WF_1236"/>
        <s v="WF_1237"/>
        <s v="WF_1238"/>
        <s v="WF_1239"/>
        <s v="WF_1240"/>
        <s v="WF_1241"/>
        <s v="WF_1242"/>
        <s v="WF_1243"/>
        <s v="WF_1244"/>
        <s v="WF_1245"/>
        <s v="WF_1246"/>
        <s v="WF_1247"/>
        <s v="WF_1248"/>
        <s v="WF_1249"/>
        <s v="WF_1250"/>
        <s v="WF_1251"/>
        <s v="WF_1252"/>
        <s v="WF_1253"/>
        <s v="WF_1254"/>
        <s v="WF_1255"/>
        <s v="WF_1256"/>
        <s v="WF_1257"/>
        <s v="WF_1258"/>
        <s v="WF_1259"/>
        <s v="WF_1260"/>
        <s v="WF_1261"/>
        <s v="WF_1262"/>
        <s v="WF_1263"/>
        <s v="WF_1264"/>
        <s v="WF_1265"/>
        <s v="WF_1266"/>
        <s v="WF_1267"/>
        <s v="WF_1268"/>
        <s v="WF_1269"/>
        <s v="WF_1270"/>
        <s v="WF_1271"/>
        <s v="WF_1272"/>
        <s v="WF_1273"/>
        <s v="WF_1274"/>
        <s v="WF_1275"/>
        <s v="WF_1276"/>
        <s v="WF_1277"/>
        <s v="WF_1278"/>
        <s v="WF_1279"/>
        <s v="WF_1280"/>
        <s v="WF_1281"/>
        <s v="WF_1282"/>
        <s v="WF_1283"/>
        <s v="WF_1284"/>
        <s v="WF_1285"/>
        <s v="WF_1286"/>
        <s v="WF_1287"/>
        <s v="WF_1288"/>
        <s v="WF_1289"/>
        <s v="WF_1290"/>
        <s v="WF_1291"/>
        <s v="WF_1292"/>
        <s v="WF_1293"/>
        <s v="WF_1294"/>
        <s v="WF_1295"/>
        <s v="WF_1296"/>
        <s v="WF_1297"/>
        <s v="WF_1298"/>
        <s v="WF_1299"/>
        <s v="WF_1300"/>
        <s v="WF_1301"/>
        <s v="WF_1302"/>
        <s v="WF_1303"/>
        <s v="WF_1304"/>
        <s v="WF_1305"/>
        <s v="WF_1306"/>
        <s v="WF_1307"/>
        <s v="WF_1308"/>
        <s v="WF_1309"/>
        <s v="WF_1310"/>
        <s v="WF_1311"/>
        <s v="WF_1312"/>
        <s v="WF_1313"/>
        <s v="WF_1314"/>
        <s v="WF_1315"/>
        <s v="WF_1316"/>
        <s v="WF_1317"/>
        <s v="WF_1318"/>
        <s v="WF_1319"/>
        <s v="WF_1320"/>
        <s v="WF_1321"/>
        <s v="WF_1322"/>
        <s v="WF_1323"/>
        <s v="WF_1324"/>
        <s v="WF_1325"/>
        <s v="WF_1326"/>
        <s v="WF_1327"/>
        <s v="WF_1328"/>
        <s v="WF_1329"/>
        <s v="WF_1330"/>
        <s v="WF_1331"/>
        <s v="WF_1332"/>
        <s v="WF_1333"/>
        <s v="WF_1334"/>
        <s v="WF_1335"/>
        <s v="WF_1336"/>
        <s v="WF_1337"/>
        <s v="WF_1338"/>
        <s v="WF_1339"/>
        <s v="WF_1340"/>
        <s v="WF_1341"/>
        <s v="WF_1342"/>
        <s v="WF_1343"/>
        <s v="WF_1344"/>
        <s v="WF_1345"/>
        <s v="WF_1346"/>
        <s v="WF_1347"/>
        <s v="WF_1348"/>
        <s v="WF_1349"/>
        <s v="WF_1350"/>
        <s v="WF_1351"/>
        <s v="WF_1352"/>
        <s v="WF_1353"/>
        <s v="WF_1354"/>
        <s v="WF_1355"/>
        <s v="WF_1356"/>
        <s v="WF_1357"/>
        <s v="WF_1358"/>
        <s v="WF_1359"/>
        <s v="WF_1360"/>
        <s v="WF_1361"/>
        <s v="WF_1362"/>
        <s v="WF_1363"/>
        <s v="WF_1364"/>
        <s v="WF_1365"/>
        <s v="WF_1366"/>
        <s v="WF_1367"/>
        <s v="WF_1368"/>
        <s v="WF_1369"/>
        <s v="WF_1370"/>
        <s v="WF_1371"/>
        <s v="WF_1372"/>
        <s v="WF_1373"/>
        <s v="WF_1374"/>
        <s v="WF_1375"/>
        <s v="WF_1376"/>
        <s v="WF_1377"/>
        <s v="WF_1378"/>
        <s v="WF_1379"/>
        <s v="WF_1380"/>
        <s v="WF_1381"/>
        <s v="WF_1382"/>
        <s v="WF_1383"/>
        <s v="WF_1384"/>
        <s v="WF_1385"/>
        <s v="WF_1386"/>
        <s v="WF_1387"/>
        <s v="WF_1388"/>
        <s v="WF_1389"/>
        <s v="WF_1390"/>
        <s v="WF_1391"/>
        <s v="WF_1392"/>
        <s v="WF_1393"/>
        <s v="WF_1394"/>
        <s v="WF_1395"/>
        <s v="WF_1396"/>
        <s v="WF_1397"/>
        <s v="WF_1398"/>
        <s v="WF_1399"/>
        <s v="WF_1400"/>
        <s v="WF_1401"/>
        <s v="WF_1402"/>
        <s v="WF_1403"/>
        <s v="WF_1404"/>
        <s v="WF_1405"/>
        <s v="WF_1406"/>
        <s v="WF_1407"/>
        <s v="WF_1408"/>
        <s v="WF_1409"/>
        <s v="WF_1410"/>
        <s v="WF_1411"/>
        <s v="WF_1412"/>
        <s v="WF_1413"/>
        <s v="WF_1414"/>
        <s v="WF_1415"/>
        <s v="WF_1416"/>
        <s v="WF_1417"/>
        <s v="WF_1418"/>
        <s v="WF_1419"/>
        <s v="WF_1420"/>
        <s v="WF_1421"/>
        <s v="WF_1422"/>
        <s v="WF_1423"/>
        <s v="WF_1424"/>
        <s v="WF_1425"/>
        <s v="WF_1426"/>
        <s v="WF_1427"/>
        <s v="WF_1428"/>
        <s v="WF_1429"/>
        <s v="WF_1430"/>
        <s v="WF_1431"/>
        <s v="WF_1432"/>
        <s v="WF_1433"/>
        <s v="WF_1434"/>
        <s v="WF_1435"/>
        <s v="WF_1436"/>
        <s v="WF_1437"/>
        <s v="WF_1438"/>
        <s v="WF_1439"/>
        <s v="WF_1440"/>
        <s v="WF_1441"/>
        <s v="WF_1442"/>
        <s v="WF_1443"/>
        <s v="WF_1444"/>
        <s v="WF_1445"/>
        <s v="WF_1446"/>
        <s v="WF_1447"/>
        <s v="WF_1448"/>
        <s v="WF_1449"/>
        <s v="WF_1450"/>
        <s v="WF_1451"/>
        <s v="WF_1452"/>
        <s v="WF_1453"/>
        <s v="WF_1454"/>
        <s v="WF_1455"/>
        <s v="WF_1456"/>
        <s v="WF_1457"/>
        <s v="WF_1458"/>
        <s v="WF_1459"/>
        <s v="WF_1460"/>
        <s v="WF_1461"/>
        <s v="WF_1462"/>
        <s v="WF_1463"/>
        <s v="WF_1464"/>
        <s v="WF_1465"/>
        <s v="WF_1466"/>
        <s v="WF_1467"/>
        <s v="WF_1468"/>
        <s v="WF_1469"/>
        <s v="WF_1470"/>
        <s v="WF_1471"/>
        <s v="WF_1472"/>
        <s v="WF_1473"/>
        <s v="WF_1474"/>
        <s v="WF_1475"/>
        <s v="WF_1476"/>
        <s v="WF_1477"/>
        <s v="WF_1478"/>
        <s v="WF_1479"/>
        <s v="WF_1480"/>
        <s v="WF_1481"/>
        <s v="WF_1482"/>
        <s v="WF_1483"/>
        <s v="WF_1484"/>
        <s v="WF_1485"/>
        <s v="WF_1486"/>
        <s v="WF_1487"/>
        <s v="WF_1488"/>
        <s v="WF_1489"/>
        <s v="WF_1490"/>
        <s v="WF_1491"/>
        <s v="WF_1492"/>
        <s v="WF_1493"/>
        <s v="WF_1494"/>
        <s v="WF_1495"/>
        <s v="WF_1496"/>
        <s v="WF_1497"/>
        <s v="WF_1498"/>
        <s v="WF_1499"/>
        <s v="WF_1500"/>
        <s v="WF_1501"/>
        <s v="WF_1502"/>
        <s v="WF_1503"/>
        <s v="WF_1504"/>
        <s v="WF_1505"/>
        <s v="WF_1506"/>
        <s v="WF_1507"/>
        <s v="WF_1508"/>
        <s v="WF_1509"/>
        <s v="WF_1510"/>
        <s v="WF_1511"/>
        <s v="WF_1512"/>
        <s v="WF_1513"/>
        <s v="WF_1514"/>
        <s v="WF_1515"/>
        <s v="WF_1516"/>
        <s v="WF_1517"/>
        <s v="WF_1518"/>
        <s v="WF_1519"/>
        <s v="WF_1520"/>
        <s v="WF_1521"/>
        <s v="WF_1522"/>
        <s v="WF_1523"/>
        <s v="WF_1524"/>
        <s v="WF_1525"/>
        <s v="WF_1526"/>
        <s v="WF_1527"/>
        <s v="WF_1528"/>
        <s v="WF_1529"/>
        <s v="WF_1530"/>
        <s v="WF_1531"/>
        <s v="WF_1532"/>
        <s v="WF_1533"/>
        <s v="WF_1534"/>
        <s v="WF_1535"/>
        <s v="WF_1536"/>
        <s v="WF_1537"/>
        <s v="WF_1538"/>
        <s v="WF_1539"/>
        <s v="WF_1540"/>
        <s v="WF_1541"/>
        <s v="WF_1542"/>
        <s v="WF_1543"/>
        <s v="WF_1544"/>
        <s v="WF_1545"/>
        <s v="WF_1546"/>
        <s v="WF_1547"/>
        <s v="WF_1548"/>
        <s v="WF_1549"/>
        <s v="WF_1550"/>
        <s v="WF_1551"/>
        <s v="WF_1552"/>
        <s v="WF_1553"/>
        <s v="WF_1554"/>
        <s v="WF_1555"/>
        <s v="WF_1556"/>
        <s v="WF_1557"/>
        <s v="WF_1558"/>
        <s v="WF_1559"/>
        <s v="WF_1560"/>
        <s v="WF_1561"/>
        <s v="WF_1562"/>
        <s v="WF_1563"/>
        <s v="WF_1564"/>
        <s v="WF_1565"/>
        <s v="WF_1566"/>
        <s v="WF_1567"/>
        <s v="WF_1568"/>
        <s v="WF_1569"/>
        <s v="WF_1570"/>
        <s v="WF_1571"/>
        <s v="WF_1572"/>
        <s v="WF_1573"/>
        <s v="WF_1574"/>
        <s v="WF_1575"/>
        <s v="WF_1576"/>
        <s v="WF_1577"/>
        <s v="WF_1578"/>
        <s v="WF_1579"/>
        <s v="WF_1580"/>
        <s v="WF_1581"/>
        <s v="WF_1582"/>
        <s v="WF_1583"/>
        <s v="WF_1584"/>
        <s v="WF_1585"/>
        <s v="WF_1586"/>
        <s v="WF_1587"/>
        <s v="WF_1588"/>
        <s v="WF_1589"/>
        <s v="WF_1590"/>
        <s v="WF_1591"/>
        <s v="WF_1592"/>
        <s v="WF_1593"/>
        <s v="WF_1594"/>
        <s v="WF_1595"/>
        <s v="WF_1596"/>
        <s v="WF_1597"/>
        <s v="WF_1598"/>
        <s v="WF_1599"/>
        <s v="WF_1600"/>
        <s v="WF_1601"/>
        <s v="WF_1602"/>
        <s v="WF_1603"/>
        <s v="WF_1604"/>
        <s v="WF_1605"/>
        <s v="WF_1606"/>
        <s v="WF_1607"/>
        <s v="WF_1608"/>
        <s v="WF_1609"/>
        <s v="WF_1610"/>
        <s v="WF_1611"/>
        <s v="WF_1612"/>
        <s v="WF_1613"/>
        <s v="WF_1614"/>
        <s v="WF_1615"/>
        <s v="WF_1616"/>
        <s v="WF_1617"/>
        <s v="WF_1618"/>
        <s v="WF_1619"/>
        <s v="WF_1620"/>
        <s v="WF_1621"/>
        <s v="WF_1622"/>
        <s v="WF_1623"/>
        <s v="WF_1624"/>
        <s v="WF_1625"/>
        <s v="WF_1626"/>
        <s v="WF_1627"/>
        <s v="WF_1628"/>
        <s v="WF_1629"/>
        <s v="WF_1630"/>
        <s v="WF_1631"/>
        <s v="WF_1632"/>
        <s v="WF_1633"/>
        <s v="WF_1634"/>
        <s v="WF_1635"/>
        <s v="WF_1636"/>
        <s v="WF_1637"/>
        <s v="WF_1638"/>
        <s v="WF_1639"/>
        <s v="WF_1640"/>
        <s v="WF_1641"/>
        <s v="WF_1642"/>
        <s v="WF_1643"/>
        <s v="WF_1644"/>
        <s v="WF_1645"/>
        <s v="WF_1646"/>
        <s v="WF_1647"/>
        <s v="WF_1648"/>
        <s v="WF_1649"/>
        <s v="WF_1650"/>
        <s v="WF_1651"/>
        <s v="WF_1652"/>
        <s v="WF_1653"/>
        <s v="WF_1654"/>
        <s v="WF_1655"/>
        <s v="WF_1656"/>
        <s v="WF_1657"/>
        <s v="WF_1658"/>
        <s v="WF_1659"/>
        <s v="WF_1660"/>
        <s v="WF_1661"/>
        <s v="WF_1662"/>
        <s v="WF_1663"/>
        <s v="WF_1664"/>
        <s v="WF_1665"/>
        <s v="WF_1666"/>
        <s v="WF_1667"/>
        <s v="WF_1668"/>
        <s v="WF_1669"/>
        <s v="WF_1670"/>
        <s v="WF_1671"/>
        <s v="WF_1672"/>
        <s v="WF_1673"/>
        <s v="WF_1674"/>
        <s v="WF_1675"/>
        <s v="WF_1676"/>
        <s v="WF_1677"/>
        <s v="WF_1678"/>
        <s v="WF_1679"/>
        <s v="WF_1680"/>
        <s v="WF_1681"/>
        <s v="WF_1682"/>
        <s v="WF_1683"/>
        <s v="WF_1684"/>
        <s v="WF_1685"/>
        <s v="WF_1686"/>
        <s v="WF_1687"/>
        <s v="WF_1688"/>
        <s v="WF_1689"/>
        <s v="WF_1690"/>
        <s v="WF_1691"/>
        <s v="WF_1692"/>
        <s v="WF_1693"/>
        <s v="WF_1694"/>
        <s v="WF_1695"/>
        <s v="WF_1696"/>
        <s v="WF_1697"/>
        <s v="WF_1698"/>
        <s v="WF_1699"/>
        <s v="WF_1700"/>
        <s v="WF_1701"/>
        <s v="WF_1702"/>
        <s v="WF_1703"/>
        <s v="WF_1704"/>
        <s v="WF_1705"/>
        <s v="WF_1706"/>
        <s v="WF_1707"/>
        <s v="WF_1708"/>
        <s v="WF_1709"/>
        <s v="WF_1710"/>
        <s v="WF_1711"/>
        <s v="WF_1712"/>
        <s v="WF_1713"/>
        <s v="WF_1714"/>
        <s v="WF_1715"/>
        <s v="WF_1716"/>
        <s v="WF_1717"/>
        <s v="WF_1718"/>
        <s v="WF_1719"/>
        <s v="WF_1720"/>
        <s v="WF_1721"/>
        <s v="WF_1722"/>
        <s v="WF_1723"/>
        <s v="WF_1724"/>
        <s v="WF_1725"/>
        <s v="WF_1726"/>
        <s v="WF_1727"/>
        <s v="WF_1728"/>
        <s v="WF_1729"/>
        <s v="WF_1730"/>
        <s v="WF_1731"/>
        <s v="WF_1732"/>
        <s v="WF_1733"/>
        <s v="WF_1734"/>
        <s v="WF_1735"/>
        <s v="WF_1736"/>
        <s v="WF_1737"/>
        <s v="WF_1738"/>
        <s v="WF_1739"/>
        <s v="WF_1740"/>
        <s v="WF_1741"/>
        <s v="WF_1742"/>
        <s v="WF_1743"/>
        <s v="WF_1744"/>
        <s v="WF_1745"/>
        <s v="WF_1746"/>
        <s v="WF_1747"/>
        <s v="WF_1748"/>
        <s v="WF_1749"/>
        <s v="WF_1750"/>
        <s v="WF_1751"/>
        <s v="WF_1752"/>
        <s v="WF_1753"/>
        <s v="WF_1754"/>
        <s v="WF_1755"/>
        <s v="WF_1756"/>
        <s v="WF_1757"/>
        <s v="WF_1758"/>
        <s v="WF_1759"/>
        <s v="WF_1760"/>
        <s v="WF_1761"/>
        <s v="WF_1762"/>
        <s v="WF_1763"/>
        <s v="WF_1764"/>
        <s v="WF_1765"/>
        <s v="WF_1766"/>
        <s v="WF_1767"/>
        <s v="WF_1768"/>
        <s v="WF_1769"/>
        <s v="WF_1770"/>
        <s v="WF_1771"/>
        <s v="WF_1772"/>
        <s v="WF_1773"/>
        <s v="WF_1774"/>
        <s v="WF_1775"/>
        <s v="WF_1776"/>
        <s v="WF_1777"/>
        <s v="WF_1778"/>
        <s v="WF_1779"/>
        <s v="WF_1780"/>
        <s v="WF_1781"/>
        <s v="WF_1782"/>
        <s v="WF_1783"/>
        <s v="WF_1784"/>
        <s v="WF_1785"/>
        <s v="WF_1786"/>
        <s v="WF_1787"/>
        <s v="WF_1788"/>
        <s v="WF_1789"/>
        <s v="WF_1790"/>
        <s v="WF_1791"/>
        <s v="WF_1792"/>
        <s v="WF_1793"/>
        <s v="WF_1794"/>
        <s v="WF_1795"/>
        <s v="WF_1796"/>
        <s v="WF_1797"/>
        <s v="WF_1798"/>
        <s v="WF_1799"/>
        <s v="WF_1800"/>
        <s v="WF_1801"/>
        <s v="WF_1802"/>
        <s v="WF_1803"/>
        <s v="WF_1804"/>
        <s v="WF_1805"/>
        <s v="WF_1806"/>
        <s v="WF_1807"/>
        <s v="WF_1808"/>
        <s v="WF_1809"/>
        <s v="WF_1810"/>
        <s v="WF_1811"/>
        <s v="WF_1812"/>
        <s v="WF_1813"/>
        <s v="WF_1814"/>
        <s v="WF_1815"/>
        <s v="WF_1816"/>
        <s v="WF_1817"/>
        <s v="WF_1818"/>
        <s v="WF_1819"/>
        <s v="WF_1820"/>
        <s v="WF_1821"/>
        <s v="WF_1822"/>
        <s v="WF_1823"/>
        <s v="WF_1824"/>
        <s v="WF_1825"/>
        <s v="WF_1826"/>
        <s v="WF_1827"/>
        <s v="WF_1828"/>
        <s v="WF_1829"/>
        <s v="WF_1830"/>
        <s v="WF_1831"/>
        <s v="WF_1832"/>
        <s v="WF_1833"/>
        <s v="WF_1834"/>
        <s v="WF_1835"/>
        <s v="WF_1836"/>
        <s v="WF_1837"/>
        <s v="WF_1838"/>
        <s v="WF_1839"/>
        <s v="WF_1840"/>
        <s v="WF_1841"/>
        <s v="WF_1842"/>
        <s v="WF_1843"/>
        <s v="WF_1844"/>
        <s v="WF_1845"/>
        <s v="WF_1846"/>
        <s v="WF_1847"/>
        <s v="WF_1848"/>
        <s v="WF_1849"/>
        <s v="WF_1850"/>
        <s v="WF_1851"/>
        <s v="WF_1852"/>
        <s v="WF_1853"/>
        <s v="WF_1854"/>
        <s v="WF_1855"/>
        <s v="WF_1856"/>
        <s v="WF_1857"/>
        <s v="WF_1858"/>
        <s v="WF_1859"/>
        <s v="WF_1860"/>
        <s v="WF_1861"/>
        <s v="WF_1862"/>
        <s v="WF_1863"/>
        <s v="WF_1864"/>
        <s v="WF_1865"/>
        <s v="WF_1866"/>
        <s v="WF_1867"/>
        <s v="WF_1868"/>
        <s v="WF_1869"/>
        <s v="WF_1870"/>
        <s v="WF_1871"/>
        <s v="WF_1872"/>
        <s v="WF_1873"/>
        <s v="WF_1874"/>
        <s v="WF_1875"/>
        <s v="WF_1876"/>
        <s v="WF_1877"/>
        <s v="WF_1878"/>
        <s v="WF_1879"/>
        <s v="WF_1880"/>
        <s v="WF_1881"/>
        <s v="WF_1882"/>
        <s v="WF_1883"/>
        <s v="WF_1884"/>
        <s v="WF_1885"/>
        <s v="WF_1886"/>
        <s v="WF_1887"/>
        <s v="WF_1888"/>
        <s v="WF_1889"/>
        <s v="WF_1890"/>
        <s v="WF_1891"/>
        <s v="WF_1892"/>
        <s v="WF_1893"/>
        <s v="WF_1894"/>
        <s v="WF_1895"/>
        <s v="WF_1896"/>
        <s v="WF_1897"/>
        <s v="WF_1898"/>
        <s v="WF_1899"/>
        <s v="WF_1900"/>
        <s v="WF_1901"/>
        <s v="WF_1902"/>
        <s v="WF_1903"/>
        <s v="WF_1904"/>
        <s v="WF_1905"/>
        <s v="WF_1906"/>
        <s v="WF_1907"/>
        <s v="WF_1908"/>
        <s v="WF_1909"/>
        <s v="WF_1910"/>
        <s v="WF_1911"/>
        <s v="WF_1912"/>
        <s v="WF_1913"/>
        <s v="WF_1914"/>
        <s v="WF_1915"/>
        <s v="WF_1916"/>
        <s v="WF_1917"/>
        <s v="WF_1918"/>
        <s v="WF_1919"/>
        <s v="WF_1920"/>
        <s v="WF_1921"/>
        <s v="WF_1922"/>
        <s v="WF_1923"/>
        <s v="WF_1924"/>
        <s v="WF_1925"/>
        <s v="WF_1926"/>
        <s v="WF_1927"/>
        <s v="WF_1928"/>
        <s v="WF_1929"/>
        <s v="WF_1930"/>
        <s v="WF_1931"/>
        <s v="WF_1932"/>
        <s v="WF_1933"/>
        <s v="WF_1934"/>
        <s v="WF_1935"/>
        <s v="WF_1936"/>
        <s v="WF_1937"/>
        <s v="WF_1938"/>
        <s v="WF_1939"/>
        <s v="WF_1940"/>
        <s v="WF_1941"/>
        <s v="WF_1942"/>
        <s v="WF_1943"/>
        <s v="WF_1944"/>
        <s v="WF_1945"/>
        <s v="WF_1946"/>
        <s v="WF_1947"/>
        <s v="WF_1948"/>
        <s v="WF_1949"/>
        <s v="WF_1950"/>
        <s v="WF_1951"/>
        <s v="WF_1952"/>
        <s v="WF_1953"/>
        <s v="WF_1954"/>
        <s v="WF_1955"/>
        <s v="WF_1956"/>
        <s v="WF_1957"/>
        <s v="WF_1958"/>
        <s v="WF_1959"/>
        <s v="WF_1960"/>
        <s v="WF_1961"/>
        <s v="WF_1962"/>
        <s v="WF_1963"/>
        <s v="WF_1964"/>
        <s v="WF_1965"/>
        <s v="WF_1966"/>
        <s v="WF_1967"/>
        <s v="WF_1968"/>
        <s v="WF_1969"/>
        <s v="WF_1970"/>
        <s v="WF_1971"/>
        <s v="WF_1972"/>
        <s v="WF_1973"/>
        <s v="WF_1974"/>
        <s v="WF_1975"/>
        <s v="WF_1976"/>
        <s v="WF_1977"/>
        <s v="WF_1978"/>
        <s v="WF_1979"/>
        <s v="WF_1980"/>
        <s v="WF_1981"/>
        <s v="WF_1982"/>
        <s v="WF_1983"/>
        <s v="WF_1984"/>
        <s v="WF_1985"/>
        <s v="WF_1986"/>
        <s v="WF_1987"/>
        <s v="WF_1988"/>
        <s v="WF_1989"/>
        <s v="WF_1990"/>
        <s v="WF_1991"/>
        <s v="WF_1992"/>
        <s v="WF_1993"/>
        <s v="WF_1994"/>
        <s v="WF_1995"/>
        <s v="WF_1996"/>
        <s v="WF_1997"/>
        <s v="WF_1998"/>
        <s v="WF_1999"/>
        <s v="WF_2000"/>
        <s v="WF_2001"/>
        <s v="WF_2002"/>
        <s v="WF_2003"/>
        <s v="WF_2004"/>
        <s v="WF_2005"/>
        <s v="WF_2006"/>
        <s v="WF_2007"/>
        <s v="WF_2008"/>
        <s v="WF_2009"/>
        <s v="WF_2010"/>
        <s v="WF_2011"/>
        <s v="WF_2012"/>
        <s v="WF_2013"/>
        <s v="WF_2014"/>
        <s v="WF_2015"/>
        <s v="WF_2016"/>
        <s v="WF_2017"/>
        <s v="WF_2018"/>
        <s v="WF_2019"/>
        <s v="WF_2020"/>
        <s v="WF_2021"/>
        <s v="WF_2022"/>
        <s v="WF_2023"/>
        <s v="WF_2024"/>
        <s v="WF_2025"/>
        <s v="WF_2026"/>
        <s v="WF_2027"/>
        <s v="WF_2028"/>
        <s v="WF_2029"/>
        <s v="WF_2030"/>
        <s v="WF_2031"/>
        <s v="WF_2032"/>
        <s v="WF_2033"/>
        <s v="WF_2034"/>
        <s v="WF_2035"/>
        <s v="WF_2036"/>
        <s v="WF_2037"/>
        <s v="WF_2038"/>
        <s v="WF_2039"/>
        <s v="WF_2040"/>
        <s v="WF_2041"/>
        <s v="WF_2042"/>
        <s v="WF_2043"/>
        <s v="WF_2044"/>
        <s v="WF_2045"/>
        <s v="WF_2046"/>
        <s v="WF_2047"/>
        <s v="WF_2048"/>
        <s v="WF_2049"/>
        <s v="WF_2050"/>
        <s v="WF_2051"/>
        <s v="WF_2052"/>
        <s v="WF_2053"/>
        <s v="WF_2054"/>
        <s v="WF_2055"/>
        <s v="WF_2056"/>
        <s v="WF_2057"/>
        <s v="WF_2058"/>
        <s v="WF_2059"/>
        <s v="WF_2060"/>
        <s v="WF_2061"/>
        <s v="WF_2062"/>
        <s v="WF_2063"/>
        <s v="WF_2064"/>
        <s v="WF_2065"/>
        <s v="WF_2066"/>
        <s v="WF_2067"/>
        <s v="WF_2068"/>
        <s v="WF_2069"/>
        <s v="WF_2070"/>
        <s v="WF_2071"/>
        <s v="WF_2072"/>
        <s v="WF_2073"/>
        <s v="WF_2074"/>
        <s v="WF_2075"/>
        <s v="WF_2076"/>
        <s v="WF_2077"/>
        <s v="WF_2078"/>
        <s v="WF_2079"/>
        <s v="WF_2080"/>
        <s v="WF_2081"/>
        <s v="WF_2082"/>
        <s v="WF_2083"/>
        <s v="WF_2084"/>
        <s v="WF_2085"/>
        <s v="WF_2086"/>
        <s v="WF_2087"/>
        <s v="WF_2088"/>
        <s v="WF_2089"/>
        <s v="WF_2090"/>
        <s v="WF_2091"/>
        <s v="WF_2092"/>
        <s v="WF_2093"/>
        <s v="WF_2094"/>
        <s v="WF_2095"/>
        <s v="WF_2096"/>
        <s v="WF_2097"/>
        <s v="WF_2098"/>
        <s v="WF_2099"/>
        <s v="WF_2100"/>
        <s v="WF_2101"/>
        <s v="WF_2102"/>
        <s v="WF_2103"/>
        <s v="WF_2104"/>
        <s v="WF_2105"/>
        <s v="WF_2106"/>
        <s v="WF_2107"/>
        <s v="WF_2108"/>
        <s v="WF_2109"/>
        <s v="WF_2110"/>
        <s v="WF_2111"/>
        <s v="WF_2112"/>
        <s v="WF_2113"/>
        <s v="WF_2114"/>
        <s v="WF_2115"/>
        <s v="WF_2116"/>
        <s v="WF_2117"/>
        <s v="WF_2118"/>
        <s v="WF_2119"/>
        <s v="WF_2120"/>
        <s v="WF_2121"/>
        <s v="WF_2122"/>
        <s v="WF_2123"/>
        <s v="WF_2124"/>
        <s v="WF_2125"/>
        <s v="WF_2126"/>
        <s v="WF_2127"/>
        <s v="WF_2128"/>
        <s v="WF_2129"/>
        <s v="WF_2130"/>
        <s v="WF_2131"/>
        <s v="WF_2132"/>
        <s v="WF_2133"/>
        <s v="WF_2134"/>
        <s v="WF_2135"/>
        <s v="WF_2136"/>
        <s v="WF_2137"/>
        <s v="WF_2138"/>
        <s v="WF_2139"/>
        <s v="WF_2140"/>
        <s v="WF_2141"/>
        <s v="WF_2142"/>
        <s v="WF_2143"/>
        <s v="WF_2144"/>
        <s v="WF_2145"/>
        <s v="WF_2146"/>
        <s v="WF_2147"/>
        <s v="WF_2148"/>
        <s v="WF_2149"/>
        <s v="WF_2150"/>
        <s v="WF_2151"/>
        <s v="WF_2152"/>
        <s v="WF_2153"/>
        <s v="WF_2154"/>
        <s v="WF_2155"/>
        <s v="WF_2156"/>
        <s v="WF_2157"/>
        <s v="WF_2158"/>
        <s v="WF_2159"/>
        <s v="WF_2160"/>
        <s v="WF_2161"/>
        <s v="WF_2162"/>
        <s v="WF_2163"/>
        <s v="WF_2164"/>
        <s v="WF_2165"/>
        <s v="WF_2166"/>
        <s v="WF_2167"/>
        <s v="WF_2168"/>
        <s v="WF_2169"/>
        <s v="WF_2170"/>
        <s v="WF_2171"/>
        <s v="WF_2172"/>
        <s v="WF_2173"/>
        <s v="WF_2174"/>
        <s v="WF_2175"/>
        <s v="WF_2176"/>
        <s v="WF_2177"/>
        <s v="WF_2178"/>
        <s v="WF_2179"/>
        <s v="WF_2180"/>
        <s v="WF_2181"/>
        <s v="WF_2182"/>
        <s v="WF_2183"/>
        <s v="WF_2184"/>
        <s v="WF_2185"/>
        <s v="WF_2186"/>
        <s v="WF_2187"/>
        <s v="WF_2188"/>
        <s v="WF_2189"/>
        <s v="WF_2190"/>
        <s v="WF_2191"/>
        <s v="WF_2192"/>
        <s v="WF_2193"/>
        <s v="WF_2194"/>
        <s v="WF_2195"/>
        <s v="WF_2196"/>
        <s v="WF_2197"/>
        <s v="WF_2198"/>
        <s v="WF_2199"/>
        <s v="WF_2200"/>
        <s v="WF_2201"/>
        <s v="WF_2202"/>
        <s v="WF_2203"/>
        <s v="WF_2204"/>
        <s v="WF_2205"/>
        <s v="WF_2206"/>
        <s v="WF_2207"/>
        <s v="WF_2208"/>
        <s v="WF_2209"/>
        <s v="WF_2210"/>
        <s v="WF_2211"/>
        <s v="WF_2212"/>
        <s v="WF_2213"/>
        <s v="WF_2214"/>
        <s v="WF_2215"/>
        <s v="WF_2216"/>
        <s v="WF_2217"/>
        <s v="WF_2218"/>
        <s v="WF_2219"/>
        <s v="WF_2220"/>
        <s v="WF_2221"/>
        <s v="WF_2222"/>
        <s v="WF_2223"/>
        <s v="WF_2224"/>
        <s v="WF_2225"/>
        <s v="WF_2226"/>
        <s v="WF_2227"/>
        <s v="WF_2228"/>
        <s v="WF_2229"/>
        <s v="WF_2230"/>
        <s v="WF_2231"/>
        <s v="WF_2232"/>
        <s v="WF_2233"/>
        <s v="WF_2234"/>
        <s v="WF_2235"/>
        <s v="WF_2236"/>
        <s v="WF_2237"/>
        <s v="WF_2238"/>
        <s v="WF_2239"/>
        <s v="WF_2240"/>
        <s v="WF_2241"/>
        <s v="WF_2242"/>
        <s v="WF_2243"/>
        <s v="WF_2244"/>
        <s v="WF_2245"/>
        <s v="WF_2246"/>
        <s v="WF_2247"/>
        <s v="WF_2248"/>
        <s v="WF_2249"/>
        <s v="WF_2250"/>
        <s v="WF_2251"/>
        <s v="WF_2252"/>
        <s v="WF_2253"/>
        <s v="WF_2254"/>
        <s v="WF_2255"/>
        <s v="WF_2256"/>
        <s v="WF_2257"/>
        <s v="WF_2258"/>
        <s v="WF_2259"/>
        <s v="WF_2260"/>
        <s v="WF_2261"/>
        <s v="WF_2262"/>
        <s v="WF_2263"/>
        <s v="WF_2264"/>
        <s v="WF_2265"/>
        <s v="WF_2266"/>
        <s v="WF_2267"/>
        <s v="WF_2268"/>
        <s v="WF_2269"/>
        <s v="WF_2270"/>
        <s v="WF_2271"/>
        <s v="WF_2272"/>
        <s v="WF_2273"/>
        <s v="WF_2274"/>
        <s v="WF_2275"/>
        <s v="WF_2276"/>
        <s v="WF_2277"/>
        <s v="WF_2278"/>
        <s v="WF_2279"/>
        <s v="WF_2280"/>
        <s v="WF_2281"/>
        <s v="WF_2282"/>
        <s v="WF_2283"/>
        <s v="WF_2284"/>
        <s v="WF_2285"/>
        <s v="WF_2286"/>
        <s v="WF_2287"/>
        <s v="WF_2288"/>
        <s v="WF_2289"/>
        <s v="WF_2290"/>
        <s v="WF_2291"/>
        <s v="WF_2292"/>
        <s v="WF_2293"/>
        <s v="WF_2294"/>
        <s v="WF_2295"/>
        <s v="WF_2296"/>
        <s v="WF_2297"/>
        <s v="WF_2298"/>
        <s v="WF_2299"/>
        <s v="WF_2300"/>
        <s v="WF_2301"/>
        <s v="WF_2302"/>
        <s v="WF_2303"/>
        <s v="WF_2304"/>
        <s v="WF_2305"/>
        <s v="WF_2306"/>
        <s v="WF_2307"/>
        <s v="WF_2308"/>
        <s v="WF_2309"/>
        <s v="WF_2310"/>
        <s v="WF_2311"/>
        <s v="WF_2312"/>
        <s v="WF_2313"/>
        <s v="WF_2314"/>
        <s v="WF_2315"/>
        <s v="WF_2316"/>
        <s v="WF_2317"/>
        <s v="WF_2318"/>
        <s v="WF_2319"/>
        <s v="WF_2320"/>
        <s v="WF_2321"/>
        <s v="WF_2322"/>
        <s v="WF_2323"/>
        <s v="WF_2324"/>
        <s v="WF_2325"/>
        <s v="WF_2326"/>
        <s v="WF_2327"/>
        <s v="WF_2328"/>
        <s v="WF_2329"/>
        <s v="WF_2330"/>
        <s v="WF_2331"/>
        <s v="WF_2332"/>
        <s v="WF_2333"/>
        <s v="WF_2334"/>
        <s v="WF_2335"/>
        <s v="WF_2336"/>
        <s v="WF_2337"/>
        <s v="WF_2338"/>
        <s v="WF_2339"/>
        <s v="WF_2340"/>
        <s v="WF_2341"/>
        <s v="WF_2342"/>
        <s v="WF_2343"/>
        <s v="WF_2344"/>
        <s v="WF_2345"/>
        <s v="WF_2346"/>
        <s v="WF_2347"/>
        <s v="WF_2348"/>
        <s v="WF_2349"/>
        <s v="WF_2350"/>
        <s v="WF_2351"/>
        <s v="WF_2352"/>
        <s v="WF_2353"/>
        <s v="WF_2354"/>
        <s v="WF_2355"/>
        <s v="WF_2356"/>
        <s v="WF_2357"/>
        <s v="WF_2358"/>
        <s v="WF_2359"/>
        <s v="WF_2360"/>
        <s v="WF_2361"/>
        <s v="WF_2362"/>
        <s v="WF_2363"/>
        <s v="WF_2364"/>
        <s v="WF_2365"/>
        <s v="WF_2366"/>
        <s v="WF_2367"/>
        <s v="WF_2368"/>
        <s v="WF_2369"/>
        <s v="WF_2370"/>
        <s v="WF_2371"/>
        <s v="WF_2372"/>
        <s v="WF_2373"/>
        <s v="WF_2374"/>
        <s v="WF_2375"/>
        <s v="WF_2376"/>
        <s v="WF_2377"/>
        <s v="WF_2378"/>
        <s v="WF_2379"/>
        <s v="WF_2380"/>
        <s v="WF_2381"/>
        <s v="WF_2382"/>
        <s v="WF_2383"/>
        <s v="WF_2384"/>
        <s v="WF_2385"/>
        <s v="WF_2386"/>
        <s v="WF_2387"/>
        <s v="WF_2388"/>
        <s v="WF_2389"/>
        <s v="WF_2390"/>
        <s v="WF_2391"/>
        <s v="WF_2392"/>
        <s v="WF_2393"/>
        <s v="WF_2394"/>
        <s v="WF_2395"/>
        <s v="WF_2396"/>
        <s v="WF_2397"/>
        <s v="WF_2398"/>
        <s v="WF_2399"/>
        <s v="WF_2400"/>
        <s v="WF_2401"/>
        <s v="WF_2402"/>
        <s v="WF_2403"/>
        <s v="WF_2404"/>
        <s v="WF_2405"/>
        <s v="WF_2406"/>
        <s v="WF_2407"/>
        <s v="WF_2408"/>
        <s v="WF_2409"/>
        <s v="WF_2410"/>
        <s v="WF_2411"/>
        <s v="WF_2412"/>
        <s v="WF_2413"/>
        <s v="WF_2414"/>
        <s v="WF_2415"/>
        <s v="WF_2416"/>
        <s v="WF_2417"/>
        <s v="WF_2418"/>
        <s v="WF_2419"/>
        <s v="WF_2420"/>
        <s v="WF_2421"/>
        <s v="WF_2422"/>
        <s v="WF_2423"/>
        <s v="WF_2424"/>
        <s v="WF_2425"/>
        <s v="WF_2426"/>
        <s v="WF_2427"/>
        <s v="WF_2428"/>
        <s v="WF_2429"/>
        <s v="WF_2430"/>
        <s v="WF_2431"/>
        <s v="WF_2432"/>
        <s v="WF_2433"/>
        <s v="WF_2434"/>
        <s v="WF_2435"/>
        <s v="WF_2436"/>
        <s v="WF_2437"/>
        <s v="WF_2438"/>
        <s v="WF_2439"/>
        <s v="WF_2440"/>
        <s v="WF_2441"/>
        <s v="WF_2442"/>
        <s v="WF_2443"/>
        <s v="WF_2444"/>
        <s v="WF_2445"/>
        <s v="WF_2446"/>
        <s v="WF_2447"/>
        <s v="WF_2448"/>
        <s v="WF_2449"/>
        <s v="WF_2450"/>
        <s v="WF_2451"/>
        <s v="WF_2452"/>
        <s v="WF_2453"/>
        <s v="WF_2454"/>
        <s v="WF_2455"/>
        <s v="WF_2456"/>
        <s v="WF_2457"/>
        <s v="WF_2458"/>
        <s v="WF_2459"/>
        <s v="WF_2460"/>
        <s v="WF_2461"/>
        <s v="WF_2462"/>
        <s v="WF_2463"/>
        <s v="WF_2464"/>
        <s v="WF_2465"/>
        <s v="WF_2466"/>
        <s v="WF_2467"/>
        <s v="WF_2468"/>
        <s v="WF_2469"/>
        <s v="WF_2470"/>
        <s v="WF_2471"/>
        <s v="WF_2472"/>
        <s v="WF_2473"/>
        <s v="WF_2474"/>
        <s v="WF_2475"/>
        <s v="WF_2476"/>
        <s v="WF_2477"/>
        <s v="WF_2478"/>
        <s v="WF_2479"/>
        <s v="WF_2480"/>
        <s v="WF_2481"/>
        <s v="WF_2482"/>
        <s v="WF_2483"/>
        <s v="WF_2484"/>
        <s v="WF_2485"/>
        <s v="WF_2486"/>
        <s v="WF_2487"/>
        <s v="WF_2488"/>
        <s v="WF_2489"/>
        <s v="WF_2490"/>
        <s v="WF_2491"/>
        <s v="WF_2492"/>
        <s v="WF_2493"/>
        <s v="WF_2494"/>
        <s v="WF_2495"/>
        <s v="WF_2496"/>
        <s v="WF_2497"/>
        <s v="WF_2498"/>
        <s v="WF_2499"/>
        <s v="WF_2500"/>
      </sharedItems>
    </cacheField>
    <cacheField name="Process_Name" numFmtId="0">
      <sharedItems count="5">
        <s v="Customer Complaint"/>
        <s v="HR Onboarding"/>
        <s v="Invoice Approval"/>
        <s v="Purchase Order"/>
        <s v="IT Support Ticket"/>
      </sharedItems>
    </cacheField>
    <cacheField name="Task_ID" numFmtId="0">
      <sharedItems count="2500">
        <s v="TASK_1"/>
        <s v="TASK_2"/>
        <s v="TASK_3"/>
        <s v="TASK_4"/>
        <s v="TASK_5"/>
        <s v="TASK_6"/>
        <s v="TASK_7"/>
        <s v="TASK_8"/>
        <s v="TASK_9"/>
        <s v="TASK_10"/>
        <s v="TASK_11"/>
        <s v="TASK_12"/>
        <s v="TASK_13"/>
        <s v="TASK_14"/>
        <s v="TASK_15"/>
        <s v="TASK_16"/>
        <s v="TASK_17"/>
        <s v="TASK_18"/>
        <s v="TASK_19"/>
        <s v="TASK_20"/>
        <s v="TASK_21"/>
        <s v="TASK_22"/>
        <s v="TASK_23"/>
        <s v="TASK_24"/>
        <s v="TASK_25"/>
        <s v="TASK_26"/>
        <s v="TASK_27"/>
        <s v="TASK_28"/>
        <s v="TASK_29"/>
        <s v="TASK_30"/>
        <s v="TASK_31"/>
        <s v="TASK_32"/>
        <s v="TASK_33"/>
        <s v="TASK_34"/>
        <s v="TASK_35"/>
        <s v="TASK_36"/>
        <s v="TASK_37"/>
        <s v="TASK_38"/>
        <s v="TASK_39"/>
        <s v="TASK_40"/>
        <s v="TASK_41"/>
        <s v="TASK_42"/>
        <s v="TASK_43"/>
        <s v="TASK_44"/>
        <s v="TASK_45"/>
        <s v="TASK_46"/>
        <s v="TASK_47"/>
        <s v="TASK_48"/>
        <s v="TASK_49"/>
        <s v="TASK_50"/>
        <s v="TASK_51"/>
        <s v="TASK_52"/>
        <s v="TASK_53"/>
        <s v="TASK_54"/>
        <s v="TASK_55"/>
        <s v="TASK_56"/>
        <s v="TASK_57"/>
        <s v="TASK_58"/>
        <s v="TASK_59"/>
        <s v="TASK_60"/>
        <s v="TASK_61"/>
        <s v="TASK_62"/>
        <s v="TASK_63"/>
        <s v="TASK_64"/>
        <s v="TASK_65"/>
        <s v="TASK_66"/>
        <s v="TASK_67"/>
        <s v="TASK_68"/>
        <s v="TASK_69"/>
        <s v="TASK_70"/>
        <s v="TASK_71"/>
        <s v="TASK_72"/>
        <s v="TASK_73"/>
        <s v="TASK_74"/>
        <s v="TASK_75"/>
        <s v="TASK_76"/>
        <s v="TASK_77"/>
        <s v="TASK_78"/>
        <s v="TASK_79"/>
        <s v="TASK_80"/>
        <s v="TASK_81"/>
        <s v="TASK_82"/>
        <s v="TASK_83"/>
        <s v="TASK_84"/>
        <s v="TASK_85"/>
        <s v="TASK_86"/>
        <s v="TASK_87"/>
        <s v="TASK_88"/>
        <s v="TASK_89"/>
        <s v="TASK_90"/>
        <s v="TASK_91"/>
        <s v="TASK_92"/>
        <s v="TASK_93"/>
        <s v="TASK_94"/>
        <s v="TASK_95"/>
        <s v="TASK_96"/>
        <s v="TASK_97"/>
        <s v="TASK_98"/>
        <s v="TASK_99"/>
        <s v="TASK_100"/>
        <s v="TASK_101"/>
        <s v="TASK_102"/>
        <s v="TASK_103"/>
        <s v="TASK_104"/>
        <s v="TASK_105"/>
        <s v="TASK_106"/>
        <s v="TASK_107"/>
        <s v="TASK_108"/>
        <s v="TASK_109"/>
        <s v="TASK_110"/>
        <s v="TASK_111"/>
        <s v="TASK_112"/>
        <s v="TASK_113"/>
        <s v="TASK_114"/>
        <s v="TASK_115"/>
        <s v="TASK_116"/>
        <s v="TASK_117"/>
        <s v="TASK_118"/>
        <s v="TASK_119"/>
        <s v="TASK_120"/>
        <s v="TASK_121"/>
        <s v="TASK_122"/>
        <s v="TASK_123"/>
        <s v="TASK_124"/>
        <s v="TASK_125"/>
        <s v="TASK_126"/>
        <s v="TASK_127"/>
        <s v="TASK_128"/>
        <s v="TASK_129"/>
        <s v="TASK_130"/>
        <s v="TASK_131"/>
        <s v="TASK_132"/>
        <s v="TASK_133"/>
        <s v="TASK_134"/>
        <s v="TASK_135"/>
        <s v="TASK_136"/>
        <s v="TASK_137"/>
        <s v="TASK_138"/>
        <s v="TASK_139"/>
        <s v="TASK_140"/>
        <s v="TASK_141"/>
        <s v="TASK_142"/>
        <s v="TASK_143"/>
        <s v="TASK_144"/>
        <s v="TASK_145"/>
        <s v="TASK_146"/>
        <s v="TASK_147"/>
        <s v="TASK_148"/>
        <s v="TASK_149"/>
        <s v="TASK_150"/>
        <s v="TASK_151"/>
        <s v="TASK_152"/>
        <s v="TASK_153"/>
        <s v="TASK_154"/>
        <s v="TASK_155"/>
        <s v="TASK_156"/>
        <s v="TASK_157"/>
        <s v="TASK_158"/>
        <s v="TASK_159"/>
        <s v="TASK_160"/>
        <s v="TASK_161"/>
        <s v="TASK_162"/>
        <s v="TASK_163"/>
        <s v="TASK_164"/>
        <s v="TASK_165"/>
        <s v="TASK_166"/>
        <s v="TASK_167"/>
        <s v="TASK_168"/>
        <s v="TASK_169"/>
        <s v="TASK_170"/>
        <s v="TASK_171"/>
        <s v="TASK_172"/>
        <s v="TASK_173"/>
        <s v="TASK_174"/>
        <s v="TASK_175"/>
        <s v="TASK_176"/>
        <s v="TASK_177"/>
        <s v="TASK_178"/>
        <s v="TASK_179"/>
        <s v="TASK_180"/>
        <s v="TASK_181"/>
        <s v="TASK_182"/>
        <s v="TASK_183"/>
        <s v="TASK_184"/>
        <s v="TASK_185"/>
        <s v="TASK_186"/>
        <s v="TASK_187"/>
        <s v="TASK_188"/>
        <s v="TASK_189"/>
        <s v="TASK_190"/>
        <s v="TASK_191"/>
        <s v="TASK_192"/>
        <s v="TASK_193"/>
        <s v="TASK_194"/>
        <s v="TASK_195"/>
        <s v="TASK_196"/>
        <s v="TASK_197"/>
        <s v="TASK_198"/>
        <s v="TASK_199"/>
        <s v="TASK_200"/>
        <s v="TASK_201"/>
        <s v="TASK_202"/>
        <s v="TASK_203"/>
        <s v="TASK_204"/>
        <s v="TASK_205"/>
        <s v="TASK_206"/>
        <s v="TASK_207"/>
        <s v="TASK_208"/>
        <s v="TASK_209"/>
        <s v="TASK_210"/>
        <s v="TASK_211"/>
        <s v="TASK_212"/>
        <s v="TASK_213"/>
        <s v="TASK_214"/>
        <s v="TASK_215"/>
        <s v="TASK_216"/>
        <s v="TASK_217"/>
        <s v="TASK_218"/>
        <s v="TASK_219"/>
        <s v="TASK_220"/>
        <s v="TASK_221"/>
        <s v="TASK_222"/>
        <s v="TASK_223"/>
        <s v="TASK_224"/>
        <s v="TASK_225"/>
        <s v="TASK_226"/>
        <s v="TASK_227"/>
        <s v="TASK_228"/>
        <s v="TASK_229"/>
        <s v="TASK_230"/>
        <s v="TASK_231"/>
        <s v="TASK_232"/>
        <s v="TASK_233"/>
        <s v="TASK_234"/>
        <s v="TASK_235"/>
        <s v="TASK_236"/>
        <s v="TASK_237"/>
        <s v="TASK_238"/>
        <s v="TASK_239"/>
        <s v="TASK_240"/>
        <s v="TASK_241"/>
        <s v="TASK_242"/>
        <s v="TASK_243"/>
        <s v="TASK_244"/>
        <s v="TASK_245"/>
        <s v="TASK_246"/>
        <s v="TASK_247"/>
        <s v="TASK_248"/>
        <s v="TASK_249"/>
        <s v="TASK_250"/>
        <s v="TASK_251"/>
        <s v="TASK_252"/>
        <s v="TASK_253"/>
        <s v="TASK_254"/>
        <s v="TASK_255"/>
        <s v="TASK_256"/>
        <s v="TASK_257"/>
        <s v="TASK_258"/>
        <s v="TASK_259"/>
        <s v="TASK_260"/>
        <s v="TASK_261"/>
        <s v="TASK_262"/>
        <s v="TASK_263"/>
        <s v="TASK_264"/>
        <s v="TASK_265"/>
        <s v="TASK_266"/>
        <s v="TASK_267"/>
        <s v="TASK_268"/>
        <s v="TASK_269"/>
        <s v="TASK_270"/>
        <s v="TASK_271"/>
        <s v="TASK_272"/>
        <s v="TASK_273"/>
        <s v="TASK_274"/>
        <s v="TASK_275"/>
        <s v="TASK_276"/>
        <s v="TASK_277"/>
        <s v="TASK_278"/>
        <s v="TASK_279"/>
        <s v="TASK_280"/>
        <s v="TASK_281"/>
        <s v="TASK_282"/>
        <s v="TASK_283"/>
        <s v="TASK_284"/>
        <s v="TASK_285"/>
        <s v="TASK_286"/>
        <s v="TASK_287"/>
        <s v="TASK_288"/>
        <s v="TASK_289"/>
        <s v="TASK_290"/>
        <s v="TASK_291"/>
        <s v="TASK_292"/>
        <s v="TASK_293"/>
        <s v="TASK_294"/>
        <s v="TASK_295"/>
        <s v="TASK_296"/>
        <s v="TASK_297"/>
        <s v="TASK_298"/>
        <s v="TASK_299"/>
        <s v="TASK_300"/>
        <s v="TASK_301"/>
        <s v="TASK_302"/>
        <s v="TASK_303"/>
        <s v="TASK_304"/>
        <s v="TASK_305"/>
        <s v="TASK_306"/>
        <s v="TASK_307"/>
        <s v="TASK_308"/>
        <s v="TASK_309"/>
        <s v="TASK_310"/>
        <s v="TASK_311"/>
        <s v="TASK_312"/>
        <s v="TASK_313"/>
        <s v="TASK_314"/>
        <s v="TASK_315"/>
        <s v="TASK_316"/>
        <s v="TASK_317"/>
        <s v="TASK_318"/>
        <s v="TASK_319"/>
        <s v="TASK_320"/>
        <s v="TASK_321"/>
        <s v="TASK_322"/>
        <s v="TASK_323"/>
        <s v="TASK_324"/>
        <s v="TASK_325"/>
        <s v="TASK_326"/>
        <s v="TASK_327"/>
        <s v="TASK_328"/>
        <s v="TASK_329"/>
        <s v="TASK_330"/>
        <s v="TASK_331"/>
        <s v="TASK_332"/>
        <s v="TASK_333"/>
        <s v="TASK_334"/>
        <s v="TASK_335"/>
        <s v="TASK_336"/>
        <s v="TASK_337"/>
        <s v="TASK_338"/>
        <s v="TASK_339"/>
        <s v="TASK_340"/>
        <s v="TASK_341"/>
        <s v="TASK_342"/>
        <s v="TASK_343"/>
        <s v="TASK_344"/>
        <s v="TASK_345"/>
        <s v="TASK_346"/>
        <s v="TASK_347"/>
        <s v="TASK_348"/>
        <s v="TASK_349"/>
        <s v="TASK_350"/>
        <s v="TASK_351"/>
        <s v="TASK_352"/>
        <s v="TASK_353"/>
        <s v="TASK_354"/>
        <s v="TASK_355"/>
        <s v="TASK_356"/>
        <s v="TASK_357"/>
        <s v="TASK_358"/>
        <s v="TASK_359"/>
        <s v="TASK_360"/>
        <s v="TASK_361"/>
        <s v="TASK_362"/>
        <s v="TASK_363"/>
        <s v="TASK_364"/>
        <s v="TASK_365"/>
        <s v="TASK_366"/>
        <s v="TASK_367"/>
        <s v="TASK_368"/>
        <s v="TASK_369"/>
        <s v="TASK_370"/>
        <s v="TASK_371"/>
        <s v="TASK_372"/>
        <s v="TASK_373"/>
        <s v="TASK_374"/>
        <s v="TASK_375"/>
        <s v="TASK_376"/>
        <s v="TASK_377"/>
        <s v="TASK_378"/>
        <s v="TASK_379"/>
        <s v="TASK_380"/>
        <s v="TASK_381"/>
        <s v="TASK_382"/>
        <s v="TASK_383"/>
        <s v="TASK_384"/>
        <s v="TASK_385"/>
        <s v="TASK_386"/>
        <s v="TASK_387"/>
        <s v="TASK_388"/>
        <s v="TASK_389"/>
        <s v="TASK_390"/>
        <s v="TASK_391"/>
        <s v="TASK_392"/>
        <s v="TASK_393"/>
        <s v="TASK_394"/>
        <s v="TASK_395"/>
        <s v="TASK_396"/>
        <s v="TASK_397"/>
        <s v="TASK_398"/>
        <s v="TASK_399"/>
        <s v="TASK_400"/>
        <s v="TASK_401"/>
        <s v="TASK_402"/>
        <s v="TASK_403"/>
        <s v="TASK_404"/>
        <s v="TASK_405"/>
        <s v="TASK_406"/>
        <s v="TASK_407"/>
        <s v="TASK_408"/>
        <s v="TASK_409"/>
        <s v="TASK_410"/>
        <s v="TASK_411"/>
        <s v="TASK_412"/>
        <s v="TASK_413"/>
        <s v="TASK_414"/>
        <s v="TASK_415"/>
        <s v="TASK_416"/>
        <s v="TASK_417"/>
        <s v="TASK_418"/>
        <s v="TASK_419"/>
        <s v="TASK_420"/>
        <s v="TASK_421"/>
        <s v="TASK_422"/>
        <s v="TASK_423"/>
        <s v="TASK_424"/>
        <s v="TASK_425"/>
        <s v="TASK_426"/>
        <s v="TASK_427"/>
        <s v="TASK_428"/>
        <s v="TASK_429"/>
        <s v="TASK_430"/>
        <s v="TASK_431"/>
        <s v="TASK_432"/>
        <s v="TASK_433"/>
        <s v="TASK_434"/>
        <s v="TASK_435"/>
        <s v="TASK_436"/>
        <s v="TASK_437"/>
        <s v="TASK_438"/>
        <s v="TASK_439"/>
        <s v="TASK_440"/>
        <s v="TASK_441"/>
        <s v="TASK_442"/>
        <s v="TASK_443"/>
        <s v="TASK_444"/>
        <s v="TASK_445"/>
        <s v="TASK_446"/>
        <s v="TASK_447"/>
        <s v="TASK_448"/>
        <s v="TASK_449"/>
        <s v="TASK_450"/>
        <s v="TASK_451"/>
        <s v="TASK_452"/>
        <s v="TASK_453"/>
        <s v="TASK_454"/>
        <s v="TASK_455"/>
        <s v="TASK_456"/>
        <s v="TASK_457"/>
        <s v="TASK_458"/>
        <s v="TASK_459"/>
        <s v="TASK_460"/>
        <s v="TASK_461"/>
        <s v="TASK_462"/>
        <s v="TASK_463"/>
        <s v="TASK_464"/>
        <s v="TASK_465"/>
        <s v="TASK_466"/>
        <s v="TASK_467"/>
        <s v="TASK_468"/>
        <s v="TASK_469"/>
        <s v="TASK_470"/>
        <s v="TASK_471"/>
        <s v="TASK_472"/>
        <s v="TASK_473"/>
        <s v="TASK_474"/>
        <s v="TASK_475"/>
        <s v="TASK_476"/>
        <s v="TASK_477"/>
        <s v="TASK_478"/>
        <s v="TASK_479"/>
        <s v="TASK_480"/>
        <s v="TASK_481"/>
        <s v="TASK_482"/>
        <s v="TASK_483"/>
        <s v="TASK_484"/>
        <s v="TASK_485"/>
        <s v="TASK_486"/>
        <s v="TASK_487"/>
        <s v="TASK_488"/>
        <s v="TASK_489"/>
        <s v="TASK_490"/>
        <s v="TASK_491"/>
        <s v="TASK_492"/>
        <s v="TASK_493"/>
        <s v="TASK_494"/>
        <s v="TASK_495"/>
        <s v="TASK_496"/>
        <s v="TASK_497"/>
        <s v="TASK_498"/>
        <s v="TASK_499"/>
        <s v="TASK_500"/>
        <s v="TASK_501"/>
        <s v="TASK_502"/>
        <s v="TASK_503"/>
        <s v="TASK_504"/>
        <s v="TASK_505"/>
        <s v="TASK_506"/>
        <s v="TASK_507"/>
        <s v="TASK_508"/>
        <s v="TASK_509"/>
        <s v="TASK_510"/>
        <s v="TASK_511"/>
        <s v="TASK_512"/>
        <s v="TASK_513"/>
        <s v="TASK_514"/>
        <s v="TASK_515"/>
        <s v="TASK_516"/>
        <s v="TASK_517"/>
        <s v="TASK_518"/>
        <s v="TASK_519"/>
        <s v="TASK_520"/>
        <s v="TASK_521"/>
        <s v="TASK_522"/>
        <s v="TASK_523"/>
        <s v="TASK_524"/>
        <s v="TASK_525"/>
        <s v="TASK_526"/>
        <s v="TASK_527"/>
        <s v="TASK_528"/>
        <s v="TASK_529"/>
        <s v="TASK_530"/>
        <s v="TASK_531"/>
        <s v="TASK_532"/>
        <s v="TASK_533"/>
        <s v="TASK_534"/>
        <s v="TASK_535"/>
        <s v="TASK_536"/>
        <s v="TASK_537"/>
        <s v="TASK_538"/>
        <s v="TASK_539"/>
        <s v="TASK_540"/>
        <s v="TASK_541"/>
        <s v="TASK_542"/>
        <s v="TASK_543"/>
        <s v="TASK_544"/>
        <s v="TASK_545"/>
        <s v="TASK_546"/>
        <s v="TASK_547"/>
        <s v="TASK_548"/>
        <s v="TASK_549"/>
        <s v="TASK_550"/>
        <s v="TASK_551"/>
        <s v="TASK_552"/>
        <s v="TASK_553"/>
        <s v="TASK_554"/>
        <s v="TASK_555"/>
        <s v="TASK_556"/>
        <s v="TASK_557"/>
        <s v="TASK_558"/>
        <s v="TASK_559"/>
        <s v="TASK_560"/>
        <s v="TASK_561"/>
        <s v="TASK_562"/>
        <s v="TASK_563"/>
        <s v="TASK_564"/>
        <s v="TASK_565"/>
        <s v="TASK_566"/>
        <s v="TASK_567"/>
        <s v="TASK_568"/>
        <s v="TASK_569"/>
        <s v="TASK_570"/>
        <s v="TASK_571"/>
        <s v="TASK_572"/>
        <s v="TASK_573"/>
        <s v="TASK_574"/>
        <s v="TASK_575"/>
        <s v="TASK_576"/>
        <s v="TASK_577"/>
        <s v="TASK_578"/>
        <s v="TASK_579"/>
        <s v="TASK_580"/>
        <s v="TASK_581"/>
        <s v="TASK_582"/>
        <s v="TASK_583"/>
        <s v="TASK_584"/>
        <s v="TASK_585"/>
        <s v="TASK_586"/>
        <s v="TASK_587"/>
        <s v="TASK_588"/>
        <s v="TASK_589"/>
        <s v="TASK_590"/>
        <s v="TASK_591"/>
        <s v="TASK_592"/>
        <s v="TASK_593"/>
        <s v="TASK_594"/>
        <s v="TASK_595"/>
        <s v="TASK_596"/>
        <s v="TASK_597"/>
        <s v="TASK_598"/>
        <s v="TASK_599"/>
        <s v="TASK_600"/>
        <s v="TASK_601"/>
        <s v="TASK_602"/>
        <s v="TASK_603"/>
        <s v="TASK_604"/>
        <s v="TASK_605"/>
        <s v="TASK_606"/>
        <s v="TASK_607"/>
        <s v="TASK_608"/>
        <s v="TASK_609"/>
        <s v="TASK_610"/>
        <s v="TASK_611"/>
        <s v="TASK_612"/>
        <s v="TASK_613"/>
        <s v="TASK_614"/>
        <s v="TASK_615"/>
        <s v="TASK_616"/>
        <s v="TASK_617"/>
        <s v="TASK_618"/>
        <s v="TASK_619"/>
        <s v="TASK_620"/>
        <s v="TASK_621"/>
        <s v="TASK_622"/>
        <s v="TASK_623"/>
        <s v="TASK_624"/>
        <s v="TASK_625"/>
        <s v="TASK_626"/>
        <s v="TASK_627"/>
        <s v="TASK_628"/>
        <s v="TASK_629"/>
        <s v="TASK_630"/>
        <s v="TASK_631"/>
        <s v="TASK_632"/>
        <s v="TASK_633"/>
        <s v="TASK_634"/>
        <s v="TASK_635"/>
        <s v="TASK_636"/>
        <s v="TASK_637"/>
        <s v="TASK_638"/>
        <s v="TASK_639"/>
        <s v="TASK_640"/>
        <s v="TASK_641"/>
        <s v="TASK_642"/>
        <s v="TASK_643"/>
        <s v="TASK_644"/>
        <s v="TASK_645"/>
        <s v="TASK_646"/>
        <s v="TASK_647"/>
        <s v="TASK_648"/>
        <s v="TASK_649"/>
        <s v="TASK_650"/>
        <s v="TASK_651"/>
        <s v="TASK_652"/>
        <s v="TASK_653"/>
        <s v="TASK_654"/>
        <s v="TASK_655"/>
        <s v="TASK_656"/>
        <s v="TASK_657"/>
        <s v="TASK_658"/>
        <s v="TASK_659"/>
        <s v="TASK_660"/>
        <s v="TASK_661"/>
        <s v="TASK_662"/>
        <s v="TASK_663"/>
        <s v="TASK_664"/>
        <s v="TASK_665"/>
        <s v="TASK_666"/>
        <s v="TASK_667"/>
        <s v="TASK_668"/>
        <s v="TASK_669"/>
        <s v="TASK_670"/>
        <s v="TASK_671"/>
        <s v="TASK_672"/>
        <s v="TASK_673"/>
        <s v="TASK_674"/>
        <s v="TASK_675"/>
        <s v="TASK_676"/>
        <s v="TASK_677"/>
        <s v="TASK_678"/>
        <s v="TASK_679"/>
        <s v="TASK_680"/>
        <s v="TASK_681"/>
        <s v="TASK_682"/>
        <s v="TASK_683"/>
        <s v="TASK_684"/>
        <s v="TASK_685"/>
        <s v="TASK_686"/>
        <s v="TASK_687"/>
        <s v="TASK_688"/>
        <s v="TASK_689"/>
        <s v="TASK_690"/>
        <s v="TASK_691"/>
        <s v="TASK_692"/>
        <s v="TASK_693"/>
        <s v="TASK_694"/>
        <s v="TASK_695"/>
        <s v="TASK_696"/>
        <s v="TASK_697"/>
        <s v="TASK_698"/>
        <s v="TASK_699"/>
        <s v="TASK_700"/>
        <s v="TASK_701"/>
        <s v="TASK_702"/>
        <s v="TASK_703"/>
        <s v="TASK_704"/>
        <s v="TASK_705"/>
        <s v="TASK_706"/>
        <s v="TASK_707"/>
        <s v="TASK_708"/>
        <s v="TASK_709"/>
        <s v="TASK_710"/>
        <s v="TASK_711"/>
        <s v="TASK_712"/>
        <s v="TASK_713"/>
        <s v="TASK_714"/>
        <s v="TASK_715"/>
        <s v="TASK_716"/>
        <s v="TASK_717"/>
        <s v="TASK_718"/>
        <s v="TASK_719"/>
        <s v="TASK_720"/>
        <s v="TASK_721"/>
        <s v="TASK_722"/>
        <s v="TASK_723"/>
        <s v="TASK_724"/>
        <s v="TASK_725"/>
        <s v="TASK_726"/>
        <s v="TASK_727"/>
        <s v="TASK_728"/>
        <s v="TASK_729"/>
        <s v="TASK_730"/>
        <s v="TASK_731"/>
        <s v="TASK_732"/>
        <s v="TASK_733"/>
        <s v="TASK_734"/>
        <s v="TASK_735"/>
        <s v="TASK_736"/>
        <s v="TASK_737"/>
        <s v="TASK_738"/>
        <s v="TASK_739"/>
        <s v="TASK_740"/>
        <s v="TASK_741"/>
        <s v="TASK_742"/>
        <s v="TASK_743"/>
        <s v="TASK_744"/>
        <s v="TASK_745"/>
        <s v="TASK_746"/>
        <s v="TASK_747"/>
        <s v="TASK_748"/>
        <s v="TASK_749"/>
        <s v="TASK_750"/>
        <s v="TASK_751"/>
        <s v="TASK_752"/>
        <s v="TASK_753"/>
        <s v="TASK_754"/>
        <s v="TASK_755"/>
        <s v="TASK_756"/>
        <s v="TASK_757"/>
        <s v="TASK_758"/>
        <s v="TASK_759"/>
        <s v="TASK_760"/>
        <s v="TASK_761"/>
        <s v="TASK_762"/>
        <s v="TASK_763"/>
        <s v="TASK_764"/>
        <s v="TASK_765"/>
        <s v="TASK_766"/>
        <s v="TASK_767"/>
        <s v="TASK_768"/>
        <s v="TASK_769"/>
        <s v="TASK_770"/>
        <s v="TASK_771"/>
        <s v="TASK_772"/>
        <s v="TASK_773"/>
        <s v="TASK_774"/>
        <s v="TASK_775"/>
        <s v="TASK_776"/>
        <s v="TASK_777"/>
        <s v="TASK_778"/>
        <s v="TASK_779"/>
        <s v="TASK_780"/>
        <s v="TASK_781"/>
        <s v="TASK_782"/>
        <s v="TASK_783"/>
        <s v="TASK_784"/>
        <s v="TASK_785"/>
        <s v="TASK_786"/>
        <s v="TASK_787"/>
        <s v="TASK_788"/>
        <s v="TASK_789"/>
        <s v="TASK_790"/>
        <s v="TASK_791"/>
        <s v="TASK_792"/>
        <s v="TASK_793"/>
        <s v="TASK_794"/>
        <s v="TASK_795"/>
        <s v="TASK_796"/>
        <s v="TASK_797"/>
        <s v="TASK_798"/>
        <s v="TASK_799"/>
        <s v="TASK_800"/>
        <s v="TASK_801"/>
        <s v="TASK_802"/>
        <s v="TASK_803"/>
        <s v="TASK_804"/>
        <s v="TASK_805"/>
        <s v="TASK_806"/>
        <s v="TASK_807"/>
        <s v="TASK_808"/>
        <s v="TASK_809"/>
        <s v="TASK_810"/>
        <s v="TASK_811"/>
        <s v="TASK_812"/>
        <s v="TASK_813"/>
        <s v="TASK_814"/>
        <s v="TASK_815"/>
        <s v="TASK_816"/>
        <s v="TASK_817"/>
        <s v="TASK_818"/>
        <s v="TASK_819"/>
        <s v="TASK_820"/>
        <s v="TASK_821"/>
        <s v="TASK_822"/>
        <s v="TASK_823"/>
        <s v="TASK_824"/>
        <s v="TASK_825"/>
        <s v="TASK_826"/>
        <s v="TASK_827"/>
        <s v="TASK_828"/>
        <s v="TASK_829"/>
        <s v="TASK_830"/>
        <s v="TASK_831"/>
        <s v="TASK_832"/>
        <s v="TASK_833"/>
        <s v="TASK_834"/>
        <s v="TASK_835"/>
        <s v="TASK_836"/>
        <s v="TASK_837"/>
        <s v="TASK_838"/>
        <s v="TASK_839"/>
        <s v="TASK_840"/>
        <s v="TASK_841"/>
        <s v="TASK_842"/>
        <s v="TASK_843"/>
        <s v="TASK_844"/>
        <s v="TASK_845"/>
        <s v="TASK_846"/>
        <s v="TASK_847"/>
        <s v="TASK_848"/>
        <s v="TASK_849"/>
        <s v="TASK_850"/>
        <s v="TASK_851"/>
        <s v="TASK_852"/>
        <s v="TASK_853"/>
        <s v="TASK_854"/>
        <s v="TASK_855"/>
        <s v="TASK_856"/>
        <s v="TASK_857"/>
        <s v="TASK_858"/>
        <s v="TASK_859"/>
        <s v="TASK_860"/>
        <s v="TASK_861"/>
        <s v="TASK_862"/>
        <s v="TASK_863"/>
        <s v="TASK_864"/>
        <s v="TASK_865"/>
        <s v="TASK_866"/>
        <s v="TASK_867"/>
        <s v="TASK_868"/>
        <s v="TASK_869"/>
        <s v="TASK_870"/>
        <s v="TASK_871"/>
        <s v="TASK_872"/>
        <s v="TASK_873"/>
        <s v="TASK_874"/>
        <s v="TASK_875"/>
        <s v="TASK_876"/>
        <s v="TASK_877"/>
        <s v="TASK_878"/>
        <s v="TASK_879"/>
        <s v="TASK_880"/>
        <s v="TASK_881"/>
        <s v="TASK_882"/>
        <s v="TASK_883"/>
        <s v="TASK_884"/>
        <s v="TASK_885"/>
        <s v="TASK_886"/>
        <s v="TASK_887"/>
        <s v="TASK_888"/>
        <s v="TASK_889"/>
        <s v="TASK_890"/>
        <s v="TASK_891"/>
        <s v="TASK_892"/>
        <s v="TASK_893"/>
        <s v="TASK_894"/>
        <s v="TASK_895"/>
        <s v="TASK_896"/>
        <s v="TASK_897"/>
        <s v="TASK_898"/>
        <s v="TASK_899"/>
        <s v="TASK_900"/>
        <s v="TASK_901"/>
        <s v="TASK_902"/>
        <s v="TASK_903"/>
        <s v="TASK_904"/>
        <s v="TASK_905"/>
        <s v="TASK_906"/>
        <s v="TASK_907"/>
        <s v="TASK_908"/>
        <s v="TASK_909"/>
        <s v="TASK_910"/>
        <s v="TASK_911"/>
        <s v="TASK_912"/>
        <s v="TASK_913"/>
        <s v="TASK_914"/>
        <s v="TASK_915"/>
        <s v="TASK_916"/>
        <s v="TASK_917"/>
        <s v="TASK_918"/>
        <s v="TASK_919"/>
        <s v="TASK_920"/>
        <s v="TASK_921"/>
        <s v="TASK_922"/>
        <s v="TASK_923"/>
        <s v="TASK_924"/>
        <s v="TASK_925"/>
        <s v="TASK_926"/>
        <s v="TASK_927"/>
        <s v="TASK_928"/>
        <s v="TASK_929"/>
        <s v="TASK_930"/>
        <s v="TASK_931"/>
        <s v="TASK_932"/>
        <s v="TASK_933"/>
        <s v="TASK_934"/>
        <s v="TASK_935"/>
        <s v="TASK_936"/>
        <s v="TASK_937"/>
        <s v="TASK_938"/>
        <s v="TASK_939"/>
        <s v="TASK_940"/>
        <s v="TASK_941"/>
        <s v="TASK_942"/>
        <s v="TASK_943"/>
        <s v="TASK_944"/>
        <s v="TASK_945"/>
        <s v="TASK_946"/>
        <s v="TASK_947"/>
        <s v="TASK_948"/>
        <s v="TASK_949"/>
        <s v="TASK_950"/>
        <s v="TASK_951"/>
        <s v="TASK_952"/>
        <s v="TASK_953"/>
        <s v="TASK_954"/>
        <s v="TASK_955"/>
        <s v="TASK_956"/>
        <s v="TASK_957"/>
        <s v="TASK_958"/>
        <s v="TASK_959"/>
        <s v="TASK_960"/>
        <s v="TASK_961"/>
        <s v="TASK_962"/>
        <s v="TASK_963"/>
        <s v="TASK_964"/>
        <s v="TASK_965"/>
        <s v="TASK_966"/>
        <s v="TASK_967"/>
        <s v="TASK_968"/>
        <s v="TASK_969"/>
        <s v="TASK_970"/>
        <s v="TASK_971"/>
        <s v="TASK_972"/>
        <s v="TASK_973"/>
        <s v="TASK_974"/>
        <s v="TASK_975"/>
        <s v="TASK_976"/>
        <s v="TASK_977"/>
        <s v="TASK_978"/>
        <s v="TASK_979"/>
        <s v="TASK_980"/>
        <s v="TASK_981"/>
        <s v="TASK_982"/>
        <s v="TASK_983"/>
        <s v="TASK_984"/>
        <s v="TASK_985"/>
        <s v="TASK_986"/>
        <s v="TASK_987"/>
        <s v="TASK_988"/>
        <s v="TASK_989"/>
        <s v="TASK_990"/>
        <s v="TASK_991"/>
        <s v="TASK_992"/>
        <s v="TASK_993"/>
        <s v="TASK_994"/>
        <s v="TASK_995"/>
        <s v="TASK_996"/>
        <s v="TASK_997"/>
        <s v="TASK_998"/>
        <s v="TASK_999"/>
        <s v="TASK_1000"/>
        <s v="TASK_1001"/>
        <s v="TASK_1002"/>
        <s v="TASK_1003"/>
        <s v="TASK_1004"/>
        <s v="TASK_1005"/>
        <s v="TASK_1006"/>
        <s v="TASK_1007"/>
        <s v="TASK_1008"/>
        <s v="TASK_1009"/>
        <s v="TASK_1010"/>
        <s v="TASK_1011"/>
        <s v="TASK_1012"/>
        <s v="TASK_1013"/>
        <s v="TASK_1014"/>
        <s v="TASK_1015"/>
        <s v="TASK_1016"/>
        <s v="TASK_1017"/>
        <s v="TASK_1018"/>
        <s v="TASK_1019"/>
        <s v="TASK_1020"/>
        <s v="TASK_1021"/>
        <s v="TASK_1022"/>
        <s v="TASK_1023"/>
        <s v="TASK_1024"/>
        <s v="TASK_1025"/>
        <s v="TASK_1026"/>
        <s v="TASK_1027"/>
        <s v="TASK_1028"/>
        <s v="TASK_1029"/>
        <s v="TASK_1030"/>
        <s v="TASK_1031"/>
        <s v="TASK_1032"/>
        <s v="TASK_1033"/>
        <s v="TASK_1034"/>
        <s v="TASK_1035"/>
        <s v="TASK_1036"/>
        <s v="TASK_1037"/>
        <s v="TASK_1038"/>
        <s v="TASK_1039"/>
        <s v="TASK_1040"/>
        <s v="TASK_1041"/>
        <s v="TASK_1042"/>
        <s v="TASK_1043"/>
        <s v="TASK_1044"/>
        <s v="TASK_1045"/>
        <s v="TASK_1046"/>
        <s v="TASK_1047"/>
        <s v="TASK_1048"/>
        <s v="TASK_1049"/>
        <s v="TASK_1050"/>
        <s v="TASK_1051"/>
        <s v="TASK_1052"/>
        <s v="TASK_1053"/>
        <s v="TASK_1054"/>
        <s v="TASK_1055"/>
        <s v="TASK_1056"/>
        <s v="TASK_1057"/>
        <s v="TASK_1058"/>
        <s v="TASK_1059"/>
        <s v="TASK_1060"/>
        <s v="TASK_1061"/>
        <s v="TASK_1062"/>
        <s v="TASK_1063"/>
        <s v="TASK_1064"/>
        <s v="TASK_1065"/>
        <s v="TASK_1066"/>
        <s v="TASK_1067"/>
        <s v="TASK_1068"/>
        <s v="TASK_1069"/>
        <s v="TASK_1070"/>
        <s v="TASK_1071"/>
        <s v="TASK_1072"/>
        <s v="TASK_1073"/>
        <s v="TASK_1074"/>
        <s v="TASK_1075"/>
        <s v="TASK_1076"/>
        <s v="TASK_1077"/>
        <s v="TASK_1078"/>
        <s v="TASK_1079"/>
        <s v="TASK_1080"/>
        <s v="TASK_1081"/>
        <s v="TASK_1082"/>
        <s v="TASK_1083"/>
        <s v="TASK_1084"/>
        <s v="TASK_1085"/>
        <s v="TASK_1086"/>
        <s v="TASK_1087"/>
        <s v="TASK_1088"/>
        <s v="TASK_1089"/>
        <s v="TASK_1090"/>
        <s v="TASK_1091"/>
        <s v="TASK_1092"/>
        <s v="TASK_1093"/>
        <s v="TASK_1094"/>
        <s v="TASK_1095"/>
        <s v="TASK_1096"/>
        <s v="TASK_1097"/>
        <s v="TASK_1098"/>
        <s v="TASK_1099"/>
        <s v="TASK_1100"/>
        <s v="TASK_1101"/>
        <s v="TASK_1102"/>
        <s v="TASK_1103"/>
        <s v="TASK_1104"/>
        <s v="TASK_1105"/>
        <s v="TASK_1106"/>
        <s v="TASK_1107"/>
        <s v="TASK_1108"/>
        <s v="TASK_1109"/>
        <s v="TASK_1110"/>
        <s v="TASK_1111"/>
        <s v="TASK_1112"/>
        <s v="TASK_1113"/>
        <s v="TASK_1114"/>
        <s v="TASK_1115"/>
        <s v="TASK_1116"/>
        <s v="TASK_1117"/>
        <s v="TASK_1118"/>
        <s v="TASK_1119"/>
        <s v="TASK_1120"/>
        <s v="TASK_1121"/>
        <s v="TASK_1122"/>
        <s v="TASK_1123"/>
        <s v="TASK_1124"/>
        <s v="TASK_1125"/>
        <s v="TASK_1126"/>
        <s v="TASK_1127"/>
        <s v="TASK_1128"/>
        <s v="TASK_1129"/>
        <s v="TASK_1130"/>
        <s v="TASK_1131"/>
        <s v="TASK_1132"/>
        <s v="TASK_1133"/>
        <s v="TASK_1134"/>
        <s v="TASK_1135"/>
        <s v="TASK_1136"/>
        <s v="TASK_1137"/>
        <s v="TASK_1138"/>
        <s v="TASK_1139"/>
        <s v="TASK_1140"/>
        <s v="TASK_1141"/>
        <s v="TASK_1142"/>
        <s v="TASK_1143"/>
        <s v="TASK_1144"/>
        <s v="TASK_1145"/>
        <s v="TASK_1146"/>
        <s v="TASK_1147"/>
        <s v="TASK_1148"/>
        <s v="TASK_1149"/>
        <s v="TASK_1150"/>
        <s v="TASK_1151"/>
        <s v="TASK_1152"/>
        <s v="TASK_1153"/>
        <s v="TASK_1154"/>
        <s v="TASK_1155"/>
        <s v="TASK_1156"/>
        <s v="TASK_1157"/>
        <s v="TASK_1158"/>
        <s v="TASK_1159"/>
        <s v="TASK_1160"/>
        <s v="TASK_1161"/>
        <s v="TASK_1162"/>
        <s v="TASK_1163"/>
        <s v="TASK_1164"/>
        <s v="TASK_1165"/>
        <s v="TASK_1166"/>
        <s v="TASK_1167"/>
        <s v="TASK_1168"/>
        <s v="TASK_1169"/>
        <s v="TASK_1170"/>
        <s v="TASK_1171"/>
        <s v="TASK_1172"/>
        <s v="TASK_1173"/>
        <s v="TASK_1174"/>
        <s v="TASK_1175"/>
        <s v="TASK_1176"/>
        <s v="TASK_1177"/>
        <s v="TASK_1178"/>
        <s v="TASK_1179"/>
        <s v="TASK_1180"/>
        <s v="TASK_1181"/>
        <s v="TASK_1182"/>
        <s v="TASK_1183"/>
        <s v="TASK_1184"/>
        <s v="TASK_1185"/>
        <s v="TASK_1186"/>
        <s v="TASK_1187"/>
        <s v="TASK_1188"/>
        <s v="TASK_1189"/>
        <s v="TASK_1190"/>
        <s v="TASK_1191"/>
        <s v="TASK_1192"/>
        <s v="TASK_1193"/>
        <s v="TASK_1194"/>
        <s v="TASK_1195"/>
        <s v="TASK_1196"/>
        <s v="TASK_1197"/>
        <s v="TASK_1198"/>
        <s v="TASK_1199"/>
        <s v="TASK_1200"/>
        <s v="TASK_1201"/>
        <s v="TASK_1202"/>
        <s v="TASK_1203"/>
        <s v="TASK_1204"/>
        <s v="TASK_1205"/>
        <s v="TASK_1206"/>
        <s v="TASK_1207"/>
        <s v="TASK_1208"/>
        <s v="TASK_1209"/>
        <s v="TASK_1210"/>
        <s v="TASK_1211"/>
        <s v="TASK_1212"/>
        <s v="TASK_1213"/>
        <s v="TASK_1214"/>
        <s v="TASK_1215"/>
        <s v="TASK_1216"/>
        <s v="TASK_1217"/>
        <s v="TASK_1218"/>
        <s v="TASK_1219"/>
        <s v="TASK_1220"/>
        <s v="TASK_1221"/>
        <s v="TASK_1222"/>
        <s v="TASK_1223"/>
        <s v="TASK_1224"/>
        <s v="TASK_1225"/>
        <s v="TASK_1226"/>
        <s v="TASK_1227"/>
        <s v="TASK_1228"/>
        <s v="TASK_1229"/>
        <s v="TASK_1230"/>
        <s v="TASK_1231"/>
        <s v="TASK_1232"/>
        <s v="TASK_1233"/>
        <s v="TASK_1234"/>
        <s v="TASK_1235"/>
        <s v="TASK_1236"/>
        <s v="TASK_1237"/>
        <s v="TASK_1238"/>
        <s v="TASK_1239"/>
        <s v="TASK_1240"/>
        <s v="TASK_1241"/>
        <s v="TASK_1242"/>
        <s v="TASK_1243"/>
        <s v="TASK_1244"/>
        <s v="TASK_1245"/>
        <s v="TASK_1246"/>
        <s v="TASK_1247"/>
        <s v="TASK_1248"/>
        <s v="TASK_1249"/>
        <s v="TASK_1250"/>
        <s v="TASK_1251"/>
        <s v="TASK_1252"/>
        <s v="TASK_1253"/>
        <s v="TASK_1254"/>
        <s v="TASK_1255"/>
        <s v="TASK_1256"/>
        <s v="TASK_1257"/>
        <s v="TASK_1258"/>
        <s v="TASK_1259"/>
        <s v="TASK_1260"/>
        <s v="TASK_1261"/>
        <s v="TASK_1262"/>
        <s v="TASK_1263"/>
        <s v="TASK_1264"/>
        <s v="TASK_1265"/>
        <s v="TASK_1266"/>
        <s v="TASK_1267"/>
        <s v="TASK_1268"/>
        <s v="TASK_1269"/>
        <s v="TASK_1270"/>
        <s v="TASK_1271"/>
        <s v="TASK_1272"/>
        <s v="TASK_1273"/>
        <s v="TASK_1274"/>
        <s v="TASK_1275"/>
        <s v="TASK_1276"/>
        <s v="TASK_1277"/>
        <s v="TASK_1278"/>
        <s v="TASK_1279"/>
        <s v="TASK_1280"/>
        <s v="TASK_1281"/>
        <s v="TASK_1282"/>
        <s v="TASK_1283"/>
        <s v="TASK_1284"/>
        <s v="TASK_1285"/>
        <s v="TASK_1286"/>
        <s v="TASK_1287"/>
        <s v="TASK_1288"/>
        <s v="TASK_1289"/>
        <s v="TASK_1290"/>
        <s v="TASK_1291"/>
        <s v="TASK_1292"/>
        <s v="TASK_1293"/>
        <s v="TASK_1294"/>
        <s v="TASK_1295"/>
        <s v="TASK_1296"/>
        <s v="TASK_1297"/>
        <s v="TASK_1298"/>
        <s v="TASK_1299"/>
        <s v="TASK_1300"/>
        <s v="TASK_1301"/>
        <s v="TASK_1302"/>
        <s v="TASK_1303"/>
        <s v="TASK_1304"/>
        <s v="TASK_1305"/>
        <s v="TASK_1306"/>
        <s v="TASK_1307"/>
        <s v="TASK_1308"/>
        <s v="TASK_1309"/>
        <s v="TASK_1310"/>
        <s v="TASK_1311"/>
        <s v="TASK_1312"/>
        <s v="TASK_1313"/>
        <s v="TASK_1314"/>
        <s v="TASK_1315"/>
        <s v="TASK_1316"/>
        <s v="TASK_1317"/>
        <s v="TASK_1318"/>
        <s v="TASK_1319"/>
        <s v="TASK_1320"/>
        <s v="TASK_1321"/>
        <s v="TASK_1322"/>
        <s v="TASK_1323"/>
        <s v="TASK_1324"/>
        <s v="TASK_1325"/>
        <s v="TASK_1326"/>
        <s v="TASK_1327"/>
        <s v="TASK_1328"/>
        <s v="TASK_1329"/>
        <s v="TASK_1330"/>
        <s v="TASK_1331"/>
        <s v="TASK_1332"/>
        <s v="TASK_1333"/>
        <s v="TASK_1334"/>
        <s v="TASK_1335"/>
        <s v="TASK_1336"/>
        <s v="TASK_1337"/>
        <s v="TASK_1338"/>
        <s v="TASK_1339"/>
        <s v="TASK_1340"/>
        <s v="TASK_1341"/>
        <s v="TASK_1342"/>
        <s v="TASK_1343"/>
        <s v="TASK_1344"/>
        <s v="TASK_1345"/>
        <s v="TASK_1346"/>
        <s v="TASK_1347"/>
        <s v="TASK_1348"/>
        <s v="TASK_1349"/>
        <s v="TASK_1350"/>
        <s v="TASK_1351"/>
        <s v="TASK_1352"/>
        <s v="TASK_1353"/>
        <s v="TASK_1354"/>
        <s v="TASK_1355"/>
        <s v="TASK_1356"/>
        <s v="TASK_1357"/>
        <s v="TASK_1358"/>
        <s v="TASK_1359"/>
        <s v="TASK_1360"/>
        <s v="TASK_1361"/>
        <s v="TASK_1362"/>
        <s v="TASK_1363"/>
        <s v="TASK_1364"/>
        <s v="TASK_1365"/>
        <s v="TASK_1366"/>
        <s v="TASK_1367"/>
        <s v="TASK_1368"/>
        <s v="TASK_1369"/>
        <s v="TASK_1370"/>
        <s v="TASK_1371"/>
        <s v="TASK_1372"/>
        <s v="TASK_1373"/>
        <s v="TASK_1374"/>
        <s v="TASK_1375"/>
        <s v="TASK_1376"/>
        <s v="TASK_1377"/>
        <s v="TASK_1378"/>
        <s v="TASK_1379"/>
        <s v="TASK_1380"/>
        <s v="TASK_1381"/>
        <s v="TASK_1382"/>
        <s v="TASK_1383"/>
        <s v="TASK_1384"/>
        <s v="TASK_1385"/>
        <s v="TASK_1386"/>
        <s v="TASK_1387"/>
        <s v="TASK_1388"/>
        <s v="TASK_1389"/>
        <s v="TASK_1390"/>
        <s v="TASK_1391"/>
        <s v="TASK_1392"/>
        <s v="TASK_1393"/>
        <s v="TASK_1394"/>
        <s v="TASK_1395"/>
        <s v="TASK_1396"/>
        <s v="TASK_1397"/>
        <s v="TASK_1398"/>
        <s v="TASK_1399"/>
        <s v="TASK_1400"/>
        <s v="TASK_1401"/>
        <s v="TASK_1402"/>
        <s v="TASK_1403"/>
        <s v="TASK_1404"/>
        <s v="TASK_1405"/>
        <s v="TASK_1406"/>
        <s v="TASK_1407"/>
        <s v="TASK_1408"/>
        <s v="TASK_1409"/>
        <s v="TASK_1410"/>
        <s v="TASK_1411"/>
        <s v="TASK_1412"/>
        <s v="TASK_1413"/>
        <s v="TASK_1414"/>
        <s v="TASK_1415"/>
        <s v="TASK_1416"/>
        <s v="TASK_1417"/>
        <s v="TASK_1418"/>
        <s v="TASK_1419"/>
        <s v="TASK_1420"/>
        <s v="TASK_1421"/>
        <s v="TASK_1422"/>
        <s v="TASK_1423"/>
        <s v="TASK_1424"/>
        <s v="TASK_1425"/>
        <s v="TASK_1426"/>
        <s v="TASK_1427"/>
        <s v="TASK_1428"/>
        <s v="TASK_1429"/>
        <s v="TASK_1430"/>
        <s v="TASK_1431"/>
        <s v="TASK_1432"/>
        <s v="TASK_1433"/>
        <s v="TASK_1434"/>
        <s v="TASK_1435"/>
        <s v="TASK_1436"/>
        <s v="TASK_1437"/>
        <s v="TASK_1438"/>
        <s v="TASK_1439"/>
        <s v="TASK_1440"/>
        <s v="TASK_1441"/>
        <s v="TASK_1442"/>
        <s v="TASK_1443"/>
        <s v="TASK_1444"/>
        <s v="TASK_1445"/>
        <s v="TASK_1446"/>
        <s v="TASK_1447"/>
        <s v="TASK_1448"/>
        <s v="TASK_1449"/>
        <s v="TASK_1450"/>
        <s v="TASK_1451"/>
        <s v="TASK_1452"/>
        <s v="TASK_1453"/>
        <s v="TASK_1454"/>
        <s v="TASK_1455"/>
        <s v="TASK_1456"/>
        <s v="TASK_1457"/>
        <s v="TASK_1458"/>
        <s v="TASK_1459"/>
        <s v="TASK_1460"/>
        <s v="TASK_1461"/>
        <s v="TASK_1462"/>
        <s v="TASK_1463"/>
        <s v="TASK_1464"/>
        <s v="TASK_1465"/>
        <s v="TASK_1466"/>
        <s v="TASK_1467"/>
        <s v="TASK_1468"/>
        <s v="TASK_1469"/>
        <s v="TASK_1470"/>
        <s v="TASK_1471"/>
        <s v="TASK_1472"/>
        <s v="TASK_1473"/>
        <s v="TASK_1474"/>
        <s v="TASK_1475"/>
        <s v="TASK_1476"/>
        <s v="TASK_1477"/>
        <s v="TASK_1478"/>
        <s v="TASK_1479"/>
        <s v="TASK_1480"/>
        <s v="TASK_1481"/>
        <s v="TASK_1482"/>
        <s v="TASK_1483"/>
        <s v="TASK_1484"/>
        <s v="TASK_1485"/>
        <s v="TASK_1486"/>
        <s v="TASK_1487"/>
        <s v="TASK_1488"/>
        <s v="TASK_1489"/>
        <s v="TASK_1490"/>
        <s v="TASK_1491"/>
        <s v="TASK_1492"/>
        <s v="TASK_1493"/>
        <s v="TASK_1494"/>
        <s v="TASK_1495"/>
        <s v="TASK_1496"/>
        <s v="TASK_1497"/>
        <s v="TASK_1498"/>
        <s v="TASK_1499"/>
        <s v="TASK_1500"/>
        <s v="TASK_1501"/>
        <s v="TASK_1502"/>
        <s v="TASK_1503"/>
        <s v="TASK_1504"/>
        <s v="TASK_1505"/>
        <s v="TASK_1506"/>
        <s v="TASK_1507"/>
        <s v="TASK_1508"/>
        <s v="TASK_1509"/>
        <s v="TASK_1510"/>
        <s v="TASK_1511"/>
        <s v="TASK_1512"/>
        <s v="TASK_1513"/>
        <s v="TASK_1514"/>
        <s v="TASK_1515"/>
        <s v="TASK_1516"/>
        <s v="TASK_1517"/>
        <s v="TASK_1518"/>
        <s v="TASK_1519"/>
        <s v="TASK_1520"/>
        <s v="TASK_1521"/>
        <s v="TASK_1522"/>
        <s v="TASK_1523"/>
        <s v="TASK_1524"/>
        <s v="TASK_1525"/>
        <s v="TASK_1526"/>
        <s v="TASK_1527"/>
        <s v="TASK_1528"/>
        <s v="TASK_1529"/>
        <s v="TASK_1530"/>
        <s v="TASK_1531"/>
        <s v="TASK_1532"/>
        <s v="TASK_1533"/>
        <s v="TASK_1534"/>
        <s v="TASK_1535"/>
        <s v="TASK_1536"/>
        <s v="TASK_1537"/>
        <s v="TASK_1538"/>
        <s v="TASK_1539"/>
        <s v="TASK_1540"/>
        <s v="TASK_1541"/>
        <s v="TASK_1542"/>
        <s v="TASK_1543"/>
        <s v="TASK_1544"/>
        <s v="TASK_1545"/>
        <s v="TASK_1546"/>
        <s v="TASK_1547"/>
        <s v="TASK_1548"/>
        <s v="TASK_1549"/>
        <s v="TASK_1550"/>
        <s v="TASK_1551"/>
        <s v="TASK_1552"/>
        <s v="TASK_1553"/>
        <s v="TASK_1554"/>
        <s v="TASK_1555"/>
        <s v="TASK_1556"/>
        <s v="TASK_1557"/>
        <s v="TASK_1558"/>
        <s v="TASK_1559"/>
        <s v="TASK_1560"/>
        <s v="TASK_1561"/>
        <s v="TASK_1562"/>
        <s v="TASK_1563"/>
        <s v="TASK_1564"/>
        <s v="TASK_1565"/>
        <s v="TASK_1566"/>
        <s v="TASK_1567"/>
        <s v="TASK_1568"/>
        <s v="TASK_1569"/>
        <s v="TASK_1570"/>
        <s v="TASK_1571"/>
        <s v="TASK_1572"/>
        <s v="TASK_1573"/>
        <s v="TASK_1574"/>
        <s v="TASK_1575"/>
        <s v="TASK_1576"/>
        <s v="TASK_1577"/>
        <s v="TASK_1578"/>
        <s v="TASK_1579"/>
        <s v="TASK_1580"/>
        <s v="TASK_1581"/>
        <s v="TASK_1582"/>
        <s v="TASK_1583"/>
        <s v="TASK_1584"/>
        <s v="TASK_1585"/>
        <s v="TASK_1586"/>
        <s v="TASK_1587"/>
        <s v="TASK_1588"/>
        <s v="TASK_1589"/>
        <s v="TASK_1590"/>
        <s v="TASK_1591"/>
        <s v="TASK_1592"/>
        <s v="TASK_1593"/>
        <s v="TASK_1594"/>
        <s v="TASK_1595"/>
        <s v="TASK_1596"/>
        <s v="TASK_1597"/>
        <s v="TASK_1598"/>
        <s v="TASK_1599"/>
        <s v="TASK_1600"/>
        <s v="TASK_1601"/>
        <s v="TASK_1602"/>
        <s v="TASK_1603"/>
        <s v="TASK_1604"/>
        <s v="TASK_1605"/>
        <s v="TASK_1606"/>
        <s v="TASK_1607"/>
        <s v="TASK_1608"/>
        <s v="TASK_1609"/>
        <s v="TASK_1610"/>
        <s v="TASK_1611"/>
        <s v="TASK_1612"/>
        <s v="TASK_1613"/>
        <s v="TASK_1614"/>
        <s v="TASK_1615"/>
        <s v="TASK_1616"/>
        <s v="TASK_1617"/>
        <s v="TASK_1618"/>
        <s v="TASK_1619"/>
        <s v="TASK_1620"/>
        <s v="TASK_1621"/>
        <s v="TASK_1622"/>
        <s v="TASK_1623"/>
        <s v="TASK_1624"/>
        <s v="TASK_1625"/>
        <s v="TASK_1626"/>
        <s v="TASK_1627"/>
        <s v="TASK_1628"/>
        <s v="TASK_1629"/>
        <s v="TASK_1630"/>
        <s v="TASK_1631"/>
        <s v="TASK_1632"/>
        <s v="TASK_1633"/>
        <s v="TASK_1634"/>
        <s v="TASK_1635"/>
        <s v="TASK_1636"/>
        <s v="TASK_1637"/>
        <s v="TASK_1638"/>
        <s v="TASK_1639"/>
        <s v="TASK_1640"/>
        <s v="TASK_1641"/>
        <s v="TASK_1642"/>
        <s v="TASK_1643"/>
        <s v="TASK_1644"/>
        <s v="TASK_1645"/>
        <s v="TASK_1646"/>
        <s v="TASK_1647"/>
        <s v="TASK_1648"/>
        <s v="TASK_1649"/>
        <s v="TASK_1650"/>
        <s v="TASK_1651"/>
        <s v="TASK_1652"/>
        <s v="TASK_1653"/>
        <s v="TASK_1654"/>
        <s v="TASK_1655"/>
        <s v="TASK_1656"/>
        <s v="TASK_1657"/>
        <s v="TASK_1658"/>
        <s v="TASK_1659"/>
        <s v="TASK_1660"/>
        <s v="TASK_1661"/>
        <s v="TASK_1662"/>
        <s v="TASK_1663"/>
        <s v="TASK_1664"/>
        <s v="TASK_1665"/>
        <s v="TASK_1666"/>
        <s v="TASK_1667"/>
        <s v="TASK_1668"/>
        <s v="TASK_1669"/>
        <s v="TASK_1670"/>
        <s v="TASK_1671"/>
        <s v="TASK_1672"/>
        <s v="TASK_1673"/>
        <s v="TASK_1674"/>
        <s v="TASK_1675"/>
        <s v="TASK_1676"/>
        <s v="TASK_1677"/>
        <s v="TASK_1678"/>
        <s v="TASK_1679"/>
        <s v="TASK_1680"/>
        <s v="TASK_1681"/>
        <s v="TASK_1682"/>
        <s v="TASK_1683"/>
        <s v="TASK_1684"/>
        <s v="TASK_1685"/>
        <s v="TASK_1686"/>
        <s v="TASK_1687"/>
        <s v="TASK_1688"/>
        <s v="TASK_1689"/>
        <s v="TASK_1690"/>
        <s v="TASK_1691"/>
        <s v="TASK_1692"/>
        <s v="TASK_1693"/>
        <s v="TASK_1694"/>
        <s v="TASK_1695"/>
        <s v="TASK_1696"/>
        <s v="TASK_1697"/>
        <s v="TASK_1698"/>
        <s v="TASK_1699"/>
        <s v="TASK_1700"/>
        <s v="TASK_1701"/>
        <s v="TASK_1702"/>
        <s v="TASK_1703"/>
        <s v="TASK_1704"/>
        <s v="TASK_1705"/>
        <s v="TASK_1706"/>
        <s v="TASK_1707"/>
        <s v="TASK_1708"/>
        <s v="TASK_1709"/>
        <s v="TASK_1710"/>
        <s v="TASK_1711"/>
        <s v="TASK_1712"/>
        <s v="TASK_1713"/>
        <s v="TASK_1714"/>
        <s v="TASK_1715"/>
        <s v="TASK_1716"/>
        <s v="TASK_1717"/>
        <s v="TASK_1718"/>
        <s v="TASK_1719"/>
        <s v="TASK_1720"/>
        <s v="TASK_1721"/>
        <s v="TASK_1722"/>
        <s v="TASK_1723"/>
        <s v="TASK_1724"/>
        <s v="TASK_1725"/>
        <s v="TASK_1726"/>
        <s v="TASK_1727"/>
        <s v="TASK_1728"/>
        <s v="TASK_1729"/>
        <s v="TASK_1730"/>
        <s v="TASK_1731"/>
        <s v="TASK_1732"/>
        <s v="TASK_1733"/>
        <s v="TASK_1734"/>
        <s v="TASK_1735"/>
        <s v="TASK_1736"/>
        <s v="TASK_1737"/>
        <s v="TASK_1738"/>
        <s v="TASK_1739"/>
        <s v="TASK_1740"/>
        <s v="TASK_1741"/>
        <s v="TASK_1742"/>
        <s v="TASK_1743"/>
        <s v="TASK_1744"/>
        <s v="TASK_1745"/>
        <s v="TASK_1746"/>
        <s v="TASK_1747"/>
        <s v="TASK_1748"/>
        <s v="TASK_1749"/>
        <s v="TASK_1750"/>
        <s v="TASK_1751"/>
        <s v="TASK_1752"/>
        <s v="TASK_1753"/>
        <s v="TASK_1754"/>
        <s v="TASK_1755"/>
        <s v="TASK_1756"/>
        <s v="TASK_1757"/>
        <s v="TASK_1758"/>
        <s v="TASK_1759"/>
        <s v="TASK_1760"/>
        <s v="TASK_1761"/>
        <s v="TASK_1762"/>
        <s v="TASK_1763"/>
        <s v="TASK_1764"/>
        <s v="TASK_1765"/>
        <s v="TASK_1766"/>
        <s v="TASK_1767"/>
        <s v="TASK_1768"/>
        <s v="TASK_1769"/>
        <s v="TASK_1770"/>
        <s v="TASK_1771"/>
        <s v="TASK_1772"/>
        <s v="TASK_1773"/>
        <s v="TASK_1774"/>
        <s v="TASK_1775"/>
        <s v="TASK_1776"/>
        <s v="TASK_1777"/>
        <s v="TASK_1778"/>
        <s v="TASK_1779"/>
        <s v="TASK_1780"/>
        <s v="TASK_1781"/>
        <s v="TASK_1782"/>
        <s v="TASK_1783"/>
        <s v="TASK_1784"/>
        <s v="TASK_1785"/>
        <s v="TASK_1786"/>
        <s v="TASK_1787"/>
        <s v="TASK_1788"/>
        <s v="TASK_1789"/>
        <s v="TASK_1790"/>
        <s v="TASK_1791"/>
        <s v="TASK_1792"/>
        <s v="TASK_1793"/>
        <s v="TASK_1794"/>
        <s v="TASK_1795"/>
        <s v="TASK_1796"/>
        <s v="TASK_1797"/>
        <s v="TASK_1798"/>
        <s v="TASK_1799"/>
        <s v="TASK_1800"/>
        <s v="TASK_1801"/>
        <s v="TASK_1802"/>
        <s v="TASK_1803"/>
        <s v="TASK_1804"/>
        <s v="TASK_1805"/>
        <s v="TASK_1806"/>
        <s v="TASK_1807"/>
        <s v="TASK_1808"/>
        <s v="TASK_1809"/>
        <s v="TASK_1810"/>
        <s v="TASK_1811"/>
        <s v="TASK_1812"/>
        <s v="TASK_1813"/>
        <s v="TASK_1814"/>
        <s v="TASK_1815"/>
        <s v="TASK_1816"/>
        <s v="TASK_1817"/>
        <s v="TASK_1818"/>
        <s v="TASK_1819"/>
        <s v="TASK_1820"/>
        <s v="TASK_1821"/>
        <s v="TASK_1822"/>
        <s v="TASK_1823"/>
        <s v="TASK_1824"/>
        <s v="TASK_1825"/>
        <s v="TASK_1826"/>
        <s v="TASK_1827"/>
        <s v="TASK_1828"/>
        <s v="TASK_1829"/>
        <s v="TASK_1830"/>
        <s v="TASK_1831"/>
        <s v="TASK_1832"/>
        <s v="TASK_1833"/>
        <s v="TASK_1834"/>
        <s v="TASK_1835"/>
        <s v="TASK_1836"/>
        <s v="TASK_1837"/>
        <s v="TASK_1838"/>
        <s v="TASK_1839"/>
        <s v="TASK_1840"/>
        <s v="TASK_1841"/>
        <s v="TASK_1842"/>
        <s v="TASK_1843"/>
        <s v="TASK_1844"/>
        <s v="TASK_1845"/>
        <s v="TASK_1846"/>
        <s v="TASK_1847"/>
        <s v="TASK_1848"/>
        <s v="TASK_1849"/>
        <s v="TASK_1850"/>
        <s v="TASK_1851"/>
        <s v="TASK_1852"/>
        <s v="TASK_1853"/>
        <s v="TASK_1854"/>
        <s v="TASK_1855"/>
        <s v="TASK_1856"/>
        <s v="TASK_1857"/>
        <s v="TASK_1858"/>
        <s v="TASK_1859"/>
        <s v="TASK_1860"/>
        <s v="TASK_1861"/>
        <s v="TASK_1862"/>
        <s v="TASK_1863"/>
        <s v="TASK_1864"/>
        <s v="TASK_1865"/>
        <s v="TASK_1866"/>
        <s v="TASK_1867"/>
        <s v="TASK_1868"/>
        <s v="TASK_1869"/>
        <s v="TASK_1870"/>
        <s v="TASK_1871"/>
        <s v="TASK_1872"/>
        <s v="TASK_1873"/>
        <s v="TASK_1874"/>
        <s v="TASK_1875"/>
        <s v="TASK_1876"/>
        <s v="TASK_1877"/>
        <s v="TASK_1878"/>
        <s v="TASK_1879"/>
        <s v="TASK_1880"/>
        <s v="TASK_1881"/>
        <s v="TASK_1882"/>
        <s v="TASK_1883"/>
        <s v="TASK_1884"/>
        <s v="TASK_1885"/>
        <s v="TASK_1886"/>
        <s v="TASK_1887"/>
        <s v="TASK_1888"/>
        <s v="TASK_1889"/>
        <s v="TASK_1890"/>
        <s v="TASK_1891"/>
        <s v="TASK_1892"/>
        <s v="TASK_1893"/>
        <s v="TASK_1894"/>
        <s v="TASK_1895"/>
        <s v="TASK_1896"/>
        <s v="TASK_1897"/>
        <s v="TASK_1898"/>
        <s v="TASK_1899"/>
        <s v="TASK_1900"/>
        <s v="TASK_1901"/>
        <s v="TASK_1902"/>
        <s v="TASK_1903"/>
        <s v="TASK_1904"/>
        <s v="TASK_1905"/>
        <s v="TASK_1906"/>
        <s v="TASK_1907"/>
        <s v="TASK_1908"/>
        <s v="TASK_1909"/>
        <s v="TASK_1910"/>
        <s v="TASK_1911"/>
        <s v="TASK_1912"/>
        <s v="TASK_1913"/>
        <s v="TASK_1914"/>
        <s v="TASK_1915"/>
        <s v="TASK_1916"/>
        <s v="TASK_1917"/>
        <s v="TASK_1918"/>
        <s v="TASK_1919"/>
        <s v="TASK_1920"/>
        <s v="TASK_1921"/>
        <s v="TASK_1922"/>
        <s v="TASK_1923"/>
        <s v="TASK_1924"/>
        <s v="TASK_1925"/>
        <s v="TASK_1926"/>
        <s v="TASK_1927"/>
        <s v="TASK_1928"/>
        <s v="TASK_1929"/>
        <s v="TASK_1930"/>
        <s v="TASK_1931"/>
        <s v="TASK_1932"/>
        <s v="TASK_1933"/>
        <s v="TASK_1934"/>
        <s v="TASK_1935"/>
        <s v="TASK_1936"/>
        <s v="TASK_1937"/>
        <s v="TASK_1938"/>
        <s v="TASK_1939"/>
        <s v="TASK_1940"/>
        <s v="TASK_1941"/>
        <s v="TASK_1942"/>
        <s v="TASK_1943"/>
        <s v="TASK_1944"/>
        <s v="TASK_1945"/>
        <s v="TASK_1946"/>
        <s v="TASK_1947"/>
        <s v="TASK_1948"/>
        <s v="TASK_1949"/>
        <s v="TASK_1950"/>
        <s v="TASK_1951"/>
        <s v="TASK_1952"/>
        <s v="TASK_1953"/>
        <s v="TASK_1954"/>
        <s v="TASK_1955"/>
        <s v="TASK_1956"/>
        <s v="TASK_1957"/>
        <s v="TASK_1958"/>
        <s v="TASK_1959"/>
        <s v="TASK_1960"/>
        <s v="TASK_1961"/>
        <s v="TASK_1962"/>
        <s v="TASK_1963"/>
        <s v="TASK_1964"/>
        <s v="TASK_1965"/>
        <s v="TASK_1966"/>
        <s v="TASK_1967"/>
        <s v="TASK_1968"/>
        <s v="TASK_1969"/>
        <s v="TASK_1970"/>
        <s v="TASK_1971"/>
        <s v="TASK_1972"/>
        <s v="TASK_1973"/>
        <s v="TASK_1974"/>
        <s v="TASK_1975"/>
        <s v="TASK_1976"/>
        <s v="TASK_1977"/>
        <s v="TASK_1978"/>
        <s v="TASK_1979"/>
        <s v="TASK_1980"/>
        <s v="TASK_1981"/>
        <s v="TASK_1982"/>
        <s v="TASK_1983"/>
        <s v="TASK_1984"/>
        <s v="TASK_1985"/>
        <s v="TASK_1986"/>
        <s v="TASK_1987"/>
        <s v="TASK_1988"/>
        <s v="TASK_1989"/>
        <s v="TASK_1990"/>
        <s v="TASK_1991"/>
        <s v="TASK_1992"/>
        <s v="TASK_1993"/>
        <s v="TASK_1994"/>
        <s v="TASK_1995"/>
        <s v="TASK_1996"/>
        <s v="TASK_1997"/>
        <s v="TASK_1998"/>
        <s v="TASK_1999"/>
        <s v="TASK_2000"/>
        <s v="TASK_2001"/>
        <s v="TASK_2002"/>
        <s v="TASK_2003"/>
        <s v="TASK_2004"/>
        <s v="TASK_2005"/>
        <s v="TASK_2006"/>
        <s v="TASK_2007"/>
        <s v="TASK_2008"/>
        <s v="TASK_2009"/>
        <s v="TASK_2010"/>
        <s v="TASK_2011"/>
        <s v="TASK_2012"/>
        <s v="TASK_2013"/>
        <s v="TASK_2014"/>
        <s v="TASK_2015"/>
        <s v="TASK_2016"/>
        <s v="TASK_2017"/>
        <s v="TASK_2018"/>
        <s v="TASK_2019"/>
        <s v="TASK_2020"/>
        <s v="TASK_2021"/>
        <s v="TASK_2022"/>
        <s v="TASK_2023"/>
        <s v="TASK_2024"/>
        <s v="TASK_2025"/>
        <s v="TASK_2026"/>
        <s v="TASK_2027"/>
        <s v="TASK_2028"/>
        <s v="TASK_2029"/>
        <s v="TASK_2030"/>
        <s v="TASK_2031"/>
        <s v="TASK_2032"/>
        <s v="TASK_2033"/>
        <s v="TASK_2034"/>
        <s v="TASK_2035"/>
        <s v="TASK_2036"/>
        <s v="TASK_2037"/>
        <s v="TASK_2038"/>
        <s v="TASK_2039"/>
        <s v="TASK_2040"/>
        <s v="TASK_2041"/>
        <s v="TASK_2042"/>
        <s v="TASK_2043"/>
        <s v="TASK_2044"/>
        <s v="TASK_2045"/>
        <s v="TASK_2046"/>
        <s v="TASK_2047"/>
        <s v="TASK_2048"/>
        <s v="TASK_2049"/>
        <s v="TASK_2050"/>
        <s v="TASK_2051"/>
        <s v="TASK_2052"/>
        <s v="TASK_2053"/>
        <s v="TASK_2054"/>
        <s v="TASK_2055"/>
        <s v="TASK_2056"/>
        <s v="TASK_2057"/>
        <s v="TASK_2058"/>
        <s v="TASK_2059"/>
        <s v="TASK_2060"/>
        <s v="TASK_2061"/>
        <s v="TASK_2062"/>
        <s v="TASK_2063"/>
        <s v="TASK_2064"/>
        <s v="TASK_2065"/>
        <s v="TASK_2066"/>
        <s v="TASK_2067"/>
        <s v="TASK_2068"/>
        <s v="TASK_2069"/>
        <s v="TASK_2070"/>
        <s v="TASK_2071"/>
        <s v="TASK_2072"/>
        <s v="TASK_2073"/>
        <s v="TASK_2074"/>
        <s v="TASK_2075"/>
        <s v="TASK_2076"/>
        <s v="TASK_2077"/>
        <s v="TASK_2078"/>
        <s v="TASK_2079"/>
        <s v="TASK_2080"/>
        <s v="TASK_2081"/>
        <s v="TASK_2082"/>
        <s v="TASK_2083"/>
        <s v="TASK_2084"/>
        <s v="TASK_2085"/>
        <s v="TASK_2086"/>
        <s v="TASK_2087"/>
        <s v="TASK_2088"/>
        <s v="TASK_2089"/>
        <s v="TASK_2090"/>
        <s v="TASK_2091"/>
        <s v="TASK_2092"/>
        <s v="TASK_2093"/>
        <s v="TASK_2094"/>
        <s v="TASK_2095"/>
        <s v="TASK_2096"/>
        <s v="TASK_2097"/>
        <s v="TASK_2098"/>
        <s v="TASK_2099"/>
        <s v="TASK_2100"/>
        <s v="TASK_2101"/>
        <s v="TASK_2102"/>
        <s v="TASK_2103"/>
        <s v="TASK_2104"/>
        <s v="TASK_2105"/>
        <s v="TASK_2106"/>
        <s v="TASK_2107"/>
        <s v="TASK_2108"/>
        <s v="TASK_2109"/>
        <s v="TASK_2110"/>
        <s v="TASK_2111"/>
        <s v="TASK_2112"/>
        <s v="TASK_2113"/>
        <s v="TASK_2114"/>
        <s v="TASK_2115"/>
        <s v="TASK_2116"/>
        <s v="TASK_2117"/>
        <s v="TASK_2118"/>
        <s v="TASK_2119"/>
        <s v="TASK_2120"/>
        <s v="TASK_2121"/>
        <s v="TASK_2122"/>
        <s v="TASK_2123"/>
        <s v="TASK_2124"/>
        <s v="TASK_2125"/>
        <s v="TASK_2126"/>
        <s v="TASK_2127"/>
        <s v="TASK_2128"/>
        <s v="TASK_2129"/>
        <s v="TASK_2130"/>
        <s v="TASK_2131"/>
        <s v="TASK_2132"/>
        <s v="TASK_2133"/>
        <s v="TASK_2134"/>
        <s v="TASK_2135"/>
        <s v="TASK_2136"/>
        <s v="TASK_2137"/>
        <s v="TASK_2138"/>
        <s v="TASK_2139"/>
        <s v="TASK_2140"/>
        <s v="TASK_2141"/>
        <s v="TASK_2142"/>
        <s v="TASK_2143"/>
        <s v="TASK_2144"/>
        <s v="TASK_2145"/>
        <s v="TASK_2146"/>
        <s v="TASK_2147"/>
        <s v="TASK_2148"/>
        <s v="TASK_2149"/>
        <s v="TASK_2150"/>
        <s v="TASK_2151"/>
        <s v="TASK_2152"/>
        <s v="TASK_2153"/>
        <s v="TASK_2154"/>
        <s v="TASK_2155"/>
        <s v="TASK_2156"/>
        <s v="TASK_2157"/>
        <s v="TASK_2158"/>
        <s v="TASK_2159"/>
        <s v="TASK_2160"/>
        <s v="TASK_2161"/>
        <s v="TASK_2162"/>
        <s v="TASK_2163"/>
        <s v="TASK_2164"/>
        <s v="TASK_2165"/>
        <s v="TASK_2166"/>
        <s v="TASK_2167"/>
        <s v="TASK_2168"/>
        <s v="TASK_2169"/>
        <s v="TASK_2170"/>
        <s v="TASK_2171"/>
        <s v="TASK_2172"/>
        <s v="TASK_2173"/>
        <s v="TASK_2174"/>
        <s v="TASK_2175"/>
        <s v="TASK_2176"/>
        <s v="TASK_2177"/>
        <s v="TASK_2178"/>
        <s v="TASK_2179"/>
        <s v="TASK_2180"/>
        <s v="TASK_2181"/>
        <s v="TASK_2182"/>
        <s v="TASK_2183"/>
        <s v="TASK_2184"/>
        <s v="TASK_2185"/>
        <s v="TASK_2186"/>
        <s v="TASK_2187"/>
        <s v="TASK_2188"/>
        <s v="TASK_2189"/>
        <s v="TASK_2190"/>
        <s v="TASK_2191"/>
        <s v="TASK_2192"/>
        <s v="TASK_2193"/>
        <s v="TASK_2194"/>
        <s v="TASK_2195"/>
        <s v="TASK_2196"/>
        <s v="TASK_2197"/>
        <s v="TASK_2198"/>
        <s v="TASK_2199"/>
        <s v="TASK_2200"/>
        <s v="TASK_2201"/>
        <s v="TASK_2202"/>
        <s v="TASK_2203"/>
        <s v="TASK_2204"/>
        <s v="TASK_2205"/>
        <s v="TASK_2206"/>
        <s v="TASK_2207"/>
        <s v="TASK_2208"/>
        <s v="TASK_2209"/>
        <s v="TASK_2210"/>
        <s v="TASK_2211"/>
        <s v="TASK_2212"/>
        <s v="TASK_2213"/>
        <s v="TASK_2214"/>
        <s v="TASK_2215"/>
        <s v="TASK_2216"/>
        <s v="TASK_2217"/>
        <s v="TASK_2218"/>
        <s v="TASK_2219"/>
        <s v="TASK_2220"/>
        <s v="TASK_2221"/>
        <s v="TASK_2222"/>
        <s v="TASK_2223"/>
        <s v="TASK_2224"/>
        <s v="TASK_2225"/>
        <s v="TASK_2226"/>
        <s v="TASK_2227"/>
        <s v="TASK_2228"/>
        <s v="TASK_2229"/>
        <s v="TASK_2230"/>
        <s v="TASK_2231"/>
        <s v="TASK_2232"/>
        <s v="TASK_2233"/>
        <s v="TASK_2234"/>
        <s v="TASK_2235"/>
        <s v="TASK_2236"/>
        <s v="TASK_2237"/>
        <s v="TASK_2238"/>
        <s v="TASK_2239"/>
        <s v="TASK_2240"/>
        <s v="TASK_2241"/>
        <s v="TASK_2242"/>
        <s v="TASK_2243"/>
        <s v="TASK_2244"/>
        <s v="TASK_2245"/>
        <s v="TASK_2246"/>
        <s v="TASK_2247"/>
        <s v="TASK_2248"/>
        <s v="TASK_2249"/>
        <s v="TASK_2250"/>
        <s v="TASK_2251"/>
        <s v="TASK_2252"/>
        <s v="TASK_2253"/>
        <s v="TASK_2254"/>
        <s v="TASK_2255"/>
        <s v="TASK_2256"/>
        <s v="TASK_2257"/>
        <s v="TASK_2258"/>
        <s v="TASK_2259"/>
        <s v="TASK_2260"/>
        <s v="TASK_2261"/>
        <s v="TASK_2262"/>
        <s v="TASK_2263"/>
        <s v="TASK_2264"/>
        <s v="TASK_2265"/>
        <s v="TASK_2266"/>
        <s v="TASK_2267"/>
        <s v="TASK_2268"/>
        <s v="TASK_2269"/>
        <s v="TASK_2270"/>
        <s v="TASK_2271"/>
        <s v="TASK_2272"/>
        <s v="TASK_2273"/>
        <s v="TASK_2274"/>
        <s v="TASK_2275"/>
        <s v="TASK_2276"/>
        <s v="TASK_2277"/>
        <s v="TASK_2278"/>
        <s v="TASK_2279"/>
        <s v="TASK_2280"/>
        <s v="TASK_2281"/>
        <s v="TASK_2282"/>
        <s v="TASK_2283"/>
        <s v="TASK_2284"/>
        <s v="TASK_2285"/>
        <s v="TASK_2286"/>
        <s v="TASK_2287"/>
        <s v="TASK_2288"/>
        <s v="TASK_2289"/>
        <s v="TASK_2290"/>
        <s v="TASK_2291"/>
        <s v="TASK_2292"/>
        <s v="TASK_2293"/>
        <s v="TASK_2294"/>
        <s v="TASK_2295"/>
        <s v="TASK_2296"/>
        <s v="TASK_2297"/>
        <s v="TASK_2298"/>
        <s v="TASK_2299"/>
        <s v="TASK_2300"/>
        <s v="TASK_2301"/>
        <s v="TASK_2302"/>
        <s v="TASK_2303"/>
        <s v="TASK_2304"/>
        <s v="TASK_2305"/>
        <s v="TASK_2306"/>
        <s v="TASK_2307"/>
        <s v="TASK_2308"/>
        <s v="TASK_2309"/>
        <s v="TASK_2310"/>
        <s v="TASK_2311"/>
        <s v="TASK_2312"/>
        <s v="TASK_2313"/>
        <s v="TASK_2314"/>
        <s v="TASK_2315"/>
        <s v="TASK_2316"/>
        <s v="TASK_2317"/>
        <s v="TASK_2318"/>
        <s v="TASK_2319"/>
        <s v="TASK_2320"/>
        <s v="TASK_2321"/>
        <s v="TASK_2322"/>
        <s v="TASK_2323"/>
        <s v="TASK_2324"/>
        <s v="TASK_2325"/>
        <s v="TASK_2326"/>
        <s v="TASK_2327"/>
        <s v="TASK_2328"/>
        <s v="TASK_2329"/>
        <s v="TASK_2330"/>
        <s v="TASK_2331"/>
        <s v="TASK_2332"/>
        <s v="TASK_2333"/>
        <s v="TASK_2334"/>
        <s v="TASK_2335"/>
        <s v="TASK_2336"/>
        <s v="TASK_2337"/>
        <s v="TASK_2338"/>
        <s v="TASK_2339"/>
        <s v="TASK_2340"/>
        <s v="TASK_2341"/>
        <s v="TASK_2342"/>
        <s v="TASK_2343"/>
        <s v="TASK_2344"/>
        <s v="TASK_2345"/>
        <s v="TASK_2346"/>
        <s v="TASK_2347"/>
        <s v="TASK_2348"/>
        <s v="TASK_2349"/>
        <s v="TASK_2350"/>
        <s v="TASK_2351"/>
        <s v="TASK_2352"/>
        <s v="TASK_2353"/>
        <s v="TASK_2354"/>
        <s v="TASK_2355"/>
        <s v="TASK_2356"/>
        <s v="TASK_2357"/>
        <s v="TASK_2358"/>
        <s v="TASK_2359"/>
        <s v="TASK_2360"/>
        <s v="TASK_2361"/>
        <s v="TASK_2362"/>
        <s v="TASK_2363"/>
        <s v="TASK_2364"/>
        <s v="TASK_2365"/>
        <s v="TASK_2366"/>
        <s v="TASK_2367"/>
        <s v="TASK_2368"/>
        <s v="TASK_2369"/>
        <s v="TASK_2370"/>
        <s v="TASK_2371"/>
        <s v="TASK_2372"/>
        <s v="TASK_2373"/>
        <s v="TASK_2374"/>
        <s v="TASK_2375"/>
        <s v="TASK_2376"/>
        <s v="TASK_2377"/>
        <s v="TASK_2378"/>
        <s v="TASK_2379"/>
        <s v="TASK_2380"/>
        <s v="TASK_2381"/>
        <s v="TASK_2382"/>
        <s v="TASK_2383"/>
        <s v="TASK_2384"/>
        <s v="TASK_2385"/>
        <s v="TASK_2386"/>
        <s v="TASK_2387"/>
        <s v="TASK_2388"/>
        <s v="TASK_2389"/>
        <s v="TASK_2390"/>
        <s v="TASK_2391"/>
        <s v="TASK_2392"/>
        <s v="TASK_2393"/>
        <s v="TASK_2394"/>
        <s v="TASK_2395"/>
        <s v="TASK_2396"/>
        <s v="TASK_2397"/>
        <s v="TASK_2398"/>
        <s v="TASK_2399"/>
        <s v="TASK_2400"/>
        <s v="TASK_2401"/>
        <s v="TASK_2402"/>
        <s v="TASK_2403"/>
        <s v="TASK_2404"/>
        <s v="TASK_2405"/>
        <s v="TASK_2406"/>
        <s v="TASK_2407"/>
        <s v="TASK_2408"/>
        <s v="TASK_2409"/>
        <s v="TASK_2410"/>
        <s v="TASK_2411"/>
        <s v="TASK_2412"/>
        <s v="TASK_2413"/>
        <s v="TASK_2414"/>
        <s v="TASK_2415"/>
        <s v="TASK_2416"/>
        <s v="TASK_2417"/>
        <s v="TASK_2418"/>
        <s v="TASK_2419"/>
        <s v="TASK_2420"/>
        <s v="TASK_2421"/>
        <s v="TASK_2422"/>
        <s v="TASK_2423"/>
        <s v="TASK_2424"/>
        <s v="TASK_2425"/>
        <s v="TASK_2426"/>
        <s v="TASK_2427"/>
        <s v="TASK_2428"/>
        <s v="TASK_2429"/>
        <s v="TASK_2430"/>
        <s v="TASK_2431"/>
        <s v="TASK_2432"/>
        <s v="TASK_2433"/>
        <s v="TASK_2434"/>
        <s v="TASK_2435"/>
        <s v="TASK_2436"/>
        <s v="TASK_2437"/>
        <s v="TASK_2438"/>
        <s v="TASK_2439"/>
        <s v="TASK_2440"/>
        <s v="TASK_2441"/>
        <s v="TASK_2442"/>
        <s v="TASK_2443"/>
        <s v="TASK_2444"/>
        <s v="TASK_2445"/>
        <s v="TASK_2446"/>
        <s v="TASK_2447"/>
        <s v="TASK_2448"/>
        <s v="TASK_2449"/>
        <s v="TASK_2450"/>
        <s v="TASK_2451"/>
        <s v="TASK_2452"/>
        <s v="TASK_2453"/>
        <s v="TASK_2454"/>
        <s v="TASK_2455"/>
        <s v="TASK_2456"/>
        <s v="TASK_2457"/>
        <s v="TASK_2458"/>
        <s v="TASK_2459"/>
        <s v="TASK_2460"/>
        <s v="TASK_2461"/>
        <s v="TASK_2462"/>
        <s v="TASK_2463"/>
        <s v="TASK_2464"/>
        <s v="TASK_2465"/>
        <s v="TASK_2466"/>
        <s v="TASK_2467"/>
        <s v="TASK_2468"/>
        <s v="TASK_2469"/>
        <s v="TASK_2470"/>
        <s v="TASK_2471"/>
        <s v="TASK_2472"/>
        <s v="TASK_2473"/>
        <s v="TASK_2474"/>
        <s v="TASK_2475"/>
        <s v="TASK_2476"/>
        <s v="TASK_2477"/>
        <s v="TASK_2478"/>
        <s v="TASK_2479"/>
        <s v="TASK_2480"/>
        <s v="TASK_2481"/>
        <s v="TASK_2482"/>
        <s v="TASK_2483"/>
        <s v="TASK_2484"/>
        <s v="TASK_2485"/>
        <s v="TASK_2486"/>
        <s v="TASK_2487"/>
        <s v="TASK_2488"/>
        <s v="TASK_2489"/>
        <s v="TASK_2490"/>
        <s v="TASK_2491"/>
        <s v="TASK_2492"/>
        <s v="TASK_2493"/>
        <s v="TASK_2494"/>
        <s v="TASK_2495"/>
        <s v="TASK_2496"/>
        <s v="TASK_2497"/>
        <s v="TASK_2498"/>
        <s v="TASK_2499"/>
        <s v="TASK_2500"/>
      </sharedItems>
    </cacheField>
    <cacheField name="Task_Type" numFmtId="0">
      <sharedItems count="5">
        <s v="Review"/>
        <s v="Approval"/>
        <s v="Escalation"/>
        <s v="Validation"/>
        <s v="Data Entry"/>
      </sharedItems>
    </cacheField>
    <cacheField name="Priority_Level" numFmtId="0">
      <sharedItems count="4">
        <s v="Low"/>
        <s v="High"/>
        <s v="Medium"/>
        <s v="Critical"/>
      </sharedItems>
    </cacheField>
    <cacheField name="Department" numFmtId="0">
      <sharedItems count="5">
        <s v="Customer Service"/>
        <s v="HR"/>
        <s v="Finance"/>
        <s v="Operations"/>
        <s v="IT"/>
      </sharedItems>
    </cacheField>
    <cacheField name="Assigned_Employee_ID" numFmtId="0">
      <sharedItems/>
    </cacheField>
    <cacheField name="Task_Start_Time" numFmtId="22">
      <sharedItems containsSemiMixedTypes="0" containsNonDate="0" containsDate="1" containsString="0" minDate="2024-01-01T02:40:00" maxDate="2024-12-30T23:07:00"/>
    </cacheField>
    <cacheField name="Task_End_Time" numFmtId="22">
      <sharedItems containsSemiMixedTypes="0" containsNonDate="0" containsDate="1" containsString="0" minDate="2024-01-01T05:24:00" maxDate="2024-12-31T02:04:00"/>
    </cacheField>
    <cacheField name="Estimated_Time_Minutes" numFmtId="0">
      <sharedItems containsSemiMixedTypes="0" containsString="0" containsNumber="1" containsInteger="1" minValue="10" maxValue="240"/>
    </cacheField>
    <cacheField name="Actual_Time_Minutes" numFmtId="0">
      <sharedItems containsSemiMixedTypes="0" containsString="0" containsNumber="1" containsInteger="1" minValue="7" maxValue="357"/>
    </cacheField>
    <cacheField name="Delay_Flag" numFmtId="0">
      <sharedItems containsSemiMixedTypes="0" containsString="0" containsNumber="1" containsInteger="1" minValue="0" maxValue="1"/>
    </cacheField>
    <cacheField name="Approval_Level" numFmtId="0">
      <sharedItems count="3">
        <s v="Level 1"/>
        <s v="Level 2"/>
        <s v="Level 3"/>
      </sharedItems>
    </cacheField>
    <cacheField name="Employee_Workload" numFmtId="0">
      <sharedItems containsSemiMixedTypes="0" containsString="0" containsNumber="1" containsInteger="1" minValue="1" maxValue="10" count="10">
        <n v="1"/>
        <n v="5"/>
        <n v="8"/>
        <n v="3"/>
        <n v="6"/>
        <n v="4"/>
        <n v="2"/>
        <n v="9"/>
        <n v="10"/>
        <n v="7"/>
      </sharedItems>
    </cacheField>
    <cacheField name="Cost_Per_Task" numFmtId="0">
      <sharedItems containsSemiMixedTypes="0" containsString="0" containsNumber="1" minValue="50.32" maxValue="499.94"/>
    </cacheField>
    <cacheField name="Time_Overrun" numFmtId="0">
      <sharedItems containsSemiMixedTypes="0" containsString="0" containsNumber="1" containsInteger="1" minValue="-5" maxValue="120"/>
    </cacheField>
    <cacheField name="Efficiency_Ratio" numFmtId="2">
      <sharedItems containsSemiMixedTypes="0" containsString="0" containsNumber="1" minValue="7.8125E-2" maxValue="1.7142857142857142"/>
    </cacheField>
    <cacheField name="Efficiency_Status" numFmtId="0">
      <sharedItems/>
    </cacheField>
    <cacheField name="Task_Duration" numFmtId="0">
      <sharedItems/>
    </cacheField>
    <cacheField name="Delay_Severity" numFmtId="0">
      <sharedItems/>
    </cacheField>
  </cacheFields>
  <extLst>
    <ext xmlns:x14="http://schemas.microsoft.com/office/spreadsheetml/2009/9/main" uri="{725AE2AE-9491-48be-B2B4-4EB974FC3084}">
      <x14:pivotCacheDefinition pivotCacheId="1650110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WF_1"/>
    <x v="0"/>
    <x v="0"/>
    <s v="Review"/>
    <s v="Low"/>
    <s v="Customer Service"/>
    <s v="EMP_128"/>
    <d v="2024-01-25T04:47:00"/>
    <d v="2024-01-25T08:33:00"/>
    <n v="208"/>
    <n v="226"/>
    <n v="1"/>
    <s v="Level 1"/>
    <n v="1"/>
    <n v="155.16999999999999"/>
  </r>
  <r>
    <s v="WF_2"/>
    <x v="1"/>
    <x v="1"/>
    <s v="Approval"/>
    <s v="Low"/>
    <s v="HR"/>
    <s v="EMP_35"/>
    <d v="2024-05-24T02:57:00"/>
    <d v="2024-05-24T06:19:00"/>
    <n v="194"/>
    <n v="202"/>
    <n v="1"/>
    <s v="Level 2"/>
    <n v="5"/>
    <n v="231.54"/>
  </r>
  <r>
    <s v="WF_3"/>
    <x v="2"/>
    <x v="2"/>
    <s v="Review"/>
    <s v="High"/>
    <s v="Finance"/>
    <s v="EMP_88"/>
    <d v="2024-03-22T03:34:00"/>
    <d v="2024-03-22T08:51:00"/>
    <n v="214"/>
    <n v="317"/>
    <n v="1"/>
    <s v="Level 1"/>
    <n v="8"/>
    <n v="280.95"/>
  </r>
  <r>
    <s v="WF_4"/>
    <x v="0"/>
    <x v="3"/>
    <s v="Review"/>
    <s v="Medium"/>
    <s v="Operations"/>
    <s v="EMP_133"/>
    <d v="2024-06-10T10:37:00"/>
    <d v="2024-06-10T13:36:00"/>
    <n v="176"/>
    <n v="179"/>
    <n v="1"/>
    <s v="Level 3"/>
    <n v="1"/>
    <n v="413.74"/>
  </r>
  <r>
    <s v="WF_5"/>
    <x v="0"/>
    <x v="4"/>
    <s v="Escalation"/>
    <s v="Medium"/>
    <s v="Finance"/>
    <s v="EMP_80"/>
    <d v="2024-07-02T11:38:00"/>
    <d v="2024-07-02T15:36:00"/>
    <n v="197"/>
    <n v="238"/>
    <n v="1"/>
    <s v="Level 3"/>
    <n v="3"/>
    <n v="152.30000000000001"/>
  </r>
  <r>
    <s v="WF_6"/>
    <x v="0"/>
    <x v="5"/>
    <s v="Validation"/>
    <s v="Low"/>
    <s v="Operations"/>
    <s v="EMP_61"/>
    <d v="2024-05-23T11:14:00"/>
    <d v="2024-05-23T15:01:00"/>
    <n v="199"/>
    <n v="227"/>
    <n v="1"/>
    <s v="Level 2"/>
    <n v="5"/>
    <n v="160.06"/>
  </r>
  <r>
    <s v="WF_7"/>
    <x v="3"/>
    <x v="6"/>
    <s v="Escalation"/>
    <s v="Medium"/>
    <s v="Customer Service"/>
    <s v="EMP_55"/>
    <d v="2024-06-27T21:21:00"/>
    <d v="2024-06-27T23:14:00"/>
    <n v="84"/>
    <n v="113"/>
    <n v="1"/>
    <s v="Level 3"/>
    <n v="6"/>
    <n v="440.88"/>
  </r>
  <r>
    <s v="WF_8"/>
    <x v="3"/>
    <x v="7"/>
    <s v="Data Entry"/>
    <s v="Low"/>
    <s v="IT"/>
    <s v="EMP_42"/>
    <d v="2024-08-13T07:44:00"/>
    <d v="2024-08-13T11:45:00"/>
    <n v="204"/>
    <n v="241"/>
    <n v="1"/>
    <s v="Level 1"/>
    <n v="4"/>
    <n v="406.61"/>
  </r>
  <r>
    <s v="WF_9"/>
    <x v="3"/>
    <x v="8"/>
    <s v="Escalation"/>
    <s v="Low"/>
    <s v="Customer Service"/>
    <s v="EMP_21"/>
    <d v="2024-12-27T21:26:00"/>
    <d v="2024-12-28T00:22:00"/>
    <n v="59"/>
    <n v="176"/>
    <n v="1"/>
    <s v="Level 3"/>
    <n v="2"/>
    <n v="180.92"/>
  </r>
  <r>
    <s v="WF_10"/>
    <x v="4"/>
    <x v="9"/>
    <s v="Approval"/>
    <s v="High"/>
    <s v="Operations"/>
    <s v="EMP_2"/>
    <d v="2024-06-17T01:14:00"/>
    <d v="2024-06-17T02:37:00"/>
    <n v="23"/>
    <n v="83"/>
    <n v="1"/>
    <s v="Level 3"/>
    <n v="1"/>
    <n v="313.08999999999997"/>
  </r>
  <r>
    <s v="WF_11"/>
    <x v="0"/>
    <x v="10"/>
    <s v="Approval"/>
    <s v="Medium"/>
    <s v="Finance"/>
    <s v="EMP_140"/>
    <d v="2024-07-15T01:41:00"/>
    <d v="2024-07-15T05:45:00"/>
    <n v="235"/>
    <n v="244"/>
    <n v="1"/>
    <s v="Level 2"/>
    <n v="9"/>
    <n v="290.33999999999997"/>
  </r>
  <r>
    <s v="WF_12"/>
    <x v="1"/>
    <x v="11"/>
    <s v="Approval"/>
    <s v="Medium"/>
    <s v="Finance"/>
    <s v="EMP_133"/>
    <d v="2024-04-19T21:58:00"/>
    <d v="2024-04-20T00:48:00"/>
    <n v="167"/>
    <n v="170"/>
    <n v="1"/>
    <s v="Level 1"/>
    <n v="3"/>
    <n v="428.89"/>
  </r>
  <r>
    <s v="WF_13"/>
    <x v="4"/>
    <x v="12"/>
    <s v="Escalation"/>
    <s v="Medium"/>
    <s v="HR"/>
    <s v="EMP_22"/>
    <d v="2024-03-19T08:52:00"/>
    <d v="2024-03-19T10:57:00"/>
    <n v="103"/>
    <n v="125"/>
    <n v="1"/>
    <s v="Level 1"/>
    <n v="5"/>
    <n v="386.51"/>
  </r>
  <r>
    <s v="WF_14"/>
    <x v="1"/>
    <x v="13"/>
    <s v="Escalation"/>
    <s v="Low"/>
    <s v="HR"/>
    <s v="EMP_102"/>
    <d v="2024-03-29T03:06:00"/>
    <d v="2024-03-29T08:52:00"/>
    <n v="229"/>
    <n v="346"/>
    <n v="1"/>
    <s v="Level 2"/>
    <n v="3"/>
    <n v="138.07"/>
  </r>
  <r>
    <s v="WF_15"/>
    <x v="3"/>
    <x v="14"/>
    <s v="Escalation"/>
    <s v="Medium"/>
    <s v="Operations"/>
    <s v="EMP_51"/>
    <d v="2024-12-04T21:57:00"/>
    <d v="2024-12-05T01:18:00"/>
    <n v="133"/>
    <n v="201"/>
    <n v="1"/>
    <s v="Level 1"/>
    <n v="10"/>
    <n v="144.80000000000001"/>
  </r>
  <r>
    <s v="WF_16"/>
    <x v="2"/>
    <x v="15"/>
    <s v="Review"/>
    <s v="High"/>
    <s v="IT"/>
    <s v="EMP_143"/>
    <d v="2024-10-22T00:16:00"/>
    <d v="2024-10-22T02:35:00"/>
    <n v="65"/>
    <n v="139"/>
    <n v="1"/>
    <s v="Level 2"/>
    <n v="4"/>
    <n v="487.35"/>
  </r>
  <r>
    <s v="WF_17"/>
    <x v="3"/>
    <x v="16"/>
    <s v="Escalation"/>
    <s v="Critical"/>
    <s v="Operations"/>
    <s v="EMP_88"/>
    <d v="2024-12-27T07:57:00"/>
    <d v="2024-12-27T10:06:00"/>
    <n v="81"/>
    <n v="129"/>
    <n v="1"/>
    <s v="Level 2"/>
    <n v="4"/>
    <n v="192.46"/>
  </r>
  <r>
    <s v="WF_18"/>
    <x v="2"/>
    <x v="17"/>
    <s v="Approval"/>
    <s v="High"/>
    <s v="Operations"/>
    <s v="EMP_59"/>
    <d v="2024-08-23T13:17:00"/>
    <d v="2024-08-23T15:46:00"/>
    <n v="105"/>
    <n v="149"/>
    <n v="1"/>
    <s v="Level 1"/>
    <n v="9"/>
    <n v="427.43"/>
  </r>
  <r>
    <s v="WF_19"/>
    <x v="1"/>
    <x v="18"/>
    <s v="Validation"/>
    <s v="Medium"/>
    <s v="Customer Service"/>
    <s v="EMP_120"/>
    <d v="2024-01-15T13:57:00"/>
    <d v="2024-01-15T14:32:00"/>
    <n v="24"/>
    <n v="35"/>
    <n v="1"/>
    <s v="Level 2"/>
    <n v="6"/>
    <n v="273.64999999999998"/>
  </r>
  <r>
    <s v="WF_20"/>
    <x v="3"/>
    <x v="19"/>
    <s v="Review"/>
    <s v="Low"/>
    <s v="HR"/>
    <s v="EMP_108"/>
    <d v="2024-12-05T02:37:00"/>
    <d v="2024-12-05T05:26:00"/>
    <n v="160"/>
    <n v="169"/>
    <n v="1"/>
    <s v="Level 2"/>
    <n v="5"/>
    <n v="109.32"/>
  </r>
  <r>
    <s v="WF_21"/>
    <x v="2"/>
    <x v="20"/>
    <s v="Review"/>
    <s v="Medium"/>
    <s v="IT"/>
    <s v="EMP_114"/>
    <d v="2024-03-06T14:06:00"/>
    <d v="2024-03-06T19:24:00"/>
    <n v="233"/>
    <n v="318"/>
    <n v="1"/>
    <s v="Level 2"/>
    <n v="5"/>
    <n v="335.36"/>
  </r>
  <r>
    <s v="WF_22"/>
    <x v="0"/>
    <x v="21"/>
    <s v="Data Entry"/>
    <s v="High"/>
    <s v="IT"/>
    <s v="EMP_58"/>
    <d v="2024-03-02T22:25:00"/>
    <d v="2024-03-03T04:07:00"/>
    <n v="236"/>
    <n v="342"/>
    <n v="1"/>
    <s v="Level 3"/>
    <n v="10"/>
    <n v="245.28"/>
  </r>
  <r>
    <s v="WF_23"/>
    <x v="2"/>
    <x v="22"/>
    <s v="Approval"/>
    <s v="Critical"/>
    <s v="Customer Service"/>
    <s v="EMP_30"/>
    <d v="2024-04-26T14:39:00"/>
    <d v="2024-04-26T18:00:00"/>
    <n v="94"/>
    <n v="201"/>
    <n v="1"/>
    <s v="Level 3"/>
    <n v="6"/>
    <n v="237.15"/>
  </r>
  <r>
    <s v="WF_24"/>
    <x v="0"/>
    <x v="23"/>
    <s v="Validation"/>
    <s v="Low"/>
    <s v="IT"/>
    <s v="EMP_80"/>
    <d v="2024-04-21T14:27:00"/>
    <d v="2024-04-21T18:40:00"/>
    <n v="206"/>
    <n v="253"/>
    <n v="1"/>
    <s v="Level 3"/>
    <n v="5"/>
    <n v="469.47"/>
  </r>
  <r>
    <s v="WF_25"/>
    <x v="3"/>
    <x v="24"/>
    <s v="Validation"/>
    <s v="Critical"/>
    <s v="HR"/>
    <s v="EMP_1"/>
    <d v="2024-04-11T19:55:00"/>
    <d v="2024-04-11T22:16:00"/>
    <n v="25"/>
    <n v="141"/>
    <n v="1"/>
    <s v="Level 1"/>
    <n v="4"/>
    <n v="196.04"/>
  </r>
  <r>
    <s v="WF_26"/>
    <x v="1"/>
    <x v="25"/>
    <s v="Review"/>
    <s v="Medium"/>
    <s v="Operations"/>
    <s v="EMP_56"/>
    <d v="2024-08-29T06:53:00"/>
    <d v="2024-08-29T09:47:00"/>
    <n v="62"/>
    <n v="174"/>
    <n v="1"/>
    <s v="Level 3"/>
    <n v="5"/>
    <n v="202.24"/>
  </r>
  <r>
    <s v="WF_27"/>
    <x v="2"/>
    <x v="26"/>
    <s v="Review"/>
    <s v="Low"/>
    <s v="IT"/>
    <s v="EMP_9"/>
    <d v="2024-05-07T19:33:00"/>
    <d v="2024-05-08T00:44:00"/>
    <n v="200"/>
    <n v="311"/>
    <n v="1"/>
    <s v="Level 2"/>
    <n v="7"/>
    <n v="53.42"/>
  </r>
  <r>
    <s v="WF_28"/>
    <x v="2"/>
    <x v="27"/>
    <s v="Review"/>
    <s v="High"/>
    <s v="Finance"/>
    <s v="EMP_92"/>
    <d v="2024-11-13T23:49:00"/>
    <d v="2024-11-14T00:44:00"/>
    <n v="28"/>
    <n v="55"/>
    <n v="1"/>
    <s v="Level 2"/>
    <n v="8"/>
    <n v="341.32"/>
  </r>
  <r>
    <s v="WF_29"/>
    <x v="2"/>
    <x v="28"/>
    <s v="Approval"/>
    <s v="High"/>
    <s v="HR"/>
    <s v="EMP_18"/>
    <d v="2024-04-29T20:22:00"/>
    <d v="2024-04-29T22:02:00"/>
    <n v="73"/>
    <n v="100"/>
    <n v="1"/>
    <s v="Level 1"/>
    <n v="3"/>
    <n v="355.81"/>
  </r>
  <r>
    <s v="WF_30"/>
    <x v="4"/>
    <x v="29"/>
    <s v="Review"/>
    <s v="Low"/>
    <s v="HR"/>
    <s v="EMP_86"/>
    <d v="2024-02-07T10:46:00"/>
    <d v="2024-02-07T16:22:00"/>
    <n v="236"/>
    <n v="336"/>
    <n v="1"/>
    <s v="Level 3"/>
    <n v="7"/>
    <n v="334.2"/>
  </r>
  <r>
    <s v="WF_31"/>
    <x v="2"/>
    <x v="30"/>
    <s v="Validation"/>
    <s v="Low"/>
    <s v="Customer Service"/>
    <s v="EMP_110"/>
    <d v="2024-09-01T00:46:00"/>
    <d v="2024-09-01T04:08:00"/>
    <n v="88"/>
    <n v="202"/>
    <n v="1"/>
    <s v="Level 2"/>
    <n v="7"/>
    <n v="285.27"/>
  </r>
  <r>
    <s v="WF_32"/>
    <x v="2"/>
    <x v="31"/>
    <s v="Review"/>
    <s v="High"/>
    <s v="HR"/>
    <s v="EMP_44"/>
    <d v="2024-05-13T10:34:00"/>
    <d v="2024-05-13T13:49:00"/>
    <n v="161"/>
    <n v="195"/>
    <n v="1"/>
    <s v="Level 3"/>
    <n v="10"/>
    <n v="98.6"/>
  </r>
  <r>
    <s v="WF_33"/>
    <x v="3"/>
    <x v="32"/>
    <s v="Escalation"/>
    <s v="Critical"/>
    <s v="HR"/>
    <s v="EMP_107"/>
    <d v="2024-11-11T00:00:00"/>
    <d v="2024-11-11T04:00:00"/>
    <n v="211"/>
    <n v="240"/>
    <n v="1"/>
    <s v="Level 1"/>
    <n v="3"/>
    <n v="181.64"/>
  </r>
  <r>
    <s v="WF_34"/>
    <x v="1"/>
    <x v="33"/>
    <s v="Review"/>
    <s v="Low"/>
    <s v="Customer Service"/>
    <s v="EMP_21"/>
    <d v="2024-07-25T15:38:00"/>
    <d v="2024-07-25T18:35:00"/>
    <n v="131"/>
    <n v="177"/>
    <n v="1"/>
    <s v="Level 1"/>
    <n v="9"/>
    <n v="270.29000000000002"/>
  </r>
  <r>
    <s v="WF_35"/>
    <x v="1"/>
    <x v="34"/>
    <s v="Validation"/>
    <s v="Low"/>
    <s v="Operations"/>
    <s v="EMP_91"/>
    <d v="2024-09-10T00:50:00"/>
    <d v="2024-09-10T02:01:00"/>
    <n v="63"/>
    <n v="71"/>
    <n v="1"/>
    <s v="Level 2"/>
    <n v="5"/>
    <n v="384.66"/>
  </r>
  <r>
    <s v="WF_36"/>
    <x v="2"/>
    <x v="35"/>
    <s v="Escalation"/>
    <s v="High"/>
    <s v="IT"/>
    <s v="EMP_26"/>
    <d v="2024-09-23T16:04:00"/>
    <d v="2024-09-23T19:02:00"/>
    <n v="163"/>
    <n v="178"/>
    <n v="1"/>
    <s v="Level 1"/>
    <n v="6"/>
    <n v="194.45"/>
  </r>
  <r>
    <s v="WF_37"/>
    <x v="2"/>
    <x v="36"/>
    <s v="Data Entry"/>
    <s v="Low"/>
    <s v="Operations"/>
    <s v="EMP_87"/>
    <d v="2024-11-20T19:28:00"/>
    <d v="2024-11-20T21:05:00"/>
    <n v="86"/>
    <n v="97"/>
    <n v="1"/>
    <s v="Level 3"/>
    <n v="4"/>
    <n v="94.41"/>
  </r>
  <r>
    <s v="WF_38"/>
    <x v="1"/>
    <x v="37"/>
    <s v="Validation"/>
    <s v="High"/>
    <s v="IT"/>
    <s v="EMP_147"/>
    <d v="2024-08-25T06:42:00"/>
    <d v="2024-08-25T11:01:00"/>
    <n v="229"/>
    <n v="259"/>
    <n v="1"/>
    <s v="Level 3"/>
    <n v="2"/>
    <n v="159.5"/>
  </r>
  <r>
    <s v="WF_39"/>
    <x v="2"/>
    <x v="38"/>
    <s v="Validation"/>
    <s v="Low"/>
    <s v="Finance"/>
    <s v="EMP_90"/>
    <d v="2024-02-18T16:12:00"/>
    <d v="2024-02-18T19:19:00"/>
    <n v="108"/>
    <n v="187"/>
    <n v="1"/>
    <s v="Level 2"/>
    <n v="10"/>
    <n v="376.48"/>
  </r>
  <r>
    <s v="WF_40"/>
    <x v="3"/>
    <x v="39"/>
    <s v="Validation"/>
    <s v="Medium"/>
    <s v="Customer Service"/>
    <s v="EMP_5"/>
    <d v="2024-01-25T17:32:00"/>
    <d v="2024-01-25T20:09:00"/>
    <n v="154"/>
    <n v="157"/>
    <n v="1"/>
    <s v="Level 2"/>
    <n v="4"/>
    <n v="388.34"/>
  </r>
  <r>
    <s v="WF_41"/>
    <x v="3"/>
    <x v="40"/>
    <s v="Escalation"/>
    <s v="High"/>
    <s v="Finance"/>
    <s v="EMP_131"/>
    <d v="2024-11-28T01:01:00"/>
    <d v="2024-11-28T04:35:00"/>
    <n v="201"/>
    <n v="214"/>
    <n v="1"/>
    <s v="Level 1"/>
    <n v="5"/>
    <n v="291.08"/>
  </r>
  <r>
    <s v="WF_42"/>
    <x v="0"/>
    <x v="41"/>
    <s v="Validation"/>
    <s v="High"/>
    <s v="HR"/>
    <s v="EMP_138"/>
    <d v="2024-01-17T17:00:00"/>
    <d v="2024-01-17T20:46:00"/>
    <n v="161"/>
    <n v="226"/>
    <n v="1"/>
    <s v="Level 3"/>
    <n v="7"/>
    <n v="439.36"/>
  </r>
  <r>
    <s v="WF_43"/>
    <x v="2"/>
    <x v="42"/>
    <s v="Escalation"/>
    <s v="Medium"/>
    <s v="Customer Service"/>
    <s v="EMP_77"/>
    <d v="2024-04-24T05:47:00"/>
    <d v="2024-04-24T08:05:00"/>
    <n v="111"/>
    <n v="138"/>
    <n v="1"/>
    <s v="Level 1"/>
    <n v="2"/>
    <n v="333.11"/>
  </r>
  <r>
    <s v="WF_44"/>
    <x v="2"/>
    <x v="43"/>
    <s v="Validation"/>
    <s v="Critical"/>
    <s v="Finance"/>
    <s v="EMP_7"/>
    <d v="2024-06-22T19:43:00"/>
    <d v="2024-06-23T00:02:00"/>
    <n v="210"/>
    <n v="259"/>
    <n v="1"/>
    <s v="Level 1"/>
    <n v="5"/>
    <n v="474.62"/>
  </r>
  <r>
    <s v="WF_45"/>
    <x v="4"/>
    <x v="44"/>
    <s v="Review"/>
    <s v="Low"/>
    <s v="Finance"/>
    <s v="EMP_16"/>
    <d v="2024-06-20T23:55:00"/>
    <d v="2024-06-21T01:55:00"/>
    <n v="62"/>
    <n v="120"/>
    <n v="1"/>
    <s v="Level 1"/>
    <n v="8"/>
    <n v="173.69"/>
  </r>
  <r>
    <s v="WF_46"/>
    <x v="4"/>
    <x v="45"/>
    <s v="Approval"/>
    <s v="Low"/>
    <s v="Finance"/>
    <s v="EMP_28"/>
    <d v="2024-11-25T06:34:00"/>
    <d v="2024-11-25T08:09:00"/>
    <n v="82"/>
    <n v="95"/>
    <n v="1"/>
    <s v="Level 1"/>
    <n v="5"/>
    <n v="170.79"/>
  </r>
  <r>
    <s v="WF_47"/>
    <x v="1"/>
    <x v="46"/>
    <s v="Validation"/>
    <s v="High"/>
    <s v="IT"/>
    <s v="EMP_94"/>
    <d v="2024-01-09T00:32:00"/>
    <d v="2024-01-09T02:56:00"/>
    <n v="76"/>
    <n v="144"/>
    <n v="1"/>
    <s v="Level 1"/>
    <n v="6"/>
    <n v="482.99"/>
  </r>
  <r>
    <s v="WF_48"/>
    <x v="2"/>
    <x v="47"/>
    <s v="Validation"/>
    <s v="Low"/>
    <s v="IT"/>
    <s v="EMP_55"/>
    <d v="2024-06-03T04:05:00"/>
    <d v="2024-06-03T09:32:00"/>
    <n v="228"/>
    <n v="327"/>
    <n v="1"/>
    <s v="Level 2"/>
    <n v="3"/>
    <n v="205.93"/>
  </r>
  <r>
    <s v="WF_49"/>
    <x v="1"/>
    <x v="48"/>
    <s v="Escalation"/>
    <s v="Critical"/>
    <s v="IT"/>
    <s v="EMP_86"/>
    <d v="2024-06-24T12:33:00"/>
    <d v="2024-06-24T15:14:00"/>
    <n v="83"/>
    <n v="161"/>
    <n v="1"/>
    <s v="Level 1"/>
    <n v="1"/>
    <n v="197.84"/>
  </r>
  <r>
    <s v="WF_50"/>
    <x v="0"/>
    <x v="49"/>
    <s v="Review"/>
    <s v="High"/>
    <s v="IT"/>
    <s v="EMP_16"/>
    <d v="2024-07-13T01:19:00"/>
    <d v="2024-07-13T05:24:00"/>
    <n v="195"/>
    <n v="245"/>
    <n v="1"/>
    <s v="Level 2"/>
    <n v="6"/>
    <n v="252.59"/>
  </r>
  <r>
    <s v="WF_51"/>
    <x v="4"/>
    <x v="50"/>
    <s v="Approval"/>
    <s v="High"/>
    <s v="IT"/>
    <s v="EMP_53"/>
    <d v="2024-08-07T02:35:00"/>
    <d v="2024-08-07T04:36:00"/>
    <n v="52"/>
    <n v="121"/>
    <n v="1"/>
    <s v="Level 3"/>
    <n v="1"/>
    <n v="122.07"/>
  </r>
  <r>
    <s v="WF_52"/>
    <x v="3"/>
    <x v="51"/>
    <s v="Approval"/>
    <s v="Critical"/>
    <s v="HR"/>
    <s v="EMP_121"/>
    <d v="2024-03-11T13:03:00"/>
    <d v="2024-03-11T15:29:00"/>
    <n v="48"/>
    <n v="146"/>
    <n v="1"/>
    <s v="Level 3"/>
    <n v="2"/>
    <n v="54.31"/>
  </r>
  <r>
    <s v="WF_53"/>
    <x v="3"/>
    <x v="52"/>
    <s v="Approval"/>
    <s v="Medium"/>
    <s v="Operations"/>
    <s v="EMP_118"/>
    <d v="2024-07-09T07:25:00"/>
    <d v="2024-07-09T10:21:00"/>
    <n v="174"/>
    <n v="176"/>
    <n v="1"/>
    <s v="Level 1"/>
    <n v="8"/>
    <n v="322.24"/>
  </r>
  <r>
    <s v="WF_54"/>
    <x v="0"/>
    <x v="53"/>
    <s v="Review"/>
    <s v="High"/>
    <s v="IT"/>
    <s v="EMP_146"/>
    <d v="2024-08-12T15:37:00"/>
    <d v="2024-08-12T17:47:00"/>
    <n v="67"/>
    <n v="130"/>
    <n v="1"/>
    <s v="Level 1"/>
    <n v="2"/>
    <n v="448.59"/>
  </r>
  <r>
    <s v="WF_55"/>
    <x v="0"/>
    <x v="54"/>
    <s v="Validation"/>
    <s v="Low"/>
    <s v="HR"/>
    <s v="EMP_125"/>
    <d v="2024-03-24T12:22:00"/>
    <d v="2024-03-24T16:13:00"/>
    <n v="183"/>
    <n v="231"/>
    <n v="1"/>
    <s v="Level 3"/>
    <n v="1"/>
    <n v="51.05"/>
  </r>
  <r>
    <s v="WF_56"/>
    <x v="4"/>
    <x v="55"/>
    <s v="Escalation"/>
    <s v="Critical"/>
    <s v="HR"/>
    <s v="EMP_28"/>
    <d v="2024-11-25T11:00:00"/>
    <d v="2024-11-25T13:23:00"/>
    <n v="71"/>
    <n v="143"/>
    <n v="1"/>
    <s v="Level 1"/>
    <n v="1"/>
    <n v="116.5"/>
  </r>
  <r>
    <s v="WF_57"/>
    <x v="0"/>
    <x v="56"/>
    <s v="Validation"/>
    <s v="High"/>
    <s v="Operations"/>
    <s v="EMP_91"/>
    <d v="2024-03-04T20:40:00"/>
    <d v="2024-03-04T21:26:00"/>
    <n v="42"/>
    <n v="46"/>
    <n v="1"/>
    <s v="Level 1"/>
    <n v="8"/>
    <n v="148.44"/>
  </r>
  <r>
    <s v="WF_58"/>
    <x v="2"/>
    <x v="57"/>
    <s v="Data Entry"/>
    <s v="Critical"/>
    <s v="Customer Service"/>
    <s v="EMP_68"/>
    <d v="2024-09-03T10:46:00"/>
    <d v="2024-09-03T11:29:00"/>
    <n v="40"/>
    <n v="43"/>
    <n v="1"/>
    <s v="Level 3"/>
    <n v="4"/>
    <n v="258.24"/>
  </r>
  <r>
    <s v="WF_59"/>
    <x v="1"/>
    <x v="58"/>
    <s v="Approval"/>
    <s v="Low"/>
    <s v="HR"/>
    <s v="EMP_106"/>
    <d v="2024-02-08T01:36:00"/>
    <d v="2024-02-08T03:51:00"/>
    <n v="70"/>
    <n v="135"/>
    <n v="1"/>
    <s v="Level 3"/>
    <n v="2"/>
    <n v="202.6"/>
  </r>
  <r>
    <s v="WF_60"/>
    <x v="1"/>
    <x v="59"/>
    <s v="Data Entry"/>
    <s v="Critical"/>
    <s v="IT"/>
    <s v="EMP_45"/>
    <d v="2024-06-11T00:35:00"/>
    <d v="2024-06-11T04:17:00"/>
    <n v="187"/>
    <n v="222"/>
    <n v="1"/>
    <s v="Level 3"/>
    <n v="9"/>
    <n v="60.36"/>
  </r>
  <r>
    <s v="WF_61"/>
    <x v="2"/>
    <x v="60"/>
    <s v="Review"/>
    <s v="High"/>
    <s v="IT"/>
    <s v="EMP_101"/>
    <d v="2024-06-19T16:23:00"/>
    <d v="2024-06-19T20:05:00"/>
    <n v="207"/>
    <n v="222"/>
    <n v="1"/>
    <s v="Level 1"/>
    <n v="5"/>
    <n v="441.27"/>
  </r>
  <r>
    <s v="WF_62"/>
    <x v="1"/>
    <x v="61"/>
    <s v="Review"/>
    <s v="High"/>
    <s v="Operations"/>
    <s v="EMP_105"/>
    <d v="2024-07-20T17:05:00"/>
    <d v="2024-07-20T18:54:00"/>
    <n v="88"/>
    <n v="109"/>
    <n v="1"/>
    <s v="Level 2"/>
    <n v="9"/>
    <n v="464.98"/>
  </r>
  <r>
    <s v="WF_63"/>
    <x v="4"/>
    <x v="62"/>
    <s v="Escalation"/>
    <s v="Medium"/>
    <s v="HR"/>
    <s v="EMP_58"/>
    <d v="2024-05-19T01:43:00"/>
    <d v="2024-05-19T06:30:00"/>
    <n v="192"/>
    <n v="287"/>
    <n v="1"/>
    <s v="Level 3"/>
    <n v="10"/>
    <n v="269.70999999999998"/>
  </r>
  <r>
    <s v="WF_64"/>
    <x v="3"/>
    <x v="63"/>
    <s v="Approval"/>
    <s v="Critical"/>
    <s v="IT"/>
    <s v="EMP_30"/>
    <d v="2024-01-06T00:27:00"/>
    <d v="2024-01-06T02:08:00"/>
    <n v="22"/>
    <n v="101"/>
    <n v="1"/>
    <s v="Level 1"/>
    <n v="7"/>
    <n v="497.43"/>
  </r>
  <r>
    <s v="WF_65"/>
    <x v="1"/>
    <x v="64"/>
    <s v="Approval"/>
    <s v="Medium"/>
    <s v="Customer Service"/>
    <s v="EMP_146"/>
    <d v="2024-03-19T23:08:00"/>
    <d v="2024-03-20T01:23:00"/>
    <n v="68"/>
    <n v="135"/>
    <n v="1"/>
    <s v="Level 2"/>
    <n v="9"/>
    <n v="269.23"/>
  </r>
  <r>
    <s v="WF_66"/>
    <x v="0"/>
    <x v="65"/>
    <s v="Validation"/>
    <s v="Medium"/>
    <s v="Finance"/>
    <s v="EMP_75"/>
    <d v="2024-08-28T01:24:00"/>
    <d v="2024-08-28T04:50:00"/>
    <n v="180"/>
    <n v="206"/>
    <n v="1"/>
    <s v="Level 1"/>
    <n v="10"/>
    <n v="250.3"/>
  </r>
  <r>
    <s v="WF_67"/>
    <x v="1"/>
    <x v="66"/>
    <s v="Escalation"/>
    <s v="Low"/>
    <s v="Customer Service"/>
    <s v="EMP_20"/>
    <d v="2024-10-06T22:31:00"/>
    <d v="2024-10-07T01:31:00"/>
    <n v="184"/>
    <n v="180"/>
    <n v="0"/>
    <s v="Level 2"/>
    <n v="9"/>
    <n v="235.12"/>
  </r>
  <r>
    <s v="WF_68"/>
    <x v="1"/>
    <x v="67"/>
    <s v="Data Entry"/>
    <s v="Medium"/>
    <s v="IT"/>
    <s v="EMP_67"/>
    <d v="2024-11-04T19:01:00"/>
    <d v="2024-11-04T20:14:00"/>
    <n v="70"/>
    <n v="73"/>
    <n v="1"/>
    <s v="Level 3"/>
    <n v="2"/>
    <n v="180.6"/>
  </r>
  <r>
    <s v="WF_69"/>
    <x v="2"/>
    <x v="68"/>
    <s v="Review"/>
    <s v="Medium"/>
    <s v="Customer Service"/>
    <s v="EMP_124"/>
    <d v="2024-11-17T02:52:00"/>
    <d v="2024-11-17T07:21:00"/>
    <n v="210"/>
    <n v="269"/>
    <n v="1"/>
    <s v="Level 3"/>
    <n v="9"/>
    <n v="309.64"/>
  </r>
  <r>
    <s v="WF_70"/>
    <x v="4"/>
    <x v="69"/>
    <s v="Approval"/>
    <s v="Medium"/>
    <s v="Finance"/>
    <s v="EMP_135"/>
    <d v="2024-08-28T15:01:00"/>
    <d v="2024-08-28T17:22:00"/>
    <n v="114"/>
    <n v="141"/>
    <n v="1"/>
    <s v="Level 2"/>
    <n v="2"/>
    <n v="164.67"/>
  </r>
  <r>
    <s v="WF_71"/>
    <x v="4"/>
    <x v="70"/>
    <s v="Review"/>
    <s v="High"/>
    <s v="HR"/>
    <s v="EMP_76"/>
    <d v="2024-01-03T00:39:00"/>
    <d v="2024-01-03T05:15:00"/>
    <n v="174"/>
    <n v="276"/>
    <n v="1"/>
    <s v="Level 3"/>
    <n v="2"/>
    <n v="488.9"/>
  </r>
  <r>
    <s v="WF_72"/>
    <x v="3"/>
    <x v="71"/>
    <s v="Data Entry"/>
    <s v="High"/>
    <s v="IT"/>
    <s v="EMP_27"/>
    <d v="2024-02-16T12:15:00"/>
    <d v="2024-02-16T14:10:00"/>
    <n v="109"/>
    <n v="115"/>
    <n v="1"/>
    <s v="Level 2"/>
    <n v="1"/>
    <n v="473.42"/>
  </r>
  <r>
    <s v="WF_73"/>
    <x v="0"/>
    <x v="72"/>
    <s v="Approval"/>
    <s v="Low"/>
    <s v="Customer Service"/>
    <s v="EMP_9"/>
    <d v="2024-09-01T08:02:00"/>
    <d v="2024-09-01T09:49:00"/>
    <n v="99"/>
    <n v="107"/>
    <n v="1"/>
    <s v="Level 1"/>
    <n v="5"/>
    <n v="366.29"/>
  </r>
  <r>
    <s v="WF_74"/>
    <x v="2"/>
    <x v="73"/>
    <s v="Review"/>
    <s v="High"/>
    <s v="IT"/>
    <s v="EMP_26"/>
    <d v="2024-01-08T11:40:00"/>
    <d v="2024-01-08T12:12:00"/>
    <n v="21"/>
    <n v="32"/>
    <n v="1"/>
    <s v="Level 2"/>
    <n v="3"/>
    <n v="380.23"/>
  </r>
  <r>
    <s v="WF_75"/>
    <x v="1"/>
    <x v="74"/>
    <s v="Review"/>
    <s v="Low"/>
    <s v="HR"/>
    <s v="EMP_27"/>
    <d v="2024-04-02T13:56:00"/>
    <d v="2024-04-02T16:13:00"/>
    <n v="65"/>
    <n v="137"/>
    <n v="1"/>
    <s v="Level 2"/>
    <n v="5"/>
    <n v="336.77"/>
  </r>
  <r>
    <s v="WF_76"/>
    <x v="0"/>
    <x v="75"/>
    <s v="Data Entry"/>
    <s v="Low"/>
    <s v="Customer Service"/>
    <s v="EMP_135"/>
    <d v="2024-03-08T07:07:00"/>
    <d v="2024-03-08T12:02:00"/>
    <n v="177"/>
    <n v="295"/>
    <n v="1"/>
    <s v="Level 2"/>
    <n v="1"/>
    <n v="54.3"/>
  </r>
  <r>
    <s v="WF_77"/>
    <x v="1"/>
    <x v="76"/>
    <s v="Escalation"/>
    <s v="Medium"/>
    <s v="Customer Service"/>
    <s v="EMP_71"/>
    <d v="2024-10-01T14:15:00"/>
    <d v="2024-10-01T15:42:00"/>
    <n v="86"/>
    <n v="87"/>
    <n v="1"/>
    <s v="Level 3"/>
    <n v="9"/>
    <n v="365.36"/>
  </r>
  <r>
    <s v="WF_78"/>
    <x v="0"/>
    <x v="77"/>
    <s v="Approval"/>
    <s v="Low"/>
    <s v="Finance"/>
    <s v="EMP_8"/>
    <d v="2024-03-09T06:19:00"/>
    <d v="2024-03-09T09:02:00"/>
    <n v="88"/>
    <n v="163"/>
    <n v="1"/>
    <s v="Level 3"/>
    <n v="7"/>
    <n v="321.79000000000002"/>
  </r>
  <r>
    <s v="WF_79"/>
    <x v="3"/>
    <x v="78"/>
    <s v="Review"/>
    <s v="High"/>
    <s v="Customer Service"/>
    <s v="EMP_28"/>
    <d v="2024-06-05T06:05:00"/>
    <d v="2024-06-05T08:24:00"/>
    <n v="139"/>
    <n v="139"/>
    <n v="0"/>
    <s v="Level 2"/>
    <n v="2"/>
    <n v="299.98"/>
  </r>
  <r>
    <s v="WF_80"/>
    <x v="4"/>
    <x v="79"/>
    <s v="Data Entry"/>
    <s v="Critical"/>
    <s v="Finance"/>
    <s v="EMP_63"/>
    <d v="2024-10-30T21:47:00"/>
    <d v="2024-10-30T23:03:00"/>
    <n v="17"/>
    <n v="76"/>
    <n v="1"/>
    <s v="Level 1"/>
    <n v="6"/>
    <n v="286.49"/>
  </r>
  <r>
    <s v="WF_81"/>
    <x v="2"/>
    <x v="80"/>
    <s v="Approval"/>
    <s v="Medium"/>
    <s v="Operations"/>
    <s v="EMP_38"/>
    <d v="2024-01-26T11:14:00"/>
    <d v="2024-01-26T14:52:00"/>
    <n v="105"/>
    <n v="218"/>
    <n v="1"/>
    <s v="Level 2"/>
    <n v="9"/>
    <n v="393.35"/>
  </r>
  <r>
    <s v="WF_82"/>
    <x v="2"/>
    <x v="81"/>
    <s v="Review"/>
    <s v="Low"/>
    <s v="Operations"/>
    <s v="EMP_78"/>
    <d v="2024-01-04T15:44:00"/>
    <d v="2024-01-04T15:56:00"/>
    <n v="15"/>
    <n v="12"/>
    <n v="0"/>
    <s v="Level 1"/>
    <n v="4"/>
    <n v="415.23"/>
  </r>
  <r>
    <s v="WF_83"/>
    <x v="0"/>
    <x v="82"/>
    <s v="Data Entry"/>
    <s v="Low"/>
    <s v="Customer Service"/>
    <s v="EMP_129"/>
    <d v="2024-06-05T15:39:00"/>
    <d v="2024-06-05T17:04:00"/>
    <n v="77"/>
    <n v="85"/>
    <n v="1"/>
    <s v="Level 3"/>
    <n v="1"/>
    <n v="124.2"/>
  </r>
  <r>
    <s v="WF_84"/>
    <x v="0"/>
    <x v="83"/>
    <s v="Escalation"/>
    <s v="High"/>
    <s v="HR"/>
    <s v="EMP_59"/>
    <d v="2024-12-13T15:36:00"/>
    <d v="2024-12-13T17:42:00"/>
    <n v="78"/>
    <n v="126"/>
    <n v="1"/>
    <s v="Level 1"/>
    <n v="2"/>
    <n v="421.04"/>
  </r>
  <r>
    <s v="WF_85"/>
    <x v="0"/>
    <x v="84"/>
    <s v="Review"/>
    <s v="Low"/>
    <s v="Customer Service"/>
    <s v="EMP_143"/>
    <d v="2024-05-30T22:00:00"/>
    <d v="2024-05-31T00:50:00"/>
    <n v="124"/>
    <n v="170"/>
    <n v="1"/>
    <s v="Level 3"/>
    <n v="9"/>
    <n v="130.94"/>
  </r>
  <r>
    <s v="WF_86"/>
    <x v="2"/>
    <x v="85"/>
    <s v="Approval"/>
    <s v="High"/>
    <s v="IT"/>
    <s v="EMP_88"/>
    <d v="2024-03-05T21:43:00"/>
    <d v="2024-03-06T03:10:00"/>
    <n v="225"/>
    <n v="327"/>
    <n v="1"/>
    <s v="Level 2"/>
    <n v="9"/>
    <n v="283.08999999999997"/>
  </r>
  <r>
    <s v="WF_87"/>
    <x v="4"/>
    <x v="86"/>
    <s v="Validation"/>
    <s v="High"/>
    <s v="Finance"/>
    <s v="EMP_28"/>
    <d v="2024-09-08T16:12:00"/>
    <d v="2024-09-08T19:30:00"/>
    <n v="124"/>
    <n v="198"/>
    <n v="1"/>
    <s v="Level 3"/>
    <n v="1"/>
    <n v="83.88"/>
  </r>
  <r>
    <s v="WF_88"/>
    <x v="4"/>
    <x v="87"/>
    <s v="Validation"/>
    <s v="Low"/>
    <s v="IT"/>
    <s v="EMP_27"/>
    <d v="2024-02-17T18:01:00"/>
    <d v="2024-02-17T19:39:00"/>
    <n v="85"/>
    <n v="98"/>
    <n v="1"/>
    <s v="Level 3"/>
    <n v="1"/>
    <n v="225.67"/>
  </r>
  <r>
    <s v="WF_89"/>
    <x v="1"/>
    <x v="88"/>
    <s v="Escalation"/>
    <s v="Medium"/>
    <s v="HR"/>
    <s v="EMP_121"/>
    <d v="2024-03-13T20:11:00"/>
    <d v="2024-03-13T23:40:00"/>
    <n v="181"/>
    <n v="209"/>
    <n v="1"/>
    <s v="Level 3"/>
    <n v="8"/>
    <n v="172.21"/>
  </r>
  <r>
    <s v="WF_90"/>
    <x v="0"/>
    <x v="89"/>
    <s v="Approval"/>
    <s v="Critical"/>
    <s v="Operations"/>
    <s v="EMP_136"/>
    <d v="2024-12-18T13:22:00"/>
    <d v="2024-12-18T15:12:00"/>
    <n v="113"/>
    <n v="110"/>
    <n v="0"/>
    <s v="Level 3"/>
    <n v="6"/>
    <n v="364.89"/>
  </r>
  <r>
    <s v="WF_91"/>
    <x v="1"/>
    <x v="90"/>
    <s v="Review"/>
    <s v="High"/>
    <s v="Operations"/>
    <s v="EMP_124"/>
    <d v="2024-05-06T15:32:00"/>
    <d v="2024-05-06T16:35:00"/>
    <n v="36"/>
    <n v="63"/>
    <n v="1"/>
    <s v="Level 3"/>
    <n v="9"/>
    <n v="177.53"/>
  </r>
  <r>
    <s v="WF_92"/>
    <x v="3"/>
    <x v="91"/>
    <s v="Data Entry"/>
    <s v="High"/>
    <s v="Customer Service"/>
    <s v="EMP_134"/>
    <d v="2024-07-07T07:17:00"/>
    <d v="2024-07-07T12:13:00"/>
    <n v="221"/>
    <n v="296"/>
    <n v="1"/>
    <s v="Level 2"/>
    <n v="8"/>
    <n v="260.11"/>
  </r>
  <r>
    <s v="WF_93"/>
    <x v="4"/>
    <x v="92"/>
    <s v="Escalation"/>
    <s v="Medium"/>
    <s v="Customer Service"/>
    <s v="EMP_26"/>
    <d v="2024-11-15T03:48:00"/>
    <d v="2024-11-15T07:13:00"/>
    <n v="177"/>
    <n v="205"/>
    <n v="1"/>
    <s v="Level 1"/>
    <n v="7"/>
    <n v="481.12"/>
  </r>
  <r>
    <s v="WF_94"/>
    <x v="2"/>
    <x v="93"/>
    <s v="Approval"/>
    <s v="Medium"/>
    <s v="Finance"/>
    <s v="EMP_83"/>
    <d v="2024-09-20T17:49:00"/>
    <d v="2024-09-20T19:38:00"/>
    <n v="17"/>
    <n v="109"/>
    <n v="1"/>
    <s v="Level 1"/>
    <n v="5"/>
    <n v="65.099999999999994"/>
  </r>
  <r>
    <s v="WF_95"/>
    <x v="3"/>
    <x v="94"/>
    <s v="Approval"/>
    <s v="Low"/>
    <s v="Customer Service"/>
    <s v="EMP_137"/>
    <d v="2024-04-10T17:49:00"/>
    <d v="2024-04-10T22:18:00"/>
    <n v="184"/>
    <n v="269"/>
    <n v="1"/>
    <s v="Level 1"/>
    <n v="9"/>
    <n v="209.72"/>
  </r>
  <r>
    <s v="WF_96"/>
    <x v="1"/>
    <x v="95"/>
    <s v="Escalation"/>
    <s v="High"/>
    <s v="HR"/>
    <s v="EMP_112"/>
    <d v="2024-10-22T11:10:00"/>
    <d v="2024-10-22T12:43:00"/>
    <n v="77"/>
    <n v="93"/>
    <n v="1"/>
    <s v="Level 3"/>
    <n v="1"/>
    <n v="130.12"/>
  </r>
  <r>
    <s v="WF_97"/>
    <x v="3"/>
    <x v="96"/>
    <s v="Review"/>
    <s v="Medium"/>
    <s v="Customer Service"/>
    <s v="EMP_143"/>
    <d v="2024-01-21T15:02:00"/>
    <d v="2024-01-21T16:30:00"/>
    <n v="30"/>
    <n v="88"/>
    <n v="1"/>
    <s v="Level 3"/>
    <n v="5"/>
    <n v="174.12"/>
  </r>
  <r>
    <s v="WF_98"/>
    <x v="4"/>
    <x v="97"/>
    <s v="Validation"/>
    <s v="High"/>
    <s v="IT"/>
    <s v="EMP_26"/>
    <d v="2024-05-23T12:42:00"/>
    <d v="2024-05-23T16:13:00"/>
    <n v="161"/>
    <n v="211"/>
    <n v="1"/>
    <s v="Level 2"/>
    <n v="8"/>
    <n v="411.13"/>
  </r>
  <r>
    <s v="WF_99"/>
    <x v="2"/>
    <x v="98"/>
    <s v="Validation"/>
    <s v="High"/>
    <s v="Finance"/>
    <s v="EMP_143"/>
    <d v="2024-03-29T22:10:00"/>
    <d v="2024-03-30T01:01:00"/>
    <n v="77"/>
    <n v="171"/>
    <n v="1"/>
    <s v="Level 2"/>
    <n v="6"/>
    <n v="113.26"/>
  </r>
  <r>
    <s v="WF_100"/>
    <x v="3"/>
    <x v="99"/>
    <s v="Escalation"/>
    <s v="Medium"/>
    <s v="Operations"/>
    <s v="EMP_64"/>
    <d v="2024-11-17T05:34:00"/>
    <d v="2024-11-17T11:16:00"/>
    <n v="235"/>
    <n v="342"/>
    <n v="1"/>
    <s v="Level 2"/>
    <n v="3"/>
    <n v="161.09"/>
  </r>
  <r>
    <s v="WF_101"/>
    <x v="2"/>
    <x v="100"/>
    <s v="Review"/>
    <s v="Critical"/>
    <s v="IT"/>
    <s v="EMP_15"/>
    <d v="2024-06-09T01:21:00"/>
    <d v="2024-06-09T05:11:00"/>
    <n v="152"/>
    <n v="230"/>
    <n v="1"/>
    <s v="Level 3"/>
    <n v="5"/>
    <n v="375.96"/>
  </r>
  <r>
    <s v="WF_102"/>
    <x v="1"/>
    <x v="101"/>
    <s v="Approval"/>
    <s v="Medium"/>
    <s v="Customer Service"/>
    <s v="EMP_38"/>
    <d v="2024-06-16T06:07:00"/>
    <d v="2024-06-16T09:19:00"/>
    <n v="161"/>
    <n v="192"/>
    <n v="1"/>
    <s v="Level 1"/>
    <n v="3"/>
    <n v="431.74"/>
  </r>
  <r>
    <s v="WF_103"/>
    <x v="0"/>
    <x v="102"/>
    <s v="Data Entry"/>
    <s v="Low"/>
    <s v="Customer Service"/>
    <s v="EMP_37"/>
    <d v="2024-01-28T05:17:00"/>
    <d v="2024-01-28T09:58:00"/>
    <n v="176"/>
    <n v="281"/>
    <n v="1"/>
    <s v="Level 1"/>
    <n v="2"/>
    <n v="492.06"/>
  </r>
  <r>
    <s v="WF_104"/>
    <x v="2"/>
    <x v="103"/>
    <s v="Approval"/>
    <s v="Low"/>
    <s v="Customer Service"/>
    <s v="EMP_53"/>
    <d v="2024-08-09T03:32:00"/>
    <d v="2024-08-09T04:44:00"/>
    <n v="40"/>
    <n v="72"/>
    <n v="1"/>
    <s v="Level 1"/>
    <n v="6"/>
    <n v="104.17"/>
  </r>
  <r>
    <s v="WF_105"/>
    <x v="0"/>
    <x v="104"/>
    <s v="Review"/>
    <s v="High"/>
    <s v="IT"/>
    <s v="EMP_127"/>
    <d v="2024-04-20T20:13:00"/>
    <d v="2024-04-20T22:58:00"/>
    <n v="98"/>
    <n v="165"/>
    <n v="1"/>
    <s v="Level 1"/>
    <n v="9"/>
    <n v="418.01"/>
  </r>
  <r>
    <s v="WF_106"/>
    <x v="2"/>
    <x v="105"/>
    <s v="Approval"/>
    <s v="Low"/>
    <s v="Operations"/>
    <s v="EMP_124"/>
    <d v="2024-07-06T18:31:00"/>
    <d v="2024-07-06T22:09:00"/>
    <n v="213"/>
    <n v="218"/>
    <n v="1"/>
    <s v="Level 3"/>
    <n v="5"/>
    <n v="275.48"/>
  </r>
  <r>
    <s v="WF_107"/>
    <x v="2"/>
    <x v="106"/>
    <s v="Validation"/>
    <s v="Low"/>
    <s v="Operations"/>
    <s v="EMP_38"/>
    <d v="2024-01-27T02:52:00"/>
    <d v="2024-01-27T04:33:00"/>
    <n v="97"/>
    <n v="101"/>
    <n v="1"/>
    <s v="Level 2"/>
    <n v="3"/>
    <n v="138.36000000000001"/>
  </r>
  <r>
    <s v="WF_108"/>
    <x v="4"/>
    <x v="107"/>
    <s v="Escalation"/>
    <s v="High"/>
    <s v="IT"/>
    <s v="EMP_80"/>
    <d v="2024-05-27T12:21:00"/>
    <d v="2024-05-27T14:11:00"/>
    <n v="50"/>
    <n v="110"/>
    <n v="1"/>
    <s v="Level 1"/>
    <n v="9"/>
    <n v="211.4"/>
  </r>
  <r>
    <s v="WF_109"/>
    <x v="3"/>
    <x v="108"/>
    <s v="Approval"/>
    <s v="High"/>
    <s v="Customer Service"/>
    <s v="EMP_10"/>
    <d v="2024-03-23T18:18:00"/>
    <d v="2024-03-23T23:32:00"/>
    <n v="216"/>
    <n v="314"/>
    <n v="1"/>
    <s v="Level 3"/>
    <n v="8"/>
    <n v="361.12"/>
  </r>
  <r>
    <s v="WF_110"/>
    <x v="1"/>
    <x v="109"/>
    <s v="Review"/>
    <s v="Low"/>
    <s v="Operations"/>
    <s v="EMP_78"/>
    <d v="2024-10-23T09:27:00"/>
    <d v="2024-10-23T12:49:00"/>
    <n v="136"/>
    <n v="202"/>
    <n v="1"/>
    <s v="Level 2"/>
    <n v="6"/>
    <n v="155.22"/>
  </r>
  <r>
    <s v="WF_111"/>
    <x v="2"/>
    <x v="110"/>
    <s v="Validation"/>
    <s v="Critical"/>
    <s v="Customer Service"/>
    <s v="EMP_11"/>
    <d v="2024-06-30T00:42:00"/>
    <d v="2024-06-30T03:25:00"/>
    <n v="50"/>
    <n v="163"/>
    <n v="1"/>
    <s v="Level 1"/>
    <n v="9"/>
    <n v="387.75"/>
  </r>
  <r>
    <s v="WF_112"/>
    <x v="0"/>
    <x v="111"/>
    <s v="Approval"/>
    <s v="Low"/>
    <s v="HR"/>
    <s v="EMP_99"/>
    <d v="2024-12-01T22:48:00"/>
    <d v="2024-12-01T23:37:00"/>
    <n v="13"/>
    <n v="49"/>
    <n v="1"/>
    <s v="Level 2"/>
    <n v="3"/>
    <n v="234.36"/>
  </r>
  <r>
    <s v="WF_113"/>
    <x v="1"/>
    <x v="112"/>
    <s v="Data Entry"/>
    <s v="Medium"/>
    <s v="HR"/>
    <s v="EMP_90"/>
    <d v="2024-11-18T02:09:00"/>
    <d v="2024-11-18T06:33:00"/>
    <n v="207"/>
    <n v="264"/>
    <n v="1"/>
    <s v="Level 3"/>
    <n v="6"/>
    <n v="378.4"/>
  </r>
  <r>
    <s v="WF_114"/>
    <x v="3"/>
    <x v="113"/>
    <s v="Validation"/>
    <s v="Medium"/>
    <s v="Operations"/>
    <s v="EMP_73"/>
    <d v="2024-01-11T03:12:00"/>
    <d v="2024-01-11T07:28:00"/>
    <n v="206"/>
    <n v="256"/>
    <n v="1"/>
    <s v="Level 1"/>
    <n v="10"/>
    <n v="404.91"/>
  </r>
  <r>
    <s v="WF_115"/>
    <x v="1"/>
    <x v="114"/>
    <s v="Review"/>
    <s v="Low"/>
    <s v="IT"/>
    <s v="EMP_129"/>
    <d v="2024-11-21T07:51:00"/>
    <d v="2024-11-21T10:09:00"/>
    <n v="93"/>
    <n v="138"/>
    <n v="1"/>
    <s v="Level 1"/>
    <n v="4"/>
    <n v="424.76"/>
  </r>
  <r>
    <s v="WF_116"/>
    <x v="4"/>
    <x v="115"/>
    <s v="Escalation"/>
    <s v="Medium"/>
    <s v="Customer Service"/>
    <s v="EMP_11"/>
    <d v="2024-04-04T00:23:00"/>
    <d v="2024-04-04T04:56:00"/>
    <n v="156"/>
    <n v="273"/>
    <n v="1"/>
    <s v="Level 3"/>
    <n v="6"/>
    <n v="63.64"/>
  </r>
  <r>
    <s v="WF_117"/>
    <x v="0"/>
    <x v="116"/>
    <s v="Escalation"/>
    <s v="Low"/>
    <s v="IT"/>
    <s v="EMP_146"/>
    <d v="2024-03-09T01:48:00"/>
    <d v="2024-03-09T05:09:00"/>
    <n v="117"/>
    <n v="201"/>
    <n v="1"/>
    <s v="Level 2"/>
    <n v="1"/>
    <n v="145.69"/>
  </r>
  <r>
    <s v="WF_118"/>
    <x v="1"/>
    <x v="117"/>
    <s v="Escalation"/>
    <s v="Low"/>
    <s v="Finance"/>
    <s v="EMP_44"/>
    <d v="2024-02-17T00:08:00"/>
    <d v="2024-02-17T04:34:00"/>
    <n v="192"/>
    <n v="266"/>
    <n v="1"/>
    <s v="Level 1"/>
    <n v="10"/>
    <n v="282.42"/>
  </r>
  <r>
    <s v="WF_119"/>
    <x v="3"/>
    <x v="118"/>
    <s v="Escalation"/>
    <s v="Critical"/>
    <s v="Customer Service"/>
    <s v="EMP_4"/>
    <d v="2024-10-12T12:41:00"/>
    <d v="2024-10-12T15:58:00"/>
    <n v="114"/>
    <n v="197"/>
    <n v="1"/>
    <s v="Level 2"/>
    <n v="7"/>
    <n v="147.5"/>
  </r>
  <r>
    <s v="WF_120"/>
    <x v="3"/>
    <x v="119"/>
    <s v="Escalation"/>
    <s v="Medium"/>
    <s v="Customer Service"/>
    <s v="EMP_35"/>
    <d v="2024-02-03T00:16:00"/>
    <d v="2024-02-03T04:26:00"/>
    <n v="143"/>
    <n v="250"/>
    <n v="1"/>
    <s v="Level 1"/>
    <n v="6"/>
    <n v="310.88"/>
  </r>
  <r>
    <s v="WF_121"/>
    <x v="2"/>
    <x v="120"/>
    <s v="Validation"/>
    <s v="Critical"/>
    <s v="Finance"/>
    <s v="EMP_17"/>
    <d v="2024-05-17T20:13:00"/>
    <d v="2024-05-18T00:02:00"/>
    <n v="117"/>
    <n v="229"/>
    <n v="1"/>
    <s v="Level 1"/>
    <n v="7"/>
    <n v="351.16"/>
  </r>
  <r>
    <s v="WF_122"/>
    <x v="3"/>
    <x v="121"/>
    <s v="Validation"/>
    <s v="Critical"/>
    <s v="Operations"/>
    <s v="EMP_92"/>
    <d v="2024-05-03T23:58:00"/>
    <d v="2024-05-04T04:50:00"/>
    <n v="227"/>
    <n v="292"/>
    <n v="1"/>
    <s v="Level 3"/>
    <n v="3"/>
    <n v="72.95"/>
  </r>
  <r>
    <s v="WF_123"/>
    <x v="3"/>
    <x v="122"/>
    <s v="Review"/>
    <s v="Critical"/>
    <s v="Operations"/>
    <s v="EMP_34"/>
    <d v="2024-11-03T06:24:00"/>
    <d v="2024-11-03T10:26:00"/>
    <n v="132"/>
    <n v="242"/>
    <n v="1"/>
    <s v="Level 3"/>
    <n v="8"/>
    <n v="489.88"/>
  </r>
  <r>
    <s v="WF_124"/>
    <x v="3"/>
    <x v="123"/>
    <s v="Escalation"/>
    <s v="Critical"/>
    <s v="Operations"/>
    <s v="EMP_1"/>
    <d v="2024-03-03T06:57:00"/>
    <d v="2024-03-03T09:18:00"/>
    <n v="55"/>
    <n v="141"/>
    <n v="1"/>
    <s v="Level 1"/>
    <n v="1"/>
    <n v="479.95"/>
  </r>
  <r>
    <s v="WF_125"/>
    <x v="4"/>
    <x v="124"/>
    <s v="Escalation"/>
    <s v="High"/>
    <s v="HR"/>
    <s v="EMP_59"/>
    <d v="2024-01-03T03:15:00"/>
    <d v="2024-01-03T08:00:00"/>
    <n v="237"/>
    <n v="285"/>
    <n v="1"/>
    <s v="Level 1"/>
    <n v="7"/>
    <n v="367.89"/>
  </r>
  <r>
    <s v="WF_126"/>
    <x v="4"/>
    <x v="125"/>
    <s v="Review"/>
    <s v="High"/>
    <s v="IT"/>
    <s v="EMP_141"/>
    <d v="2024-01-15T22:02:00"/>
    <d v="2024-01-16T02:15:00"/>
    <n v="174"/>
    <n v="253"/>
    <n v="1"/>
    <s v="Level 2"/>
    <n v="6"/>
    <n v="467.99"/>
  </r>
  <r>
    <s v="WF_127"/>
    <x v="1"/>
    <x v="126"/>
    <s v="Approval"/>
    <s v="Medium"/>
    <s v="Finance"/>
    <s v="EMP_147"/>
    <d v="2024-11-19T18:38:00"/>
    <d v="2024-11-19T22:30:00"/>
    <n v="233"/>
    <n v="232"/>
    <n v="0"/>
    <s v="Level 3"/>
    <n v="3"/>
    <n v="443.42"/>
  </r>
  <r>
    <s v="WF_128"/>
    <x v="1"/>
    <x v="127"/>
    <s v="Data Entry"/>
    <s v="High"/>
    <s v="IT"/>
    <s v="EMP_145"/>
    <d v="2024-06-27T18:02:00"/>
    <d v="2024-06-27T20:42:00"/>
    <n v="65"/>
    <n v="160"/>
    <n v="1"/>
    <s v="Level 1"/>
    <n v="5"/>
    <n v="180.84"/>
  </r>
  <r>
    <s v="WF_129"/>
    <x v="0"/>
    <x v="128"/>
    <s v="Approval"/>
    <s v="Low"/>
    <s v="Finance"/>
    <s v="EMP_106"/>
    <d v="2024-07-14T10:21:00"/>
    <d v="2024-07-14T12:09:00"/>
    <n v="93"/>
    <n v="108"/>
    <n v="1"/>
    <s v="Level 3"/>
    <n v="5"/>
    <n v="76.06"/>
  </r>
  <r>
    <s v="WF_130"/>
    <x v="2"/>
    <x v="129"/>
    <s v="Review"/>
    <s v="Critical"/>
    <s v="IT"/>
    <s v="EMP_88"/>
    <d v="2024-11-06T14:24:00"/>
    <d v="2024-11-06T18:01:00"/>
    <n v="157"/>
    <n v="217"/>
    <n v="1"/>
    <s v="Level 2"/>
    <n v="5"/>
    <n v="484.96"/>
  </r>
  <r>
    <s v="WF_131"/>
    <x v="2"/>
    <x v="130"/>
    <s v="Validation"/>
    <s v="Medium"/>
    <s v="HR"/>
    <s v="EMP_29"/>
    <d v="2024-05-09T10:20:00"/>
    <d v="2024-05-09T13:16:00"/>
    <n v="178"/>
    <n v="176"/>
    <n v="0"/>
    <s v="Level 2"/>
    <n v="3"/>
    <n v="269.91000000000003"/>
  </r>
  <r>
    <s v="WF_132"/>
    <x v="2"/>
    <x v="131"/>
    <s v="Review"/>
    <s v="Low"/>
    <s v="IT"/>
    <s v="EMP_141"/>
    <d v="2024-09-15T03:13:00"/>
    <d v="2024-09-15T05:19:00"/>
    <n v="97"/>
    <n v="126"/>
    <n v="1"/>
    <s v="Level 3"/>
    <n v="4"/>
    <n v="319.45"/>
  </r>
  <r>
    <s v="WF_133"/>
    <x v="1"/>
    <x v="132"/>
    <s v="Escalation"/>
    <s v="Medium"/>
    <s v="IT"/>
    <s v="EMP_36"/>
    <d v="2024-07-19T11:13:00"/>
    <d v="2024-07-19T12:36:00"/>
    <n v="72"/>
    <n v="83"/>
    <n v="1"/>
    <s v="Level 2"/>
    <n v="6"/>
    <n v="410.05"/>
  </r>
  <r>
    <s v="WF_134"/>
    <x v="2"/>
    <x v="133"/>
    <s v="Data Entry"/>
    <s v="High"/>
    <s v="HR"/>
    <s v="EMP_36"/>
    <d v="2024-04-12T11:16:00"/>
    <d v="2024-04-12T14:37:00"/>
    <n v="116"/>
    <n v="201"/>
    <n v="1"/>
    <s v="Level 1"/>
    <n v="8"/>
    <n v="400.61"/>
  </r>
  <r>
    <s v="WF_135"/>
    <x v="4"/>
    <x v="134"/>
    <s v="Validation"/>
    <s v="Critical"/>
    <s v="HR"/>
    <s v="EMP_4"/>
    <d v="2024-11-12T08:55:00"/>
    <d v="2024-11-12T11:57:00"/>
    <n v="73"/>
    <n v="182"/>
    <n v="1"/>
    <s v="Level 3"/>
    <n v="10"/>
    <n v="358.97"/>
  </r>
  <r>
    <s v="WF_136"/>
    <x v="3"/>
    <x v="135"/>
    <s v="Data Entry"/>
    <s v="Medium"/>
    <s v="IT"/>
    <s v="EMP_61"/>
    <d v="2024-03-02T22:08:00"/>
    <d v="2024-03-03T00:58:00"/>
    <n v="127"/>
    <n v="170"/>
    <n v="1"/>
    <s v="Level 1"/>
    <n v="3"/>
    <n v="58.7"/>
  </r>
  <r>
    <s v="WF_137"/>
    <x v="3"/>
    <x v="136"/>
    <s v="Validation"/>
    <s v="Medium"/>
    <s v="Customer Service"/>
    <s v="EMP_47"/>
    <d v="2024-04-03T08:31:00"/>
    <d v="2024-04-03T11:17:00"/>
    <n v="148"/>
    <n v="166"/>
    <n v="1"/>
    <s v="Level 3"/>
    <n v="10"/>
    <n v="219.67"/>
  </r>
  <r>
    <s v="WF_138"/>
    <x v="1"/>
    <x v="137"/>
    <s v="Data Entry"/>
    <s v="Low"/>
    <s v="IT"/>
    <s v="EMP_94"/>
    <d v="2024-08-14T03:54:00"/>
    <d v="2024-08-14T07:02:00"/>
    <n v="104"/>
    <n v="188"/>
    <n v="1"/>
    <s v="Level 2"/>
    <n v="4"/>
    <n v="100.05"/>
  </r>
  <r>
    <s v="WF_139"/>
    <x v="2"/>
    <x v="138"/>
    <s v="Escalation"/>
    <s v="High"/>
    <s v="IT"/>
    <s v="EMP_113"/>
    <d v="2024-11-01T22:38:00"/>
    <d v="2024-11-02T01:58:00"/>
    <n v="141"/>
    <n v="200"/>
    <n v="1"/>
    <s v="Level 1"/>
    <n v="7"/>
    <n v="195.12"/>
  </r>
  <r>
    <s v="WF_140"/>
    <x v="0"/>
    <x v="139"/>
    <s v="Escalation"/>
    <s v="Critical"/>
    <s v="Customer Service"/>
    <s v="EMP_21"/>
    <d v="2024-07-23T08:47:00"/>
    <d v="2024-07-23T13:27:00"/>
    <n v="226"/>
    <n v="280"/>
    <n v="1"/>
    <s v="Level 3"/>
    <n v="6"/>
    <n v="347.58"/>
  </r>
  <r>
    <s v="WF_141"/>
    <x v="2"/>
    <x v="140"/>
    <s v="Escalation"/>
    <s v="Critical"/>
    <s v="Finance"/>
    <s v="EMP_72"/>
    <d v="2024-02-07T03:14:00"/>
    <d v="2024-02-07T07:04:00"/>
    <n v="150"/>
    <n v="230"/>
    <n v="1"/>
    <s v="Level 3"/>
    <n v="8"/>
    <n v="413.26"/>
  </r>
  <r>
    <s v="WF_142"/>
    <x v="0"/>
    <x v="141"/>
    <s v="Escalation"/>
    <s v="Low"/>
    <s v="Customer Service"/>
    <s v="EMP_62"/>
    <d v="2024-09-03T04:57:00"/>
    <d v="2024-09-03T06:12:00"/>
    <n v="10"/>
    <n v="75"/>
    <n v="1"/>
    <s v="Level 1"/>
    <n v="6"/>
    <n v="366.55"/>
  </r>
  <r>
    <s v="WF_143"/>
    <x v="4"/>
    <x v="142"/>
    <s v="Review"/>
    <s v="Critical"/>
    <s v="Finance"/>
    <s v="EMP_72"/>
    <d v="2024-10-08T04:26:00"/>
    <d v="2024-10-08T08:30:00"/>
    <n v="172"/>
    <n v="244"/>
    <n v="1"/>
    <s v="Level 2"/>
    <n v="3"/>
    <n v="85.77"/>
  </r>
  <r>
    <s v="WF_144"/>
    <x v="4"/>
    <x v="143"/>
    <s v="Review"/>
    <s v="Low"/>
    <s v="Finance"/>
    <s v="EMP_13"/>
    <d v="2024-10-12T18:38:00"/>
    <d v="2024-10-12T22:47:00"/>
    <n v="155"/>
    <n v="249"/>
    <n v="1"/>
    <s v="Level 2"/>
    <n v="7"/>
    <n v="430.32"/>
  </r>
  <r>
    <s v="WF_145"/>
    <x v="4"/>
    <x v="144"/>
    <s v="Approval"/>
    <s v="High"/>
    <s v="IT"/>
    <s v="EMP_95"/>
    <d v="2024-06-12T13:41:00"/>
    <d v="2024-06-12T15:00:00"/>
    <n v="84"/>
    <n v="79"/>
    <n v="0"/>
    <s v="Level 3"/>
    <n v="2"/>
    <n v="118.78"/>
  </r>
  <r>
    <s v="WF_146"/>
    <x v="2"/>
    <x v="145"/>
    <s v="Review"/>
    <s v="Low"/>
    <s v="HR"/>
    <s v="EMP_38"/>
    <d v="2024-05-07T20:27:00"/>
    <d v="2024-05-08T02:19:00"/>
    <n v="236"/>
    <n v="352"/>
    <n v="1"/>
    <s v="Level 1"/>
    <n v="6"/>
    <n v="115.31"/>
  </r>
  <r>
    <s v="WF_147"/>
    <x v="2"/>
    <x v="146"/>
    <s v="Data Entry"/>
    <s v="Critical"/>
    <s v="Operations"/>
    <s v="EMP_102"/>
    <d v="2024-01-18T14:03:00"/>
    <d v="2024-01-18T17:50:00"/>
    <n v="179"/>
    <n v="227"/>
    <n v="1"/>
    <s v="Level 1"/>
    <n v="2"/>
    <n v="295.18"/>
  </r>
  <r>
    <s v="WF_148"/>
    <x v="0"/>
    <x v="147"/>
    <s v="Data Entry"/>
    <s v="Medium"/>
    <s v="Finance"/>
    <s v="EMP_118"/>
    <d v="2024-10-10T15:49:00"/>
    <d v="2024-10-10T20:25:00"/>
    <n v="188"/>
    <n v="276"/>
    <n v="1"/>
    <s v="Level 3"/>
    <n v="4"/>
    <n v="221.35"/>
  </r>
  <r>
    <s v="WF_149"/>
    <x v="0"/>
    <x v="148"/>
    <s v="Review"/>
    <s v="Low"/>
    <s v="Finance"/>
    <s v="EMP_117"/>
    <d v="2024-06-24T07:05:00"/>
    <d v="2024-06-24T11:11:00"/>
    <n v="174"/>
    <n v="246"/>
    <n v="1"/>
    <s v="Level 2"/>
    <n v="7"/>
    <n v="80.099999999999994"/>
  </r>
  <r>
    <s v="WF_150"/>
    <x v="2"/>
    <x v="149"/>
    <s v="Review"/>
    <s v="Low"/>
    <s v="IT"/>
    <s v="EMP_74"/>
    <d v="2024-04-08T21:58:00"/>
    <d v="2024-04-08T23:48:00"/>
    <n v="53"/>
    <n v="110"/>
    <n v="1"/>
    <s v="Level 1"/>
    <n v="3"/>
    <n v="471.22"/>
  </r>
  <r>
    <s v="WF_151"/>
    <x v="4"/>
    <x v="150"/>
    <s v="Escalation"/>
    <s v="Critical"/>
    <s v="Finance"/>
    <s v="EMP_20"/>
    <d v="2024-12-13T18:56:00"/>
    <d v="2024-12-13T23:31:00"/>
    <n v="157"/>
    <n v="275"/>
    <n v="1"/>
    <s v="Level 3"/>
    <n v="1"/>
    <n v="298.23"/>
  </r>
  <r>
    <s v="WF_152"/>
    <x v="2"/>
    <x v="151"/>
    <s v="Review"/>
    <s v="Low"/>
    <s v="Finance"/>
    <s v="EMP_73"/>
    <d v="2024-01-01T03:46:00"/>
    <d v="2024-01-01T06:43:00"/>
    <n v="163"/>
    <n v="177"/>
    <n v="1"/>
    <s v="Level 3"/>
    <n v="6"/>
    <n v="293.52"/>
  </r>
  <r>
    <s v="WF_153"/>
    <x v="1"/>
    <x v="152"/>
    <s v="Validation"/>
    <s v="Critical"/>
    <s v="Finance"/>
    <s v="EMP_133"/>
    <d v="2024-09-16T15:49:00"/>
    <d v="2024-09-16T18:05:00"/>
    <n v="82"/>
    <n v="136"/>
    <n v="1"/>
    <s v="Level 2"/>
    <n v="3"/>
    <n v="205.91"/>
  </r>
  <r>
    <s v="WF_154"/>
    <x v="0"/>
    <x v="153"/>
    <s v="Data Entry"/>
    <s v="High"/>
    <s v="Operations"/>
    <s v="EMP_16"/>
    <d v="2024-08-19T07:44:00"/>
    <d v="2024-08-19T12:19:00"/>
    <n v="156"/>
    <n v="275"/>
    <n v="1"/>
    <s v="Level 2"/>
    <n v="8"/>
    <n v="326.32"/>
  </r>
  <r>
    <s v="WF_155"/>
    <x v="0"/>
    <x v="154"/>
    <s v="Validation"/>
    <s v="Low"/>
    <s v="HR"/>
    <s v="EMP_9"/>
    <d v="2024-06-26T21:47:00"/>
    <d v="2024-06-27T02:18:00"/>
    <n v="235"/>
    <n v="271"/>
    <n v="1"/>
    <s v="Level 1"/>
    <n v="8"/>
    <n v="328.17"/>
  </r>
  <r>
    <s v="WF_156"/>
    <x v="1"/>
    <x v="155"/>
    <s v="Review"/>
    <s v="Low"/>
    <s v="IT"/>
    <s v="EMP_26"/>
    <d v="2024-07-07T14:47:00"/>
    <d v="2024-07-07T20:10:00"/>
    <n v="206"/>
    <n v="323"/>
    <n v="1"/>
    <s v="Level 1"/>
    <n v="2"/>
    <n v="282.45999999999998"/>
  </r>
  <r>
    <s v="WF_157"/>
    <x v="3"/>
    <x v="156"/>
    <s v="Escalation"/>
    <s v="Low"/>
    <s v="HR"/>
    <s v="EMP_54"/>
    <d v="2024-02-02T17:28:00"/>
    <d v="2024-02-02T20:27:00"/>
    <n v="143"/>
    <n v="179"/>
    <n v="1"/>
    <s v="Level 1"/>
    <n v="3"/>
    <n v="79.540000000000006"/>
  </r>
  <r>
    <s v="WF_158"/>
    <x v="1"/>
    <x v="157"/>
    <s v="Review"/>
    <s v="Low"/>
    <s v="HR"/>
    <s v="EMP_5"/>
    <d v="2024-03-21T18:28:00"/>
    <d v="2024-03-21T20:31:00"/>
    <n v="27"/>
    <n v="123"/>
    <n v="1"/>
    <s v="Level 2"/>
    <n v="2"/>
    <n v="364.1"/>
  </r>
  <r>
    <s v="WF_159"/>
    <x v="3"/>
    <x v="158"/>
    <s v="Approval"/>
    <s v="Low"/>
    <s v="Finance"/>
    <s v="EMP_16"/>
    <d v="2024-03-15T07:44:00"/>
    <d v="2024-03-15T11:45:00"/>
    <n v="123"/>
    <n v="241"/>
    <n v="1"/>
    <s v="Level 2"/>
    <n v="2"/>
    <n v="119.18"/>
  </r>
  <r>
    <s v="WF_160"/>
    <x v="0"/>
    <x v="159"/>
    <s v="Data Entry"/>
    <s v="Critical"/>
    <s v="Operations"/>
    <s v="EMP_54"/>
    <d v="2024-02-17T19:37:00"/>
    <d v="2024-02-17T23:58:00"/>
    <n v="213"/>
    <n v="261"/>
    <n v="1"/>
    <s v="Level 2"/>
    <n v="2"/>
    <n v="57.55"/>
  </r>
  <r>
    <s v="WF_161"/>
    <x v="0"/>
    <x v="160"/>
    <s v="Data Entry"/>
    <s v="Low"/>
    <s v="Operations"/>
    <s v="EMP_101"/>
    <d v="2024-02-01T05:22:00"/>
    <d v="2024-02-01T07:37:00"/>
    <n v="64"/>
    <n v="135"/>
    <n v="1"/>
    <s v="Level 3"/>
    <n v="7"/>
    <n v="444.4"/>
  </r>
  <r>
    <s v="WF_162"/>
    <x v="3"/>
    <x v="161"/>
    <s v="Data Entry"/>
    <s v="High"/>
    <s v="Customer Service"/>
    <s v="EMP_109"/>
    <d v="2024-06-05T19:22:00"/>
    <d v="2024-06-06T00:00:00"/>
    <n v="162"/>
    <n v="278"/>
    <n v="1"/>
    <s v="Level 2"/>
    <n v="7"/>
    <n v="273.51"/>
  </r>
  <r>
    <s v="WF_163"/>
    <x v="4"/>
    <x v="162"/>
    <s v="Data Entry"/>
    <s v="Low"/>
    <s v="Operations"/>
    <s v="EMP_81"/>
    <d v="2024-02-25T23:24:00"/>
    <d v="2024-02-26T00:25:00"/>
    <n v="48"/>
    <n v="61"/>
    <n v="1"/>
    <s v="Level 2"/>
    <n v="1"/>
    <n v="55.58"/>
  </r>
  <r>
    <s v="WF_164"/>
    <x v="4"/>
    <x v="163"/>
    <s v="Validation"/>
    <s v="Low"/>
    <s v="Customer Service"/>
    <s v="EMP_69"/>
    <d v="2024-10-11T01:19:00"/>
    <d v="2024-10-11T02:18:00"/>
    <n v="17"/>
    <n v="59"/>
    <n v="1"/>
    <s v="Level 3"/>
    <n v="7"/>
    <n v="371.13"/>
  </r>
  <r>
    <s v="WF_165"/>
    <x v="4"/>
    <x v="164"/>
    <s v="Escalation"/>
    <s v="Critical"/>
    <s v="Customer Service"/>
    <s v="EMP_132"/>
    <d v="2024-06-15T19:32:00"/>
    <d v="2024-06-15T22:07:00"/>
    <n v="108"/>
    <n v="155"/>
    <n v="1"/>
    <s v="Level 3"/>
    <n v="1"/>
    <n v="288.11"/>
  </r>
  <r>
    <s v="WF_166"/>
    <x v="0"/>
    <x v="165"/>
    <s v="Escalation"/>
    <s v="Critical"/>
    <s v="Finance"/>
    <s v="EMP_106"/>
    <d v="2024-03-11T01:56:00"/>
    <d v="2024-03-11T06:25:00"/>
    <n v="201"/>
    <n v="269"/>
    <n v="1"/>
    <s v="Level 2"/>
    <n v="3"/>
    <n v="329.26"/>
  </r>
  <r>
    <s v="WF_167"/>
    <x v="1"/>
    <x v="166"/>
    <s v="Data Entry"/>
    <s v="High"/>
    <s v="Customer Service"/>
    <s v="EMP_25"/>
    <d v="2024-01-16T18:45:00"/>
    <d v="2024-01-16T21:31:00"/>
    <n v="141"/>
    <n v="166"/>
    <n v="1"/>
    <s v="Level 2"/>
    <n v="3"/>
    <n v="481.28"/>
  </r>
  <r>
    <s v="WF_168"/>
    <x v="3"/>
    <x v="167"/>
    <s v="Validation"/>
    <s v="High"/>
    <s v="HR"/>
    <s v="EMP_122"/>
    <d v="2024-10-31T11:56:00"/>
    <d v="2024-10-31T13:39:00"/>
    <n v="95"/>
    <n v="103"/>
    <n v="1"/>
    <s v="Level 2"/>
    <n v="4"/>
    <n v="495.69"/>
  </r>
  <r>
    <s v="WF_169"/>
    <x v="1"/>
    <x v="168"/>
    <s v="Escalation"/>
    <s v="High"/>
    <s v="HR"/>
    <s v="EMP_139"/>
    <d v="2024-04-18T16:24:00"/>
    <d v="2024-04-18T18:58:00"/>
    <n v="159"/>
    <n v="154"/>
    <n v="0"/>
    <s v="Level 3"/>
    <n v="8"/>
    <n v="285.58"/>
  </r>
  <r>
    <s v="WF_170"/>
    <x v="4"/>
    <x v="169"/>
    <s v="Validation"/>
    <s v="Critical"/>
    <s v="Operations"/>
    <s v="EMP_22"/>
    <d v="2024-05-29T01:24:00"/>
    <d v="2024-05-29T07:13:00"/>
    <n v="238"/>
    <n v="349"/>
    <n v="1"/>
    <s v="Level 2"/>
    <n v="7"/>
    <n v="177.94"/>
  </r>
  <r>
    <s v="WF_171"/>
    <x v="4"/>
    <x v="170"/>
    <s v="Escalation"/>
    <s v="Low"/>
    <s v="Finance"/>
    <s v="EMP_108"/>
    <d v="2024-04-05T16:13:00"/>
    <d v="2024-04-05T19:35:00"/>
    <n v="117"/>
    <n v="202"/>
    <n v="1"/>
    <s v="Level 2"/>
    <n v="1"/>
    <n v="188.28"/>
  </r>
  <r>
    <s v="WF_172"/>
    <x v="4"/>
    <x v="171"/>
    <s v="Validation"/>
    <s v="Medium"/>
    <s v="HR"/>
    <s v="EMP_83"/>
    <d v="2024-09-12T12:17:00"/>
    <d v="2024-09-12T13:50:00"/>
    <n v="75"/>
    <n v="93"/>
    <n v="1"/>
    <s v="Level 3"/>
    <n v="8"/>
    <n v="314.64"/>
  </r>
  <r>
    <s v="WF_173"/>
    <x v="4"/>
    <x v="172"/>
    <s v="Data Entry"/>
    <s v="High"/>
    <s v="Operations"/>
    <s v="EMP_126"/>
    <d v="2024-12-10T12:20:00"/>
    <d v="2024-12-10T14:28:00"/>
    <n v="61"/>
    <n v="128"/>
    <n v="1"/>
    <s v="Level 3"/>
    <n v="2"/>
    <n v="403.15"/>
  </r>
  <r>
    <s v="WF_174"/>
    <x v="3"/>
    <x v="173"/>
    <s v="Review"/>
    <s v="High"/>
    <s v="IT"/>
    <s v="EMP_108"/>
    <d v="2024-10-08T23:34:00"/>
    <d v="2024-10-09T03:42:00"/>
    <n v="155"/>
    <n v="248"/>
    <n v="1"/>
    <s v="Level 2"/>
    <n v="8"/>
    <n v="87.14"/>
  </r>
  <r>
    <s v="WF_175"/>
    <x v="4"/>
    <x v="174"/>
    <s v="Review"/>
    <s v="High"/>
    <s v="Operations"/>
    <s v="EMP_110"/>
    <d v="2024-03-23T22:15:00"/>
    <d v="2024-03-23T22:42:00"/>
    <n v="29"/>
    <n v="27"/>
    <n v="0"/>
    <s v="Level 3"/>
    <n v="10"/>
    <n v="80.58"/>
  </r>
  <r>
    <s v="WF_176"/>
    <x v="1"/>
    <x v="175"/>
    <s v="Approval"/>
    <s v="Critical"/>
    <s v="HR"/>
    <s v="EMP_138"/>
    <d v="2024-09-22T06:41:00"/>
    <d v="2024-09-22T11:08:00"/>
    <n v="151"/>
    <n v="267"/>
    <n v="1"/>
    <s v="Level 2"/>
    <n v="4"/>
    <n v="285.13"/>
  </r>
  <r>
    <s v="WF_177"/>
    <x v="0"/>
    <x v="176"/>
    <s v="Review"/>
    <s v="Low"/>
    <s v="IT"/>
    <s v="EMP_44"/>
    <d v="2024-05-19T15:08:00"/>
    <d v="2024-05-19T16:22:00"/>
    <n v="55"/>
    <n v="74"/>
    <n v="1"/>
    <s v="Level 2"/>
    <n v="9"/>
    <n v="189.56"/>
  </r>
  <r>
    <s v="WF_178"/>
    <x v="0"/>
    <x v="177"/>
    <s v="Validation"/>
    <s v="Medium"/>
    <s v="IT"/>
    <s v="EMP_29"/>
    <d v="2024-10-03T06:12:00"/>
    <d v="2024-10-03T06:39:00"/>
    <n v="21"/>
    <n v="27"/>
    <n v="1"/>
    <s v="Level 1"/>
    <n v="1"/>
    <n v="189.85"/>
  </r>
  <r>
    <s v="WF_179"/>
    <x v="0"/>
    <x v="178"/>
    <s v="Data Entry"/>
    <s v="Critical"/>
    <s v="Operations"/>
    <s v="EMP_71"/>
    <d v="2024-03-18T21:18:00"/>
    <d v="2024-03-19T01:43:00"/>
    <n v="197"/>
    <n v="265"/>
    <n v="1"/>
    <s v="Level 1"/>
    <n v="1"/>
    <n v="479.16"/>
  </r>
  <r>
    <s v="WF_180"/>
    <x v="4"/>
    <x v="179"/>
    <s v="Data Entry"/>
    <s v="Medium"/>
    <s v="Finance"/>
    <s v="EMP_97"/>
    <d v="2024-09-09T06:13:00"/>
    <d v="2024-09-09T10:13:00"/>
    <n v="213"/>
    <n v="240"/>
    <n v="1"/>
    <s v="Level 2"/>
    <n v="7"/>
    <n v="124.97"/>
  </r>
  <r>
    <s v="WF_181"/>
    <x v="3"/>
    <x v="180"/>
    <s v="Review"/>
    <s v="Critical"/>
    <s v="Customer Service"/>
    <s v="EMP_10"/>
    <d v="2024-10-23T15:55:00"/>
    <d v="2024-10-23T19:10:00"/>
    <n v="105"/>
    <n v="195"/>
    <n v="1"/>
    <s v="Level 3"/>
    <n v="5"/>
    <n v="105.18"/>
  </r>
  <r>
    <s v="WF_182"/>
    <x v="1"/>
    <x v="181"/>
    <s v="Data Entry"/>
    <s v="Low"/>
    <s v="Customer Service"/>
    <s v="EMP_3"/>
    <d v="2024-07-25T02:48:00"/>
    <d v="2024-07-25T06:28:00"/>
    <n v="127"/>
    <n v="220"/>
    <n v="1"/>
    <s v="Level 1"/>
    <n v="10"/>
    <n v="279.64"/>
  </r>
  <r>
    <s v="WF_183"/>
    <x v="4"/>
    <x v="182"/>
    <s v="Escalation"/>
    <s v="Low"/>
    <s v="Finance"/>
    <s v="EMP_122"/>
    <d v="2024-07-05T21:11:00"/>
    <d v="2024-07-05T23:34:00"/>
    <n v="125"/>
    <n v="143"/>
    <n v="1"/>
    <s v="Level 3"/>
    <n v="7"/>
    <n v="157.05000000000001"/>
  </r>
  <r>
    <s v="WF_184"/>
    <x v="4"/>
    <x v="183"/>
    <s v="Escalation"/>
    <s v="Medium"/>
    <s v="HR"/>
    <s v="EMP_28"/>
    <d v="2024-02-01T22:16:00"/>
    <d v="2024-02-02T02:05:00"/>
    <n v="119"/>
    <n v="229"/>
    <n v="1"/>
    <s v="Level 2"/>
    <n v="7"/>
    <n v="58.47"/>
  </r>
  <r>
    <s v="WF_185"/>
    <x v="4"/>
    <x v="184"/>
    <s v="Approval"/>
    <s v="Low"/>
    <s v="IT"/>
    <s v="EMP_43"/>
    <d v="2024-08-23T07:01:00"/>
    <d v="2024-08-23T09:29:00"/>
    <n v="153"/>
    <n v="148"/>
    <n v="0"/>
    <s v="Level 2"/>
    <n v="9"/>
    <n v="442.49"/>
  </r>
  <r>
    <s v="WF_186"/>
    <x v="0"/>
    <x v="185"/>
    <s v="Approval"/>
    <s v="High"/>
    <s v="Finance"/>
    <s v="EMP_38"/>
    <d v="2024-12-05T03:01:00"/>
    <d v="2024-12-05T05:33:00"/>
    <n v="112"/>
    <n v="152"/>
    <n v="1"/>
    <s v="Level 2"/>
    <n v="10"/>
    <n v="235"/>
  </r>
  <r>
    <s v="WF_187"/>
    <x v="4"/>
    <x v="186"/>
    <s v="Validation"/>
    <s v="Medium"/>
    <s v="Finance"/>
    <s v="EMP_77"/>
    <d v="2024-01-17T07:35:00"/>
    <d v="2024-01-17T12:11:00"/>
    <n v="178"/>
    <n v="276"/>
    <n v="1"/>
    <s v="Level 2"/>
    <n v="6"/>
    <n v="423.58"/>
  </r>
  <r>
    <s v="WF_188"/>
    <x v="2"/>
    <x v="187"/>
    <s v="Data Entry"/>
    <s v="Low"/>
    <s v="Finance"/>
    <s v="EMP_26"/>
    <d v="2024-01-27T00:17:00"/>
    <d v="2024-01-27T01:49:00"/>
    <n v="55"/>
    <n v="92"/>
    <n v="1"/>
    <s v="Level 1"/>
    <n v="4"/>
    <n v="303.55"/>
  </r>
  <r>
    <s v="WF_189"/>
    <x v="3"/>
    <x v="188"/>
    <s v="Validation"/>
    <s v="Critical"/>
    <s v="IT"/>
    <s v="EMP_39"/>
    <d v="2024-08-20T20:00:00"/>
    <d v="2024-08-21T00:05:00"/>
    <n v="230"/>
    <n v="245"/>
    <n v="1"/>
    <s v="Level 2"/>
    <n v="3"/>
    <n v="495.34"/>
  </r>
  <r>
    <s v="WF_190"/>
    <x v="1"/>
    <x v="189"/>
    <s v="Data Entry"/>
    <s v="High"/>
    <s v="HR"/>
    <s v="EMP_117"/>
    <d v="2024-06-16T05:55:00"/>
    <d v="2024-06-16T08:56:00"/>
    <n v="90"/>
    <n v="181"/>
    <n v="1"/>
    <s v="Level 2"/>
    <n v="6"/>
    <n v="467.42"/>
  </r>
  <r>
    <s v="WF_191"/>
    <x v="2"/>
    <x v="190"/>
    <s v="Validation"/>
    <s v="Medium"/>
    <s v="HR"/>
    <s v="EMP_14"/>
    <d v="2024-05-05T11:40:00"/>
    <d v="2024-05-05T14:22:00"/>
    <n v="124"/>
    <n v="162"/>
    <n v="1"/>
    <s v="Level 2"/>
    <n v="6"/>
    <n v="253.48"/>
  </r>
  <r>
    <s v="WF_192"/>
    <x v="2"/>
    <x v="191"/>
    <s v="Review"/>
    <s v="High"/>
    <s v="Customer Service"/>
    <s v="EMP_25"/>
    <d v="2024-02-03T21:55:00"/>
    <d v="2024-02-03T23:03:00"/>
    <n v="28"/>
    <n v="68"/>
    <n v="1"/>
    <s v="Level 1"/>
    <n v="3"/>
    <n v="487.61"/>
  </r>
  <r>
    <s v="WF_193"/>
    <x v="1"/>
    <x v="192"/>
    <s v="Escalation"/>
    <s v="Medium"/>
    <s v="Operations"/>
    <s v="EMP_86"/>
    <d v="2024-09-09T15:31:00"/>
    <d v="2024-09-09T18:13:00"/>
    <n v="50"/>
    <n v="162"/>
    <n v="1"/>
    <s v="Level 1"/>
    <n v="10"/>
    <n v="241.08"/>
  </r>
  <r>
    <s v="WF_194"/>
    <x v="2"/>
    <x v="193"/>
    <s v="Approval"/>
    <s v="Medium"/>
    <s v="HR"/>
    <s v="EMP_16"/>
    <d v="2024-06-26T02:45:00"/>
    <d v="2024-06-26T06:17:00"/>
    <n v="151"/>
    <n v="212"/>
    <n v="1"/>
    <s v="Level 3"/>
    <n v="1"/>
    <n v="241.78"/>
  </r>
  <r>
    <s v="WF_195"/>
    <x v="3"/>
    <x v="194"/>
    <s v="Review"/>
    <s v="Critical"/>
    <s v="HR"/>
    <s v="EMP_37"/>
    <d v="2024-09-24T08:17:00"/>
    <d v="2024-09-24T10:30:00"/>
    <n v="86"/>
    <n v="133"/>
    <n v="1"/>
    <s v="Level 2"/>
    <n v="4"/>
    <n v="421.88"/>
  </r>
  <r>
    <s v="WF_196"/>
    <x v="0"/>
    <x v="195"/>
    <s v="Review"/>
    <s v="Low"/>
    <s v="Finance"/>
    <s v="EMP_136"/>
    <d v="2024-07-31T04:46:00"/>
    <d v="2024-07-31T07:36:00"/>
    <n v="59"/>
    <n v="170"/>
    <n v="1"/>
    <s v="Level 1"/>
    <n v="7"/>
    <n v="273.55"/>
  </r>
  <r>
    <s v="WF_197"/>
    <x v="3"/>
    <x v="196"/>
    <s v="Review"/>
    <s v="Critical"/>
    <s v="IT"/>
    <s v="EMP_142"/>
    <d v="2024-06-14T15:20:00"/>
    <d v="2024-06-14T17:28:00"/>
    <n v="50"/>
    <n v="128"/>
    <n v="1"/>
    <s v="Level 3"/>
    <n v="6"/>
    <n v="440.56"/>
  </r>
  <r>
    <s v="WF_198"/>
    <x v="1"/>
    <x v="197"/>
    <s v="Data Entry"/>
    <s v="High"/>
    <s v="Customer Service"/>
    <s v="EMP_58"/>
    <d v="2024-05-12T09:57:00"/>
    <d v="2024-05-12T12:57:00"/>
    <n v="126"/>
    <n v="180"/>
    <n v="1"/>
    <s v="Level 3"/>
    <n v="9"/>
    <n v="216.35"/>
  </r>
  <r>
    <s v="WF_199"/>
    <x v="1"/>
    <x v="198"/>
    <s v="Escalation"/>
    <s v="High"/>
    <s v="Operations"/>
    <s v="EMP_124"/>
    <d v="2024-06-25T04:54:00"/>
    <d v="2024-06-25T07:40:00"/>
    <n v="148"/>
    <n v="166"/>
    <n v="1"/>
    <s v="Level 3"/>
    <n v="6"/>
    <n v="148.25"/>
  </r>
  <r>
    <s v="WF_200"/>
    <x v="0"/>
    <x v="199"/>
    <s v="Data Entry"/>
    <s v="Low"/>
    <s v="HR"/>
    <s v="EMP_31"/>
    <d v="2024-09-14T18:07:00"/>
    <d v="2024-09-14T22:49:00"/>
    <n v="177"/>
    <n v="282"/>
    <n v="1"/>
    <s v="Level 2"/>
    <n v="10"/>
    <n v="448.45"/>
  </r>
  <r>
    <s v="WF_201"/>
    <x v="1"/>
    <x v="200"/>
    <s v="Validation"/>
    <s v="Critical"/>
    <s v="HR"/>
    <s v="EMP_142"/>
    <d v="2024-09-06T03:46:00"/>
    <d v="2024-09-06T07:58:00"/>
    <n v="164"/>
    <n v="252"/>
    <n v="1"/>
    <s v="Level 3"/>
    <n v="10"/>
    <n v="238.71"/>
  </r>
  <r>
    <s v="WF_202"/>
    <x v="3"/>
    <x v="201"/>
    <s v="Approval"/>
    <s v="High"/>
    <s v="HR"/>
    <s v="EMP_5"/>
    <d v="2024-04-06T19:59:00"/>
    <d v="2024-04-06T22:08:00"/>
    <n v="112"/>
    <n v="129"/>
    <n v="1"/>
    <s v="Level 3"/>
    <n v="7"/>
    <n v="66.680000000000007"/>
  </r>
  <r>
    <s v="WF_203"/>
    <x v="4"/>
    <x v="202"/>
    <s v="Validation"/>
    <s v="Low"/>
    <s v="Operations"/>
    <s v="EMP_58"/>
    <d v="2024-01-10T19:26:00"/>
    <d v="2024-01-10T21:09:00"/>
    <n v="56"/>
    <n v="103"/>
    <n v="1"/>
    <s v="Level 2"/>
    <n v="2"/>
    <n v="375.19"/>
  </r>
  <r>
    <s v="WF_204"/>
    <x v="4"/>
    <x v="203"/>
    <s v="Review"/>
    <s v="Low"/>
    <s v="Operations"/>
    <s v="EMP_36"/>
    <d v="2024-01-29T23:01:00"/>
    <d v="2024-01-30T02:11:00"/>
    <n v="134"/>
    <n v="190"/>
    <n v="1"/>
    <s v="Level 2"/>
    <n v="10"/>
    <n v="470.49"/>
  </r>
  <r>
    <s v="WF_205"/>
    <x v="0"/>
    <x v="204"/>
    <s v="Data Entry"/>
    <s v="Critical"/>
    <s v="HR"/>
    <s v="EMP_97"/>
    <d v="2024-08-05T19:11:00"/>
    <d v="2024-08-05T23:31:00"/>
    <n v="155"/>
    <n v="260"/>
    <n v="1"/>
    <s v="Level 1"/>
    <n v="3"/>
    <n v="111.02"/>
  </r>
  <r>
    <s v="WF_206"/>
    <x v="3"/>
    <x v="205"/>
    <s v="Escalation"/>
    <s v="Low"/>
    <s v="Operations"/>
    <s v="EMP_147"/>
    <d v="2024-09-07T14:31:00"/>
    <d v="2024-09-07T15:38:00"/>
    <n v="18"/>
    <n v="67"/>
    <n v="1"/>
    <s v="Level 1"/>
    <n v="7"/>
    <n v="155.9"/>
  </r>
  <r>
    <s v="WF_207"/>
    <x v="0"/>
    <x v="206"/>
    <s v="Approval"/>
    <s v="Critical"/>
    <s v="HR"/>
    <s v="EMP_142"/>
    <d v="2024-07-25T04:33:00"/>
    <d v="2024-07-25T06:53:00"/>
    <n v="58"/>
    <n v="140"/>
    <n v="1"/>
    <s v="Level 3"/>
    <n v="8"/>
    <n v="136.52000000000001"/>
  </r>
  <r>
    <s v="WF_208"/>
    <x v="0"/>
    <x v="207"/>
    <s v="Review"/>
    <s v="Low"/>
    <s v="HR"/>
    <s v="EMP_67"/>
    <d v="2024-09-23T01:29:00"/>
    <d v="2024-09-23T05:26:00"/>
    <n v="131"/>
    <n v="237"/>
    <n v="1"/>
    <s v="Level 2"/>
    <n v="6"/>
    <n v="85.44"/>
  </r>
  <r>
    <s v="WF_209"/>
    <x v="2"/>
    <x v="208"/>
    <s v="Validation"/>
    <s v="Low"/>
    <s v="Customer Service"/>
    <s v="EMP_30"/>
    <d v="2024-07-12T10:10:00"/>
    <d v="2024-07-12T14:06:00"/>
    <n v="232"/>
    <n v="236"/>
    <n v="1"/>
    <s v="Level 1"/>
    <n v="1"/>
    <n v="280.93"/>
  </r>
  <r>
    <s v="WF_210"/>
    <x v="0"/>
    <x v="209"/>
    <s v="Escalation"/>
    <s v="High"/>
    <s v="Customer Service"/>
    <s v="EMP_94"/>
    <d v="2024-05-12T18:13:00"/>
    <d v="2024-05-12T20:21:00"/>
    <n v="114"/>
    <n v="128"/>
    <n v="1"/>
    <s v="Level 3"/>
    <n v="1"/>
    <n v="256.35000000000002"/>
  </r>
  <r>
    <s v="WF_211"/>
    <x v="0"/>
    <x v="210"/>
    <s v="Approval"/>
    <s v="Medium"/>
    <s v="Customer Service"/>
    <s v="EMP_26"/>
    <d v="2024-07-11T13:47:00"/>
    <d v="2024-07-11T15:50:00"/>
    <n v="10"/>
    <n v="123"/>
    <n v="1"/>
    <s v="Level 3"/>
    <n v="7"/>
    <n v="476.33"/>
  </r>
  <r>
    <s v="WF_212"/>
    <x v="1"/>
    <x v="211"/>
    <s v="Review"/>
    <s v="Critical"/>
    <s v="Operations"/>
    <s v="EMP_56"/>
    <d v="2024-09-21T08:04:00"/>
    <d v="2024-09-21T11:05:00"/>
    <n v="89"/>
    <n v="181"/>
    <n v="1"/>
    <s v="Level 1"/>
    <n v="4"/>
    <n v="235.85"/>
  </r>
  <r>
    <s v="WF_213"/>
    <x v="0"/>
    <x v="212"/>
    <s v="Validation"/>
    <s v="Low"/>
    <s v="HR"/>
    <s v="EMP_11"/>
    <d v="2024-11-14T09:13:00"/>
    <d v="2024-11-14T14:15:00"/>
    <n v="218"/>
    <n v="302"/>
    <n v="1"/>
    <s v="Level 1"/>
    <n v="2"/>
    <n v="84.79"/>
  </r>
  <r>
    <s v="WF_214"/>
    <x v="3"/>
    <x v="213"/>
    <s v="Data Entry"/>
    <s v="Low"/>
    <s v="HR"/>
    <s v="EMP_139"/>
    <d v="2024-08-29T03:04:00"/>
    <d v="2024-08-29T04:43:00"/>
    <n v="81"/>
    <n v="99"/>
    <n v="1"/>
    <s v="Level 2"/>
    <n v="4"/>
    <n v="415.19"/>
  </r>
  <r>
    <s v="WF_215"/>
    <x v="3"/>
    <x v="214"/>
    <s v="Review"/>
    <s v="Low"/>
    <s v="Operations"/>
    <s v="EMP_52"/>
    <d v="2024-02-12T02:54:00"/>
    <d v="2024-02-12T06:05:00"/>
    <n v="88"/>
    <n v="191"/>
    <n v="1"/>
    <s v="Level 2"/>
    <n v="8"/>
    <n v="58.59"/>
  </r>
  <r>
    <s v="WF_216"/>
    <x v="3"/>
    <x v="215"/>
    <s v="Review"/>
    <s v="Low"/>
    <s v="IT"/>
    <s v="EMP_86"/>
    <d v="2024-04-05T05:48:00"/>
    <d v="2024-04-05T10:02:00"/>
    <n v="186"/>
    <n v="254"/>
    <n v="1"/>
    <s v="Level 2"/>
    <n v="6"/>
    <n v="161.52000000000001"/>
  </r>
  <r>
    <s v="WF_217"/>
    <x v="1"/>
    <x v="216"/>
    <s v="Validation"/>
    <s v="Medium"/>
    <s v="Finance"/>
    <s v="EMP_109"/>
    <d v="2024-05-22T15:19:00"/>
    <d v="2024-05-22T16:21:00"/>
    <n v="56"/>
    <n v="62"/>
    <n v="1"/>
    <s v="Level 3"/>
    <n v="7"/>
    <n v="347.6"/>
  </r>
  <r>
    <s v="WF_218"/>
    <x v="1"/>
    <x v="217"/>
    <s v="Escalation"/>
    <s v="Medium"/>
    <s v="IT"/>
    <s v="EMP_39"/>
    <d v="2024-12-07T23:52:00"/>
    <d v="2024-12-08T02:16:00"/>
    <n v="122"/>
    <n v="144"/>
    <n v="1"/>
    <s v="Level 2"/>
    <n v="6"/>
    <n v="184.99"/>
  </r>
  <r>
    <s v="WF_219"/>
    <x v="3"/>
    <x v="218"/>
    <s v="Escalation"/>
    <s v="Low"/>
    <s v="IT"/>
    <s v="EMP_76"/>
    <d v="2024-10-06T08:31:00"/>
    <d v="2024-10-06T11:07:00"/>
    <n v="65"/>
    <n v="156"/>
    <n v="1"/>
    <s v="Level 1"/>
    <n v="7"/>
    <n v="195.6"/>
  </r>
  <r>
    <s v="WF_220"/>
    <x v="3"/>
    <x v="219"/>
    <s v="Review"/>
    <s v="Critical"/>
    <s v="IT"/>
    <s v="EMP_92"/>
    <d v="2024-04-29T12:05:00"/>
    <d v="2024-04-29T15:08:00"/>
    <n v="112"/>
    <n v="183"/>
    <n v="1"/>
    <s v="Level 2"/>
    <n v="6"/>
    <n v="387.51"/>
  </r>
  <r>
    <s v="WF_221"/>
    <x v="4"/>
    <x v="220"/>
    <s v="Review"/>
    <s v="Low"/>
    <s v="IT"/>
    <s v="EMP_137"/>
    <d v="2024-07-04T16:39:00"/>
    <d v="2024-07-04T19:14:00"/>
    <n v="157"/>
    <n v="155"/>
    <n v="0"/>
    <s v="Level 3"/>
    <n v="6"/>
    <n v="358.87"/>
  </r>
  <r>
    <s v="WF_222"/>
    <x v="2"/>
    <x v="221"/>
    <s v="Escalation"/>
    <s v="Low"/>
    <s v="Operations"/>
    <s v="EMP_4"/>
    <d v="2024-04-26T02:46:00"/>
    <d v="2024-04-26T04:50:00"/>
    <n v="128"/>
    <n v="124"/>
    <n v="0"/>
    <s v="Level 3"/>
    <n v="1"/>
    <n v="308.68"/>
  </r>
  <r>
    <s v="WF_223"/>
    <x v="1"/>
    <x v="222"/>
    <s v="Data Entry"/>
    <s v="Medium"/>
    <s v="Customer Service"/>
    <s v="EMP_46"/>
    <d v="2024-01-29T01:14:00"/>
    <d v="2024-01-29T03:21:00"/>
    <n v="13"/>
    <n v="127"/>
    <n v="1"/>
    <s v="Level 2"/>
    <n v="9"/>
    <n v="497.37"/>
  </r>
  <r>
    <s v="WF_224"/>
    <x v="4"/>
    <x v="223"/>
    <s v="Approval"/>
    <s v="High"/>
    <s v="IT"/>
    <s v="EMP_67"/>
    <d v="2024-08-12T23:10:00"/>
    <d v="2024-08-13T01:31:00"/>
    <n v="35"/>
    <n v="141"/>
    <n v="1"/>
    <s v="Level 1"/>
    <n v="4"/>
    <n v="56.41"/>
  </r>
  <r>
    <s v="WF_225"/>
    <x v="1"/>
    <x v="224"/>
    <s v="Data Entry"/>
    <s v="Medium"/>
    <s v="IT"/>
    <s v="EMP_130"/>
    <d v="2024-05-22T07:30:00"/>
    <d v="2024-05-22T12:15:00"/>
    <n v="187"/>
    <n v="285"/>
    <n v="1"/>
    <s v="Level 3"/>
    <n v="9"/>
    <n v="417.75"/>
  </r>
  <r>
    <s v="WF_226"/>
    <x v="1"/>
    <x v="225"/>
    <s v="Approval"/>
    <s v="Critical"/>
    <s v="Operations"/>
    <s v="EMP_96"/>
    <d v="2024-04-12T00:55:00"/>
    <d v="2024-04-12T03:55:00"/>
    <n v="166"/>
    <n v="180"/>
    <n v="1"/>
    <s v="Level 1"/>
    <n v="6"/>
    <n v="241.19"/>
  </r>
  <r>
    <s v="WF_227"/>
    <x v="1"/>
    <x v="226"/>
    <s v="Escalation"/>
    <s v="Low"/>
    <s v="Finance"/>
    <s v="EMP_107"/>
    <d v="2024-06-03T06:37:00"/>
    <d v="2024-06-03T09:29:00"/>
    <n v="56"/>
    <n v="172"/>
    <n v="1"/>
    <s v="Level 3"/>
    <n v="5"/>
    <n v="262.04000000000002"/>
  </r>
  <r>
    <s v="WF_228"/>
    <x v="1"/>
    <x v="227"/>
    <s v="Approval"/>
    <s v="Low"/>
    <s v="Finance"/>
    <s v="EMP_147"/>
    <d v="2024-06-07T18:30:00"/>
    <d v="2024-06-07T21:36:00"/>
    <n v="157"/>
    <n v="186"/>
    <n v="1"/>
    <s v="Level 1"/>
    <n v="3"/>
    <n v="456.17"/>
  </r>
  <r>
    <s v="WF_229"/>
    <x v="2"/>
    <x v="228"/>
    <s v="Escalation"/>
    <s v="Critical"/>
    <s v="Finance"/>
    <s v="EMP_68"/>
    <d v="2024-12-18T03:54:00"/>
    <d v="2024-12-18T06:39:00"/>
    <n v="64"/>
    <n v="165"/>
    <n v="1"/>
    <s v="Level 2"/>
    <n v="3"/>
    <n v="466.9"/>
  </r>
  <r>
    <s v="WF_230"/>
    <x v="2"/>
    <x v="229"/>
    <s v="Approval"/>
    <s v="Medium"/>
    <s v="Finance"/>
    <s v="EMP_4"/>
    <d v="2024-03-25T19:33:00"/>
    <d v="2024-03-25T22:41:00"/>
    <n v="157"/>
    <n v="188"/>
    <n v="1"/>
    <s v="Level 1"/>
    <n v="9"/>
    <n v="188.88"/>
  </r>
  <r>
    <s v="WF_231"/>
    <x v="0"/>
    <x v="230"/>
    <s v="Validation"/>
    <s v="High"/>
    <s v="HR"/>
    <s v="EMP_138"/>
    <d v="2024-01-14T08:00:00"/>
    <d v="2024-01-14T13:11:00"/>
    <n v="228"/>
    <n v="311"/>
    <n v="1"/>
    <s v="Level 1"/>
    <n v="10"/>
    <n v="412.75"/>
  </r>
  <r>
    <s v="WF_232"/>
    <x v="3"/>
    <x v="231"/>
    <s v="Review"/>
    <s v="Medium"/>
    <s v="IT"/>
    <s v="EMP_93"/>
    <d v="2024-08-04T23:14:00"/>
    <d v="2024-08-05T01:45:00"/>
    <n v="67"/>
    <n v="151"/>
    <n v="1"/>
    <s v="Level 3"/>
    <n v="5"/>
    <n v="130.94999999999999"/>
  </r>
  <r>
    <s v="WF_233"/>
    <x v="3"/>
    <x v="232"/>
    <s v="Data Entry"/>
    <s v="High"/>
    <s v="Finance"/>
    <s v="EMP_63"/>
    <d v="2024-02-15T13:20:00"/>
    <d v="2024-02-15T17:20:00"/>
    <n v="163"/>
    <n v="240"/>
    <n v="1"/>
    <s v="Level 3"/>
    <n v="2"/>
    <n v="427.52"/>
  </r>
  <r>
    <s v="WF_234"/>
    <x v="3"/>
    <x v="233"/>
    <s v="Escalation"/>
    <s v="Low"/>
    <s v="IT"/>
    <s v="EMP_113"/>
    <d v="2024-04-02T07:55:00"/>
    <d v="2024-04-02T12:40:00"/>
    <n v="207"/>
    <n v="285"/>
    <n v="1"/>
    <s v="Level 1"/>
    <n v="4"/>
    <n v="89.47"/>
  </r>
  <r>
    <s v="WF_235"/>
    <x v="0"/>
    <x v="234"/>
    <s v="Validation"/>
    <s v="Low"/>
    <s v="IT"/>
    <s v="EMP_23"/>
    <d v="2024-06-17T16:50:00"/>
    <d v="2024-06-17T19:33:00"/>
    <n v="118"/>
    <n v="163"/>
    <n v="1"/>
    <s v="Level 2"/>
    <n v="10"/>
    <n v="267.75"/>
  </r>
  <r>
    <s v="WF_236"/>
    <x v="3"/>
    <x v="235"/>
    <s v="Validation"/>
    <s v="Low"/>
    <s v="Finance"/>
    <s v="EMP_87"/>
    <d v="2024-08-19T12:59:00"/>
    <d v="2024-08-19T17:35:00"/>
    <n v="157"/>
    <n v="276"/>
    <n v="1"/>
    <s v="Level 3"/>
    <n v="7"/>
    <n v="183.41"/>
  </r>
  <r>
    <s v="WF_237"/>
    <x v="2"/>
    <x v="236"/>
    <s v="Approval"/>
    <s v="High"/>
    <s v="Operations"/>
    <s v="EMP_13"/>
    <d v="2024-07-20T00:07:00"/>
    <d v="2024-07-20T03:37:00"/>
    <n v="153"/>
    <n v="210"/>
    <n v="1"/>
    <s v="Level 1"/>
    <n v="10"/>
    <n v="386.66"/>
  </r>
  <r>
    <s v="WF_238"/>
    <x v="0"/>
    <x v="237"/>
    <s v="Approval"/>
    <s v="Low"/>
    <s v="IT"/>
    <s v="EMP_124"/>
    <d v="2024-12-16T20:37:00"/>
    <d v="2024-12-16T22:47:00"/>
    <n v="122"/>
    <n v="130"/>
    <n v="1"/>
    <s v="Level 2"/>
    <n v="2"/>
    <n v="213.76"/>
  </r>
  <r>
    <s v="WF_239"/>
    <x v="2"/>
    <x v="238"/>
    <s v="Data Entry"/>
    <s v="Medium"/>
    <s v="Customer Service"/>
    <s v="EMP_98"/>
    <d v="2024-08-19T22:07:00"/>
    <d v="2024-08-20T00:15:00"/>
    <n v="108"/>
    <n v="128"/>
    <n v="1"/>
    <s v="Level 2"/>
    <n v="5"/>
    <n v="280.94"/>
  </r>
  <r>
    <s v="WF_240"/>
    <x v="0"/>
    <x v="239"/>
    <s v="Data Entry"/>
    <s v="Low"/>
    <s v="Finance"/>
    <s v="EMP_56"/>
    <d v="2024-03-11T01:47:00"/>
    <d v="2024-03-11T03:19:00"/>
    <n v="97"/>
    <n v="92"/>
    <n v="0"/>
    <s v="Level 1"/>
    <n v="2"/>
    <n v="70.17"/>
  </r>
  <r>
    <s v="WF_241"/>
    <x v="0"/>
    <x v="240"/>
    <s v="Approval"/>
    <s v="Low"/>
    <s v="Finance"/>
    <s v="EMP_18"/>
    <d v="2024-09-27T22:58:00"/>
    <d v="2024-09-28T01:26:00"/>
    <n v="40"/>
    <n v="148"/>
    <n v="1"/>
    <s v="Level 2"/>
    <n v="3"/>
    <n v="439.1"/>
  </r>
  <r>
    <s v="WF_242"/>
    <x v="4"/>
    <x v="241"/>
    <s v="Validation"/>
    <s v="High"/>
    <s v="Operations"/>
    <s v="EMP_8"/>
    <d v="2024-06-03T09:25:00"/>
    <d v="2024-06-03T14:00:00"/>
    <n v="216"/>
    <n v="275"/>
    <n v="1"/>
    <s v="Level 2"/>
    <n v="9"/>
    <n v="283.27999999999997"/>
  </r>
  <r>
    <s v="WF_243"/>
    <x v="3"/>
    <x v="242"/>
    <s v="Validation"/>
    <s v="High"/>
    <s v="Finance"/>
    <s v="EMP_24"/>
    <d v="2024-05-21T01:02:00"/>
    <d v="2024-05-21T06:16:00"/>
    <n v="206"/>
    <n v="314"/>
    <n v="1"/>
    <s v="Level 1"/>
    <n v="9"/>
    <n v="322.16000000000003"/>
  </r>
  <r>
    <s v="WF_244"/>
    <x v="0"/>
    <x v="243"/>
    <s v="Approval"/>
    <s v="Critical"/>
    <s v="Customer Service"/>
    <s v="EMP_24"/>
    <d v="2024-07-09T13:16:00"/>
    <d v="2024-07-09T17:09:00"/>
    <n v="138"/>
    <n v="233"/>
    <n v="1"/>
    <s v="Level 1"/>
    <n v="8"/>
    <n v="287.24"/>
  </r>
  <r>
    <s v="WF_245"/>
    <x v="4"/>
    <x v="244"/>
    <s v="Review"/>
    <s v="Low"/>
    <s v="HR"/>
    <s v="EMP_34"/>
    <d v="2024-05-03T14:00:00"/>
    <d v="2024-05-03T17:21:00"/>
    <n v="138"/>
    <n v="201"/>
    <n v="1"/>
    <s v="Level 2"/>
    <n v="3"/>
    <n v="81.63"/>
  </r>
  <r>
    <s v="WF_246"/>
    <x v="3"/>
    <x v="245"/>
    <s v="Approval"/>
    <s v="Medium"/>
    <s v="Finance"/>
    <s v="EMP_70"/>
    <d v="2024-07-13T05:05:00"/>
    <d v="2024-07-13T09:38:00"/>
    <n v="176"/>
    <n v="273"/>
    <n v="1"/>
    <s v="Level 3"/>
    <n v="10"/>
    <n v="387.59"/>
  </r>
  <r>
    <s v="WF_247"/>
    <x v="3"/>
    <x v="246"/>
    <s v="Approval"/>
    <s v="High"/>
    <s v="HR"/>
    <s v="EMP_100"/>
    <d v="2024-10-01T11:31:00"/>
    <d v="2024-10-01T15:39:00"/>
    <n v="176"/>
    <n v="248"/>
    <n v="1"/>
    <s v="Level 3"/>
    <n v="4"/>
    <n v="405.81"/>
  </r>
  <r>
    <s v="WF_248"/>
    <x v="3"/>
    <x v="247"/>
    <s v="Review"/>
    <s v="High"/>
    <s v="Operations"/>
    <s v="EMP_25"/>
    <d v="2024-01-21T01:16:00"/>
    <d v="2024-01-21T04:58:00"/>
    <n v="114"/>
    <n v="222"/>
    <n v="1"/>
    <s v="Level 1"/>
    <n v="6"/>
    <n v="297.48"/>
  </r>
  <r>
    <s v="WF_249"/>
    <x v="0"/>
    <x v="248"/>
    <s v="Review"/>
    <s v="Critical"/>
    <s v="HR"/>
    <s v="EMP_133"/>
    <d v="2024-11-01T06:05:00"/>
    <d v="2024-11-01T09:18:00"/>
    <n v="148"/>
    <n v="193"/>
    <n v="1"/>
    <s v="Level 3"/>
    <n v="1"/>
    <n v="419"/>
  </r>
  <r>
    <s v="WF_250"/>
    <x v="0"/>
    <x v="249"/>
    <s v="Review"/>
    <s v="Low"/>
    <s v="Finance"/>
    <s v="EMP_39"/>
    <d v="2024-07-28T07:56:00"/>
    <d v="2024-07-28T08:19:00"/>
    <n v="24"/>
    <n v="23"/>
    <n v="0"/>
    <s v="Level 1"/>
    <n v="2"/>
    <n v="53.22"/>
  </r>
  <r>
    <s v="WF_251"/>
    <x v="2"/>
    <x v="250"/>
    <s v="Escalation"/>
    <s v="Critical"/>
    <s v="Operations"/>
    <s v="EMP_126"/>
    <d v="2024-08-29T20:11:00"/>
    <d v="2024-08-29T22:49:00"/>
    <n v="146"/>
    <n v="158"/>
    <n v="1"/>
    <s v="Level 3"/>
    <n v="8"/>
    <n v="459.52"/>
  </r>
  <r>
    <s v="WF_252"/>
    <x v="0"/>
    <x v="251"/>
    <s v="Escalation"/>
    <s v="Critical"/>
    <s v="Customer Service"/>
    <s v="EMP_87"/>
    <d v="2024-03-13T00:06:00"/>
    <d v="2024-03-13T03:52:00"/>
    <n v="154"/>
    <n v="226"/>
    <n v="1"/>
    <s v="Level 3"/>
    <n v="4"/>
    <n v="65.099999999999994"/>
  </r>
  <r>
    <s v="WF_253"/>
    <x v="3"/>
    <x v="252"/>
    <s v="Approval"/>
    <s v="Critical"/>
    <s v="Operations"/>
    <s v="EMP_135"/>
    <d v="2024-06-10T12:41:00"/>
    <d v="2024-06-10T14:12:00"/>
    <n v="24"/>
    <n v="91"/>
    <n v="1"/>
    <s v="Level 2"/>
    <n v="9"/>
    <n v="379.48"/>
  </r>
  <r>
    <s v="WF_254"/>
    <x v="4"/>
    <x v="253"/>
    <s v="Review"/>
    <s v="High"/>
    <s v="HR"/>
    <s v="EMP_93"/>
    <d v="2024-01-26T14:51:00"/>
    <d v="2024-01-26T17:42:00"/>
    <n v="114"/>
    <n v="171"/>
    <n v="1"/>
    <s v="Level 3"/>
    <n v="10"/>
    <n v="299.58"/>
  </r>
  <r>
    <s v="WF_255"/>
    <x v="1"/>
    <x v="254"/>
    <s v="Approval"/>
    <s v="Low"/>
    <s v="Finance"/>
    <s v="EMP_113"/>
    <d v="2024-07-12T06:20:00"/>
    <d v="2024-07-12T07:32:00"/>
    <n v="28"/>
    <n v="72"/>
    <n v="1"/>
    <s v="Level 1"/>
    <n v="10"/>
    <n v="373.71"/>
  </r>
  <r>
    <s v="WF_256"/>
    <x v="4"/>
    <x v="255"/>
    <s v="Review"/>
    <s v="Medium"/>
    <s v="Operations"/>
    <s v="EMP_82"/>
    <d v="2024-09-23T00:30:00"/>
    <d v="2024-09-23T03:43:00"/>
    <n v="115"/>
    <n v="193"/>
    <n v="1"/>
    <s v="Level 2"/>
    <n v="8"/>
    <n v="447.27"/>
  </r>
  <r>
    <s v="WF_257"/>
    <x v="3"/>
    <x v="256"/>
    <s v="Approval"/>
    <s v="Critical"/>
    <s v="HR"/>
    <s v="EMP_4"/>
    <d v="2024-01-02T06:16:00"/>
    <d v="2024-01-02T07:56:00"/>
    <n v="53"/>
    <n v="100"/>
    <n v="1"/>
    <s v="Level 1"/>
    <n v="7"/>
    <n v="227.94"/>
  </r>
  <r>
    <s v="WF_258"/>
    <x v="2"/>
    <x v="257"/>
    <s v="Validation"/>
    <s v="High"/>
    <s v="IT"/>
    <s v="EMP_133"/>
    <d v="2024-01-19T11:06:00"/>
    <d v="2024-01-19T11:16:00"/>
    <n v="11"/>
    <n v="10"/>
    <n v="0"/>
    <s v="Level 2"/>
    <n v="10"/>
    <n v="496.1"/>
  </r>
  <r>
    <s v="WF_259"/>
    <x v="4"/>
    <x v="258"/>
    <s v="Validation"/>
    <s v="Medium"/>
    <s v="IT"/>
    <s v="EMP_84"/>
    <d v="2024-04-28T03:39:00"/>
    <d v="2024-04-28T05:22:00"/>
    <n v="74"/>
    <n v="103"/>
    <n v="1"/>
    <s v="Level 2"/>
    <n v="3"/>
    <n v="312.01"/>
  </r>
  <r>
    <s v="WF_260"/>
    <x v="1"/>
    <x v="259"/>
    <s v="Approval"/>
    <s v="Medium"/>
    <s v="IT"/>
    <s v="EMP_64"/>
    <d v="2024-07-27T20:48:00"/>
    <d v="2024-07-28T00:29:00"/>
    <n v="178"/>
    <n v="221"/>
    <n v="1"/>
    <s v="Level 2"/>
    <n v="4"/>
    <n v="345.99"/>
  </r>
  <r>
    <s v="WF_261"/>
    <x v="2"/>
    <x v="260"/>
    <s v="Escalation"/>
    <s v="Critical"/>
    <s v="Finance"/>
    <s v="EMP_150"/>
    <d v="2024-09-01T06:57:00"/>
    <d v="2024-09-01T10:21:00"/>
    <n v="110"/>
    <n v="204"/>
    <n v="1"/>
    <s v="Level 3"/>
    <n v="9"/>
    <n v="457.84"/>
  </r>
  <r>
    <s v="WF_262"/>
    <x v="2"/>
    <x v="261"/>
    <s v="Validation"/>
    <s v="Low"/>
    <s v="Operations"/>
    <s v="EMP_40"/>
    <d v="2024-11-28T12:49:00"/>
    <d v="2024-11-28T15:56:00"/>
    <n v="131"/>
    <n v="187"/>
    <n v="1"/>
    <s v="Level 3"/>
    <n v="4"/>
    <n v="171.18"/>
  </r>
  <r>
    <s v="WF_263"/>
    <x v="3"/>
    <x v="262"/>
    <s v="Data Entry"/>
    <s v="High"/>
    <s v="IT"/>
    <s v="EMP_18"/>
    <d v="2024-04-15T09:59:00"/>
    <d v="2024-04-15T13:04:00"/>
    <n v="147"/>
    <n v="185"/>
    <n v="1"/>
    <s v="Level 1"/>
    <n v="5"/>
    <n v="387.03"/>
  </r>
  <r>
    <s v="WF_264"/>
    <x v="2"/>
    <x v="263"/>
    <s v="Validation"/>
    <s v="Critical"/>
    <s v="Finance"/>
    <s v="EMP_4"/>
    <d v="2024-11-09T22:21:00"/>
    <d v="2024-11-10T00:26:00"/>
    <n v="24"/>
    <n v="125"/>
    <n v="1"/>
    <s v="Level 3"/>
    <n v="9"/>
    <n v="225.57"/>
  </r>
  <r>
    <s v="WF_265"/>
    <x v="3"/>
    <x v="264"/>
    <s v="Data Entry"/>
    <s v="Low"/>
    <s v="IT"/>
    <s v="EMP_115"/>
    <d v="2024-05-16T21:46:00"/>
    <d v="2024-05-16T23:08:00"/>
    <n v="31"/>
    <n v="82"/>
    <n v="1"/>
    <s v="Level 2"/>
    <n v="2"/>
    <n v="104.31"/>
  </r>
  <r>
    <s v="WF_266"/>
    <x v="3"/>
    <x v="265"/>
    <s v="Data Entry"/>
    <s v="Low"/>
    <s v="HR"/>
    <s v="EMP_37"/>
    <d v="2024-04-04T10:27:00"/>
    <d v="2024-04-04T16:21:00"/>
    <n v="236"/>
    <n v="354"/>
    <n v="1"/>
    <s v="Level 2"/>
    <n v="1"/>
    <n v="416.86"/>
  </r>
  <r>
    <s v="WF_267"/>
    <x v="2"/>
    <x v="266"/>
    <s v="Approval"/>
    <s v="Low"/>
    <s v="HR"/>
    <s v="EMP_99"/>
    <d v="2024-04-27T02:24:00"/>
    <d v="2024-04-27T07:35:00"/>
    <n v="222"/>
    <n v="311"/>
    <n v="1"/>
    <s v="Level 2"/>
    <n v="2"/>
    <n v="236.46"/>
  </r>
  <r>
    <s v="WF_268"/>
    <x v="3"/>
    <x v="267"/>
    <s v="Validation"/>
    <s v="Low"/>
    <s v="Operations"/>
    <s v="EMP_125"/>
    <d v="2024-03-18T04:55:00"/>
    <d v="2024-03-18T06:06:00"/>
    <n v="33"/>
    <n v="71"/>
    <n v="1"/>
    <s v="Level 3"/>
    <n v="4"/>
    <n v="393.13"/>
  </r>
  <r>
    <s v="WF_269"/>
    <x v="3"/>
    <x v="268"/>
    <s v="Escalation"/>
    <s v="High"/>
    <s v="HR"/>
    <s v="EMP_60"/>
    <d v="2024-07-25T00:01:00"/>
    <d v="2024-07-25T02:32:00"/>
    <n v="132"/>
    <n v="151"/>
    <n v="1"/>
    <s v="Level 1"/>
    <n v="7"/>
    <n v="227.97"/>
  </r>
  <r>
    <s v="WF_270"/>
    <x v="2"/>
    <x v="269"/>
    <s v="Escalation"/>
    <s v="Low"/>
    <s v="Finance"/>
    <s v="EMP_137"/>
    <d v="2024-05-29T17:26:00"/>
    <d v="2024-05-29T22:22:00"/>
    <n v="222"/>
    <n v="296"/>
    <n v="1"/>
    <s v="Level 1"/>
    <n v="4"/>
    <n v="371.48"/>
  </r>
  <r>
    <s v="WF_271"/>
    <x v="3"/>
    <x v="270"/>
    <s v="Review"/>
    <s v="Low"/>
    <s v="Customer Service"/>
    <s v="EMP_1"/>
    <d v="2024-11-27T05:39:00"/>
    <d v="2024-11-27T09:58:00"/>
    <n v="203"/>
    <n v="259"/>
    <n v="1"/>
    <s v="Level 1"/>
    <n v="2"/>
    <n v="125.05"/>
  </r>
  <r>
    <s v="WF_272"/>
    <x v="4"/>
    <x v="271"/>
    <s v="Validation"/>
    <s v="High"/>
    <s v="Finance"/>
    <s v="EMP_44"/>
    <d v="2024-03-27T16:06:00"/>
    <d v="2024-03-27T18:57:00"/>
    <n v="168"/>
    <n v="171"/>
    <n v="1"/>
    <s v="Level 3"/>
    <n v="10"/>
    <n v="367.23"/>
  </r>
  <r>
    <s v="WF_273"/>
    <x v="0"/>
    <x v="272"/>
    <s v="Data Entry"/>
    <s v="High"/>
    <s v="Operations"/>
    <s v="EMP_101"/>
    <d v="2024-11-29T05:19:00"/>
    <d v="2024-11-29T10:43:00"/>
    <n v="215"/>
    <n v="324"/>
    <n v="1"/>
    <s v="Level 3"/>
    <n v="10"/>
    <n v="156.22999999999999"/>
  </r>
  <r>
    <s v="WF_274"/>
    <x v="4"/>
    <x v="273"/>
    <s v="Review"/>
    <s v="Low"/>
    <s v="Operations"/>
    <s v="EMP_64"/>
    <d v="2024-09-21T01:49:00"/>
    <d v="2024-09-21T04:01:00"/>
    <n v="137"/>
    <n v="132"/>
    <n v="0"/>
    <s v="Level 1"/>
    <n v="1"/>
    <n v="267.16000000000003"/>
  </r>
  <r>
    <s v="WF_275"/>
    <x v="0"/>
    <x v="274"/>
    <s v="Validation"/>
    <s v="High"/>
    <s v="Customer Service"/>
    <s v="EMP_29"/>
    <d v="2024-03-16T06:28:00"/>
    <d v="2024-03-16T10:18:00"/>
    <n v="136"/>
    <n v="230"/>
    <n v="1"/>
    <s v="Level 1"/>
    <n v="2"/>
    <n v="331.39"/>
  </r>
  <r>
    <s v="WF_276"/>
    <x v="3"/>
    <x v="275"/>
    <s v="Review"/>
    <s v="Low"/>
    <s v="HR"/>
    <s v="EMP_25"/>
    <d v="2024-05-03T17:25:00"/>
    <d v="2024-05-03T19:31:00"/>
    <n v="17"/>
    <n v="126"/>
    <n v="1"/>
    <s v="Level 1"/>
    <n v="4"/>
    <n v="145.96"/>
  </r>
  <r>
    <s v="WF_277"/>
    <x v="4"/>
    <x v="276"/>
    <s v="Approval"/>
    <s v="Low"/>
    <s v="Finance"/>
    <s v="EMP_53"/>
    <d v="2024-11-24T05:14:00"/>
    <d v="2024-11-24T09:12:00"/>
    <n v="229"/>
    <n v="238"/>
    <n v="1"/>
    <s v="Level 2"/>
    <n v="8"/>
    <n v="168.09"/>
  </r>
  <r>
    <s v="WF_278"/>
    <x v="4"/>
    <x v="277"/>
    <s v="Validation"/>
    <s v="High"/>
    <s v="Finance"/>
    <s v="EMP_11"/>
    <d v="2024-01-13T20:21:00"/>
    <d v="2024-01-14T00:50:00"/>
    <n v="193"/>
    <n v="269"/>
    <n v="1"/>
    <s v="Level 2"/>
    <n v="4"/>
    <n v="321.02"/>
  </r>
  <r>
    <s v="WF_279"/>
    <x v="3"/>
    <x v="278"/>
    <s v="Data Entry"/>
    <s v="Critical"/>
    <s v="Operations"/>
    <s v="EMP_122"/>
    <d v="2024-11-26T05:18:00"/>
    <d v="2024-11-26T09:35:00"/>
    <n v="159"/>
    <n v="257"/>
    <n v="1"/>
    <s v="Level 2"/>
    <n v="10"/>
    <n v="262.70999999999998"/>
  </r>
  <r>
    <s v="WF_280"/>
    <x v="0"/>
    <x v="279"/>
    <s v="Approval"/>
    <s v="Medium"/>
    <s v="IT"/>
    <s v="EMP_11"/>
    <d v="2024-07-18T00:42:00"/>
    <d v="2024-07-18T02:02:00"/>
    <n v="57"/>
    <n v="80"/>
    <n v="1"/>
    <s v="Level 2"/>
    <n v="8"/>
    <n v="454.03"/>
  </r>
  <r>
    <s v="WF_281"/>
    <x v="4"/>
    <x v="280"/>
    <s v="Approval"/>
    <s v="Low"/>
    <s v="Customer Service"/>
    <s v="EMP_11"/>
    <d v="2024-05-07T22:58:00"/>
    <d v="2024-05-08T00:31:00"/>
    <n v="23"/>
    <n v="93"/>
    <n v="1"/>
    <s v="Level 3"/>
    <n v="1"/>
    <n v="333.48"/>
  </r>
  <r>
    <s v="WF_282"/>
    <x v="1"/>
    <x v="281"/>
    <s v="Approval"/>
    <s v="Critical"/>
    <s v="IT"/>
    <s v="EMP_59"/>
    <d v="2024-01-08T23:37:00"/>
    <d v="2024-01-09T03:03:00"/>
    <n v="190"/>
    <n v="206"/>
    <n v="1"/>
    <s v="Level 1"/>
    <n v="1"/>
    <n v="143.80000000000001"/>
  </r>
  <r>
    <s v="WF_283"/>
    <x v="3"/>
    <x v="282"/>
    <s v="Escalation"/>
    <s v="Critical"/>
    <s v="Customer Service"/>
    <s v="EMP_16"/>
    <d v="2024-09-26T20:08:00"/>
    <d v="2024-09-26T21:32:00"/>
    <n v="70"/>
    <n v="84"/>
    <n v="1"/>
    <s v="Level 2"/>
    <n v="10"/>
    <n v="432.35"/>
  </r>
  <r>
    <s v="WF_284"/>
    <x v="0"/>
    <x v="283"/>
    <s v="Data Entry"/>
    <s v="Low"/>
    <s v="Customer Service"/>
    <s v="EMP_146"/>
    <d v="2024-11-16T13:51:00"/>
    <d v="2024-11-16T18:32:00"/>
    <n v="198"/>
    <n v="281"/>
    <n v="1"/>
    <s v="Level 2"/>
    <n v="5"/>
    <n v="212.34"/>
  </r>
  <r>
    <s v="WF_285"/>
    <x v="2"/>
    <x v="284"/>
    <s v="Review"/>
    <s v="Critical"/>
    <s v="Finance"/>
    <s v="EMP_112"/>
    <d v="2024-04-18T14:18:00"/>
    <d v="2024-04-18T18:40:00"/>
    <n v="216"/>
    <n v="262"/>
    <n v="1"/>
    <s v="Level 1"/>
    <n v="5"/>
    <n v="437.73"/>
  </r>
  <r>
    <s v="WF_286"/>
    <x v="0"/>
    <x v="285"/>
    <s v="Approval"/>
    <s v="High"/>
    <s v="Operations"/>
    <s v="EMP_114"/>
    <d v="2024-08-05T02:26:00"/>
    <d v="2024-08-05T07:05:00"/>
    <n v="217"/>
    <n v="279"/>
    <n v="1"/>
    <s v="Level 3"/>
    <n v="3"/>
    <n v="395.67"/>
  </r>
  <r>
    <s v="WF_287"/>
    <x v="2"/>
    <x v="286"/>
    <s v="Approval"/>
    <s v="Medium"/>
    <s v="HR"/>
    <s v="EMP_40"/>
    <d v="2024-07-24T16:20:00"/>
    <d v="2024-07-24T17:26:00"/>
    <n v="20"/>
    <n v="66"/>
    <n v="1"/>
    <s v="Level 2"/>
    <n v="8"/>
    <n v="61.81"/>
  </r>
  <r>
    <s v="WF_288"/>
    <x v="3"/>
    <x v="287"/>
    <s v="Approval"/>
    <s v="Critical"/>
    <s v="Customer Service"/>
    <s v="EMP_75"/>
    <d v="2024-04-04T12:28:00"/>
    <d v="2024-04-04T18:23:00"/>
    <n v="237"/>
    <n v="355"/>
    <n v="1"/>
    <s v="Level 2"/>
    <n v="5"/>
    <n v="380.3"/>
  </r>
  <r>
    <s v="WF_289"/>
    <x v="4"/>
    <x v="288"/>
    <s v="Validation"/>
    <s v="High"/>
    <s v="Operations"/>
    <s v="EMP_40"/>
    <d v="2024-03-14T05:05:00"/>
    <d v="2024-03-14T06:54:00"/>
    <n v="114"/>
    <n v="109"/>
    <n v="0"/>
    <s v="Level 1"/>
    <n v="7"/>
    <n v="484.13"/>
  </r>
  <r>
    <s v="WF_290"/>
    <x v="1"/>
    <x v="289"/>
    <s v="Review"/>
    <s v="Critical"/>
    <s v="Finance"/>
    <s v="EMP_42"/>
    <d v="2024-03-09T02:23:00"/>
    <d v="2024-03-09T05:57:00"/>
    <n v="195"/>
    <n v="214"/>
    <n v="1"/>
    <s v="Level 3"/>
    <n v="1"/>
    <n v="441.5"/>
  </r>
  <r>
    <s v="WF_291"/>
    <x v="1"/>
    <x v="290"/>
    <s v="Escalation"/>
    <s v="Medium"/>
    <s v="Finance"/>
    <s v="EMP_56"/>
    <d v="2024-02-06T14:08:00"/>
    <d v="2024-02-06T17:04:00"/>
    <n v="103"/>
    <n v="176"/>
    <n v="1"/>
    <s v="Level 1"/>
    <n v="8"/>
    <n v="267.27"/>
  </r>
  <r>
    <s v="WF_292"/>
    <x v="4"/>
    <x v="291"/>
    <s v="Validation"/>
    <s v="Low"/>
    <s v="HR"/>
    <s v="EMP_76"/>
    <d v="2024-11-11T06:40:00"/>
    <d v="2024-11-11T08:51:00"/>
    <n v="72"/>
    <n v="131"/>
    <n v="1"/>
    <s v="Level 2"/>
    <n v="2"/>
    <n v="154.49"/>
  </r>
  <r>
    <s v="WF_293"/>
    <x v="4"/>
    <x v="292"/>
    <s v="Validation"/>
    <s v="High"/>
    <s v="Operations"/>
    <s v="EMP_65"/>
    <d v="2024-03-18T17:50:00"/>
    <d v="2024-03-18T23:21:00"/>
    <n v="236"/>
    <n v="331"/>
    <n v="1"/>
    <s v="Level 3"/>
    <n v="5"/>
    <n v="300.10000000000002"/>
  </r>
  <r>
    <s v="WF_294"/>
    <x v="1"/>
    <x v="293"/>
    <s v="Escalation"/>
    <s v="Medium"/>
    <s v="Customer Service"/>
    <s v="EMP_10"/>
    <d v="2024-05-21T11:59:00"/>
    <d v="2024-05-21T14:28:00"/>
    <n v="118"/>
    <n v="149"/>
    <n v="1"/>
    <s v="Level 3"/>
    <n v="7"/>
    <n v="464.1"/>
  </r>
  <r>
    <s v="WF_295"/>
    <x v="0"/>
    <x v="294"/>
    <s v="Approval"/>
    <s v="Critical"/>
    <s v="Finance"/>
    <s v="EMP_119"/>
    <d v="2024-03-21T09:25:00"/>
    <d v="2024-03-21T11:33:00"/>
    <n v="20"/>
    <n v="128"/>
    <n v="1"/>
    <s v="Level 2"/>
    <n v="2"/>
    <n v="464.47"/>
  </r>
  <r>
    <s v="WF_296"/>
    <x v="3"/>
    <x v="295"/>
    <s v="Review"/>
    <s v="Critical"/>
    <s v="HR"/>
    <s v="EMP_56"/>
    <d v="2024-03-07T04:10:00"/>
    <d v="2024-03-07T07:59:00"/>
    <n v="229"/>
    <n v="229"/>
    <n v="0"/>
    <s v="Level 3"/>
    <n v="10"/>
    <n v="254.78"/>
  </r>
  <r>
    <s v="WF_297"/>
    <x v="3"/>
    <x v="296"/>
    <s v="Review"/>
    <s v="Critical"/>
    <s v="HR"/>
    <s v="EMP_69"/>
    <d v="2024-04-02T01:58:00"/>
    <d v="2024-04-02T02:47:00"/>
    <n v="51"/>
    <n v="49"/>
    <n v="0"/>
    <s v="Level 2"/>
    <n v="9"/>
    <n v="419.24"/>
  </r>
  <r>
    <s v="WF_298"/>
    <x v="1"/>
    <x v="297"/>
    <s v="Validation"/>
    <s v="Medium"/>
    <s v="HR"/>
    <s v="EMP_139"/>
    <d v="2024-05-12T13:41:00"/>
    <d v="2024-05-12T15:41:00"/>
    <n v="73"/>
    <n v="120"/>
    <n v="1"/>
    <s v="Level 3"/>
    <n v="5"/>
    <n v="249.11"/>
  </r>
  <r>
    <s v="WF_299"/>
    <x v="1"/>
    <x v="298"/>
    <s v="Data Entry"/>
    <s v="Medium"/>
    <s v="Customer Service"/>
    <s v="EMP_140"/>
    <d v="2024-06-05T04:52:00"/>
    <d v="2024-06-05T06:39:00"/>
    <n v="106"/>
    <n v="107"/>
    <n v="1"/>
    <s v="Level 1"/>
    <n v="1"/>
    <n v="298.56"/>
  </r>
  <r>
    <s v="WF_300"/>
    <x v="4"/>
    <x v="299"/>
    <s v="Validation"/>
    <s v="High"/>
    <s v="Operations"/>
    <s v="EMP_70"/>
    <d v="2024-12-16T19:22:00"/>
    <d v="2024-12-16T21:31:00"/>
    <n v="120"/>
    <n v="129"/>
    <n v="1"/>
    <s v="Level 1"/>
    <n v="2"/>
    <n v="455.72"/>
  </r>
  <r>
    <s v="WF_301"/>
    <x v="2"/>
    <x v="300"/>
    <s v="Review"/>
    <s v="Medium"/>
    <s v="Operations"/>
    <s v="EMP_118"/>
    <d v="2024-05-07T15:25:00"/>
    <d v="2024-05-07T19:04:00"/>
    <n v="100"/>
    <n v="219"/>
    <n v="1"/>
    <s v="Level 3"/>
    <n v="10"/>
    <n v="251.29"/>
  </r>
  <r>
    <s v="WF_302"/>
    <x v="1"/>
    <x v="301"/>
    <s v="Validation"/>
    <s v="Critical"/>
    <s v="Finance"/>
    <s v="EMP_4"/>
    <d v="2024-12-14T16:45:00"/>
    <d v="2024-12-14T20:48:00"/>
    <n v="189"/>
    <n v="243"/>
    <n v="1"/>
    <s v="Level 2"/>
    <n v="3"/>
    <n v="473.82"/>
  </r>
  <r>
    <s v="WF_303"/>
    <x v="2"/>
    <x v="302"/>
    <s v="Validation"/>
    <s v="Critical"/>
    <s v="Finance"/>
    <s v="EMP_16"/>
    <d v="2024-04-25T17:20:00"/>
    <d v="2024-04-25T21:16:00"/>
    <n v="194"/>
    <n v="236"/>
    <n v="1"/>
    <s v="Level 3"/>
    <n v="7"/>
    <n v="255.6"/>
  </r>
  <r>
    <s v="WF_304"/>
    <x v="3"/>
    <x v="303"/>
    <s v="Review"/>
    <s v="Medium"/>
    <s v="Operations"/>
    <s v="EMP_84"/>
    <d v="2024-02-26T16:07:00"/>
    <d v="2024-02-26T20:23:00"/>
    <n v="159"/>
    <n v="256"/>
    <n v="1"/>
    <s v="Level 1"/>
    <n v="1"/>
    <n v="368.13"/>
  </r>
  <r>
    <s v="WF_305"/>
    <x v="3"/>
    <x v="304"/>
    <s v="Review"/>
    <s v="High"/>
    <s v="Operations"/>
    <s v="EMP_120"/>
    <d v="2024-09-24T17:55:00"/>
    <d v="2024-09-24T20:18:00"/>
    <n v="104"/>
    <n v="143"/>
    <n v="1"/>
    <s v="Level 1"/>
    <n v="9"/>
    <n v="134.16999999999999"/>
  </r>
  <r>
    <s v="WF_306"/>
    <x v="4"/>
    <x v="305"/>
    <s v="Escalation"/>
    <s v="Medium"/>
    <s v="IT"/>
    <s v="EMP_66"/>
    <d v="2024-06-23T17:58:00"/>
    <d v="2024-06-23T20:22:00"/>
    <n v="87"/>
    <n v="144"/>
    <n v="1"/>
    <s v="Level 3"/>
    <n v="4"/>
    <n v="382.21"/>
  </r>
  <r>
    <s v="WF_307"/>
    <x v="0"/>
    <x v="306"/>
    <s v="Escalation"/>
    <s v="Medium"/>
    <s v="Finance"/>
    <s v="EMP_150"/>
    <d v="2024-03-29T12:20:00"/>
    <d v="2024-03-29T16:19:00"/>
    <n v="135"/>
    <n v="239"/>
    <n v="1"/>
    <s v="Level 3"/>
    <n v="3"/>
    <n v="378.49"/>
  </r>
  <r>
    <s v="WF_308"/>
    <x v="4"/>
    <x v="307"/>
    <s v="Data Entry"/>
    <s v="High"/>
    <s v="Operations"/>
    <s v="EMP_104"/>
    <d v="2024-11-24T07:51:00"/>
    <d v="2024-11-24T11:22:00"/>
    <n v="150"/>
    <n v="211"/>
    <n v="1"/>
    <s v="Level 3"/>
    <n v="8"/>
    <n v="441.9"/>
  </r>
  <r>
    <s v="WF_309"/>
    <x v="3"/>
    <x v="308"/>
    <s v="Validation"/>
    <s v="Medium"/>
    <s v="Operations"/>
    <s v="EMP_33"/>
    <d v="2024-01-05T00:13:00"/>
    <d v="2024-01-05T04:47:00"/>
    <n v="175"/>
    <n v="274"/>
    <n v="1"/>
    <s v="Level 3"/>
    <n v="8"/>
    <n v="482.26"/>
  </r>
  <r>
    <s v="WF_310"/>
    <x v="3"/>
    <x v="309"/>
    <s v="Validation"/>
    <s v="High"/>
    <s v="Customer Service"/>
    <s v="EMP_109"/>
    <d v="2024-03-16T14:45:00"/>
    <d v="2024-03-16T15:19:00"/>
    <n v="28"/>
    <n v="34"/>
    <n v="1"/>
    <s v="Level 1"/>
    <n v="5"/>
    <n v="197.88"/>
  </r>
  <r>
    <s v="WF_311"/>
    <x v="0"/>
    <x v="310"/>
    <s v="Escalation"/>
    <s v="Critical"/>
    <s v="Operations"/>
    <s v="EMP_51"/>
    <d v="2024-09-19T12:12:00"/>
    <d v="2024-09-19T16:25:00"/>
    <n v="161"/>
    <n v="253"/>
    <n v="1"/>
    <s v="Level 3"/>
    <n v="2"/>
    <n v="60.24"/>
  </r>
  <r>
    <s v="WF_312"/>
    <x v="3"/>
    <x v="311"/>
    <s v="Approval"/>
    <s v="High"/>
    <s v="HR"/>
    <s v="EMP_97"/>
    <d v="2024-06-26T13:13:00"/>
    <d v="2024-06-26T17:18:00"/>
    <n v="188"/>
    <n v="245"/>
    <n v="1"/>
    <s v="Level 3"/>
    <n v="7"/>
    <n v="486.83"/>
  </r>
  <r>
    <s v="WF_313"/>
    <x v="1"/>
    <x v="312"/>
    <s v="Review"/>
    <s v="Low"/>
    <s v="Customer Service"/>
    <s v="EMP_108"/>
    <d v="2024-08-18T19:12:00"/>
    <d v="2024-08-18T22:20:00"/>
    <n v="104"/>
    <n v="188"/>
    <n v="1"/>
    <s v="Level 3"/>
    <n v="6"/>
    <n v="288.10000000000002"/>
  </r>
  <r>
    <s v="WF_314"/>
    <x v="4"/>
    <x v="313"/>
    <s v="Data Entry"/>
    <s v="Medium"/>
    <s v="Customer Service"/>
    <s v="EMP_17"/>
    <d v="2024-12-02T10:47:00"/>
    <d v="2024-12-02T13:27:00"/>
    <n v="83"/>
    <n v="160"/>
    <n v="1"/>
    <s v="Level 3"/>
    <n v="1"/>
    <n v="128.43"/>
  </r>
  <r>
    <s v="WF_315"/>
    <x v="1"/>
    <x v="314"/>
    <s v="Data Entry"/>
    <s v="High"/>
    <s v="HR"/>
    <s v="EMP_21"/>
    <d v="2024-06-26T07:24:00"/>
    <d v="2024-06-26T07:39:00"/>
    <n v="20"/>
    <n v="15"/>
    <n v="0"/>
    <s v="Level 1"/>
    <n v="4"/>
    <n v="263.05"/>
  </r>
  <r>
    <s v="WF_316"/>
    <x v="3"/>
    <x v="315"/>
    <s v="Validation"/>
    <s v="Critical"/>
    <s v="Customer Service"/>
    <s v="EMP_137"/>
    <d v="2024-04-05T12:14:00"/>
    <d v="2024-04-05T14:24:00"/>
    <n v="106"/>
    <n v="130"/>
    <n v="1"/>
    <s v="Level 1"/>
    <n v="6"/>
    <n v="476.64"/>
  </r>
  <r>
    <s v="WF_317"/>
    <x v="3"/>
    <x v="316"/>
    <s v="Escalation"/>
    <s v="Medium"/>
    <s v="HR"/>
    <s v="EMP_147"/>
    <d v="2024-11-15T08:41:00"/>
    <d v="2024-11-15T14:13:00"/>
    <n v="233"/>
    <n v="332"/>
    <n v="1"/>
    <s v="Level 3"/>
    <n v="6"/>
    <n v="256.93"/>
  </r>
  <r>
    <s v="WF_318"/>
    <x v="4"/>
    <x v="317"/>
    <s v="Approval"/>
    <s v="High"/>
    <s v="Customer Service"/>
    <s v="EMP_105"/>
    <d v="2024-06-12T00:11:00"/>
    <d v="2024-06-12T03:43:00"/>
    <n v="211"/>
    <n v="212"/>
    <n v="1"/>
    <s v="Level 2"/>
    <n v="3"/>
    <n v="134.96"/>
  </r>
  <r>
    <s v="WF_319"/>
    <x v="1"/>
    <x v="318"/>
    <s v="Data Entry"/>
    <s v="Medium"/>
    <s v="IT"/>
    <s v="EMP_13"/>
    <d v="2024-12-30T23:03:00"/>
    <d v="2024-12-31T00:02:00"/>
    <n v="45"/>
    <n v="59"/>
    <n v="1"/>
    <s v="Level 1"/>
    <n v="1"/>
    <n v="372.72"/>
  </r>
  <r>
    <s v="WF_320"/>
    <x v="1"/>
    <x v="319"/>
    <s v="Approval"/>
    <s v="Medium"/>
    <s v="IT"/>
    <s v="EMP_104"/>
    <d v="2024-12-26T21:09:00"/>
    <d v="2024-12-27T00:07:00"/>
    <n v="158"/>
    <n v="178"/>
    <n v="1"/>
    <s v="Level 2"/>
    <n v="3"/>
    <n v="331.05"/>
  </r>
  <r>
    <s v="WF_321"/>
    <x v="4"/>
    <x v="320"/>
    <s v="Data Entry"/>
    <s v="Low"/>
    <s v="IT"/>
    <s v="EMP_149"/>
    <d v="2024-07-03T23:51:00"/>
    <d v="2024-07-04T04:46:00"/>
    <n v="224"/>
    <n v="295"/>
    <n v="1"/>
    <s v="Level 2"/>
    <n v="9"/>
    <n v="319.94"/>
  </r>
  <r>
    <s v="WF_322"/>
    <x v="2"/>
    <x v="321"/>
    <s v="Validation"/>
    <s v="Medium"/>
    <s v="Operations"/>
    <s v="EMP_65"/>
    <d v="2024-11-13T07:41:00"/>
    <d v="2024-11-13T12:29:00"/>
    <n v="207"/>
    <n v="288"/>
    <n v="1"/>
    <s v="Level 2"/>
    <n v="2"/>
    <n v="87.99"/>
  </r>
  <r>
    <s v="WF_323"/>
    <x v="1"/>
    <x v="322"/>
    <s v="Review"/>
    <s v="High"/>
    <s v="IT"/>
    <s v="EMP_46"/>
    <d v="2024-07-16T09:37:00"/>
    <d v="2024-07-16T14:07:00"/>
    <n v="167"/>
    <n v="270"/>
    <n v="1"/>
    <s v="Level 3"/>
    <n v="4"/>
    <n v="62.85"/>
  </r>
  <r>
    <s v="WF_324"/>
    <x v="4"/>
    <x v="323"/>
    <s v="Review"/>
    <s v="Medium"/>
    <s v="HR"/>
    <s v="EMP_12"/>
    <d v="2024-11-12T04:43:00"/>
    <d v="2024-11-12T06:17:00"/>
    <n v="62"/>
    <n v="94"/>
    <n v="1"/>
    <s v="Level 3"/>
    <n v="1"/>
    <n v="426.8"/>
  </r>
  <r>
    <s v="WF_325"/>
    <x v="2"/>
    <x v="324"/>
    <s v="Escalation"/>
    <s v="Critical"/>
    <s v="IT"/>
    <s v="EMP_30"/>
    <d v="2024-01-11T11:38:00"/>
    <d v="2024-01-11T13:50:00"/>
    <n v="126"/>
    <n v="132"/>
    <n v="1"/>
    <s v="Level 1"/>
    <n v="1"/>
    <n v="130.21"/>
  </r>
  <r>
    <s v="WF_326"/>
    <x v="4"/>
    <x v="325"/>
    <s v="Review"/>
    <s v="Low"/>
    <s v="IT"/>
    <s v="EMP_28"/>
    <d v="2024-05-31T13:45:00"/>
    <d v="2024-05-31T14:36:00"/>
    <n v="53"/>
    <n v="51"/>
    <n v="0"/>
    <s v="Level 1"/>
    <n v="8"/>
    <n v="365.34"/>
  </r>
  <r>
    <s v="WF_327"/>
    <x v="3"/>
    <x v="326"/>
    <s v="Escalation"/>
    <s v="High"/>
    <s v="Finance"/>
    <s v="EMP_76"/>
    <d v="2024-04-30T15:30:00"/>
    <d v="2024-04-30T18:30:00"/>
    <n v="75"/>
    <n v="180"/>
    <n v="1"/>
    <s v="Level 3"/>
    <n v="2"/>
    <n v="197.29"/>
  </r>
  <r>
    <s v="WF_328"/>
    <x v="1"/>
    <x v="327"/>
    <s v="Approval"/>
    <s v="Critical"/>
    <s v="HR"/>
    <s v="EMP_24"/>
    <d v="2024-08-12T18:04:00"/>
    <d v="2024-08-12T19:49:00"/>
    <n v="59"/>
    <n v="105"/>
    <n v="1"/>
    <s v="Level 2"/>
    <n v="1"/>
    <n v="478.04"/>
  </r>
  <r>
    <s v="WF_329"/>
    <x v="3"/>
    <x v="328"/>
    <s v="Validation"/>
    <s v="Low"/>
    <s v="HR"/>
    <s v="EMP_90"/>
    <d v="2024-05-27T14:28:00"/>
    <d v="2024-05-27T16:23:00"/>
    <n v="94"/>
    <n v="115"/>
    <n v="1"/>
    <s v="Level 1"/>
    <n v="9"/>
    <n v="494.16"/>
  </r>
  <r>
    <s v="WF_330"/>
    <x v="0"/>
    <x v="329"/>
    <s v="Data Entry"/>
    <s v="High"/>
    <s v="IT"/>
    <s v="EMP_112"/>
    <d v="2024-05-17T07:22:00"/>
    <d v="2024-05-17T10:40:00"/>
    <n v="131"/>
    <n v="198"/>
    <n v="1"/>
    <s v="Level 3"/>
    <n v="6"/>
    <n v="127.69"/>
  </r>
  <r>
    <s v="WF_331"/>
    <x v="0"/>
    <x v="330"/>
    <s v="Review"/>
    <s v="High"/>
    <s v="Customer Service"/>
    <s v="EMP_118"/>
    <d v="2024-09-13T21:21:00"/>
    <d v="2024-09-14T00:58:00"/>
    <n v="173"/>
    <n v="217"/>
    <n v="1"/>
    <s v="Level 1"/>
    <n v="6"/>
    <n v="353.68"/>
  </r>
  <r>
    <s v="WF_332"/>
    <x v="2"/>
    <x v="331"/>
    <s v="Escalation"/>
    <s v="Low"/>
    <s v="Finance"/>
    <s v="EMP_13"/>
    <d v="2024-11-06T02:16:00"/>
    <d v="2024-11-06T06:04:00"/>
    <n v="228"/>
    <n v="228"/>
    <n v="0"/>
    <s v="Level 2"/>
    <n v="7"/>
    <n v="253.29"/>
  </r>
  <r>
    <s v="WF_333"/>
    <x v="0"/>
    <x v="332"/>
    <s v="Validation"/>
    <s v="Low"/>
    <s v="IT"/>
    <s v="EMP_74"/>
    <d v="2024-08-27T13:16:00"/>
    <d v="2024-08-27T16:45:00"/>
    <n v="121"/>
    <n v="209"/>
    <n v="1"/>
    <s v="Level 3"/>
    <n v="7"/>
    <n v="394.46"/>
  </r>
  <r>
    <s v="WF_334"/>
    <x v="1"/>
    <x v="333"/>
    <s v="Approval"/>
    <s v="Critical"/>
    <s v="Operations"/>
    <s v="EMP_28"/>
    <d v="2024-04-08T10:42:00"/>
    <d v="2024-04-08T13:52:00"/>
    <n v="74"/>
    <n v="190"/>
    <n v="1"/>
    <s v="Level 1"/>
    <n v="2"/>
    <n v="378.69"/>
  </r>
  <r>
    <s v="WF_335"/>
    <x v="4"/>
    <x v="334"/>
    <s v="Review"/>
    <s v="High"/>
    <s v="IT"/>
    <s v="EMP_104"/>
    <d v="2024-01-29T14:04:00"/>
    <d v="2024-01-29T17:06:00"/>
    <n v="185"/>
    <n v="182"/>
    <n v="0"/>
    <s v="Level 3"/>
    <n v="9"/>
    <n v="258.99"/>
  </r>
  <r>
    <s v="WF_336"/>
    <x v="2"/>
    <x v="335"/>
    <s v="Approval"/>
    <s v="Medium"/>
    <s v="HR"/>
    <s v="EMP_41"/>
    <d v="2024-03-20T13:11:00"/>
    <d v="2024-03-20T15:25:00"/>
    <n v="111"/>
    <n v="134"/>
    <n v="1"/>
    <s v="Level 1"/>
    <n v="8"/>
    <n v="325.7"/>
  </r>
  <r>
    <s v="WF_337"/>
    <x v="1"/>
    <x v="336"/>
    <s v="Approval"/>
    <s v="Medium"/>
    <s v="Customer Service"/>
    <s v="EMP_64"/>
    <d v="2024-11-17T18:26:00"/>
    <d v="2024-11-17T21:49:00"/>
    <n v="137"/>
    <n v="203"/>
    <n v="1"/>
    <s v="Level 2"/>
    <n v="5"/>
    <n v="113.07"/>
  </r>
  <r>
    <s v="WF_338"/>
    <x v="1"/>
    <x v="337"/>
    <s v="Validation"/>
    <s v="Critical"/>
    <s v="Operations"/>
    <s v="EMP_93"/>
    <d v="2024-10-06T05:40:00"/>
    <d v="2024-10-06T09:03:00"/>
    <n v="196"/>
    <n v="203"/>
    <n v="1"/>
    <s v="Level 3"/>
    <n v="10"/>
    <n v="138.86000000000001"/>
  </r>
  <r>
    <s v="WF_339"/>
    <x v="4"/>
    <x v="338"/>
    <s v="Approval"/>
    <s v="Medium"/>
    <s v="IT"/>
    <s v="EMP_132"/>
    <d v="2024-09-22T06:09:00"/>
    <d v="2024-09-22T09:55:00"/>
    <n v="221"/>
    <n v="226"/>
    <n v="1"/>
    <s v="Level 1"/>
    <n v="8"/>
    <n v="495.86"/>
  </r>
  <r>
    <s v="WF_340"/>
    <x v="2"/>
    <x v="339"/>
    <s v="Escalation"/>
    <s v="High"/>
    <s v="Operations"/>
    <s v="EMP_72"/>
    <d v="2024-11-29T08:11:00"/>
    <d v="2024-11-29T10:00:00"/>
    <n v="25"/>
    <n v="109"/>
    <n v="1"/>
    <s v="Level 3"/>
    <n v="2"/>
    <n v="56.95"/>
  </r>
  <r>
    <s v="WF_341"/>
    <x v="0"/>
    <x v="340"/>
    <s v="Data Entry"/>
    <s v="Medium"/>
    <s v="IT"/>
    <s v="EMP_50"/>
    <d v="2024-08-21T19:38:00"/>
    <d v="2024-08-21T23:50:00"/>
    <n v="139"/>
    <n v="252"/>
    <n v="1"/>
    <s v="Level 3"/>
    <n v="1"/>
    <n v="132.63999999999999"/>
  </r>
  <r>
    <s v="WF_342"/>
    <x v="4"/>
    <x v="341"/>
    <s v="Data Entry"/>
    <s v="Low"/>
    <s v="HR"/>
    <s v="EMP_80"/>
    <d v="2024-11-28T15:32:00"/>
    <d v="2024-11-28T19:38:00"/>
    <n v="171"/>
    <n v="246"/>
    <n v="1"/>
    <s v="Level 1"/>
    <n v="10"/>
    <n v="467"/>
  </r>
  <r>
    <s v="WF_343"/>
    <x v="1"/>
    <x v="342"/>
    <s v="Data Entry"/>
    <s v="Critical"/>
    <s v="HR"/>
    <s v="EMP_18"/>
    <d v="2024-06-25T20:50:00"/>
    <d v="2024-06-26T00:01:00"/>
    <n v="194"/>
    <n v="191"/>
    <n v="0"/>
    <s v="Level 2"/>
    <n v="7"/>
    <n v="240.6"/>
  </r>
  <r>
    <s v="WF_344"/>
    <x v="3"/>
    <x v="343"/>
    <s v="Escalation"/>
    <s v="High"/>
    <s v="Customer Service"/>
    <s v="EMP_13"/>
    <d v="2024-11-12T17:25:00"/>
    <d v="2024-11-12T18:30:00"/>
    <n v="21"/>
    <n v="65"/>
    <n v="1"/>
    <s v="Level 3"/>
    <n v="7"/>
    <n v="261.39999999999998"/>
  </r>
  <r>
    <s v="WF_345"/>
    <x v="2"/>
    <x v="344"/>
    <s v="Escalation"/>
    <s v="Medium"/>
    <s v="HR"/>
    <s v="EMP_47"/>
    <d v="2024-07-25T23:45:00"/>
    <d v="2024-07-26T02:56:00"/>
    <n v="115"/>
    <n v="191"/>
    <n v="1"/>
    <s v="Level 2"/>
    <n v="5"/>
    <n v="319.36"/>
  </r>
  <r>
    <s v="WF_346"/>
    <x v="3"/>
    <x v="345"/>
    <s v="Validation"/>
    <s v="Low"/>
    <s v="Customer Service"/>
    <s v="EMP_93"/>
    <d v="2024-10-13T23:18:00"/>
    <d v="2024-10-14T02:52:00"/>
    <n v="167"/>
    <n v="214"/>
    <n v="1"/>
    <s v="Level 1"/>
    <n v="1"/>
    <n v="429.25"/>
  </r>
  <r>
    <s v="WF_347"/>
    <x v="4"/>
    <x v="346"/>
    <s v="Escalation"/>
    <s v="High"/>
    <s v="Operations"/>
    <s v="EMP_110"/>
    <d v="2024-08-14T23:39:00"/>
    <d v="2024-08-15T03:21:00"/>
    <n v="192"/>
    <n v="222"/>
    <n v="1"/>
    <s v="Level 3"/>
    <n v="2"/>
    <n v="253.2"/>
  </r>
  <r>
    <s v="WF_348"/>
    <x v="3"/>
    <x v="347"/>
    <s v="Approval"/>
    <s v="Critical"/>
    <s v="Customer Service"/>
    <s v="EMP_77"/>
    <d v="2024-03-15T21:20:00"/>
    <d v="2024-03-15T23:26:00"/>
    <n v="57"/>
    <n v="126"/>
    <n v="1"/>
    <s v="Level 1"/>
    <n v="1"/>
    <n v="173.45"/>
  </r>
  <r>
    <s v="WF_349"/>
    <x v="1"/>
    <x v="348"/>
    <s v="Approval"/>
    <s v="Medium"/>
    <s v="IT"/>
    <s v="EMP_69"/>
    <d v="2024-12-03T16:55:00"/>
    <d v="2024-12-03T21:06:00"/>
    <n v="218"/>
    <n v="251"/>
    <n v="1"/>
    <s v="Level 1"/>
    <n v="7"/>
    <n v="90.28"/>
  </r>
  <r>
    <s v="WF_350"/>
    <x v="3"/>
    <x v="349"/>
    <s v="Review"/>
    <s v="Low"/>
    <s v="HR"/>
    <s v="EMP_77"/>
    <d v="2024-04-21T11:14:00"/>
    <d v="2024-04-21T15:16:00"/>
    <n v="209"/>
    <n v="242"/>
    <n v="1"/>
    <s v="Level 1"/>
    <n v="8"/>
    <n v="230.69"/>
  </r>
  <r>
    <s v="WF_351"/>
    <x v="0"/>
    <x v="350"/>
    <s v="Review"/>
    <s v="Medium"/>
    <s v="Finance"/>
    <s v="EMP_72"/>
    <d v="2024-11-29T21:50:00"/>
    <d v="2024-11-30T00:09:00"/>
    <n v="128"/>
    <n v="139"/>
    <n v="1"/>
    <s v="Level 2"/>
    <n v="6"/>
    <n v="479.53"/>
  </r>
  <r>
    <s v="WF_352"/>
    <x v="2"/>
    <x v="351"/>
    <s v="Data Entry"/>
    <s v="Critical"/>
    <s v="Operations"/>
    <s v="EMP_25"/>
    <d v="2024-09-10T13:51:00"/>
    <d v="2024-09-10T19:08:00"/>
    <n v="224"/>
    <n v="317"/>
    <n v="1"/>
    <s v="Level 1"/>
    <n v="10"/>
    <n v="344.55"/>
  </r>
  <r>
    <s v="WF_353"/>
    <x v="0"/>
    <x v="352"/>
    <s v="Data Entry"/>
    <s v="Critical"/>
    <s v="Operations"/>
    <s v="EMP_40"/>
    <d v="2024-01-15T17:15:00"/>
    <d v="2024-01-15T21:52:00"/>
    <n v="200"/>
    <n v="277"/>
    <n v="1"/>
    <s v="Level 2"/>
    <n v="2"/>
    <n v="99.92"/>
  </r>
  <r>
    <s v="WF_354"/>
    <x v="3"/>
    <x v="353"/>
    <s v="Review"/>
    <s v="Low"/>
    <s v="Finance"/>
    <s v="EMP_55"/>
    <d v="2024-12-15T06:30:00"/>
    <d v="2024-12-15T09:33:00"/>
    <n v="93"/>
    <n v="183"/>
    <n v="1"/>
    <s v="Level 2"/>
    <n v="8"/>
    <n v="455.49"/>
  </r>
  <r>
    <s v="WF_355"/>
    <x v="2"/>
    <x v="354"/>
    <s v="Data Entry"/>
    <s v="Low"/>
    <s v="IT"/>
    <s v="EMP_15"/>
    <d v="2024-06-19T19:15:00"/>
    <d v="2024-06-20T00:17:00"/>
    <n v="219"/>
    <n v="302"/>
    <n v="1"/>
    <s v="Level 1"/>
    <n v="3"/>
    <n v="384.66"/>
  </r>
  <r>
    <s v="WF_356"/>
    <x v="0"/>
    <x v="355"/>
    <s v="Data Entry"/>
    <s v="Low"/>
    <s v="IT"/>
    <s v="EMP_147"/>
    <d v="2024-01-26T11:28:00"/>
    <d v="2024-01-26T12:52:00"/>
    <n v="77"/>
    <n v="84"/>
    <n v="1"/>
    <s v="Level 2"/>
    <n v="2"/>
    <n v="55.51"/>
  </r>
  <r>
    <s v="WF_357"/>
    <x v="2"/>
    <x v="356"/>
    <s v="Data Entry"/>
    <s v="High"/>
    <s v="Customer Service"/>
    <s v="EMP_50"/>
    <d v="2024-03-25T13:17:00"/>
    <d v="2024-03-25T17:59:00"/>
    <n v="238"/>
    <n v="282"/>
    <n v="1"/>
    <s v="Level 2"/>
    <n v="5"/>
    <n v="358.33"/>
  </r>
  <r>
    <s v="WF_358"/>
    <x v="0"/>
    <x v="357"/>
    <s v="Validation"/>
    <s v="High"/>
    <s v="IT"/>
    <s v="EMP_132"/>
    <d v="2024-11-03T03:49:00"/>
    <d v="2024-11-03T06:36:00"/>
    <n v="97"/>
    <n v="167"/>
    <n v="1"/>
    <s v="Level 3"/>
    <n v="2"/>
    <n v="108.14"/>
  </r>
  <r>
    <s v="WF_359"/>
    <x v="4"/>
    <x v="358"/>
    <s v="Review"/>
    <s v="Low"/>
    <s v="HR"/>
    <s v="EMP_43"/>
    <d v="2024-07-16T22:17:00"/>
    <d v="2024-07-17T02:05:00"/>
    <n v="152"/>
    <n v="228"/>
    <n v="1"/>
    <s v="Level 2"/>
    <n v="2"/>
    <n v="129.86000000000001"/>
  </r>
  <r>
    <s v="WF_360"/>
    <x v="0"/>
    <x v="359"/>
    <s v="Validation"/>
    <s v="Low"/>
    <s v="HR"/>
    <s v="EMP_58"/>
    <d v="2024-07-18T10:04:00"/>
    <d v="2024-07-18T14:47:00"/>
    <n v="212"/>
    <n v="283"/>
    <n v="1"/>
    <s v="Level 3"/>
    <n v="2"/>
    <n v="451.49"/>
  </r>
  <r>
    <s v="WF_361"/>
    <x v="4"/>
    <x v="360"/>
    <s v="Data Entry"/>
    <s v="Critical"/>
    <s v="Operations"/>
    <s v="EMP_49"/>
    <d v="2024-10-16T22:09:00"/>
    <d v="2024-10-16T23:55:00"/>
    <n v="13"/>
    <n v="106"/>
    <n v="1"/>
    <s v="Level 2"/>
    <n v="3"/>
    <n v="398.06"/>
  </r>
  <r>
    <s v="WF_362"/>
    <x v="0"/>
    <x v="361"/>
    <s v="Review"/>
    <s v="Critical"/>
    <s v="IT"/>
    <s v="EMP_48"/>
    <d v="2024-02-22T18:15:00"/>
    <d v="2024-02-22T21:30:00"/>
    <n v="153"/>
    <n v="195"/>
    <n v="1"/>
    <s v="Level 2"/>
    <n v="9"/>
    <n v="99.03"/>
  </r>
  <r>
    <s v="WF_363"/>
    <x v="0"/>
    <x v="362"/>
    <s v="Review"/>
    <s v="Low"/>
    <s v="Finance"/>
    <s v="EMP_136"/>
    <d v="2024-11-04T07:34:00"/>
    <d v="2024-11-04T10:37:00"/>
    <n v="169"/>
    <n v="183"/>
    <n v="1"/>
    <s v="Level 1"/>
    <n v="5"/>
    <n v="440.03"/>
  </r>
  <r>
    <s v="WF_364"/>
    <x v="1"/>
    <x v="363"/>
    <s v="Validation"/>
    <s v="Low"/>
    <s v="Customer Service"/>
    <s v="EMP_82"/>
    <d v="2024-01-05T08:18:00"/>
    <d v="2024-01-05T13:11:00"/>
    <n v="194"/>
    <n v="293"/>
    <n v="1"/>
    <s v="Level 1"/>
    <n v="7"/>
    <n v="340.72"/>
  </r>
  <r>
    <s v="WF_365"/>
    <x v="0"/>
    <x v="364"/>
    <s v="Data Entry"/>
    <s v="High"/>
    <s v="Finance"/>
    <s v="EMP_17"/>
    <d v="2024-04-10T09:41:00"/>
    <d v="2024-04-10T12:59:00"/>
    <n v="141"/>
    <n v="198"/>
    <n v="1"/>
    <s v="Level 1"/>
    <n v="1"/>
    <n v="234.14"/>
  </r>
  <r>
    <s v="WF_366"/>
    <x v="2"/>
    <x v="365"/>
    <s v="Escalation"/>
    <s v="Low"/>
    <s v="Customer Service"/>
    <s v="EMP_56"/>
    <d v="2024-10-28T20:13:00"/>
    <d v="2024-10-28T21:58:00"/>
    <n v="77"/>
    <n v="105"/>
    <n v="1"/>
    <s v="Level 1"/>
    <n v="9"/>
    <n v="82.7"/>
  </r>
  <r>
    <s v="WF_367"/>
    <x v="1"/>
    <x v="366"/>
    <s v="Validation"/>
    <s v="Critical"/>
    <s v="Operations"/>
    <s v="EMP_88"/>
    <d v="2024-11-16T13:21:00"/>
    <d v="2024-11-16T17:49:00"/>
    <n v="228"/>
    <n v="268"/>
    <n v="1"/>
    <s v="Level 1"/>
    <n v="7"/>
    <n v="343.92"/>
  </r>
  <r>
    <s v="WF_368"/>
    <x v="3"/>
    <x v="367"/>
    <s v="Approval"/>
    <s v="Medium"/>
    <s v="HR"/>
    <s v="EMP_24"/>
    <d v="2024-02-03T09:13:00"/>
    <d v="2024-02-03T13:17:00"/>
    <n v="220"/>
    <n v="244"/>
    <n v="1"/>
    <s v="Level 3"/>
    <n v="5"/>
    <n v="119.22"/>
  </r>
  <r>
    <s v="WF_369"/>
    <x v="4"/>
    <x v="368"/>
    <s v="Escalation"/>
    <s v="Critical"/>
    <s v="Finance"/>
    <s v="EMP_16"/>
    <d v="2024-05-30T15:40:00"/>
    <d v="2024-05-30T19:39:00"/>
    <n v="197"/>
    <n v="239"/>
    <n v="1"/>
    <s v="Level 1"/>
    <n v="9"/>
    <n v="385.36"/>
  </r>
  <r>
    <s v="WF_370"/>
    <x v="1"/>
    <x v="369"/>
    <s v="Validation"/>
    <s v="High"/>
    <s v="Operations"/>
    <s v="EMP_28"/>
    <d v="2024-09-15T02:37:00"/>
    <d v="2024-09-15T04:15:00"/>
    <n v="52"/>
    <n v="98"/>
    <n v="1"/>
    <s v="Level 1"/>
    <n v="2"/>
    <n v="52.77"/>
  </r>
  <r>
    <s v="WF_371"/>
    <x v="0"/>
    <x v="370"/>
    <s v="Approval"/>
    <s v="Medium"/>
    <s v="Operations"/>
    <s v="EMP_89"/>
    <d v="2024-05-05T00:25:00"/>
    <d v="2024-05-05T04:26:00"/>
    <n v="180"/>
    <n v="241"/>
    <n v="1"/>
    <s v="Level 3"/>
    <n v="6"/>
    <n v="212.97"/>
  </r>
  <r>
    <s v="WF_372"/>
    <x v="1"/>
    <x v="371"/>
    <s v="Escalation"/>
    <s v="Low"/>
    <s v="Finance"/>
    <s v="EMP_37"/>
    <d v="2024-02-07T15:38:00"/>
    <d v="2024-02-07T18:19:00"/>
    <n v="117"/>
    <n v="161"/>
    <n v="1"/>
    <s v="Level 1"/>
    <n v="7"/>
    <n v="185.41"/>
  </r>
  <r>
    <s v="WF_373"/>
    <x v="0"/>
    <x v="372"/>
    <s v="Escalation"/>
    <s v="High"/>
    <s v="IT"/>
    <s v="EMP_24"/>
    <d v="2024-02-11T18:00:00"/>
    <d v="2024-02-11T19:23:00"/>
    <n v="47"/>
    <n v="83"/>
    <n v="1"/>
    <s v="Level 2"/>
    <n v="5"/>
    <n v="354.78"/>
  </r>
  <r>
    <s v="WF_374"/>
    <x v="1"/>
    <x v="373"/>
    <s v="Escalation"/>
    <s v="Critical"/>
    <s v="Finance"/>
    <s v="EMP_89"/>
    <d v="2024-02-16T04:59:00"/>
    <d v="2024-02-16T10:32:00"/>
    <n v="234"/>
    <n v="333"/>
    <n v="1"/>
    <s v="Level 2"/>
    <n v="1"/>
    <n v="270.88"/>
  </r>
  <r>
    <s v="WF_375"/>
    <x v="0"/>
    <x v="374"/>
    <s v="Approval"/>
    <s v="High"/>
    <s v="Operations"/>
    <s v="EMP_126"/>
    <d v="2024-06-19T04:02:00"/>
    <d v="2024-06-19T08:16:00"/>
    <n v="176"/>
    <n v="254"/>
    <n v="1"/>
    <s v="Level 1"/>
    <n v="2"/>
    <n v="215.19"/>
  </r>
  <r>
    <s v="WF_376"/>
    <x v="0"/>
    <x v="375"/>
    <s v="Approval"/>
    <s v="Low"/>
    <s v="Finance"/>
    <s v="EMP_50"/>
    <d v="2024-12-08T10:45:00"/>
    <d v="2024-12-08T13:25:00"/>
    <n v="74"/>
    <n v="160"/>
    <n v="1"/>
    <s v="Level 1"/>
    <n v="7"/>
    <n v="398.96"/>
  </r>
  <r>
    <s v="WF_377"/>
    <x v="3"/>
    <x v="376"/>
    <s v="Review"/>
    <s v="High"/>
    <s v="Operations"/>
    <s v="EMP_28"/>
    <d v="2024-05-26T12:02:00"/>
    <d v="2024-05-26T16:04:00"/>
    <n v="211"/>
    <n v="242"/>
    <n v="1"/>
    <s v="Level 3"/>
    <n v="4"/>
    <n v="478.13"/>
  </r>
  <r>
    <s v="WF_378"/>
    <x v="2"/>
    <x v="377"/>
    <s v="Data Entry"/>
    <s v="Low"/>
    <s v="Customer Service"/>
    <s v="EMP_61"/>
    <d v="2024-02-21T13:23:00"/>
    <d v="2024-02-21T15:02:00"/>
    <n v="101"/>
    <n v="99"/>
    <n v="0"/>
    <s v="Level 1"/>
    <n v="9"/>
    <n v="129.22999999999999"/>
  </r>
  <r>
    <s v="WF_379"/>
    <x v="0"/>
    <x v="378"/>
    <s v="Data Entry"/>
    <s v="High"/>
    <s v="IT"/>
    <s v="EMP_145"/>
    <d v="2024-08-09T09:55:00"/>
    <d v="2024-08-09T10:17:00"/>
    <n v="12"/>
    <n v="22"/>
    <n v="1"/>
    <s v="Level 2"/>
    <n v="1"/>
    <n v="431.8"/>
  </r>
  <r>
    <s v="WF_380"/>
    <x v="2"/>
    <x v="379"/>
    <s v="Validation"/>
    <s v="Medium"/>
    <s v="Operations"/>
    <s v="EMP_101"/>
    <d v="2024-08-11T05:28:00"/>
    <d v="2024-08-11T07:36:00"/>
    <n v="88"/>
    <n v="128"/>
    <n v="1"/>
    <s v="Level 3"/>
    <n v="10"/>
    <n v="118.51"/>
  </r>
  <r>
    <s v="WF_381"/>
    <x v="0"/>
    <x v="380"/>
    <s v="Review"/>
    <s v="Critical"/>
    <s v="IT"/>
    <s v="EMP_18"/>
    <d v="2024-12-22T10:36:00"/>
    <d v="2024-12-22T14:57:00"/>
    <n v="235"/>
    <n v="261"/>
    <n v="1"/>
    <s v="Level 1"/>
    <n v="4"/>
    <n v="116.52"/>
  </r>
  <r>
    <s v="WF_382"/>
    <x v="1"/>
    <x v="381"/>
    <s v="Validation"/>
    <s v="Critical"/>
    <s v="IT"/>
    <s v="EMP_108"/>
    <d v="2024-02-18T15:35:00"/>
    <d v="2024-02-18T17:53:00"/>
    <n v="133"/>
    <n v="138"/>
    <n v="1"/>
    <s v="Level 1"/>
    <n v="8"/>
    <n v="264.39"/>
  </r>
  <r>
    <s v="WF_383"/>
    <x v="0"/>
    <x v="382"/>
    <s v="Escalation"/>
    <s v="High"/>
    <s v="HR"/>
    <s v="EMP_35"/>
    <d v="2024-02-15T10:28:00"/>
    <d v="2024-02-15T12:12:00"/>
    <n v="70"/>
    <n v="104"/>
    <n v="1"/>
    <s v="Level 3"/>
    <n v="1"/>
    <n v="233.89"/>
  </r>
  <r>
    <s v="WF_384"/>
    <x v="2"/>
    <x v="383"/>
    <s v="Data Entry"/>
    <s v="Medium"/>
    <s v="IT"/>
    <s v="EMP_22"/>
    <d v="2024-02-07T11:52:00"/>
    <d v="2024-02-07T16:38:00"/>
    <n v="192"/>
    <n v="286"/>
    <n v="1"/>
    <s v="Level 2"/>
    <n v="9"/>
    <n v="165.96"/>
  </r>
  <r>
    <s v="WF_385"/>
    <x v="2"/>
    <x v="384"/>
    <s v="Data Entry"/>
    <s v="Critical"/>
    <s v="Operations"/>
    <s v="EMP_15"/>
    <d v="2024-01-31T09:56:00"/>
    <d v="2024-01-31T14:24:00"/>
    <n v="201"/>
    <n v="268"/>
    <n v="1"/>
    <s v="Level 3"/>
    <n v="4"/>
    <n v="286.62"/>
  </r>
  <r>
    <s v="WF_386"/>
    <x v="4"/>
    <x v="385"/>
    <s v="Escalation"/>
    <s v="High"/>
    <s v="Customer Service"/>
    <s v="EMP_18"/>
    <d v="2024-12-02T02:37:00"/>
    <d v="2024-12-02T06:28:00"/>
    <n v="222"/>
    <n v="231"/>
    <n v="1"/>
    <s v="Level 2"/>
    <n v="7"/>
    <n v="219.35"/>
  </r>
  <r>
    <s v="WF_387"/>
    <x v="3"/>
    <x v="386"/>
    <s v="Review"/>
    <s v="Critical"/>
    <s v="HR"/>
    <s v="EMP_137"/>
    <d v="2024-03-16T00:45:00"/>
    <d v="2024-03-16T04:42:00"/>
    <n v="208"/>
    <n v="237"/>
    <n v="1"/>
    <s v="Level 2"/>
    <n v="9"/>
    <n v="437.83"/>
  </r>
  <r>
    <s v="WF_388"/>
    <x v="4"/>
    <x v="387"/>
    <s v="Approval"/>
    <s v="High"/>
    <s v="HR"/>
    <s v="EMP_44"/>
    <d v="2024-08-09T02:33:00"/>
    <d v="2024-08-09T06:18:00"/>
    <n v="190"/>
    <n v="225"/>
    <n v="1"/>
    <s v="Level 1"/>
    <n v="1"/>
    <n v="305.02"/>
  </r>
  <r>
    <s v="WF_389"/>
    <x v="2"/>
    <x v="388"/>
    <s v="Validation"/>
    <s v="Low"/>
    <s v="HR"/>
    <s v="EMP_13"/>
    <d v="2024-04-02T18:19:00"/>
    <d v="2024-04-02T23:19:00"/>
    <n v="192"/>
    <n v="300"/>
    <n v="1"/>
    <s v="Level 3"/>
    <n v="3"/>
    <n v="114.58"/>
  </r>
  <r>
    <s v="WF_390"/>
    <x v="1"/>
    <x v="389"/>
    <s v="Escalation"/>
    <s v="Critical"/>
    <s v="Finance"/>
    <s v="EMP_40"/>
    <d v="2024-11-26T00:29:00"/>
    <d v="2024-11-26T03:33:00"/>
    <n v="97"/>
    <n v="184"/>
    <n v="1"/>
    <s v="Level 2"/>
    <n v="2"/>
    <n v="113.79"/>
  </r>
  <r>
    <s v="WF_391"/>
    <x v="0"/>
    <x v="390"/>
    <s v="Validation"/>
    <s v="High"/>
    <s v="HR"/>
    <s v="EMP_87"/>
    <d v="2024-06-04T20:28:00"/>
    <d v="2024-06-04T22:33:00"/>
    <n v="60"/>
    <n v="125"/>
    <n v="1"/>
    <s v="Level 1"/>
    <n v="4"/>
    <n v="455.54"/>
  </r>
  <r>
    <s v="WF_392"/>
    <x v="4"/>
    <x v="391"/>
    <s v="Escalation"/>
    <s v="Critical"/>
    <s v="Finance"/>
    <s v="EMP_7"/>
    <d v="2024-03-01T11:30:00"/>
    <d v="2024-03-01T11:52:00"/>
    <n v="14"/>
    <n v="22"/>
    <n v="1"/>
    <s v="Level 3"/>
    <n v="1"/>
    <n v="387.98"/>
  </r>
  <r>
    <s v="WF_393"/>
    <x v="0"/>
    <x v="392"/>
    <s v="Review"/>
    <s v="Critical"/>
    <s v="HR"/>
    <s v="EMP_132"/>
    <d v="2024-03-03T16:23:00"/>
    <d v="2024-03-03T18:51:00"/>
    <n v="68"/>
    <n v="148"/>
    <n v="1"/>
    <s v="Level 3"/>
    <n v="5"/>
    <n v="289.06"/>
  </r>
  <r>
    <s v="WF_394"/>
    <x v="2"/>
    <x v="393"/>
    <s v="Validation"/>
    <s v="High"/>
    <s v="Customer Service"/>
    <s v="EMP_45"/>
    <d v="2024-07-07T02:36:00"/>
    <d v="2024-07-07T06:03:00"/>
    <n v="151"/>
    <n v="207"/>
    <n v="1"/>
    <s v="Level 1"/>
    <n v="6"/>
    <n v="472.74"/>
  </r>
  <r>
    <s v="WF_395"/>
    <x v="3"/>
    <x v="394"/>
    <s v="Approval"/>
    <s v="Medium"/>
    <s v="Customer Service"/>
    <s v="EMP_60"/>
    <d v="2024-02-12T07:45:00"/>
    <d v="2024-02-12T09:44:00"/>
    <n v="13"/>
    <n v="119"/>
    <n v="1"/>
    <s v="Level 3"/>
    <n v="8"/>
    <n v="188.32"/>
  </r>
  <r>
    <s v="WF_396"/>
    <x v="4"/>
    <x v="395"/>
    <s v="Data Entry"/>
    <s v="High"/>
    <s v="IT"/>
    <s v="EMP_56"/>
    <d v="2024-05-27T09:39:00"/>
    <d v="2024-05-27T12:37:00"/>
    <n v="172"/>
    <n v="178"/>
    <n v="1"/>
    <s v="Level 1"/>
    <n v="7"/>
    <n v="205.62"/>
  </r>
  <r>
    <s v="WF_397"/>
    <x v="2"/>
    <x v="396"/>
    <s v="Data Entry"/>
    <s v="Critical"/>
    <s v="Customer Service"/>
    <s v="EMP_138"/>
    <d v="2024-09-27T18:15:00"/>
    <d v="2024-09-27T21:27:00"/>
    <n v="135"/>
    <n v="192"/>
    <n v="1"/>
    <s v="Level 3"/>
    <n v="4"/>
    <n v="75.400000000000006"/>
  </r>
  <r>
    <s v="WF_398"/>
    <x v="2"/>
    <x v="397"/>
    <s v="Data Entry"/>
    <s v="Medium"/>
    <s v="Finance"/>
    <s v="EMP_113"/>
    <d v="2024-03-14T14:05:00"/>
    <d v="2024-03-14T15:05:00"/>
    <n v="23"/>
    <n v="60"/>
    <n v="1"/>
    <s v="Level 3"/>
    <n v="8"/>
    <n v="404.27"/>
  </r>
  <r>
    <s v="WF_399"/>
    <x v="2"/>
    <x v="398"/>
    <s v="Data Entry"/>
    <s v="Critical"/>
    <s v="Customer Service"/>
    <s v="EMP_13"/>
    <d v="2024-03-08T23:07:00"/>
    <d v="2024-03-09T03:31:00"/>
    <n v="195"/>
    <n v="264"/>
    <n v="1"/>
    <s v="Level 2"/>
    <n v="3"/>
    <n v="181.11"/>
  </r>
  <r>
    <s v="WF_400"/>
    <x v="3"/>
    <x v="399"/>
    <s v="Data Entry"/>
    <s v="High"/>
    <s v="IT"/>
    <s v="EMP_118"/>
    <d v="2024-09-26T14:41:00"/>
    <d v="2024-09-26T20:10:00"/>
    <n v="237"/>
    <n v="329"/>
    <n v="1"/>
    <s v="Level 3"/>
    <n v="1"/>
    <n v="225.72"/>
  </r>
  <r>
    <s v="WF_401"/>
    <x v="1"/>
    <x v="400"/>
    <s v="Approval"/>
    <s v="Medium"/>
    <s v="Finance"/>
    <s v="EMP_82"/>
    <d v="2024-08-01T20:47:00"/>
    <d v="2024-08-02T00:19:00"/>
    <n v="99"/>
    <n v="212"/>
    <n v="1"/>
    <s v="Level 3"/>
    <n v="10"/>
    <n v="276.36"/>
  </r>
  <r>
    <s v="WF_402"/>
    <x v="0"/>
    <x v="401"/>
    <s v="Validation"/>
    <s v="High"/>
    <s v="IT"/>
    <s v="EMP_56"/>
    <d v="2024-04-26T19:10:00"/>
    <d v="2024-04-26T20:17:00"/>
    <n v="46"/>
    <n v="67"/>
    <n v="1"/>
    <s v="Level 3"/>
    <n v="2"/>
    <n v="237.14"/>
  </r>
  <r>
    <s v="WF_403"/>
    <x v="0"/>
    <x v="402"/>
    <s v="Validation"/>
    <s v="Medium"/>
    <s v="Customer Service"/>
    <s v="EMP_56"/>
    <d v="2024-01-08T13:48:00"/>
    <d v="2024-01-08T19:01:00"/>
    <n v="203"/>
    <n v="313"/>
    <n v="1"/>
    <s v="Level 2"/>
    <n v="5"/>
    <n v="267.86"/>
  </r>
  <r>
    <s v="WF_404"/>
    <x v="0"/>
    <x v="403"/>
    <s v="Review"/>
    <s v="Low"/>
    <s v="Finance"/>
    <s v="EMP_148"/>
    <d v="2024-11-02T06:49:00"/>
    <d v="2024-11-02T09:14:00"/>
    <n v="49"/>
    <n v="145"/>
    <n v="1"/>
    <s v="Level 1"/>
    <n v="1"/>
    <n v="224.65"/>
  </r>
  <r>
    <s v="WF_405"/>
    <x v="2"/>
    <x v="404"/>
    <s v="Escalation"/>
    <s v="Critical"/>
    <s v="Finance"/>
    <s v="EMP_54"/>
    <d v="2024-02-04T08:28:00"/>
    <d v="2024-02-04T10:15:00"/>
    <n v="32"/>
    <n v="107"/>
    <n v="1"/>
    <s v="Level 2"/>
    <n v="4"/>
    <n v="403.12"/>
  </r>
  <r>
    <s v="WF_406"/>
    <x v="0"/>
    <x v="405"/>
    <s v="Validation"/>
    <s v="Critical"/>
    <s v="Finance"/>
    <s v="EMP_32"/>
    <d v="2024-01-14T14:02:00"/>
    <d v="2024-01-14T17:02:00"/>
    <n v="125"/>
    <n v="180"/>
    <n v="1"/>
    <s v="Level 1"/>
    <n v="4"/>
    <n v="138.25"/>
  </r>
  <r>
    <s v="WF_407"/>
    <x v="4"/>
    <x v="406"/>
    <s v="Escalation"/>
    <s v="Critical"/>
    <s v="Customer Service"/>
    <s v="EMP_25"/>
    <d v="2024-10-06T15:23:00"/>
    <d v="2024-10-06T19:23:00"/>
    <n v="146"/>
    <n v="240"/>
    <n v="1"/>
    <s v="Level 3"/>
    <n v="1"/>
    <n v="297.13"/>
  </r>
  <r>
    <s v="WF_408"/>
    <x v="1"/>
    <x v="407"/>
    <s v="Data Entry"/>
    <s v="Critical"/>
    <s v="Finance"/>
    <s v="EMP_34"/>
    <d v="2024-08-24T14:17:00"/>
    <d v="2024-08-24T14:57:00"/>
    <n v="23"/>
    <n v="40"/>
    <n v="1"/>
    <s v="Level 2"/>
    <n v="3"/>
    <n v="495.92"/>
  </r>
  <r>
    <s v="WF_409"/>
    <x v="3"/>
    <x v="408"/>
    <s v="Review"/>
    <s v="Critical"/>
    <s v="IT"/>
    <s v="EMP_21"/>
    <d v="2024-12-23T19:30:00"/>
    <d v="2024-12-23T22:30:00"/>
    <n v="174"/>
    <n v="180"/>
    <n v="1"/>
    <s v="Level 2"/>
    <n v="10"/>
    <n v="483.15"/>
  </r>
  <r>
    <s v="WF_410"/>
    <x v="3"/>
    <x v="409"/>
    <s v="Review"/>
    <s v="Medium"/>
    <s v="Customer Service"/>
    <s v="EMP_139"/>
    <d v="2024-09-29T12:05:00"/>
    <d v="2024-09-29T12:56:00"/>
    <n v="46"/>
    <n v="51"/>
    <n v="1"/>
    <s v="Level 3"/>
    <n v="3"/>
    <n v="80.25"/>
  </r>
  <r>
    <s v="WF_411"/>
    <x v="1"/>
    <x v="410"/>
    <s v="Review"/>
    <s v="Low"/>
    <s v="IT"/>
    <s v="EMP_103"/>
    <d v="2024-01-06T15:38:00"/>
    <d v="2024-01-06T17:47:00"/>
    <n v="39"/>
    <n v="129"/>
    <n v="1"/>
    <s v="Level 3"/>
    <n v="9"/>
    <n v="304.20999999999998"/>
  </r>
  <r>
    <s v="WF_412"/>
    <x v="1"/>
    <x v="411"/>
    <s v="Escalation"/>
    <s v="High"/>
    <s v="IT"/>
    <s v="EMP_74"/>
    <d v="2024-09-25T11:13:00"/>
    <d v="2024-09-25T13:34:00"/>
    <n v="141"/>
    <n v="141"/>
    <n v="0"/>
    <s v="Level 3"/>
    <n v="1"/>
    <n v="268.32"/>
  </r>
  <r>
    <s v="WF_413"/>
    <x v="3"/>
    <x v="412"/>
    <s v="Escalation"/>
    <s v="Low"/>
    <s v="HR"/>
    <s v="EMP_20"/>
    <d v="2024-04-02T10:38:00"/>
    <d v="2024-04-02T12:35:00"/>
    <n v="113"/>
    <n v="117"/>
    <n v="1"/>
    <s v="Level 2"/>
    <n v="5"/>
    <n v="86.41"/>
  </r>
  <r>
    <s v="WF_414"/>
    <x v="3"/>
    <x v="413"/>
    <s v="Validation"/>
    <s v="Medium"/>
    <s v="Finance"/>
    <s v="EMP_86"/>
    <d v="2024-01-03T19:43:00"/>
    <d v="2024-01-03T23:11:00"/>
    <n v="156"/>
    <n v="208"/>
    <n v="1"/>
    <s v="Level 2"/>
    <n v="7"/>
    <n v="230.29"/>
  </r>
  <r>
    <s v="WF_415"/>
    <x v="2"/>
    <x v="414"/>
    <s v="Data Entry"/>
    <s v="Low"/>
    <s v="IT"/>
    <s v="EMP_140"/>
    <d v="2024-11-02T20:42:00"/>
    <d v="2024-11-02T23:19:00"/>
    <n v="155"/>
    <n v="157"/>
    <n v="1"/>
    <s v="Level 3"/>
    <n v="6"/>
    <n v="262.92"/>
  </r>
  <r>
    <s v="WF_416"/>
    <x v="3"/>
    <x v="415"/>
    <s v="Data Entry"/>
    <s v="Low"/>
    <s v="HR"/>
    <s v="EMP_28"/>
    <d v="2024-07-30T11:51:00"/>
    <d v="2024-07-30T15:06:00"/>
    <n v="86"/>
    <n v="195"/>
    <n v="1"/>
    <s v="Level 3"/>
    <n v="3"/>
    <n v="256.70999999999998"/>
  </r>
  <r>
    <s v="WF_417"/>
    <x v="1"/>
    <x v="416"/>
    <s v="Escalation"/>
    <s v="High"/>
    <s v="Customer Service"/>
    <s v="EMP_72"/>
    <d v="2024-02-29T00:54:00"/>
    <d v="2024-02-29T01:39:00"/>
    <n v="22"/>
    <n v="45"/>
    <n v="1"/>
    <s v="Level 2"/>
    <n v="5"/>
    <n v="178.14"/>
  </r>
  <r>
    <s v="WF_418"/>
    <x v="4"/>
    <x v="417"/>
    <s v="Approval"/>
    <s v="High"/>
    <s v="Finance"/>
    <s v="EMP_54"/>
    <d v="2024-06-16T02:30:00"/>
    <d v="2024-06-16T04:48:00"/>
    <n v="54"/>
    <n v="138"/>
    <n v="1"/>
    <s v="Level 1"/>
    <n v="9"/>
    <n v="418.2"/>
  </r>
  <r>
    <s v="WF_419"/>
    <x v="3"/>
    <x v="418"/>
    <s v="Review"/>
    <s v="Low"/>
    <s v="HR"/>
    <s v="EMP_95"/>
    <d v="2024-07-21T10:21:00"/>
    <d v="2024-07-21T15:17:00"/>
    <n v="189"/>
    <n v="296"/>
    <n v="1"/>
    <s v="Level 3"/>
    <n v="5"/>
    <n v="158.52000000000001"/>
  </r>
  <r>
    <s v="WF_420"/>
    <x v="0"/>
    <x v="419"/>
    <s v="Approval"/>
    <s v="Low"/>
    <s v="Finance"/>
    <s v="EMP_124"/>
    <d v="2024-05-31T16:55:00"/>
    <d v="2024-05-31T17:52:00"/>
    <n v="38"/>
    <n v="57"/>
    <n v="1"/>
    <s v="Level 1"/>
    <n v="5"/>
    <n v="369.91"/>
  </r>
  <r>
    <s v="WF_421"/>
    <x v="4"/>
    <x v="420"/>
    <s v="Validation"/>
    <s v="Medium"/>
    <s v="Finance"/>
    <s v="EMP_133"/>
    <d v="2024-12-30T17:34:00"/>
    <d v="2024-12-30T21:40:00"/>
    <n v="202"/>
    <n v="246"/>
    <n v="1"/>
    <s v="Level 2"/>
    <n v="10"/>
    <n v="183.63"/>
  </r>
  <r>
    <s v="WF_422"/>
    <x v="4"/>
    <x v="421"/>
    <s v="Approval"/>
    <s v="Low"/>
    <s v="IT"/>
    <s v="EMP_42"/>
    <d v="2024-05-12T07:54:00"/>
    <d v="2024-05-12T12:28:00"/>
    <n v="216"/>
    <n v="274"/>
    <n v="1"/>
    <s v="Level 2"/>
    <n v="3"/>
    <n v="254.03"/>
  </r>
  <r>
    <s v="WF_423"/>
    <x v="4"/>
    <x v="422"/>
    <s v="Validation"/>
    <s v="Low"/>
    <s v="Customer Service"/>
    <s v="EMP_1"/>
    <d v="2024-08-04T21:39:00"/>
    <d v="2024-08-05T01:26:00"/>
    <n v="224"/>
    <n v="227"/>
    <n v="1"/>
    <s v="Level 3"/>
    <n v="9"/>
    <n v="153.77000000000001"/>
  </r>
  <r>
    <s v="WF_424"/>
    <x v="3"/>
    <x v="423"/>
    <s v="Escalation"/>
    <s v="Critical"/>
    <s v="Operations"/>
    <s v="EMP_104"/>
    <d v="2024-02-19T05:09:00"/>
    <d v="2024-02-19T07:16:00"/>
    <n v="123"/>
    <n v="127"/>
    <n v="1"/>
    <s v="Level 2"/>
    <n v="8"/>
    <n v="303.58999999999997"/>
  </r>
  <r>
    <s v="WF_425"/>
    <x v="0"/>
    <x v="424"/>
    <s v="Review"/>
    <s v="Low"/>
    <s v="HR"/>
    <s v="EMP_86"/>
    <d v="2024-10-29T10:29:00"/>
    <d v="2024-10-29T13:20:00"/>
    <n v="122"/>
    <n v="171"/>
    <n v="1"/>
    <s v="Level 3"/>
    <n v="8"/>
    <n v="339.29"/>
  </r>
  <r>
    <s v="WF_426"/>
    <x v="2"/>
    <x v="425"/>
    <s v="Validation"/>
    <s v="Critical"/>
    <s v="HR"/>
    <s v="EMP_111"/>
    <d v="2024-11-08T13:16:00"/>
    <d v="2024-11-08T15:52:00"/>
    <n v="86"/>
    <n v="156"/>
    <n v="1"/>
    <s v="Level 2"/>
    <n v="9"/>
    <n v="245.38"/>
  </r>
  <r>
    <s v="WF_427"/>
    <x v="3"/>
    <x v="426"/>
    <s v="Review"/>
    <s v="Low"/>
    <s v="Operations"/>
    <s v="EMP_46"/>
    <d v="2024-03-10T16:34:00"/>
    <d v="2024-03-10T20:34:00"/>
    <n v="172"/>
    <n v="240"/>
    <n v="1"/>
    <s v="Level 2"/>
    <n v="9"/>
    <n v="402.25"/>
  </r>
  <r>
    <s v="WF_428"/>
    <x v="4"/>
    <x v="427"/>
    <s v="Data Entry"/>
    <s v="Low"/>
    <s v="Operations"/>
    <s v="EMP_61"/>
    <d v="2024-01-22T17:49:00"/>
    <d v="2024-01-22T23:01:00"/>
    <n v="236"/>
    <n v="312"/>
    <n v="1"/>
    <s v="Level 1"/>
    <n v="5"/>
    <n v="474.7"/>
  </r>
  <r>
    <s v="WF_429"/>
    <x v="1"/>
    <x v="428"/>
    <s v="Escalation"/>
    <s v="Low"/>
    <s v="Operations"/>
    <s v="EMP_93"/>
    <d v="2024-12-16T17:10:00"/>
    <d v="2024-12-16T21:15:00"/>
    <n v="162"/>
    <n v="245"/>
    <n v="1"/>
    <s v="Level 3"/>
    <n v="6"/>
    <n v="65.45"/>
  </r>
  <r>
    <s v="WF_430"/>
    <x v="4"/>
    <x v="429"/>
    <s v="Validation"/>
    <s v="High"/>
    <s v="Operations"/>
    <s v="EMP_99"/>
    <d v="2024-04-08T15:59:00"/>
    <d v="2024-04-08T18:47:00"/>
    <n v="127"/>
    <n v="168"/>
    <n v="1"/>
    <s v="Level 2"/>
    <n v="4"/>
    <n v="198.72"/>
  </r>
  <r>
    <s v="WF_431"/>
    <x v="4"/>
    <x v="430"/>
    <s v="Data Entry"/>
    <s v="Critical"/>
    <s v="HR"/>
    <s v="EMP_45"/>
    <d v="2024-08-27T14:07:00"/>
    <d v="2024-08-27T15:57:00"/>
    <n v="87"/>
    <n v="110"/>
    <n v="1"/>
    <s v="Level 2"/>
    <n v="9"/>
    <n v="136.12"/>
  </r>
  <r>
    <s v="WF_432"/>
    <x v="0"/>
    <x v="431"/>
    <s v="Escalation"/>
    <s v="High"/>
    <s v="Operations"/>
    <s v="EMP_56"/>
    <d v="2024-05-02T20:41:00"/>
    <d v="2024-05-02T22:00:00"/>
    <n v="59"/>
    <n v="79"/>
    <n v="1"/>
    <s v="Level 3"/>
    <n v="7"/>
    <n v="153.02000000000001"/>
  </r>
  <r>
    <s v="WF_433"/>
    <x v="3"/>
    <x v="432"/>
    <s v="Review"/>
    <s v="Medium"/>
    <s v="Finance"/>
    <s v="EMP_106"/>
    <d v="2024-06-07T13:20:00"/>
    <d v="2024-06-07T14:55:00"/>
    <n v="62"/>
    <n v="95"/>
    <n v="1"/>
    <s v="Level 2"/>
    <n v="6"/>
    <n v="219.02"/>
  </r>
  <r>
    <s v="WF_434"/>
    <x v="2"/>
    <x v="433"/>
    <s v="Approval"/>
    <s v="Critical"/>
    <s v="Customer Service"/>
    <s v="EMP_142"/>
    <d v="2024-11-29T12:24:00"/>
    <d v="2024-11-29T15:51:00"/>
    <n v="189"/>
    <n v="207"/>
    <n v="1"/>
    <s v="Level 3"/>
    <n v="8"/>
    <n v="138.52000000000001"/>
  </r>
  <r>
    <s v="WF_435"/>
    <x v="1"/>
    <x v="434"/>
    <s v="Validation"/>
    <s v="High"/>
    <s v="Operations"/>
    <s v="EMP_143"/>
    <d v="2024-11-05T14:20:00"/>
    <d v="2024-11-05T14:46:00"/>
    <n v="22"/>
    <n v="26"/>
    <n v="1"/>
    <s v="Level 1"/>
    <n v="10"/>
    <n v="160.63999999999999"/>
  </r>
  <r>
    <s v="WF_436"/>
    <x v="0"/>
    <x v="435"/>
    <s v="Validation"/>
    <s v="Critical"/>
    <s v="HR"/>
    <s v="EMP_65"/>
    <d v="2024-06-03T10:02:00"/>
    <d v="2024-06-03T10:45:00"/>
    <n v="27"/>
    <n v="43"/>
    <n v="1"/>
    <s v="Level 1"/>
    <n v="9"/>
    <n v="309.49"/>
  </r>
  <r>
    <s v="WF_437"/>
    <x v="4"/>
    <x v="436"/>
    <s v="Review"/>
    <s v="Low"/>
    <s v="Operations"/>
    <s v="EMP_70"/>
    <d v="2024-03-15T15:33:00"/>
    <d v="2024-03-15T19:07:00"/>
    <n v="110"/>
    <n v="214"/>
    <n v="1"/>
    <s v="Level 2"/>
    <n v="10"/>
    <n v="96.97"/>
  </r>
  <r>
    <s v="WF_438"/>
    <x v="3"/>
    <x v="437"/>
    <s v="Validation"/>
    <s v="High"/>
    <s v="Operations"/>
    <s v="EMP_46"/>
    <d v="2024-09-02T22:51:00"/>
    <d v="2024-09-03T03:41:00"/>
    <n v="199"/>
    <n v="290"/>
    <n v="1"/>
    <s v="Level 1"/>
    <n v="8"/>
    <n v="461.53"/>
  </r>
  <r>
    <s v="WF_439"/>
    <x v="4"/>
    <x v="438"/>
    <s v="Escalation"/>
    <s v="Low"/>
    <s v="IT"/>
    <s v="EMP_99"/>
    <d v="2024-02-05T15:17:00"/>
    <d v="2024-02-05T18:28:00"/>
    <n v="72"/>
    <n v="191"/>
    <n v="1"/>
    <s v="Level 1"/>
    <n v="2"/>
    <n v="240.5"/>
  </r>
  <r>
    <s v="WF_440"/>
    <x v="3"/>
    <x v="439"/>
    <s v="Review"/>
    <s v="Critical"/>
    <s v="Operations"/>
    <s v="EMP_114"/>
    <d v="2024-01-30T17:07:00"/>
    <d v="2024-01-30T21:25:00"/>
    <n v="186"/>
    <n v="258"/>
    <n v="1"/>
    <s v="Level 1"/>
    <n v="9"/>
    <n v="429.74"/>
  </r>
  <r>
    <s v="WF_441"/>
    <x v="0"/>
    <x v="440"/>
    <s v="Review"/>
    <s v="High"/>
    <s v="Operations"/>
    <s v="EMP_84"/>
    <d v="2024-03-01T06:18:00"/>
    <d v="2024-03-01T08:17:00"/>
    <n v="18"/>
    <n v="119"/>
    <n v="1"/>
    <s v="Level 2"/>
    <n v="4"/>
    <n v="382.92"/>
  </r>
  <r>
    <s v="WF_442"/>
    <x v="4"/>
    <x v="441"/>
    <s v="Approval"/>
    <s v="High"/>
    <s v="Operations"/>
    <s v="EMP_102"/>
    <d v="2024-03-01T18:17:00"/>
    <d v="2024-03-01T19:18:00"/>
    <n v="25"/>
    <n v="61"/>
    <n v="1"/>
    <s v="Level 2"/>
    <n v="4"/>
    <n v="263.99"/>
  </r>
  <r>
    <s v="WF_443"/>
    <x v="0"/>
    <x v="442"/>
    <s v="Validation"/>
    <s v="Low"/>
    <s v="Customer Service"/>
    <s v="EMP_95"/>
    <d v="2024-06-21T05:19:00"/>
    <d v="2024-06-21T06:37:00"/>
    <n v="63"/>
    <n v="78"/>
    <n v="1"/>
    <s v="Level 1"/>
    <n v="4"/>
    <n v="375.84"/>
  </r>
  <r>
    <s v="WF_444"/>
    <x v="2"/>
    <x v="443"/>
    <s v="Approval"/>
    <s v="Medium"/>
    <s v="Customer Service"/>
    <s v="EMP_127"/>
    <d v="2024-01-19T15:24:00"/>
    <d v="2024-01-19T17:06:00"/>
    <n v="49"/>
    <n v="102"/>
    <n v="1"/>
    <s v="Level 3"/>
    <n v="8"/>
    <n v="289.25"/>
  </r>
  <r>
    <s v="WF_445"/>
    <x v="4"/>
    <x v="444"/>
    <s v="Validation"/>
    <s v="Low"/>
    <s v="Operations"/>
    <s v="EMP_42"/>
    <d v="2024-11-02T10:00:00"/>
    <d v="2024-11-02T14:11:00"/>
    <n v="173"/>
    <n v="251"/>
    <n v="1"/>
    <s v="Level 3"/>
    <n v="4"/>
    <n v="212.31"/>
  </r>
  <r>
    <s v="WF_446"/>
    <x v="2"/>
    <x v="445"/>
    <s v="Validation"/>
    <s v="High"/>
    <s v="Customer Service"/>
    <s v="EMP_140"/>
    <d v="2024-06-25T02:06:00"/>
    <d v="2024-06-25T05:15:00"/>
    <n v="117"/>
    <n v="189"/>
    <n v="1"/>
    <s v="Level 1"/>
    <n v="5"/>
    <n v="275.77999999999997"/>
  </r>
  <r>
    <s v="WF_447"/>
    <x v="0"/>
    <x v="446"/>
    <s v="Approval"/>
    <s v="High"/>
    <s v="Finance"/>
    <s v="EMP_59"/>
    <d v="2024-11-12T11:10:00"/>
    <d v="2024-11-12T13:26:00"/>
    <n v="137"/>
    <n v="136"/>
    <n v="0"/>
    <s v="Level 3"/>
    <n v="6"/>
    <n v="249.96"/>
  </r>
  <r>
    <s v="WF_448"/>
    <x v="3"/>
    <x v="447"/>
    <s v="Escalation"/>
    <s v="Medium"/>
    <s v="Finance"/>
    <s v="EMP_28"/>
    <d v="2024-09-25T16:32:00"/>
    <d v="2024-09-25T18:36:00"/>
    <n v="98"/>
    <n v="124"/>
    <n v="1"/>
    <s v="Level 1"/>
    <n v="5"/>
    <n v="438.4"/>
  </r>
  <r>
    <s v="WF_449"/>
    <x v="3"/>
    <x v="448"/>
    <s v="Approval"/>
    <s v="Medium"/>
    <s v="IT"/>
    <s v="EMP_137"/>
    <d v="2024-10-30T17:58:00"/>
    <d v="2024-10-30T20:29:00"/>
    <n v="101"/>
    <n v="151"/>
    <n v="1"/>
    <s v="Level 2"/>
    <n v="10"/>
    <n v="383.86"/>
  </r>
  <r>
    <s v="WF_450"/>
    <x v="1"/>
    <x v="449"/>
    <s v="Approval"/>
    <s v="Medium"/>
    <s v="HR"/>
    <s v="EMP_80"/>
    <d v="2024-01-09T00:56:00"/>
    <d v="2024-01-09T06:01:00"/>
    <n v="217"/>
    <n v="305"/>
    <n v="1"/>
    <s v="Level 1"/>
    <n v="10"/>
    <n v="67.510000000000005"/>
  </r>
  <r>
    <s v="WF_451"/>
    <x v="1"/>
    <x v="450"/>
    <s v="Validation"/>
    <s v="Medium"/>
    <s v="HR"/>
    <s v="EMP_134"/>
    <d v="2024-11-20T23:27:00"/>
    <d v="2024-11-21T02:46:00"/>
    <n v="149"/>
    <n v="199"/>
    <n v="1"/>
    <s v="Level 3"/>
    <n v="1"/>
    <n v="255.07"/>
  </r>
  <r>
    <s v="WF_452"/>
    <x v="1"/>
    <x v="451"/>
    <s v="Review"/>
    <s v="High"/>
    <s v="IT"/>
    <s v="EMP_98"/>
    <d v="2024-12-30T14:20:00"/>
    <d v="2024-12-30T16:35:00"/>
    <n v="68"/>
    <n v="135"/>
    <n v="1"/>
    <s v="Level 1"/>
    <n v="10"/>
    <n v="288.37"/>
  </r>
  <r>
    <s v="WF_453"/>
    <x v="2"/>
    <x v="452"/>
    <s v="Validation"/>
    <s v="Medium"/>
    <s v="IT"/>
    <s v="EMP_54"/>
    <d v="2024-10-09T23:48:00"/>
    <d v="2024-10-10T01:22:00"/>
    <n v="25"/>
    <n v="94"/>
    <n v="1"/>
    <s v="Level 1"/>
    <n v="4"/>
    <n v="282.18"/>
  </r>
  <r>
    <s v="WF_454"/>
    <x v="4"/>
    <x v="453"/>
    <s v="Review"/>
    <s v="Low"/>
    <s v="IT"/>
    <s v="EMP_127"/>
    <d v="2024-01-05T21:32:00"/>
    <d v="2024-01-06T01:47:00"/>
    <n v="141"/>
    <n v="255"/>
    <n v="1"/>
    <s v="Level 3"/>
    <n v="3"/>
    <n v="436.54"/>
  </r>
  <r>
    <s v="WF_455"/>
    <x v="2"/>
    <x v="454"/>
    <s v="Review"/>
    <s v="Critical"/>
    <s v="Customer Service"/>
    <s v="EMP_96"/>
    <d v="2024-09-30T16:10:00"/>
    <d v="2024-09-30T20:05:00"/>
    <n v="184"/>
    <n v="235"/>
    <n v="1"/>
    <s v="Level 1"/>
    <n v="2"/>
    <n v="374.34"/>
  </r>
  <r>
    <s v="WF_456"/>
    <x v="0"/>
    <x v="455"/>
    <s v="Data Entry"/>
    <s v="Critical"/>
    <s v="Customer Service"/>
    <s v="EMP_147"/>
    <d v="2024-11-09T11:34:00"/>
    <d v="2024-11-09T15:23:00"/>
    <n v="182"/>
    <n v="229"/>
    <n v="1"/>
    <s v="Level 1"/>
    <n v="9"/>
    <n v="287.49"/>
  </r>
  <r>
    <s v="WF_457"/>
    <x v="4"/>
    <x v="456"/>
    <s v="Review"/>
    <s v="Critical"/>
    <s v="HR"/>
    <s v="EMP_32"/>
    <d v="2024-12-08T19:14:00"/>
    <d v="2024-12-08T22:05:00"/>
    <n v="152"/>
    <n v="171"/>
    <n v="1"/>
    <s v="Level 1"/>
    <n v="9"/>
    <n v="160.22"/>
  </r>
  <r>
    <s v="WF_458"/>
    <x v="2"/>
    <x v="457"/>
    <s v="Escalation"/>
    <s v="Medium"/>
    <s v="Operations"/>
    <s v="EMP_14"/>
    <d v="2024-06-13T09:21:00"/>
    <d v="2024-06-13T13:42:00"/>
    <n v="214"/>
    <n v="261"/>
    <n v="1"/>
    <s v="Level 2"/>
    <n v="10"/>
    <n v="238.88"/>
  </r>
  <r>
    <s v="WF_459"/>
    <x v="4"/>
    <x v="458"/>
    <s v="Review"/>
    <s v="Critical"/>
    <s v="Customer Service"/>
    <s v="EMP_27"/>
    <d v="2024-03-18T06:29:00"/>
    <d v="2024-03-18T08:35:00"/>
    <n v="45"/>
    <n v="126"/>
    <n v="1"/>
    <s v="Level 1"/>
    <n v="3"/>
    <n v="125.33"/>
  </r>
  <r>
    <s v="WF_460"/>
    <x v="4"/>
    <x v="459"/>
    <s v="Approval"/>
    <s v="Critical"/>
    <s v="IT"/>
    <s v="EMP_11"/>
    <d v="2024-05-28T01:17:00"/>
    <d v="2024-05-28T05:18:00"/>
    <n v="156"/>
    <n v="241"/>
    <n v="1"/>
    <s v="Level 3"/>
    <n v="3"/>
    <n v="368.83"/>
  </r>
  <r>
    <s v="WF_461"/>
    <x v="4"/>
    <x v="460"/>
    <s v="Data Entry"/>
    <s v="Low"/>
    <s v="HR"/>
    <s v="EMP_150"/>
    <d v="2024-08-15T19:54:00"/>
    <d v="2024-08-15T22:59:00"/>
    <n v="142"/>
    <n v="185"/>
    <n v="1"/>
    <s v="Level 3"/>
    <n v="7"/>
    <n v="341.62"/>
  </r>
  <r>
    <s v="WF_462"/>
    <x v="1"/>
    <x v="461"/>
    <s v="Approval"/>
    <s v="Critical"/>
    <s v="Finance"/>
    <s v="EMP_92"/>
    <d v="2024-10-03T09:29:00"/>
    <d v="2024-10-03T10:56:00"/>
    <n v="45"/>
    <n v="87"/>
    <n v="1"/>
    <s v="Level 1"/>
    <n v="1"/>
    <n v="135.22"/>
  </r>
  <r>
    <s v="WF_463"/>
    <x v="4"/>
    <x v="462"/>
    <s v="Review"/>
    <s v="High"/>
    <s v="Customer Service"/>
    <s v="EMP_25"/>
    <d v="2024-10-28T21:30:00"/>
    <d v="2024-10-29T01:33:00"/>
    <n v="128"/>
    <n v="243"/>
    <n v="1"/>
    <s v="Level 2"/>
    <n v="1"/>
    <n v="100.96"/>
  </r>
  <r>
    <s v="WF_464"/>
    <x v="0"/>
    <x v="463"/>
    <s v="Escalation"/>
    <s v="Low"/>
    <s v="Operations"/>
    <s v="EMP_28"/>
    <d v="2024-08-13T12:47:00"/>
    <d v="2024-08-13T16:43:00"/>
    <n v="119"/>
    <n v="236"/>
    <n v="1"/>
    <s v="Level 2"/>
    <n v="8"/>
    <n v="323.33999999999997"/>
  </r>
  <r>
    <s v="WF_465"/>
    <x v="0"/>
    <x v="464"/>
    <s v="Approval"/>
    <s v="High"/>
    <s v="Customer Service"/>
    <s v="EMP_135"/>
    <d v="2024-06-23T01:37:00"/>
    <d v="2024-06-23T04:08:00"/>
    <n v="106"/>
    <n v="151"/>
    <n v="1"/>
    <s v="Level 2"/>
    <n v="4"/>
    <n v="313.77999999999997"/>
  </r>
  <r>
    <s v="WF_466"/>
    <x v="0"/>
    <x v="465"/>
    <s v="Data Entry"/>
    <s v="Critical"/>
    <s v="Operations"/>
    <s v="EMP_98"/>
    <d v="2024-09-22T01:46:00"/>
    <d v="2024-09-22T05:09:00"/>
    <n v="129"/>
    <n v="203"/>
    <n v="1"/>
    <s v="Level 1"/>
    <n v="10"/>
    <n v="201.19"/>
  </r>
  <r>
    <s v="WF_467"/>
    <x v="3"/>
    <x v="466"/>
    <s v="Data Entry"/>
    <s v="Medium"/>
    <s v="HR"/>
    <s v="EMP_10"/>
    <d v="2024-05-08T21:29:00"/>
    <d v="2024-05-08T23:08:00"/>
    <n v="23"/>
    <n v="99"/>
    <n v="1"/>
    <s v="Level 3"/>
    <n v="1"/>
    <n v="401.79"/>
  </r>
  <r>
    <s v="WF_468"/>
    <x v="3"/>
    <x v="467"/>
    <s v="Validation"/>
    <s v="Low"/>
    <s v="IT"/>
    <s v="EMP_101"/>
    <d v="2024-02-02T06:07:00"/>
    <d v="2024-02-02T06:37:00"/>
    <n v="15"/>
    <n v="30"/>
    <n v="1"/>
    <s v="Level 3"/>
    <n v="5"/>
    <n v="211.68"/>
  </r>
  <r>
    <s v="WF_469"/>
    <x v="1"/>
    <x v="468"/>
    <s v="Approval"/>
    <s v="Medium"/>
    <s v="HR"/>
    <s v="EMP_130"/>
    <d v="2024-04-24T10:47:00"/>
    <d v="2024-04-24T14:15:00"/>
    <n v="133"/>
    <n v="208"/>
    <n v="1"/>
    <s v="Level 1"/>
    <n v="4"/>
    <n v="252.3"/>
  </r>
  <r>
    <s v="WF_470"/>
    <x v="0"/>
    <x v="469"/>
    <s v="Escalation"/>
    <s v="High"/>
    <s v="Operations"/>
    <s v="EMP_39"/>
    <d v="2024-10-14T04:17:00"/>
    <d v="2024-10-14T08:15:00"/>
    <n v="139"/>
    <n v="238"/>
    <n v="1"/>
    <s v="Level 3"/>
    <n v="9"/>
    <n v="383.64"/>
  </r>
  <r>
    <s v="WF_471"/>
    <x v="3"/>
    <x v="470"/>
    <s v="Escalation"/>
    <s v="Critical"/>
    <s v="Customer Service"/>
    <s v="EMP_32"/>
    <d v="2024-10-28T10:44:00"/>
    <d v="2024-10-28T12:23:00"/>
    <n v="18"/>
    <n v="99"/>
    <n v="1"/>
    <s v="Level 3"/>
    <n v="6"/>
    <n v="497.26"/>
  </r>
  <r>
    <s v="WF_472"/>
    <x v="3"/>
    <x v="471"/>
    <s v="Data Entry"/>
    <s v="Critical"/>
    <s v="Finance"/>
    <s v="EMP_4"/>
    <d v="2024-10-18T07:42:00"/>
    <d v="2024-10-18T10:06:00"/>
    <n v="135"/>
    <n v="144"/>
    <n v="1"/>
    <s v="Level 2"/>
    <n v="1"/>
    <n v="204.75"/>
  </r>
  <r>
    <s v="WF_473"/>
    <x v="0"/>
    <x v="472"/>
    <s v="Escalation"/>
    <s v="High"/>
    <s v="Customer Service"/>
    <s v="EMP_6"/>
    <d v="2024-02-15T12:21:00"/>
    <d v="2024-02-15T13:49:00"/>
    <n v="89"/>
    <n v="88"/>
    <n v="0"/>
    <s v="Level 1"/>
    <n v="5"/>
    <n v="220.73"/>
  </r>
  <r>
    <s v="WF_474"/>
    <x v="1"/>
    <x v="473"/>
    <s v="Data Entry"/>
    <s v="Medium"/>
    <s v="IT"/>
    <s v="EMP_48"/>
    <d v="2024-02-18T21:36:00"/>
    <d v="2024-02-19T02:59:00"/>
    <n v="217"/>
    <n v="323"/>
    <n v="1"/>
    <s v="Level 1"/>
    <n v="2"/>
    <n v="141.46"/>
  </r>
  <r>
    <s v="WF_475"/>
    <x v="4"/>
    <x v="474"/>
    <s v="Validation"/>
    <s v="High"/>
    <s v="Operations"/>
    <s v="EMP_145"/>
    <d v="2024-03-08T12:14:00"/>
    <d v="2024-03-08T14:58:00"/>
    <n v="83"/>
    <n v="164"/>
    <n v="1"/>
    <s v="Level 3"/>
    <n v="4"/>
    <n v="213.78"/>
  </r>
  <r>
    <s v="WF_476"/>
    <x v="2"/>
    <x v="475"/>
    <s v="Approval"/>
    <s v="Low"/>
    <s v="IT"/>
    <s v="EMP_3"/>
    <d v="2024-05-25T01:15:00"/>
    <d v="2024-05-25T04:23:00"/>
    <n v="172"/>
    <n v="188"/>
    <n v="1"/>
    <s v="Level 2"/>
    <n v="3"/>
    <n v="214.28"/>
  </r>
  <r>
    <s v="WF_477"/>
    <x v="1"/>
    <x v="476"/>
    <s v="Review"/>
    <s v="Low"/>
    <s v="Customer Service"/>
    <s v="EMP_99"/>
    <d v="2024-04-25T06:40:00"/>
    <d v="2024-04-25T10:39:00"/>
    <n v="193"/>
    <n v="239"/>
    <n v="1"/>
    <s v="Level 1"/>
    <n v="6"/>
    <n v="320.95"/>
  </r>
  <r>
    <s v="WF_478"/>
    <x v="4"/>
    <x v="477"/>
    <s v="Data Entry"/>
    <s v="High"/>
    <s v="Finance"/>
    <s v="EMP_96"/>
    <d v="2024-11-04T04:54:00"/>
    <d v="2024-11-04T06:08:00"/>
    <n v="28"/>
    <n v="74"/>
    <n v="1"/>
    <s v="Level 2"/>
    <n v="5"/>
    <n v="183.01"/>
  </r>
  <r>
    <s v="WF_479"/>
    <x v="0"/>
    <x v="478"/>
    <s v="Escalation"/>
    <s v="Medium"/>
    <s v="IT"/>
    <s v="EMP_67"/>
    <d v="2024-11-17T11:33:00"/>
    <d v="2024-11-17T15:57:00"/>
    <n v="212"/>
    <n v="264"/>
    <n v="1"/>
    <s v="Level 3"/>
    <n v="3"/>
    <n v="458.83"/>
  </r>
  <r>
    <s v="WF_480"/>
    <x v="3"/>
    <x v="479"/>
    <s v="Approval"/>
    <s v="Medium"/>
    <s v="IT"/>
    <s v="EMP_10"/>
    <d v="2024-11-26T19:38:00"/>
    <d v="2024-11-26T23:17:00"/>
    <n v="155"/>
    <n v="219"/>
    <n v="1"/>
    <s v="Level 1"/>
    <n v="2"/>
    <n v="179.64"/>
  </r>
  <r>
    <s v="WF_481"/>
    <x v="2"/>
    <x v="480"/>
    <s v="Data Entry"/>
    <s v="Medium"/>
    <s v="HR"/>
    <s v="EMP_143"/>
    <d v="2024-08-20T16:43:00"/>
    <d v="2024-08-20T21:02:00"/>
    <n v="193"/>
    <n v="259"/>
    <n v="1"/>
    <s v="Level 3"/>
    <n v="8"/>
    <n v="129.25"/>
  </r>
  <r>
    <s v="WF_482"/>
    <x v="0"/>
    <x v="481"/>
    <s v="Data Entry"/>
    <s v="Low"/>
    <s v="Customer Service"/>
    <s v="EMP_61"/>
    <d v="2024-04-25T01:20:00"/>
    <d v="2024-04-25T03:12:00"/>
    <n v="77"/>
    <n v="112"/>
    <n v="1"/>
    <s v="Level 1"/>
    <n v="8"/>
    <n v="369.62"/>
  </r>
  <r>
    <s v="WF_483"/>
    <x v="0"/>
    <x v="482"/>
    <s v="Escalation"/>
    <s v="Critical"/>
    <s v="HR"/>
    <s v="EMP_52"/>
    <d v="2024-08-11T05:07:00"/>
    <d v="2024-08-11T08:41:00"/>
    <n v="169"/>
    <n v="214"/>
    <n v="1"/>
    <s v="Level 1"/>
    <n v="5"/>
    <n v="93.43"/>
  </r>
  <r>
    <s v="WF_484"/>
    <x v="2"/>
    <x v="483"/>
    <s v="Review"/>
    <s v="Critical"/>
    <s v="HR"/>
    <s v="EMP_75"/>
    <d v="2024-11-26T09:38:00"/>
    <d v="2024-11-26T12:56:00"/>
    <n v="147"/>
    <n v="198"/>
    <n v="1"/>
    <s v="Level 3"/>
    <n v="7"/>
    <n v="409.73"/>
  </r>
  <r>
    <s v="WF_485"/>
    <x v="3"/>
    <x v="484"/>
    <s v="Validation"/>
    <s v="High"/>
    <s v="Customer Service"/>
    <s v="EMP_60"/>
    <d v="2024-05-20T01:36:00"/>
    <d v="2024-05-20T03:48:00"/>
    <n v="112"/>
    <n v="132"/>
    <n v="1"/>
    <s v="Level 1"/>
    <n v="1"/>
    <n v="170.78"/>
  </r>
  <r>
    <s v="WF_486"/>
    <x v="2"/>
    <x v="485"/>
    <s v="Escalation"/>
    <s v="Critical"/>
    <s v="Finance"/>
    <s v="EMP_71"/>
    <d v="2024-05-06T18:24:00"/>
    <d v="2024-05-06T20:22:00"/>
    <n v="110"/>
    <n v="118"/>
    <n v="1"/>
    <s v="Level 1"/>
    <n v="2"/>
    <n v="495.7"/>
  </r>
  <r>
    <s v="WF_487"/>
    <x v="4"/>
    <x v="486"/>
    <s v="Validation"/>
    <s v="Low"/>
    <s v="IT"/>
    <s v="EMP_102"/>
    <d v="2024-01-14T19:37:00"/>
    <d v="2024-01-14T21:59:00"/>
    <n v="113"/>
    <n v="142"/>
    <n v="1"/>
    <s v="Level 3"/>
    <n v="2"/>
    <n v="368.55"/>
  </r>
  <r>
    <s v="WF_488"/>
    <x v="1"/>
    <x v="487"/>
    <s v="Approval"/>
    <s v="Medium"/>
    <s v="Customer Service"/>
    <s v="EMP_24"/>
    <d v="2024-02-17T01:54:00"/>
    <d v="2024-02-17T03:55:00"/>
    <n v="78"/>
    <n v="121"/>
    <n v="1"/>
    <s v="Level 2"/>
    <n v="2"/>
    <n v="75.03"/>
  </r>
  <r>
    <s v="WF_489"/>
    <x v="1"/>
    <x v="488"/>
    <s v="Review"/>
    <s v="Low"/>
    <s v="Customer Service"/>
    <s v="EMP_73"/>
    <d v="2024-01-13T07:02:00"/>
    <d v="2024-01-13T09:26:00"/>
    <n v="93"/>
    <n v="144"/>
    <n v="1"/>
    <s v="Level 2"/>
    <n v="9"/>
    <n v="100.36"/>
  </r>
  <r>
    <s v="WF_490"/>
    <x v="2"/>
    <x v="489"/>
    <s v="Validation"/>
    <s v="Critical"/>
    <s v="Finance"/>
    <s v="EMP_42"/>
    <d v="2024-03-02T00:13:00"/>
    <d v="2024-03-02T02:04:00"/>
    <n v="41"/>
    <n v="111"/>
    <n v="1"/>
    <s v="Level 2"/>
    <n v="10"/>
    <n v="226.61"/>
  </r>
  <r>
    <s v="WF_491"/>
    <x v="2"/>
    <x v="490"/>
    <s v="Data Entry"/>
    <s v="Low"/>
    <s v="HR"/>
    <s v="EMP_23"/>
    <d v="2024-10-15T05:57:00"/>
    <d v="2024-10-15T08:18:00"/>
    <n v="127"/>
    <n v="141"/>
    <n v="1"/>
    <s v="Level 1"/>
    <n v="7"/>
    <n v="196.09"/>
  </r>
  <r>
    <s v="WF_492"/>
    <x v="1"/>
    <x v="491"/>
    <s v="Escalation"/>
    <s v="Medium"/>
    <s v="Operations"/>
    <s v="EMP_30"/>
    <d v="2024-11-20T01:53:00"/>
    <d v="2024-11-20T03:58:00"/>
    <n v="25"/>
    <n v="125"/>
    <n v="1"/>
    <s v="Level 2"/>
    <n v="2"/>
    <n v="72.7"/>
  </r>
  <r>
    <s v="WF_493"/>
    <x v="0"/>
    <x v="492"/>
    <s v="Review"/>
    <s v="Low"/>
    <s v="HR"/>
    <s v="EMP_77"/>
    <d v="2024-04-09T18:35:00"/>
    <d v="2024-04-09T21:30:00"/>
    <n v="119"/>
    <n v="175"/>
    <n v="1"/>
    <s v="Level 2"/>
    <n v="4"/>
    <n v="275.02"/>
  </r>
  <r>
    <s v="WF_494"/>
    <x v="2"/>
    <x v="493"/>
    <s v="Review"/>
    <s v="Medium"/>
    <s v="Finance"/>
    <s v="EMP_89"/>
    <d v="2024-01-03T03:30:00"/>
    <d v="2024-01-03T08:20:00"/>
    <n v="203"/>
    <n v="290"/>
    <n v="1"/>
    <s v="Level 2"/>
    <n v="6"/>
    <n v="255.62"/>
  </r>
  <r>
    <s v="WF_495"/>
    <x v="1"/>
    <x v="494"/>
    <s v="Data Entry"/>
    <s v="Critical"/>
    <s v="Operations"/>
    <s v="EMP_66"/>
    <d v="2024-11-22T09:31:00"/>
    <d v="2024-11-22T13:44:00"/>
    <n v="195"/>
    <n v="253"/>
    <n v="1"/>
    <s v="Level 3"/>
    <n v="9"/>
    <n v="259.60000000000002"/>
  </r>
  <r>
    <s v="WF_496"/>
    <x v="2"/>
    <x v="495"/>
    <s v="Review"/>
    <s v="Low"/>
    <s v="Customer Service"/>
    <s v="EMP_144"/>
    <d v="2024-04-16T05:52:00"/>
    <d v="2024-04-16T09:45:00"/>
    <n v="166"/>
    <n v="233"/>
    <n v="1"/>
    <s v="Level 1"/>
    <n v="4"/>
    <n v="94.22"/>
  </r>
  <r>
    <s v="WF_497"/>
    <x v="1"/>
    <x v="496"/>
    <s v="Escalation"/>
    <s v="Medium"/>
    <s v="HR"/>
    <s v="EMP_140"/>
    <d v="2024-05-13T13:56:00"/>
    <d v="2024-05-13T17:27:00"/>
    <n v="149"/>
    <n v="211"/>
    <n v="1"/>
    <s v="Level 3"/>
    <n v="4"/>
    <n v="240.63"/>
  </r>
  <r>
    <s v="WF_498"/>
    <x v="2"/>
    <x v="497"/>
    <s v="Review"/>
    <s v="High"/>
    <s v="Finance"/>
    <s v="EMP_127"/>
    <d v="2024-10-10T01:41:00"/>
    <d v="2024-10-10T04:14:00"/>
    <n v="47"/>
    <n v="153"/>
    <n v="1"/>
    <s v="Level 1"/>
    <n v="3"/>
    <n v="451.74"/>
  </r>
  <r>
    <s v="WF_499"/>
    <x v="0"/>
    <x v="498"/>
    <s v="Validation"/>
    <s v="Critical"/>
    <s v="Operations"/>
    <s v="EMP_13"/>
    <d v="2024-03-19T06:12:00"/>
    <d v="2024-03-19T10:09:00"/>
    <n v="166"/>
    <n v="237"/>
    <n v="1"/>
    <s v="Level 1"/>
    <n v="6"/>
    <n v="291.98"/>
  </r>
  <r>
    <s v="WF_500"/>
    <x v="2"/>
    <x v="499"/>
    <s v="Review"/>
    <s v="Critical"/>
    <s v="Customer Service"/>
    <s v="EMP_113"/>
    <d v="2024-08-25T07:13:00"/>
    <d v="2024-08-25T09:09:00"/>
    <n v="24"/>
    <n v="116"/>
    <n v="1"/>
    <s v="Level 1"/>
    <n v="5"/>
    <n v="224.66"/>
  </r>
  <r>
    <s v="WF_501"/>
    <x v="4"/>
    <x v="500"/>
    <s v="Review"/>
    <s v="Low"/>
    <s v="Finance"/>
    <s v="EMP_122"/>
    <d v="2024-07-13T08:56:00"/>
    <d v="2024-07-13T12:55:00"/>
    <n v="144"/>
    <n v="239"/>
    <n v="1"/>
    <s v="Level 2"/>
    <n v="5"/>
    <n v="135.38"/>
  </r>
  <r>
    <s v="WF_502"/>
    <x v="1"/>
    <x v="501"/>
    <s v="Approval"/>
    <s v="Low"/>
    <s v="Customer Service"/>
    <s v="EMP_59"/>
    <d v="2024-06-14T06:27:00"/>
    <d v="2024-06-14T08:47:00"/>
    <n v="69"/>
    <n v="140"/>
    <n v="1"/>
    <s v="Level 2"/>
    <n v="9"/>
    <n v="72.040000000000006"/>
  </r>
  <r>
    <s v="WF_503"/>
    <x v="2"/>
    <x v="502"/>
    <s v="Approval"/>
    <s v="Critical"/>
    <s v="Finance"/>
    <s v="EMP_116"/>
    <d v="2024-08-02T20:59:00"/>
    <d v="2024-08-02T22:21:00"/>
    <n v="30"/>
    <n v="82"/>
    <n v="1"/>
    <s v="Level 1"/>
    <n v="2"/>
    <n v="246.07"/>
  </r>
  <r>
    <s v="WF_504"/>
    <x v="4"/>
    <x v="503"/>
    <s v="Escalation"/>
    <s v="Medium"/>
    <s v="Customer Service"/>
    <s v="EMP_5"/>
    <d v="2024-08-22T12:11:00"/>
    <d v="2024-08-22T18:03:00"/>
    <n v="240"/>
    <n v="352"/>
    <n v="1"/>
    <s v="Level 3"/>
    <n v="1"/>
    <n v="119.7"/>
  </r>
  <r>
    <s v="WF_505"/>
    <x v="0"/>
    <x v="504"/>
    <s v="Data Entry"/>
    <s v="Low"/>
    <s v="Finance"/>
    <s v="EMP_30"/>
    <d v="2024-05-05T03:29:00"/>
    <d v="2024-05-05T04:05:00"/>
    <n v="17"/>
    <n v="36"/>
    <n v="1"/>
    <s v="Level 1"/>
    <n v="10"/>
    <n v="480.35"/>
  </r>
  <r>
    <s v="WF_506"/>
    <x v="2"/>
    <x v="505"/>
    <s v="Data Entry"/>
    <s v="Low"/>
    <s v="HR"/>
    <s v="EMP_120"/>
    <d v="2024-05-04T10:44:00"/>
    <d v="2024-05-04T13:40:00"/>
    <n v="127"/>
    <n v="176"/>
    <n v="1"/>
    <s v="Level 2"/>
    <n v="8"/>
    <n v="148.57"/>
  </r>
  <r>
    <s v="WF_507"/>
    <x v="3"/>
    <x v="506"/>
    <s v="Validation"/>
    <s v="Medium"/>
    <s v="Operations"/>
    <s v="EMP_96"/>
    <d v="2024-06-05T18:10:00"/>
    <d v="2024-06-05T19:13:00"/>
    <n v="20"/>
    <n v="63"/>
    <n v="1"/>
    <s v="Level 1"/>
    <n v="10"/>
    <n v="456.41"/>
  </r>
  <r>
    <s v="WF_508"/>
    <x v="1"/>
    <x v="507"/>
    <s v="Data Entry"/>
    <s v="High"/>
    <s v="Finance"/>
    <s v="EMP_62"/>
    <d v="2024-12-28T17:09:00"/>
    <d v="2024-12-28T20:16:00"/>
    <n v="159"/>
    <n v="187"/>
    <n v="1"/>
    <s v="Level 2"/>
    <n v="4"/>
    <n v="79.77"/>
  </r>
  <r>
    <s v="WF_509"/>
    <x v="0"/>
    <x v="508"/>
    <s v="Review"/>
    <s v="High"/>
    <s v="Finance"/>
    <s v="EMP_142"/>
    <d v="2024-12-17T20:37:00"/>
    <d v="2024-12-18T00:34:00"/>
    <n v="161"/>
    <n v="237"/>
    <n v="1"/>
    <s v="Level 3"/>
    <n v="3"/>
    <n v="322.93"/>
  </r>
  <r>
    <s v="WF_510"/>
    <x v="3"/>
    <x v="509"/>
    <s v="Escalation"/>
    <s v="High"/>
    <s v="Operations"/>
    <s v="EMP_61"/>
    <d v="2024-07-04T20:19:00"/>
    <d v="2024-07-04T22:36:00"/>
    <n v="56"/>
    <n v="137"/>
    <n v="1"/>
    <s v="Level 1"/>
    <n v="10"/>
    <n v="488.56"/>
  </r>
  <r>
    <s v="WF_511"/>
    <x v="4"/>
    <x v="510"/>
    <s v="Validation"/>
    <s v="Critical"/>
    <s v="HR"/>
    <s v="EMP_43"/>
    <d v="2024-03-30T11:16:00"/>
    <d v="2024-03-30T12:02:00"/>
    <n v="10"/>
    <n v="46"/>
    <n v="1"/>
    <s v="Level 1"/>
    <n v="5"/>
    <n v="341.36"/>
  </r>
  <r>
    <s v="WF_512"/>
    <x v="3"/>
    <x v="511"/>
    <s v="Escalation"/>
    <s v="High"/>
    <s v="Operations"/>
    <s v="EMP_67"/>
    <d v="2024-06-10T16:32:00"/>
    <d v="2024-06-10T18:53:00"/>
    <n v="41"/>
    <n v="141"/>
    <n v="1"/>
    <s v="Level 3"/>
    <n v="3"/>
    <n v="424.79"/>
  </r>
  <r>
    <s v="WF_513"/>
    <x v="2"/>
    <x v="512"/>
    <s v="Approval"/>
    <s v="Critical"/>
    <s v="Customer Service"/>
    <s v="EMP_98"/>
    <d v="2024-02-16T05:06:00"/>
    <d v="2024-02-16T08:37:00"/>
    <n v="114"/>
    <n v="211"/>
    <n v="1"/>
    <s v="Level 1"/>
    <n v="1"/>
    <n v="119.7"/>
  </r>
  <r>
    <s v="WF_514"/>
    <x v="1"/>
    <x v="513"/>
    <s v="Review"/>
    <s v="High"/>
    <s v="Operations"/>
    <s v="EMP_89"/>
    <d v="2024-03-27T09:44:00"/>
    <d v="2024-03-27T14:06:00"/>
    <n v="208"/>
    <n v="262"/>
    <n v="1"/>
    <s v="Level 1"/>
    <n v="7"/>
    <n v="495.25"/>
  </r>
  <r>
    <s v="WF_515"/>
    <x v="4"/>
    <x v="514"/>
    <s v="Escalation"/>
    <s v="Critical"/>
    <s v="Finance"/>
    <s v="EMP_115"/>
    <d v="2024-08-24T02:10:00"/>
    <d v="2024-08-24T05:03:00"/>
    <n v="58"/>
    <n v="173"/>
    <n v="1"/>
    <s v="Level 2"/>
    <n v="4"/>
    <n v="191.18"/>
  </r>
  <r>
    <s v="WF_516"/>
    <x v="0"/>
    <x v="515"/>
    <s v="Validation"/>
    <s v="Low"/>
    <s v="Finance"/>
    <s v="EMP_20"/>
    <d v="2024-09-29T06:31:00"/>
    <d v="2024-09-29T10:07:00"/>
    <n v="118"/>
    <n v="216"/>
    <n v="1"/>
    <s v="Level 2"/>
    <n v="4"/>
    <n v="85.41"/>
  </r>
  <r>
    <s v="WF_517"/>
    <x v="3"/>
    <x v="516"/>
    <s v="Approval"/>
    <s v="Low"/>
    <s v="HR"/>
    <s v="EMP_87"/>
    <d v="2024-01-04T12:39:00"/>
    <d v="2024-01-04T15:38:00"/>
    <n v="151"/>
    <n v="179"/>
    <n v="1"/>
    <s v="Level 2"/>
    <n v="1"/>
    <n v="196.8"/>
  </r>
  <r>
    <s v="WF_518"/>
    <x v="3"/>
    <x v="517"/>
    <s v="Approval"/>
    <s v="Medium"/>
    <s v="Finance"/>
    <s v="EMP_58"/>
    <d v="2024-03-31T14:40:00"/>
    <d v="2024-03-31T17:11:00"/>
    <n v="141"/>
    <n v="151"/>
    <n v="1"/>
    <s v="Level 3"/>
    <n v="6"/>
    <n v="217.28"/>
  </r>
  <r>
    <s v="WF_519"/>
    <x v="1"/>
    <x v="518"/>
    <s v="Escalation"/>
    <s v="Low"/>
    <s v="HR"/>
    <s v="EMP_115"/>
    <d v="2024-02-19T18:40:00"/>
    <d v="2024-02-19T23:16:00"/>
    <n v="235"/>
    <n v="276"/>
    <n v="1"/>
    <s v="Level 1"/>
    <n v="3"/>
    <n v="468.28"/>
  </r>
  <r>
    <s v="WF_520"/>
    <x v="0"/>
    <x v="519"/>
    <s v="Approval"/>
    <s v="Medium"/>
    <s v="Customer Service"/>
    <s v="EMP_119"/>
    <d v="2024-11-24T14:28:00"/>
    <d v="2024-11-24T19:06:00"/>
    <n v="182"/>
    <n v="278"/>
    <n v="1"/>
    <s v="Level 2"/>
    <n v="9"/>
    <n v="154.77000000000001"/>
  </r>
  <r>
    <s v="WF_521"/>
    <x v="3"/>
    <x v="520"/>
    <s v="Validation"/>
    <s v="Medium"/>
    <s v="Customer Service"/>
    <s v="EMP_51"/>
    <d v="2024-07-18T03:42:00"/>
    <d v="2024-07-18T08:04:00"/>
    <n v="168"/>
    <n v="262"/>
    <n v="1"/>
    <s v="Level 2"/>
    <n v="6"/>
    <n v="336.6"/>
  </r>
  <r>
    <s v="WF_522"/>
    <x v="3"/>
    <x v="521"/>
    <s v="Escalation"/>
    <s v="High"/>
    <s v="IT"/>
    <s v="EMP_56"/>
    <d v="2024-07-04T22:14:00"/>
    <d v="2024-07-05T02:24:00"/>
    <n v="163"/>
    <n v="250"/>
    <n v="1"/>
    <s v="Level 2"/>
    <n v="2"/>
    <n v="273.79000000000002"/>
  </r>
  <r>
    <s v="WF_523"/>
    <x v="3"/>
    <x v="522"/>
    <s v="Approval"/>
    <s v="High"/>
    <s v="IT"/>
    <s v="EMP_95"/>
    <d v="2024-05-13T19:05:00"/>
    <d v="2024-05-13T22:41:00"/>
    <n v="130"/>
    <n v="216"/>
    <n v="1"/>
    <s v="Level 1"/>
    <n v="1"/>
    <n v="466.61"/>
  </r>
  <r>
    <s v="WF_524"/>
    <x v="4"/>
    <x v="523"/>
    <s v="Validation"/>
    <s v="Critical"/>
    <s v="IT"/>
    <s v="EMP_102"/>
    <d v="2024-04-11T00:43:00"/>
    <d v="2024-04-11T03:51:00"/>
    <n v="74"/>
    <n v="188"/>
    <n v="1"/>
    <s v="Level 1"/>
    <n v="9"/>
    <n v="302.58"/>
  </r>
  <r>
    <s v="WF_525"/>
    <x v="3"/>
    <x v="524"/>
    <s v="Validation"/>
    <s v="Low"/>
    <s v="Finance"/>
    <s v="EMP_65"/>
    <d v="2024-06-03T02:08:00"/>
    <d v="2024-06-03T05:58:00"/>
    <n v="203"/>
    <n v="230"/>
    <n v="1"/>
    <s v="Level 3"/>
    <n v="8"/>
    <n v="98.09"/>
  </r>
  <r>
    <s v="WF_526"/>
    <x v="3"/>
    <x v="525"/>
    <s v="Review"/>
    <s v="Low"/>
    <s v="HR"/>
    <s v="EMP_91"/>
    <d v="2024-03-22T21:14:00"/>
    <d v="2024-03-22T22:17:00"/>
    <n v="49"/>
    <n v="63"/>
    <n v="1"/>
    <s v="Level 3"/>
    <n v="8"/>
    <n v="169.87"/>
  </r>
  <r>
    <s v="WF_527"/>
    <x v="3"/>
    <x v="526"/>
    <s v="Review"/>
    <s v="Medium"/>
    <s v="HR"/>
    <s v="EMP_59"/>
    <d v="2024-06-01T18:51:00"/>
    <d v="2024-06-01T22:25:00"/>
    <n v="161"/>
    <n v="214"/>
    <n v="1"/>
    <s v="Level 3"/>
    <n v="2"/>
    <n v="488.03"/>
  </r>
  <r>
    <s v="WF_528"/>
    <x v="3"/>
    <x v="527"/>
    <s v="Escalation"/>
    <s v="Medium"/>
    <s v="Operations"/>
    <s v="EMP_15"/>
    <d v="2024-08-12T19:13:00"/>
    <d v="2024-08-12T20:40:00"/>
    <n v="53"/>
    <n v="87"/>
    <n v="1"/>
    <s v="Level 2"/>
    <n v="8"/>
    <n v="289.11"/>
  </r>
  <r>
    <s v="WF_529"/>
    <x v="4"/>
    <x v="528"/>
    <s v="Validation"/>
    <s v="Critical"/>
    <s v="HR"/>
    <s v="EMP_134"/>
    <d v="2024-03-05T13:00:00"/>
    <d v="2024-03-05T14:22:00"/>
    <n v="35"/>
    <n v="82"/>
    <n v="1"/>
    <s v="Level 3"/>
    <n v="6"/>
    <n v="264.89"/>
  </r>
  <r>
    <s v="WF_530"/>
    <x v="2"/>
    <x v="529"/>
    <s v="Review"/>
    <s v="High"/>
    <s v="Operations"/>
    <s v="EMP_95"/>
    <d v="2024-08-06T10:54:00"/>
    <d v="2024-08-06T15:39:00"/>
    <n v="200"/>
    <n v="285"/>
    <n v="1"/>
    <s v="Level 1"/>
    <n v="2"/>
    <n v="491.36"/>
  </r>
  <r>
    <s v="WF_531"/>
    <x v="3"/>
    <x v="530"/>
    <s v="Data Entry"/>
    <s v="Medium"/>
    <s v="Customer Service"/>
    <s v="EMP_49"/>
    <d v="2024-05-19T10:49:00"/>
    <d v="2024-05-19T15:35:00"/>
    <n v="239"/>
    <n v="286"/>
    <n v="1"/>
    <s v="Level 3"/>
    <n v="2"/>
    <n v="124.33"/>
  </r>
  <r>
    <s v="WF_532"/>
    <x v="2"/>
    <x v="531"/>
    <s v="Validation"/>
    <s v="Medium"/>
    <s v="Finance"/>
    <s v="EMP_95"/>
    <d v="2024-11-20T01:39:00"/>
    <d v="2024-11-20T03:34:00"/>
    <n v="116"/>
    <n v="115"/>
    <n v="0"/>
    <s v="Level 2"/>
    <n v="6"/>
    <n v="125.52"/>
  </r>
  <r>
    <s v="WF_533"/>
    <x v="1"/>
    <x v="532"/>
    <s v="Approval"/>
    <s v="Medium"/>
    <s v="Customer Service"/>
    <s v="EMP_34"/>
    <d v="2024-08-09T10:06:00"/>
    <d v="2024-08-09T13:23:00"/>
    <n v="145"/>
    <n v="197"/>
    <n v="1"/>
    <s v="Level 1"/>
    <n v="10"/>
    <n v="455.07"/>
  </r>
  <r>
    <s v="WF_534"/>
    <x v="0"/>
    <x v="533"/>
    <s v="Validation"/>
    <s v="Medium"/>
    <s v="IT"/>
    <s v="EMP_92"/>
    <d v="2024-10-16T00:09:00"/>
    <d v="2024-10-16T02:54:00"/>
    <n v="164"/>
    <n v="165"/>
    <n v="1"/>
    <s v="Level 1"/>
    <n v="5"/>
    <n v="385.91"/>
  </r>
  <r>
    <s v="WF_535"/>
    <x v="2"/>
    <x v="534"/>
    <s v="Review"/>
    <s v="Low"/>
    <s v="Finance"/>
    <s v="EMP_30"/>
    <d v="2024-10-14T23:20:00"/>
    <d v="2024-10-15T03:39:00"/>
    <n v="157"/>
    <n v="259"/>
    <n v="1"/>
    <s v="Level 2"/>
    <n v="1"/>
    <n v="82.44"/>
  </r>
  <r>
    <s v="WF_536"/>
    <x v="1"/>
    <x v="535"/>
    <s v="Data Entry"/>
    <s v="Low"/>
    <s v="Customer Service"/>
    <s v="EMP_95"/>
    <d v="2024-04-20T20:40:00"/>
    <d v="2024-04-21T01:39:00"/>
    <n v="226"/>
    <n v="299"/>
    <n v="1"/>
    <s v="Level 2"/>
    <n v="4"/>
    <n v="161.32"/>
  </r>
  <r>
    <s v="WF_537"/>
    <x v="3"/>
    <x v="536"/>
    <s v="Data Entry"/>
    <s v="Low"/>
    <s v="Operations"/>
    <s v="EMP_103"/>
    <d v="2024-03-17T05:04:00"/>
    <d v="2024-03-17T08:10:00"/>
    <n v="189"/>
    <n v="186"/>
    <n v="0"/>
    <s v="Level 1"/>
    <n v="8"/>
    <n v="437.47"/>
  </r>
  <r>
    <s v="WF_538"/>
    <x v="2"/>
    <x v="537"/>
    <s v="Validation"/>
    <s v="High"/>
    <s v="Customer Service"/>
    <s v="EMP_150"/>
    <d v="2024-06-08T18:17:00"/>
    <d v="2024-06-08T19:56:00"/>
    <n v="14"/>
    <n v="99"/>
    <n v="1"/>
    <s v="Level 1"/>
    <n v="9"/>
    <n v="340.33"/>
  </r>
  <r>
    <s v="WF_539"/>
    <x v="3"/>
    <x v="538"/>
    <s v="Approval"/>
    <s v="Low"/>
    <s v="Finance"/>
    <s v="EMP_87"/>
    <d v="2024-01-24T09:45:00"/>
    <d v="2024-01-24T12:56:00"/>
    <n v="169"/>
    <n v="191"/>
    <n v="1"/>
    <s v="Level 2"/>
    <n v="9"/>
    <n v="319.04000000000002"/>
  </r>
  <r>
    <s v="WF_540"/>
    <x v="4"/>
    <x v="539"/>
    <s v="Approval"/>
    <s v="Low"/>
    <s v="HR"/>
    <s v="EMP_2"/>
    <d v="2024-11-09T02:31:00"/>
    <d v="2024-11-09T03:04:00"/>
    <n v="25"/>
    <n v="33"/>
    <n v="1"/>
    <s v="Level 2"/>
    <n v="9"/>
    <n v="136.33000000000001"/>
  </r>
  <r>
    <s v="WF_541"/>
    <x v="1"/>
    <x v="540"/>
    <s v="Approval"/>
    <s v="Critical"/>
    <s v="Operations"/>
    <s v="EMP_112"/>
    <d v="2024-12-16T10:47:00"/>
    <d v="2024-12-16T13:48:00"/>
    <n v="131"/>
    <n v="181"/>
    <n v="1"/>
    <s v="Level 1"/>
    <n v="1"/>
    <n v="348.38"/>
  </r>
  <r>
    <s v="WF_542"/>
    <x v="2"/>
    <x v="541"/>
    <s v="Review"/>
    <s v="Low"/>
    <s v="Finance"/>
    <s v="EMP_6"/>
    <d v="2024-12-11T16:21:00"/>
    <d v="2024-12-11T21:04:00"/>
    <n v="214"/>
    <n v="283"/>
    <n v="1"/>
    <s v="Level 1"/>
    <n v="6"/>
    <n v="493.36"/>
  </r>
  <r>
    <s v="WF_543"/>
    <x v="2"/>
    <x v="542"/>
    <s v="Data Entry"/>
    <s v="Critical"/>
    <s v="Finance"/>
    <s v="EMP_81"/>
    <d v="2024-10-13T02:28:00"/>
    <d v="2024-10-13T04:00:00"/>
    <n v="62"/>
    <n v="92"/>
    <n v="1"/>
    <s v="Level 2"/>
    <n v="8"/>
    <n v="209.19"/>
  </r>
  <r>
    <s v="WF_544"/>
    <x v="4"/>
    <x v="543"/>
    <s v="Review"/>
    <s v="High"/>
    <s v="Operations"/>
    <s v="EMP_20"/>
    <d v="2024-01-13T07:12:00"/>
    <d v="2024-01-13T11:01:00"/>
    <n v="167"/>
    <n v="229"/>
    <n v="1"/>
    <s v="Level 2"/>
    <n v="10"/>
    <n v="254.16"/>
  </r>
  <r>
    <s v="WF_545"/>
    <x v="2"/>
    <x v="544"/>
    <s v="Approval"/>
    <s v="Low"/>
    <s v="Customer Service"/>
    <s v="EMP_26"/>
    <d v="2024-07-08T13:31:00"/>
    <d v="2024-07-08T18:45:00"/>
    <n v="200"/>
    <n v="314"/>
    <n v="1"/>
    <s v="Level 2"/>
    <n v="9"/>
    <n v="221.68"/>
  </r>
  <r>
    <s v="WF_546"/>
    <x v="4"/>
    <x v="545"/>
    <s v="Approval"/>
    <s v="High"/>
    <s v="HR"/>
    <s v="EMP_41"/>
    <d v="2024-11-20T21:30:00"/>
    <d v="2024-11-21T00:53:00"/>
    <n v="84"/>
    <n v="203"/>
    <n v="1"/>
    <s v="Level 2"/>
    <n v="3"/>
    <n v="315.68"/>
  </r>
  <r>
    <s v="WF_547"/>
    <x v="3"/>
    <x v="546"/>
    <s v="Review"/>
    <s v="Critical"/>
    <s v="Finance"/>
    <s v="EMP_6"/>
    <d v="2024-06-30T01:09:00"/>
    <d v="2024-06-30T04:25:00"/>
    <n v="130"/>
    <n v="196"/>
    <n v="1"/>
    <s v="Level 3"/>
    <n v="10"/>
    <n v="151.75"/>
  </r>
  <r>
    <s v="WF_548"/>
    <x v="3"/>
    <x v="547"/>
    <s v="Data Entry"/>
    <s v="High"/>
    <s v="Operations"/>
    <s v="EMP_123"/>
    <d v="2024-11-27T05:31:00"/>
    <d v="2024-11-27T07:09:00"/>
    <n v="29"/>
    <n v="98"/>
    <n v="1"/>
    <s v="Level 1"/>
    <n v="9"/>
    <n v="141.12"/>
  </r>
  <r>
    <s v="WF_549"/>
    <x v="4"/>
    <x v="548"/>
    <s v="Escalation"/>
    <s v="Medium"/>
    <s v="HR"/>
    <s v="EMP_65"/>
    <d v="2024-04-14T11:57:00"/>
    <d v="2024-04-14T17:01:00"/>
    <n v="186"/>
    <n v="304"/>
    <n v="1"/>
    <s v="Level 2"/>
    <n v="8"/>
    <n v="380.25"/>
  </r>
  <r>
    <s v="WF_550"/>
    <x v="1"/>
    <x v="549"/>
    <s v="Escalation"/>
    <s v="High"/>
    <s v="Customer Service"/>
    <s v="EMP_130"/>
    <d v="2024-07-16T04:14:00"/>
    <d v="2024-07-16T05:14:00"/>
    <n v="46"/>
    <n v="60"/>
    <n v="1"/>
    <s v="Level 1"/>
    <n v="1"/>
    <n v="233.59"/>
  </r>
  <r>
    <s v="WF_551"/>
    <x v="3"/>
    <x v="550"/>
    <s v="Data Entry"/>
    <s v="High"/>
    <s v="HR"/>
    <s v="EMP_30"/>
    <d v="2024-08-04T17:22:00"/>
    <d v="2024-08-04T18:16:00"/>
    <n v="39"/>
    <n v="54"/>
    <n v="1"/>
    <s v="Level 1"/>
    <n v="8"/>
    <n v="406.78"/>
  </r>
  <r>
    <s v="WF_552"/>
    <x v="3"/>
    <x v="551"/>
    <s v="Data Entry"/>
    <s v="Medium"/>
    <s v="Customer Service"/>
    <s v="EMP_131"/>
    <d v="2024-07-23T23:11:00"/>
    <d v="2024-07-24T02:55:00"/>
    <n v="142"/>
    <n v="224"/>
    <n v="1"/>
    <s v="Level 1"/>
    <n v="4"/>
    <n v="158.01"/>
  </r>
  <r>
    <s v="WF_553"/>
    <x v="1"/>
    <x v="552"/>
    <s v="Review"/>
    <s v="Medium"/>
    <s v="IT"/>
    <s v="EMP_42"/>
    <d v="2024-09-26T23:17:00"/>
    <d v="2024-09-26T23:57:00"/>
    <n v="32"/>
    <n v="40"/>
    <n v="1"/>
    <s v="Level 2"/>
    <n v="4"/>
    <n v="497.08"/>
  </r>
  <r>
    <s v="WF_554"/>
    <x v="1"/>
    <x v="553"/>
    <s v="Approval"/>
    <s v="Critical"/>
    <s v="Operations"/>
    <s v="EMP_25"/>
    <d v="2024-08-15T05:16:00"/>
    <d v="2024-08-15T06:55:00"/>
    <n v="37"/>
    <n v="99"/>
    <n v="1"/>
    <s v="Level 2"/>
    <n v="8"/>
    <n v="469.32"/>
  </r>
  <r>
    <s v="WF_555"/>
    <x v="3"/>
    <x v="554"/>
    <s v="Approval"/>
    <s v="High"/>
    <s v="Finance"/>
    <s v="EMP_86"/>
    <d v="2024-02-06T08:58:00"/>
    <d v="2024-02-06T10:28:00"/>
    <n v="46"/>
    <n v="90"/>
    <n v="1"/>
    <s v="Level 3"/>
    <n v="2"/>
    <n v="224.29"/>
  </r>
  <r>
    <s v="WF_556"/>
    <x v="0"/>
    <x v="555"/>
    <s v="Validation"/>
    <s v="High"/>
    <s v="Customer Service"/>
    <s v="EMP_87"/>
    <d v="2024-08-30T05:58:00"/>
    <d v="2024-08-30T10:05:00"/>
    <n v="184"/>
    <n v="247"/>
    <n v="1"/>
    <s v="Level 1"/>
    <n v="8"/>
    <n v="163.63999999999999"/>
  </r>
  <r>
    <s v="WF_557"/>
    <x v="0"/>
    <x v="556"/>
    <s v="Data Entry"/>
    <s v="Low"/>
    <s v="Finance"/>
    <s v="EMP_97"/>
    <d v="2024-02-21T18:01:00"/>
    <d v="2024-02-21T23:43:00"/>
    <n v="232"/>
    <n v="342"/>
    <n v="1"/>
    <s v="Level 1"/>
    <n v="5"/>
    <n v="95.83"/>
  </r>
  <r>
    <s v="WF_558"/>
    <x v="1"/>
    <x v="557"/>
    <s v="Validation"/>
    <s v="Medium"/>
    <s v="IT"/>
    <s v="EMP_118"/>
    <d v="2024-04-24T18:36:00"/>
    <d v="2024-04-24T23:11:00"/>
    <n v="225"/>
    <n v="275"/>
    <n v="1"/>
    <s v="Level 2"/>
    <n v="4"/>
    <n v="474.91"/>
  </r>
  <r>
    <s v="WF_559"/>
    <x v="2"/>
    <x v="558"/>
    <s v="Validation"/>
    <s v="Critical"/>
    <s v="Finance"/>
    <s v="EMP_119"/>
    <d v="2024-08-21T23:32:00"/>
    <d v="2024-08-22T03:02:00"/>
    <n v="90"/>
    <n v="210"/>
    <n v="1"/>
    <s v="Level 3"/>
    <n v="6"/>
    <n v="487.57"/>
  </r>
  <r>
    <s v="WF_560"/>
    <x v="4"/>
    <x v="559"/>
    <s v="Escalation"/>
    <s v="Low"/>
    <s v="HR"/>
    <s v="EMP_117"/>
    <d v="2024-05-30T09:22:00"/>
    <d v="2024-05-30T13:09:00"/>
    <n v="210"/>
    <n v="227"/>
    <n v="1"/>
    <s v="Level 1"/>
    <n v="5"/>
    <n v="386.32"/>
  </r>
  <r>
    <s v="WF_561"/>
    <x v="0"/>
    <x v="560"/>
    <s v="Escalation"/>
    <s v="Medium"/>
    <s v="Finance"/>
    <s v="EMP_23"/>
    <d v="2024-03-08T05:17:00"/>
    <d v="2024-03-08T09:54:00"/>
    <n v="219"/>
    <n v="277"/>
    <n v="1"/>
    <s v="Level 2"/>
    <n v="1"/>
    <n v="289.35000000000002"/>
  </r>
  <r>
    <s v="WF_562"/>
    <x v="3"/>
    <x v="561"/>
    <s v="Approval"/>
    <s v="Medium"/>
    <s v="HR"/>
    <s v="EMP_71"/>
    <d v="2024-10-24T15:42:00"/>
    <d v="2024-10-24T18:33:00"/>
    <n v="163"/>
    <n v="171"/>
    <n v="1"/>
    <s v="Level 3"/>
    <n v="2"/>
    <n v="84.55"/>
  </r>
  <r>
    <s v="WF_563"/>
    <x v="1"/>
    <x v="562"/>
    <s v="Validation"/>
    <s v="Critical"/>
    <s v="Operations"/>
    <s v="EMP_14"/>
    <d v="2024-09-15T15:44:00"/>
    <d v="2024-09-15T16:10:00"/>
    <n v="25"/>
    <n v="26"/>
    <n v="1"/>
    <s v="Level 3"/>
    <n v="4"/>
    <n v="201.43"/>
  </r>
  <r>
    <s v="WF_564"/>
    <x v="4"/>
    <x v="563"/>
    <s v="Review"/>
    <s v="High"/>
    <s v="HR"/>
    <s v="EMP_67"/>
    <d v="2024-09-23T08:00:00"/>
    <d v="2024-09-23T09:52:00"/>
    <n v="85"/>
    <n v="112"/>
    <n v="1"/>
    <s v="Level 1"/>
    <n v="4"/>
    <n v="417.24"/>
  </r>
  <r>
    <s v="WF_565"/>
    <x v="2"/>
    <x v="564"/>
    <s v="Validation"/>
    <s v="Critical"/>
    <s v="HR"/>
    <s v="EMP_13"/>
    <d v="2024-01-20T03:18:00"/>
    <d v="2024-01-20T07:44:00"/>
    <n v="196"/>
    <n v="266"/>
    <n v="1"/>
    <s v="Level 2"/>
    <n v="2"/>
    <n v="250.89"/>
  </r>
  <r>
    <s v="WF_566"/>
    <x v="2"/>
    <x v="565"/>
    <s v="Data Entry"/>
    <s v="Critical"/>
    <s v="HR"/>
    <s v="EMP_106"/>
    <d v="2024-11-19T23:45:00"/>
    <d v="2024-11-20T02:24:00"/>
    <n v="138"/>
    <n v="159"/>
    <n v="1"/>
    <s v="Level 1"/>
    <n v="7"/>
    <n v="312.23"/>
  </r>
  <r>
    <s v="WF_567"/>
    <x v="3"/>
    <x v="566"/>
    <s v="Escalation"/>
    <s v="Low"/>
    <s v="Operations"/>
    <s v="EMP_135"/>
    <d v="2024-03-05T09:31:00"/>
    <d v="2024-03-05T10:21:00"/>
    <n v="52"/>
    <n v="50"/>
    <n v="0"/>
    <s v="Level 2"/>
    <n v="7"/>
    <n v="142.15"/>
  </r>
  <r>
    <s v="WF_568"/>
    <x v="0"/>
    <x v="567"/>
    <s v="Escalation"/>
    <s v="Critical"/>
    <s v="Operations"/>
    <s v="EMP_5"/>
    <d v="2024-12-08T02:06:00"/>
    <d v="2024-12-08T05:30:00"/>
    <n v="115"/>
    <n v="204"/>
    <n v="1"/>
    <s v="Level 3"/>
    <n v="2"/>
    <n v="374.8"/>
  </r>
  <r>
    <s v="WF_569"/>
    <x v="0"/>
    <x v="568"/>
    <s v="Validation"/>
    <s v="Critical"/>
    <s v="Finance"/>
    <s v="EMP_95"/>
    <d v="2024-06-13T03:17:00"/>
    <d v="2024-06-13T07:25:00"/>
    <n v="137"/>
    <n v="248"/>
    <n v="1"/>
    <s v="Level 2"/>
    <n v="7"/>
    <n v="443.2"/>
  </r>
  <r>
    <s v="WF_570"/>
    <x v="2"/>
    <x v="569"/>
    <s v="Approval"/>
    <s v="Medium"/>
    <s v="Operations"/>
    <s v="EMP_32"/>
    <d v="2024-03-16T15:02:00"/>
    <d v="2024-03-16T18:58:00"/>
    <n v="236"/>
    <n v="236"/>
    <n v="0"/>
    <s v="Level 2"/>
    <n v="2"/>
    <n v="275.24"/>
  </r>
  <r>
    <s v="WF_571"/>
    <x v="3"/>
    <x v="570"/>
    <s v="Approval"/>
    <s v="High"/>
    <s v="Customer Service"/>
    <s v="EMP_103"/>
    <d v="2024-05-29T13:06:00"/>
    <d v="2024-05-29T18:17:00"/>
    <n v="207"/>
    <n v="311"/>
    <n v="1"/>
    <s v="Level 2"/>
    <n v="1"/>
    <n v="406.84"/>
  </r>
  <r>
    <s v="WF_572"/>
    <x v="1"/>
    <x v="571"/>
    <s v="Escalation"/>
    <s v="Low"/>
    <s v="IT"/>
    <s v="EMP_117"/>
    <d v="2024-03-04T01:42:00"/>
    <d v="2024-03-04T03:12:00"/>
    <n v="61"/>
    <n v="90"/>
    <n v="1"/>
    <s v="Level 3"/>
    <n v="8"/>
    <n v="306.74"/>
  </r>
  <r>
    <s v="WF_573"/>
    <x v="2"/>
    <x v="572"/>
    <s v="Data Entry"/>
    <s v="Critical"/>
    <s v="Finance"/>
    <s v="EMP_93"/>
    <d v="2024-12-21T20:57:00"/>
    <d v="2024-12-22T01:08:00"/>
    <n v="218"/>
    <n v="251"/>
    <n v="1"/>
    <s v="Level 1"/>
    <n v="2"/>
    <n v="89.47"/>
  </r>
  <r>
    <s v="WF_574"/>
    <x v="2"/>
    <x v="573"/>
    <s v="Review"/>
    <s v="High"/>
    <s v="HR"/>
    <s v="EMP_137"/>
    <d v="2024-07-06T17:22:00"/>
    <d v="2024-07-06T20:35:00"/>
    <n v="117"/>
    <n v="193"/>
    <n v="1"/>
    <s v="Level 1"/>
    <n v="8"/>
    <n v="200.29"/>
  </r>
  <r>
    <s v="WF_575"/>
    <x v="1"/>
    <x v="574"/>
    <s v="Validation"/>
    <s v="High"/>
    <s v="Customer Service"/>
    <s v="EMP_36"/>
    <d v="2024-04-06T21:53:00"/>
    <d v="2024-04-07T00:44:00"/>
    <n v="53"/>
    <n v="171"/>
    <n v="1"/>
    <s v="Level 2"/>
    <n v="9"/>
    <n v="423.19"/>
  </r>
  <r>
    <s v="WF_576"/>
    <x v="4"/>
    <x v="575"/>
    <s v="Data Entry"/>
    <s v="High"/>
    <s v="Customer Service"/>
    <s v="EMP_73"/>
    <d v="2024-06-06T04:04:00"/>
    <d v="2024-06-06T08:19:00"/>
    <n v="162"/>
    <n v="255"/>
    <n v="1"/>
    <s v="Level 3"/>
    <n v="4"/>
    <n v="428.62"/>
  </r>
  <r>
    <s v="WF_577"/>
    <x v="4"/>
    <x v="576"/>
    <s v="Validation"/>
    <s v="Low"/>
    <s v="Operations"/>
    <s v="EMP_42"/>
    <d v="2024-12-24T07:49:00"/>
    <d v="2024-12-24T13:07:00"/>
    <n v="199"/>
    <n v="318"/>
    <n v="1"/>
    <s v="Level 2"/>
    <n v="8"/>
    <n v="392.57"/>
  </r>
  <r>
    <s v="WF_578"/>
    <x v="0"/>
    <x v="577"/>
    <s v="Validation"/>
    <s v="Critical"/>
    <s v="Customer Service"/>
    <s v="EMP_113"/>
    <d v="2024-10-15T08:40:00"/>
    <d v="2024-10-15T10:39:00"/>
    <n v="112"/>
    <n v="119"/>
    <n v="1"/>
    <s v="Level 1"/>
    <n v="5"/>
    <n v="381.42"/>
  </r>
  <r>
    <s v="WF_579"/>
    <x v="2"/>
    <x v="578"/>
    <s v="Review"/>
    <s v="Critical"/>
    <s v="IT"/>
    <s v="EMP_17"/>
    <d v="2024-11-21T17:11:00"/>
    <d v="2024-11-21T18:51:00"/>
    <n v="14"/>
    <n v="100"/>
    <n v="1"/>
    <s v="Level 1"/>
    <n v="10"/>
    <n v="262.89999999999998"/>
  </r>
  <r>
    <s v="WF_580"/>
    <x v="4"/>
    <x v="579"/>
    <s v="Validation"/>
    <s v="Medium"/>
    <s v="HR"/>
    <s v="EMP_20"/>
    <d v="2024-09-30T08:57:00"/>
    <d v="2024-09-30T10:33:00"/>
    <n v="15"/>
    <n v="96"/>
    <n v="1"/>
    <s v="Level 3"/>
    <n v="7"/>
    <n v="222.89"/>
  </r>
  <r>
    <s v="WF_581"/>
    <x v="3"/>
    <x v="580"/>
    <s v="Escalation"/>
    <s v="Medium"/>
    <s v="Finance"/>
    <s v="EMP_67"/>
    <d v="2024-10-18T11:02:00"/>
    <d v="2024-10-18T13:06:00"/>
    <n v="40"/>
    <n v="124"/>
    <n v="1"/>
    <s v="Level 2"/>
    <n v="10"/>
    <n v="477.26"/>
  </r>
  <r>
    <s v="WF_582"/>
    <x v="0"/>
    <x v="581"/>
    <s v="Validation"/>
    <s v="High"/>
    <s v="HR"/>
    <s v="EMP_60"/>
    <d v="2024-07-12T20:37:00"/>
    <d v="2024-07-12T21:04:00"/>
    <n v="20"/>
    <n v="27"/>
    <n v="1"/>
    <s v="Level 2"/>
    <n v="8"/>
    <n v="81.680000000000007"/>
  </r>
  <r>
    <s v="WF_583"/>
    <x v="0"/>
    <x v="582"/>
    <s v="Escalation"/>
    <s v="Low"/>
    <s v="Operations"/>
    <s v="EMP_76"/>
    <d v="2024-06-04T01:02:00"/>
    <d v="2024-06-04T04:03:00"/>
    <n v="170"/>
    <n v="181"/>
    <n v="1"/>
    <s v="Level 3"/>
    <n v="8"/>
    <n v="330.56"/>
  </r>
  <r>
    <s v="WF_584"/>
    <x v="0"/>
    <x v="583"/>
    <s v="Approval"/>
    <s v="High"/>
    <s v="HR"/>
    <s v="EMP_5"/>
    <d v="2024-10-02T20:45:00"/>
    <d v="2024-10-03T00:22:00"/>
    <n v="161"/>
    <n v="217"/>
    <n v="1"/>
    <s v="Level 2"/>
    <n v="5"/>
    <n v="171.15"/>
  </r>
  <r>
    <s v="WF_585"/>
    <x v="4"/>
    <x v="584"/>
    <s v="Validation"/>
    <s v="High"/>
    <s v="HR"/>
    <s v="EMP_111"/>
    <d v="2024-05-04T15:47:00"/>
    <d v="2024-05-04T19:51:00"/>
    <n v="220"/>
    <n v="244"/>
    <n v="1"/>
    <s v="Level 2"/>
    <n v="9"/>
    <n v="355.13"/>
  </r>
  <r>
    <s v="WF_586"/>
    <x v="4"/>
    <x v="585"/>
    <s v="Escalation"/>
    <s v="High"/>
    <s v="IT"/>
    <s v="EMP_72"/>
    <d v="2024-05-16T18:13:00"/>
    <d v="2024-05-16T19:33:00"/>
    <n v="17"/>
    <n v="80"/>
    <n v="1"/>
    <s v="Level 3"/>
    <n v="7"/>
    <n v="362.08"/>
  </r>
  <r>
    <s v="WF_587"/>
    <x v="0"/>
    <x v="586"/>
    <s v="Escalation"/>
    <s v="Low"/>
    <s v="Finance"/>
    <s v="EMP_28"/>
    <d v="2024-07-15T17:55:00"/>
    <d v="2024-07-15T22:23:00"/>
    <n v="156"/>
    <n v="268"/>
    <n v="1"/>
    <s v="Level 3"/>
    <n v="9"/>
    <n v="82.4"/>
  </r>
  <r>
    <s v="WF_588"/>
    <x v="0"/>
    <x v="587"/>
    <s v="Review"/>
    <s v="Low"/>
    <s v="Finance"/>
    <s v="EMP_47"/>
    <d v="2024-02-22T19:24:00"/>
    <d v="2024-02-22T21:43:00"/>
    <n v="34"/>
    <n v="139"/>
    <n v="1"/>
    <s v="Level 3"/>
    <n v="3"/>
    <n v="266.87"/>
  </r>
  <r>
    <s v="WF_589"/>
    <x v="0"/>
    <x v="588"/>
    <s v="Validation"/>
    <s v="High"/>
    <s v="Customer Service"/>
    <s v="EMP_33"/>
    <d v="2024-11-25T15:26:00"/>
    <d v="2024-11-25T17:42:00"/>
    <n v="135"/>
    <n v="136"/>
    <n v="1"/>
    <s v="Level 2"/>
    <n v="8"/>
    <n v="231.55"/>
  </r>
  <r>
    <s v="WF_590"/>
    <x v="4"/>
    <x v="589"/>
    <s v="Approval"/>
    <s v="Critical"/>
    <s v="HR"/>
    <s v="EMP_25"/>
    <d v="2024-07-31T05:39:00"/>
    <d v="2024-07-31T07:34:00"/>
    <n v="70"/>
    <n v="115"/>
    <n v="1"/>
    <s v="Level 3"/>
    <n v="3"/>
    <n v="290.88"/>
  </r>
  <r>
    <s v="WF_591"/>
    <x v="1"/>
    <x v="590"/>
    <s v="Approval"/>
    <s v="Medium"/>
    <s v="HR"/>
    <s v="EMP_128"/>
    <d v="2024-10-28T01:42:00"/>
    <d v="2024-10-28T06:55:00"/>
    <n v="208"/>
    <n v="313"/>
    <n v="1"/>
    <s v="Level 2"/>
    <n v="2"/>
    <n v="497.59"/>
  </r>
  <r>
    <s v="WF_592"/>
    <x v="1"/>
    <x v="591"/>
    <s v="Validation"/>
    <s v="Low"/>
    <s v="Finance"/>
    <s v="EMP_132"/>
    <d v="2024-09-13T20:32:00"/>
    <d v="2024-09-13T23:05:00"/>
    <n v="117"/>
    <n v="153"/>
    <n v="1"/>
    <s v="Level 2"/>
    <n v="6"/>
    <n v="375.13"/>
  </r>
  <r>
    <s v="WF_593"/>
    <x v="1"/>
    <x v="592"/>
    <s v="Data Entry"/>
    <s v="Low"/>
    <s v="IT"/>
    <s v="EMP_25"/>
    <d v="2024-02-01T04:03:00"/>
    <d v="2024-02-01T07:45:00"/>
    <n v="117"/>
    <n v="222"/>
    <n v="1"/>
    <s v="Level 2"/>
    <n v="7"/>
    <n v="290.39"/>
  </r>
  <r>
    <s v="WF_594"/>
    <x v="0"/>
    <x v="593"/>
    <s v="Approval"/>
    <s v="Low"/>
    <s v="Finance"/>
    <s v="EMP_8"/>
    <d v="2024-02-19T21:31:00"/>
    <d v="2024-02-20T01:13:00"/>
    <n v="212"/>
    <n v="222"/>
    <n v="1"/>
    <s v="Level 2"/>
    <n v="8"/>
    <n v="461.85"/>
  </r>
  <r>
    <s v="WF_595"/>
    <x v="0"/>
    <x v="594"/>
    <s v="Review"/>
    <s v="Low"/>
    <s v="IT"/>
    <s v="EMP_66"/>
    <d v="2024-06-28T11:38:00"/>
    <d v="2024-06-28T13:44:00"/>
    <n v="59"/>
    <n v="126"/>
    <n v="1"/>
    <s v="Level 1"/>
    <n v="6"/>
    <n v="216.76"/>
  </r>
  <r>
    <s v="WF_596"/>
    <x v="2"/>
    <x v="595"/>
    <s v="Data Entry"/>
    <s v="Low"/>
    <s v="Customer Service"/>
    <s v="EMP_8"/>
    <d v="2024-01-29T13:46:00"/>
    <d v="2024-01-29T14:17:00"/>
    <n v="21"/>
    <n v="31"/>
    <n v="1"/>
    <s v="Level 2"/>
    <n v="5"/>
    <n v="253.72"/>
  </r>
  <r>
    <s v="WF_597"/>
    <x v="4"/>
    <x v="596"/>
    <s v="Approval"/>
    <s v="Low"/>
    <s v="Operations"/>
    <s v="EMP_33"/>
    <d v="2024-03-17T16:21:00"/>
    <d v="2024-03-17T19:34:00"/>
    <n v="132"/>
    <n v="193"/>
    <n v="1"/>
    <s v="Level 1"/>
    <n v="5"/>
    <n v="301.41000000000003"/>
  </r>
  <r>
    <s v="WF_598"/>
    <x v="1"/>
    <x v="597"/>
    <s v="Review"/>
    <s v="High"/>
    <s v="Customer Service"/>
    <s v="EMP_18"/>
    <d v="2024-11-21T02:13:00"/>
    <d v="2024-11-21T07:19:00"/>
    <n v="239"/>
    <n v="306"/>
    <n v="1"/>
    <s v="Level 1"/>
    <n v="4"/>
    <n v="54.07"/>
  </r>
  <r>
    <s v="WF_599"/>
    <x v="1"/>
    <x v="598"/>
    <s v="Data Entry"/>
    <s v="Medium"/>
    <s v="Finance"/>
    <s v="EMP_115"/>
    <d v="2024-06-28T00:29:00"/>
    <d v="2024-06-28T01:02:00"/>
    <n v="13"/>
    <n v="33"/>
    <n v="1"/>
    <s v="Level 3"/>
    <n v="10"/>
    <n v="499.71"/>
  </r>
  <r>
    <s v="WF_600"/>
    <x v="4"/>
    <x v="599"/>
    <s v="Validation"/>
    <s v="Medium"/>
    <s v="Finance"/>
    <s v="EMP_116"/>
    <d v="2024-11-13T04:35:00"/>
    <d v="2024-11-13T08:52:00"/>
    <n v="229"/>
    <n v="257"/>
    <n v="1"/>
    <s v="Level 1"/>
    <n v="8"/>
    <n v="405.75"/>
  </r>
  <r>
    <s v="WF_601"/>
    <x v="1"/>
    <x v="600"/>
    <s v="Approval"/>
    <s v="Low"/>
    <s v="Customer Service"/>
    <s v="EMP_36"/>
    <d v="2024-07-15T14:34:00"/>
    <d v="2024-07-15T18:35:00"/>
    <n v="136"/>
    <n v="241"/>
    <n v="1"/>
    <s v="Level 3"/>
    <n v="1"/>
    <n v="296.29000000000002"/>
  </r>
  <r>
    <s v="WF_602"/>
    <x v="2"/>
    <x v="601"/>
    <s v="Approval"/>
    <s v="Medium"/>
    <s v="IT"/>
    <s v="EMP_56"/>
    <d v="2024-06-25T21:03:00"/>
    <d v="2024-06-25T21:35:00"/>
    <n v="29"/>
    <n v="32"/>
    <n v="1"/>
    <s v="Level 2"/>
    <n v="1"/>
    <n v="75.239999999999995"/>
  </r>
  <r>
    <s v="WF_603"/>
    <x v="4"/>
    <x v="602"/>
    <s v="Data Entry"/>
    <s v="Critical"/>
    <s v="Finance"/>
    <s v="EMP_83"/>
    <d v="2024-08-03T23:03:00"/>
    <d v="2024-08-04T01:16:00"/>
    <n v="100"/>
    <n v="133"/>
    <n v="1"/>
    <s v="Level 2"/>
    <n v="2"/>
    <n v="257.22000000000003"/>
  </r>
  <r>
    <s v="WF_604"/>
    <x v="4"/>
    <x v="603"/>
    <s v="Data Entry"/>
    <s v="High"/>
    <s v="Customer Service"/>
    <s v="EMP_28"/>
    <d v="2024-06-24T17:19:00"/>
    <d v="2024-06-24T20:33:00"/>
    <n v="89"/>
    <n v="194"/>
    <n v="1"/>
    <s v="Level 1"/>
    <n v="8"/>
    <n v="224.65"/>
  </r>
  <r>
    <s v="WF_605"/>
    <x v="0"/>
    <x v="604"/>
    <s v="Escalation"/>
    <s v="Medium"/>
    <s v="IT"/>
    <s v="EMP_68"/>
    <d v="2024-05-15T10:42:00"/>
    <d v="2024-05-15T15:05:00"/>
    <n v="180"/>
    <n v="263"/>
    <n v="1"/>
    <s v="Level 1"/>
    <n v="10"/>
    <n v="373.11"/>
  </r>
  <r>
    <s v="WF_606"/>
    <x v="1"/>
    <x v="605"/>
    <s v="Review"/>
    <s v="High"/>
    <s v="HR"/>
    <s v="EMP_90"/>
    <d v="2024-10-01T14:53:00"/>
    <d v="2024-10-01T17:11:00"/>
    <n v="59"/>
    <n v="138"/>
    <n v="1"/>
    <s v="Level 2"/>
    <n v="4"/>
    <n v="285.63"/>
  </r>
  <r>
    <s v="WF_607"/>
    <x v="1"/>
    <x v="606"/>
    <s v="Validation"/>
    <s v="Critical"/>
    <s v="Finance"/>
    <s v="EMP_114"/>
    <d v="2024-11-03T23:17:00"/>
    <d v="2024-11-04T01:26:00"/>
    <n v="34"/>
    <n v="129"/>
    <n v="1"/>
    <s v="Level 2"/>
    <n v="6"/>
    <n v="481.7"/>
  </r>
  <r>
    <s v="WF_608"/>
    <x v="2"/>
    <x v="607"/>
    <s v="Data Entry"/>
    <s v="Low"/>
    <s v="Finance"/>
    <s v="EMP_122"/>
    <d v="2024-03-22T11:27:00"/>
    <d v="2024-03-22T13:56:00"/>
    <n v="74"/>
    <n v="149"/>
    <n v="1"/>
    <s v="Level 1"/>
    <n v="10"/>
    <n v="345.59"/>
  </r>
  <r>
    <s v="WF_609"/>
    <x v="3"/>
    <x v="608"/>
    <s v="Validation"/>
    <s v="Critical"/>
    <s v="IT"/>
    <s v="EMP_29"/>
    <d v="2024-10-26T15:51:00"/>
    <d v="2024-10-26T18:21:00"/>
    <n v="34"/>
    <n v="150"/>
    <n v="1"/>
    <s v="Level 2"/>
    <n v="3"/>
    <n v="149.74"/>
  </r>
  <r>
    <s v="WF_610"/>
    <x v="0"/>
    <x v="609"/>
    <s v="Escalation"/>
    <s v="Critical"/>
    <s v="HR"/>
    <s v="EMP_29"/>
    <d v="2024-12-23T18:46:00"/>
    <d v="2024-12-23T21:48:00"/>
    <n v="130"/>
    <n v="182"/>
    <n v="1"/>
    <s v="Level 1"/>
    <n v="5"/>
    <n v="234.96"/>
  </r>
  <r>
    <s v="WF_611"/>
    <x v="3"/>
    <x v="610"/>
    <s v="Data Entry"/>
    <s v="Low"/>
    <s v="HR"/>
    <s v="EMP_94"/>
    <d v="2024-10-07T06:34:00"/>
    <d v="2024-10-07T07:55:00"/>
    <n v="54"/>
    <n v="81"/>
    <n v="1"/>
    <s v="Level 1"/>
    <n v="3"/>
    <n v="256.47000000000003"/>
  </r>
  <r>
    <s v="WF_612"/>
    <x v="2"/>
    <x v="611"/>
    <s v="Approval"/>
    <s v="Medium"/>
    <s v="Operations"/>
    <s v="EMP_87"/>
    <d v="2024-08-22T19:38:00"/>
    <d v="2024-08-22T21:15:00"/>
    <n v="12"/>
    <n v="97"/>
    <n v="1"/>
    <s v="Level 3"/>
    <n v="7"/>
    <n v="301.06"/>
  </r>
  <r>
    <s v="WF_613"/>
    <x v="4"/>
    <x v="612"/>
    <s v="Approval"/>
    <s v="Medium"/>
    <s v="IT"/>
    <s v="EMP_13"/>
    <d v="2024-03-08T22:48:00"/>
    <d v="2024-03-09T03:18:00"/>
    <n v="181"/>
    <n v="270"/>
    <n v="1"/>
    <s v="Level 3"/>
    <n v="2"/>
    <n v="107.09"/>
  </r>
  <r>
    <s v="WF_614"/>
    <x v="1"/>
    <x v="613"/>
    <s v="Review"/>
    <s v="Medium"/>
    <s v="Customer Service"/>
    <s v="EMP_74"/>
    <d v="2024-09-25T17:51:00"/>
    <d v="2024-09-25T22:10:00"/>
    <n v="187"/>
    <n v="259"/>
    <n v="1"/>
    <s v="Level 3"/>
    <n v="1"/>
    <n v="268.55"/>
  </r>
  <r>
    <s v="WF_615"/>
    <x v="0"/>
    <x v="614"/>
    <s v="Data Entry"/>
    <s v="High"/>
    <s v="HR"/>
    <s v="EMP_79"/>
    <d v="2024-07-03T16:50:00"/>
    <d v="2024-07-03T19:19:00"/>
    <n v="83"/>
    <n v="149"/>
    <n v="1"/>
    <s v="Level 3"/>
    <n v="10"/>
    <n v="332.56"/>
  </r>
  <r>
    <s v="WF_616"/>
    <x v="0"/>
    <x v="615"/>
    <s v="Approval"/>
    <s v="Medium"/>
    <s v="HR"/>
    <s v="EMP_12"/>
    <d v="2024-03-20T06:27:00"/>
    <d v="2024-03-20T11:21:00"/>
    <n v="175"/>
    <n v="294"/>
    <n v="1"/>
    <s v="Level 2"/>
    <n v="1"/>
    <n v="336"/>
  </r>
  <r>
    <s v="WF_617"/>
    <x v="1"/>
    <x v="616"/>
    <s v="Approval"/>
    <s v="Low"/>
    <s v="Customer Service"/>
    <s v="EMP_118"/>
    <d v="2024-09-12T00:24:00"/>
    <d v="2024-09-12T01:15:00"/>
    <n v="20"/>
    <n v="51"/>
    <n v="1"/>
    <s v="Level 1"/>
    <n v="3"/>
    <n v="436.97"/>
  </r>
  <r>
    <s v="WF_618"/>
    <x v="4"/>
    <x v="617"/>
    <s v="Escalation"/>
    <s v="Low"/>
    <s v="Finance"/>
    <s v="EMP_117"/>
    <d v="2024-08-26T22:31:00"/>
    <d v="2024-08-27T01:32:00"/>
    <n v="179"/>
    <n v="181"/>
    <n v="1"/>
    <s v="Level 3"/>
    <n v="10"/>
    <n v="361.75"/>
  </r>
  <r>
    <s v="WF_619"/>
    <x v="1"/>
    <x v="618"/>
    <s v="Approval"/>
    <s v="Low"/>
    <s v="Customer Service"/>
    <s v="EMP_44"/>
    <d v="2024-01-12T12:57:00"/>
    <d v="2024-01-12T17:16:00"/>
    <n v="193"/>
    <n v="259"/>
    <n v="1"/>
    <s v="Level 3"/>
    <n v="4"/>
    <n v="314.60000000000002"/>
  </r>
  <r>
    <s v="WF_620"/>
    <x v="2"/>
    <x v="619"/>
    <s v="Data Entry"/>
    <s v="Critical"/>
    <s v="IT"/>
    <s v="EMP_118"/>
    <d v="2024-12-30T23:07:00"/>
    <d v="2024-12-31T02:04:00"/>
    <n v="169"/>
    <n v="177"/>
    <n v="1"/>
    <s v="Level 1"/>
    <n v="7"/>
    <n v="370.21"/>
  </r>
  <r>
    <s v="WF_621"/>
    <x v="4"/>
    <x v="620"/>
    <s v="Approval"/>
    <s v="Medium"/>
    <s v="Finance"/>
    <s v="EMP_48"/>
    <d v="2024-12-06T14:52:00"/>
    <d v="2024-12-06T17:08:00"/>
    <n v="54"/>
    <n v="136"/>
    <n v="1"/>
    <s v="Level 3"/>
    <n v="5"/>
    <n v="404.9"/>
  </r>
  <r>
    <s v="WF_622"/>
    <x v="0"/>
    <x v="621"/>
    <s v="Review"/>
    <s v="Critical"/>
    <s v="Finance"/>
    <s v="EMP_39"/>
    <d v="2024-04-07T03:34:00"/>
    <d v="2024-04-07T07:42:00"/>
    <n v="230"/>
    <n v="248"/>
    <n v="1"/>
    <s v="Level 2"/>
    <n v="4"/>
    <n v="406.59"/>
  </r>
  <r>
    <s v="WF_623"/>
    <x v="2"/>
    <x v="622"/>
    <s v="Validation"/>
    <s v="Medium"/>
    <s v="Finance"/>
    <s v="EMP_133"/>
    <d v="2024-01-18T17:36:00"/>
    <d v="2024-01-18T19:47:00"/>
    <n v="81"/>
    <n v="131"/>
    <n v="1"/>
    <s v="Level 1"/>
    <n v="6"/>
    <n v="161.94"/>
  </r>
  <r>
    <s v="WF_624"/>
    <x v="4"/>
    <x v="623"/>
    <s v="Review"/>
    <s v="Low"/>
    <s v="IT"/>
    <s v="EMP_18"/>
    <d v="2024-11-15T00:25:00"/>
    <d v="2024-11-15T03:21:00"/>
    <n v="139"/>
    <n v="176"/>
    <n v="1"/>
    <s v="Level 2"/>
    <n v="5"/>
    <n v="498.56"/>
  </r>
  <r>
    <s v="WF_625"/>
    <x v="0"/>
    <x v="624"/>
    <s v="Review"/>
    <s v="Medium"/>
    <s v="HR"/>
    <s v="EMP_118"/>
    <d v="2024-06-27T05:57:00"/>
    <d v="2024-06-27T08:31:00"/>
    <n v="132"/>
    <n v="154"/>
    <n v="1"/>
    <s v="Level 2"/>
    <n v="6"/>
    <n v="482.59"/>
  </r>
  <r>
    <s v="WF_626"/>
    <x v="1"/>
    <x v="625"/>
    <s v="Approval"/>
    <s v="Low"/>
    <s v="Customer Service"/>
    <s v="EMP_4"/>
    <d v="2024-05-01T21:15:00"/>
    <d v="2024-05-02T01:22:00"/>
    <n v="183"/>
    <n v="247"/>
    <n v="1"/>
    <s v="Level 2"/>
    <n v="6"/>
    <n v="94.13"/>
  </r>
  <r>
    <s v="WF_627"/>
    <x v="0"/>
    <x v="626"/>
    <s v="Data Entry"/>
    <s v="Critical"/>
    <s v="Customer Service"/>
    <s v="EMP_46"/>
    <d v="2024-04-29T15:07:00"/>
    <d v="2024-04-29T19:43:00"/>
    <n v="157"/>
    <n v="276"/>
    <n v="1"/>
    <s v="Level 1"/>
    <n v="7"/>
    <n v="73.06"/>
  </r>
  <r>
    <s v="WF_628"/>
    <x v="2"/>
    <x v="627"/>
    <s v="Data Entry"/>
    <s v="Critical"/>
    <s v="Finance"/>
    <s v="EMP_144"/>
    <d v="2024-10-22T13:41:00"/>
    <d v="2024-10-22T16:13:00"/>
    <n v="119"/>
    <n v="152"/>
    <n v="1"/>
    <s v="Level 2"/>
    <n v="10"/>
    <n v="103.72"/>
  </r>
  <r>
    <s v="WF_629"/>
    <x v="4"/>
    <x v="628"/>
    <s v="Data Entry"/>
    <s v="Low"/>
    <s v="Operations"/>
    <s v="EMP_64"/>
    <d v="2024-01-16T14:22:00"/>
    <d v="2024-01-16T18:10:00"/>
    <n v="114"/>
    <n v="228"/>
    <n v="1"/>
    <s v="Level 2"/>
    <n v="4"/>
    <n v="437.11"/>
  </r>
  <r>
    <s v="WF_630"/>
    <x v="3"/>
    <x v="629"/>
    <s v="Review"/>
    <s v="Critical"/>
    <s v="Finance"/>
    <s v="EMP_1"/>
    <d v="2024-01-16T13:31:00"/>
    <d v="2024-01-16T17:07:00"/>
    <n v="140"/>
    <n v="216"/>
    <n v="1"/>
    <s v="Level 2"/>
    <n v="2"/>
    <n v="418.17"/>
  </r>
  <r>
    <s v="WF_631"/>
    <x v="4"/>
    <x v="630"/>
    <s v="Validation"/>
    <s v="Medium"/>
    <s v="HR"/>
    <s v="EMP_24"/>
    <d v="2024-07-27T11:35:00"/>
    <d v="2024-07-27T13:18:00"/>
    <n v="101"/>
    <n v="103"/>
    <n v="1"/>
    <s v="Level 2"/>
    <n v="6"/>
    <n v="278.19"/>
  </r>
  <r>
    <s v="WF_632"/>
    <x v="4"/>
    <x v="631"/>
    <s v="Review"/>
    <s v="Medium"/>
    <s v="Finance"/>
    <s v="EMP_102"/>
    <d v="2024-03-24T14:47:00"/>
    <d v="2024-03-24T15:39:00"/>
    <n v="54"/>
    <n v="52"/>
    <n v="0"/>
    <s v="Level 3"/>
    <n v="8"/>
    <n v="262.43"/>
  </r>
  <r>
    <s v="WF_633"/>
    <x v="4"/>
    <x v="632"/>
    <s v="Escalation"/>
    <s v="Medium"/>
    <s v="Operations"/>
    <s v="EMP_144"/>
    <d v="2024-01-03T04:28:00"/>
    <d v="2024-01-03T05:25:00"/>
    <n v="31"/>
    <n v="57"/>
    <n v="1"/>
    <s v="Level 2"/>
    <n v="5"/>
    <n v="448.71"/>
  </r>
  <r>
    <s v="WF_634"/>
    <x v="3"/>
    <x v="633"/>
    <s v="Validation"/>
    <s v="Low"/>
    <s v="IT"/>
    <s v="EMP_38"/>
    <d v="2024-06-17T18:12:00"/>
    <d v="2024-06-17T19:11:00"/>
    <n v="24"/>
    <n v="59"/>
    <n v="1"/>
    <s v="Level 3"/>
    <n v="5"/>
    <n v="442.2"/>
  </r>
  <r>
    <s v="WF_635"/>
    <x v="3"/>
    <x v="634"/>
    <s v="Escalation"/>
    <s v="High"/>
    <s v="Operations"/>
    <s v="EMP_98"/>
    <d v="2024-01-31T04:49:00"/>
    <d v="2024-01-31T06:40:00"/>
    <n v="44"/>
    <n v="111"/>
    <n v="1"/>
    <s v="Level 2"/>
    <n v="4"/>
    <n v="387.95"/>
  </r>
  <r>
    <s v="WF_636"/>
    <x v="0"/>
    <x v="635"/>
    <s v="Validation"/>
    <s v="Critical"/>
    <s v="Customer Service"/>
    <s v="EMP_96"/>
    <d v="2024-12-18T03:59:00"/>
    <d v="2024-12-18T05:42:00"/>
    <n v="41"/>
    <n v="103"/>
    <n v="1"/>
    <s v="Level 1"/>
    <n v="5"/>
    <n v="494.65"/>
  </r>
  <r>
    <s v="WF_637"/>
    <x v="0"/>
    <x v="636"/>
    <s v="Validation"/>
    <s v="Critical"/>
    <s v="Customer Service"/>
    <s v="EMP_56"/>
    <d v="2024-04-09T00:05:00"/>
    <d v="2024-04-09T02:16:00"/>
    <n v="99"/>
    <n v="131"/>
    <n v="1"/>
    <s v="Level 3"/>
    <n v="2"/>
    <n v="336.02"/>
  </r>
  <r>
    <s v="WF_638"/>
    <x v="1"/>
    <x v="637"/>
    <s v="Validation"/>
    <s v="High"/>
    <s v="HR"/>
    <s v="EMP_123"/>
    <d v="2024-03-25T17:38:00"/>
    <d v="2024-03-25T19:45:00"/>
    <n v="97"/>
    <n v="127"/>
    <n v="1"/>
    <s v="Level 1"/>
    <n v="5"/>
    <n v="423.88"/>
  </r>
  <r>
    <s v="WF_639"/>
    <x v="3"/>
    <x v="638"/>
    <s v="Validation"/>
    <s v="High"/>
    <s v="Operations"/>
    <s v="EMP_9"/>
    <d v="2024-06-09T16:50:00"/>
    <d v="2024-06-09T20:34:00"/>
    <n v="124"/>
    <n v="224"/>
    <n v="1"/>
    <s v="Level 1"/>
    <n v="2"/>
    <n v="187.86"/>
  </r>
  <r>
    <s v="WF_640"/>
    <x v="3"/>
    <x v="639"/>
    <s v="Data Entry"/>
    <s v="Low"/>
    <s v="Customer Service"/>
    <s v="EMP_123"/>
    <d v="2024-03-06T07:29:00"/>
    <d v="2024-03-06T11:42:00"/>
    <n v="191"/>
    <n v="253"/>
    <n v="1"/>
    <s v="Level 1"/>
    <n v="7"/>
    <n v="215.96"/>
  </r>
  <r>
    <s v="WF_641"/>
    <x v="2"/>
    <x v="640"/>
    <s v="Approval"/>
    <s v="Critical"/>
    <s v="Finance"/>
    <s v="EMP_109"/>
    <d v="2024-01-01T11:59:00"/>
    <d v="2024-01-01T15:23:00"/>
    <n v="160"/>
    <n v="204"/>
    <n v="1"/>
    <s v="Level 1"/>
    <n v="6"/>
    <n v="467.96"/>
  </r>
  <r>
    <s v="WF_642"/>
    <x v="4"/>
    <x v="641"/>
    <s v="Validation"/>
    <s v="Low"/>
    <s v="Operations"/>
    <s v="EMP_28"/>
    <d v="2024-04-04T10:34:00"/>
    <d v="2024-04-04T15:47:00"/>
    <n v="228"/>
    <n v="313"/>
    <n v="1"/>
    <s v="Level 3"/>
    <n v="4"/>
    <n v="238.15"/>
  </r>
  <r>
    <s v="WF_643"/>
    <x v="2"/>
    <x v="642"/>
    <s v="Review"/>
    <s v="Medium"/>
    <s v="Customer Service"/>
    <s v="EMP_80"/>
    <d v="2024-04-09T18:37:00"/>
    <d v="2024-04-09T21:24:00"/>
    <n v="86"/>
    <n v="167"/>
    <n v="1"/>
    <s v="Level 3"/>
    <n v="3"/>
    <n v="413.53"/>
  </r>
  <r>
    <s v="WF_644"/>
    <x v="3"/>
    <x v="643"/>
    <s v="Escalation"/>
    <s v="Medium"/>
    <s v="Finance"/>
    <s v="EMP_87"/>
    <d v="2024-07-12T21:46:00"/>
    <d v="2024-07-12T23:41:00"/>
    <n v="85"/>
    <n v="115"/>
    <n v="1"/>
    <s v="Level 3"/>
    <n v="8"/>
    <n v="121.36"/>
  </r>
  <r>
    <s v="WF_645"/>
    <x v="1"/>
    <x v="644"/>
    <s v="Approval"/>
    <s v="Critical"/>
    <s v="Finance"/>
    <s v="EMP_96"/>
    <d v="2024-12-29T02:45:00"/>
    <d v="2024-12-29T03:54:00"/>
    <n v="63"/>
    <n v="69"/>
    <n v="1"/>
    <s v="Level 2"/>
    <n v="6"/>
    <n v="79.069999999999993"/>
  </r>
  <r>
    <s v="WF_646"/>
    <x v="3"/>
    <x v="645"/>
    <s v="Escalation"/>
    <s v="High"/>
    <s v="Customer Service"/>
    <s v="EMP_101"/>
    <d v="2024-12-27T21:51:00"/>
    <d v="2024-12-27T22:55:00"/>
    <n v="43"/>
    <n v="64"/>
    <n v="1"/>
    <s v="Level 1"/>
    <n v="9"/>
    <n v="407.64"/>
  </r>
  <r>
    <s v="WF_647"/>
    <x v="4"/>
    <x v="646"/>
    <s v="Data Entry"/>
    <s v="Low"/>
    <s v="Finance"/>
    <s v="EMP_137"/>
    <d v="2024-03-18T21:20:00"/>
    <d v="2024-03-18T23:59:00"/>
    <n v="85"/>
    <n v="159"/>
    <n v="1"/>
    <s v="Level 1"/>
    <n v="4"/>
    <n v="119.19"/>
  </r>
  <r>
    <s v="WF_648"/>
    <x v="1"/>
    <x v="647"/>
    <s v="Review"/>
    <s v="Critical"/>
    <s v="Operations"/>
    <s v="EMP_28"/>
    <d v="2024-05-03T08:57:00"/>
    <d v="2024-05-03T13:28:00"/>
    <n v="226"/>
    <n v="271"/>
    <n v="1"/>
    <s v="Level 1"/>
    <n v="5"/>
    <n v="371.95"/>
  </r>
  <r>
    <s v="WF_649"/>
    <x v="4"/>
    <x v="648"/>
    <s v="Approval"/>
    <s v="High"/>
    <s v="Operations"/>
    <s v="EMP_112"/>
    <d v="2024-05-06T03:40:00"/>
    <d v="2024-05-06T07:11:00"/>
    <n v="167"/>
    <n v="211"/>
    <n v="1"/>
    <s v="Level 2"/>
    <n v="7"/>
    <n v="188.94"/>
  </r>
  <r>
    <s v="WF_650"/>
    <x v="1"/>
    <x v="649"/>
    <s v="Approval"/>
    <s v="Low"/>
    <s v="Operations"/>
    <s v="EMP_3"/>
    <d v="2024-03-14T16:53:00"/>
    <d v="2024-03-14T20:20:00"/>
    <n v="153"/>
    <n v="207"/>
    <n v="1"/>
    <s v="Level 2"/>
    <n v="6"/>
    <n v="300.58999999999997"/>
  </r>
  <r>
    <s v="WF_651"/>
    <x v="1"/>
    <x v="650"/>
    <s v="Review"/>
    <s v="High"/>
    <s v="HR"/>
    <s v="EMP_149"/>
    <d v="2024-03-18T06:40:00"/>
    <d v="2024-03-18T11:22:00"/>
    <n v="225"/>
    <n v="282"/>
    <n v="1"/>
    <s v="Level 1"/>
    <n v="3"/>
    <n v="233.45"/>
  </r>
  <r>
    <s v="WF_652"/>
    <x v="2"/>
    <x v="651"/>
    <s v="Approval"/>
    <s v="Low"/>
    <s v="HR"/>
    <s v="EMP_4"/>
    <d v="2024-05-03T17:38:00"/>
    <d v="2024-05-03T19:57:00"/>
    <n v="31"/>
    <n v="139"/>
    <n v="1"/>
    <s v="Level 1"/>
    <n v="6"/>
    <n v="210.83"/>
  </r>
  <r>
    <s v="WF_653"/>
    <x v="3"/>
    <x v="652"/>
    <s v="Review"/>
    <s v="Low"/>
    <s v="IT"/>
    <s v="EMP_41"/>
    <d v="2024-03-20T12:58:00"/>
    <d v="2024-03-20T16:27:00"/>
    <n v="100"/>
    <n v="209"/>
    <n v="1"/>
    <s v="Level 2"/>
    <n v="10"/>
    <n v="337.12"/>
  </r>
  <r>
    <s v="WF_654"/>
    <x v="2"/>
    <x v="653"/>
    <s v="Approval"/>
    <s v="Medium"/>
    <s v="Finance"/>
    <s v="EMP_16"/>
    <d v="2024-10-14T16:45:00"/>
    <d v="2024-10-14T21:12:00"/>
    <n v="222"/>
    <n v="267"/>
    <n v="1"/>
    <s v="Level 3"/>
    <n v="2"/>
    <n v="73.53"/>
  </r>
  <r>
    <s v="WF_655"/>
    <x v="1"/>
    <x v="654"/>
    <s v="Escalation"/>
    <s v="High"/>
    <s v="Finance"/>
    <s v="EMP_3"/>
    <d v="2024-02-23T22:32:00"/>
    <d v="2024-02-24T02:05:00"/>
    <n v="142"/>
    <n v="213"/>
    <n v="1"/>
    <s v="Level 2"/>
    <n v="7"/>
    <n v="397.4"/>
  </r>
  <r>
    <s v="WF_656"/>
    <x v="1"/>
    <x v="655"/>
    <s v="Validation"/>
    <s v="Medium"/>
    <s v="Operations"/>
    <s v="EMP_126"/>
    <d v="2024-02-12T12:36:00"/>
    <d v="2024-02-12T17:58:00"/>
    <n v="238"/>
    <n v="322"/>
    <n v="1"/>
    <s v="Level 3"/>
    <n v="3"/>
    <n v="286.08"/>
  </r>
  <r>
    <s v="WF_657"/>
    <x v="4"/>
    <x v="656"/>
    <s v="Review"/>
    <s v="High"/>
    <s v="Operations"/>
    <s v="EMP_80"/>
    <d v="2024-02-22T09:22:00"/>
    <d v="2024-02-22T15:09:00"/>
    <n v="238"/>
    <n v="347"/>
    <n v="1"/>
    <s v="Level 3"/>
    <n v="4"/>
    <n v="358.24"/>
  </r>
  <r>
    <s v="WF_658"/>
    <x v="4"/>
    <x v="657"/>
    <s v="Approval"/>
    <s v="High"/>
    <s v="HR"/>
    <s v="EMP_27"/>
    <d v="2024-09-01T20:46:00"/>
    <d v="2024-09-01T23:18:00"/>
    <n v="65"/>
    <n v="152"/>
    <n v="1"/>
    <s v="Level 3"/>
    <n v="10"/>
    <n v="130.33000000000001"/>
  </r>
  <r>
    <s v="WF_659"/>
    <x v="4"/>
    <x v="658"/>
    <s v="Approval"/>
    <s v="Low"/>
    <s v="Finance"/>
    <s v="EMP_37"/>
    <d v="2024-09-12T03:39:00"/>
    <d v="2024-09-12T06:12:00"/>
    <n v="56"/>
    <n v="153"/>
    <n v="1"/>
    <s v="Level 2"/>
    <n v="2"/>
    <n v="125.86"/>
  </r>
  <r>
    <s v="WF_660"/>
    <x v="2"/>
    <x v="659"/>
    <s v="Approval"/>
    <s v="Medium"/>
    <s v="HR"/>
    <s v="EMP_134"/>
    <d v="2024-07-17T23:26:00"/>
    <d v="2024-07-18T01:57:00"/>
    <n v="111"/>
    <n v="151"/>
    <n v="1"/>
    <s v="Level 2"/>
    <n v="6"/>
    <n v="347.12"/>
  </r>
  <r>
    <s v="WF_661"/>
    <x v="2"/>
    <x v="660"/>
    <s v="Validation"/>
    <s v="Critical"/>
    <s v="Operations"/>
    <s v="EMP_9"/>
    <d v="2024-07-23T14:46:00"/>
    <d v="2024-07-23T16:18:00"/>
    <n v="40"/>
    <n v="92"/>
    <n v="1"/>
    <s v="Level 1"/>
    <n v="4"/>
    <n v="212.27"/>
  </r>
  <r>
    <s v="WF_662"/>
    <x v="1"/>
    <x v="661"/>
    <s v="Validation"/>
    <s v="Critical"/>
    <s v="IT"/>
    <s v="EMP_118"/>
    <d v="2024-08-06T11:48:00"/>
    <d v="2024-08-06T14:59:00"/>
    <n v="106"/>
    <n v="191"/>
    <n v="1"/>
    <s v="Level 2"/>
    <n v="10"/>
    <n v="319.32"/>
  </r>
  <r>
    <s v="WF_663"/>
    <x v="2"/>
    <x v="662"/>
    <s v="Validation"/>
    <s v="Low"/>
    <s v="HR"/>
    <s v="EMP_99"/>
    <d v="2024-03-31T14:21:00"/>
    <d v="2024-03-31T18:03:00"/>
    <n v="114"/>
    <n v="222"/>
    <n v="1"/>
    <s v="Level 1"/>
    <n v="10"/>
    <n v="385.16"/>
  </r>
  <r>
    <s v="WF_664"/>
    <x v="2"/>
    <x v="663"/>
    <s v="Review"/>
    <s v="Critical"/>
    <s v="Operations"/>
    <s v="EMP_26"/>
    <d v="2024-05-19T14:27:00"/>
    <d v="2024-05-19T17:39:00"/>
    <n v="137"/>
    <n v="192"/>
    <n v="1"/>
    <s v="Level 3"/>
    <n v="1"/>
    <n v="288.06"/>
  </r>
  <r>
    <s v="WF_665"/>
    <x v="1"/>
    <x v="664"/>
    <s v="Escalation"/>
    <s v="Low"/>
    <s v="HR"/>
    <s v="EMP_79"/>
    <d v="2024-03-02T01:46:00"/>
    <d v="2024-03-02T03:59:00"/>
    <n v="120"/>
    <n v="133"/>
    <n v="1"/>
    <s v="Level 3"/>
    <n v="6"/>
    <n v="326.52"/>
  </r>
  <r>
    <s v="WF_666"/>
    <x v="3"/>
    <x v="665"/>
    <s v="Data Entry"/>
    <s v="Medium"/>
    <s v="HR"/>
    <s v="EMP_36"/>
    <d v="2024-06-05T00:28:00"/>
    <d v="2024-06-05T01:40:00"/>
    <n v="75"/>
    <n v="72"/>
    <n v="0"/>
    <s v="Level 1"/>
    <n v="2"/>
    <n v="491.62"/>
  </r>
  <r>
    <s v="WF_667"/>
    <x v="1"/>
    <x v="666"/>
    <s v="Data Entry"/>
    <s v="Medium"/>
    <s v="IT"/>
    <s v="EMP_90"/>
    <d v="2024-01-14T00:58:00"/>
    <d v="2024-01-14T03:17:00"/>
    <n v="116"/>
    <n v="139"/>
    <n v="1"/>
    <s v="Level 2"/>
    <n v="9"/>
    <n v="280.77999999999997"/>
  </r>
  <r>
    <s v="WF_668"/>
    <x v="3"/>
    <x v="667"/>
    <s v="Validation"/>
    <s v="High"/>
    <s v="Customer Service"/>
    <s v="EMP_61"/>
    <d v="2024-12-02T08:28:00"/>
    <d v="2024-12-02T10:34:00"/>
    <n v="129"/>
    <n v="126"/>
    <n v="0"/>
    <s v="Level 2"/>
    <n v="9"/>
    <n v="73.47"/>
  </r>
  <r>
    <s v="WF_669"/>
    <x v="0"/>
    <x v="668"/>
    <s v="Review"/>
    <s v="Critical"/>
    <s v="HR"/>
    <s v="EMP_13"/>
    <d v="2024-04-02T05:58:00"/>
    <d v="2024-04-02T08:01:00"/>
    <n v="81"/>
    <n v="123"/>
    <n v="1"/>
    <s v="Level 1"/>
    <n v="6"/>
    <n v="399.35"/>
  </r>
  <r>
    <s v="WF_670"/>
    <x v="0"/>
    <x v="669"/>
    <s v="Escalation"/>
    <s v="Critical"/>
    <s v="IT"/>
    <s v="EMP_3"/>
    <d v="2024-07-28T03:52:00"/>
    <d v="2024-07-28T08:25:00"/>
    <n v="197"/>
    <n v="273"/>
    <n v="1"/>
    <s v="Level 3"/>
    <n v="4"/>
    <n v="310.38"/>
  </r>
  <r>
    <s v="WF_671"/>
    <x v="1"/>
    <x v="670"/>
    <s v="Data Entry"/>
    <s v="Medium"/>
    <s v="HR"/>
    <s v="EMP_2"/>
    <d v="2024-11-08T14:51:00"/>
    <d v="2024-11-08T18:45:00"/>
    <n v="167"/>
    <n v="234"/>
    <n v="1"/>
    <s v="Level 3"/>
    <n v="1"/>
    <n v="124.89"/>
  </r>
  <r>
    <s v="WF_672"/>
    <x v="3"/>
    <x v="671"/>
    <s v="Review"/>
    <s v="High"/>
    <s v="Customer Service"/>
    <s v="EMP_59"/>
    <d v="2024-12-27T13:00:00"/>
    <d v="2024-12-27T15:28:00"/>
    <n v="71"/>
    <n v="148"/>
    <n v="1"/>
    <s v="Level 2"/>
    <n v="7"/>
    <n v="206.84"/>
  </r>
  <r>
    <s v="WF_673"/>
    <x v="2"/>
    <x v="672"/>
    <s v="Data Entry"/>
    <s v="Low"/>
    <s v="Customer Service"/>
    <s v="EMP_92"/>
    <d v="2024-10-20T02:00:00"/>
    <d v="2024-10-20T04:05:00"/>
    <n v="113"/>
    <n v="125"/>
    <n v="1"/>
    <s v="Level 2"/>
    <n v="5"/>
    <n v="54.97"/>
  </r>
  <r>
    <s v="WF_674"/>
    <x v="0"/>
    <x v="673"/>
    <s v="Approval"/>
    <s v="Medium"/>
    <s v="IT"/>
    <s v="EMP_80"/>
    <d v="2024-10-01T23:14:00"/>
    <d v="2024-10-02T02:42:00"/>
    <n v="88"/>
    <n v="208"/>
    <n v="1"/>
    <s v="Level 1"/>
    <n v="2"/>
    <n v="124.16"/>
  </r>
  <r>
    <s v="WF_675"/>
    <x v="3"/>
    <x v="674"/>
    <s v="Approval"/>
    <s v="Low"/>
    <s v="Customer Service"/>
    <s v="EMP_11"/>
    <d v="2024-03-22T22:29:00"/>
    <d v="2024-03-23T02:03:00"/>
    <n v="170"/>
    <n v="214"/>
    <n v="1"/>
    <s v="Level 3"/>
    <n v="6"/>
    <n v="356.49"/>
  </r>
  <r>
    <s v="WF_676"/>
    <x v="3"/>
    <x v="675"/>
    <s v="Review"/>
    <s v="Critical"/>
    <s v="Operations"/>
    <s v="EMP_74"/>
    <d v="2024-12-17T08:31:00"/>
    <d v="2024-12-17T13:20:00"/>
    <n v="207"/>
    <n v="289"/>
    <n v="1"/>
    <s v="Level 3"/>
    <n v="3"/>
    <n v="143.81"/>
  </r>
  <r>
    <s v="WF_677"/>
    <x v="2"/>
    <x v="676"/>
    <s v="Escalation"/>
    <s v="Medium"/>
    <s v="Finance"/>
    <s v="EMP_72"/>
    <d v="2024-12-22T08:55:00"/>
    <d v="2024-12-22T11:22:00"/>
    <n v="40"/>
    <n v="147"/>
    <n v="1"/>
    <s v="Level 1"/>
    <n v="7"/>
    <n v="211.54"/>
  </r>
  <r>
    <s v="WF_678"/>
    <x v="1"/>
    <x v="677"/>
    <s v="Review"/>
    <s v="Medium"/>
    <s v="IT"/>
    <s v="EMP_135"/>
    <d v="2024-10-16T05:07:00"/>
    <d v="2024-10-16T06:02:00"/>
    <n v="17"/>
    <n v="55"/>
    <n v="1"/>
    <s v="Level 3"/>
    <n v="3"/>
    <n v="423.82"/>
  </r>
  <r>
    <s v="WF_679"/>
    <x v="3"/>
    <x v="678"/>
    <s v="Data Entry"/>
    <s v="Critical"/>
    <s v="Finance"/>
    <s v="EMP_8"/>
    <d v="2024-03-09T02:11:00"/>
    <d v="2024-03-09T03:58:00"/>
    <n v="57"/>
    <n v="107"/>
    <n v="1"/>
    <s v="Level 2"/>
    <n v="8"/>
    <n v="303.29000000000002"/>
  </r>
  <r>
    <s v="WF_680"/>
    <x v="4"/>
    <x v="679"/>
    <s v="Validation"/>
    <s v="Critical"/>
    <s v="Customer Service"/>
    <s v="EMP_105"/>
    <d v="2024-09-09T07:27:00"/>
    <d v="2024-09-09T09:44:00"/>
    <n v="141"/>
    <n v="137"/>
    <n v="0"/>
    <s v="Level 1"/>
    <n v="6"/>
    <n v="470.21"/>
  </r>
  <r>
    <s v="WF_681"/>
    <x v="0"/>
    <x v="680"/>
    <s v="Approval"/>
    <s v="Critical"/>
    <s v="Finance"/>
    <s v="EMP_8"/>
    <d v="2024-06-05T00:16:00"/>
    <d v="2024-06-05T03:31:00"/>
    <n v="175"/>
    <n v="195"/>
    <n v="1"/>
    <s v="Level 2"/>
    <n v="8"/>
    <n v="495.62"/>
  </r>
  <r>
    <s v="WF_682"/>
    <x v="0"/>
    <x v="681"/>
    <s v="Validation"/>
    <s v="Low"/>
    <s v="Customer Service"/>
    <s v="EMP_50"/>
    <d v="2024-04-09T00:33:00"/>
    <d v="2024-04-09T04:42:00"/>
    <n v="198"/>
    <n v="249"/>
    <n v="1"/>
    <s v="Level 3"/>
    <n v="1"/>
    <n v="395.3"/>
  </r>
  <r>
    <s v="WF_683"/>
    <x v="0"/>
    <x v="682"/>
    <s v="Data Entry"/>
    <s v="High"/>
    <s v="IT"/>
    <s v="EMP_129"/>
    <d v="2024-06-29T18:39:00"/>
    <d v="2024-06-29T20:41:00"/>
    <n v="117"/>
    <n v="122"/>
    <n v="1"/>
    <s v="Level 2"/>
    <n v="2"/>
    <n v="230.42"/>
  </r>
  <r>
    <s v="WF_684"/>
    <x v="4"/>
    <x v="683"/>
    <s v="Validation"/>
    <s v="Low"/>
    <s v="HR"/>
    <s v="EMP_62"/>
    <d v="2024-02-08T03:41:00"/>
    <d v="2024-02-08T05:42:00"/>
    <n v="46"/>
    <n v="121"/>
    <n v="1"/>
    <s v="Level 2"/>
    <n v="9"/>
    <n v="188.33"/>
  </r>
  <r>
    <s v="WF_685"/>
    <x v="1"/>
    <x v="684"/>
    <s v="Approval"/>
    <s v="High"/>
    <s v="IT"/>
    <s v="EMP_11"/>
    <d v="2024-10-28T09:35:00"/>
    <d v="2024-10-28T10:36:00"/>
    <n v="46"/>
    <n v="61"/>
    <n v="1"/>
    <s v="Level 3"/>
    <n v="2"/>
    <n v="153.16999999999999"/>
  </r>
  <r>
    <s v="WF_686"/>
    <x v="0"/>
    <x v="685"/>
    <s v="Data Entry"/>
    <s v="Critical"/>
    <s v="IT"/>
    <s v="EMP_100"/>
    <d v="2024-06-30T08:21:00"/>
    <d v="2024-06-30T12:04:00"/>
    <n v="178"/>
    <n v="223"/>
    <n v="1"/>
    <s v="Level 1"/>
    <n v="1"/>
    <n v="275"/>
  </r>
  <r>
    <s v="WF_687"/>
    <x v="3"/>
    <x v="686"/>
    <s v="Escalation"/>
    <s v="Critical"/>
    <s v="Finance"/>
    <s v="EMP_115"/>
    <d v="2024-09-07T10:35:00"/>
    <d v="2024-09-07T14:50:00"/>
    <n v="196"/>
    <n v="255"/>
    <n v="1"/>
    <s v="Level 3"/>
    <n v="10"/>
    <n v="148.05000000000001"/>
  </r>
  <r>
    <s v="WF_688"/>
    <x v="4"/>
    <x v="687"/>
    <s v="Review"/>
    <s v="High"/>
    <s v="HR"/>
    <s v="EMP_79"/>
    <d v="2024-10-16T22:07:00"/>
    <d v="2024-10-17T01:38:00"/>
    <n v="211"/>
    <n v="211"/>
    <n v="0"/>
    <s v="Level 1"/>
    <n v="9"/>
    <n v="484.52"/>
  </r>
  <r>
    <s v="WF_689"/>
    <x v="0"/>
    <x v="688"/>
    <s v="Escalation"/>
    <s v="High"/>
    <s v="IT"/>
    <s v="EMP_70"/>
    <d v="2024-08-09T02:36:00"/>
    <d v="2024-08-09T05:13:00"/>
    <n v="59"/>
    <n v="157"/>
    <n v="1"/>
    <s v="Level 1"/>
    <n v="6"/>
    <n v="87.43"/>
  </r>
  <r>
    <s v="WF_690"/>
    <x v="0"/>
    <x v="689"/>
    <s v="Approval"/>
    <s v="Critical"/>
    <s v="Finance"/>
    <s v="EMP_148"/>
    <d v="2024-05-21T15:03:00"/>
    <d v="2024-05-21T18:32:00"/>
    <n v="197"/>
    <n v="209"/>
    <n v="1"/>
    <s v="Level 2"/>
    <n v="6"/>
    <n v="56.42"/>
  </r>
  <r>
    <s v="WF_691"/>
    <x v="3"/>
    <x v="690"/>
    <s v="Approval"/>
    <s v="Medium"/>
    <s v="HR"/>
    <s v="EMP_125"/>
    <d v="2024-01-30T01:38:00"/>
    <d v="2024-01-30T03:49:00"/>
    <n v="135"/>
    <n v="131"/>
    <n v="0"/>
    <s v="Level 3"/>
    <n v="8"/>
    <n v="253.36"/>
  </r>
  <r>
    <s v="WF_692"/>
    <x v="2"/>
    <x v="691"/>
    <s v="Validation"/>
    <s v="Low"/>
    <s v="IT"/>
    <s v="EMP_13"/>
    <d v="2024-06-23T00:19:00"/>
    <d v="2024-06-23T05:28:00"/>
    <n v="202"/>
    <n v="309"/>
    <n v="1"/>
    <s v="Level 3"/>
    <n v="1"/>
    <n v="164.19"/>
  </r>
  <r>
    <s v="WF_693"/>
    <x v="1"/>
    <x v="692"/>
    <s v="Data Entry"/>
    <s v="Medium"/>
    <s v="Finance"/>
    <s v="EMP_8"/>
    <d v="2024-05-16T23:30:00"/>
    <d v="2024-05-17T03:29:00"/>
    <n v="202"/>
    <n v="239"/>
    <n v="1"/>
    <s v="Level 3"/>
    <n v="4"/>
    <n v="382.99"/>
  </r>
  <r>
    <s v="WF_694"/>
    <x v="4"/>
    <x v="693"/>
    <s v="Review"/>
    <s v="Low"/>
    <s v="HR"/>
    <s v="EMP_3"/>
    <d v="2024-03-18T02:32:00"/>
    <d v="2024-03-18T04:08:00"/>
    <n v="101"/>
    <n v="96"/>
    <n v="0"/>
    <s v="Level 1"/>
    <n v="1"/>
    <n v="478.95"/>
  </r>
  <r>
    <s v="WF_695"/>
    <x v="3"/>
    <x v="694"/>
    <s v="Escalation"/>
    <s v="High"/>
    <s v="IT"/>
    <s v="EMP_106"/>
    <d v="2024-07-01T22:23:00"/>
    <d v="2024-07-02T00:38:00"/>
    <n v="38"/>
    <n v="135"/>
    <n v="1"/>
    <s v="Level 2"/>
    <n v="10"/>
    <n v="490.61"/>
  </r>
  <r>
    <s v="WF_696"/>
    <x v="4"/>
    <x v="695"/>
    <s v="Data Entry"/>
    <s v="Critical"/>
    <s v="Operations"/>
    <s v="EMP_7"/>
    <d v="2024-08-05T00:17:00"/>
    <d v="2024-08-05T03:34:00"/>
    <n v="132"/>
    <n v="197"/>
    <n v="1"/>
    <s v="Level 1"/>
    <n v="7"/>
    <n v="64.150000000000006"/>
  </r>
  <r>
    <s v="WF_697"/>
    <x v="1"/>
    <x v="696"/>
    <s v="Validation"/>
    <s v="Critical"/>
    <s v="Operations"/>
    <s v="EMP_70"/>
    <d v="2024-05-16T03:37:00"/>
    <d v="2024-05-16T06:24:00"/>
    <n v="158"/>
    <n v="167"/>
    <n v="1"/>
    <s v="Level 3"/>
    <n v="6"/>
    <n v="410.08"/>
  </r>
  <r>
    <s v="WF_698"/>
    <x v="2"/>
    <x v="697"/>
    <s v="Approval"/>
    <s v="Critical"/>
    <s v="Customer Service"/>
    <s v="EMP_128"/>
    <d v="2024-07-17T21:34:00"/>
    <d v="2024-07-18T02:14:00"/>
    <n v="207"/>
    <n v="280"/>
    <n v="1"/>
    <s v="Level 1"/>
    <n v="1"/>
    <n v="362.76"/>
  </r>
  <r>
    <s v="WF_699"/>
    <x v="0"/>
    <x v="698"/>
    <s v="Data Entry"/>
    <s v="Low"/>
    <s v="Customer Service"/>
    <s v="EMP_59"/>
    <d v="2024-06-14T20:00:00"/>
    <d v="2024-06-14T23:25:00"/>
    <n v="177"/>
    <n v="205"/>
    <n v="1"/>
    <s v="Level 1"/>
    <n v="2"/>
    <n v="435.28"/>
  </r>
  <r>
    <s v="WF_700"/>
    <x v="2"/>
    <x v="699"/>
    <s v="Escalation"/>
    <s v="High"/>
    <s v="HR"/>
    <s v="EMP_91"/>
    <d v="2024-12-13T10:41:00"/>
    <d v="2024-12-13T12:20:00"/>
    <n v="16"/>
    <n v="99"/>
    <n v="1"/>
    <s v="Level 1"/>
    <n v="1"/>
    <n v="449.43"/>
  </r>
  <r>
    <s v="WF_701"/>
    <x v="2"/>
    <x v="700"/>
    <s v="Approval"/>
    <s v="Low"/>
    <s v="Finance"/>
    <s v="EMP_41"/>
    <d v="2024-02-01T03:39:00"/>
    <d v="2024-02-01T05:05:00"/>
    <n v="67"/>
    <n v="86"/>
    <n v="1"/>
    <s v="Level 1"/>
    <n v="3"/>
    <n v="87.58"/>
  </r>
  <r>
    <s v="WF_702"/>
    <x v="0"/>
    <x v="701"/>
    <s v="Validation"/>
    <s v="Low"/>
    <s v="HR"/>
    <s v="EMP_115"/>
    <d v="2024-01-31T14:50:00"/>
    <d v="2024-01-31T19:30:00"/>
    <n v="217"/>
    <n v="280"/>
    <n v="1"/>
    <s v="Level 3"/>
    <n v="1"/>
    <n v="230.08"/>
  </r>
  <r>
    <s v="WF_703"/>
    <x v="1"/>
    <x v="702"/>
    <s v="Data Entry"/>
    <s v="Medium"/>
    <s v="IT"/>
    <s v="EMP_9"/>
    <d v="2024-03-17T13:16:00"/>
    <d v="2024-03-17T13:53:00"/>
    <n v="14"/>
    <n v="37"/>
    <n v="1"/>
    <s v="Level 2"/>
    <n v="7"/>
    <n v="114.14"/>
  </r>
  <r>
    <s v="WF_704"/>
    <x v="0"/>
    <x v="703"/>
    <s v="Review"/>
    <s v="Low"/>
    <s v="HR"/>
    <s v="EMP_130"/>
    <d v="2024-05-26T04:00:00"/>
    <d v="2024-05-26T08:39:00"/>
    <n v="222"/>
    <n v="279"/>
    <n v="1"/>
    <s v="Level 2"/>
    <n v="5"/>
    <n v="178.42"/>
  </r>
  <r>
    <s v="WF_705"/>
    <x v="0"/>
    <x v="704"/>
    <s v="Validation"/>
    <s v="Low"/>
    <s v="Finance"/>
    <s v="EMP_119"/>
    <d v="2024-08-11T03:54:00"/>
    <d v="2024-08-11T06:06:00"/>
    <n v="75"/>
    <n v="132"/>
    <n v="1"/>
    <s v="Level 1"/>
    <n v="9"/>
    <n v="375.2"/>
  </r>
  <r>
    <s v="WF_706"/>
    <x v="0"/>
    <x v="705"/>
    <s v="Approval"/>
    <s v="Critical"/>
    <s v="Operations"/>
    <s v="EMP_62"/>
    <d v="2024-05-18T16:13:00"/>
    <d v="2024-05-18T19:31:00"/>
    <n v="121"/>
    <n v="198"/>
    <n v="1"/>
    <s v="Level 1"/>
    <n v="8"/>
    <n v="254.86"/>
  </r>
  <r>
    <s v="WF_707"/>
    <x v="4"/>
    <x v="706"/>
    <s v="Approval"/>
    <s v="Critical"/>
    <s v="IT"/>
    <s v="EMP_58"/>
    <d v="2024-12-17T01:14:00"/>
    <d v="2024-12-17T03:56:00"/>
    <n v="162"/>
    <n v="162"/>
    <n v="0"/>
    <s v="Level 3"/>
    <n v="3"/>
    <n v="53.94"/>
  </r>
  <r>
    <s v="WF_708"/>
    <x v="3"/>
    <x v="707"/>
    <s v="Data Entry"/>
    <s v="High"/>
    <s v="Customer Service"/>
    <s v="EMP_124"/>
    <d v="2024-01-21T05:38:00"/>
    <d v="2024-01-21T08:39:00"/>
    <n v="184"/>
    <n v="181"/>
    <n v="0"/>
    <s v="Level 3"/>
    <n v="8"/>
    <n v="299.5"/>
  </r>
  <r>
    <s v="WF_709"/>
    <x v="0"/>
    <x v="708"/>
    <s v="Review"/>
    <s v="Medium"/>
    <s v="IT"/>
    <s v="EMP_71"/>
    <d v="2024-01-05T09:37:00"/>
    <d v="2024-01-05T13:22:00"/>
    <n v="212"/>
    <n v="225"/>
    <n v="1"/>
    <s v="Level 3"/>
    <n v="7"/>
    <n v="329.41"/>
  </r>
  <r>
    <s v="WF_710"/>
    <x v="1"/>
    <x v="709"/>
    <s v="Approval"/>
    <s v="Critical"/>
    <s v="Finance"/>
    <s v="EMP_36"/>
    <d v="2024-07-01T03:19:00"/>
    <d v="2024-07-01T07:17:00"/>
    <n v="195"/>
    <n v="238"/>
    <n v="1"/>
    <s v="Level 1"/>
    <n v="8"/>
    <n v="369.91"/>
  </r>
  <r>
    <s v="WF_711"/>
    <x v="2"/>
    <x v="710"/>
    <s v="Validation"/>
    <s v="Low"/>
    <s v="Operations"/>
    <s v="EMP_25"/>
    <d v="2024-04-28T14:54:00"/>
    <d v="2024-04-28T16:29:00"/>
    <n v="17"/>
    <n v="95"/>
    <n v="1"/>
    <s v="Level 2"/>
    <n v="10"/>
    <n v="298.86"/>
  </r>
  <r>
    <s v="WF_712"/>
    <x v="1"/>
    <x v="711"/>
    <s v="Validation"/>
    <s v="High"/>
    <s v="Finance"/>
    <s v="EMP_54"/>
    <d v="2024-04-24T06:11:00"/>
    <d v="2024-04-24T09:35:00"/>
    <n v="187"/>
    <n v="204"/>
    <n v="1"/>
    <s v="Level 2"/>
    <n v="10"/>
    <n v="318.04000000000002"/>
  </r>
  <r>
    <s v="WF_713"/>
    <x v="2"/>
    <x v="712"/>
    <s v="Validation"/>
    <s v="Low"/>
    <s v="Finance"/>
    <s v="EMP_35"/>
    <d v="2024-01-18T03:48:00"/>
    <d v="2024-01-18T08:57:00"/>
    <n v="202"/>
    <n v="309"/>
    <n v="1"/>
    <s v="Level 1"/>
    <n v="1"/>
    <n v="361.75"/>
  </r>
  <r>
    <s v="WF_714"/>
    <x v="4"/>
    <x v="713"/>
    <s v="Approval"/>
    <s v="High"/>
    <s v="Customer Service"/>
    <s v="EMP_106"/>
    <d v="2024-09-15T15:14:00"/>
    <d v="2024-09-15T18:44:00"/>
    <n v="101"/>
    <n v="210"/>
    <n v="1"/>
    <s v="Level 1"/>
    <n v="10"/>
    <n v="282.02999999999997"/>
  </r>
  <r>
    <s v="WF_715"/>
    <x v="4"/>
    <x v="714"/>
    <s v="Escalation"/>
    <s v="Low"/>
    <s v="Customer Service"/>
    <s v="EMP_16"/>
    <d v="2024-06-04T13:47:00"/>
    <d v="2024-06-04T14:57:00"/>
    <n v="37"/>
    <n v="70"/>
    <n v="1"/>
    <s v="Level 2"/>
    <n v="2"/>
    <n v="223.59"/>
  </r>
  <r>
    <s v="WF_716"/>
    <x v="2"/>
    <x v="715"/>
    <s v="Escalation"/>
    <s v="Medium"/>
    <s v="Operations"/>
    <s v="EMP_136"/>
    <d v="2024-06-10T08:21:00"/>
    <d v="2024-06-10T11:42:00"/>
    <n v="163"/>
    <n v="201"/>
    <n v="1"/>
    <s v="Level 3"/>
    <n v="10"/>
    <n v="199.58"/>
  </r>
  <r>
    <s v="WF_717"/>
    <x v="2"/>
    <x v="716"/>
    <s v="Escalation"/>
    <s v="High"/>
    <s v="Finance"/>
    <s v="EMP_23"/>
    <d v="2024-11-01T14:28:00"/>
    <d v="2024-11-01T18:53:00"/>
    <n v="155"/>
    <n v="265"/>
    <n v="1"/>
    <s v="Level 1"/>
    <n v="3"/>
    <n v="317.87"/>
  </r>
  <r>
    <s v="WF_718"/>
    <x v="2"/>
    <x v="717"/>
    <s v="Review"/>
    <s v="High"/>
    <s v="Operations"/>
    <s v="EMP_23"/>
    <d v="2024-04-17T02:57:00"/>
    <d v="2024-04-17T05:21:00"/>
    <n v="61"/>
    <n v="144"/>
    <n v="1"/>
    <s v="Level 3"/>
    <n v="3"/>
    <n v="321.08"/>
  </r>
  <r>
    <s v="WF_719"/>
    <x v="3"/>
    <x v="718"/>
    <s v="Review"/>
    <s v="Low"/>
    <s v="Customer Service"/>
    <s v="EMP_57"/>
    <d v="2024-02-17T15:23:00"/>
    <d v="2024-02-17T20:03:00"/>
    <n v="187"/>
    <n v="280"/>
    <n v="1"/>
    <s v="Level 2"/>
    <n v="9"/>
    <n v="184.46"/>
  </r>
  <r>
    <s v="WF_720"/>
    <x v="1"/>
    <x v="719"/>
    <s v="Review"/>
    <s v="Low"/>
    <s v="Operations"/>
    <s v="EMP_12"/>
    <d v="2024-10-30T10:03:00"/>
    <d v="2024-10-30T12:14:00"/>
    <n v="69"/>
    <n v="131"/>
    <n v="1"/>
    <s v="Level 2"/>
    <n v="4"/>
    <n v="58.81"/>
  </r>
  <r>
    <s v="WF_721"/>
    <x v="3"/>
    <x v="720"/>
    <s v="Review"/>
    <s v="Critical"/>
    <s v="Operations"/>
    <s v="EMP_143"/>
    <d v="2024-11-28T09:56:00"/>
    <d v="2024-11-28T13:00:00"/>
    <n v="149"/>
    <n v="184"/>
    <n v="1"/>
    <s v="Level 1"/>
    <n v="2"/>
    <n v="496.44"/>
  </r>
  <r>
    <s v="WF_722"/>
    <x v="0"/>
    <x v="721"/>
    <s v="Data Entry"/>
    <s v="Critical"/>
    <s v="Customer Service"/>
    <s v="EMP_141"/>
    <d v="2024-05-01T22:29:00"/>
    <d v="2024-05-02T01:59:00"/>
    <n v="145"/>
    <n v="210"/>
    <n v="1"/>
    <s v="Level 2"/>
    <n v="8"/>
    <n v="85.59"/>
  </r>
  <r>
    <s v="WF_723"/>
    <x v="2"/>
    <x v="722"/>
    <s v="Validation"/>
    <s v="Critical"/>
    <s v="Finance"/>
    <s v="EMP_125"/>
    <d v="2024-09-23T16:44:00"/>
    <d v="2024-09-23T19:18:00"/>
    <n v="63"/>
    <n v="154"/>
    <n v="1"/>
    <s v="Level 3"/>
    <n v="8"/>
    <n v="63.18"/>
  </r>
  <r>
    <s v="WF_724"/>
    <x v="4"/>
    <x v="723"/>
    <s v="Approval"/>
    <s v="Medium"/>
    <s v="HR"/>
    <s v="EMP_121"/>
    <d v="2024-09-30T07:30:00"/>
    <d v="2024-09-30T11:16:00"/>
    <n v="183"/>
    <n v="226"/>
    <n v="1"/>
    <s v="Level 2"/>
    <n v="3"/>
    <n v="445.41"/>
  </r>
  <r>
    <s v="WF_725"/>
    <x v="0"/>
    <x v="724"/>
    <s v="Approval"/>
    <s v="Critical"/>
    <s v="HR"/>
    <s v="EMP_108"/>
    <d v="2024-06-13T19:49:00"/>
    <d v="2024-06-13T20:32:00"/>
    <n v="18"/>
    <n v="43"/>
    <n v="1"/>
    <s v="Level 1"/>
    <n v="4"/>
    <n v="484.16"/>
  </r>
  <r>
    <s v="WF_726"/>
    <x v="2"/>
    <x v="725"/>
    <s v="Escalation"/>
    <s v="High"/>
    <s v="HR"/>
    <s v="EMP_110"/>
    <d v="2024-12-26T21:03:00"/>
    <d v="2024-12-26T23:30:00"/>
    <n v="108"/>
    <n v="147"/>
    <n v="1"/>
    <s v="Level 3"/>
    <n v="6"/>
    <n v="158.05000000000001"/>
  </r>
  <r>
    <s v="WF_727"/>
    <x v="2"/>
    <x v="726"/>
    <s v="Escalation"/>
    <s v="High"/>
    <s v="HR"/>
    <s v="EMP_38"/>
    <d v="2024-10-05T06:10:00"/>
    <d v="2024-10-05T08:54:00"/>
    <n v="48"/>
    <n v="164"/>
    <n v="1"/>
    <s v="Level 3"/>
    <n v="3"/>
    <n v="371.05"/>
  </r>
  <r>
    <s v="WF_728"/>
    <x v="3"/>
    <x v="727"/>
    <s v="Review"/>
    <s v="High"/>
    <s v="Finance"/>
    <s v="EMP_88"/>
    <d v="2024-03-03T14:48:00"/>
    <d v="2024-03-03T18:06:00"/>
    <n v="196"/>
    <n v="198"/>
    <n v="1"/>
    <s v="Level 2"/>
    <n v="4"/>
    <n v="125.34"/>
  </r>
  <r>
    <s v="WF_729"/>
    <x v="4"/>
    <x v="728"/>
    <s v="Data Entry"/>
    <s v="High"/>
    <s v="HR"/>
    <s v="EMP_111"/>
    <d v="2024-09-25T02:50:00"/>
    <d v="2024-09-25T05:04:00"/>
    <n v="20"/>
    <n v="134"/>
    <n v="1"/>
    <s v="Level 1"/>
    <n v="4"/>
    <n v="162.06"/>
  </r>
  <r>
    <s v="WF_730"/>
    <x v="1"/>
    <x v="729"/>
    <s v="Validation"/>
    <s v="Medium"/>
    <s v="IT"/>
    <s v="EMP_118"/>
    <d v="2024-03-18T10:23:00"/>
    <d v="2024-03-18T12:52:00"/>
    <n v="102"/>
    <n v="149"/>
    <n v="1"/>
    <s v="Level 1"/>
    <n v="4"/>
    <n v="390.98"/>
  </r>
  <r>
    <s v="WF_731"/>
    <x v="1"/>
    <x v="730"/>
    <s v="Validation"/>
    <s v="Medium"/>
    <s v="Finance"/>
    <s v="EMP_105"/>
    <d v="2024-09-12T13:57:00"/>
    <d v="2024-09-12T14:54:00"/>
    <n v="22"/>
    <n v="57"/>
    <n v="1"/>
    <s v="Level 3"/>
    <n v="7"/>
    <n v="471.83"/>
  </r>
  <r>
    <s v="WF_732"/>
    <x v="3"/>
    <x v="731"/>
    <s v="Approval"/>
    <s v="Medium"/>
    <s v="Operations"/>
    <s v="EMP_138"/>
    <d v="2024-02-10T22:33:00"/>
    <d v="2024-02-11T00:24:00"/>
    <n v="34"/>
    <n v="111"/>
    <n v="1"/>
    <s v="Level 3"/>
    <n v="6"/>
    <n v="154.53"/>
  </r>
  <r>
    <s v="WF_733"/>
    <x v="2"/>
    <x v="732"/>
    <s v="Approval"/>
    <s v="Low"/>
    <s v="Customer Service"/>
    <s v="EMP_146"/>
    <d v="2024-11-25T23:56:00"/>
    <d v="2024-11-26T04:11:00"/>
    <n v="204"/>
    <n v="255"/>
    <n v="1"/>
    <s v="Level 3"/>
    <n v="5"/>
    <n v="250.12"/>
  </r>
  <r>
    <s v="WF_734"/>
    <x v="2"/>
    <x v="733"/>
    <s v="Validation"/>
    <s v="Medium"/>
    <s v="Customer Service"/>
    <s v="EMP_68"/>
    <d v="2024-04-13T01:42:00"/>
    <d v="2024-04-13T04:15:00"/>
    <n v="132"/>
    <n v="153"/>
    <n v="1"/>
    <s v="Level 1"/>
    <n v="10"/>
    <n v="414.56"/>
  </r>
  <r>
    <s v="WF_735"/>
    <x v="1"/>
    <x v="734"/>
    <s v="Data Entry"/>
    <s v="Critical"/>
    <s v="Customer Service"/>
    <s v="EMP_50"/>
    <d v="2024-09-30T18:50:00"/>
    <d v="2024-09-30T19:29:00"/>
    <n v="32"/>
    <n v="39"/>
    <n v="1"/>
    <s v="Level 1"/>
    <n v="3"/>
    <n v="304.83999999999997"/>
  </r>
  <r>
    <s v="WF_736"/>
    <x v="4"/>
    <x v="735"/>
    <s v="Data Entry"/>
    <s v="Critical"/>
    <s v="IT"/>
    <s v="EMP_22"/>
    <d v="2024-04-24T00:59:00"/>
    <d v="2024-04-24T06:54:00"/>
    <n v="237"/>
    <n v="355"/>
    <n v="1"/>
    <s v="Level 3"/>
    <n v="7"/>
    <n v="321.06"/>
  </r>
  <r>
    <s v="WF_737"/>
    <x v="3"/>
    <x v="736"/>
    <s v="Data Entry"/>
    <s v="Low"/>
    <s v="Finance"/>
    <s v="EMP_10"/>
    <d v="2024-08-11T06:52:00"/>
    <d v="2024-08-11T08:52:00"/>
    <n v="14"/>
    <n v="120"/>
    <n v="1"/>
    <s v="Level 3"/>
    <n v="1"/>
    <n v="50.68"/>
  </r>
  <r>
    <s v="WF_738"/>
    <x v="4"/>
    <x v="737"/>
    <s v="Approval"/>
    <s v="High"/>
    <s v="IT"/>
    <s v="EMP_52"/>
    <d v="2024-06-25T22:12:00"/>
    <d v="2024-06-26T00:06:00"/>
    <n v="24"/>
    <n v="114"/>
    <n v="1"/>
    <s v="Level 2"/>
    <n v="6"/>
    <n v="225.47"/>
  </r>
  <r>
    <s v="WF_739"/>
    <x v="1"/>
    <x v="738"/>
    <s v="Data Entry"/>
    <s v="Medium"/>
    <s v="Finance"/>
    <s v="EMP_49"/>
    <d v="2024-05-25T14:12:00"/>
    <d v="2024-05-25T18:11:00"/>
    <n v="202"/>
    <n v="239"/>
    <n v="1"/>
    <s v="Level 2"/>
    <n v="6"/>
    <n v="236.14"/>
  </r>
  <r>
    <s v="WF_740"/>
    <x v="3"/>
    <x v="739"/>
    <s v="Review"/>
    <s v="Low"/>
    <s v="Customer Service"/>
    <s v="EMP_43"/>
    <d v="2024-03-11T02:28:00"/>
    <d v="2024-03-11T04:57:00"/>
    <n v="70"/>
    <n v="149"/>
    <n v="1"/>
    <s v="Level 2"/>
    <n v="5"/>
    <n v="287.17"/>
  </r>
  <r>
    <s v="WF_741"/>
    <x v="3"/>
    <x v="740"/>
    <s v="Validation"/>
    <s v="Low"/>
    <s v="HR"/>
    <s v="EMP_138"/>
    <d v="2024-02-28T13:49:00"/>
    <d v="2024-02-28T17:43:00"/>
    <n v="115"/>
    <n v="234"/>
    <n v="1"/>
    <s v="Level 2"/>
    <n v="1"/>
    <n v="385.01"/>
  </r>
  <r>
    <s v="WF_742"/>
    <x v="0"/>
    <x v="741"/>
    <s v="Approval"/>
    <s v="Low"/>
    <s v="Operations"/>
    <s v="EMP_126"/>
    <d v="2024-12-08T03:35:00"/>
    <d v="2024-12-08T08:17:00"/>
    <n v="169"/>
    <n v="282"/>
    <n v="1"/>
    <s v="Level 1"/>
    <n v="9"/>
    <n v="302.12"/>
  </r>
  <r>
    <s v="WF_743"/>
    <x v="2"/>
    <x v="742"/>
    <s v="Validation"/>
    <s v="High"/>
    <s v="IT"/>
    <s v="EMP_73"/>
    <d v="2024-06-22T17:02:00"/>
    <d v="2024-06-22T20:33:00"/>
    <n v="185"/>
    <n v="211"/>
    <n v="1"/>
    <s v="Level 1"/>
    <n v="3"/>
    <n v="195.17"/>
  </r>
  <r>
    <s v="WF_744"/>
    <x v="1"/>
    <x v="743"/>
    <s v="Data Entry"/>
    <s v="High"/>
    <s v="IT"/>
    <s v="EMP_8"/>
    <d v="2024-11-09T17:49:00"/>
    <d v="2024-11-09T19:02:00"/>
    <n v="49"/>
    <n v="73"/>
    <n v="1"/>
    <s v="Level 1"/>
    <n v="1"/>
    <n v="453.9"/>
  </r>
  <r>
    <s v="WF_745"/>
    <x v="4"/>
    <x v="744"/>
    <s v="Approval"/>
    <s v="Medium"/>
    <s v="Customer Service"/>
    <s v="EMP_97"/>
    <d v="2024-05-25T23:10:00"/>
    <d v="2024-05-26T03:49:00"/>
    <n v="169"/>
    <n v="279"/>
    <n v="1"/>
    <s v="Level 3"/>
    <n v="9"/>
    <n v="422.61"/>
  </r>
  <r>
    <s v="WF_746"/>
    <x v="3"/>
    <x v="745"/>
    <s v="Approval"/>
    <s v="Medium"/>
    <s v="Operations"/>
    <s v="EMP_57"/>
    <d v="2024-05-01T07:42:00"/>
    <d v="2024-05-01T11:07:00"/>
    <n v="206"/>
    <n v="205"/>
    <n v="0"/>
    <s v="Level 3"/>
    <n v="9"/>
    <n v="205.95"/>
  </r>
  <r>
    <s v="WF_747"/>
    <x v="3"/>
    <x v="746"/>
    <s v="Data Entry"/>
    <s v="High"/>
    <s v="Customer Service"/>
    <s v="EMP_45"/>
    <d v="2024-11-29T16:54:00"/>
    <d v="2024-11-29T18:39:00"/>
    <n v="19"/>
    <n v="105"/>
    <n v="1"/>
    <s v="Level 3"/>
    <n v="5"/>
    <n v="341.21"/>
  </r>
  <r>
    <s v="WF_748"/>
    <x v="3"/>
    <x v="747"/>
    <s v="Approval"/>
    <s v="Critical"/>
    <s v="Customer Service"/>
    <s v="EMP_3"/>
    <d v="2024-06-09T00:07:00"/>
    <d v="2024-06-09T02:29:00"/>
    <n v="130"/>
    <n v="142"/>
    <n v="1"/>
    <s v="Level 2"/>
    <n v="4"/>
    <n v="271.77"/>
  </r>
  <r>
    <s v="WF_749"/>
    <x v="0"/>
    <x v="748"/>
    <s v="Data Entry"/>
    <s v="Critical"/>
    <s v="HR"/>
    <s v="EMP_106"/>
    <d v="2024-11-14T06:08:00"/>
    <d v="2024-11-14T06:56:00"/>
    <n v="50"/>
    <n v="48"/>
    <n v="0"/>
    <s v="Level 2"/>
    <n v="10"/>
    <n v="311.14999999999998"/>
  </r>
  <r>
    <s v="WF_750"/>
    <x v="4"/>
    <x v="749"/>
    <s v="Escalation"/>
    <s v="High"/>
    <s v="IT"/>
    <s v="EMP_115"/>
    <d v="2024-06-15T08:17:00"/>
    <d v="2024-06-15T10:44:00"/>
    <n v="91"/>
    <n v="147"/>
    <n v="1"/>
    <s v="Level 3"/>
    <n v="5"/>
    <n v="256.27"/>
  </r>
  <r>
    <s v="WF_751"/>
    <x v="0"/>
    <x v="750"/>
    <s v="Escalation"/>
    <s v="High"/>
    <s v="Finance"/>
    <s v="EMP_77"/>
    <d v="2024-10-30T09:14:00"/>
    <d v="2024-10-30T12:16:00"/>
    <n v="106"/>
    <n v="182"/>
    <n v="1"/>
    <s v="Level 2"/>
    <n v="7"/>
    <n v="51.04"/>
  </r>
  <r>
    <s v="WF_752"/>
    <x v="3"/>
    <x v="751"/>
    <s v="Approval"/>
    <s v="Low"/>
    <s v="Finance"/>
    <s v="EMP_69"/>
    <d v="2024-08-08T13:01:00"/>
    <d v="2024-08-08T17:35:00"/>
    <n v="215"/>
    <n v="274"/>
    <n v="1"/>
    <s v="Level 2"/>
    <n v="9"/>
    <n v="410.84"/>
  </r>
  <r>
    <s v="WF_753"/>
    <x v="4"/>
    <x v="752"/>
    <s v="Review"/>
    <s v="Low"/>
    <s v="Customer Service"/>
    <s v="EMP_73"/>
    <d v="2024-11-29T22:28:00"/>
    <d v="2024-11-30T01:10:00"/>
    <n v="83"/>
    <n v="162"/>
    <n v="1"/>
    <s v="Level 3"/>
    <n v="1"/>
    <n v="426.6"/>
  </r>
  <r>
    <s v="WF_754"/>
    <x v="2"/>
    <x v="753"/>
    <s v="Escalation"/>
    <s v="Medium"/>
    <s v="Operations"/>
    <s v="EMP_71"/>
    <d v="2024-01-05T08:07:00"/>
    <d v="2024-01-05T12:22:00"/>
    <n v="153"/>
    <n v="255"/>
    <n v="1"/>
    <s v="Level 2"/>
    <n v="3"/>
    <n v="263.2"/>
  </r>
  <r>
    <s v="WF_755"/>
    <x v="4"/>
    <x v="754"/>
    <s v="Validation"/>
    <s v="Low"/>
    <s v="Finance"/>
    <s v="EMP_64"/>
    <d v="2024-06-05T13:38:00"/>
    <d v="2024-06-05T15:51:00"/>
    <n v="78"/>
    <n v="133"/>
    <n v="1"/>
    <s v="Level 2"/>
    <n v="7"/>
    <n v="247.27"/>
  </r>
  <r>
    <s v="WF_756"/>
    <x v="4"/>
    <x v="755"/>
    <s v="Review"/>
    <s v="Low"/>
    <s v="Operations"/>
    <s v="EMP_61"/>
    <d v="2024-04-28T05:48:00"/>
    <d v="2024-04-28T10:31:00"/>
    <n v="219"/>
    <n v="283"/>
    <n v="1"/>
    <s v="Level 2"/>
    <n v="9"/>
    <n v="130.35"/>
  </r>
  <r>
    <s v="WF_757"/>
    <x v="3"/>
    <x v="756"/>
    <s v="Validation"/>
    <s v="High"/>
    <s v="IT"/>
    <s v="EMP_113"/>
    <d v="2024-05-21T00:09:00"/>
    <d v="2024-05-21T04:42:00"/>
    <n v="203"/>
    <n v="273"/>
    <n v="1"/>
    <s v="Level 3"/>
    <n v="4"/>
    <n v="410.06"/>
  </r>
  <r>
    <s v="WF_758"/>
    <x v="1"/>
    <x v="757"/>
    <s v="Review"/>
    <s v="Low"/>
    <s v="Operations"/>
    <s v="EMP_58"/>
    <d v="2024-08-04T09:27:00"/>
    <d v="2024-08-04T14:01:00"/>
    <n v="158"/>
    <n v="274"/>
    <n v="1"/>
    <s v="Level 1"/>
    <n v="1"/>
    <n v="497.73"/>
  </r>
  <r>
    <s v="WF_759"/>
    <x v="2"/>
    <x v="758"/>
    <s v="Review"/>
    <s v="Critical"/>
    <s v="HR"/>
    <s v="EMP_104"/>
    <d v="2024-09-21T18:33:00"/>
    <d v="2024-09-21T22:09:00"/>
    <n v="135"/>
    <n v="216"/>
    <n v="1"/>
    <s v="Level 1"/>
    <n v="8"/>
    <n v="486.92"/>
  </r>
  <r>
    <s v="WF_760"/>
    <x v="2"/>
    <x v="759"/>
    <s v="Review"/>
    <s v="Critical"/>
    <s v="HR"/>
    <s v="EMP_3"/>
    <d v="2024-12-04T11:50:00"/>
    <d v="2024-12-04T14:27:00"/>
    <n v="91"/>
    <n v="157"/>
    <n v="1"/>
    <s v="Level 2"/>
    <n v="8"/>
    <n v="207.67"/>
  </r>
  <r>
    <s v="WF_761"/>
    <x v="0"/>
    <x v="760"/>
    <s v="Review"/>
    <s v="Low"/>
    <s v="HR"/>
    <s v="EMP_84"/>
    <d v="2024-01-29T17:26:00"/>
    <d v="2024-01-29T19:28:00"/>
    <n v="54"/>
    <n v="122"/>
    <n v="1"/>
    <s v="Level 2"/>
    <n v="5"/>
    <n v="387.2"/>
  </r>
  <r>
    <s v="WF_762"/>
    <x v="3"/>
    <x v="761"/>
    <s v="Approval"/>
    <s v="Critical"/>
    <s v="Finance"/>
    <s v="EMP_79"/>
    <d v="2024-05-07T09:05:00"/>
    <d v="2024-05-07T14:20:00"/>
    <n v="196"/>
    <n v="315"/>
    <n v="1"/>
    <s v="Level 2"/>
    <n v="3"/>
    <n v="329.82"/>
  </r>
  <r>
    <s v="WF_763"/>
    <x v="0"/>
    <x v="762"/>
    <s v="Validation"/>
    <s v="Low"/>
    <s v="IT"/>
    <s v="EMP_34"/>
    <d v="2024-09-15T13:29:00"/>
    <d v="2024-09-15T15:33:00"/>
    <n v="48"/>
    <n v="124"/>
    <n v="1"/>
    <s v="Level 3"/>
    <n v="1"/>
    <n v="306.83999999999997"/>
  </r>
  <r>
    <s v="WF_764"/>
    <x v="3"/>
    <x v="763"/>
    <s v="Escalation"/>
    <s v="High"/>
    <s v="Finance"/>
    <s v="EMP_97"/>
    <d v="2024-12-11T22:24:00"/>
    <d v="2024-12-12T01:10:00"/>
    <n v="79"/>
    <n v="166"/>
    <n v="1"/>
    <s v="Level 3"/>
    <n v="7"/>
    <n v="159.24"/>
  </r>
  <r>
    <s v="WF_765"/>
    <x v="3"/>
    <x v="764"/>
    <s v="Escalation"/>
    <s v="Low"/>
    <s v="HR"/>
    <s v="EMP_4"/>
    <d v="2024-07-16T05:47:00"/>
    <d v="2024-07-16T08:43:00"/>
    <n v="137"/>
    <n v="176"/>
    <n v="1"/>
    <s v="Level 2"/>
    <n v="2"/>
    <n v="262.45999999999998"/>
  </r>
  <r>
    <s v="WF_766"/>
    <x v="1"/>
    <x v="765"/>
    <s v="Escalation"/>
    <s v="Low"/>
    <s v="Customer Service"/>
    <s v="EMP_144"/>
    <d v="2024-07-07T10:19:00"/>
    <d v="2024-07-07T13:01:00"/>
    <n v="47"/>
    <n v="162"/>
    <n v="1"/>
    <s v="Level 1"/>
    <n v="7"/>
    <n v="428.51"/>
  </r>
  <r>
    <s v="WF_767"/>
    <x v="4"/>
    <x v="766"/>
    <s v="Approval"/>
    <s v="Critical"/>
    <s v="Finance"/>
    <s v="EMP_85"/>
    <d v="2024-01-22T22:13:00"/>
    <d v="2024-01-23T00:39:00"/>
    <n v="102"/>
    <n v="146"/>
    <n v="1"/>
    <s v="Level 3"/>
    <n v="3"/>
    <n v="365.44"/>
  </r>
  <r>
    <s v="WF_768"/>
    <x v="3"/>
    <x v="767"/>
    <s v="Data Entry"/>
    <s v="High"/>
    <s v="IT"/>
    <s v="EMP_1"/>
    <d v="2024-12-22T20:40:00"/>
    <d v="2024-12-22T22:43:00"/>
    <n v="35"/>
    <n v="123"/>
    <n v="1"/>
    <s v="Level 3"/>
    <n v="6"/>
    <n v="82.67"/>
  </r>
  <r>
    <s v="WF_769"/>
    <x v="2"/>
    <x v="768"/>
    <s v="Escalation"/>
    <s v="Low"/>
    <s v="Finance"/>
    <s v="EMP_65"/>
    <d v="2024-07-09T16:40:00"/>
    <d v="2024-07-09T20:34:00"/>
    <n v="116"/>
    <n v="234"/>
    <n v="1"/>
    <s v="Level 2"/>
    <n v="1"/>
    <n v="135.1"/>
  </r>
  <r>
    <s v="WF_770"/>
    <x v="0"/>
    <x v="769"/>
    <s v="Validation"/>
    <s v="Low"/>
    <s v="Customer Service"/>
    <s v="EMP_105"/>
    <d v="2024-06-24T19:12:00"/>
    <d v="2024-06-24T21:10:00"/>
    <n v="72"/>
    <n v="118"/>
    <n v="1"/>
    <s v="Level 1"/>
    <n v="8"/>
    <n v="199.01"/>
  </r>
  <r>
    <s v="WF_771"/>
    <x v="0"/>
    <x v="770"/>
    <s v="Review"/>
    <s v="Low"/>
    <s v="IT"/>
    <s v="EMP_8"/>
    <d v="2024-11-27T13:10:00"/>
    <d v="2024-11-27T15:53:00"/>
    <n v="127"/>
    <n v="163"/>
    <n v="1"/>
    <s v="Level 3"/>
    <n v="2"/>
    <n v="63.64"/>
  </r>
  <r>
    <s v="WF_772"/>
    <x v="4"/>
    <x v="771"/>
    <s v="Escalation"/>
    <s v="Critical"/>
    <s v="HR"/>
    <s v="EMP_19"/>
    <d v="2024-05-16T13:23:00"/>
    <d v="2024-05-16T15:54:00"/>
    <n v="68"/>
    <n v="151"/>
    <n v="1"/>
    <s v="Level 3"/>
    <n v="5"/>
    <n v="197.41"/>
  </r>
  <r>
    <s v="WF_773"/>
    <x v="0"/>
    <x v="772"/>
    <s v="Validation"/>
    <s v="Medium"/>
    <s v="Customer Service"/>
    <s v="EMP_35"/>
    <d v="2024-09-17T00:35:00"/>
    <d v="2024-09-17T05:44:00"/>
    <n v="214"/>
    <n v="309"/>
    <n v="1"/>
    <s v="Level 3"/>
    <n v="4"/>
    <n v="203.92"/>
  </r>
  <r>
    <s v="WF_774"/>
    <x v="1"/>
    <x v="773"/>
    <s v="Approval"/>
    <s v="High"/>
    <s v="HR"/>
    <s v="EMP_144"/>
    <d v="2024-01-09T00:15:00"/>
    <d v="2024-01-09T02:18:00"/>
    <n v="97"/>
    <n v="123"/>
    <n v="1"/>
    <s v="Level 1"/>
    <n v="4"/>
    <n v="206.23"/>
  </r>
  <r>
    <s v="WF_775"/>
    <x v="1"/>
    <x v="774"/>
    <s v="Data Entry"/>
    <s v="High"/>
    <s v="IT"/>
    <s v="EMP_45"/>
    <d v="2024-04-13T07:27:00"/>
    <d v="2024-04-13T12:00:00"/>
    <n v="200"/>
    <n v="273"/>
    <n v="1"/>
    <s v="Level 1"/>
    <n v="10"/>
    <n v="172.93"/>
  </r>
  <r>
    <s v="WF_776"/>
    <x v="3"/>
    <x v="775"/>
    <s v="Review"/>
    <s v="High"/>
    <s v="Operations"/>
    <s v="EMP_101"/>
    <d v="2024-02-11T04:30:00"/>
    <d v="2024-02-11T07:10:00"/>
    <n v="153"/>
    <n v="160"/>
    <n v="1"/>
    <s v="Level 1"/>
    <n v="9"/>
    <n v="373.17"/>
  </r>
  <r>
    <s v="WF_777"/>
    <x v="3"/>
    <x v="776"/>
    <s v="Approval"/>
    <s v="Low"/>
    <s v="Customer Service"/>
    <s v="EMP_87"/>
    <d v="2024-11-29T11:26:00"/>
    <d v="2024-11-29T12:25:00"/>
    <n v="14"/>
    <n v="59"/>
    <n v="1"/>
    <s v="Level 3"/>
    <n v="8"/>
    <n v="361.19"/>
  </r>
  <r>
    <s v="WF_778"/>
    <x v="4"/>
    <x v="777"/>
    <s v="Review"/>
    <s v="Critical"/>
    <s v="Finance"/>
    <s v="EMP_24"/>
    <d v="2024-07-31T08:48:00"/>
    <d v="2024-07-31T10:58:00"/>
    <n v="106"/>
    <n v="130"/>
    <n v="1"/>
    <s v="Level 1"/>
    <n v="4"/>
    <n v="311.33"/>
  </r>
  <r>
    <s v="WF_779"/>
    <x v="0"/>
    <x v="778"/>
    <s v="Validation"/>
    <s v="High"/>
    <s v="IT"/>
    <s v="EMP_39"/>
    <d v="2024-05-26T10:59:00"/>
    <d v="2024-05-26T13:15:00"/>
    <n v="79"/>
    <n v="136"/>
    <n v="1"/>
    <s v="Level 3"/>
    <n v="7"/>
    <n v="426.71"/>
  </r>
  <r>
    <s v="WF_780"/>
    <x v="0"/>
    <x v="779"/>
    <s v="Approval"/>
    <s v="Critical"/>
    <s v="Operations"/>
    <s v="EMP_129"/>
    <d v="2024-07-16T23:15:00"/>
    <d v="2024-07-17T00:22:00"/>
    <n v="53"/>
    <n v="67"/>
    <n v="1"/>
    <s v="Level 2"/>
    <n v="10"/>
    <n v="219.74"/>
  </r>
  <r>
    <s v="WF_781"/>
    <x v="3"/>
    <x v="780"/>
    <s v="Validation"/>
    <s v="High"/>
    <s v="Operations"/>
    <s v="EMP_115"/>
    <d v="2024-06-20T06:35:00"/>
    <d v="2024-06-20T08:49:00"/>
    <n v="89"/>
    <n v="134"/>
    <n v="1"/>
    <s v="Level 1"/>
    <n v="10"/>
    <n v="268.62"/>
  </r>
  <r>
    <s v="WF_782"/>
    <x v="1"/>
    <x v="781"/>
    <s v="Approval"/>
    <s v="Low"/>
    <s v="Customer Service"/>
    <s v="EMP_84"/>
    <d v="2024-03-31T21:39:00"/>
    <d v="2024-04-01T01:14:00"/>
    <n v="198"/>
    <n v="215"/>
    <n v="1"/>
    <s v="Level 3"/>
    <n v="9"/>
    <n v="218.45"/>
  </r>
  <r>
    <s v="WF_783"/>
    <x v="3"/>
    <x v="782"/>
    <s v="Escalation"/>
    <s v="Medium"/>
    <s v="Operations"/>
    <s v="EMP_66"/>
    <d v="2024-09-25T16:04:00"/>
    <d v="2024-09-25T20:29:00"/>
    <n v="174"/>
    <n v="265"/>
    <n v="1"/>
    <s v="Level 3"/>
    <n v="1"/>
    <n v="200.36"/>
  </r>
  <r>
    <s v="WF_784"/>
    <x v="0"/>
    <x v="783"/>
    <s v="Escalation"/>
    <s v="High"/>
    <s v="Operations"/>
    <s v="EMP_95"/>
    <d v="2024-06-08T07:01:00"/>
    <d v="2024-06-08T09:30:00"/>
    <n v="46"/>
    <n v="149"/>
    <n v="1"/>
    <s v="Level 2"/>
    <n v="1"/>
    <n v="214.12"/>
  </r>
  <r>
    <s v="WF_785"/>
    <x v="3"/>
    <x v="784"/>
    <s v="Approval"/>
    <s v="High"/>
    <s v="HR"/>
    <s v="EMP_44"/>
    <d v="2024-10-02T06:42:00"/>
    <d v="2024-10-02T10:28:00"/>
    <n v="217"/>
    <n v="226"/>
    <n v="1"/>
    <s v="Level 1"/>
    <n v="3"/>
    <n v="380.15"/>
  </r>
  <r>
    <s v="WF_786"/>
    <x v="4"/>
    <x v="785"/>
    <s v="Approval"/>
    <s v="Low"/>
    <s v="IT"/>
    <s v="EMP_143"/>
    <d v="2024-09-17T12:01:00"/>
    <d v="2024-09-17T16:31:00"/>
    <n v="232"/>
    <n v="270"/>
    <n v="1"/>
    <s v="Level 1"/>
    <n v="8"/>
    <n v="312.81"/>
  </r>
  <r>
    <s v="WF_787"/>
    <x v="2"/>
    <x v="786"/>
    <s v="Approval"/>
    <s v="High"/>
    <s v="Customer Service"/>
    <s v="EMP_123"/>
    <d v="2024-07-10T14:18:00"/>
    <d v="2024-07-10T19:05:00"/>
    <n v="181"/>
    <n v="287"/>
    <n v="1"/>
    <s v="Level 1"/>
    <n v="1"/>
    <n v="79.489999999999995"/>
  </r>
  <r>
    <s v="WF_788"/>
    <x v="4"/>
    <x v="787"/>
    <s v="Escalation"/>
    <s v="Critical"/>
    <s v="Finance"/>
    <s v="EMP_80"/>
    <d v="2024-08-27T22:28:00"/>
    <d v="2024-08-28T01:23:00"/>
    <n v="160"/>
    <n v="175"/>
    <n v="1"/>
    <s v="Level 1"/>
    <n v="5"/>
    <n v="454.35"/>
  </r>
  <r>
    <s v="WF_789"/>
    <x v="1"/>
    <x v="788"/>
    <s v="Validation"/>
    <s v="Critical"/>
    <s v="IT"/>
    <s v="EMP_146"/>
    <d v="2024-12-06T15:39:00"/>
    <d v="2024-12-06T20:58:00"/>
    <n v="232"/>
    <n v="319"/>
    <n v="1"/>
    <s v="Level 3"/>
    <n v="8"/>
    <n v="415.87"/>
  </r>
  <r>
    <s v="WF_790"/>
    <x v="0"/>
    <x v="789"/>
    <s v="Review"/>
    <s v="Medium"/>
    <s v="IT"/>
    <s v="EMP_78"/>
    <d v="2024-08-07T03:08:00"/>
    <d v="2024-08-07T05:29:00"/>
    <n v="85"/>
    <n v="141"/>
    <n v="1"/>
    <s v="Level 3"/>
    <n v="4"/>
    <n v="431.5"/>
  </r>
  <r>
    <s v="WF_791"/>
    <x v="2"/>
    <x v="790"/>
    <s v="Approval"/>
    <s v="Medium"/>
    <s v="Operations"/>
    <s v="EMP_84"/>
    <d v="2024-02-17T07:16:00"/>
    <d v="2024-02-17T09:35:00"/>
    <n v="96"/>
    <n v="139"/>
    <n v="1"/>
    <s v="Level 1"/>
    <n v="6"/>
    <n v="100.11"/>
  </r>
  <r>
    <s v="WF_792"/>
    <x v="1"/>
    <x v="791"/>
    <s v="Approval"/>
    <s v="Medium"/>
    <s v="IT"/>
    <s v="EMP_109"/>
    <d v="2024-07-23T13:42:00"/>
    <d v="2024-07-23T15:19:00"/>
    <n v="48"/>
    <n v="97"/>
    <n v="1"/>
    <s v="Level 1"/>
    <n v="4"/>
    <n v="80.66"/>
  </r>
  <r>
    <s v="WF_793"/>
    <x v="0"/>
    <x v="792"/>
    <s v="Approval"/>
    <s v="High"/>
    <s v="Customer Service"/>
    <s v="EMP_70"/>
    <d v="2024-01-15T15:20:00"/>
    <d v="2024-01-15T19:44:00"/>
    <n v="202"/>
    <n v="264"/>
    <n v="1"/>
    <s v="Level 1"/>
    <n v="5"/>
    <n v="392.43"/>
  </r>
  <r>
    <s v="WF_794"/>
    <x v="4"/>
    <x v="793"/>
    <s v="Validation"/>
    <s v="Low"/>
    <s v="HR"/>
    <s v="EMP_98"/>
    <d v="2024-11-27T07:49:00"/>
    <d v="2024-11-27T11:45:00"/>
    <n v="218"/>
    <n v="236"/>
    <n v="1"/>
    <s v="Level 2"/>
    <n v="4"/>
    <n v="186.36"/>
  </r>
  <r>
    <s v="WF_795"/>
    <x v="4"/>
    <x v="794"/>
    <s v="Review"/>
    <s v="Critical"/>
    <s v="HR"/>
    <s v="EMP_59"/>
    <d v="2024-08-12T01:50:00"/>
    <d v="2024-08-12T06:17:00"/>
    <n v="182"/>
    <n v="267"/>
    <n v="1"/>
    <s v="Level 2"/>
    <n v="2"/>
    <n v="244.55"/>
  </r>
  <r>
    <s v="WF_796"/>
    <x v="0"/>
    <x v="795"/>
    <s v="Validation"/>
    <s v="Medium"/>
    <s v="Customer Service"/>
    <s v="EMP_76"/>
    <d v="2024-11-10T16:38:00"/>
    <d v="2024-11-10T21:56:00"/>
    <n v="201"/>
    <n v="318"/>
    <n v="1"/>
    <s v="Level 2"/>
    <n v="10"/>
    <n v="280.13"/>
  </r>
  <r>
    <s v="WF_797"/>
    <x v="1"/>
    <x v="796"/>
    <s v="Validation"/>
    <s v="Medium"/>
    <s v="Customer Service"/>
    <s v="EMP_134"/>
    <d v="2024-09-21T12:25:00"/>
    <d v="2024-09-21T16:14:00"/>
    <n v="169"/>
    <n v="229"/>
    <n v="1"/>
    <s v="Level 3"/>
    <n v="2"/>
    <n v="199.78"/>
  </r>
  <r>
    <s v="WF_798"/>
    <x v="1"/>
    <x v="797"/>
    <s v="Review"/>
    <s v="Medium"/>
    <s v="Customer Service"/>
    <s v="EMP_32"/>
    <d v="2024-05-04T13:18:00"/>
    <d v="2024-05-04T15:21:00"/>
    <n v="85"/>
    <n v="123"/>
    <n v="1"/>
    <s v="Level 1"/>
    <n v="10"/>
    <n v="313.49"/>
  </r>
  <r>
    <s v="WF_799"/>
    <x v="4"/>
    <x v="798"/>
    <s v="Data Entry"/>
    <s v="Low"/>
    <s v="Operations"/>
    <s v="EMP_31"/>
    <d v="2024-11-28T23:29:00"/>
    <d v="2024-11-29T01:17:00"/>
    <n v="15"/>
    <n v="108"/>
    <n v="1"/>
    <s v="Level 1"/>
    <n v="8"/>
    <n v="165.33"/>
  </r>
  <r>
    <s v="WF_800"/>
    <x v="0"/>
    <x v="799"/>
    <s v="Data Entry"/>
    <s v="Low"/>
    <s v="IT"/>
    <s v="EMP_90"/>
    <d v="2024-01-01T07:12:00"/>
    <d v="2024-01-01T13:00:00"/>
    <n v="240"/>
    <n v="348"/>
    <n v="1"/>
    <s v="Level 1"/>
    <n v="8"/>
    <n v="162.59"/>
  </r>
  <r>
    <s v="WF_801"/>
    <x v="4"/>
    <x v="800"/>
    <s v="Validation"/>
    <s v="High"/>
    <s v="IT"/>
    <s v="EMP_129"/>
    <d v="2024-12-26T01:28:00"/>
    <d v="2024-12-26T05:36:00"/>
    <n v="198"/>
    <n v="248"/>
    <n v="1"/>
    <s v="Level 1"/>
    <n v="4"/>
    <n v="491.98"/>
  </r>
  <r>
    <s v="WF_802"/>
    <x v="2"/>
    <x v="801"/>
    <s v="Escalation"/>
    <s v="Critical"/>
    <s v="Operations"/>
    <s v="EMP_97"/>
    <d v="2024-02-18T18:21:00"/>
    <d v="2024-02-18T20:01:00"/>
    <n v="60"/>
    <n v="100"/>
    <n v="1"/>
    <s v="Level 3"/>
    <n v="8"/>
    <n v="84.51"/>
  </r>
  <r>
    <s v="WF_803"/>
    <x v="1"/>
    <x v="802"/>
    <s v="Data Entry"/>
    <s v="Critical"/>
    <s v="HR"/>
    <s v="EMP_75"/>
    <d v="2024-03-20T05:42:00"/>
    <d v="2024-03-20T08:50:00"/>
    <n v="166"/>
    <n v="188"/>
    <n v="1"/>
    <s v="Level 1"/>
    <n v="7"/>
    <n v="138.13999999999999"/>
  </r>
  <r>
    <s v="WF_804"/>
    <x v="0"/>
    <x v="803"/>
    <s v="Data Entry"/>
    <s v="Medium"/>
    <s v="IT"/>
    <s v="EMP_47"/>
    <d v="2024-08-06T05:55:00"/>
    <d v="2024-08-06T07:39:00"/>
    <n v="43"/>
    <n v="104"/>
    <n v="1"/>
    <s v="Level 2"/>
    <n v="1"/>
    <n v="194.84"/>
  </r>
  <r>
    <s v="WF_805"/>
    <x v="3"/>
    <x v="804"/>
    <s v="Review"/>
    <s v="Low"/>
    <s v="Operations"/>
    <s v="EMP_34"/>
    <d v="2024-08-11T01:50:00"/>
    <d v="2024-08-11T05:14:00"/>
    <n v="95"/>
    <n v="204"/>
    <n v="1"/>
    <s v="Level 3"/>
    <n v="7"/>
    <n v="111.77"/>
  </r>
  <r>
    <s v="WF_806"/>
    <x v="3"/>
    <x v="805"/>
    <s v="Validation"/>
    <s v="Medium"/>
    <s v="Operations"/>
    <s v="EMP_115"/>
    <d v="2024-11-19T07:47:00"/>
    <d v="2024-11-19T12:11:00"/>
    <n v="152"/>
    <n v="264"/>
    <n v="1"/>
    <s v="Level 2"/>
    <n v="5"/>
    <n v="236.89"/>
  </r>
  <r>
    <s v="WF_807"/>
    <x v="1"/>
    <x v="806"/>
    <s v="Review"/>
    <s v="Medium"/>
    <s v="Finance"/>
    <s v="EMP_49"/>
    <d v="2024-03-28T05:23:00"/>
    <d v="2024-03-28T08:19:00"/>
    <n v="63"/>
    <n v="176"/>
    <n v="1"/>
    <s v="Level 2"/>
    <n v="10"/>
    <n v="333.15"/>
  </r>
  <r>
    <s v="WF_808"/>
    <x v="2"/>
    <x v="807"/>
    <s v="Validation"/>
    <s v="Low"/>
    <s v="HR"/>
    <s v="EMP_131"/>
    <d v="2024-01-30T10:48:00"/>
    <d v="2024-01-30T14:01:00"/>
    <n v="165"/>
    <n v="193"/>
    <n v="1"/>
    <s v="Level 1"/>
    <n v="6"/>
    <n v="80.3"/>
  </r>
  <r>
    <s v="WF_809"/>
    <x v="4"/>
    <x v="808"/>
    <s v="Approval"/>
    <s v="Critical"/>
    <s v="Operations"/>
    <s v="EMP_102"/>
    <d v="2024-12-07T06:31:00"/>
    <d v="2024-12-07T07:23:00"/>
    <n v="48"/>
    <n v="52"/>
    <n v="1"/>
    <s v="Level 1"/>
    <n v="3"/>
    <n v="289.19"/>
  </r>
  <r>
    <s v="WF_810"/>
    <x v="3"/>
    <x v="809"/>
    <s v="Validation"/>
    <s v="Critical"/>
    <s v="IT"/>
    <s v="EMP_114"/>
    <d v="2024-10-19T12:29:00"/>
    <d v="2024-10-19T13:14:00"/>
    <n v="21"/>
    <n v="45"/>
    <n v="1"/>
    <s v="Level 3"/>
    <n v="7"/>
    <n v="341.25"/>
  </r>
  <r>
    <s v="WF_811"/>
    <x v="4"/>
    <x v="810"/>
    <s v="Validation"/>
    <s v="Low"/>
    <s v="Operations"/>
    <s v="EMP_73"/>
    <d v="2024-07-04T19:45:00"/>
    <d v="2024-07-04T23:14:00"/>
    <n v="129"/>
    <n v="209"/>
    <n v="1"/>
    <s v="Level 3"/>
    <n v="8"/>
    <n v="213.19"/>
  </r>
  <r>
    <s v="WF_812"/>
    <x v="2"/>
    <x v="811"/>
    <s v="Data Entry"/>
    <s v="Critical"/>
    <s v="Operations"/>
    <s v="EMP_93"/>
    <d v="2024-04-26T04:45:00"/>
    <d v="2024-04-26T09:30:00"/>
    <n v="169"/>
    <n v="285"/>
    <n v="1"/>
    <s v="Level 3"/>
    <n v="4"/>
    <n v="491.57"/>
  </r>
  <r>
    <s v="WF_813"/>
    <x v="0"/>
    <x v="812"/>
    <s v="Escalation"/>
    <s v="Low"/>
    <s v="HR"/>
    <s v="EMP_13"/>
    <d v="2024-08-21T21:21:00"/>
    <d v="2024-08-22T03:01:00"/>
    <n v="223"/>
    <n v="340"/>
    <n v="1"/>
    <s v="Level 2"/>
    <n v="6"/>
    <n v="218.21"/>
  </r>
  <r>
    <s v="WF_814"/>
    <x v="4"/>
    <x v="813"/>
    <s v="Data Entry"/>
    <s v="Medium"/>
    <s v="HR"/>
    <s v="EMP_138"/>
    <d v="2024-03-21T07:29:00"/>
    <d v="2024-03-21T11:09:00"/>
    <n v="190"/>
    <n v="220"/>
    <n v="1"/>
    <s v="Level 3"/>
    <n v="1"/>
    <n v="315.82"/>
  </r>
  <r>
    <s v="WF_815"/>
    <x v="3"/>
    <x v="814"/>
    <s v="Escalation"/>
    <s v="Low"/>
    <s v="Customer Service"/>
    <s v="EMP_113"/>
    <d v="2024-11-14T18:48:00"/>
    <d v="2024-11-14T22:24:00"/>
    <n v="165"/>
    <n v="216"/>
    <n v="1"/>
    <s v="Level 2"/>
    <n v="4"/>
    <n v="130.16999999999999"/>
  </r>
  <r>
    <s v="WF_816"/>
    <x v="2"/>
    <x v="815"/>
    <s v="Data Entry"/>
    <s v="High"/>
    <s v="Operations"/>
    <s v="EMP_38"/>
    <d v="2024-05-24T23:39:00"/>
    <d v="2024-05-25T02:36:00"/>
    <n v="143"/>
    <n v="177"/>
    <n v="1"/>
    <s v="Level 2"/>
    <n v="2"/>
    <n v="200.3"/>
  </r>
  <r>
    <s v="WF_817"/>
    <x v="0"/>
    <x v="816"/>
    <s v="Review"/>
    <s v="High"/>
    <s v="Operations"/>
    <s v="EMP_44"/>
    <d v="2024-07-06T21:00:00"/>
    <d v="2024-07-07T00:32:00"/>
    <n v="158"/>
    <n v="212"/>
    <n v="1"/>
    <s v="Level 3"/>
    <n v="2"/>
    <n v="237.15"/>
  </r>
  <r>
    <s v="WF_818"/>
    <x v="3"/>
    <x v="817"/>
    <s v="Validation"/>
    <s v="Critical"/>
    <s v="IT"/>
    <s v="EMP_53"/>
    <d v="2024-10-31T01:33:00"/>
    <d v="2024-10-31T03:50:00"/>
    <n v="65"/>
    <n v="137"/>
    <n v="1"/>
    <s v="Level 2"/>
    <n v="8"/>
    <n v="97.3"/>
  </r>
  <r>
    <s v="WF_819"/>
    <x v="2"/>
    <x v="818"/>
    <s v="Validation"/>
    <s v="High"/>
    <s v="Customer Service"/>
    <s v="EMP_140"/>
    <d v="2024-09-11T14:51:00"/>
    <d v="2024-09-11T19:09:00"/>
    <n v="204"/>
    <n v="258"/>
    <n v="1"/>
    <s v="Level 2"/>
    <n v="5"/>
    <n v="405.99"/>
  </r>
  <r>
    <s v="WF_820"/>
    <x v="2"/>
    <x v="819"/>
    <s v="Validation"/>
    <s v="Low"/>
    <s v="Operations"/>
    <s v="EMP_20"/>
    <d v="2024-08-29T17:00:00"/>
    <d v="2024-08-29T21:27:00"/>
    <n v="168"/>
    <n v="267"/>
    <n v="1"/>
    <s v="Level 2"/>
    <n v="7"/>
    <n v="184.5"/>
  </r>
  <r>
    <s v="WF_821"/>
    <x v="0"/>
    <x v="820"/>
    <s v="Review"/>
    <s v="Medium"/>
    <s v="IT"/>
    <s v="EMP_36"/>
    <d v="2024-11-27T21:20:00"/>
    <d v="2024-11-28T01:49:00"/>
    <n v="170"/>
    <n v="269"/>
    <n v="1"/>
    <s v="Level 3"/>
    <n v="5"/>
    <n v="280.02"/>
  </r>
  <r>
    <s v="WF_822"/>
    <x v="4"/>
    <x v="821"/>
    <s v="Review"/>
    <s v="High"/>
    <s v="Customer Service"/>
    <s v="EMP_102"/>
    <d v="2024-07-29T07:05:00"/>
    <d v="2024-07-29T11:50:00"/>
    <n v="179"/>
    <n v="285"/>
    <n v="1"/>
    <s v="Level 3"/>
    <n v="9"/>
    <n v="93.87"/>
  </r>
  <r>
    <s v="WF_823"/>
    <x v="2"/>
    <x v="822"/>
    <s v="Escalation"/>
    <s v="Medium"/>
    <s v="Customer Service"/>
    <s v="EMP_95"/>
    <d v="2024-12-18T01:03:00"/>
    <d v="2024-12-18T04:59:00"/>
    <n v="140"/>
    <n v="236"/>
    <n v="1"/>
    <s v="Level 1"/>
    <n v="3"/>
    <n v="87"/>
  </r>
  <r>
    <s v="WF_824"/>
    <x v="2"/>
    <x v="823"/>
    <s v="Review"/>
    <s v="Critical"/>
    <s v="Operations"/>
    <s v="EMP_144"/>
    <d v="2024-06-07T20:06:00"/>
    <d v="2024-06-07T22:10:00"/>
    <n v="112"/>
    <n v="124"/>
    <n v="1"/>
    <s v="Level 2"/>
    <n v="8"/>
    <n v="281.7"/>
  </r>
  <r>
    <s v="WF_825"/>
    <x v="1"/>
    <x v="824"/>
    <s v="Data Entry"/>
    <s v="Critical"/>
    <s v="Operations"/>
    <s v="EMP_125"/>
    <d v="2024-04-19T10:00:00"/>
    <d v="2024-04-19T12:56:00"/>
    <n v="155"/>
    <n v="176"/>
    <n v="1"/>
    <s v="Level 3"/>
    <n v="9"/>
    <n v="73.66"/>
  </r>
  <r>
    <s v="WF_826"/>
    <x v="0"/>
    <x v="825"/>
    <s v="Escalation"/>
    <s v="Critical"/>
    <s v="Finance"/>
    <s v="EMP_8"/>
    <d v="2024-03-10T19:45:00"/>
    <d v="2024-03-10T21:40:00"/>
    <n v="96"/>
    <n v="115"/>
    <n v="1"/>
    <s v="Level 2"/>
    <n v="9"/>
    <n v="102.95"/>
  </r>
  <r>
    <s v="WF_827"/>
    <x v="3"/>
    <x v="826"/>
    <s v="Escalation"/>
    <s v="Critical"/>
    <s v="Operations"/>
    <s v="EMP_115"/>
    <d v="2024-11-14T11:52:00"/>
    <d v="2024-11-14T13:35:00"/>
    <n v="21"/>
    <n v="103"/>
    <n v="1"/>
    <s v="Level 1"/>
    <n v="2"/>
    <n v="490.35"/>
  </r>
  <r>
    <s v="WF_828"/>
    <x v="0"/>
    <x v="827"/>
    <s v="Escalation"/>
    <s v="Medium"/>
    <s v="Customer Service"/>
    <s v="EMP_94"/>
    <d v="2024-12-11T09:27:00"/>
    <d v="2024-12-11T11:06:00"/>
    <n v="93"/>
    <n v="99"/>
    <n v="1"/>
    <s v="Level 2"/>
    <n v="6"/>
    <n v="50.79"/>
  </r>
  <r>
    <s v="WF_829"/>
    <x v="2"/>
    <x v="828"/>
    <s v="Data Entry"/>
    <s v="High"/>
    <s v="IT"/>
    <s v="EMP_128"/>
    <d v="2024-12-03T17:21:00"/>
    <d v="2024-12-03T21:02:00"/>
    <n v="185"/>
    <n v="221"/>
    <n v="1"/>
    <s v="Level 1"/>
    <n v="8"/>
    <n v="403.34"/>
  </r>
  <r>
    <s v="WF_830"/>
    <x v="1"/>
    <x v="829"/>
    <s v="Escalation"/>
    <s v="Low"/>
    <s v="Customer Service"/>
    <s v="EMP_71"/>
    <d v="2024-06-16T17:38:00"/>
    <d v="2024-06-16T19:39:00"/>
    <n v="75"/>
    <n v="121"/>
    <n v="1"/>
    <s v="Level 1"/>
    <n v="2"/>
    <n v="159.58000000000001"/>
  </r>
  <r>
    <s v="WF_831"/>
    <x v="4"/>
    <x v="830"/>
    <s v="Approval"/>
    <s v="Low"/>
    <s v="Finance"/>
    <s v="EMP_135"/>
    <d v="2024-12-18T23:11:00"/>
    <d v="2024-12-19T02:10:00"/>
    <n v="81"/>
    <n v="179"/>
    <n v="1"/>
    <s v="Level 3"/>
    <n v="9"/>
    <n v="121.82"/>
  </r>
  <r>
    <s v="WF_832"/>
    <x v="4"/>
    <x v="831"/>
    <s v="Escalation"/>
    <s v="Medium"/>
    <s v="Finance"/>
    <s v="EMP_2"/>
    <d v="2024-12-04T19:19:00"/>
    <d v="2024-12-04T21:51:00"/>
    <n v="120"/>
    <n v="152"/>
    <n v="1"/>
    <s v="Level 1"/>
    <n v="4"/>
    <n v="372.24"/>
  </r>
  <r>
    <s v="WF_833"/>
    <x v="4"/>
    <x v="832"/>
    <s v="Review"/>
    <s v="Low"/>
    <s v="HR"/>
    <s v="EMP_83"/>
    <d v="2024-05-08T00:24:00"/>
    <d v="2024-05-08T01:23:00"/>
    <n v="42"/>
    <n v="59"/>
    <n v="1"/>
    <s v="Level 2"/>
    <n v="4"/>
    <n v="178.8"/>
  </r>
  <r>
    <s v="WF_834"/>
    <x v="0"/>
    <x v="833"/>
    <s v="Data Entry"/>
    <s v="Medium"/>
    <s v="HR"/>
    <s v="EMP_7"/>
    <d v="2024-12-05T15:09:00"/>
    <d v="2024-12-05T19:13:00"/>
    <n v="185"/>
    <n v="244"/>
    <n v="1"/>
    <s v="Level 3"/>
    <n v="6"/>
    <n v="90.78"/>
  </r>
  <r>
    <s v="WF_835"/>
    <x v="3"/>
    <x v="834"/>
    <s v="Validation"/>
    <s v="Low"/>
    <s v="Finance"/>
    <s v="EMP_105"/>
    <d v="2024-04-06T18:09:00"/>
    <d v="2024-04-06T19:41:00"/>
    <n v="89"/>
    <n v="92"/>
    <n v="1"/>
    <s v="Level 2"/>
    <n v="3"/>
    <n v="223.34"/>
  </r>
  <r>
    <s v="WF_836"/>
    <x v="0"/>
    <x v="835"/>
    <s v="Data Entry"/>
    <s v="Medium"/>
    <s v="HR"/>
    <s v="EMP_85"/>
    <d v="2024-08-30T11:04:00"/>
    <d v="2024-08-30T15:00:00"/>
    <n v="182"/>
    <n v="236"/>
    <n v="1"/>
    <s v="Level 3"/>
    <n v="4"/>
    <n v="360.01"/>
  </r>
  <r>
    <s v="WF_837"/>
    <x v="4"/>
    <x v="836"/>
    <s v="Review"/>
    <s v="Critical"/>
    <s v="Finance"/>
    <s v="EMP_94"/>
    <d v="2024-09-14T22:22:00"/>
    <d v="2024-09-15T02:02:00"/>
    <n v="116"/>
    <n v="220"/>
    <n v="1"/>
    <s v="Level 2"/>
    <n v="6"/>
    <n v="343.4"/>
  </r>
  <r>
    <s v="WF_838"/>
    <x v="4"/>
    <x v="837"/>
    <s v="Data Entry"/>
    <s v="High"/>
    <s v="HR"/>
    <s v="EMP_79"/>
    <d v="2024-09-12T05:02:00"/>
    <d v="2024-09-12T09:19:00"/>
    <n v="156"/>
    <n v="257"/>
    <n v="1"/>
    <s v="Level 1"/>
    <n v="7"/>
    <n v="89.39"/>
  </r>
  <r>
    <s v="WF_839"/>
    <x v="2"/>
    <x v="838"/>
    <s v="Escalation"/>
    <s v="Low"/>
    <s v="Operations"/>
    <s v="EMP_78"/>
    <d v="2024-07-13T19:48:00"/>
    <d v="2024-07-13T20:44:00"/>
    <n v="32"/>
    <n v="56"/>
    <n v="1"/>
    <s v="Level 2"/>
    <n v="8"/>
    <n v="123.36"/>
  </r>
  <r>
    <s v="WF_840"/>
    <x v="1"/>
    <x v="839"/>
    <s v="Data Entry"/>
    <s v="Low"/>
    <s v="HR"/>
    <s v="EMP_135"/>
    <d v="2024-09-12T00:43:00"/>
    <d v="2024-09-12T04:12:00"/>
    <n v="152"/>
    <n v="209"/>
    <n v="1"/>
    <s v="Level 1"/>
    <n v="10"/>
    <n v="333.07"/>
  </r>
  <r>
    <s v="WF_841"/>
    <x v="4"/>
    <x v="840"/>
    <s v="Review"/>
    <s v="High"/>
    <s v="HR"/>
    <s v="EMP_74"/>
    <d v="2024-08-25T05:16:00"/>
    <d v="2024-08-25T09:08:00"/>
    <n v="172"/>
    <n v="232"/>
    <n v="1"/>
    <s v="Level 2"/>
    <n v="9"/>
    <n v="150"/>
  </r>
  <r>
    <s v="WF_842"/>
    <x v="3"/>
    <x v="841"/>
    <s v="Data Entry"/>
    <s v="Critical"/>
    <s v="Finance"/>
    <s v="EMP_109"/>
    <d v="2024-04-26T19:49:00"/>
    <d v="2024-04-26T21:03:00"/>
    <n v="63"/>
    <n v="74"/>
    <n v="1"/>
    <s v="Level 2"/>
    <n v="6"/>
    <n v="69.63"/>
  </r>
  <r>
    <s v="WF_843"/>
    <x v="1"/>
    <x v="842"/>
    <s v="Approval"/>
    <s v="Low"/>
    <s v="IT"/>
    <s v="EMP_58"/>
    <d v="2024-01-31T05:44:00"/>
    <d v="2024-01-31T07:51:00"/>
    <n v="99"/>
    <n v="127"/>
    <n v="1"/>
    <s v="Level 3"/>
    <n v="8"/>
    <n v="167.28"/>
  </r>
  <r>
    <s v="WF_844"/>
    <x v="4"/>
    <x v="843"/>
    <s v="Escalation"/>
    <s v="Low"/>
    <s v="IT"/>
    <s v="EMP_134"/>
    <d v="2024-02-06T05:26:00"/>
    <d v="2024-02-06T09:11:00"/>
    <n v="116"/>
    <n v="225"/>
    <n v="1"/>
    <s v="Level 1"/>
    <n v="10"/>
    <n v="93.24"/>
  </r>
  <r>
    <s v="WF_845"/>
    <x v="1"/>
    <x v="844"/>
    <s v="Escalation"/>
    <s v="Critical"/>
    <s v="Customer Service"/>
    <s v="EMP_3"/>
    <d v="2024-03-22T12:51:00"/>
    <d v="2024-03-22T14:41:00"/>
    <n v="64"/>
    <n v="110"/>
    <n v="1"/>
    <s v="Level 3"/>
    <n v="5"/>
    <n v="151.99"/>
  </r>
  <r>
    <s v="WF_846"/>
    <x v="1"/>
    <x v="845"/>
    <s v="Data Entry"/>
    <s v="High"/>
    <s v="Finance"/>
    <s v="EMP_80"/>
    <d v="2024-10-03T18:04:00"/>
    <d v="2024-10-03T22:22:00"/>
    <n v="151"/>
    <n v="258"/>
    <n v="1"/>
    <s v="Level 3"/>
    <n v="3"/>
    <n v="403.29"/>
  </r>
  <r>
    <s v="WF_847"/>
    <x v="3"/>
    <x v="846"/>
    <s v="Data Entry"/>
    <s v="Medium"/>
    <s v="Operations"/>
    <s v="EMP_16"/>
    <d v="2024-09-18T15:22:00"/>
    <d v="2024-09-18T20:31:00"/>
    <n v="236"/>
    <n v="309"/>
    <n v="1"/>
    <s v="Level 3"/>
    <n v="2"/>
    <n v="299.01"/>
  </r>
  <r>
    <s v="WF_848"/>
    <x v="3"/>
    <x v="847"/>
    <s v="Review"/>
    <s v="Critical"/>
    <s v="Finance"/>
    <s v="EMP_47"/>
    <d v="2024-11-03T04:39:00"/>
    <d v="2024-11-03T07:52:00"/>
    <n v="101"/>
    <n v="193"/>
    <n v="1"/>
    <s v="Level 1"/>
    <n v="6"/>
    <n v="399.8"/>
  </r>
  <r>
    <s v="WF_849"/>
    <x v="0"/>
    <x v="848"/>
    <s v="Approval"/>
    <s v="High"/>
    <s v="Finance"/>
    <s v="EMP_17"/>
    <d v="2024-10-08T04:36:00"/>
    <d v="2024-10-08T08:12:00"/>
    <n v="186"/>
    <n v="216"/>
    <n v="1"/>
    <s v="Level 1"/>
    <n v="3"/>
    <n v="90.77"/>
  </r>
  <r>
    <s v="WF_850"/>
    <x v="4"/>
    <x v="849"/>
    <s v="Data Entry"/>
    <s v="Medium"/>
    <s v="Customer Service"/>
    <s v="EMP_12"/>
    <d v="2024-06-21T18:56:00"/>
    <d v="2024-06-21T21:50:00"/>
    <n v="114"/>
    <n v="174"/>
    <n v="1"/>
    <s v="Level 2"/>
    <n v="6"/>
    <n v="148.62"/>
  </r>
  <r>
    <s v="WF_851"/>
    <x v="3"/>
    <x v="850"/>
    <s v="Approval"/>
    <s v="Critical"/>
    <s v="HR"/>
    <s v="EMP_64"/>
    <d v="2024-09-25T17:30:00"/>
    <d v="2024-09-25T21:12:00"/>
    <n v="126"/>
    <n v="222"/>
    <n v="1"/>
    <s v="Level 2"/>
    <n v="3"/>
    <n v="154.78"/>
  </r>
  <r>
    <s v="WF_852"/>
    <x v="3"/>
    <x v="851"/>
    <s v="Approval"/>
    <s v="High"/>
    <s v="Operations"/>
    <s v="EMP_91"/>
    <d v="2024-07-15T22:18:00"/>
    <d v="2024-07-15T23:49:00"/>
    <n v="77"/>
    <n v="91"/>
    <n v="1"/>
    <s v="Level 1"/>
    <n v="6"/>
    <n v="374.51"/>
  </r>
  <r>
    <s v="WF_853"/>
    <x v="3"/>
    <x v="852"/>
    <s v="Validation"/>
    <s v="Low"/>
    <s v="HR"/>
    <s v="EMP_87"/>
    <d v="2024-08-13T00:53:00"/>
    <d v="2024-08-13T04:35:00"/>
    <n v="195"/>
    <n v="222"/>
    <n v="1"/>
    <s v="Level 2"/>
    <n v="4"/>
    <n v="342.9"/>
  </r>
  <r>
    <s v="WF_854"/>
    <x v="1"/>
    <x v="853"/>
    <s v="Validation"/>
    <s v="High"/>
    <s v="Operations"/>
    <s v="EMP_132"/>
    <d v="2024-07-29T15:14:00"/>
    <d v="2024-07-29T18:15:00"/>
    <n v="180"/>
    <n v="181"/>
    <n v="1"/>
    <s v="Level 1"/>
    <n v="2"/>
    <n v="453.15"/>
  </r>
  <r>
    <s v="WF_855"/>
    <x v="2"/>
    <x v="854"/>
    <s v="Validation"/>
    <s v="Medium"/>
    <s v="Customer Service"/>
    <s v="EMP_142"/>
    <d v="2024-02-15T06:58:00"/>
    <d v="2024-02-15T11:34:00"/>
    <n v="217"/>
    <n v="276"/>
    <n v="1"/>
    <s v="Level 3"/>
    <n v="2"/>
    <n v="151.43"/>
  </r>
  <r>
    <s v="WF_856"/>
    <x v="3"/>
    <x v="855"/>
    <s v="Data Entry"/>
    <s v="High"/>
    <s v="HR"/>
    <s v="EMP_53"/>
    <d v="2024-06-11T06:17:00"/>
    <d v="2024-06-11T09:21:00"/>
    <n v="76"/>
    <n v="184"/>
    <n v="1"/>
    <s v="Level 2"/>
    <n v="9"/>
    <n v="223.5"/>
  </r>
  <r>
    <s v="WF_857"/>
    <x v="2"/>
    <x v="856"/>
    <s v="Approval"/>
    <s v="Critical"/>
    <s v="Customer Service"/>
    <s v="EMP_146"/>
    <d v="2024-11-06T02:29:00"/>
    <d v="2024-11-06T06:55:00"/>
    <n v="227"/>
    <n v="266"/>
    <n v="1"/>
    <s v="Level 3"/>
    <n v="4"/>
    <n v="373.4"/>
  </r>
  <r>
    <s v="WF_858"/>
    <x v="2"/>
    <x v="857"/>
    <s v="Review"/>
    <s v="High"/>
    <s v="Customer Service"/>
    <s v="EMP_9"/>
    <d v="2024-06-14T10:17:00"/>
    <d v="2024-06-14T15:42:00"/>
    <n v="212"/>
    <n v="325"/>
    <n v="1"/>
    <s v="Level 1"/>
    <n v="1"/>
    <n v="281.77999999999997"/>
  </r>
  <r>
    <s v="WF_859"/>
    <x v="4"/>
    <x v="858"/>
    <s v="Validation"/>
    <s v="Critical"/>
    <s v="Customer Service"/>
    <s v="EMP_28"/>
    <d v="2024-11-22T22:24:00"/>
    <d v="2024-11-23T01:29:00"/>
    <n v="98"/>
    <n v="185"/>
    <n v="1"/>
    <s v="Level 1"/>
    <n v="10"/>
    <n v="192.37"/>
  </r>
  <r>
    <s v="WF_860"/>
    <x v="4"/>
    <x v="859"/>
    <s v="Data Entry"/>
    <s v="High"/>
    <s v="IT"/>
    <s v="EMP_105"/>
    <d v="2024-10-31T13:13:00"/>
    <d v="2024-10-31T14:35:00"/>
    <n v="33"/>
    <n v="82"/>
    <n v="1"/>
    <s v="Level 1"/>
    <n v="4"/>
    <n v="338.76"/>
  </r>
  <r>
    <s v="WF_861"/>
    <x v="3"/>
    <x v="860"/>
    <s v="Data Entry"/>
    <s v="Critical"/>
    <s v="HR"/>
    <s v="EMP_87"/>
    <d v="2024-01-29T14:58:00"/>
    <d v="2024-01-29T19:03:00"/>
    <n v="184"/>
    <n v="245"/>
    <n v="1"/>
    <s v="Level 1"/>
    <n v="2"/>
    <n v="112.13"/>
  </r>
  <r>
    <s v="WF_862"/>
    <x v="0"/>
    <x v="861"/>
    <s v="Validation"/>
    <s v="Critical"/>
    <s v="Customer Service"/>
    <s v="EMP_149"/>
    <d v="2024-10-17T11:23:00"/>
    <d v="2024-10-17T14:49:00"/>
    <n v="115"/>
    <n v="206"/>
    <n v="1"/>
    <s v="Level 3"/>
    <n v="6"/>
    <n v="351.96"/>
  </r>
  <r>
    <s v="WF_863"/>
    <x v="2"/>
    <x v="862"/>
    <s v="Review"/>
    <s v="Medium"/>
    <s v="Finance"/>
    <s v="EMP_113"/>
    <d v="2024-07-18T18:47:00"/>
    <d v="2024-07-18T19:55:00"/>
    <n v="53"/>
    <n v="68"/>
    <n v="1"/>
    <s v="Level 1"/>
    <n v="7"/>
    <n v="272.62"/>
  </r>
  <r>
    <s v="WF_864"/>
    <x v="0"/>
    <x v="863"/>
    <s v="Validation"/>
    <s v="Critical"/>
    <s v="HR"/>
    <s v="EMP_5"/>
    <d v="2024-03-30T19:49:00"/>
    <d v="2024-03-30T23:14:00"/>
    <n v="196"/>
    <n v="205"/>
    <n v="1"/>
    <s v="Level 2"/>
    <n v="5"/>
    <n v="90.67"/>
  </r>
  <r>
    <s v="WF_865"/>
    <x v="1"/>
    <x v="864"/>
    <s v="Data Entry"/>
    <s v="Critical"/>
    <s v="HR"/>
    <s v="EMP_78"/>
    <d v="2024-03-06T14:13:00"/>
    <d v="2024-03-06T15:31:00"/>
    <n v="36"/>
    <n v="78"/>
    <n v="1"/>
    <s v="Level 1"/>
    <n v="9"/>
    <n v="229.17"/>
  </r>
  <r>
    <s v="WF_866"/>
    <x v="3"/>
    <x v="865"/>
    <s v="Validation"/>
    <s v="High"/>
    <s v="Customer Service"/>
    <s v="EMP_101"/>
    <d v="2024-02-12T01:38:00"/>
    <d v="2024-02-12T04:24:00"/>
    <n v="100"/>
    <n v="166"/>
    <n v="1"/>
    <s v="Level 3"/>
    <n v="9"/>
    <n v="450.03"/>
  </r>
  <r>
    <s v="WF_867"/>
    <x v="1"/>
    <x v="866"/>
    <s v="Approval"/>
    <s v="Medium"/>
    <s v="Customer Service"/>
    <s v="EMP_25"/>
    <d v="2024-08-03T02:26:00"/>
    <d v="2024-08-03T05:26:00"/>
    <n v="133"/>
    <n v="180"/>
    <n v="1"/>
    <s v="Level 1"/>
    <n v="3"/>
    <n v="450.92"/>
  </r>
  <r>
    <s v="WF_868"/>
    <x v="0"/>
    <x v="867"/>
    <s v="Escalation"/>
    <s v="Low"/>
    <s v="HR"/>
    <s v="EMP_150"/>
    <d v="2024-08-23T23:21:00"/>
    <d v="2024-08-23T23:40:00"/>
    <n v="18"/>
    <n v="19"/>
    <n v="1"/>
    <s v="Level 2"/>
    <n v="3"/>
    <n v="226.21"/>
  </r>
  <r>
    <s v="WF_869"/>
    <x v="3"/>
    <x v="868"/>
    <s v="Review"/>
    <s v="High"/>
    <s v="IT"/>
    <s v="EMP_122"/>
    <d v="2024-08-24T18:15:00"/>
    <d v="2024-08-24T21:51:00"/>
    <n v="200"/>
    <n v="216"/>
    <n v="1"/>
    <s v="Level 2"/>
    <n v="8"/>
    <n v="415.42"/>
  </r>
  <r>
    <s v="WF_870"/>
    <x v="4"/>
    <x v="869"/>
    <s v="Escalation"/>
    <s v="Medium"/>
    <s v="Customer Service"/>
    <s v="EMP_33"/>
    <d v="2024-08-28T10:13:00"/>
    <d v="2024-08-28T12:52:00"/>
    <n v="148"/>
    <n v="159"/>
    <n v="1"/>
    <s v="Level 2"/>
    <n v="8"/>
    <n v="419.49"/>
  </r>
  <r>
    <s v="WF_871"/>
    <x v="3"/>
    <x v="870"/>
    <s v="Review"/>
    <s v="Critical"/>
    <s v="Finance"/>
    <s v="EMP_2"/>
    <d v="2024-11-13T20:27:00"/>
    <d v="2024-11-14T00:53:00"/>
    <n v="227"/>
    <n v="266"/>
    <n v="1"/>
    <s v="Level 2"/>
    <n v="8"/>
    <n v="88.35"/>
  </r>
  <r>
    <s v="WF_872"/>
    <x v="2"/>
    <x v="871"/>
    <s v="Data Entry"/>
    <s v="Medium"/>
    <s v="Operations"/>
    <s v="EMP_14"/>
    <d v="2024-11-27T16:38:00"/>
    <d v="2024-11-27T21:06:00"/>
    <n v="161"/>
    <n v="268"/>
    <n v="1"/>
    <s v="Level 1"/>
    <n v="8"/>
    <n v="490.2"/>
  </r>
  <r>
    <s v="WF_873"/>
    <x v="1"/>
    <x v="872"/>
    <s v="Validation"/>
    <s v="High"/>
    <s v="IT"/>
    <s v="EMP_107"/>
    <d v="2024-05-26T23:13:00"/>
    <d v="2024-05-27T04:01:00"/>
    <n v="202"/>
    <n v="288"/>
    <n v="1"/>
    <s v="Level 1"/>
    <n v="5"/>
    <n v="306.16000000000003"/>
  </r>
  <r>
    <s v="WF_874"/>
    <x v="2"/>
    <x v="873"/>
    <s v="Validation"/>
    <s v="Critical"/>
    <s v="IT"/>
    <s v="EMP_70"/>
    <d v="2024-01-27T13:56:00"/>
    <d v="2024-01-27T15:39:00"/>
    <n v="103"/>
    <n v="103"/>
    <n v="0"/>
    <s v="Level 1"/>
    <n v="5"/>
    <n v="464.27"/>
  </r>
  <r>
    <s v="WF_875"/>
    <x v="0"/>
    <x v="874"/>
    <s v="Review"/>
    <s v="Critical"/>
    <s v="Customer Service"/>
    <s v="EMP_68"/>
    <d v="2024-12-04T04:45:00"/>
    <d v="2024-12-04T08:16:00"/>
    <n v="102"/>
    <n v="211"/>
    <n v="1"/>
    <s v="Level 3"/>
    <n v="5"/>
    <n v="397.55"/>
  </r>
  <r>
    <s v="WF_876"/>
    <x v="1"/>
    <x v="875"/>
    <s v="Validation"/>
    <s v="Medium"/>
    <s v="Finance"/>
    <s v="EMP_31"/>
    <d v="2024-05-27T23:12:00"/>
    <d v="2024-05-28T03:03:00"/>
    <n v="209"/>
    <n v="231"/>
    <n v="1"/>
    <s v="Level 2"/>
    <n v="10"/>
    <n v="187.37"/>
  </r>
  <r>
    <s v="WF_877"/>
    <x v="1"/>
    <x v="876"/>
    <s v="Data Entry"/>
    <s v="High"/>
    <s v="HR"/>
    <s v="EMP_8"/>
    <d v="2024-07-03T18:11:00"/>
    <d v="2024-07-03T23:50:00"/>
    <n v="230"/>
    <n v="339"/>
    <n v="1"/>
    <s v="Level 3"/>
    <n v="1"/>
    <n v="369.61"/>
  </r>
  <r>
    <s v="WF_878"/>
    <x v="1"/>
    <x v="877"/>
    <s v="Validation"/>
    <s v="High"/>
    <s v="Finance"/>
    <s v="EMP_48"/>
    <d v="2024-04-29T16:05:00"/>
    <d v="2024-04-29T19:09:00"/>
    <n v="118"/>
    <n v="184"/>
    <n v="1"/>
    <s v="Level 1"/>
    <n v="10"/>
    <n v="345.47"/>
  </r>
  <r>
    <s v="WF_879"/>
    <x v="0"/>
    <x v="878"/>
    <s v="Approval"/>
    <s v="High"/>
    <s v="Operations"/>
    <s v="EMP_109"/>
    <d v="2024-01-27T04:16:00"/>
    <d v="2024-01-27T07:23:00"/>
    <n v="179"/>
    <n v="187"/>
    <n v="1"/>
    <s v="Level 1"/>
    <n v="5"/>
    <n v="189.82"/>
  </r>
  <r>
    <s v="WF_880"/>
    <x v="3"/>
    <x v="879"/>
    <s v="Data Entry"/>
    <s v="Medium"/>
    <s v="Customer Service"/>
    <s v="EMP_41"/>
    <d v="2024-07-06T20:25:00"/>
    <d v="2024-07-07T00:47:00"/>
    <n v="148"/>
    <n v="262"/>
    <n v="1"/>
    <s v="Level 3"/>
    <n v="1"/>
    <n v="266.74"/>
  </r>
  <r>
    <s v="WF_881"/>
    <x v="0"/>
    <x v="880"/>
    <s v="Data Entry"/>
    <s v="Critical"/>
    <s v="Operations"/>
    <s v="EMP_94"/>
    <d v="2024-08-21T18:38:00"/>
    <d v="2024-08-21T20:52:00"/>
    <n v="114"/>
    <n v="134"/>
    <n v="1"/>
    <s v="Level 1"/>
    <n v="1"/>
    <n v="432.58"/>
  </r>
  <r>
    <s v="WF_882"/>
    <x v="1"/>
    <x v="881"/>
    <s v="Data Entry"/>
    <s v="Medium"/>
    <s v="Finance"/>
    <s v="EMP_40"/>
    <d v="2024-03-02T15:33:00"/>
    <d v="2024-03-02T18:07:00"/>
    <n v="137"/>
    <n v="154"/>
    <n v="1"/>
    <s v="Level 2"/>
    <n v="4"/>
    <n v="208.42"/>
  </r>
  <r>
    <s v="WF_883"/>
    <x v="4"/>
    <x v="882"/>
    <s v="Review"/>
    <s v="High"/>
    <s v="HR"/>
    <s v="EMP_61"/>
    <d v="2024-02-09T17:07:00"/>
    <d v="2024-02-09T18:03:00"/>
    <n v="22"/>
    <n v="56"/>
    <n v="1"/>
    <s v="Level 2"/>
    <n v="6"/>
    <n v="420.7"/>
  </r>
  <r>
    <s v="WF_884"/>
    <x v="2"/>
    <x v="883"/>
    <s v="Data Entry"/>
    <s v="Medium"/>
    <s v="Operations"/>
    <s v="EMP_38"/>
    <d v="2024-09-15T06:55:00"/>
    <d v="2024-09-15T10:45:00"/>
    <n v="111"/>
    <n v="230"/>
    <n v="1"/>
    <s v="Level 3"/>
    <n v="4"/>
    <n v="466.97"/>
  </r>
  <r>
    <s v="WF_885"/>
    <x v="2"/>
    <x v="884"/>
    <s v="Review"/>
    <s v="Critical"/>
    <s v="Operations"/>
    <s v="EMP_125"/>
    <d v="2024-07-22T19:01:00"/>
    <d v="2024-07-22T20:55:00"/>
    <n v="33"/>
    <n v="114"/>
    <n v="1"/>
    <s v="Level 2"/>
    <n v="2"/>
    <n v="160.97"/>
  </r>
  <r>
    <s v="WF_886"/>
    <x v="4"/>
    <x v="885"/>
    <s v="Data Entry"/>
    <s v="Low"/>
    <s v="HR"/>
    <s v="EMP_78"/>
    <d v="2024-09-13T20:22:00"/>
    <d v="2024-09-13T22:21:00"/>
    <n v="26"/>
    <n v="119"/>
    <n v="1"/>
    <s v="Level 2"/>
    <n v="3"/>
    <n v="477.42"/>
  </r>
  <r>
    <s v="WF_887"/>
    <x v="4"/>
    <x v="886"/>
    <s v="Approval"/>
    <s v="Critical"/>
    <s v="Operations"/>
    <s v="EMP_130"/>
    <d v="2024-02-06T06:57:00"/>
    <d v="2024-02-06T10:09:00"/>
    <n v="173"/>
    <n v="192"/>
    <n v="1"/>
    <s v="Level 1"/>
    <n v="10"/>
    <n v="471.17"/>
  </r>
  <r>
    <s v="WF_888"/>
    <x v="1"/>
    <x v="887"/>
    <s v="Data Entry"/>
    <s v="High"/>
    <s v="Finance"/>
    <s v="EMP_57"/>
    <d v="2024-09-14T16:21:00"/>
    <d v="2024-09-14T22:18:00"/>
    <n v="240"/>
    <n v="357"/>
    <n v="1"/>
    <s v="Level 2"/>
    <n v="6"/>
    <n v="440.1"/>
  </r>
  <r>
    <s v="WF_889"/>
    <x v="1"/>
    <x v="888"/>
    <s v="Data Entry"/>
    <s v="Critical"/>
    <s v="Operations"/>
    <s v="EMP_21"/>
    <d v="2024-11-14T07:50:00"/>
    <d v="2024-11-14T12:09:00"/>
    <n v="199"/>
    <n v="259"/>
    <n v="1"/>
    <s v="Level 1"/>
    <n v="9"/>
    <n v="132.24"/>
  </r>
  <r>
    <s v="WF_890"/>
    <x v="3"/>
    <x v="889"/>
    <s v="Escalation"/>
    <s v="Critical"/>
    <s v="Customer Service"/>
    <s v="EMP_37"/>
    <d v="2024-09-27T21:51:00"/>
    <d v="2024-09-27T23:43:00"/>
    <n v="40"/>
    <n v="112"/>
    <n v="1"/>
    <s v="Level 2"/>
    <n v="1"/>
    <n v="250.39"/>
  </r>
  <r>
    <s v="WF_891"/>
    <x v="1"/>
    <x v="890"/>
    <s v="Review"/>
    <s v="Low"/>
    <s v="Operations"/>
    <s v="EMP_120"/>
    <d v="2024-05-18T14:33:00"/>
    <d v="2024-05-18T16:11:00"/>
    <n v="48"/>
    <n v="98"/>
    <n v="1"/>
    <s v="Level 1"/>
    <n v="2"/>
    <n v="68.23"/>
  </r>
  <r>
    <s v="WF_892"/>
    <x v="3"/>
    <x v="891"/>
    <s v="Approval"/>
    <s v="Medium"/>
    <s v="IT"/>
    <s v="EMP_125"/>
    <d v="2024-09-27T21:24:00"/>
    <d v="2024-09-28T00:44:00"/>
    <n v="123"/>
    <n v="200"/>
    <n v="1"/>
    <s v="Level 2"/>
    <n v="3"/>
    <n v="388.19"/>
  </r>
  <r>
    <s v="WF_893"/>
    <x v="2"/>
    <x v="892"/>
    <s v="Review"/>
    <s v="Medium"/>
    <s v="HR"/>
    <s v="EMP_86"/>
    <d v="2024-06-27T07:06:00"/>
    <d v="2024-06-27T08:57:00"/>
    <n v="43"/>
    <n v="111"/>
    <n v="1"/>
    <s v="Level 1"/>
    <n v="8"/>
    <n v="134.16"/>
  </r>
  <r>
    <s v="WF_894"/>
    <x v="3"/>
    <x v="893"/>
    <s v="Approval"/>
    <s v="Critical"/>
    <s v="IT"/>
    <s v="EMP_9"/>
    <d v="2024-05-05T02:30:00"/>
    <d v="2024-05-05T04:20:00"/>
    <n v="109"/>
    <n v="110"/>
    <n v="1"/>
    <s v="Level 1"/>
    <n v="10"/>
    <n v="388.59"/>
  </r>
  <r>
    <s v="WF_895"/>
    <x v="4"/>
    <x v="894"/>
    <s v="Validation"/>
    <s v="Low"/>
    <s v="HR"/>
    <s v="EMP_78"/>
    <d v="2024-07-23T10:18:00"/>
    <d v="2024-07-23T15:34:00"/>
    <n v="226"/>
    <n v="316"/>
    <n v="1"/>
    <s v="Level 3"/>
    <n v="4"/>
    <n v="174.13"/>
  </r>
  <r>
    <s v="WF_896"/>
    <x v="0"/>
    <x v="895"/>
    <s v="Validation"/>
    <s v="Low"/>
    <s v="HR"/>
    <s v="EMP_143"/>
    <d v="2024-07-21T16:23:00"/>
    <d v="2024-07-21T21:02:00"/>
    <n v="188"/>
    <n v="279"/>
    <n v="1"/>
    <s v="Level 2"/>
    <n v="2"/>
    <n v="467.33"/>
  </r>
  <r>
    <s v="WF_897"/>
    <x v="4"/>
    <x v="896"/>
    <s v="Approval"/>
    <s v="Critical"/>
    <s v="Operations"/>
    <s v="EMP_70"/>
    <d v="2024-02-24T02:52:00"/>
    <d v="2024-02-24T04:11:00"/>
    <n v="33"/>
    <n v="79"/>
    <n v="1"/>
    <s v="Level 3"/>
    <n v="8"/>
    <n v="460.2"/>
  </r>
  <r>
    <s v="WF_898"/>
    <x v="0"/>
    <x v="897"/>
    <s v="Data Entry"/>
    <s v="High"/>
    <s v="IT"/>
    <s v="EMP_124"/>
    <d v="2024-10-26T13:43:00"/>
    <d v="2024-10-26T18:00:00"/>
    <n v="233"/>
    <n v="257"/>
    <n v="1"/>
    <s v="Level 2"/>
    <n v="8"/>
    <n v="174.92"/>
  </r>
  <r>
    <s v="WF_899"/>
    <x v="1"/>
    <x v="898"/>
    <s v="Review"/>
    <s v="Critical"/>
    <s v="Customer Service"/>
    <s v="EMP_71"/>
    <d v="2024-11-27T12:12:00"/>
    <d v="2024-11-27T14:41:00"/>
    <n v="89"/>
    <n v="149"/>
    <n v="1"/>
    <s v="Level 3"/>
    <n v="1"/>
    <n v="340.28"/>
  </r>
  <r>
    <s v="WF_900"/>
    <x v="4"/>
    <x v="899"/>
    <s v="Validation"/>
    <s v="Critical"/>
    <s v="HR"/>
    <s v="EMP_66"/>
    <d v="2024-09-13T16:56:00"/>
    <d v="2024-09-13T18:51:00"/>
    <n v="73"/>
    <n v="115"/>
    <n v="1"/>
    <s v="Level 1"/>
    <n v="7"/>
    <n v="423.08"/>
  </r>
  <r>
    <s v="WF_901"/>
    <x v="2"/>
    <x v="900"/>
    <s v="Review"/>
    <s v="Low"/>
    <s v="IT"/>
    <s v="EMP_5"/>
    <d v="2024-04-21T20:14:00"/>
    <d v="2024-04-22T00:56:00"/>
    <n v="239"/>
    <n v="282"/>
    <n v="1"/>
    <s v="Level 3"/>
    <n v="5"/>
    <n v="332.2"/>
  </r>
  <r>
    <s v="WF_902"/>
    <x v="3"/>
    <x v="901"/>
    <s v="Validation"/>
    <s v="Medium"/>
    <s v="Customer Service"/>
    <s v="EMP_97"/>
    <d v="2024-07-06T10:54:00"/>
    <d v="2024-07-06T15:53:00"/>
    <n v="192"/>
    <n v="299"/>
    <n v="1"/>
    <s v="Level 2"/>
    <n v="6"/>
    <n v="462.38"/>
  </r>
  <r>
    <s v="WF_903"/>
    <x v="1"/>
    <x v="902"/>
    <s v="Approval"/>
    <s v="Medium"/>
    <s v="IT"/>
    <s v="EMP_74"/>
    <d v="2024-06-17T19:20:00"/>
    <d v="2024-06-17T21:33:00"/>
    <n v="51"/>
    <n v="133"/>
    <n v="1"/>
    <s v="Level 2"/>
    <n v="4"/>
    <n v="67.86"/>
  </r>
  <r>
    <s v="WF_904"/>
    <x v="3"/>
    <x v="903"/>
    <s v="Escalation"/>
    <s v="Critical"/>
    <s v="Finance"/>
    <s v="EMP_63"/>
    <d v="2024-02-14T01:07:00"/>
    <d v="2024-02-14T02:54:00"/>
    <n v="59"/>
    <n v="107"/>
    <n v="1"/>
    <s v="Level 2"/>
    <n v="6"/>
    <n v="88.9"/>
  </r>
  <r>
    <s v="WF_905"/>
    <x v="0"/>
    <x v="904"/>
    <s v="Escalation"/>
    <s v="Medium"/>
    <s v="Customer Service"/>
    <s v="EMP_110"/>
    <d v="2024-10-11T20:45:00"/>
    <d v="2024-10-12T00:16:00"/>
    <n v="106"/>
    <n v="211"/>
    <n v="1"/>
    <s v="Level 2"/>
    <n v="7"/>
    <n v="208.05"/>
  </r>
  <r>
    <s v="WF_906"/>
    <x v="1"/>
    <x v="905"/>
    <s v="Validation"/>
    <s v="Low"/>
    <s v="HR"/>
    <s v="EMP_75"/>
    <d v="2024-05-19T14:19:00"/>
    <d v="2024-05-19T17:27:00"/>
    <n v="125"/>
    <n v="188"/>
    <n v="1"/>
    <s v="Level 2"/>
    <n v="7"/>
    <n v="150.66999999999999"/>
  </r>
  <r>
    <s v="WF_907"/>
    <x v="3"/>
    <x v="906"/>
    <s v="Validation"/>
    <s v="Low"/>
    <s v="Finance"/>
    <s v="EMP_96"/>
    <d v="2024-03-15T23:29:00"/>
    <d v="2024-03-16T01:24:00"/>
    <n v="40"/>
    <n v="115"/>
    <n v="1"/>
    <s v="Level 3"/>
    <n v="4"/>
    <n v="99.73"/>
  </r>
  <r>
    <s v="WF_908"/>
    <x v="3"/>
    <x v="907"/>
    <s v="Validation"/>
    <s v="Medium"/>
    <s v="Customer Service"/>
    <s v="EMP_75"/>
    <d v="2024-01-10T04:19:00"/>
    <d v="2024-01-10T08:01:00"/>
    <n v="118"/>
    <n v="222"/>
    <n v="1"/>
    <s v="Level 2"/>
    <n v="1"/>
    <n v="296"/>
  </r>
  <r>
    <s v="WF_909"/>
    <x v="1"/>
    <x v="908"/>
    <s v="Escalation"/>
    <s v="Critical"/>
    <s v="Operations"/>
    <s v="EMP_60"/>
    <d v="2024-05-12T07:21:00"/>
    <d v="2024-05-12T09:46:00"/>
    <n v="47"/>
    <n v="145"/>
    <n v="1"/>
    <s v="Level 1"/>
    <n v="7"/>
    <n v="407.42"/>
  </r>
  <r>
    <s v="WF_910"/>
    <x v="1"/>
    <x v="909"/>
    <s v="Data Entry"/>
    <s v="Critical"/>
    <s v="Operations"/>
    <s v="EMP_113"/>
    <d v="2024-07-18T23:29:00"/>
    <d v="2024-07-19T03:58:00"/>
    <n v="171"/>
    <n v="269"/>
    <n v="1"/>
    <s v="Level 1"/>
    <n v="9"/>
    <n v="277.74"/>
  </r>
  <r>
    <s v="WF_911"/>
    <x v="1"/>
    <x v="910"/>
    <s v="Validation"/>
    <s v="Medium"/>
    <s v="Operations"/>
    <s v="EMP_131"/>
    <d v="2024-03-12T02:01:00"/>
    <d v="2024-03-12T04:15:00"/>
    <n v="124"/>
    <n v="134"/>
    <n v="1"/>
    <s v="Level 2"/>
    <n v="5"/>
    <n v="415.3"/>
  </r>
  <r>
    <s v="WF_912"/>
    <x v="2"/>
    <x v="911"/>
    <s v="Validation"/>
    <s v="Critical"/>
    <s v="Operations"/>
    <s v="EMP_90"/>
    <d v="2024-01-09T09:27:00"/>
    <d v="2024-01-09T12:41:00"/>
    <n v="165"/>
    <n v="194"/>
    <n v="1"/>
    <s v="Level 3"/>
    <n v="3"/>
    <n v="140.63999999999999"/>
  </r>
  <r>
    <s v="WF_913"/>
    <x v="1"/>
    <x v="912"/>
    <s v="Validation"/>
    <s v="Critical"/>
    <s v="IT"/>
    <s v="EMP_42"/>
    <d v="2024-02-01T02:38:00"/>
    <d v="2024-02-01T04:19:00"/>
    <n v="52"/>
    <n v="101"/>
    <n v="1"/>
    <s v="Level 1"/>
    <n v="5"/>
    <n v="157.27000000000001"/>
  </r>
  <r>
    <s v="WF_914"/>
    <x v="4"/>
    <x v="913"/>
    <s v="Approval"/>
    <s v="Medium"/>
    <s v="Customer Service"/>
    <s v="EMP_21"/>
    <d v="2024-12-06T12:24:00"/>
    <d v="2024-12-06T14:01:00"/>
    <n v="20"/>
    <n v="97"/>
    <n v="1"/>
    <s v="Level 2"/>
    <n v="4"/>
    <n v="228.37"/>
  </r>
  <r>
    <s v="WF_915"/>
    <x v="3"/>
    <x v="914"/>
    <s v="Escalation"/>
    <s v="High"/>
    <s v="IT"/>
    <s v="EMP_19"/>
    <d v="2024-05-25T05:04:00"/>
    <d v="2024-05-25T09:32:00"/>
    <n v="206"/>
    <n v="268"/>
    <n v="1"/>
    <s v="Level 2"/>
    <n v="1"/>
    <n v="123.87"/>
  </r>
  <r>
    <s v="WF_916"/>
    <x v="0"/>
    <x v="915"/>
    <s v="Escalation"/>
    <s v="Low"/>
    <s v="Operations"/>
    <s v="EMP_92"/>
    <d v="2024-07-15T01:15:00"/>
    <d v="2024-07-15T03:53:00"/>
    <n v="54"/>
    <n v="158"/>
    <n v="1"/>
    <s v="Level 3"/>
    <n v="2"/>
    <n v="204.08"/>
  </r>
  <r>
    <s v="WF_917"/>
    <x v="2"/>
    <x v="916"/>
    <s v="Data Entry"/>
    <s v="High"/>
    <s v="IT"/>
    <s v="EMP_91"/>
    <d v="2024-09-08T11:14:00"/>
    <d v="2024-09-08T14:03:00"/>
    <n v="49"/>
    <n v="169"/>
    <n v="1"/>
    <s v="Level 1"/>
    <n v="1"/>
    <n v="472.23"/>
  </r>
  <r>
    <s v="WF_918"/>
    <x v="4"/>
    <x v="917"/>
    <s v="Escalation"/>
    <s v="Critical"/>
    <s v="HR"/>
    <s v="EMP_41"/>
    <d v="2024-10-14T03:42:00"/>
    <d v="2024-10-14T05:41:00"/>
    <n v="67"/>
    <n v="119"/>
    <n v="1"/>
    <s v="Level 3"/>
    <n v="4"/>
    <n v="244.27"/>
  </r>
  <r>
    <s v="WF_919"/>
    <x v="3"/>
    <x v="918"/>
    <s v="Approval"/>
    <s v="High"/>
    <s v="IT"/>
    <s v="EMP_83"/>
    <d v="2024-06-21T20:50:00"/>
    <d v="2024-06-22T00:43:00"/>
    <n v="182"/>
    <n v="233"/>
    <n v="1"/>
    <s v="Level 1"/>
    <n v="5"/>
    <n v="372.23"/>
  </r>
  <r>
    <s v="WF_920"/>
    <x v="3"/>
    <x v="919"/>
    <s v="Approval"/>
    <s v="Low"/>
    <s v="HR"/>
    <s v="EMP_120"/>
    <d v="2024-06-24T07:08:00"/>
    <d v="2024-06-24T11:37:00"/>
    <n v="185"/>
    <n v="269"/>
    <n v="1"/>
    <s v="Level 2"/>
    <n v="1"/>
    <n v="309.68"/>
  </r>
  <r>
    <s v="WF_921"/>
    <x v="2"/>
    <x v="920"/>
    <s v="Review"/>
    <s v="Low"/>
    <s v="IT"/>
    <s v="EMP_131"/>
    <d v="2024-11-04T18:08:00"/>
    <d v="2024-11-04T21:18:00"/>
    <n v="157"/>
    <n v="190"/>
    <n v="1"/>
    <s v="Level 2"/>
    <n v="7"/>
    <n v="232.17"/>
  </r>
  <r>
    <s v="WF_922"/>
    <x v="0"/>
    <x v="921"/>
    <s v="Data Entry"/>
    <s v="High"/>
    <s v="Operations"/>
    <s v="EMP_27"/>
    <d v="2024-06-10T08:44:00"/>
    <d v="2024-06-10T11:46:00"/>
    <n v="106"/>
    <n v="182"/>
    <n v="1"/>
    <s v="Level 3"/>
    <n v="3"/>
    <n v="93.65"/>
  </r>
  <r>
    <s v="WF_923"/>
    <x v="1"/>
    <x v="922"/>
    <s v="Review"/>
    <s v="Low"/>
    <s v="Operations"/>
    <s v="EMP_33"/>
    <d v="2024-10-04T12:14:00"/>
    <d v="2024-10-04T14:47:00"/>
    <n v="67"/>
    <n v="153"/>
    <n v="1"/>
    <s v="Level 3"/>
    <n v="4"/>
    <n v="166.62"/>
  </r>
  <r>
    <s v="WF_924"/>
    <x v="2"/>
    <x v="923"/>
    <s v="Review"/>
    <s v="High"/>
    <s v="Operations"/>
    <s v="EMP_47"/>
    <d v="2024-02-28T12:42:00"/>
    <d v="2024-02-28T15:38:00"/>
    <n v="169"/>
    <n v="176"/>
    <n v="1"/>
    <s v="Level 2"/>
    <n v="2"/>
    <n v="345.45"/>
  </r>
  <r>
    <s v="WF_925"/>
    <x v="0"/>
    <x v="924"/>
    <s v="Review"/>
    <s v="Low"/>
    <s v="Finance"/>
    <s v="EMP_10"/>
    <d v="2024-04-25T04:38:00"/>
    <d v="2024-04-25T08:40:00"/>
    <n v="221"/>
    <n v="242"/>
    <n v="1"/>
    <s v="Level 2"/>
    <n v="4"/>
    <n v="420.69"/>
  </r>
  <r>
    <s v="WF_926"/>
    <x v="1"/>
    <x v="925"/>
    <s v="Validation"/>
    <s v="Critical"/>
    <s v="Finance"/>
    <s v="EMP_43"/>
    <d v="2024-04-04T05:07:00"/>
    <d v="2024-04-04T08:08:00"/>
    <n v="161"/>
    <n v="181"/>
    <n v="1"/>
    <s v="Level 1"/>
    <n v="5"/>
    <n v="387.22"/>
  </r>
  <r>
    <s v="WF_927"/>
    <x v="2"/>
    <x v="926"/>
    <s v="Data Entry"/>
    <s v="High"/>
    <s v="Customer Service"/>
    <s v="EMP_84"/>
    <d v="2024-05-13T07:46:00"/>
    <d v="2024-05-13T10:48:00"/>
    <n v="136"/>
    <n v="182"/>
    <n v="1"/>
    <s v="Level 3"/>
    <n v="4"/>
    <n v="123.99"/>
  </r>
  <r>
    <s v="WF_928"/>
    <x v="3"/>
    <x v="927"/>
    <s v="Approval"/>
    <s v="Low"/>
    <s v="HR"/>
    <s v="EMP_80"/>
    <d v="2024-07-15T23:46:00"/>
    <d v="2024-07-16T04:57:00"/>
    <n v="221"/>
    <n v="311"/>
    <n v="1"/>
    <s v="Level 3"/>
    <n v="8"/>
    <n v="285.54000000000002"/>
  </r>
  <r>
    <s v="WF_929"/>
    <x v="1"/>
    <x v="928"/>
    <s v="Escalation"/>
    <s v="Medium"/>
    <s v="IT"/>
    <s v="EMP_34"/>
    <d v="2024-11-03T00:42:00"/>
    <d v="2024-11-03T04:22:00"/>
    <n v="179"/>
    <n v="220"/>
    <n v="1"/>
    <s v="Level 2"/>
    <n v="6"/>
    <n v="352.98"/>
  </r>
  <r>
    <s v="WF_930"/>
    <x v="0"/>
    <x v="929"/>
    <s v="Review"/>
    <s v="High"/>
    <s v="Operations"/>
    <s v="EMP_35"/>
    <d v="2024-05-17T14:38:00"/>
    <d v="2024-05-17T16:14:00"/>
    <n v="21"/>
    <n v="96"/>
    <n v="1"/>
    <s v="Level 3"/>
    <n v="9"/>
    <n v="279.93"/>
  </r>
  <r>
    <s v="WF_931"/>
    <x v="0"/>
    <x v="930"/>
    <s v="Review"/>
    <s v="Low"/>
    <s v="HR"/>
    <s v="EMP_58"/>
    <d v="2024-10-06T05:56:00"/>
    <d v="2024-10-06T09:10:00"/>
    <n v="126"/>
    <n v="194"/>
    <n v="1"/>
    <s v="Level 3"/>
    <n v="7"/>
    <n v="384.05"/>
  </r>
  <r>
    <s v="WF_932"/>
    <x v="4"/>
    <x v="931"/>
    <s v="Approval"/>
    <s v="Medium"/>
    <s v="IT"/>
    <s v="EMP_97"/>
    <d v="2024-04-29T18:47:00"/>
    <d v="2024-04-29T21:11:00"/>
    <n v="149"/>
    <n v="144"/>
    <n v="0"/>
    <s v="Level 3"/>
    <n v="1"/>
    <n v="96.07"/>
  </r>
  <r>
    <s v="WF_933"/>
    <x v="3"/>
    <x v="932"/>
    <s v="Data Entry"/>
    <s v="Critical"/>
    <s v="HR"/>
    <s v="EMP_98"/>
    <d v="2024-12-07T00:47:00"/>
    <d v="2024-12-07T03:41:00"/>
    <n v="60"/>
    <n v="174"/>
    <n v="1"/>
    <s v="Level 2"/>
    <n v="8"/>
    <n v="497.94"/>
  </r>
  <r>
    <s v="WF_934"/>
    <x v="1"/>
    <x v="933"/>
    <s v="Validation"/>
    <s v="Low"/>
    <s v="Operations"/>
    <s v="EMP_56"/>
    <d v="2024-08-11T04:56:00"/>
    <d v="2024-08-11T08:03:00"/>
    <n v="90"/>
    <n v="187"/>
    <n v="1"/>
    <s v="Level 3"/>
    <n v="6"/>
    <n v="149.91999999999999"/>
  </r>
  <r>
    <s v="WF_935"/>
    <x v="2"/>
    <x v="934"/>
    <s v="Escalation"/>
    <s v="High"/>
    <s v="Finance"/>
    <s v="EMP_111"/>
    <d v="2024-11-16T05:01:00"/>
    <d v="2024-11-16T09:26:00"/>
    <n v="191"/>
    <n v="265"/>
    <n v="1"/>
    <s v="Level 2"/>
    <n v="5"/>
    <n v="236.3"/>
  </r>
  <r>
    <s v="WF_936"/>
    <x v="1"/>
    <x v="935"/>
    <s v="Data Entry"/>
    <s v="Low"/>
    <s v="Finance"/>
    <s v="EMP_115"/>
    <d v="2024-11-28T14:24:00"/>
    <d v="2024-11-28T16:07:00"/>
    <n v="48"/>
    <n v="103"/>
    <n v="1"/>
    <s v="Level 3"/>
    <n v="7"/>
    <n v="496.15"/>
  </r>
  <r>
    <s v="WF_937"/>
    <x v="2"/>
    <x v="936"/>
    <s v="Approval"/>
    <s v="Medium"/>
    <s v="IT"/>
    <s v="EMP_41"/>
    <d v="2024-08-25T01:33:00"/>
    <d v="2024-08-25T03:00:00"/>
    <n v="57"/>
    <n v="87"/>
    <n v="1"/>
    <s v="Level 2"/>
    <n v="10"/>
    <n v="302.45"/>
  </r>
  <r>
    <s v="WF_938"/>
    <x v="3"/>
    <x v="937"/>
    <s v="Escalation"/>
    <s v="Low"/>
    <s v="Finance"/>
    <s v="EMP_56"/>
    <d v="2024-06-02T04:32:00"/>
    <d v="2024-06-02T09:34:00"/>
    <n v="235"/>
    <n v="302"/>
    <n v="1"/>
    <s v="Level 2"/>
    <n v="7"/>
    <n v="404.51"/>
  </r>
  <r>
    <s v="WF_939"/>
    <x v="2"/>
    <x v="938"/>
    <s v="Review"/>
    <s v="Medium"/>
    <s v="Operations"/>
    <s v="EMP_97"/>
    <d v="2024-09-29T06:02:00"/>
    <d v="2024-09-29T09:06:00"/>
    <n v="95"/>
    <n v="184"/>
    <n v="1"/>
    <s v="Level 3"/>
    <n v="8"/>
    <n v="273.41000000000003"/>
  </r>
  <r>
    <s v="WF_940"/>
    <x v="0"/>
    <x v="939"/>
    <s v="Validation"/>
    <s v="Critical"/>
    <s v="HR"/>
    <s v="EMP_121"/>
    <d v="2024-01-25T13:29:00"/>
    <d v="2024-01-25T15:15:00"/>
    <n v="40"/>
    <n v="106"/>
    <n v="1"/>
    <s v="Level 3"/>
    <n v="4"/>
    <n v="114.13"/>
  </r>
  <r>
    <s v="WF_941"/>
    <x v="3"/>
    <x v="940"/>
    <s v="Escalation"/>
    <s v="Low"/>
    <s v="Operations"/>
    <s v="EMP_126"/>
    <d v="2024-01-24T17:58:00"/>
    <d v="2024-01-24T21:47:00"/>
    <n v="226"/>
    <n v="229"/>
    <n v="1"/>
    <s v="Level 3"/>
    <n v="6"/>
    <n v="361.35"/>
  </r>
  <r>
    <s v="WF_942"/>
    <x v="4"/>
    <x v="941"/>
    <s v="Validation"/>
    <s v="Critical"/>
    <s v="Operations"/>
    <s v="EMP_78"/>
    <d v="2024-11-10T13:40:00"/>
    <d v="2024-11-10T15:33:00"/>
    <n v="91"/>
    <n v="113"/>
    <n v="1"/>
    <s v="Level 1"/>
    <n v="5"/>
    <n v="264.26"/>
  </r>
  <r>
    <s v="WF_943"/>
    <x v="4"/>
    <x v="942"/>
    <s v="Review"/>
    <s v="High"/>
    <s v="IT"/>
    <s v="EMP_5"/>
    <d v="2024-07-04T17:17:00"/>
    <d v="2024-07-04T20:28:00"/>
    <n v="172"/>
    <n v="191"/>
    <n v="1"/>
    <s v="Level 3"/>
    <n v="2"/>
    <n v="264.81"/>
  </r>
  <r>
    <s v="WF_944"/>
    <x v="4"/>
    <x v="943"/>
    <s v="Approval"/>
    <s v="Critical"/>
    <s v="Finance"/>
    <s v="EMP_143"/>
    <d v="2024-09-10T10:14:00"/>
    <d v="2024-09-10T10:53:00"/>
    <n v="19"/>
    <n v="39"/>
    <n v="1"/>
    <s v="Level 1"/>
    <n v="3"/>
    <n v="494.04"/>
  </r>
  <r>
    <s v="WF_945"/>
    <x v="0"/>
    <x v="944"/>
    <s v="Data Entry"/>
    <s v="High"/>
    <s v="Customer Service"/>
    <s v="EMP_64"/>
    <d v="2024-09-10T11:44:00"/>
    <d v="2024-09-10T16:07:00"/>
    <n v="222"/>
    <n v="263"/>
    <n v="1"/>
    <s v="Level 1"/>
    <n v="2"/>
    <n v="489.15"/>
  </r>
  <r>
    <s v="WF_946"/>
    <x v="1"/>
    <x v="945"/>
    <s v="Approval"/>
    <s v="Medium"/>
    <s v="IT"/>
    <s v="EMP_23"/>
    <d v="2024-05-28T23:08:00"/>
    <d v="2024-05-29T02:28:00"/>
    <n v="117"/>
    <n v="200"/>
    <n v="1"/>
    <s v="Level 1"/>
    <n v="1"/>
    <n v="140.9"/>
  </r>
  <r>
    <s v="WF_947"/>
    <x v="1"/>
    <x v="946"/>
    <s v="Review"/>
    <s v="Low"/>
    <s v="IT"/>
    <s v="EMP_21"/>
    <d v="2024-10-17T12:36:00"/>
    <d v="2024-10-17T15:38:00"/>
    <n v="99"/>
    <n v="182"/>
    <n v="1"/>
    <s v="Level 2"/>
    <n v="5"/>
    <n v="321.27"/>
  </r>
  <r>
    <s v="WF_948"/>
    <x v="3"/>
    <x v="947"/>
    <s v="Escalation"/>
    <s v="Critical"/>
    <s v="Operations"/>
    <s v="EMP_82"/>
    <d v="2024-02-13T14:17:00"/>
    <d v="2024-02-13T16:44:00"/>
    <n v="46"/>
    <n v="147"/>
    <n v="1"/>
    <s v="Level 2"/>
    <n v="8"/>
    <n v="227.78"/>
  </r>
  <r>
    <s v="WF_949"/>
    <x v="0"/>
    <x v="948"/>
    <s v="Approval"/>
    <s v="Low"/>
    <s v="Operations"/>
    <s v="EMP_43"/>
    <d v="2024-06-10T10:52:00"/>
    <d v="2024-06-10T15:44:00"/>
    <n v="235"/>
    <n v="292"/>
    <n v="1"/>
    <s v="Level 1"/>
    <n v="7"/>
    <n v="194.71"/>
  </r>
  <r>
    <s v="WF_950"/>
    <x v="2"/>
    <x v="949"/>
    <s v="Validation"/>
    <s v="Critical"/>
    <s v="Finance"/>
    <s v="EMP_117"/>
    <d v="2024-11-10T18:31:00"/>
    <d v="2024-11-10T21:28:00"/>
    <n v="148"/>
    <n v="177"/>
    <n v="1"/>
    <s v="Level 3"/>
    <n v="10"/>
    <n v="293.39999999999998"/>
  </r>
  <r>
    <s v="WF_951"/>
    <x v="4"/>
    <x v="950"/>
    <s v="Review"/>
    <s v="Medium"/>
    <s v="Customer Service"/>
    <s v="EMP_107"/>
    <d v="2024-07-28T04:31:00"/>
    <d v="2024-07-28T06:19:00"/>
    <n v="38"/>
    <n v="108"/>
    <n v="1"/>
    <s v="Level 1"/>
    <n v="8"/>
    <n v="129.91999999999999"/>
  </r>
  <r>
    <s v="WF_952"/>
    <x v="0"/>
    <x v="951"/>
    <s v="Approval"/>
    <s v="Medium"/>
    <s v="Customer Service"/>
    <s v="EMP_143"/>
    <d v="2024-07-03T23:27:00"/>
    <d v="2024-07-04T02:48:00"/>
    <n v="147"/>
    <n v="201"/>
    <n v="1"/>
    <s v="Level 1"/>
    <n v="6"/>
    <n v="187.39"/>
  </r>
  <r>
    <s v="WF_953"/>
    <x v="1"/>
    <x v="952"/>
    <s v="Validation"/>
    <s v="High"/>
    <s v="HR"/>
    <s v="EMP_13"/>
    <d v="2024-02-14T03:25:00"/>
    <d v="2024-02-14T08:54:00"/>
    <n v="218"/>
    <n v="329"/>
    <n v="1"/>
    <s v="Level 1"/>
    <n v="10"/>
    <n v="340.27"/>
  </r>
  <r>
    <s v="WF_954"/>
    <x v="2"/>
    <x v="953"/>
    <s v="Review"/>
    <s v="Medium"/>
    <s v="IT"/>
    <s v="EMP_51"/>
    <d v="2024-04-20T12:41:00"/>
    <d v="2024-04-20T15:44:00"/>
    <n v="112"/>
    <n v="183"/>
    <n v="1"/>
    <s v="Level 1"/>
    <n v="8"/>
    <n v="400.35"/>
  </r>
  <r>
    <s v="WF_955"/>
    <x v="4"/>
    <x v="954"/>
    <s v="Approval"/>
    <s v="High"/>
    <s v="HR"/>
    <s v="EMP_128"/>
    <d v="2024-04-27T16:31:00"/>
    <d v="2024-04-27T19:45:00"/>
    <n v="155"/>
    <n v="194"/>
    <n v="1"/>
    <s v="Level 1"/>
    <n v="1"/>
    <n v="303.51"/>
  </r>
  <r>
    <s v="WF_956"/>
    <x v="0"/>
    <x v="955"/>
    <s v="Validation"/>
    <s v="Critical"/>
    <s v="HR"/>
    <s v="EMP_28"/>
    <d v="2024-05-20T09:32:00"/>
    <d v="2024-05-20T13:11:00"/>
    <n v="193"/>
    <n v="219"/>
    <n v="1"/>
    <s v="Level 3"/>
    <n v="7"/>
    <n v="451.48"/>
  </r>
  <r>
    <s v="WF_957"/>
    <x v="0"/>
    <x v="956"/>
    <s v="Review"/>
    <s v="Medium"/>
    <s v="Finance"/>
    <s v="EMP_53"/>
    <d v="2024-02-02T23:28:00"/>
    <d v="2024-02-03T02:10:00"/>
    <n v="153"/>
    <n v="162"/>
    <n v="1"/>
    <s v="Level 2"/>
    <n v="2"/>
    <n v="173.82"/>
  </r>
  <r>
    <s v="WF_958"/>
    <x v="1"/>
    <x v="957"/>
    <s v="Validation"/>
    <s v="Low"/>
    <s v="Customer Service"/>
    <s v="EMP_93"/>
    <d v="2024-03-28T03:03:00"/>
    <d v="2024-03-28T07:25:00"/>
    <n v="162"/>
    <n v="262"/>
    <n v="1"/>
    <s v="Level 2"/>
    <n v="10"/>
    <n v="195"/>
  </r>
  <r>
    <s v="WF_959"/>
    <x v="1"/>
    <x v="958"/>
    <s v="Data Entry"/>
    <s v="Critical"/>
    <s v="HR"/>
    <s v="EMP_129"/>
    <d v="2024-03-08T02:36:00"/>
    <d v="2024-03-08T07:41:00"/>
    <n v="190"/>
    <n v="305"/>
    <n v="1"/>
    <s v="Level 2"/>
    <n v="2"/>
    <n v="298.22000000000003"/>
  </r>
  <r>
    <s v="WF_960"/>
    <x v="3"/>
    <x v="959"/>
    <s v="Approval"/>
    <s v="Critical"/>
    <s v="HR"/>
    <s v="EMP_43"/>
    <d v="2024-06-12T05:05:00"/>
    <d v="2024-06-12T08:19:00"/>
    <n v="131"/>
    <n v="194"/>
    <n v="1"/>
    <s v="Level 1"/>
    <n v="5"/>
    <n v="222.09"/>
  </r>
  <r>
    <s v="WF_961"/>
    <x v="2"/>
    <x v="960"/>
    <s v="Approval"/>
    <s v="Critical"/>
    <s v="IT"/>
    <s v="EMP_14"/>
    <d v="2024-04-02T11:35:00"/>
    <d v="2024-04-02T16:23:00"/>
    <n v="232"/>
    <n v="288"/>
    <n v="1"/>
    <s v="Level 2"/>
    <n v="10"/>
    <n v="72.72"/>
  </r>
  <r>
    <s v="WF_962"/>
    <x v="4"/>
    <x v="961"/>
    <s v="Review"/>
    <s v="High"/>
    <s v="HR"/>
    <s v="EMP_73"/>
    <d v="2024-04-17T15:00:00"/>
    <d v="2024-04-17T18:42:00"/>
    <n v="188"/>
    <n v="222"/>
    <n v="1"/>
    <s v="Level 2"/>
    <n v="1"/>
    <n v="371.15"/>
  </r>
  <r>
    <s v="WF_963"/>
    <x v="0"/>
    <x v="962"/>
    <s v="Validation"/>
    <s v="High"/>
    <s v="Finance"/>
    <s v="EMP_12"/>
    <d v="2024-11-12T11:06:00"/>
    <d v="2024-11-12T12:03:00"/>
    <n v="18"/>
    <n v="57"/>
    <n v="1"/>
    <s v="Level 3"/>
    <n v="6"/>
    <n v="373.33"/>
  </r>
  <r>
    <s v="WF_964"/>
    <x v="2"/>
    <x v="963"/>
    <s v="Review"/>
    <s v="Critical"/>
    <s v="IT"/>
    <s v="EMP_44"/>
    <d v="2024-10-10T00:39:00"/>
    <d v="2024-10-10T02:14:00"/>
    <n v="70"/>
    <n v="95"/>
    <n v="1"/>
    <s v="Level 3"/>
    <n v="9"/>
    <n v="440.07"/>
  </r>
  <r>
    <s v="WF_965"/>
    <x v="3"/>
    <x v="964"/>
    <s v="Data Entry"/>
    <s v="Medium"/>
    <s v="IT"/>
    <s v="EMP_80"/>
    <d v="2024-08-14T05:02:00"/>
    <d v="2024-08-14T09:41:00"/>
    <n v="169"/>
    <n v="279"/>
    <n v="1"/>
    <s v="Level 3"/>
    <n v="9"/>
    <n v="291.18"/>
  </r>
  <r>
    <s v="WF_966"/>
    <x v="3"/>
    <x v="965"/>
    <s v="Approval"/>
    <s v="Medium"/>
    <s v="HR"/>
    <s v="EMP_21"/>
    <d v="2024-04-17T23:30:00"/>
    <d v="2024-04-17T23:41:00"/>
    <n v="16"/>
    <n v="11"/>
    <n v="0"/>
    <s v="Level 3"/>
    <n v="5"/>
    <n v="224.63"/>
  </r>
  <r>
    <s v="WF_967"/>
    <x v="2"/>
    <x v="966"/>
    <s v="Escalation"/>
    <s v="Critical"/>
    <s v="HR"/>
    <s v="EMP_15"/>
    <d v="2024-03-27T14:29:00"/>
    <d v="2024-03-27T17:54:00"/>
    <n v="123"/>
    <n v="205"/>
    <n v="1"/>
    <s v="Level 3"/>
    <n v="10"/>
    <n v="228.96"/>
  </r>
  <r>
    <s v="WF_968"/>
    <x v="4"/>
    <x v="967"/>
    <s v="Validation"/>
    <s v="High"/>
    <s v="Finance"/>
    <s v="EMP_100"/>
    <d v="2024-07-01T16:59:00"/>
    <d v="2024-07-01T20:05:00"/>
    <n v="92"/>
    <n v="186"/>
    <n v="1"/>
    <s v="Level 1"/>
    <n v="4"/>
    <n v="295.74"/>
  </r>
  <r>
    <s v="WF_969"/>
    <x v="3"/>
    <x v="968"/>
    <s v="Validation"/>
    <s v="Medium"/>
    <s v="Customer Service"/>
    <s v="EMP_15"/>
    <d v="2024-12-04T10:24:00"/>
    <d v="2024-12-04T15:40:00"/>
    <n v="239"/>
    <n v="316"/>
    <n v="1"/>
    <s v="Level 3"/>
    <n v="9"/>
    <n v="202.37"/>
  </r>
  <r>
    <s v="WF_970"/>
    <x v="4"/>
    <x v="969"/>
    <s v="Approval"/>
    <s v="Low"/>
    <s v="Finance"/>
    <s v="EMP_145"/>
    <d v="2024-04-22T06:10:00"/>
    <d v="2024-04-22T09:00:00"/>
    <n v="74"/>
    <n v="170"/>
    <n v="1"/>
    <s v="Level 1"/>
    <n v="1"/>
    <n v="288.27"/>
  </r>
  <r>
    <s v="WF_971"/>
    <x v="1"/>
    <x v="970"/>
    <s v="Data Entry"/>
    <s v="Critical"/>
    <s v="Operations"/>
    <s v="EMP_19"/>
    <d v="2024-05-08T21:46:00"/>
    <d v="2024-05-09T00:13:00"/>
    <n v="81"/>
    <n v="147"/>
    <n v="1"/>
    <s v="Level 3"/>
    <n v="9"/>
    <n v="75.11"/>
  </r>
  <r>
    <s v="WF_972"/>
    <x v="2"/>
    <x v="971"/>
    <s v="Escalation"/>
    <s v="Medium"/>
    <s v="Operations"/>
    <s v="EMP_39"/>
    <d v="2024-08-02T00:14:00"/>
    <d v="2024-08-02T05:58:00"/>
    <n v="227"/>
    <n v="344"/>
    <n v="1"/>
    <s v="Level 3"/>
    <n v="8"/>
    <n v="470.84"/>
  </r>
  <r>
    <s v="WF_973"/>
    <x v="1"/>
    <x v="972"/>
    <s v="Data Entry"/>
    <s v="Low"/>
    <s v="HR"/>
    <s v="EMP_79"/>
    <d v="2024-12-23T13:51:00"/>
    <d v="2024-12-23T17:03:00"/>
    <n v="197"/>
    <n v="192"/>
    <n v="0"/>
    <s v="Level 1"/>
    <n v="1"/>
    <n v="129.44999999999999"/>
  </r>
  <r>
    <s v="WF_974"/>
    <x v="2"/>
    <x v="973"/>
    <s v="Data Entry"/>
    <s v="Critical"/>
    <s v="Customer Service"/>
    <s v="EMP_16"/>
    <d v="2024-05-13T20:26:00"/>
    <d v="2024-05-13T23:23:00"/>
    <n v="126"/>
    <n v="177"/>
    <n v="1"/>
    <s v="Level 1"/>
    <n v="1"/>
    <n v="362.82"/>
  </r>
  <r>
    <s v="WF_975"/>
    <x v="3"/>
    <x v="974"/>
    <s v="Validation"/>
    <s v="Low"/>
    <s v="HR"/>
    <s v="EMP_68"/>
    <d v="2024-04-27T12:40:00"/>
    <d v="2024-04-27T13:51:00"/>
    <n v="37"/>
    <n v="71"/>
    <n v="1"/>
    <s v="Level 3"/>
    <n v="2"/>
    <n v="378.94"/>
  </r>
  <r>
    <s v="WF_976"/>
    <x v="0"/>
    <x v="975"/>
    <s v="Validation"/>
    <s v="High"/>
    <s v="IT"/>
    <s v="EMP_14"/>
    <d v="2024-09-29T16:41:00"/>
    <d v="2024-09-29T20:58:00"/>
    <n v="189"/>
    <n v="257"/>
    <n v="1"/>
    <s v="Level 2"/>
    <n v="10"/>
    <n v="150.4"/>
  </r>
  <r>
    <s v="WF_977"/>
    <x v="0"/>
    <x v="976"/>
    <s v="Escalation"/>
    <s v="Low"/>
    <s v="HR"/>
    <s v="EMP_83"/>
    <d v="2024-09-19T23:24:00"/>
    <d v="2024-09-20T01:58:00"/>
    <n v="129"/>
    <n v="154"/>
    <n v="1"/>
    <s v="Level 1"/>
    <n v="2"/>
    <n v="165.72"/>
  </r>
  <r>
    <s v="WF_978"/>
    <x v="0"/>
    <x v="977"/>
    <s v="Approval"/>
    <s v="Low"/>
    <s v="HR"/>
    <s v="EMP_80"/>
    <d v="2024-05-02T07:09:00"/>
    <d v="2024-05-02T09:46:00"/>
    <n v="45"/>
    <n v="157"/>
    <n v="1"/>
    <s v="Level 1"/>
    <n v="3"/>
    <n v="105.09"/>
  </r>
  <r>
    <s v="WF_979"/>
    <x v="2"/>
    <x v="978"/>
    <s v="Review"/>
    <s v="Low"/>
    <s v="Customer Service"/>
    <s v="EMP_139"/>
    <d v="2024-04-07T22:34:00"/>
    <d v="2024-04-08T00:06:00"/>
    <n v="68"/>
    <n v="92"/>
    <n v="1"/>
    <s v="Level 1"/>
    <n v="8"/>
    <n v="323.13"/>
  </r>
  <r>
    <s v="WF_980"/>
    <x v="1"/>
    <x v="979"/>
    <s v="Data Entry"/>
    <s v="Medium"/>
    <s v="HR"/>
    <s v="EMP_26"/>
    <d v="2024-05-20T03:44:00"/>
    <d v="2024-05-20T05:45:00"/>
    <n v="108"/>
    <n v="121"/>
    <n v="1"/>
    <s v="Level 3"/>
    <n v="6"/>
    <n v="404.62"/>
  </r>
  <r>
    <s v="WF_981"/>
    <x v="2"/>
    <x v="980"/>
    <s v="Review"/>
    <s v="Medium"/>
    <s v="HR"/>
    <s v="EMP_50"/>
    <d v="2024-07-29T12:17:00"/>
    <d v="2024-07-29T16:12:00"/>
    <n v="187"/>
    <n v="235"/>
    <n v="1"/>
    <s v="Level 3"/>
    <n v="6"/>
    <n v="80.900000000000006"/>
  </r>
  <r>
    <s v="WF_982"/>
    <x v="0"/>
    <x v="981"/>
    <s v="Data Entry"/>
    <s v="Critical"/>
    <s v="Customer Service"/>
    <s v="EMP_92"/>
    <d v="2024-09-04T04:28:00"/>
    <d v="2024-09-04T07:22:00"/>
    <n v="160"/>
    <n v="174"/>
    <n v="1"/>
    <s v="Level 1"/>
    <n v="8"/>
    <n v="402.5"/>
  </r>
  <r>
    <s v="WF_983"/>
    <x v="3"/>
    <x v="982"/>
    <s v="Validation"/>
    <s v="High"/>
    <s v="Operations"/>
    <s v="EMP_115"/>
    <d v="2024-05-03T09:15:00"/>
    <d v="2024-05-03T12:27:00"/>
    <n v="103"/>
    <n v="192"/>
    <n v="1"/>
    <s v="Level 3"/>
    <n v="9"/>
    <n v="58.93"/>
  </r>
  <r>
    <s v="WF_984"/>
    <x v="1"/>
    <x v="983"/>
    <s v="Validation"/>
    <s v="High"/>
    <s v="Operations"/>
    <s v="EMP_37"/>
    <d v="2024-02-03T14:57:00"/>
    <d v="2024-02-03T18:34:00"/>
    <n v="153"/>
    <n v="217"/>
    <n v="1"/>
    <s v="Level 2"/>
    <n v="9"/>
    <n v="246.79"/>
  </r>
  <r>
    <s v="WF_985"/>
    <x v="2"/>
    <x v="984"/>
    <s v="Review"/>
    <s v="Medium"/>
    <s v="Operations"/>
    <s v="EMP_82"/>
    <d v="2024-08-27T11:47:00"/>
    <d v="2024-08-27T14:51:00"/>
    <n v="76"/>
    <n v="184"/>
    <n v="1"/>
    <s v="Level 1"/>
    <n v="6"/>
    <n v="245.62"/>
  </r>
  <r>
    <s v="WF_986"/>
    <x v="2"/>
    <x v="985"/>
    <s v="Validation"/>
    <s v="Medium"/>
    <s v="HR"/>
    <s v="EMP_40"/>
    <d v="2024-03-16T18:52:00"/>
    <d v="2024-03-16T22:51:00"/>
    <n v="205"/>
    <n v="239"/>
    <n v="1"/>
    <s v="Level 3"/>
    <n v="1"/>
    <n v="212.99"/>
  </r>
  <r>
    <s v="WF_987"/>
    <x v="1"/>
    <x v="986"/>
    <s v="Review"/>
    <s v="High"/>
    <s v="Finance"/>
    <s v="EMP_25"/>
    <d v="2024-02-08T12:52:00"/>
    <d v="2024-02-08T14:03:00"/>
    <n v="40"/>
    <n v="71"/>
    <n v="1"/>
    <s v="Level 1"/>
    <n v="5"/>
    <n v="187.49"/>
  </r>
  <r>
    <s v="WF_988"/>
    <x v="4"/>
    <x v="987"/>
    <s v="Data Entry"/>
    <s v="Low"/>
    <s v="HR"/>
    <s v="EMP_28"/>
    <d v="2024-11-28T15:07:00"/>
    <d v="2024-11-28T15:35:00"/>
    <n v="15"/>
    <n v="28"/>
    <n v="1"/>
    <s v="Level 2"/>
    <n v="7"/>
    <n v="116.99"/>
  </r>
  <r>
    <s v="WF_989"/>
    <x v="2"/>
    <x v="988"/>
    <s v="Review"/>
    <s v="Low"/>
    <s v="HR"/>
    <s v="EMP_3"/>
    <d v="2024-08-17T06:52:00"/>
    <d v="2024-08-17T09:42:00"/>
    <n v="57"/>
    <n v="170"/>
    <n v="1"/>
    <s v="Level 2"/>
    <n v="3"/>
    <n v="356.54"/>
  </r>
  <r>
    <s v="WF_990"/>
    <x v="1"/>
    <x v="989"/>
    <s v="Validation"/>
    <s v="High"/>
    <s v="Finance"/>
    <s v="EMP_85"/>
    <d v="2024-11-25T19:59:00"/>
    <d v="2024-11-25T21:30:00"/>
    <n v="31"/>
    <n v="91"/>
    <n v="1"/>
    <s v="Level 3"/>
    <n v="10"/>
    <n v="409.02"/>
  </r>
  <r>
    <s v="WF_991"/>
    <x v="4"/>
    <x v="990"/>
    <s v="Approval"/>
    <s v="Critical"/>
    <s v="Finance"/>
    <s v="EMP_120"/>
    <d v="2024-10-11T23:09:00"/>
    <d v="2024-10-12T00:51:00"/>
    <n v="104"/>
    <n v="102"/>
    <n v="0"/>
    <s v="Level 2"/>
    <n v="5"/>
    <n v="382.08"/>
  </r>
  <r>
    <s v="WF_992"/>
    <x v="3"/>
    <x v="991"/>
    <s v="Review"/>
    <s v="High"/>
    <s v="Customer Service"/>
    <s v="EMP_60"/>
    <d v="2024-07-11T22:47:00"/>
    <d v="2024-07-12T02:24:00"/>
    <n v="121"/>
    <n v="217"/>
    <n v="1"/>
    <s v="Level 3"/>
    <n v="6"/>
    <n v="443.37"/>
  </r>
  <r>
    <s v="WF_993"/>
    <x v="0"/>
    <x v="992"/>
    <s v="Data Entry"/>
    <s v="Critical"/>
    <s v="HR"/>
    <s v="EMP_146"/>
    <d v="2024-05-03T08:57:00"/>
    <d v="2024-05-03T13:47:00"/>
    <n v="198"/>
    <n v="290"/>
    <n v="1"/>
    <s v="Level 1"/>
    <n v="6"/>
    <n v="142.84"/>
  </r>
  <r>
    <s v="WF_994"/>
    <x v="2"/>
    <x v="993"/>
    <s v="Review"/>
    <s v="Low"/>
    <s v="IT"/>
    <s v="EMP_118"/>
    <d v="2024-08-09T14:27:00"/>
    <d v="2024-08-09T17:19:00"/>
    <n v="73"/>
    <n v="172"/>
    <n v="1"/>
    <s v="Level 3"/>
    <n v="4"/>
    <n v="334.72"/>
  </r>
  <r>
    <s v="WF_995"/>
    <x v="0"/>
    <x v="994"/>
    <s v="Escalation"/>
    <s v="Low"/>
    <s v="HR"/>
    <s v="EMP_7"/>
    <d v="2024-11-15T11:58:00"/>
    <d v="2024-11-15T14:55:00"/>
    <n v="61"/>
    <n v="177"/>
    <n v="1"/>
    <s v="Level 3"/>
    <n v="5"/>
    <n v="111.26"/>
  </r>
  <r>
    <s v="WF_996"/>
    <x v="1"/>
    <x v="995"/>
    <s v="Escalation"/>
    <s v="Low"/>
    <s v="Customer Service"/>
    <s v="EMP_119"/>
    <d v="2024-03-09T10:29:00"/>
    <d v="2024-03-09T15:40:00"/>
    <n v="216"/>
    <n v="311"/>
    <n v="1"/>
    <s v="Level 2"/>
    <n v="3"/>
    <n v="323.11"/>
  </r>
  <r>
    <s v="WF_997"/>
    <x v="4"/>
    <x v="996"/>
    <s v="Validation"/>
    <s v="Medium"/>
    <s v="HR"/>
    <s v="EMP_3"/>
    <d v="2024-08-26T05:07:00"/>
    <d v="2024-08-26T06:43:00"/>
    <n v="49"/>
    <n v="96"/>
    <n v="1"/>
    <s v="Level 1"/>
    <n v="3"/>
    <n v="394.59"/>
  </r>
  <r>
    <s v="WF_998"/>
    <x v="3"/>
    <x v="997"/>
    <s v="Escalation"/>
    <s v="Medium"/>
    <s v="HR"/>
    <s v="EMP_63"/>
    <d v="2024-10-16T20:47:00"/>
    <d v="2024-10-16T22:13:00"/>
    <n v="32"/>
    <n v="86"/>
    <n v="1"/>
    <s v="Level 2"/>
    <n v="10"/>
    <n v="469.51"/>
  </r>
  <r>
    <s v="WF_999"/>
    <x v="4"/>
    <x v="998"/>
    <s v="Approval"/>
    <s v="Low"/>
    <s v="Operations"/>
    <s v="EMP_64"/>
    <d v="2024-05-04T09:38:00"/>
    <d v="2024-05-04T11:38:00"/>
    <n v="10"/>
    <n v="120"/>
    <n v="1"/>
    <s v="Level 1"/>
    <n v="5"/>
    <n v="184.59"/>
  </r>
  <r>
    <s v="WF_1000"/>
    <x v="0"/>
    <x v="999"/>
    <s v="Validation"/>
    <s v="Medium"/>
    <s v="Operations"/>
    <s v="EMP_16"/>
    <d v="2024-10-10T16:42:00"/>
    <d v="2024-10-10T18:11:00"/>
    <n v="16"/>
    <n v="89"/>
    <n v="1"/>
    <s v="Level 1"/>
    <n v="6"/>
    <n v="499.94"/>
  </r>
  <r>
    <s v="WF_1001"/>
    <x v="0"/>
    <x v="1000"/>
    <s v="Validation"/>
    <s v="Medium"/>
    <s v="Customer Service"/>
    <s v="EMP_127"/>
    <d v="2024-05-30T13:44:00"/>
    <d v="2024-05-30T15:16:00"/>
    <n v="60"/>
    <n v="92"/>
    <n v="1"/>
    <s v="Level 1"/>
    <n v="3"/>
    <n v="239.71"/>
  </r>
  <r>
    <s v="WF_1002"/>
    <x v="3"/>
    <x v="1001"/>
    <s v="Data Entry"/>
    <s v="High"/>
    <s v="IT"/>
    <s v="EMP_12"/>
    <d v="2024-06-21T11:47:00"/>
    <d v="2024-06-21T13:36:00"/>
    <n v="113"/>
    <n v="109"/>
    <n v="0"/>
    <s v="Level 1"/>
    <n v="9"/>
    <n v="366.58"/>
  </r>
  <r>
    <s v="WF_1003"/>
    <x v="4"/>
    <x v="1002"/>
    <s v="Approval"/>
    <s v="Critical"/>
    <s v="Customer Service"/>
    <s v="EMP_111"/>
    <d v="2024-09-18T19:16:00"/>
    <d v="2024-09-18T22:30:00"/>
    <n v="93"/>
    <n v="194"/>
    <n v="1"/>
    <s v="Level 1"/>
    <n v="2"/>
    <n v="279.14"/>
  </r>
  <r>
    <s v="WF_1004"/>
    <x v="0"/>
    <x v="1003"/>
    <s v="Escalation"/>
    <s v="Low"/>
    <s v="Operations"/>
    <s v="EMP_16"/>
    <d v="2024-02-26T23:40:00"/>
    <d v="2024-02-27T02:14:00"/>
    <n v="119"/>
    <n v="154"/>
    <n v="1"/>
    <s v="Level 2"/>
    <n v="8"/>
    <n v="237.58"/>
  </r>
  <r>
    <s v="WF_1005"/>
    <x v="1"/>
    <x v="1004"/>
    <s v="Escalation"/>
    <s v="High"/>
    <s v="Customer Service"/>
    <s v="EMP_102"/>
    <d v="2024-05-16T22:02:00"/>
    <d v="2024-05-16T23:50:00"/>
    <n v="88"/>
    <n v="108"/>
    <n v="1"/>
    <s v="Level 1"/>
    <n v="2"/>
    <n v="224.19"/>
  </r>
  <r>
    <s v="WF_1006"/>
    <x v="0"/>
    <x v="1005"/>
    <s v="Review"/>
    <s v="Low"/>
    <s v="Finance"/>
    <s v="EMP_89"/>
    <d v="2024-04-25T09:40:00"/>
    <d v="2024-04-25T12:17:00"/>
    <n v="132"/>
    <n v="157"/>
    <n v="1"/>
    <s v="Level 1"/>
    <n v="1"/>
    <n v="480.96"/>
  </r>
  <r>
    <s v="WF_1007"/>
    <x v="1"/>
    <x v="1006"/>
    <s v="Validation"/>
    <s v="Critical"/>
    <s v="Finance"/>
    <s v="EMP_11"/>
    <d v="2024-06-15T04:50:00"/>
    <d v="2024-06-15T04:57:00"/>
    <n v="12"/>
    <n v="7"/>
    <n v="0"/>
    <s v="Level 3"/>
    <n v="4"/>
    <n v="306.25"/>
  </r>
  <r>
    <s v="WF_1008"/>
    <x v="2"/>
    <x v="1007"/>
    <s v="Review"/>
    <s v="Medium"/>
    <s v="Finance"/>
    <s v="EMP_41"/>
    <d v="2024-10-21T17:46:00"/>
    <d v="2024-10-21T21:40:00"/>
    <n v="196"/>
    <n v="234"/>
    <n v="1"/>
    <s v="Level 3"/>
    <n v="8"/>
    <n v="234.22"/>
  </r>
  <r>
    <s v="WF_1009"/>
    <x v="4"/>
    <x v="1008"/>
    <s v="Approval"/>
    <s v="Critical"/>
    <s v="Finance"/>
    <s v="EMP_69"/>
    <d v="2024-02-20T12:30:00"/>
    <d v="2024-02-20T14:36:00"/>
    <n v="64"/>
    <n v="126"/>
    <n v="1"/>
    <s v="Level 3"/>
    <n v="2"/>
    <n v="440.42"/>
  </r>
  <r>
    <s v="WF_1010"/>
    <x v="2"/>
    <x v="1009"/>
    <s v="Review"/>
    <s v="Critical"/>
    <s v="HR"/>
    <s v="EMP_100"/>
    <d v="2024-09-02T01:18:00"/>
    <d v="2024-09-02T05:50:00"/>
    <n v="225"/>
    <n v="272"/>
    <n v="1"/>
    <s v="Level 1"/>
    <n v="5"/>
    <n v="494"/>
  </r>
  <r>
    <s v="WF_1011"/>
    <x v="2"/>
    <x v="1010"/>
    <s v="Approval"/>
    <s v="Medium"/>
    <s v="HR"/>
    <s v="EMP_47"/>
    <d v="2024-01-15T18:52:00"/>
    <d v="2024-01-15T21:12:00"/>
    <n v="85"/>
    <n v="140"/>
    <n v="1"/>
    <s v="Level 3"/>
    <n v="9"/>
    <n v="191.9"/>
  </r>
  <r>
    <s v="WF_1012"/>
    <x v="3"/>
    <x v="1011"/>
    <s v="Validation"/>
    <s v="Medium"/>
    <s v="IT"/>
    <s v="EMP_54"/>
    <d v="2024-04-17T10:28:00"/>
    <d v="2024-04-17T11:17:00"/>
    <n v="39"/>
    <n v="49"/>
    <n v="1"/>
    <s v="Level 2"/>
    <n v="8"/>
    <n v="397.62"/>
  </r>
  <r>
    <s v="WF_1013"/>
    <x v="4"/>
    <x v="1012"/>
    <s v="Review"/>
    <s v="Low"/>
    <s v="Finance"/>
    <s v="EMP_124"/>
    <d v="2024-03-29T19:47:00"/>
    <d v="2024-03-29T22:24:00"/>
    <n v="139"/>
    <n v="157"/>
    <n v="1"/>
    <s v="Level 2"/>
    <n v="1"/>
    <n v="465.73"/>
  </r>
  <r>
    <s v="WF_1014"/>
    <x v="0"/>
    <x v="1013"/>
    <s v="Review"/>
    <s v="Critical"/>
    <s v="Finance"/>
    <s v="EMP_26"/>
    <d v="2024-05-18T00:28:00"/>
    <d v="2024-05-18T03:25:00"/>
    <n v="101"/>
    <n v="177"/>
    <n v="1"/>
    <s v="Level 1"/>
    <n v="10"/>
    <n v="161.16"/>
  </r>
  <r>
    <s v="WF_1015"/>
    <x v="2"/>
    <x v="1014"/>
    <s v="Review"/>
    <s v="Low"/>
    <s v="Customer Service"/>
    <s v="EMP_5"/>
    <d v="2024-05-03T18:17:00"/>
    <d v="2024-05-03T19:49:00"/>
    <n v="67"/>
    <n v="92"/>
    <n v="1"/>
    <s v="Level 3"/>
    <n v="2"/>
    <n v="403.87"/>
  </r>
  <r>
    <s v="WF_1016"/>
    <x v="3"/>
    <x v="1015"/>
    <s v="Escalation"/>
    <s v="High"/>
    <s v="Finance"/>
    <s v="EMP_87"/>
    <d v="2024-12-29T13:22:00"/>
    <d v="2024-12-29T17:18:00"/>
    <n v="133"/>
    <n v="236"/>
    <n v="1"/>
    <s v="Level 1"/>
    <n v="1"/>
    <n v="384.72"/>
  </r>
  <r>
    <s v="WF_1017"/>
    <x v="1"/>
    <x v="1016"/>
    <s v="Escalation"/>
    <s v="Low"/>
    <s v="IT"/>
    <s v="EMP_51"/>
    <d v="2024-08-30T14:46:00"/>
    <d v="2024-08-30T18:53:00"/>
    <n v="196"/>
    <n v="247"/>
    <n v="1"/>
    <s v="Level 3"/>
    <n v="3"/>
    <n v="148.99"/>
  </r>
  <r>
    <s v="WF_1018"/>
    <x v="0"/>
    <x v="1017"/>
    <s v="Data Entry"/>
    <s v="Critical"/>
    <s v="Operations"/>
    <s v="EMP_143"/>
    <d v="2024-03-03T09:06:00"/>
    <d v="2024-03-03T11:14:00"/>
    <n v="84"/>
    <n v="128"/>
    <n v="1"/>
    <s v="Level 1"/>
    <n v="9"/>
    <n v="480.76"/>
  </r>
  <r>
    <s v="WF_1019"/>
    <x v="0"/>
    <x v="1018"/>
    <s v="Escalation"/>
    <s v="Low"/>
    <s v="Finance"/>
    <s v="EMP_60"/>
    <d v="2024-03-14T03:49:00"/>
    <d v="2024-03-14T05:00:00"/>
    <n v="62"/>
    <n v="71"/>
    <n v="1"/>
    <s v="Level 1"/>
    <n v="2"/>
    <n v="343.32"/>
  </r>
  <r>
    <s v="WF_1020"/>
    <x v="4"/>
    <x v="1019"/>
    <s v="Data Entry"/>
    <s v="Medium"/>
    <s v="Customer Service"/>
    <s v="EMP_75"/>
    <d v="2024-07-26T10:17:00"/>
    <d v="2024-07-26T13:59:00"/>
    <n v="217"/>
    <n v="222"/>
    <n v="1"/>
    <s v="Level 1"/>
    <n v="6"/>
    <n v="278.19"/>
  </r>
  <r>
    <s v="WF_1021"/>
    <x v="2"/>
    <x v="1020"/>
    <s v="Data Entry"/>
    <s v="High"/>
    <s v="IT"/>
    <s v="EMP_78"/>
    <d v="2024-01-02T00:20:00"/>
    <d v="2024-01-02T03:00:00"/>
    <n v="83"/>
    <n v="160"/>
    <n v="1"/>
    <s v="Level 3"/>
    <n v="8"/>
    <n v="158.96"/>
  </r>
  <r>
    <s v="WF_1022"/>
    <x v="1"/>
    <x v="1021"/>
    <s v="Review"/>
    <s v="High"/>
    <s v="Finance"/>
    <s v="EMP_124"/>
    <d v="2024-07-17T05:25:00"/>
    <d v="2024-07-17T07:08:00"/>
    <n v="15"/>
    <n v="103"/>
    <n v="1"/>
    <s v="Level 2"/>
    <n v="3"/>
    <n v="412.72"/>
  </r>
  <r>
    <s v="WF_1023"/>
    <x v="3"/>
    <x v="1022"/>
    <s v="Data Entry"/>
    <s v="Critical"/>
    <s v="IT"/>
    <s v="EMP_75"/>
    <d v="2024-11-24T02:05:00"/>
    <d v="2024-11-24T06:03:00"/>
    <n v="124"/>
    <n v="238"/>
    <n v="1"/>
    <s v="Level 3"/>
    <n v="7"/>
    <n v="193.92"/>
  </r>
  <r>
    <s v="WF_1024"/>
    <x v="2"/>
    <x v="1023"/>
    <s v="Validation"/>
    <s v="High"/>
    <s v="IT"/>
    <s v="EMP_48"/>
    <d v="2024-09-19T17:34:00"/>
    <d v="2024-09-19T19:21:00"/>
    <n v="46"/>
    <n v="107"/>
    <n v="1"/>
    <s v="Level 3"/>
    <n v="6"/>
    <n v="391.9"/>
  </r>
  <r>
    <s v="WF_1025"/>
    <x v="1"/>
    <x v="1024"/>
    <s v="Data Entry"/>
    <s v="Medium"/>
    <s v="IT"/>
    <s v="EMP_143"/>
    <d v="2024-01-14T03:07:00"/>
    <d v="2024-01-14T06:40:00"/>
    <n v="154"/>
    <n v="213"/>
    <n v="1"/>
    <s v="Level 3"/>
    <n v="10"/>
    <n v="359.48"/>
  </r>
  <r>
    <s v="WF_1026"/>
    <x v="0"/>
    <x v="1025"/>
    <s v="Escalation"/>
    <s v="High"/>
    <s v="HR"/>
    <s v="EMP_16"/>
    <d v="2024-08-18T02:07:00"/>
    <d v="2024-08-18T04:57:00"/>
    <n v="117"/>
    <n v="170"/>
    <n v="1"/>
    <s v="Level 1"/>
    <n v="1"/>
    <n v="289.2"/>
  </r>
  <r>
    <s v="WF_1027"/>
    <x v="0"/>
    <x v="1026"/>
    <s v="Approval"/>
    <s v="Low"/>
    <s v="Customer Service"/>
    <s v="EMP_134"/>
    <d v="2024-02-06T02:43:00"/>
    <d v="2024-02-06T05:32:00"/>
    <n v="75"/>
    <n v="169"/>
    <n v="1"/>
    <s v="Level 2"/>
    <n v="7"/>
    <n v="399.76"/>
  </r>
  <r>
    <s v="WF_1028"/>
    <x v="0"/>
    <x v="1027"/>
    <s v="Data Entry"/>
    <s v="Medium"/>
    <s v="Customer Service"/>
    <s v="EMP_107"/>
    <d v="2024-08-16T16:40:00"/>
    <d v="2024-08-16T19:00:00"/>
    <n v="141"/>
    <n v="140"/>
    <n v="0"/>
    <s v="Level 2"/>
    <n v="4"/>
    <n v="323.69"/>
  </r>
  <r>
    <s v="WF_1029"/>
    <x v="1"/>
    <x v="1028"/>
    <s v="Escalation"/>
    <s v="Critical"/>
    <s v="Operations"/>
    <s v="EMP_86"/>
    <d v="2024-02-29T19:16:00"/>
    <d v="2024-02-29T21:56:00"/>
    <n v="145"/>
    <n v="160"/>
    <n v="1"/>
    <s v="Level 3"/>
    <n v="3"/>
    <n v="271.73"/>
  </r>
  <r>
    <s v="WF_1030"/>
    <x v="2"/>
    <x v="1029"/>
    <s v="Approval"/>
    <s v="High"/>
    <s v="IT"/>
    <s v="EMP_115"/>
    <d v="2024-10-11T17:01:00"/>
    <d v="2024-10-11T20:27:00"/>
    <n v="165"/>
    <n v="206"/>
    <n v="1"/>
    <s v="Level 3"/>
    <n v="6"/>
    <n v="197.93"/>
  </r>
  <r>
    <s v="WF_1031"/>
    <x v="3"/>
    <x v="1030"/>
    <s v="Review"/>
    <s v="High"/>
    <s v="Finance"/>
    <s v="EMP_65"/>
    <d v="2024-01-02T11:13:00"/>
    <d v="2024-01-02T16:51:00"/>
    <n v="232"/>
    <n v="338"/>
    <n v="1"/>
    <s v="Level 1"/>
    <n v="10"/>
    <n v="104.74"/>
  </r>
  <r>
    <s v="WF_1032"/>
    <x v="3"/>
    <x v="1031"/>
    <s v="Validation"/>
    <s v="Critical"/>
    <s v="HR"/>
    <s v="EMP_94"/>
    <d v="2024-02-06T14:28:00"/>
    <d v="2024-02-06T18:27:00"/>
    <n v="186"/>
    <n v="239"/>
    <n v="1"/>
    <s v="Level 3"/>
    <n v="4"/>
    <n v="127.46"/>
  </r>
  <r>
    <s v="WF_1033"/>
    <x v="2"/>
    <x v="1032"/>
    <s v="Approval"/>
    <s v="Critical"/>
    <s v="HR"/>
    <s v="EMP_44"/>
    <d v="2024-12-11T07:08:00"/>
    <d v="2024-12-11T08:06:00"/>
    <n v="55"/>
    <n v="58"/>
    <n v="1"/>
    <s v="Level 2"/>
    <n v="9"/>
    <n v="151.28"/>
  </r>
  <r>
    <s v="WF_1034"/>
    <x v="1"/>
    <x v="1033"/>
    <s v="Data Entry"/>
    <s v="Medium"/>
    <s v="Customer Service"/>
    <s v="EMP_46"/>
    <d v="2024-11-24T23:31:00"/>
    <d v="2024-11-25T02:07:00"/>
    <n v="156"/>
    <n v="156"/>
    <n v="0"/>
    <s v="Level 3"/>
    <n v="8"/>
    <n v="216.85"/>
  </r>
  <r>
    <s v="WF_1035"/>
    <x v="2"/>
    <x v="1034"/>
    <s v="Data Entry"/>
    <s v="High"/>
    <s v="Operations"/>
    <s v="EMP_150"/>
    <d v="2024-07-17T21:22:00"/>
    <d v="2024-07-17T21:46:00"/>
    <n v="13"/>
    <n v="24"/>
    <n v="1"/>
    <s v="Level 2"/>
    <n v="9"/>
    <n v="323.92"/>
  </r>
  <r>
    <s v="WF_1036"/>
    <x v="3"/>
    <x v="1035"/>
    <s v="Approval"/>
    <s v="Critical"/>
    <s v="HR"/>
    <s v="EMP_28"/>
    <d v="2024-03-31T03:03:00"/>
    <d v="2024-03-31T03:56:00"/>
    <n v="13"/>
    <n v="53"/>
    <n v="1"/>
    <s v="Level 2"/>
    <n v="5"/>
    <n v="296.62"/>
  </r>
  <r>
    <s v="WF_1037"/>
    <x v="2"/>
    <x v="1036"/>
    <s v="Approval"/>
    <s v="High"/>
    <s v="HR"/>
    <s v="EMP_20"/>
    <d v="2024-12-04T07:04:00"/>
    <d v="2024-12-04T10:59:00"/>
    <n v="191"/>
    <n v="235"/>
    <n v="1"/>
    <s v="Level 2"/>
    <n v="4"/>
    <n v="461.07"/>
  </r>
  <r>
    <s v="WF_1038"/>
    <x v="2"/>
    <x v="1037"/>
    <s v="Validation"/>
    <s v="Critical"/>
    <s v="HR"/>
    <s v="EMP_109"/>
    <d v="2024-03-06T00:55:00"/>
    <d v="2024-03-06T02:49:00"/>
    <n v="100"/>
    <n v="114"/>
    <n v="1"/>
    <s v="Level 3"/>
    <n v="4"/>
    <n v="364.6"/>
  </r>
  <r>
    <s v="WF_1039"/>
    <x v="0"/>
    <x v="1038"/>
    <s v="Escalation"/>
    <s v="Medium"/>
    <s v="Operations"/>
    <s v="EMP_121"/>
    <d v="2024-12-22T03:51:00"/>
    <d v="2024-12-22T06:55:00"/>
    <n v="72"/>
    <n v="184"/>
    <n v="1"/>
    <s v="Level 1"/>
    <n v="10"/>
    <n v="121.18"/>
  </r>
  <r>
    <s v="WF_1040"/>
    <x v="0"/>
    <x v="1039"/>
    <s v="Review"/>
    <s v="Low"/>
    <s v="Operations"/>
    <s v="EMP_60"/>
    <d v="2024-07-07T19:10:00"/>
    <d v="2024-07-07T20:09:00"/>
    <n v="56"/>
    <n v="59"/>
    <n v="1"/>
    <s v="Level 3"/>
    <n v="6"/>
    <n v="435.98"/>
  </r>
  <r>
    <s v="WF_1041"/>
    <x v="3"/>
    <x v="1040"/>
    <s v="Review"/>
    <s v="High"/>
    <s v="HR"/>
    <s v="EMP_145"/>
    <d v="2024-12-09T15:10:00"/>
    <d v="2024-12-09T20:06:00"/>
    <n v="201"/>
    <n v="296"/>
    <n v="1"/>
    <s v="Level 3"/>
    <n v="8"/>
    <n v="219.34"/>
  </r>
  <r>
    <s v="WF_1042"/>
    <x v="0"/>
    <x v="1041"/>
    <s v="Escalation"/>
    <s v="Low"/>
    <s v="Finance"/>
    <s v="EMP_19"/>
    <d v="2024-02-12T21:56:00"/>
    <d v="2024-02-13T00:10:00"/>
    <n v="39"/>
    <n v="134"/>
    <n v="1"/>
    <s v="Level 2"/>
    <n v="7"/>
    <n v="455.48"/>
  </r>
  <r>
    <s v="WF_1043"/>
    <x v="0"/>
    <x v="1042"/>
    <s v="Escalation"/>
    <s v="Medium"/>
    <s v="HR"/>
    <s v="EMP_141"/>
    <d v="2024-09-18T12:33:00"/>
    <d v="2024-09-18T16:38:00"/>
    <n v="230"/>
    <n v="245"/>
    <n v="1"/>
    <s v="Level 1"/>
    <n v="8"/>
    <n v="116.81"/>
  </r>
  <r>
    <s v="WF_1044"/>
    <x v="3"/>
    <x v="1043"/>
    <s v="Data Entry"/>
    <s v="Low"/>
    <s v="HR"/>
    <s v="EMP_63"/>
    <d v="2024-08-01T16:17:00"/>
    <d v="2024-08-01T17:05:00"/>
    <n v="47"/>
    <n v="48"/>
    <n v="1"/>
    <s v="Level 1"/>
    <n v="2"/>
    <n v="468.49"/>
  </r>
  <r>
    <s v="WF_1045"/>
    <x v="3"/>
    <x v="1044"/>
    <s v="Validation"/>
    <s v="Critical"/>
    <s v="Customer Service"/>
    <s v="EMP_12"/>
    <d v="2024-05-09T06:13:00"/>
    <d v="2024-05-09T08:16:00"/>
    <n v="19"/>
    <n v="123"/>
    <n v="1"/>
    <s v="Level 3"/>
    <n v="8"/>
    <n v="55.55"/>
  </r>
  <r>
    <s v="WF_1046"/>
    <x v="4"/>
    <x v="1045"/>
    <s v="Approval"/>
    <s v="High"/>
    <s v="HR"/>
    <s v="EMP_57"/>
    <d v="2024-01-12T09:30:00"/>
    <d v="2024-01-12T12:16:00"/>
    <n v="93"/>
    <n v="166"/>
    <n v="1"/>
    <s v="Level 2"/>
    <n v="9"/>
    <n v="436.25"/>
  </r>
  <r>
    <s v="WF_1047"/>
    <x v="4"/>
    <x v="1046"/>
    <s v="Approval"/>
    <s v="High"/>
    <s v="IT"/>
    <s v="EMP_109"/>
    <d v="2024-01-27T01:24:00"/>
    <d v="2024-01-27T03:32:00"/>
    <n v="83"/>
    <n v="128"/>
    <n v="1"/>
    <s v="Level 3"/>
    <n v="8"/>
    <n v="445.17"/>
  </r>
  <r>
    <s v="WF_1048"/>
    <x v="0"/>
    <x v="1047"/>
    <s v="Escalation"/>
    <s v="Low"/>
    <s v="IT"/>
    <s v="EMP_117"/>
    <d v="2024-02-15T21:41:00"/>
    <d v="2024-02-16T01:38:00"/>
    <n v="192"/>
    <n v="237"/>
    <n v="1"/>
    <s v="Level 2"/>
    <n v="2"/>
    <n v="228.82"/>
  </r>
  <r>
    <s v="WF_1049"/>
    <x v="4"/>
    <x v="1048"/>
    <s v="Data Entry"/>
    <s v="Medium"/>
    <s v="IT"/>
    <s v="EMP_48"/>
    <d v="2024-03-29T22:28:00"/>
    <d v="2024-03-30T00:21:00"/>
    <n v="57"/>
    <n v="113"/>
    <n v="1"/>
    <s v="Level 2"/>
    <n v="6"/>
    <n v="65.489999999999995"/>
  </r>
  <r>
    <s v="WF_1050"/>
    <x v="4"/>
    <x v="1049"/>
    <s v="Approval"/>
    <s v="High"/>
    <s v="Finance"/>
    <s v="EMP_73"/>
    <d v="2024-05-15T21:43:00"/>
    <d v="2024-05-16T00:06:00"/>
    <n v="66"/>
    <n v="143"/>
    <n v="1"/>
    <s v="Level 3"/>
    <n v="7"/>
    <n v="410.6"/>
  </r>
  <r>
    <s v="WF_1051"/>
    <x v="1"/>
    <x v="1050"/>
    <s v="Validation"/>
    <s v="Critical"/>
    <s v="Operations"/>
    <s v="EMP_131"/>
    <d v="2024-12-19T23:11:00"/>
    <d v="2024-12-20T01:14:00"/>
    <n v="13"/>
    <n v="123"/>
    <n v="1"/>
    <s v="Level 1"/>
    <n v="10"/>
    <n v="97.78"/>
  </r>
  <r>
    <s v="WF_1052"/>
    <x v="2"/>
    <x v="1051"/>
    <s v="Approval"/>
    <s v="Medium"/>
    <s v="HR"/>
    <s v="EMP_50"/>
    <d v="2024-08-07T16:39:00"/>
    <d v="2024-08-07T19:56:00"/>
    <n v="196"/>
    <n v="197"/>
    <n v="1"/>
    <s v="Level 2"/>
    <n v="2"/>
    <n v="474.94"/>
  </r>
  <r>
    <s v="WF_1053"/>
    <x v="2"/>
    <x v="1052"/>
    <s v="Approval"/>
    <s v="Critical"/>
    <s v="Finance"/>
    <s v="EMP_54"/>
    <d v="2024-05-25T23:17:00"/>
    <d v="2024-05-26T01:33:00"/>
    <n v="58"/>
    <n v="136"/>
    <n v="1"/>
    <s v="Level 1"/>
    <n v="3"/>
    <n v="103.53"/>
  </r>
  <r>
    <s v="WF_1054"/>
    <x v="3"/>
    <x v="1053"/>
    <s v="Review"/>
    <s v="Medium"/>
    <s v="IT"/>
    <s v="EMP_1"/>
    <d v="2024-12-11T02:34:00"/>
    <d v="2024-12-11T05:44:00"/>
    <n v="165"/>
    <n v="190"/>
    <n v="1"/>
    <s v="Level 1"/>
    <n v="5"/>
    <n v="343.79"/>
  </r>
  <r>
    <s v="WF_1055"/>
    <x v="1"/>
    <x v="1054"/>
    <s v="Data Entry"/>
    <s v="Medium"/>
    <s v="Operations"/>
    <s v="EMP_116"/>
    <d v="2024-04-13T22:57:00"/>
    <d v="2024-04-14T01:03:00"/>
    <n v="107"/>
    <n v="126"/>
    <n v="1"/>
    <s v="Level 3"/>
    <n v="1"/>
    <n v="263.98"/>
  </r>
  <r>
    <s v="WF_1056"/>
    <x v="1"/>
    <x v="1055"/>
    <s v="Approval"/>
    <s v="Low"/>
    <s v="Finance"/>
    <s v="EMP_144"/>
    <d v="2024-05-24T15:24:00"/>
    <d v="2024-05-24T19:46:00"/>
    <n v="169"/>
    <n v="262"/>
    <n v="1"/>
    <s v="Level 3"/>
    <n v="3"/>
    <n v="372.77"/>
  </r>
  <r>
    <s v="WF_1057"/>
    <x v="3"/>
    <x v="1056"/>
    <s v="Data Entry"/>
    <s v="High"/>
    <s v="Customer Service"/>
    <s v="EMP_115"/>
    <d v="2024-07-06T18:41:00"/>
    <d v="2024-07-06T20:34:00"/>
    <n v="40"/>
    <n v="113"/>
    <n v="1"/>
    <s v="Level 1"/>
    <n v="8"/>
    <n v="328.19"/>
  </r>
  <r>
    <s v="WF_1058"/>
    <x v="0"/>
    <x v="1057"/>
    <s v="Approval"/>
    <s v="Low"/>
    <s v="Finance"/>
    <s v="EMP_143"/>
    <d v="2024-05-07T12:31:00"/>
    <d v="2024-05-07T17:06:00"/>
    <n v="220"/>
    <n v="275"/>
    <n v="1"/>
    <s v="Level 1"/>
    <n v="3"/>
    <n v="379.7"/>
  </r>
  <r>
    <s v="WF_1059"/>
    <x v="4"/>
    <x v="1058"/>
    <s v="Validation"/>
    <s v="Medium"/>
    <s v="Operations"/>
    <s v="EMP_108"/>
    <d v="2024-09-17T10:15:00"/>
    <d v="2024-09-17T15:24:00"/>
    <n v="226"/>
    <n v="309"/>
    <n v="1"/>
    <s v="Level 2"/>
    <n v="3"/>
    <n v="127.26"/>
  </r>
  <r>
    <s v="WF_1060"/>
    <x v="4"/>
    <x v="1059"/>
    <s v="Review"/>
    <s v="Low"/>
    <s v="Operations"/>
    <s v="EMP_61"/>
    <d v="2024-08-16T19:02:00"/>
    <d v="2024-08-16T21:01:00"/>
    <n v="44"/>
    <n v="119"/>
    <n v="1"/>
    <s v="Level 3"/>
    <n v="2"/>
    <n v="59.85"/>
  </r>
  <r>
    <s v="WF_1061"/>
    <x v="1"/>
    <x v="1060"/>
    <s v="Approval"/>
    <s v="Low"/>
    <s v="Finance"/>
    <s v="EMP_2"/>
    <d v="2024-02-08T19:40:00"/>
    <d v="2024-02-08T22:43:00"/>
    <n v="103"/>
    <n v="183"/>
    <n v="1"/>
    <s v="Level 2"/>
    <n v="7"/>
    <n v="342.76"/>
  </r>
  <r>
    <s v="WF_1062"/>
    <x v="1"/>
    <x v="1061"/>
    <s v="Approval"/>
    <s v="Medium"/>
    <s v="Customer Service"/>
    <s v="EMP_14"/>
    <d v="2024-01-02T09:49:00"/>
    <d v="2024-01-02T14:15:00"/>
    <n v="215"/>
    <n v="266"/>
    <n v="1"/>
    <s v="Level 1"/>
    <n v="10"/>
    <n v="131.49"/>
  </r>
  <r>
    <s v="WF_1063"/>
    <x v="3"/>
    <x v="1062"/>
    <s v="Approval"/>
    <s v="Medium"/>
    <s v="Finance"/>
    <s v="EMP_93"/>
    <d v="2024-08-22T08:25:00"/>
    <d v="2024-08-22T10:55:00"/>
    <n v="59"/>
    <n v="150"/>
    <n v="1"/>
    <s v="Level 1"/>
    <n v="6"/>
    <n v="339.99"/>
  </r>
  <r>
    <s v="WF_1064"/>
    <x v="0"/>
    <x v="1063"/>
    <s v="Data Entry"/>
    <s v="Medium"/>
    <s v="Customer Service"/>
    <s v="EMP_146"/>
    <d v="2024-03-29T15:18:00"/>
    <d v="2024-03-29T19:29:00"/>
    <n v="134"/>
    <n v="251"/>
    <n v="1"/>
    <s v="Level 1"/>
    <n v="7"/>
    <n v="139.75"/>
  </r>
  <r>
    <s v="WF_1065"/>
    <x v="4"/>
    <x v="1064"/>
    <s v="Data Entry"/>
    <s v="Low"/>
    <s v="IT"/>
    <s v="EMP_126"/>
    <d v="2024-03-02T09:28:00"/>
    <d v="2024-03-02T13:04:00"/>
    <n v="172"/>
    <n v="216"/>
    <n v="1"/>
    <s v="Level 3"/>
    <n v="2"/>
    <n v="271.5"/>
  </r>
  <r>
    <s v="WF_1066"/>
    <x v="4"/>
    <x v="1065"/>
    <s v="Approval"/>
    <s v="Medium"/>
    <s v="IT"/>
    <s v="EMP_10"/>
    <d v="2024-02-03T03:41:00"/>
    <d v="2024-02-03T07:54:00"/>
    <n v="158"/>
    <n v="253"/>
    <n v="1"/>
    <s v="Level 3"/>
    <n v="3"/>
    <n v="416.25"/>
  </r>
  <r>
    <s v="WF_1067"/>
    <x v="1"/>
    <x v="1066"/>
    <s v="Review"/>
    <s v="High"/>
    <s v="IT"/>
    <s v="EMP_36"/>
    <d v="2024-06-21T20:53:00"/>
    <d v="2024-06-21T22:18:00"/>
    <n v="13"/>
    <n v="85"/>
    <n v="1"/>
    <s v="Level 2"/>
    <n v="3"/>
    <n v="198.93"/>
  </r>
  <r>
    <s v="WF_1068"/>
    <x v="1"/>
    <x v="1067"/>
    <s v="Approval"/>
    <s v="Low"/>
    <s v="HR"/>
    <s v="EMP_81"/>
    <d v="2024-03-27T13:29:00"/>
    <d v="2024-03-27T15:51:00"/>
    <n v="44"/>
    <n v="142"/>
    <n v="1"/>
    <s v="Level 2"/>
    <n v="6"/>
    <n v="69.819999999999993"/>
  </r>
  <r>
    <s v="WF_1069"/>
    <x v="4"/>
    <x v="1068"/>
    <s v="Data Entry"/>
    <s v="Medium"/>
    <s v="IT"/>
    <s v="EMP_26"/>
    <d v="2024-02-04T17:07:00"/>
    <d v="2024-02-04T20:25:00"/>
    <n v="154"/>
    <n v="198"/>
    <n v="1"/>
    <s v="Level 3"/>
    <n v="1"/>
    <n v="456.94"/>
  </r>
  <r>
    <s v="WF_1070"/>
    <x v="4"/>
    <x v="1069"/>
    <s v="Approval"/>
    <s v="Critical"/>
    <s v="HR"/>
    <s v="EMP_2"/>
    <d v="2024-09-07T12:47:00"/>
    <d v="2024-09-07T17:51:00"/>
    <n v="221"/>
    <n v="304"/>
    <n v="1"/>
    <s v="Level 1"/>
    <n v="1"/>
    <n v="237.29"/>
  </r>
  <r>
    <s v="WF_1071"/>
    <x v="0"/>
    <x v="1070"/>
    <s v="Validation"/>
    <s v="High"/>
    <s v="Customer Service"/>
    <s v="EMP_31"/>
    <d v="2024-11-27T14:56:00"/>
    <d v="2024-11-27T19:10:00"/>
    <n v="205"/>
    <n v="254"/>
    <n v="1"/>
    <s v="Level 2"/>
    <n v="7"/>
    <n v="415.2"/>
  </r>
  <r>
    <s v="WF_1072"/>
    <x v="0"/>
    <x v="1071"/>
    <s v="Approval"/>
    <s v="Critical"/>
    <s v="Finance"/>
    <s v="EMP_37"/>
    <d v="2024-04-29T13:03:00"/>
    <d v="2024-04-29T17:29:00"/>
    <n v="161"/>
    <n v="266"/>
    <n v="1"/>
    <s v="Level 3"/>
    <n v="2"/>
    <n v="89.67"/>
  </r>
  <r>
    <s v="WF_1073"/>
    <x v="1"/>
    <x v="1072"/>
    <s v="Approval"/>
    <s v="High"/>
    <s v="IT"/>
    <s v="EMP_113"/>
    <d v="2024-03-15T16:25:00"/>
    <d v="2024-03-15T19:09:00"/>
    <n v="130"/>
    <n v="164"/>
    <n v="1"/>
    <s v="Level 1"/>
    <n v="8"/>
    <n v="129.58000000000001"/>
  </r>
  <r>
    <s v="WF_1074"/>
    <x v="0"/>
    <x v="1073"/>
    <s v="Data Entry"/>
    <s v="Low"/>
    <s v="Operations"/>
    <s v="EMP_144"/>
    <d v="2024-03-22T12:36:00"/>
    <d v="2024-03-22T14:20:00"/>
    <n v="90"/>
    <n v="104"/>
    <n v="1"/>
    <s v="Level 2"/>
    <n v="9"/>
    <n v="182.5"/>
  </r>
  <r>
    <s v="WF_1075"/>
    <x v="4"/>
    <x v="1074"/>
    <s v="Review"/>
    <s v="Medium"/>
    <s v="Finance"/>
    <s v="EMP_78"/>
    <d v="2024-07-18T09:56:00"/>
    <d v="2024-07-18T14:43:00"/>
    <n v="180"/>
    <n v="287"/>
    <n v="1"/>
    <s v="Level 2"/>
    <n v="8"/>
    <n v="312.08"/>
  </r>
  <r>
    <s v="WF_1076"/>
    <x v="4"/>
    <x v="1075"/>
    <s v="Escalation"/>
    <s v="Medium"/>
    <s v="HR"/>
    <s v="EMP_124"/>
    <d v="2024-08-03T17:38:00"/>
    <d v="2024-08-03T21:49:00"/>
    <n v="144"/>
    <n v="251"/>
    <n v="1"/>
    <s v="Level 3"/>
    <n v="3"/>
    <n v="190.98"/>
  </r>
  <r>
    <s v="WF_1077"/>
    <x v="3"/>
    <x v="1076"/>
    <s v="Validation"/>
    <s v="Critical"/>
    <s v="IT"/>
    <s v="EMP_37"/>
    <d v="2024-03-03T00:04:00"/>
    <d v="2024-03-03T05:08:00"/>
    <n v="219"/>
    <n v="304"/>
    <n v="1"/>
    <s v="Level 3"/>
    <n v="6"/>
    <n v="448.47"/>
  </r>
  <r>
    <s v="WF_1078"/>
    <x v="1"/>
    <x v="1077"/>
    <s v="Escalation"/>
    <s v="High"/>
    <s v="Finance"/>
    <s v="EMP_115"/>
    <d v="2024-06-18T06:01:00"/>
    <d v="2024-06-18T09:02:00"/>
    <n v="139"/>
    <n v="181"/>
    <n v="1"/>
    <s v="Level 2"/>
    <n v="2"/>
    <n v="139.28"/>
  </r>
  <r>
    <s v="WF_1079"/>
    <x v="4"/>
    <x v="1078"/>
    <s v="Escalation"/>
    <s v="Critical"/>
    <s v="Operations"/>
    <s v="EMP_8"/>
    <d v="2024-07-19T14:49:00"/>
    <d v="2024-07-19T18:46:00"/>
    <n v="135"/>
    <n v="237"/>
    <n v="1"/>
    <s v="Level 3"/>
    <n v="2"/>
    <n v="208.25"/>
  </r>
  <r>
    <s v="WF_1080"/>
    <x v="4"/>
    <x v="1079"/>
    <s v="Approval"/>
    <s v="Low"/>
    <s v="Operations"/>
    <s v="EMP_6"/>
    <d v="2024-12-30T05:46:00"/>
    <d v="2024-12-30T08:37:00"/>
    <n v="61"/>
    <n v="171"/>
    <n v="1"/>
    <s v="Level 1"/>
    <n v="2"/>
    <n v="488.68"/>
  </r>
  <r>
    <s v="WF_1081"/>
    <x v="1"/>
    <x v="1080"/>
    <s v="Validation"/>
    <s v="Low"/>
    <s v="Customer Service"/>
    <s v="EMP_76"/>
    <d v="2024-05-04T01:35:00"/>
    <d v="2024-05-04T04:42:00"/>
    <n v="84"/>
    <n v="187"/>
    <n v="1"/>
    <s v="Level 3"/>
    <n v="1"/>
    <n v="182.23"/>
  </r>
  <r>
    <s v="WF_1082"/>
    <x v="1"/>
    <x v="1081"/>
    <s v="Escalation"/>
    <s v="Medium"/>
    <s v="Customer Service"/>
    <s v="EMP_56"/>
    <d v="2024-04-04T10:58:00"/>
    <d v="2024-04-04T13:22:00"/>
    <n v="24"/>
    <n v="144"/>
    <n v="1"/>
    <s v="Level 2"/>
    <n v="1"/>
    <n v="321.33"/>
  </r>
  <r>
    <s v="WF_1083"/>
    <x v="1"/>
    <x v="1082"/>
    <s v="Escalation"/>
    <s v="High"/>
    <s v="Finance"/>
    <s v="EMP_113"/>
    <d v="2024-07-20T02:53:00"/>
    <d v="2024-07-20T04:24:00"/>
    <n v="71"/>
    <n v="91"/>
    <n v="1"/>
    <s v="Level 3"/>
    <n v="5"/>
    <n v="55.91"/>
  </r>
  <r>
    <s v="WF_1084"/>
    <x v="3"/>
    <x v="1083"/>
    <s v="Approval"/>
    <s v="High"/>
    <s v="IT"/>
    <s v="EMP_63"/>
    <d v="2024-10-20T10:14:00"/>
    <d v="2024-10-20T13:35:00"/>
    <n v="172"/>
    <n v="201"/>
    <n v="1"/>
    <s v="Level 3"/>
    <n v="4"/>
    <n v="462.59"/>
  </r>
  <r>
    <s v="WF_1085"/>
    <x v="3"/>
    <x v="1084"/>
    <s v="Approval"/>
    <s v="High"/>
    <s v="IT"/>
    <s v="EMP_79"/>
    <d v="2024-03-10T12:15:00"/>
    <d v="2024-03-10T14:48:00"/>
    <n v="119"/>
    <n v="153"/>
    <n v="1"/>
    <s v="Level 1"/>
    <n v="10"/>
    <n v="492.7"/>
  </r>
  <r>
    <s v="WF_1086"/>
    <x v="3"/>
    <x v="1085"/>
    <s v="Approval"/>
    <s v="Low"/>
    <s v="Customer Service"/>
    <s v="EMP_146"/>
    <d v="2024-04-26T14:11:00"/>
    <d v="2024-04-26T15:13:00"/>
    <n v="65"/>
    <n v="62"/>
    <n v="0"/>
    <s v="Level 2"/>
    <n v="5"/>
    <n v="461.97"/>
  </r>
  <r>
    <s v="WF_1087"/>
    <x v="3"/>
    <x v="1086"/>
    <s v="Escalation"/>
    <s v="High"/>
    <s v="IT"/>
    <s v="EMP_137"/>
    <d v="2024-03-26T07:17:00"/>
    <d v="2024-03-26T10:02:00"/>
    <n v="151"/>
    <n v="165"/>
    <n v="1"/>
    <s v="Level 3"/>
    <n v="3"/>
    <n v="465.7"/>
  </r>
  <r>
    <s v="WF_1088"/>
    <x v="0"/>
    <x v="1087"/>
    <s v="Escalation"/>
    <s v="Critical"/>
    <s v="IT"/>
    <s v="EMP_95"/>
    <d v="2024-11-30T16:19:00"/>
    <d v="2024-11-30T16:51:00"/>
    <n v="33"/>
    <n v="32"/>
    <n v="0"/>
    <s v="Level 2"/>
    <n v="6"/>
    <n v="368.58"/>
  </r>
  <r>
    <s v="WF_1089"/>
    <x v="4"/>
    <x v="1088"/>
    <s v="Escalation"/>
    <s v="Low"/>
    <s v="HR"/>
    <s v="EMP_137"/>
    <d v="2024-07-29T15:19:00"/>
    <d v="2024-07-29T17:34:00"/>
    <n v="119"/>
    <n v="135"/>
    <n v="1"/>
    <s v="Level 2"/>
    <n v="5"/>
    <n v="378.48"/>
  </r>
  <r>
    <s v="WF_1090"/>
    <x v="1"/>
    <x v="1089"/>
    <s v="Review"/>
    <s v="Medium"/>
    <s v="Customer Service"/>
    <s v="EMP_138"/>
    <d v="2024-12-24T21:09:00"/>
    <d v="2024-12-24T22:33:00"/>
    <n v="86"/>
    <n v="84"/>
    <n v="0"/>
    <s v="Level 1"/>
    <n v="8"/>
    <n v="185.47"/>
  </r>
  <r>
    <s v="WF_1091"/>
    <x v="4"/>
    <x v="1090"/>
    <s v="Review"/>
    <s v="Critical"/>
    <s v="Operations"/>
    <s v="EMP_87"/>
    <d v="2024-05-23T12:26:00"/>
    <d v="2024-05-23T16:12:00"/>
    <n v="128"/>
    <n v="226"/>
    <n v="1"/>
    <s v="Level 1"/>
    <n v="10"/>
    <n v="285.83999999999997"/>
  </r>
  <r>
    <s v="WF_1092"/>
    <x v="0"/>
    <x v="1091"/>
    <s v="Data Entry"/>
    <s v="Critical"/>
    <s v="Operations"/>
    <s v="EMP_132"/>
    <d v="2024-08-11T09:28:00"/>
    <d v="2024-08-11T12:07:00"/>
    <n v="114"/>
    <n v="159"/>
    <n v="1"/>
    <s v="Level 2"/>
    <n v="9"/>
    <n v="226.85"/>
  </r>
  <r>
    <s v="WF_1093"/>
    <x v="2"/>
    <x v="1092"/>
    <s v="Approval"/>
    <s v="Medium"/>
    <s v="HR"/>
    <s v="EMP_77"/>
    <d v="2024-04-19T14:19:00"/>
    <d v="2024-04-19T17:15:00"/>
    <n v="135"/>
    <n v="176"/>
    <n v="1"/>
    <s v="Level 2"/>
    <n v="3"/>
    <n v="491.12"/>
  </r>
  <r>
    <s v="WF_1094"/>
    <x v="2"/>
    <x v="1093"/>
    <s v="Validation"/>
    <s v="Critical"/>
    <s v="Operations"/>
    <s v="EMP_118"/>
    <d v="2024-07-13T12:15:00"/>
    <d v="2024-07-13T16:47:00"/>
    <n v="158"/>
    <n v="272"/>
    <n v="1"/>
    <s v="Level 1"/>
    <n v="5"/>
    <n v="397.15"/>
  </r>
  <r>
    <s v="WF_1095"/>
    <x v="3"/>
    <x v="1094"/>
    <s v="Approval"/>
    <s v="Critical"/>
    <s v="Operations"/>
    <s v="EMP_14"/>
    <d v="2024-07-25T06:05:00"/>
    <d v="2024-07-25T07:15:00"/>
    <n v="18"/>
    <n v="70"/>
    <n v="1"/>
    <s v="Level 1"/>
    <n v="5"/>
    <n v="438.61"/>
  </r>
  <r>
    <s v="WF_1096"/>
    <x v="2"/>
    <x v="1095"/>
    <s v="Review"/>
    <s v="Medium"/>
    <s v="Customer Service"/>
    <s v="EMP_2"/>
    <d v="2024-08-31T04:08:00"/>
    <d v="2024-08-31T09:02:00"/>
    <n v="177"/>
    <n v="294"/>
    <n v="1"/>
    <s v="Level 1"/>
    <n v="10"/>
    <n v="210.6"/>
  </r>
  <r>
    <s v="WF_1097"/>
    <x v="1"/>
    <x v="1096"/>
    <s v="Approval"/>
    <s v="Critical"/>
    <s v="Customer Service"/>
    <s v="EMP_122"/>
    <d v="2024-05-04T06:29:00"/>
    <d v="2024-05-04T09:28:00"/>
    <n v="126"/>
    <n v="179"/>
    <n v="1"/>
    <s v="Level 1"/>
    <n v="10"/>
    <n v="451.73"/>
  </r>
  <r>
    <s v="WF_1098"/>
    <x v="1"/>
    <x v="1097"/>
    <s v="Escalation"/>
    <s v="Low"/>
    <s v="Operations"/>
    <s v="EMP_50"/>
    <d v="2024-10-26T03:47:00"/>
    <d v="2024-10-26T07:51:00"/>
    <n v="169"/>
    <n v="244"/>
    <n v="1"/>
    <s v="Level 3"/>
    <n v="6"/>
    <n v="283.55"/>
  </r>
  <r>
    <s v="WF_1099"/>
    <x v="1"/>
    <x v="1098"/>
    <s v="Validation"/>
    <s v="High"/>
    <s v="IT"/>
    <s v="EMP_56"/>
    <d v="2024-01-22T12:13:00"/>
    <d v="2024-01-22T13:46:00"/>
    <n v="36"/>
    <n v="93"/>
    <n v="1"/>
    <s v="Level 2"/>
    <n v="6"/>
    <n v="59.79"/>
  </r>
  <r>
    <s v="WF_1100"/>
    <x v="4"/>
    <x v="1099"/>
    <s v="Approval"/>
    <s v="Medium"/>
    <s v="HR"/>
    <s v="EMP_14"/>
    <d v="2024-04-23T01:25:00"/>
    <d v="2024-04-23T04:21:00"/>
    <n v="116"/>
    <n v="176"/>
    <n v="1"/>
    <s v="Level 2"/>
    <n v="7"/>
    <n v="235.33"/>
  </r>
  <r>
    <s v="WF_1101"/>
    <x v="1"/>
    <x v="1100"/>
    <s v="Escalation"/>
    <s v="Medium"/>
    <s v="Finance"/>
    <s v="EMP_4"/>
    <d v="2024-10-26T11:19:00"/>
    <d v="2024-10-26T14:36:00"/>
    <n v="178"/>
    <n v="197"/>
    <n v="1"/>
    <s v="Level 2"/>
    <n v="3"/>
    <n v="116.66"/>
  </r>
  <r>
    <s v="WF_1102"/>
    <x v="0"/>
    <x v="1101"/>
    <s v="Approval"/>
    <s v="Medium"/>
    <s v="Operations"/>
    <s v="EMP_89"/>
    <d v="2024-03-21T13:30:00"/>
    <d v="2024-03-21T15:24:00"/>
    <n v="103"/>
    <n v="114"/>
    <n v="1"/>
    <s v="Level 3"/>
    <n v="7"/>
    <n v="355.64"/>
  </r>
  <r>
    <s v="WF_1103"/>
    <x v="4"/>
    <x v="1102"/>
    <s v="Review"/>
    <s v="Critical"/>
    <s v="IT"/>
    <s v="EMP_91"/>
    <d v="2024-12-22T07:16:00"/>
    <d v="2024-12-22T09:23:00"/>
    <n v="98"/>
    <n v="127"/>
    <n v="1"/>
    <s v="Level 3"/>
    <n v="6"/>
    <n v="103.43"/>
  </r>
  <r>
    <s v="WF_1104"/>
    <x v="3"/>
    <x v="1103"/>
    <s v="Escalation"/>
    <s v="Critical"/>
    <s v="Customer Service"/>
    <s v="EMP_39"/>
    <d v="2024-11-05T02:44:00"/>
    <d v="2024-11-05T03:31:00"/>
    <n v="39"/>
    <n v="47"/>
    <n v="1"/>
    <s v="Level 3"/>
    <n v="8"/>
    <n v="162.79"/>
  </r>
  <r>
    <s v="WF_1105"/>
    <x v="4"/>
    <x v="1104"/>
    <s v="Review"/>
    <s v="Critical"/>
    <s v="Finance"/>
    <s v="EMP_2"/>
    <d v="2024-03-13T11:03:00"/>
    <d v="2024-03-13T14:58:00"/>
    <n v="224"/>
    <n v="235"/>
    <n v="1"/>
    <s v="Level 1"/>
    <n v="3"/>
    <n v="187.91"/>
  </r>
  <r>
    <s v="WF_1106"/>
    <x v="2"/>
    <x v="1105"/>
    <s v="Data Entry"/>
    <s v="Medium"/>
    <s v="Customer Service"/>
    <s v="EMP_149"/>
    <d v="2024-08-24T07:15:00"/>
    <d v="2024-08-24T10:19:00"/>
    <n v="166"/>
    <n v="184"/>
    <n v="1"/>
    <s v="Level 1"/>
    <n v="3"/>
    <n v="336.79"/>
  </r>
  <r>
    <s v="WF_1107"/>
    <x v="1"/>
    <x v="1106"/>
    <s v="Approval"/>
    <s v="Medium"/>
    <s v="Finance"/>
    <s v="EMP_119"/>
    <d v="2024-10-09T02:12:00"/>
    <d v="2024-10-09T06:05:00"/>
    <n v="136"/>
    <n v="233"/>
    <n v="1"/>
    <s v="Level 1"/>
    <n v="10"/>
    <n v="175.93"/>
  </r>
  <r>
    <s v="WF_1108"/>
    <x v="1"/>
    <x v="1107"/>
    <s v="Review"/>
    <s v="Low"/>
    <s v="Operations"/>
    <s v="EMP_1"/>
    <d v="2024-04-20T17:18:00"/>
    <d v="2024-04-20T19:04:00"/>
    <n v="106"/>
    <n v="106"/>
    <n v="0"/>
    <s v="Level 1"/>
    <n v="9"/>
    <n v="383.64"/>
  </r>
  <r>
    <s v="WF_1109"/>
    <x v="0"/>
    <x v="1108"/>
    <s v="Escalation"/>
    <s v="Critical"/>
    <s v="IT"/>
    <s v="EMP_64"/>
    <d v="2024-08-26T18:53:00"/>
    <d v="2024-08-26T21:01:00"/>
    <n v="121"/>
    <n v="128"/>
    <n v="1"/>
    <s v="Level 1"/>
    <n v="1"/>
    <n v="483.09"/>
  </r>
  <r>
    <s v="WF_1110"/>
    <x v="4"/>
    <x v="1109"/>
    <s v="Data Entry"/>
    <s v="High"/>
    <s v="HR"/>
    <s v="EMP_12"/>
    <d v="2024-05-13T02:43:00"/>
    <d v="2024-05-13T07:07:00"/>
    <n v="237"/>
    <n v="264"/>
    <n v="1"/>
    <s v="Level 3"/>
    <n v="3"/>
    <n v="375.68"/>
  </r>
  <r>
    <s v="WF_1111"/>
    <x v="3"/>
    <x v="1110"/>
    <s v="Validation"/>
    <s v="High"/>
    <s v="HR"/>
    <s v="EMP_89"/>
    <d v="2024-05-27T10:23:00"/>
    <d v="2024-05-27T13:25:00"/>
    <n v="122"/>
    <n v="182"/>
    <n v="1"/>
    <s v="Level 3"/>
    <n v="1"/>
    <n v="424.61"/>
  </r>
  <r>
    <s v="WF_1112"/>
    <x v="3"/>
    <x v="1111"/>
    <s v="Validation"/>
    <s v="Critical"/>
    <s v="HR"/>
    <s v="EMP_25"/>
    <d v="2024-09-21T08:37:00"/>
    <d v="2024-09-21T12:07:00"/>
    <n v="109"/>
    <n v="210"/>
    <n v="1"/>
    <s v="Level 1"/>
    <n v="7"/>
    <n v="145.66"/>
  </r>
  <r>
    <s v="WF_1113"/>
    <x v="4"/>
    <x v="1112"/>
    <s v="Review"/>
    <s v="Low"/>
    <s v="Customer Service"/>
    <s v="EMP_118"/>
    <d v="2024-01-31T04:56:00"/>
    <d v="2024-01-31T10:11:00"/>
    <n v="221"/>
    <n v="315"/>
    <n v="1"/>
    <s v="Level 3"/>
    <n v="4"/>
    <n v="93.2"/>
  </r>
  <r>
    <s v="WF_1114"/>
    <x v="0"/>
    <x v="1113"/>
    <s v="Validation"/>
    <s v="Medium"/>
    <s v="Finance"/>
    <s v="EMP_46"/>
    <d v="2024-05-21T20:25:00"/>
    <d v="2024-05-22T00:09:00"/>
    <n v="219"/>
    <n v="224"/>
    <n v="1"/>
    <s v="Level 2"/>
    <n v="4"/>
    <n v="397.19"/>
  </r>
  <r>
    <s v="WF_1115"/>
    <x v="4"/>
    <x v="1114"/>
    <s v="Validation"/>
    <s v="Low"/>
    <s v="HR"/>
    <s v="EMP_120"/>
    <d v="2024-11-08T05:50:00"/>
    <d v="2024-11-08T08:03:00"/>
    <n v="123"/>
    <n v="133"/>
    <n v="1"/>
    <s v="Level 1"/>
    <n v="7"/>
    <n v="112.83"/>
  </r>
  <r>
    <s v="WF_1116"/>
    <x v="1"/>
    <x v="1115"/>
    <s v="Approval"/>
    <s v="Critical"/>
    <s v="HR"/>
    <s v="EMP_26"/>
    <d v="2024-08-13T13:24:00"/>
    <d v="2024-08-13T14:27:00"/>
    <n v="10"/>
    <n v="63"/>
    <n v="1"/>
    <s v="Level 1"/>
    <n v="8"/>
    <n v="486.52"/>
  </r>
  <r>
    <s v="WF_1117"/>
    <x v="0"/>
    <x v="1116"/>
    <s v="Validation"/>
    <s v="Low"/>
    <s v="HR"/>
    <s v="EMP_139"/>
    <d v="2024-05-25T08:29:00"/>
    <d v="2024-05-25T13:24:00"/>
    <n v="177"/>
    <n v="295"/>
    <n v="1"/>
    <s v="Level 3"/>
    <n v="6"/>
    <n v="362.89"/>
  </r>
  <r>
    <s v="WF_1118"/>
    <x v="4"/>
    <x v="1117"/>
    <s v="Review"/>
    <s v="Medium"/>
    <s v="Finance"/>
    <s v="EMP_4"/>
    <d v="2024-12-29T18:47:00"/>
    <d v="2024-12-29T20:01:00"/>
    <n v="23"/>
    <n v="74"/>
    <n v="1"/>
    <s v="Level 2"/>
    <n v="7"/>
    <n v="383.11"/>
  </r>
  <r>
    <s v="WF_1119"/>
    <x v="4"/>
    <x v="1118"/>
    <s v="Approval"/>
    <s v="Low"/>
    <s v="HR"/>
    <s v="EMP_69"/>
    <d v="2024-12-22T01:14:00"/>
    <d v="2024-12-22T05:50:00"/>
    <n v="224"/>
    <n v="276"/>
    <n v="1"/>
    <s v="Level 3"/>
    <n v="7"/>
    <n v="140.07"/>
  </r>
  <r>
    <s v="WF_1120"/>
    <x v="2"/>
    <x v="1119"/>
    <s v="Approval"/>
    <s v="Low"/>
    <s v="IT"/>
    <s v="EMP_105"/>
    <d v="2024-04-02T06:23:00"/>
    <d v="2024-04-02T08:07:00"/>
    <n v="30"/>
    <n v="104"/>
    <n v="1"/>
    <s v="Level 2"/>
    <n v="10"/>
    <n v="203.61"/>
  </r>
  <r>
    <s v="WF_1121"/>
    <x v="3"/>
    <x v="1120"/>
    <s v="Approval"/>
    <s v="Critical"/>
    <s v="IT"/>
    <s v="EMP_17"/>
    <d v="2024-12-06T08:19:00"/>
    <d v="2024-12-06T13:31:00"/>
    <n v="222"/>
    <n v="312"/>
    <n v="1"/>
    <s v="Level 3"/>
    <n v="9"/>
    <n v="150.84"/>
  </r>
  <r>
    <s v="WF_1122"/>
    <x v="3"/>
    <x v="1121"/>
    <s v="Escalation"/>
    <s v="Critical"/>
    <s v="Customer Service"/>
    <s v="EMP_147"/>
    <d v="2024-08-29T21:43:00"/>
    <d v="2024-08-29T23:54:00"/>
    <n v="95"/>
    <n v="131"/>
    <n v="1"/>
    <s v="Level 2"/>
    <n v="4"/>
    <n v="194.11"/>
  </r>
  <r>
    <s v="WF_1123"/>
    <x v="3"/>
    <x v="1122"/>
    <s v="Data Entry"/>
    <s v="Critical"/>
    <s v="Operations"/>
    <s v="EMP_128"/>
    <d v="2024-11-16T12:38:00"/>
    <d v="2024-11-16T16:10:00"/>
    <n v="113"/>
    <n v="212"/>
    <n v="1"/>
    <s v="Level 2"/>
    <n v="1"/>
    <n v="200.75"/>
  </r>
  <r>
    <s v="WF_1124"/>
    <x v="1"/>
    <x v="1123"/>
    <s v="Escalation"/>
    <s v="Low"/>
    <s v="IT"/>
    <s v="EMP_6"/>
    <d v="2024-06-24T23:41:00"/>
    <d v="2024-06-25T00:50:00"/>
    <n v="58"/>
    <n v="69"/>
    <n v="1"/>
    <s v="Level 1"/>
    <n v="7"/>
    <n v="253.48"/>
  </r>
  <r>
    <s v="WF_1125"/>
    <x v="0"/>
    <x v="1124"/>
    <s v="Validation"/>
    <s v="Critical"/>
    <s v="Customer Service"/>
    <s v="EMP_50"/>
    <d v="2024-08-20T03:49:00"/>
    <d v="2024-08-20T08:02:00"/>
    <n v="143"/>
    <n v="253"/>
    <n v="1"/>
    <s v="Level 1"/>
    <n v="8"/>
    <n v="137.71"/>
  </r>
  <r>
    <s v="WF_1126"/>
    <x v="4"/>
    <x v="1125"/>
    <s v="Data Entry"/>
    <s v="Critical"/>
    <s v="HR"/>
    <s v="EMP_36"/>
    <d v="2024-08-27T08:50:00"/>
    <d v="2024-08-27T10:50:00"/>
    <n v="65"/>
    <n v="120"/>
    <n v="1"/>
    <s v="Level 1"/>
    <n v="5"/>
    <n v="463.34"/>
  </r>
  <r>
    <s v="WF_1127"/>
    <x v="4"/>
    <x v="1126"/>
    <s v="Escalation"/>
    <s v="Critical"/>
    <s v="HR"/>
    <s v="EMP_6"/>
    <d v="2024-06-14T20:03:00"/>
    <d v="2024-06-15T00:01:00"/>
    <n v="129"/>
    <n v="238"/>
    <n v="1"/>
    <s v="Level 1"/>
    <n v="10"/>
    <n v="469.56"/>
  </r>
  <r>
    <s v="WF_1128"/>
    <x v="4"/>
    <x v="1127"/>
    <s v="Escalation"/>
    <s v="High"/>
    <s v="Finance"/>
    <s v="EMP_34"/>
    <d v="2024-06-22T04:19:00"/>
    <d v="2024-06-22T09:38:00"/>
    <n v="199"/>
    <n v="319"/>
    <n v="1"/>
    <s v="Level 2"/>
    <n v="8"/>
    <n v="452.85"/>
  </r>
  <r>
    <s v="WF_1129"/>
    <x v="4"/>
    <x v="1128"/>
    <s v="Validation"/>
    <s v="Low"/>
    <s v="Customer Service"/>
    <s v="EMP_53"/>
    <d v="2024-02-21T00:57:00"/>
    <d v="2024-02-21T03:06:00"/>
    <n v="109"/>
    <n v="129"/>
    <n v="1"/>
    <s v="Level 3"/>
    <n v="7"/>
    <n v="278.35000000000002"/>
  </r>
  <r>
    <s v="WF_1130"/>
    <x v="0"/>
    <x v="1129"/>
    <s v="Escalation"/>
    <s v="Critical"/>
    <s v="Customer Service"/>
    <s v="EMP_104"/>
    <d v="2024-02-23T17:58:00"/>
    <d v="2024-02-23T21:24:00"/>
    <n v="97"/>
    <n v="206"/>
    <n v="1"/>
    <s v="Level 3"/>
    <n v="2"/>
    <n v="57.48"/>
  </r>
  <r>
    <s v="WF_1131"/>
    <x v="4"/>
    <x v="1130"/>
    <s v="Data Entry"/>
    <s v="Medium"/>
    <s v="Operations"/>
    <s v="EMP_136"/>
    <d v="2024-09-13T08:20:00"/>
    <d v="2024-09-13T12:02:00"/>
    <n v="226"/>
    <n v="222"/>
    <n v="0"/>
    <s v="Level 3"/>
    <n v="2"/>
    <n v="210.47"/>
  </r>
  <r>
    <s v="WF_1132"/>
    <x v="0"/>
    <x v="1131"/>
    <s v="Approval"/>
    <s v="High"/>
    <s v="IT"/>
    <s v="EMP_76"/>
    <d v="2024-02-18T16:16:00"/>
    <d v="2024-02-18T17:50:00"/>
    <n v="74"/>
    <n v="94"/>
    <n v="1"/>
    <s v="Level 3"/>
    <n v="6"/>
    <n v="86.77"/>
  </r>
  <r>
    <s v="WF_1133"/>
    <x v="0"/>
    <x v="1132"/>
    <s v="Approval"/>
    <s v="High"/>
    <s v="Customer Service"/>
    <s v="EMP_3"/>
    <d v="2024-08-19T06:57:00"/>
    <d v="2024-08-19T10:54:00"/>
    <n v="198"/>
    <n v="237"/>
    <n v="1"/>
    <s v="Level 1"/>
    <n v="3"/>
    <n v="167.58"/>
  </r>
  <r>
    <s v="WF_1134"/>
    <x v="1"/>
    <x v="1133"/>
    <s v="Approval"/>
    <s v="Medium"/>
    <s v="Operations"/>
    <s v="EMP_53"/>
    <d v="2024-12-23T05:11:00"/>
    <d v="2024-12-23T10:38:00"/>
    <n v="207"/>
    <n v="327"/>
    <n v="1"/>
    <s v="Level 1"/>
    <n v="1"/>
    <n v="356.92"/>
  </r>
  <r>
    <s v="WF_1135"/>
    <x v="1"/>
    <x v="1134"/>
    <s v="Data Entry"/>
    <s v="Medium"/>
    <s v="Customer Service"/>
    <s v="EMP_24"/>
    <d v="2024-07-09T12:43:00"/>
    <d v="2024-07-09T14:00:00"/>
    <n v="37"/>
    <n v="77"/>
    <n v="1"/>
    <s v="Level 1"/>
    <n v="3"/>
    <n v="290.66000000000003"/>
  </r>
  <r>
    <s v="WF_1136"/>
    <x v="1"/>
    <x v="1135"/>
    <s v="Data Entry"/>
    <s v="High"/>
    <s v="HR"/>
    <s v="EMP_120"/>
    <d v="2024-09-07T11:05:00"/>
    <d v="2024-09-07T12:55:00"/>
    <n v="48"/>
    <n v="110"/>
    <n v="1"/>
    <s v="Level 2"/>
    <n v="7"/>
    <n v="409.01"/>
  </r>
  <r>
    <s v="WF_1137"/>
    <x v="4"/>
    <x v="1136"/>
    <s v="Review"/>
    <s v="High"/>
    <s v="IT"/>
    <s v="EMP_86"/>
    <d v="2024-05-11T19:27:00"/>
    <d v="2024-05-11T22:48:00"/>
    <n v="87"/>
    <n v="201"/>
    <n v="1"/>
    <s v="Level 2"/>
    <n v="6"/>
    <n v="194.79"/>
  </r>
  <r>
    <s v="WF_1138"/>
    <x v="4"/>
    <x v="1137"/>
    <s v="Data Entry"/>
    <s v="Low"/>
    <s v="Finance"/>
    <s v="EMP_64"/>
    <d v="2024-01-31T10:50:00"/>
    <d v="2024-01-31T13:05:00"/>
    <n v="32"/>
    <n v="135"/>
    <n v="1"/>
    <s v="Level 3"/>
    <n v="2"/>
    <n v="232.37"/>
  </r>
  <r>
    <s v="WF_1139"/>
    <x v="3"/>
    <x v="1138"/>
    <s v="Validation"/>
    <s v="Low"/>
    <s v="Finance"/>
    <s v="EMP_12"/>
    <d v="2024-01-01T13:10:00"/>
    <d v="2024-01-01T14:53:00"/>
    <n v="67"/>
    <n v="103"/>
    <n v="1"/>
    <s v="Level 1"/>
    <n v="4"/>
    <n v="289.87"/>
  </r>
  <r>
    <s v="WF_1140"/>
    <x v="0"/>
    <x v="1139"/>
    <s v="Validation"/>
    <s v="Low"/>
    <s v="Operations"/>
    <s v="EMP_99"/>
    <d v="2024-05-25T09:55:00"/>
    <d v="2024-05-25T11:58:00"/>
    <n v="125"/>
    <n v="123"/>
    <n v="0"/>
    <s v="Level 3"/>
    <n v="9"/>
    <n v="187.15"/>
  </r>
  <r>
    <s v="WF_1141"/>
    <x v="3"/>
    <x v="1140"/>
    <s v="Escalation"/>
    <s v="Medium"/>
    <s v="Operations"/>
    <s v="EMP_73"/>
    <d v="2024-08-26T09:46:00"/>
    <d v="2024-08-26T11:39:00"/>
    <n v="100"/>
    <n v="113"/>
    <n v="1"/>
    <s v="Level 1"/>
    <n v="9"/>
    <n v="130.12"/>
  </r>
  <r>
    <s v="WF_1142"/>
    <x v="0"/>
    <x v="1141"/>
    <s v="Validation"/>
    <s v="Medium"/>
    <s v="Operations"/>
    <s v="EMP_77"/>
    <d v="2024-02-21T00:51:00"/>
    <d v="2024-02-21T01:34:00"/>
    <n v="41"/>
    <n v="43"/>
    <n v="1"/>
    <s v="Level 3"/>
    <n v="9"/>
    <n v="363.67"/>
  </r>
  <r>
    <s v="WF_1143"/>
    <x v="1"/>
    <x v="1142"/>
    <s v="Escalation"/>
    <s v="Low"/>
    <s v="Customer Service"/>
    <s v="EMP_94"/>
    <d v="2024-07-16T16:22:00"/>
    <d v="2024-07-16T21:18:00"/>
    <n v="212"/>
    <n v="296"/>
    <n v="1"/>
    <s v="Level 3"/>
    <n v="8"/>
    <n v="414.97"/>
  </r>
  <r>
    <s v="WF_1144"/>
    <x v="2"/>
    <x v="1143"/>
    <s v="Review"/>
    <s v="High"/>
    <s v="Customer Service"/>
    <s v="EMP_143"/>
    <d v="2024-01-09T00:41:00"/>
    <d v="2024-01-09T05:03:00"/>
    <n v="232"/>
    <n v="262"/>
    <n v="1"/>
    <s v="Level 3"/>
    <n v="7"/>
    <n v="372.14"/>
  </r>
  <r>
    <s v="WF_1145"/>
    <x v="1"/>
    <x v="1144"/>
    <s v="Data Entry"/>
    <s v="Low"/>
    <s v="Customer Service"/>
    <s v="EMP_89"/>
    <d v="2024-03-10T13:53:00"/>
    <d v="2024-03-10T17:17:00"/>
    <n v="179"/>
    <n v="204"/>
    <n v="1"/>
    <s v="Level 1"/>
    <n v="8"/>
    <n v="169.41"/>
  </r>
  <r>
    <s v="WF_1146"/>
    <x v="1"/>
    <x v="1145"/>
    <s v="Validation"/>
    <s v="Medium"/>
    <s v="HR"/>
    <s v="EMP_66"/>
    <d v="2024-09-07T08:16:00"/>
    <d v="2024-09-07T12:16:00"/>
    <n v="198"/>
    <n v="240"/>
    <n v="1"/>
    <s v="Level 1"/>
    <n v="8"/>
    <n v="347.43"/>
  </r>
  <r>
    <s v="WF_1147"/>
    <x v="2"/>
    <x v="1146"/>
    <s v="Data Entry"/>
    <s v="Critical"/>
    <s v="IT"/>
    <s v="EMP_1"/>
    <d v="2024-09-15T07:25:00"/>
    <d v="2024-09-15T12:21:00"/>
    <n v="233"/>
    <n v="296"/>
    <n v="1"/>
    <s v="Level 3"/>
    <n v="6"/>
    <n v="254.9"/>
  </r>
  <r>
    <s v="WF_1148"/>
    <x v="0"/>
    <x v="1147"/>
    <s v="Approval"/>
    <s v="High"/>
    <s v="Finance"/>
    <s v="EMP_51"/>
    <d v="2024-02-29T11:51:00"/>
    <d v="2024-02-29T13:14:00"/>
    <n v="17"/>
    <n v="83"/>
    <n v="1"/>
    <s v="Level 1"/>
    <n v="5"/>
    <n v="452.75"/>
  </r>
  <r>
    <s v="WF_1149"/>
    <x v="2"/>
    <x v="1148"/>
    <s v="Approval"/>
    <s v="Low"/>
    <s v="IT"/>
    <s v="EMP_9"/>
    <d v="2024-12-20T19:36:00"/>
    <d v="2024-12-20T22:44:00"/>
    <n v="84"/>
    <n v="188"/>
    <n v="1"/>
    <s v="Level 3"/>
    <n v="1"/>
    <n v="327.52"/>
  </r>
  <r>
    <s v="WF_1150"/>
    <x v="2"/>
    <x v="1149"/>
    <s v="Escalation"/>
    <s v="Critical"/>
    <s v="IT"/>
    <s v="EMP_33"/>
    <d v="2024-08-27T16:13:00"/>
    <d v="2024-08-27T17:08:00"/>
    <n v="15"/>
    <n v="55"/>
    <n v="1"/>
    <s v="Level 2"/>
    <n v="8"/>
    <n v="150.94"/>
  </r>
  <r>
    <s v="WF_1151"/>
    <x v="2"/>
    <x v="1150"/>
    <s v="Review"/>
    <s v="Medium"/>
    <s v="Customer Service"/>
    <s v="EMP_48"/>
    <d v="2024-01-28T04:54:00"/>
    <d v="2024-01-28T08:36:00"/>
    <n v="212"/>
    <n v="222"/>
    <n v="1"/>
    <s v="Level 3"/>
    <n v="3"/>
    <n v="87.35"/>
  </r>
  <r>
    <s v="WF_1152"/>
    <x v="3"/>
    <x v="1151"/>
    <s v="Escalation"/>
    <s v="High"/>
    <s v="Operations"/>
    <s v="EMP_123"/>
    <d v="2024-01-18T16:20:00"/>
    <d v="2024-01-18T21:15:00"/>
    <n v="192"/>
    <n v="295"/>
    <n v="1"/>
    <s v="Level 1"/>
    <n v="5"/>
    <n v="436.34"/>
  </r>
  <r>
    <s v="WF_1153"/>
    <x v="1"/>
    <x v="1152"/>
    <s v="Review"/>
    <s v="High"/>
    <s v="Operations"/>
    <s v="EMP_70"/>
    <d v="2024-05-21T15:38:00"/>
    <d v="2024-05-21T18:56:00"/>
    <n v="166"/>
    <n v="198"/>
    <n v="1"/>
    <s v="Level 1"/>
    <n v="9"/>
    <n v="346.5"/>
  </r>
  <r>
    <s v="WF_1154"/>
    <x v="3"/>
    <x v="1153"/>
    <s v="Approval"/>
    <s v="High"/>
    <s v="IT"/>
    <s v="EMP_114"/>
    <d v="2024-05-05T07:31:00"/>
    <d v="2024-05-05T10:48:00"/>
    <n v="80"/>
    <n v="197"/>
    <n v="1"/>
    <s v="Level 1"/>
    <n v="8"/>
    <n v="84.75"/>
  </r>
  <r>
    <s v="WF_1155"/>
    <x v="1"/>
    <x v="1154"/>
    <s v="Review"/>
    <s v="Low"/>
    <s v="Operations"/>
    <s v="EMP_96"/>
    <d v="2024-10-28T10:55:00"/>
    <d v="2024-10-28T12:47:00"/>
    <n v="104"/>
    <n v="112"/>
    <n v="1"/>
    <s v="Level 1"/>
    <n v="3"/>
    <n v="178.78"/>
  </r>
  <r>
    <s v="WF_1156"/>
    <x v="0"/>
    <x v="1155"/>
    <s v="Review"/>
    <s v="High"/>
    <s v="IT"/>
    <s v="EMP_9"/>
    <d v="2024-02-17T07:40:00"/>
    <d v="2024-02-17T10:36:00"/>
    <n v="92"/>
    <n v="176"/>
    <n v="1"/>
    <s v="Level 1"/>
    <n v="9"/>
    <n v="408.99"/>
  </r>
  <r>
    <s v="WF_1157"/>
    <x v="2"/>
    <x v="1156"/>
    <s v="Validation"/>
    <s v="Low"/>
    <s v="HR"/>
    <s v="EMP_97"/>
    <d v="2024-06-24T11:47:00"/>
    <d v="2024-06-24T14:35:00"/>
    <n v="91"/>
    <n v="168"/>
    <n v="1"/>
    <s v="Level 3"/>
    <n v="3"/>
    <n v="159.74"/>
  </r>
  <r>
    <s v="WF_1158"/>
    <x v="1"/>
    <x v="1157"/>
    <s v="Validation"/>
    <s v="Low"/>
    <s v="Customer Service"/>
    <s v="EMP_116"/>
    <d v="2024-07-26T16:45:00"/>
    <d v="2024-07-26T18:26:00"/>
    <n v="65"/>
    <n v="101"/>
    <n v="1"/>
    <s v="Level 2"/>
    <n v="10"/>
    <n v="130.47999999999999"/>
  </r>
  <r>
    <s v="WF_1159"/>
    <x v="3"/>
    <x v="1158"/>
    <s v="Data Entry"/>
    <s v="Low"/>
    <s v="HR"/>
    <s v="EMP_55"/>
    <d v="2024-03-12T10:34:00"/>
    <d v="2024-03-12T14:48:00"/>
    <n v="196"/>
    <n v="254"/>
    <n v="1"/>
    <s v="Level 1"/>
    <n v="4"/>
    <n v="150.34"/>
  </r>
  <r>
    <s v="WF_1160"/>
    <x v="4"/>
    <x v="1159"/>
    <s v="Approval"/>
    <s v="Low"/>
    <s v="IT"/>
    <s v="EMP_25"/>
    <d v="2024-01-21T21:48:00"/>
    <d v="2024-01-22T03:04:00"/>
    <n v="206"/>
    <n v="316"/>
    <n v="1"/>
    <s v="Level 3"/>
    <n v="5"/>
    <n v="99.05"/>
  </r>
  <r>
    <s v="WF_1161"/>
    <x v="1"/>
    <x v="1160"/>
    <s v="Validation"/>
    <s v="Critical"/>
    <s v="Operations"/>
    <s v="EMP_79"/>
    <d v="2024-12-12T14:38:00"/>
    <d v="2024-12-12T18:16:00"/>
    <n v="102"/>
    <n v="218"/>
    <n v="1"/>
    <s v="Level 2"/>
    <n v="6"/>
    <n v="64.55"/>
  </r>
  <r>
    <s v="WF_1162"/>
    <x v="3"/>
    <x v="1161"/>
    <s v="Validation"/>
    <s v="Low"/>
    <s v="Customer Service"/>
    <s v="EMP_9"/>
    <d v="2024-07-05T10:56:00"/>
    <d v="2024-07-05T14:02:00"/>
    <n v="159"/>
    <n v="186"/>
    <n v="1"/>
    <s v="Level 1"/>
    <n v="6"/>
    <n v="155.16"/>
  </r>
  <r>
    <s v="WF_1163"/>
    <x v="2"/>
    <x v="1162"/>
    <s v="Escalation"/>
    <s v="Medium"/>
    <s v="Finance"/>
    <s v="EMP_82"/>
    <d v="2024-05-22T03:50:00"/>
    <d v="2024-05-22T05:33:00"/>
    <n v="45"/>
    <n v="103"/>
    <n v="1"/>
    <s v="Level 1"/>
    <n v="7"/>
    <n v="100.24"/>
  </r>
  <r>
    <s v="WF_1164"/>
    <x v="4"/>
    <x v="1163"/>
    <s v="Escalation"/>
    <s v="Critical"/>
    <s v="HR"/>
    <s v="EMP_70"/>
    <d v="2024-02-03T12:31:00"/>
    <d v="2024-02-03T16:09:00"/>
    <n v="222"/>
    <n v="218"/>
    <n v="0"/>
    <s v="Level 1"/>
    <n v="3"/>
    <n v="362.55"/>
  </r>
  <r>
    <s v="WF_1165"/>
    <x v="3"/>
    <x v="1164"/>
    <s v="Escalation"/>
    <s v="Medium"/>
    <s v="HR"/>
    <s v="EMP_12"/>
    <d v="2024-11-03T22:13:00"/>
    <d v="2024-11-04T00:19:00"/>
    <n v="31"/>
    <n v="126"/>
    <n v="1"/>
    <s v="Level 2"/>
    <n v="4"/>
    <n v="162.93"/>
  </r>
  <r>
    <s v="WF_1166"/>
    <x v="0"/>
    <x v="1165"/>
    <s v="Review"/>
    <s v="High"/>
    <s v="HR"/>
    <s v="EMP_119"/>
    <d v="2024-05-04T14:29:00"/>
    <d v="2024-05-04T17:52:00"/>
    <n v="180"/>
    <n v="203"/>
    <n v="1"/>
    <s v="Level 2"/>
    <n v="3"/>
    <n v="112.9"/>
  </r>
  <r>
    <s v="WF_1167"/>
    <x v="0"/>
    <x v="1166"/>
    <s v="Approval"/>
    <s v="Medium"/>
    <s v="HR"/>
    <s v="EMP_73"/>
    <d v="2024-04-25T02:35:00"/>
    <d v="2024-04-25T06:25:00"/>
    <n v="145"/>
    <n v="230"/>
    <n v="1"/>
    <s v="Level 2"/>
    <n v="4"/>
    <n v="216.46"/>
  </r>
  <r>
    <s v="WF_1168"/>
    <x v="1"/>
    <x v="1167"/>
    <s v="Validation"/>
    <s v="Low"/>
    <s v="IT"/>
    <s v="EMP_52"/>
    <d v="2024-04-25T05:00:00"/>
    <d v="2024-04-25T05:43:00"/>
    <n v="13"/>
    <n v="43"/>
    <n v="1"/>
    <s v="Level 1"/>
    <n v="9"/>
    <n v="200.84"/>
  </r>
  <r>
    <s v="WF_1169"/>
    <x v="2"/>
    <x v="1168"/>
    <s v="Data Entry"/>
    <s v="Medium"/>
    <s v="Operations"/>
    <s v="EMP_58"/>
    <d v="2024-03-27T18:15:00"/>
    <d v="2024-03-27T22:12:00"/>
    <n v="185"/>
    <n v="237"/>
    <n v="1"/>
    <s v="Level 1"/>
    <n v="5"/>
    <n v="241.23"/>
  </r>
  <r>
    <s v="WF_1170"/>
    <x v="0"/>
    <x v="1169"/>
    <s v="Escalation"/>
    <s v="Low"/>
    <s v="Finance"/>
    <s v="EMP_34"/>
    <d v="2024-01-11T09:38:00"/>
    <d v="2024-01-11T12:09:00"/>
    <n v="40"/>
    <n v="151"/>
    <n v="1"/>
    <s v="Level 1"/>
    <n v="2"/>
    <n v="478.18"/>
  </r>
  <r>
    <s v="WF_1171"/>
    <x v="2"/>
    <x v="1170"/>
    <s v="Review"/>
    <s v="Critical"/>
    <s v="Operations"/>
    <s v="EMP_34"/>
    <d v="2024-07-27T07:02:00"/>
    <d v="2024-07-27T09:08:00"/>
    <n v="10"/>
    <n v="126"/>
    <n v="1"/>
    <s v="Level 1"/>
    <n v="3"/>
    <n v="498.81"/>
  </r>
  <r>
    <s v="WF_1172"/>
    <x v="3"/>
    <x v="1171"/>
    <s v="Data Entry"/>
    <s v="Medium"/>
    <s v="Finance"/>
    <s v="EMP_4"/>
    <d v="2024-01-22T04:54:00"/>
    <d v="2024-01-22T07:30:00"/>
    <n v="79"/>
    <n v="156"/>
    <n v="1"/>
    <s v="Level 2"/>
    <n v="5"/>
    <n v="101.2"/>
  </r>
  <r>
    <s v="WF_1173"/>
    <x v="4"/>
    <x v="1172"/>
    <s v="Escalation"/>
    <s v="Low"/>
    <s v="HR"/>
    <s v="EMP_64"/>
    <d v="2024-03-27T18:22:00"/>
    <d v="2024-03-27T19:33:00"/>
    <n v="31"/>
    <n v="71"/>
    <n v="1"/>
    <s v="Level 3"/>
    <n v="5"/>
    <n v="295.06"/>
  </r>
  <r>
    <s v="WF_1174"/>
    <x v="1"/>
    <x v="1173"/>
    <s v="Approval"/>
    <s v="Low"/>
    <s v="IT"/>
    <s v="EMP_36"/>
    <d v="2024-12-02T03:11:00"/>
    <d v="2024-12-02T06:48:00"/>
    <n v="189"/>
    <n v="217"/>
    <n v="1"/>
    <s v="Level 1"/>
    <n v="7"/>
    <n v="114.9"/>
  </r>
  <r>
    <s v="WF_1175"/>
    <x v="1"/>
    <x v="1174"/>
    <s v="Approval"/>
    <s v="High"/>
    <s v="Customer Service"/>
    <s v="EMP_69"/>
    <d v="2024-03-08T23:35:00"/>
    <d v="2024-03-09T01:16:00"/>
    <n v="28"/>
    <n v="101"/>
    <n v="1"/>
    <s v="Level 3"/>
    <n v="5"/>
    <n v="235.03"/>
  </r>
  <r>
    <s v="WF_1176"/>
    <x v="2"/>
    <x v="1175"/>
    <s v="Validation"/>
    <s v="High"/>
    <s v="IT"/>
    <s v="EMP_128"/>
    <d v="2024-07-23T19:43:00"/>
    <d v="2024-07-23T23:47:00"/>
    <n v="209"/>
    <n v="244"/>
    <n v="1"/>
    <s v="Level 3"/>
    <n v="2"/>
    <n v="159.91"/>
  </r>
  <r>
    <s v="WF_1177"/>
    <x v="0"/>
    <x v="1176"/>
    <s v="Review"/>
    <s v="High"/>
    <s v="HR"/>
    <s v="EMP_39"/>
    <d v="2024-01-02T10:04:00"/>
    <d v="2024-01-02T12:43:00"/>
    <n v="45"/>
    <n v="159"/>
    <n v="1"/>
    <s v="Level 3"/>
    <n v="7"/>
    <n v="379.65"/>
  </r>
  <r>
    <s v="WF_1178"/>
    <x v="2"/>
    <x v="1177"/>
    <s v="Escalation"/>
    <s v="High"/>
    <s v="Finance"/>
    <s v="EMP_59"/>
    <d v="2024-06-20T13:03:00"/>
    <d v="2024-06-20T15:12:00"/>
    <n v="85"/>
    <n v="129"/>
    <n v="1"/>
    <s v="Level 2"/>
    <n v="2"/>
    <n v="117.81"/>
  </r>
  <r>
    <s v="WF_1179"/>
    <x v="1"/>
    <x v="1178"/>
    <s v="Validation"/>
    <s v="Low"/>
    <s v="IT"/>
    <s v="EMP_92"/>
    <d v="2024-11-06T08:02:00"/>
    <d v="2024-11-06T12:28:00"/>
    <n v="225"/>
    <n v="266"/>
    <n v="1"/>
    <s v="Level 2"/>
    <n v="10"/>
    <n v="89.46"/>
  </r>
  <r>
    <s v="WF_1180"/>
    <x v="2"/>
    <x v="1179"/>
    <s v="Validation"/>
    <s v="Low"/>
    <s v="Operations"/>
    <s v="EMP_127"/>
    <d v="2024-02-04T06:59:00"/>
    <d v="2024-02-04T11:45:00"/>
    <n v="239"/>
    <n v="286"/>
    <n v="1"/>
    <s v="Level 3"/>
    <n v="4"/>
    <n v="471.15"/>
  </r>
  <r>
    <s v="WF_1181"/>
    <x v="4"/>
    <x v="1180"/>
    <s v="Review"/>
    <s v="Critical"/>
    <s v="HR"/>
    <s v="EMP_47"/>
    <d v="2024-05-26T20:25:00"/>
    <d v="2024-05-26T23:11:00"/>
    <n v="116"/>
    <n v="166"/>
    <n v="1"/>
    <s v="Level 3"/>
    <n v="8"/>
    <n v="219.55"/>
  </r>
  <r>
    <s v="WF_1182"/>
    <x v="0"/>
    <x v="1181"/>
    <s v="Approval"/>
    <s v="Low"/>
    <s v="Operations"/>
    <s v="EMP_45"/>
    <d v="2024-01-20T01:16:00"/>
    <d v="2024-01-20T04:15:00"/>
    <n v="113"/>
    <n v="179"/>
    <n v="1"/>
    <s v="Level 3"/>
    <n v="2"/>
    <n v="358.46"/>
  </r>
  <r>
    <s v="WF_1183"/>
    <x v="1"/>
    <x v="1182"/>
    <s v="Review"/>
    <s v="High"/>
    <s v="HR"/>
    <s v="EMP_63"/>
    <d v="2024-07-05T00:59:00"/>
    <d v="2024-07-05T03:20:00"/>
    <n v="58"/>
    <n v="141"/>
    <n v="1"/>
    <s v="Level 1"/>
    <n v="5"/>
    <n v="381.1"/>
  </r>
  <r>
    <s v="WF_1184"/>
    <x v="1"/>
    <x v="1183"/>
    <s v="Data Entry"/>
    <s v="Critical"/>
    <s v="Customer Service"/>
    <s v="EMP_62"/>
    <d v="2024-11-17T05:28:00"/>
    <d v="2024-11-17T06:11:00"/>
    <n v="36"/>
    <n v="43"/>
    <n v="1"/>
    <s v="Level 3"/>
    <n v="8"/>
    <n v="287.66000000000003"/>
  </r>
  <r>
    <s v="WF_1185"/>
    <x v="2"/>
    <x v="1184"/>
    <s v="Escalation"/>
    <s v="High"/>
    <s v="HR"/>
    <s v="EMP_3"/>
    <d v="2024-03-22T12:43:00"/>
    <d v="2024-03-22T14:34:00"/>
    <n v="94"/>
    <n v="111"/>
    <n v="1"/>
    <s v="Level 2"/>
    <n v="9"/>
    <n v="298.76"/>
  </r>
  <r>
    <s v="WF_1186"/>
    <x v="1"/>
    <x v="1185"/>
    <s v="Review"/>
    <s v="Critical"/>
    <s v="Customer Service"/>
    <s v="EMP_46"/>
    <d v="2024-01-27T00:15:00"/>
    <d v="2024-01-27T03:14:00"/>
    <n v="180"/>
    <n v="179"/>
    <n v="0"/>
    <s v="Level 3"/>
    <n v="3"/>
    <n v="71.930000000000007"/>
  </r>
  <r>
    <s v="WF_1187"/>
    <x v="2"/>
    <x v="1186"/>
    <s v="Approval"/>
    <s v="Medium"/>
    <s v="HR"/>
    <s v="EMP_113"/>
    <d v="2024-03-28T10:04:00"/>
    <d v="2024-03-28T12:06:00"/>
    <n v="84"/>
    <n v="122"/>
    <n v="1"/>
    <s v="Level 3"/>
    <n v="7"/>
    <n v="497.5"/>
  </r>
  <r>
    <s v="WF_1188"/>
    <x v="1"/>
    <x v="1187"/>
    <s v="Validation"/>
    <s v="Critical"/>
    <s v="HR"/>
    <s v="EMP_94"/>
    <d v="2024-03-20T12:03:00"/>
    <d v="2024-03-20T17:27:00"/>
    <n v="218"/>
    <n v="324"/>
    <n v="1"/>
    <s v="Level 2"/>
    <n v="6"/>
    <n v="214.44"/>
  </r>
  <r>
    <s v="WF_1189"/>
    <x v="0"/>
    <x v="1188"/>
    <s v="Validation"/>
    <s v="Low"/>
    <s v="Customer Service"/>
    <s v="EMP_48"/>
    <d v="2024-03-01T11:37:00"/>
    <d v="2024-03-01T16:13:00"/>
    <n v="159"/>
    <n v="276"/>
    <n v="1"/>
    <s v="Level 1"/>
    <n v="9"/>
    <n v="75.08"/>
  </r>
  <r>
    <s v="WF_1190"/>
    <x v="4"/>
    <x v="1189"/>
    <s v="Data Entry"/>
    <s v="Low"/>
    <s v="IT"/>
    <s v="EMP_56"/>
    <d v="2024-10-20T14:05:00"/>
    <d v="2024-10-20T17:35:00"/>
    <n v="106"/>
    <n v="210"/>
    <n v="1"/>
    <s v="Level 1"/>
    <n v="8"/>
    <n v="332.71"/>
  </r>
  <r>
    <s v="WF_1191"/>
    <x v="3"/>
    <x v="1190"/>
    <s v="Escalation"/>
    <s v="Critical"/>
    <s v="IT"/>
    <s v="EMP_29"/>
    <d v="2024-01-31T03:36:00"/>
    <d v="2024-01-31T05:36:00"/>
    <n v="93"/>
    <n v="120"/>
    <n v="1"/>
    <s v="Level 2"/>
    <n v="10"/>
    <n v="362.84"/>
  </r>
  <r>
    <s v="WF_1192"/>
    <x v="1"/>
    <x v="1191"/>
    <s v="Validation"/>
    <s v="Low"/>
    <s v="Finance"/>
    <s v="EMP_53"/>
    <d v="2024-09-17T10:56:00"/>
    <d v="2024-09-17T12:16:00"/>
    <n v="67"/>
    <n v="80"/>
    <n v="1"/>
    <s v="Level 2"/>
    <n v="6"/>
    <n v="195.84"/>
  </r>
  <r>
    <s v="WF_1193"/>
    <x v="3"/>
    <x v="1192"/>
    <s v="Review"/>
    <s v="Medium"/>
    <s v="Finance"/>
    <s v="EMP_121"/>
    <d v="2024-12-27T02:20:00"/>
    <d v="2024-12-27T05:46:00"/>
    <n v="121"/>
    <n v="206"/>
    <n v="1"/>
    <s v="Level 1"/>
    <n v="7"/>
    <n v="340.67"/>
  </r>
  <r>
    <s v="WF_1194"/>
    <x v="2"/>
    <x v="1193"/>
    <s v="Approval"/>
    <s v="High"/>
    <s v="HR"/>
    <s v="EMP_42"/>
    <d v="2024-01-13T01:59:00"/>
    <d v="2024-01-13T06:49:00"/>
    <n v="226"/>
    <n v="290"/>
    <n v="1"/>
    <s v="Level 2"/>
    <n v="9"/>
    <n v="322.26"/>
  </r>
  <r>
    <s v="WF_1195"/>
    <x v="3"/>
    <x v="1194"/>
    <s v="Escalation"/>
    <s v="Low"/>
    <s v="Operations"/>
    <s v="EMP_89"/>
    <d v="2024-12-06T15:12:00"/>
    <d v="2024-12-06T19:09:00"/>
    <n v="118"/>
    <n v="237"/>
    <n v="1"/>
    <s v="Level 3"/>
    <n v="5"/>
    <n v="481.28"/>
  </r>
  <r>
    <s v="WF_1196"/>
    <x v="1"/>
    <x v="1195"/>
    <s v="Data Entry"/>
    <s v="Low"/>
    <s v="HR"/>
    <s v="EMP_10"/>
    <d v="2024-08-08T14:42:00"/>
    <d v="2024-08-08T16:19:00"/>
    <n v="40"/>
    <n v="97"/>
    <n v="1"/>
    <s v="Level 2"/>
    <n v="3"/>
    <n v="96"/>
  </r>
  <r>
    <s v="WF_1197"/>
    <x v="3"/>
    <x v="1196"/>
    <s v="Data Entry"/>
    <s v="Low"/>
    <s v="Customer Service"/>
    <s v="EMP_6"/>
    <d v="2024-04-12T13:42:00"/>
    <d v="2024-04-12T17:57:00"/>
    <n v="232"/>
    <n v="255"/>
    <n v="1"/>
    <s v="Level 1"/>
    <n v="7"/>
    <n v="148.22"/>
  </r>
  <r>
    <s v="WF_1198"/>
    <x v="2"/>
    <x v="1197"/>
    <s v="Escalation"/>
    <s v="Low"/>
    <s v="Customer Service"/>
    <s v="EMP_6"/>
    <d v="2024-02-01T07:31:00"/>
    <d v="2024-02-01T08:36:00"/>
    <n v="31"/>
    <n v="65"/>
    <n v="1"/>
    <s v="Level 3"/>
    <n v="1"/>
    <n v="360.85"/>
  </r>
  <r>
    <s v="WF_1199"/>
    <x v="4"/>
    <x v="1198"/>
    <s v="Approval"/>
    <s v="Medium"/>
    <s v="IT"/>
    <s v="EMP_33"/>
    <d v="2024-07-28T12:01:00"/>
    <d v="2024-07-28T16:33:00"/>
    <n v="164"/>
    <n v="272"/>
    <n v="1"/>
    <s v="Level 3"/>
    <n v="2"/>
    <n v="105.81"/>
  </r>
  <r>
    <s v="WF_1200"/>
    <x v="1"/>
    <x v="1199"/>
    <s v="Approval"/>
    <s v="Low"/>
    <s v="Operations"/>
    <s v="EMP_12"/>
    <d v="2024-07-28T06:01:00"/>
    <d v="2024-07-28T08:13:00"/>
    <n v="61"/>
    <n v="132"/>
    <n v="1"/>
    <s v="Level 2"/>
    <n v="8"/>
    <n v="445.63"/>
  </r>
  <r>
    <s v="WF_1201"/>
    <x v="1"/>
    <x v="1200"/>
    <s v="Review"/>
    <s v="Medium"/>
    <s v="HR"/>
    <s v="EMP_148"/>
    <d v="2024-11-08T23:49:00"/>
    <d v="2024-11-09T02:23:00"/>
    <n v="84"/>
    <n v="154"/>
    <n v="1"/>
    <s v="Level 3"/>
    <n v="5"/>
    <n v="380.47"/>
  </r>
  <r>
    <s v="WF_1202"/>
    <x v="3"/>
    <x v="1201"/>
    <s v="Escalation"/>
    <s v="High"/>
    <s v="IT"/>
    <s v="EMP_115"/>
    <d v="2024-01-28T05:52:00"/>
    <d v="2024-01-28T08:43:00"/>
    <n v="81"/>
    <n v="171"/>
    <n v="1"/>
    <s v="Level 3"/>
    <n v="4"/>
    <n v="87.25"/>
  </r>
  <r>
    <s v="WF_1203"/>
    <x v="4"/>
    <x v="1202"/>
    <s v="Data Entry"/>
    <s v="High"/>
    <s v="IT"/>
    <s v="EMP_138"/>
    <d v="2024-03-15T16:07:00"/>
    <d v="2024-03-15T19:57:00"/>
    <n v="219"/>
    <n v="230"/>
    <n v="1"/>
    <s v="Level 3"/>
    <n v="9"/>
    <n v="373.61"/>
  </r>
  <r>
    <s v="WF_1204"/>
    <x v="2"/>
    <x v="1203"/>
    <s v="Review"/>
    <s v="High"/>
    <s v="HR"/>
    <s v="EMP_39"/>
    <d v="2024-03-28T11:35:00"/>
    <d v="2024-03-28T13:06:00"/>
    <n v="32"/>
    <n v="91"/>
    <n v="1"/>
    <s v="Level 1"/>
    <n v="6"/>
    <n v="314.61"/>
  </r>
  <r>
    <s v="WF_1205"/>
    <x v="1"/>
    <x v="1204"/>
    <s v="Review"/>
    <s v="Critical"/>
    <s v="IT"/>
    <s v="EMP_61"/>
    <d v="2024-03-26T01:44:00"/>
    <d v="2024-03-26T04:00:00"/>
    <n v="97"/>
    <n v="136"/>
    <n v="1"/>
    <s v="Level 2"/>
    <n v="1"/>
    <n v="179.22"/>
  </r>
  <r>
    <s v="WF_1206"/>
    <x v="0"/>
    <x v="1205"/>
    <s v="Review"/>
    <s v="High"/>
    <s v="IT"/>
    <s v="EMP_29"/>
    <d v="2024-10-25T06:01:00"/>
    <d v="2024-10-25T09:15:00"/>
    <n v="168"/>
    <n v="194"/>
    <n v="1"/>
    <s v="Level 2"/>
    <n v="2"/>
    <n v="222.58"/>
  </r>
  <r>
    <s v="WF_1207"/>
    <x v="2"/>
    <x v="1206"/>
    <s v="Data Entry"/>
    <s v="Low"/>
    <s v="IT"/>
    <s v="EMP_68"/>
    <d v="2024-05-11T08:40:00"/>
    <d v="2024-05-11T11:52:00"/>
    <n v="115"/>
    <n v="192"/>
    <n v="1"/>
    <s v="Level 1"/>
    <n v="7"/>
    <n v="72.45"/>
  </r>
  <r>
    <s v="WF_1208"/>
    <x v="3"/>
    <x v="1207"/>
    <s v="Validation"/>
    <s v="Low"/>
    <s v="Customer Service"/>
    <s v="EMP_78"/>
    <d v="2024-11-22T21:56:00"/>
    <d v="2024-11-23T03:07:00"/>
    <n v="240"/>
    <n v="311"/>
    <n v="1"/>
    <s v="Level 2"/>
    <n v="2"/>
    <n v="74.94"/>
  </r>
  <r>
    <s v="WF_1209"/>
    <x v="1"/>
    <x v="1208"/>
    <s v="Validation"/>
    <s v="High"/>
    <s v="Operations"/>
    <s v="EMP_28"/>
    <d v="2024-02-22T08:24:00"/>
    <d v="2024-02-22T12:16:00"/>
    <n v="229"/>
    <n v="232"/>
    <n v="1"/>
    <s v="Level 3"/>
    <n v="1"/>
    <n v="318.49"/>
  </r>
  <r>
    <s v="WF_1210"/>
    <x v="1"/>
    <x v="1209"/>
    <s v="Review"/>
    <s v="Medium"/>
    <s v="Customer Service"/>
    <s v="EMP_87"/>
    <d v="2024-06-13T03:43:00"/>
    <d v="2024-06-13T07:37:00"/>
    <n v="130"/>
    <n v="234"/>
    <n v="1"/>
    <s v="Level 2"/>
    <n v="9"/>
    <n v="57.28"/>
  </r>
  <r>
    <s v="WF_1211"/>
    <x v="1"/>
    <x v="1210"/>
    <s v="Review"/>
    <s v="High"/>
    <s v="HR"/>
    <s v="EMP_125"/>
    <d v="2024-03-27T05:35:00"/>
    <d v="2024-03-27T08:14:00"/>
    <n v="50"/>
    <n v="159"/>
    <n v="1"/>
    <s v="Level 3"/>
    <n v="6"/>
    <n v="251.1"/>
  </r>
  <r>
    <s v="WF_1212"/>
    <x v="1"/>
    <x v="1211"/>
    <s v="Escalation"/>
    <s v="Critical"/>
    <s v="IT"/>
    <s v="EMP_53"/>
    <d v="2024-05-14T22:57:00"/>
    <d v="2024-05-15T03:42:00"/>
    <n v="223"/>
    <n v="285"/>
    <n v="1"/>
    <s v="Level 1"/>
    <n v="5"/>
    <n v="82.45"/>
  </r>
  <r>
    <s v="WF_1213"/>
    <x v="0"/>
    <x v="1212"/>
    <s v="Escalation"/>
    <s v="Low"/>
    <s v="IT"/>
    <s v="EMP_111"/>
    <d v="2024-07-06T11:36:00"/>
    <d v="2024-07-06T16:45:00"/>
    <n v="231"/>
    <n v="309"/>
    <n v="1"/>
    <s v="Level 3"/>
    <n v="1"/>
    <n v="96.56"/>
  </r>
  <r>
    <s v="WF_1214"/>
    <x v="0"/>
    <x v="1213"/>
    <s v="Data Entry"/>
    <s v="Critical"/>
    <s v="HR"/>
    <s v="EMP_132"/>
    <d v="2024-10-05T01:16:00"/>
    <d v="2024-10-05T04:49:00"/>
    <n v="202"/>
    <n v="213"/>
    <n v="1"/>
    <s v="Level 3"/>
    <n v="2"/>
    <n v="496.91"/>
  </r>
  <r>
    <s v="WF_1215"/>
    <x v="0"/>
    <x v="1214"/>
    <s v="Escalation"/>
    <s v="High"/>
    <s v="Finance"/>
    <s v="EMP_13"/>
    <d v="2024-06-15T01:31:00"/>
    <d v="2024-06-15T06:35:00"/>
    <n v="192"/>
    <n v="304"/>
    <n v="1"/>
    <s v="Level 2"/>
    <n v="10"/>
    <n v="185.94"/>
  </r>
  <r>
    <s v="WF_1216"/>
    <x v="4"/>
    <x v="1215"/>
    <s v="Escalation"/>
    <s v="Critical"/>
    <s v="Customer Service"/>
    <s v="EMP_104"/>
    <d v="2024-01-14T17:55:00"/>
    <d v="2024-01-14T22:41:00"/>
    <n v="184"/>
    <n v="286"/>
    <n v="1"/>
    <s v="Level 3"/>
    <n v="1"/>
    <n v="127.12"/>
  </r>
  <r>
    <s v="WF_1217"/>
    <x v="4"/>
    <x v="1216"/>
    <s v="Validation"/>
    <s v="High"/>
    <s v="HR"/>
    <s v="EMP_97"/>
    <d v="2024-07-10T21:16:00"/>
    <d v="2024-07-11T00:11:00"/>
    <n v="96"/>
    <n v="175"/>
    <n v="1"/>
    <s v="Level 3"/>
    <n v="3"/>
    <n v="96.03"/>
  </r>
  <r>
    <s v="WF_1218"/>
    <x v="0"/>
    <x v="1217"/>
    <s v="Validation"/>
    <s v="High"/>
    <s v="IT"/>
    <s v="EMP_111"/>
    <d v="2024-08-23T10:00:00"/>
    <d v="2024-08-23T12:58:00"/>
    <n v="164"/>
    <n v="178"/>
    <n v="1"/>
    <s v="Level 2"/>
    <n v="9"/>
    <n v="418.09"/>
  </r>
  <r>
    <s v="WF_1219"/>
    <x v="0"/>
    <x v="1218"/>
    <s v="Review"/>
    <s v="High"/>
    <s v="Finance"/>
    <s v="EMP_2"/>
    <d v="2024-07-18T20:46:00"/>
    <d v="2024-07-18T21:22:00"/>
    <n v="35"/>
    <n v="36"/>
    <n v="1"/>
    <s v="Level 2"/>
    <n v="6"/>
    <n v="146"/>
  </r>
  <r>
    <s v="WF_1220"/>
    <x v="2"/>
    <x v="1219"/>
    <s v="Validation"/>
    <s v="High"/>
    <s v="Customer Service"/>
    <s v="EMP_91"/>
    <d v="2024-03-22T18:29:00"/>
    <d v="2024-03-22T22:55:00"/>
    <n v="218"/>
    <n v="266"/>
    <n v="1"/>
    <s v="Level 1"/>
    <n v="6"/>
    <n v="364.64"/>
  </r>
  <r>
    <s v="WF_1221"/>
    <x v="4"/>
    <x v="1220"/>
    <s v="Review"/>
    <s v="Critical"/>
    <s v="Customer Service"/>
    <s v="EMP_139"/>
    <d v="2024-06-09T09:45:00"/>
    <d v="2024-06-09T14:56:00"/>
    <n v="232"/>
    <n v="311"/>
    <n v="1"/>
    <s v="Level 3"/>
    <n v="6"/>
    <n v="488.51"/>
  </r>
  <r>
    <s v="WF_1222"/>
    <x v="1"/>
    <x v="1221"/>
    <s v="Approval"/>
    <s v="Critical"/>
    <s v="Operations"/>
    <s v="EMP_81"/>
    <d v="2024-01-03T05:28:00"/>
    <d v="2024-01-03T09:08:00"/>
    <n v="146"/>
    <n v="220"/>
    <n v="1"/>
    <s v="Level 2"/>
    <n v="7"/>
    <n v="123.99"/>
  </r>
  <r>
    <s v="WF_1223"/>
    <x v="1"/>
    <x v="1222"/>
    <s v="Data Entry"/>
    <s v="High"/>
    <s v="Operations"/>
    <s v="EMP_93"/>
    <d v="2024-10-27T06:43:00"/>
    <d v="2024-10-27T08:08:00"/>
    <n v="32"/>
    <n v="85"/>
    <n v="1"/>
    <s v="Level 3"/>
    <n v="5"/>
    <n v="258.19"/>
  </r>
  <r>
    <s v="WF_1224"/>
    <x v="0"/>
    <x v="1223"/>
    <s v="Data Entry"/>
    <s v="High"/>
    <s v="Customer Service"/>
    <s v="EMP_150"/>
    <d v="2024-07-09T04:12:00"/>
    <d v="2024-07-09T09:16:00"/>
    <n v="190"/>
    <n v="304"/>
    <n v="1"/>
    <s v="Level 3"/>
    <n v="4"/>
    <n v="494.66"/>
  </r>
  <r>
    <s v="WF_1225"/>
    <x v="0"/>
    <x v="1224"/>
    <s v="Escalation"/>
    <s v="High"/>
    <s v="Customer Service"/>
    <s v="EMP_80"/>
    <d v="2024-11-11T13:45:00"/>
    <d v="2024-11-11T15:26:00"/>
    <n v="104"/>
    <n v="101"/>
    <n v="0"/>
    <s v="Level 3"/>
    <n v="3"/>
    <n v="76.95"/>
  </r>
  <r>
    <s v="WF_1226"/>
    <x v="1"/>
    <x v="1225"/>
    <s v="Review"/>
    <s v="Low"/>
    <s v="Operations"/>
    <s v="EMP_55"/>
    <d v="2024-11-02T18:12:00"/>
    <d v="2024-11-02T19:48:00"/>
    <n v="48"/>
    <n v="96"/>
    <n v="1"/>
    <s v="Level 2"/>
    <n v="8"/>
    <n v="190.62"/>
  </r>
  <r>
    <s v="WF_1227"/>
    <x v="1"/>
    <x v="1226"/>
    <s v="Review"/>
    <s v="Low"/>
    <s v="Operations"/>
    <s v="EMP_124"/>
    <d v="2024-05-06T05:55:00"/>
    <d v="2024-05-06T08:42:00"/>
    <n v="118"/>
    <n v="167"/>
    <n v="1"/>
    <s v="Level 1"/>
    <n v="10"/>
    <n v="329.44"/>
  </r>
  <r>
    <s v="WF_1228"/>
    <x v="4"/>
    <x v="1227"/>
    <s v="Review"/>
    <s v="High"/>
    <s v="Finance"/>
    <s v="EMP_44"/>
    <d v="2024-10-06T10:14:00"/>
    <d v="2024-10-06T13:12:00"/>
    <n v="183"/>
    <n v="178"/>
    <n v="0"/>
    <s v="Level 3"/>
    <n v="2"/>
    <n v="171.65"/>
  </r>
  <r>
    <s v="WF_1229"/>
    <x v="3"/>
    <x v="1228"/>
    <s v="Data Entry"/>
    <s v="Low"/>
    <s v="Customer Service"/>
    <s v="EMP_79"/>
    <d v="2024-08-19T22:26:00"/>
    <d v="2024-08-19T23:43:00"/>
    <n v="47"/>
    <n v="77"/>
    <n v="1"/>
    <s v="Level 1"/>
    <n v="1"/>
    <n v="489.69"/>
  </r>
  <r>
    <s v="WF_1230"/>
    <x v="3"/>
    <x v="1229"/>
    <s v="Review"/>
    <s v="Critical"/>
    <s v="Customer Service"/>
    <s v="EMP_16"/>
    <d v="2024-03-22T04:33:00"/>
    <d v="2024-03-22T08:01:00"/>
    <n v="185"/>
    <n v="208"/>
    <n v="1"/>
    <s v="Level 1"/>
    <n v="8"/>
    <n v="57.85"/>
  </r>
  <r>
    <s v="WF_1231"/>
    <x v="0"/>
    <x v="1230"/>
    <s v="Escalation"/>
    <s v="High"/>
    <s v="Finance"/>
    <s v="EMP_82"/>
    <d v="2024-07-29T13:39:00"/>
    <d v="2024-07-29T17:49:00"/>
    <n v="214"/>
    <n v="250"/>
    <n v="1"/>
    <s v="Level 3"/>
    <n v="10"/>
    <n v="255.18"/>
  </r>
  <r>
    <s v="WF_1232"/>
    <x v="1"/>
    <x v="1231"/>
    <s v="Escalation"/>
    <s v="Low"/>
    <s v="Customer Service"/>
    <s v="EMP_7"/>
    <d v="2024-08-20T19:03:00"/>
    <d v="2024-08-20T21:56:00"/>
    <n v="99"/>
    <n v="173"/>
    <n v="1"/>
    <s v="Level 2"/>
    <n v="1"/>
    <n v="451.08"/>
  </r>
  <r>
    <s v="WF_1233"/>
    <x v="2"/>
    <x v="1232"/>
    <s v="Review"/>
    <s v="Medium"/>
    <s v="Finance"/>
    <s v="EMP_90"/>
    <d v="2024-05-23T14:23:00"/>
    <d v="2024-05-23T18:40:00"/>
    <n v="141"/>
    <n v="257"/>
    <n v="1"/>
    <s v="Level 2"/>
    <n v="7"/>
    <n v="179.96"/>
  </r>
  <r>
    <s v="WF_1234"/>
    <x v="1"/>
    <x v="1233"/>
    <s v="Review"/>
    <s v="Low"/>
    <s v="Operations"/>
    <s v="EMP_93"/>
    <d v="2024-09-07T23:08:00"/>
    <d v="2024-09-08T01:59:00"/>
    <n v="86"/>
    <n v="171"/>
    <n v="1"/>
    <s v="Level 3"/>
    <n v="6"/>
    <n v="195.17"/>
  </r>
  <r>
    <s v="WF_1235"/>
    <x v="4"/>
    <x v="1234"/>
    <s v="Validation"/>
    <s v="High"/>
    <s v="Operations"/>
    <s v="EMP_37"/>
    <d v="2024-09-02T05:14:00"/>
    <d v="2024-09-02T08:58:00"/>
    <n v="187"/>
    <n v="224"/>
    <n v="1"/>
    <s v="Level 3"/>
    <n v="2"/>
    <n v="468.11"/>
  </r>
  <r>
    <s v="WF_1236"/>
    <x v="3"/>
    <x v="1235"/>
    <s v="Data Entry"/>
    <s v="High"/>
    <s v="Customer Service"/>
    <s v="EMP_58"/>
    <d v="2024-10-27T06:29:00"/>
    <d v="2024-10-27T08:25:00"/>
    <n v="48"/>
    <n v="116"/>
    <n v="1"/>
    <s v="Level 3"/>
    <n v="4"/>
    <n v="399.46"/>
  </r>
  <r>
    <s v="WF_1237"/>
    <x v="2"/>
    <x v="1236"/>
    <s v="Approval"/>
    <s v="Medium"/>
    <s v="IT"/>
    <s v="EMP_45"/>
    <d v="2024-02-20T20:40:00"/>
    <d v="2024-02-20T23:06:00"/>
    <n v="105"/>
    <n v="146"/>
    <n v="1"/>
    <s v="Level 1"/>
    <n v="1"/>
    <n v="446.1"/>
  </r>
  <r>
    <s v="WF_1238"/>
    <x v="4"/>
    <x v="1237"/>
    <s v="Approval"/>
    <s v="Critical"/>
    <s v="Finance"/>
    <s v="EMP_100"/>
    <d v="2024-12-23T18:57:00"/>
    <d v="2024-12-23T23:35:00"/>
    <n v="165"/>
    <n v="278"/>
    <n v="1"/>
    <s v="Level 1"/>
    <n v="3"/>
    <n v="296.14"/>
  </r>
  <r>
    <s v="WF_1239"/>
    <x v="3"/>
    <x v="1238"/>
    <s v="Escalation"/>
    <s v="Low"/>
    <s v="HR"/>
    <s v="EMP_93"/>
    <d v="2024-07-15T01:33:00"/>
    <d v="2024-07-15T04:04:00"/>
    <n v="108"/>
    <n v="151"/>
    <n v="1"/>
    <s v="Level 1"/>
    <n v="9"/>
    <n v="192.46"/>
  </r>
  <r>
    <s v="WF_1240"/>
    <x v="4"/>
    <x v="1239"/>
    <s v="Approval"/>
    <s v="Medium"/>
    <s v="IT"/>
    <s v="EMP_107"/>
    <d v="2024-03-30T10:01:00"/>
    <d v="2024-03-30T13:27:00"/>
    <n v="120"/>
    <n v="206"/>
    <n v="1"/>
    <s v="Level 2"/>
    <n v="1"/>
    <n v="89.2"/>
  </r>
  <r>
    <s v="WF_1241"/>
    <x v="2"/>
    <x v="1240"/>
    <s v="Data Entry"/>
    <s v="Medium"/>
    <s v="Operations"/>
    <s v="EMP_135"/>
    <d v="2024-08-07T07:40:00"/>
    <d v="2024-08-07T12:01:00"/>
    <n v="219"/>
    <n v="261"/>
    <n v="1"/>
    <s v="Level 1"/>
    <n v="7"/>
    <n v="124.43"/>
  </r>
  <r>
    <s v="WF_1242"/>
    <x v="2"/>
    <x v="1241"/>
    <s v="Validation"/>
    <s v="Low"/>
    <s v="Finance"/>
    <s v="EMP_82"/>
    <d v="2024-08-25T21:38:00"/>
    <d v="2024-08-25T23:43:00"/>
    <n v="90"/>
    <n v="125"/>
    <n v="1"/>
    <s v="Level 2"/>
    <n v="6"/>
    <n v="480.4"/>
  </r>
  <r>
    <s v="WF_1243"/>
    <x v="2"/>
    <x v="1242"/>
    <s v="Validation"/>
    <s v="High"/>
    <s v="Finance"/>
    <s v="EMP_117"/>
    <d v="2024-12-02T21:30:00"/>
    <d v="2024-12-02T22:59:00"/>
    <n v="31"/>
    <n v="89"/>
    <n v="1"/>
    <s v="Level 2"/>
    <n v="9"/>
    <n v="391.19"/>
  </r>
  <r>
    <s v="WF_1244"/>
    <x v="3"/>
    <x v="1243"/>
    <s v="Approval"/>
    <s v="Critical"/>
    <s v="HR"/>
    <s v="EMP_32"/>
    <d v="2024-07-28T07:53:00"/>
    <d v="2024-07-28T10:27:00"/>
    <n v="87"/>
    <n v="154"/>
    <n v="1"/>
    <s v="Level 3"/>
    <n v="8"/>
    <n v="221.86"/>
  </r>
  <r>
    <s v="WF_1245"/>
    <x v="2"/>
    <x v="1244"/>
    <s v="Escalation"/>
    <s v="Low"/>
    <s v="IT"/>
    <s v="EMP_43"/>
    <d v="2024-12-08T16:19:00"/>
    <d v="2024-12-08T20:54:00"/>
    <n v="235"/>
    <n v="275"/>
    <n v="1"/>
    <s v="Level 1"/>
    <n v="5"/>
    <n v="287.83"/>
  </r>
  <r>
    <s v="WF_1246"/>
    <x v="1"/>
    <x v="1245"/>
    <s v="Approval"/>
    <s v="Medium"/>
    <s v="Operations"/>
    <s v="EMP_55"/>
    <d v="2024-12-20T08:43:00"/>
    <d v="2024-12-20T13:34:00"/>
    <n v="230"/>
    <n v="291"/>
    <n v="1"/>
    <s v="Level 3"/>
    <n v="4"/>
    <n v="292.85000000000002"/>
  </r>
  <r>
    <s v="WF_1247"/>
    <x v="3"/>
    <x v="1246"/>
    <s v="Escalation"/>
    <s v="Critical"/>
    <s v="Customer Service"/>
    <s v="EMP_78"/>
    <d v="2024-09-21T14:26:00"/>
    <d v="2024-09-21T16:14:00"/>
    <n v="85"/>
    <n v="108"/>
    <n v="1"/>
    <s v="Level 2"/>
    <n v="4"/>
    <n v="440.49"/>
  </r>
  <r>
    <s v="WF_1248"/>
    <x v="2"/>
    <x v="1247"/>
    <s v="Data Entry"/>
    <s v="Low"/>
    <s v="Operations"/>
    <s v="EMP_94"/>
    <d v="2024-02-04T23:19:00"/>
    <d v="2024-02-05T01:05:00"/>
    <n v="60"/>
    <n v="106"/>
    <n v="1"/>
    <s v="Level 1"/>
    <n v="3"/>
    <n v="441.04"/>
  </r>
  <r>
    <s v="WF_1249"/>
    <x v="3"/>
    <x v="1248"/>
    <s v="Review"/>
    <s v="Low"/>
    <s v="IT"/>
    <s v="EMP_67"/>
    <d v="2024-10-17T13:28:00"/>
    <d v="2024-10-17T18:13:00"/>
    <n v="209"/>
    <n v="285"/>
    <n v="1"/>
    <s v="Level 3"/>
    <n v="8"/>
    <n v="172.66"/>
  </r>
  <r>
    <s v="WF_1250"/>
    <x v="4"/>
    <x v="1249"/>
    <s v="Data Entry"/>
    <s v="Critical"/>
    <s v="Operations"/>
    <s v="EMP_19"/>
    <d v="2024-10-22T00:42:00"/>
    <d v="2024-10-22T03:00:00"/>
    <n v="73"/>
    <n v="138"/>
    <n v="1"/>
    <s v="Level 2"/>
    <n v="8"/>
    <n v="141.5"/>
  </r>
  <r>
    <s v="WF_1251"/>
    <x v="2"/>
    <x v="1250"/>
    <s v="Approval"/>
    <s v="High"/>
    <s v="Finance"/>
    <s v="EMP_71"/>
    <d v="2024-09-14T07:13:00"/>
    <d v="2024-09-14T11:34:00"/>
    <n v="157"/>
    <n v="261"/>
    <n v="1"/>
    <s v="Level 1"/>
    <n v="1"/>
    <n v="366.22"/>
  </r>
  <r>
    <s v="WF_1252"/>
    <x v="0"/>
    <x v="1251"/>
    <s v="Validation"/>
    <s v="Critical"/>
    <s v="IT"/>
    <s v="EMP_13"/>
    <d v="2024-04-12T04:13:00"/>
    <d v="2024-04-12T06:45:00"/>
    <n v="122"/>
    <n v="152"/>
    <n v="1"/>
    <s v="Level 3"/>
    <n v="3"/>
    <n v="168.14"/>
  </r>
  <r>
    <s v="WF_1253"/>
    <x v="3"/>
    <x v="1252"/>
    <s v="Data Entry"/>
    <s v="Medium"/>
    <s v="Customer Service"/>
    <s v="EMP_33"/>
    <d v="2024-07-30T14:30:00"/>
    <d v="2024-07-30T17:33:00"/>
    <n v="143"/>
    <n v="183"/>
    <n v="1"/>
    <s v="Level 3"/>
    <n v="2"/>
    <n v="152.86000000000001"/>
  </r>
  <r>
    <s v="WF_1254"/>
    <x v="4"/>
    <x v="1253"/>
    <s v="Data Entry"/>
    <s v="Critical"/>
    <s v="Operations"/>
    <s v="EMP_108"/>
    <d v="2024-10-13T10:50:00"/>
    <d v="2024-10-13T14:52:00"/>
    <n v="166"/>
    <n v="242"/>
    <n v="1"/>
    <s v="Level 2"/>
    <n v="9"/>
    <n v="264.08999999999997"/>
  </r>
  <r>
    <s v="WF_1255"/>
    <x v="4"/>
    <x v="1254"/>
    <s v="Escalation"/>
    <s v="Low"/>
    <s v="HR"/>
    <s v="EMP_135"/>
    <d v="2024-03-04T00:48:00"/>
    <d v="2024-03-04T02:44:00"/>
    <n v="84"/>
    <n v="116"/>
    <n v="1"/>
    <s v="Level 2"/>
    <n v="10"/>
    <n v="254.34"/>
  </r>
  <r>
    <s v="WF_1256"/>
    <x v="0"/>
    <x v="1255"/>
    <s v="Validation"/>
    <s v="Low"/>
    <s v="Operations"/>
    <s v="EMP_73"/>
    <d v="2024-04-27T03:48:00"/>
    <d v="2024-04-27T07:28:00"/>
    <n v="198"/>
    <n v="220"/>
    <n v="1"/>
    <s v="Level 2"/>
    <n v="3"/>
    <n v="392.33"/>
  </r>
  <r>
    <s v="WF_1257"/>
    <x v="1"/>
    <x v="1256"/>
    <s v="Approval"/>
    <s v="Low"/>
    <s v="Finance"/>
    <s v="EMP_9"/>
    <d v="2024-01-15T10:29:00"/>
    <d v="2024-01-15T12:14:00"/>
    <n v="107"/>
    <n v="105"/>
    <n v="0"/>
    <s v="Level 3"/>
    <n v="3"/>
    <n v="351.63"/>
  </r>
  <r>
    <s v="WF_1258"/>
    <x v="4"/>
    <x v="1257"/>
    <s v="Review"/>
    <s v="High"/>
    <s v="HR"/>
    <s v="EMP_139"/>
    <d v="2024-07-16T09:24:00"/>
    <d v="2024-07-16T11:32:00"/>
    <n v="106"/>
    <n v="128"/>
    <n v="1"/>
    <s v="Level 3"/>
    <n v="9"/>
    <n v="490.75"/>
  </r>
  <r>
    <s v="WF_1259"/>
    <x v="1"/>
    <x v="1258"/>
    <s v="Review"/>
    <s v="Critical"/>
    <s v="Customer Service"/>
    <s v="EMP_119"/>
    <d v="2024-10-18T01:30:00"/>
    <d v="2024-10-18T05:41:00"/>
    <n v="203"/>
    <n v="251"/>
    <n v="1"/>
    <s v="Level 3"/>
    <n v="4"/>
    <n v="216.37"/>
  </r>
  <r>
    <s v="WF_1260"/>
    <x v="4"/>
    <x v="1259"/>
    <s v="Data Entry"/>
    <s v="Low"/>
    <s v="Operations"/>
    <s v="EMP_82"/>
    <d v="2024-09-15T09:09:00"/>
    <d v="2024-09-15T12:48:00"/>
    <n v="176"/>
    <n v="219"/>
    <n v="1"/>
    <s v="Level 3"/>
    <n v="6"/>
    <n v="396.82"/>
  </r>
  <r>
    <s v="WF_1261"/>
    <x v="1"/>
    <x v="1260"/>
    <s v="Escalation"/>
    <s v="Low"/>
    <s v="Customer Service"/>
    <s v="EMP_93"/>
    <d v="2024-08-23T01:01:00"/>
    <d v="2024-08-23T02:35:00"/>
    <n v="37"/>
    <n v="94"/>
    <n v="1"/>
    <s v="Level 1"/>
    <n v="7"/>
    <n v="59.23"/>
  </r>
  <r>
    <s v="WF_1262"/>
    <x v="0"/>
    <x v="1261"/>
    <s v="Validation"/>
    <s v="Medium"/>
    <s v="IT"/>
    <s v="EMP_29"/>
    <d v="2024-03-20T16:46:00"/>
    <d v="2024-03-20T17:45:00"/>
    <n v="35"/>
    <n v="59"/>
    <n v="1"/>
    <s v="Level 1"/>
    <n v="6"/>
    <n v="429.2"/>
  </r>
  <r>
    <s v="WF_1263"/>
    <x v="0"/>
    <x v="1262"/>
    <s v="Review"/>
    <s v="High"/>
    <s v="IT"/>
    <s v="EMP_127"/>
    <d v="2024-08-31T10:12:00"/>
    <d v="2024-08-31T12:53:00"/>
    <n v="53"/>
    <n v="161"/>
    <n v="1"/>
    <s v="Level 3"/>
    <n v="6"/>
    <n v="388.09"/>
  </r>
  <r>
    <s v="WF_1264"/>
    <x v="2"/>
    <x v="1263"/>
    <s v="Approval"/>
    <s v="High"/>
    <s v="HR"/>
    <s v="EMP_77"/>
    <d v="2024-08-13T05:19:00"/>
    <d v="2024-08-13T08:01:00"/>
    <n v="42"/>
    <n v="162"/>
    <n v="1"/>
    <s v="Level 1"/>
    <n v="8"/>
    <n v="91.19"/>
  </r>
  <r>
    <s v="WF_1265"/>
    <x v="2"/>
    <x v="1264"/>
    <s v="Approval"/>
    <s v="Medium"/>
    <s v="Finance"/>
    <s v="EMP_119"/>
    <d v="2024-06-29T16:33:00"/>
    <d v="2024-06-29T18:40:00"/>
    <n v="119"/>
    <n v="127"/>
    <n v="1"/>
    <s v="Level 1"/>
    <n v="5"/>
    <n v="72.56"/>
  </r>
  <r>
    <s v="WF_1266"/>
    <x v="4"/>
    <x v="1265"/>
    <s v="Validation"/>
    <s v="Critical"/>
    <s v="HR"/>
    <s v="EMP_34"/>
    <d v="2024-02-20T14:45:00"/>
    <d v="2024-02-20T19:18:00"/>
    <n v="170"/>
    <n v="273"/>
    <n v="1"/>
    <s v="Level 2"/>
    <n v="3"/>
    <n v="181.51"/>
  </r>
  <r>
    <s v="WF_1267"/>
    <x v="4"/>
    <x v="1266"/>
    <s v="Approval"/>
    <s v="High"/>
    <s v="IT"/>
    <s v="EMP_84"/>
    <d v="2024-03-19T16:06:00"/>
    <d v="2024-03-19T20:37:00"/>
    <n v="171"/>
    <n v="271"/>
    <n v="1"/>
    <s v="Level 2"/>
    <n v="8"/>
    <n v="444.1"/>
  </r>
  <r>
    <s v="WF_1268"/>
    <x v="3"/>
    <x v="1267"/>
    <s v="Data Entry"/>
    <s v="High"/>
    <s v="Operations"/>
    <s v="EMP_3"/>
    <d v="2024-04-20T13:48:00"/>
    <d v="2024-04-20T14:21:00"/>
    <n v="31"/>
    <n v="33"/>
    <n v="1"/>
    <s v="Level 1"/>
    <n v="10"/>
    <n v="479.71"/>
  </r>
  <r>
    <s v="WF_1269"/>
    <x v="3"/>
    <x v="1268"/>
    <s v="Approval"/>
    <s v="High"/>
    <s v="Customer Service"/>
    <s v="EMP_29"/>
    <d v="2024-05-28T17:17:00"/>
    <d v="2024-05-28T19:35:00"/>
    <n v="88"/>
    <n v="138"/>
    <n v="1"/>
    <s v="Level 1"/>
    <n v="8"/>
    <n v="413.35"/>
  </r>
  <r>
    <s v="WF_1270"/>
    <x v="3"/>
    <x v="1269"/>
    <s v="Escalation"/>
    <s v="High"/>
    <s v="HR"/>
    <s v="EMP_54"/>
    <d v="2024-12-20T14:36:00"/>
    <d v="2024-12-20T15:25:00"/>
    <n v="11"/>
    <n v="49"/>
    <n v="1"/>
    <s v="Level 2"/>
    <n v="3"/>
    <n v="406.61"/>
  </r>
  <r>
    <s v="WF_1271"/>
    <x v="1"/>
    <x v="1270"/>
    <s v="Approval"/>
    <s v="High"/>
    <s v="Finance"/>
    <s v="EMP_44"/>
    <d v="2024-10-02T23:58:00"/>
    <d v="2024-10-03T02:46:00"/>
    <n v="126"/>
    <n v="168"/>
    <n v="1"/>
    <s v="Level 1"/>
    <n v="2"/>
    <n v="204.96"/>
  </r>
  <r>
    <s v="WF_1272"/>
    <x v="4"/>
    <x v="1271"/>
    <s v="Validation"/>
    <s v="Low"/>
    <s v="IT"/>
    <s v="EMP_43"/>
    <d v="2024-05-01T13:30:00"/>
    <d v="2024-05-01T15:46:00"/>
    <n v="115"/>
    <n v="136"/>
    <n v="1"/>
    <s v="Level 1"/>
    <n v="4"/>
    <n v="279.47000000000003"/>
  </r>
  <r>
    <s v="WF_1273"/>
    <x v="2"/>
    <x v="1272"/>
    <s v="Approval"/>
    <s v="Medium"/>
    <s v="Operations"/>
    <s v="EMP_93"/>
    <d v="2024-11-03T05:10:00"/>
    <d v="2024-11-03T07:55:00"/>
    <n v="128"/>
    <n v="165"/>
    <n v="1"/>
    <s v="Level 2"/>
    <n v="8"/>
    <n v="326.62"/>
  </r>
  <r>
    <s v="WF_1274"/>
    <x v="3"/>
    <x v="1273"/>
    <s v="Escalation"/>
    <s v="Low"/>
    <s v="Customer Service"/>
    <s v="EMP_11"/>
    <d v="2024-06-13T23:15:00"/>
    <d v="2024-06-14T04:33:00"/>
    <n v="235"/>
    <n v="318"/>
    <n v="1"/>
    <s v="Level 1"/>
    <n v="2"/>
    <n v="191.62"/>
  </r>
  <r>
    <s v="WF_1275"/>
    <x v="2"/>
    <x v="1274"/>
    <s v="Escalation"/>
    <s v="Critical"/>
    <s v="Finance"/>
    <s v="EMP_9"/>
    <d v="2024-08-12T10:02:00"/>
    <d v="2024-08-12T13:24:00"/>
    <n v="130"/>
    <n v="202"/>
    <n v="1"/>
    <s v="Level 1"/>
    <n v="10"/>
    <n v="232.16"/>
  </r>
  <r>
    <s v="WF_1276"/>
    <x v="0"/>
    <x v="1275"/>
    <s v="Validation"/>
    <s v="High"/>
    <s v="Operations"/>
    <s v="EMP_97"/>
    <d v="2024-10-07T11:16:00"/>
    <d v="2024-10-07T15:05:00"/>
    <n v="183"/>
    <n v="229"/>
    <n v="1"/>
    <s v="Level 2"/>
    <n v="4"/>
    <n v="115.62"/>
  </r>
  <r>
    <s v="WF_1277"/>
    <x v="1"/>
    <x v="1276"/>
    <s v="Approval"/>
    <s v="Critical"/>
    <s v="Operations"/>
    <s v="EMP_95"/>
    <d v="2024-02-15T12:25:00"/>
    <d v="2024-02-15T16:52:00"/>
    <n v="166"/>
    <n v="267"/>
    <n v="1"/>
    <s v="Level 2"/>
    <n v="2"/>
    <n v="162.01"/>
  </r>
  <r>
    <s v="WF_1278"/>
    <x v="1"/>
    <x v="1277"/>
    <s v="Data Entry"/>
    <s v="Low"/>
    <s v="IT"/>
    <s v="EMP_148"/>
    <d v="2024-05-08T09:50:00"/>
    <d v="2024-05-08T12:41:00"/>
    <n v="170"/>
    <n v="171"/>
    <n v="1"/>
    <s v="Level 2"/>
    <n v="8"/>
    <n v="302.39"/>
  </r>
  <r>
    <s v="WF_1279"/>
    <x v="0"/>
    <x v="1278"/>
    <s v="Review"/>
    <s v="Medium"/>
    <s v="Customer Service"/>
    <s v="EMP_110"/>
    <d v="2024-05-23T19:42:00"/>
    <d v="2024-05-23T23:23:00"/>
    <n v="195"/>
    <n v="221"/>
    <n v="1"/>
    <s v="Level 1"/>
    <n v="3"/>
    <n v="289.27"/>
  </r>
  <r>
    <s v="WF_1280"/>
    <x v="2"/>
    <x v="1279"/>
    <s v="Validation"/>
    <s v="Low"/>
    <s v="Customer Service"/>
    <s v="EMP_53"/>
    <d v="2024-01-17T13:09:00"/>
    <d v="2024-01-17T17:45:00"/>
    <n v="214"/>
    <n v="276"/>
    <n v="1"/>
    <s v="Level 1"/>
    <n v="2"/>
    <n v="440.23"/>
  </r>
  <r>
    <s v="WF_1281"/>
    <x v="0"/>
    <x v="1280"/>
    <s v="Validation"/>
    <s v="Critical"/>
    <s v="Operations"/>
    <s v="EMP_100"/>
    <d v="2024-01-20T00:37:00"/>
    <d v="2024-01-20T03:41:00"/>
    <n v="96"/>
    <n v="184"/>
    <n v="1"/>
    <s v="Level 3"/>
    <n v="5"/>
    <n v="74.209999999999994"/>
  </r>
  <r>
    <s v="WF_1282"/>
    <x v="4"/>
    <x v="1281"/>
    <s v="Escalation"/>
    <s v="Medium"/>
    <s v="Finance"/>
    <s v="EMP_119"/>
    <d v="2024-11-09T19:45:00"/>
    <d v="2024-11-09T21:52:00"/>
    <n v="124"/>
    <n v="127"/>
    <n v="1"/>
    <s v="Level 2"/>
    <n v="8"/>
    <n v="267.99"/>
  </r>
  <r>
    <s v="WF_1283"/>
    <x v="3"/>
    <x v="1282"/>
    <s v="Validation"/>
    <s v="Low"/>
    <s v="Operations"/>
    <s v="EMP_16"/>
    <d v="2024-09-13T16:05:00"/>
    <d v="2024-09-13T21:02:00"/>
    <n v="195"/>
    <n v="297"/>
    <n v="1"/>
    <s v="Level 1"/>
    <n v="10"/>
    <n v="104.69"/>
  </r>
  <r>
    <s v="WF_1284"/>
    <x v="4"/>
    <x v="1283"/>
    <s v="Approval"/>
    <s v="High"/>
    <s v="Customer Service"/>
    <s v="EMP_74"/>
    <d v="2024-09-09T15:01:00"/>
    <d v="2024-09-09T17:17:00"/>
    <n v="107"/>
    <n v="136"/>
    <n v="1"/>
    <s v="Level 2"/>
    <n v="8"/>
    <n v="493.81"/>
  </r>
  <r>
    <s v="WF_1285"/>
    <x v="3"/>
    <x v="1284"/>
    <s v="Review"/>
    <s v="Medium"/>
    <s v="Operations"/>
    <s v="EMP_31"/>
    <d v="2024-09-29T13:56:00"/>
    <d v="2024-09-29T18:46:00"/>
    <n v="208"/>
    <n v="290"/>
    <n v="1"/>
    <s v="Level 2"/>
    <n v="5"/>
    <n v="434.77"/>
  </r>
  <r>
    <s v="WF_1286"/>
    <x v="0"/>
    <x v="1285"/>
    <s v="Review"/>
    <s v="Low"/>
    <s v="Customer Service"/>
    <s v="EMP_70"/>
    <d v="2024-05-21T04:15:00"/>
    <d v="2024-05-21T09:06:00"/>
    <n v="191"/>
    <n v="291"/>
    <n v="1"/>
    <s v="Level 1"/>
    <n v="8"/>
    <n v="279.55"/>
  </r>
  <r>
    <s v="WF_1287"/>
    <x v="4"/>
    <x v="1286"/>
    <s v="Validation"/>
    <s v="Medium"/>
    <s v="IT"/>
    <s v="EMP_133"/>
    <d v="2024-06-02T06:18:00"/>
    <d v="2024-06-02T09:20:00"/>
    <n v="181"/>
    <n v="182"/>
    <n v="1"/>
    <s v="Level 1"/>
    <n v="5"/>
    <n v="413.21"/>
  </r>
  <r>
    <s v="WF_1288"/>
    <x v="1"/>
    <x v="1287"/>
    <s v="Data Entry"/>
    <s v="High"/>
    <s v="Customer Service"/>
    <s v="EMP_81"/>
    <d v="2024-06-01T03:38:00"/>
    <d v="2024-06-01T05:41:00"/>
    <n v="57"/>
    <n v="123"/>
    <n v="1"/>
    <s v="Level 3"/>
    <n v="4"/>
    <n v="378.16"/>
  </r>
  <r>
    <s v="WF_1289"/>
    <x v="3"/>
    <x v="1288"/>
    <s v="Review"/>
    <s v="Medium"/>
    <s v="Finance"/>
    <s v="EMP_113"/>
    <d v="2024-08-12T00:34:00"/>
    <d v="2024-08-12T04:44:00"/>
    <n v="161"/>
    <n v="250"/>
    <n v="1"/>
    <s v="Level 3"/>
    <n v="1"/>
    <n v="97.15"/>
  </r>
  <r>
    <s v="WF_1290"/>
    <x v="3"/>
    <x v="1289"/>
    <s v="Approval"/>
    <s v="Critical"/>
    <s v="Finance"/>
    <s v="EMP_113"/>
    <d v="2024-02-02T07:59:00"/>
    <d v="2024-02-02T09:59:00"/>
    <n v="43"/>
    <n v="120"/>
    <n v="1"/>
    <s v="Level 3"/>
    <n v="3"/>
    <n v="168.15"/>
  </r>
  <r>
    <s v="WF_1291"/>
    <x v="0"/>
    <x v="1290"/>
    <s v="Review"/>
    <s v="Medium"/>
    <s v="IT"/>
    <s v="EMP_107"/>
    <d v="2024-01-16T06:39:00"/>
    <d v="2024-01-16T08:19:00"/>
    <n v="62"/>
    <n v="100"/>
    <n v="1"/>
    <s v="Level 2"/>
    <n v="4"/>
    <n v="400.1"/>
  </r>
  <r>
    <s v="WF_1292"/>
    <x v="2"/>
    <x v="1291"/>
    <s v="Approval"/>
    <s v="Critical"/>
    <s v="Finance"/>
    <s v="EMP_11"/>
    <d v="2024-06-11T15:10:00"/>
    <d v="2024-06-11T17:21:00"/>
    <n v="59"/>
    <n v="131"/>
    <n v="1"/>
    <s v="Level 1"/>
    <n v="6"/>
    <n v="284.02"/>
  </r>
  <r>
    <s v="WF_1293"/>
    <x v="0"/>
    <x v="1292"/>
    <s v="Approval"/>
    <s v="Critical"/>
    <s v="Operations"/>
    <s v="EMP_108"/>
    <d v="2024-08-03T23:17:00"/>
    <d v="2024-08-04T03:42:00"/>
    <n v="160"/>
    <n v="265"/>
    <n v="1"/>
    <s v="Level 2"/>
    <n v="9"/>
    <n v="366.96"/>
  </r>
  <r>
    <s v="WF_1294"/>
    <x v="2"/>
    <x v="1293"/>
    <s v="Review"/>
    <s v="Low"/>
    <s v="Finance"/>
    <s v="EMP_150"/>
    <d v="2024-11-10T15:27:00"/>
    <d v="2024-11-10T19:28:00"/>
    <n v="147"/>
    <n v="241"/>
    <n v="1"/>
    <s v="Level 3"/>
    <n v="9"/>
    <n v="426.54"/>
  </r>
  <r>
    <s v="WF_1295"/>
    <x v="3"/>
    <x v="1294"/>
    <s v="Approval"/>
    <s v="Critical"/>
    <s v="Customer Service"/>
    <s v="EMP_92"/>
    <d v="2024-06-25T01:46:00"/>
    <d v="2024-06-25T02:50:00"/>
    <n v="26"/>
    <n v="64"/>
    <n v="1"/>
    <s v="Level 1"/>
    <n v="10"/>
    <n v="134.72"/>
  </r>
  <r>
    <s v="WF_1296"/>
    <x v="0"/>
    <x v="1295"/>
    <s v="Data Entry"/>
    <s v="High"/>
    <s v="IT"/>
    <s v="EMP_146"/>
    <d v="2024-04-05T01:58:00"/>
    <d v="2024-04-05T06:30:00"/>
    <n v="211"/>
    <n v="272"/>
    <n v="1"/>
    <s v="Level 2"/>
    <n v="4"/>
    <n v="437.8"/>
  </r>
  <r>
    <s v="WF_1297"/>
    <x v="2"/>
    <x v="1296"/>
    <s v="Validation"/>
    <s v="Medium"/>
    <s v="HR"/>
    <s v="EMP_71"/>
    <d v="2024-04-01T15:05:00"/>
    <d v="2024-04-01T19:01:00"/>
    <n v="201"/>
    <n v="236"/>
    <n v="1"/>
    <s v="Level 3"/>
    <n v="10"/>
    <n v="95.31"/>
  </r>
  <r>
    <s v="WF_1298"/>
    <x v="2"/>
    <x v="1297"/>
    <s v="Escalation"/>
    <s v="Critical"/>
    <s v="Operations"/>
    <s v="EMP_2"/>
    <d v="2024-11-28T21:34:00"/>
    <d v="2024-11-29T00:52:00"/>
    <n v="200"/>
    <n v="198"/>
    <n v="0"/>
    <s v="Level 1"/>
    <n v="2"/>
    <n v="95.92"/>
  </r>
  <r>
    <s v="WF_1299"/>
    <x v="1"/>
    <x v="1298"/>
    <s v="Escalation"/>
    <s v="High"/>
    <s v="Operations"/>
    <s v="EMP_16"/>
    <d v="2024-12-20T20:39:00"/>
    <d v="2024-12-21T01:54:00"/>
    <n v="195"/>
    <n v="315"/>
    <n v="1"/>
    <s v="Level 1"/>
    <n v="7"/>
    <n v="167.93"/>
  </r>
  <r>
    <s v="WF_1300"/>
    <x v="3"/>
    <x v="1299"/>
    <s v="Data Entry"/>
    <s v="Low"/>
    <s v="IT"/>
    <s v="EMP_24"/>
    <d v="2024-05-22T13:57:00"/>
    <d v="2024-05-22T18:35:00"/>
    <n v="216"/>
    <n v="278"/>
    <n v="1"/>
    <s v="Level 1"/>
    <n v="2"/>
    <n v="215.1"/>
  </r>
  <r>
    <s v="WF_1301"/>
    <x v="2"/>
    <x v="1300"/>
    <s v="Review"/>
    <s v="Medium"/>
    <s v="HR"/>
    <s v="EMP_105"/>
    <d v="2024-05-04T04:29:00"/>
    <d v="2024-05-04T06:18:00"/>
    <n v="10"/>
    <n v="109"/>
    <n v="1"/>
    <s v="Level 1"/>
    <n v="7"/>
    <n v="77.319999999999993"/>
  </r>
  <r>
    <s v="WF_1302"/>
    <x v="3"/>
    <x v="1301"/>
    <s v="Review"/>
    <s v="Critical"/>
    <s v="HR"/>
    <s v="EMP_6"/>
    <d v="2024-03-07T14:04:00"/>
    <d v="2024-03-07T18:50:00"/>
    <n v="204"/>
    <n v="286"/>
    <n v="1"/>
    <s v="Level 3"/>
    <n v="9"/>
    <n v="203.92"/>
  </r>
  <r>
    <s v="WF_1303"/>
    <x v="0"/>
    <x v="1302"/>
    <s v="Escalation"/>
    <s v="High"/>
    <s v="Finance"/>
    <s v="EMP_9"/>
    <d v="2024-02-08T17:37:00"/>
    <d v="2024-02-08T20:53:00"/>
    <n v="116"/>
    <n v="196"/>
    <n v="1"/>
    <s v="Level 3"/>
    <n v="10"/>
    <n v="59.85"/>
  </r>
  <r>
    <s v="WF_1304"/>
    <x v="0"/>
    <x v="1303"/>
    <s v="Validation"/>
    <s v="High"/>
    <s v="HR"/>
    <s v="EMP_34"/>
    <d v="2024-10-24T10:23:00"/>
    <d v="2024-10-24T13:29:00"/>
    <n v="88"/>
    <n v="186"/>
    <n v="1"/>
    <s v="Level 3"/>
    <n v="8"/>
    <n v="459.11"/>
  </r>
  <r>
    <s v="WF_1305"/>
    <x v="4"/>
    <x v="1304"/>
    <s v="Escalation"/>
    <s v="High"/>
    <s v="IT"/>
    <s v="EMP_79"/>
    <d v="2024-02-25T02:55:00"/>
    <d v="2024-02-25T05:00:00"/>
    <n v="47"/>
    <n v="125"/>
    <n v="1"/>
    <s v="Level 1"/>
    <n v="10"/>
    <n v="173.91"/>
  </r>
  <r>
    <s v="WF_1306"/>
    <x v="0"/>
    <x v="1305"/>
    <s v="Escalation"/>
    <s v="Critical"/>
    <s v="Finance"/>
    <s v="EMP_96"/>
    <d v="2024-02-28T20:35:00"/>
    <d v="2024-02-29T00:20:00"/>
    <n v="158"/>
    <n v="225"/>
    <n v="1"/>
    <s v="Level 2"/>
    <n v="8"/>
    <n v="495"/>
  </r>
  <r>
    <s v="WF_1307"/>
    <x v="3"/>
    <x v="1306"/>
    <s v="Approval"/>
    <s v="High"/>
    <s v="Finance"/>
    <s v="EMP_77"/>
    <d v="2024-09-06T09:59:00"/>
    <d v="2024-09-06T14:25:00"/>
    <n v="229"/>
    <n v="266"/>
    <n v="1"/>
    <s v="Level 2"/>
    <n v="8"/>
    <n v="306.48"/>
  </r>
  <r>
    <s v="WF_1308"/>
    <x v="2"/>
    <x v="1307"/>
    <s v="Escalation"/>
    <s v="Medium"/>
    <s v="IT"/>
    <s v="EMP_112"/>
    <d v="2024-09-15T02:41:00"/>
    <d v="2024-09-15T07:31:00"/>
    <n v="194"/>
    <n v="290"/>
    <n v="1"/>
    <s v="Level 3"/>
    <n v="10"/>
    <n v="297.52999999999997"/>
  </r>
  <r>
    <s v="WF_1309"/>
    <x v="2"/>
    <x v="1308"/>
    <s v="Approval"/>
    <s v="High"/>
    <s v="HR"/>
    <s v="EMP_42"/>
    <d v="2024-06-15T05:12:00"/>
    <d v="2024-06-15T05:23:00"/>
    <n v="15"/>
    <n v="11"/>
    <n v="0"/>
    <s v="Level 3"/>
    <n v="10"/>
    <n v="105.21"/>
  </r>
  <r>
    <s v="WF_1310"/>
    <x v="0"/>
    <x v="1309"/>
    <s v="Data Entry"/>
    <s v="Low"/>
    <s v="Finance"/>
    <s v="EMP_82"/>
    <d v="2024-01-02T13:18:00"/>
    <d v="2024-01-02T16:25:00"/>
    <n v="68"/>
    <n v="187"/>
    <n v="1"/>
    <s v="Level 2"/>
    <n v="6"/>
    <n v="158.02000000000001"/>
  </r>
  <r>
    <s v="WF_1311"/>
    <x v="1"/>
    <x v="1310"/>
    <s v="Validation"/>
    <s v="Low"/>
    <s v="Customer Service"/>
    <s v="EMP_56"/>
    <d v="2024-08-08T15:48:00"/>
    <d v="2024-08-08T20:25:00"/>
    <n v="226"/>
    <n v="277"/>
    <n v="1"/>
    <s v="Level 1"/>
    <n v="6"/>
    <n v="202.59"/>
  </r>
  <r>
    <s v="WF_1312"/>
    <x v="4"/>
    <x v="1311"/>
    <s v="Review"/>
    <s v="Low"/>
    <s v="HR"/>
    <s v="EMP_22"/>
    <d v="2024-05-10T09:59:00"/>
    <d v="2024-05-10T14:09:00"/>
    <n v="211"/>
    <n v="250"/>
    <n v="1"/>
    <s v="Level 1"/>
    <n v="9"/>
    <n v="260.48"/>
  </r>
  <r>
    <s v="WF_1313"/>
    <x v="4"/>
    <x v="1312"/>
    <s v="Escalation"/>
    <s v="Low"/>
    <s v="HR"/>
    <s v="EMP_128"/>
    <d v="2024-09-01T04:02:00"/>
    <d v="2024-09-01T09:38:00"/>
    <n v="231"/>
    <n v="336"/>
    <n v="1"/>
    <s v="Level 1"/>
    <n v="8"/>
    <n v="326.45"/>
  </r>
  <r>
    <s v="WF_1314"/>
    <x v="0"/>
    <x v="1313"/>
    <s v="Review"/>
    <s v="Medium"/>
    <s v="IT"/>
    <s v="EMP_29"/>
    <d v="2024-10-10T13:04:00"/>
    <d v="2024-10-10T16:57:00"/>
    <n v="202"/>
    <n v="233"/>
    <n v="1"/>
    <s v="Level 3"/>
    <n v="9"/>
    <n v="350.59"/>
  </r>
  <r>
    <s v="WF_1315"/>
    <x v="3"/>
    <x v="1314"/>
    <s v="Data Entry"/>
    <s v="Critical"/>
    <s v="Customer Service"/>
    <s v="EMP_17"/>
    <d v="2024-01-17T03:22:00"/>
    <d v="2024-01-17T06:48:00"/>
    <n v="94"/>
    <n v="206"/>
    <n v="1"/>
    <s v="Level 1"/>
    <n v="2"/>
    <n v="384.23"/>
  </r>
  <r>
    <s v="WF_1316"/>
    <x v="3"/>
    <x v="1315"/>
    <s v="Validation"/>
    <s v="Critical"/>
    <s v="Operations"/>
    <s v="EMP_75"/>
    <d v="2024-02-22T17:02:00"/>
    <d v="2024-02-22T20:09:00"/>
    <n v="68"/>
    <n v="187"/>
    <n v="1"/>
    <s v="Level 1"/>
    <n v="6"/>
    <n v="166.92"/>
  </r>
  <r>
    <s v="WF_1317"/>
    <x v="4"/>
    <x v="1316"/>
    <s v="Review"/>
    <s v="High"/>
    <s v="Customer Service"/>
    <s v="EMP_52"/>
    <d v="2024-01-18T16:48:00"/>
    <d v="2024-01-18T20:29:00"/>
    <n v="133"/>
    <n v="221"/>
    <n v="1"/>
    <s v="Level 1"/>
    <n v="7"/>
    <n v="336.8"/>
  </r>
  <r>
    <s v="WF_1318"/>
    <x v="0"/>
    <x v="1317"/>
    <s v="Data Entry"/>
    <s v="Low"/>
    <s v="HR"/>
    <s v="EMP_38"/>
    <d v="2024-11-05T02:19:00"/>
    <d v="2024-11-05T04:46:00"/>
    <n v="67"/>
    <n v="147"/>
    <n v="1"/>
    <s v="Level 1"/>
    <n v="5"/>
    <n v="410.88"/>
  </r>
  <r>
    <s v="WF_1319"/>
    <x v="2"/>
    <x v="1318"/>
    <s v="Escalation"/>
    <s v="Critical"/>
    <s v="Customer Service"/>
    <s v="EMP_56"/>
    <d v="2024-01-13T10:37:00"/>
    <d v="2024-01-13T12:42:00"/>
    <n v="17"/>
    <n v="125"/>
    <n v="1"/>
    <s v="Level 2"/>
    <n v="5"/>
    <n v="66.37"/>
  </r>
  <r>
    <s v="WF_1320"/>
    <x v="0"/>
    <x v="1319"/>
    <s v="Review"/>
    <s v="High"/>
    <s v="IT"/>
    <s v="EMP_8"/>
    <d v="2024-04-07T14:07:00"/>
    <d v="2024-04-07T15:20:00"/>
    <n v="72"/>
    <n v="73"/>
    <n v="1"/>
    <s v="Level 2"/>
    <n v="9"/>
    <n v="273.94"/>
  </r>
  <r>
    <s v="WF_1321"/>
    <x v="0"/>
    <x v="1320"/>
    <s v="Approval"/>
    <s v="High"/>
    <s v="Finance"/>
    <s v="EMP_91"/>
    <d v="2024-10-04T07:49:00"/>
    <d v="2024-10-04T11:19:00"/>
    <n v="145"/>
    <n v="210"/>
    <n v="1"/>
    <s v="Level 1"/>
    <n v="10"/>
    <n v="312.93"/>
  </r>
  <r>
    <s v="WF_1322"/>
    <x v="0"/>
    <x v="1321"/>
    <s v="Approval"/>
    <s v="Medium"/>
    <s v="HR"/>
    <s v="EMP_106"/>
    <d v="2024-08-26T06:09:00"/>
    <d v="2024-08-26T09:26:00"/>
    <n v="178"/>
    <n v="197"/>
    <n v="1"/>
    <s v="Level 1"/>
    <n v="10"/>
    <n v="59.88"/>
  </r>
  <r>
    <s v="WF_1323"/>
    <x v="2"/>
    <x v="1322"/>
    <s v="Data Entry"/>
    <s v="Critical"/>
    <s v="HR"/>
    <s v="EMP_144"/>
    <d v="2024-06-26T23:07:00"/>
    <d v="2024-06-27T01:49:00"/>
    <n v="97"/>
    <n v="162"/>
    <n v="1"/>
    <s v="Level 3"/>
    <n v="5"/>
    <n v="310.25"/>
  </r>
  <r>
    <s v="WF_1324"/>
    <x v="4"/>
    <x v="1323"/>
    <s v="Data Entry"/>
    <s v="High"/>
    <s v="HR"/>
    <s v="EMP_124"/>
    <d v="2024-10-21T20:09:00"/>
    <d v="2024-10-21T22:38:00"/>
    <n v="140"/>
    <n v="149"/>
    <n v="1"/>
    <s v="Level 3"/>
    <n v="3"/>
    <n v="62.95"/>
  </r>
  <r>
    <s v="WF_1325"/>
    <x v="1"/>
    <x v="1324"/>
    <s v="Validation"/>
    <s v="Low"/>
    <s v="HR"/>
    <s v="EMP_142"/>
    <d v="2024-09-05T02:47:00"/>
    <d v="2024-09-05T04:37:00"/>
    <n v="44"/>
    <n v="110"/>
    <n v="1"/>
    <s v="Level 2"/>
    <n v="2"/>
    <n v="85.36"/>
  </r>
  <r>
    <s v="WF_1326"/>
    <x v="3"/>
    <x v="1325"/>
    <s v="Validation"/>
    <s v="Critical"/>
    <s v="Customer Service"/>
    <s v="EMP_88"/>
    <d v="2024-08-31T10:37:00"/>
    <d v="2024-08-31T13:09:00"/>
    <n v="139"/>
    <n v="152"/>
    <n v="1"/>
    <s v="Level 1"/>
    <n v="2"/>
    <n v="56.67"/>
  </r>
  <r>
    <s v="WF_1327"/>
    <x v="0"/>
    <x v="1326"/>
    <s v="Escalation"/>
    <s v="Critical"/>
    <s v="Finance"/>
    <s v="EMP_2"/>
    <d v="2024-06-05T19:26:00"/>
    <d v="2024-06-05T22:53:00"/>
    <n v="111"/>
    <n v="207"/>
    <n v="1"/>
    <s v="Level 1"/>
    <n v="5"/>
    <n v="309.47000000000003"/>
  </r>
  <r>
    <s v="WF_1328"/>
    <x v="1"/>
    <x v="1327"/>
    <s v="Data Entry"/>
    <s v="Critical"/>
    <s v="Customer Service"/>
    <s v="EMP_149"/>
    <d v="2024-09-30T12:45:00"/>
    <d v="2024-09-30T16:46:00"/>
    <n v="172"/>
    <n v="241"/>
    <n v="1"/>
    <s v="Level 1"/>
    <n v="3"/>
    <n v="341.04"/>
  </r>
  <r>
    <s v="WF_1329"/>
    <x v="2"/>
    <x v="1328"/>
    <s v="Escalation"/>
    <s v="Low"/>
    <s v="Operations"/>
    <s v="EMP_18"/>
    <d v="2024-02-06T16:10:00"/>
    <d v="2024-02-06T21:47:00"/>
    <n v="221"/>
    <n v="337"/>
    <n v="1"/>
    <s v="Level 2"/>
    <n v="9"/>
    <n v="425.7"/>
  </r>
  <r>
    <s v="WF_1330"/>
    <x v="3"/>
    <x v="1329"/>
    <s v="Data Entry"/>
    <s v="Low"/>
    <s v="Customer Service"/>
    <s v="EMP_134"/>
    <d v="2024-06-02T14:42:00"/>
    <d v="2024-06-02T16:12:00"/>
    <n v="84"/>
    <n v="90"/>
    <n v="1"/>
    <s v="Level 2"/>
    <n v="10"/>
    <n v="307.22000000000003"/>
  </r>
  <r>
    <s v="WF_1331"/>
    <x v="1"/>
    <x v="1330"/>
    <s v="Escalation"/>
    <s v="Low"/>
    <s v="IT"/>
    <s v="EMP_37"/>
    <d v="2024-05-31T02:45:00"/>
    <d v="2024-05-31T06:34:00"/>
    <n v="170"/>
    <n v="229"/>
    <n v="1"/>
    <s v="Level 3"/>
    <n v="1"/>
    <n v="223.77"/>
  </r>
  <r>
    <s v="WF_1332"/>
    <x v="4"/>
    <x v="1331"/>
    <s v="Validation"/>
    <s v="Critical"/>
    <s v="Operations"/>
    <s v="EMP_53"/>
    <d v="2024-12-29T13:48:00"/>
    <d v="2024-12-29T16:48:00"/>
    <n v="67"/>
    <n v="180"/>
    <n v="1"/>
    <s v="Level 1"/>
    <n v="2"/>
    <n v="305.77"/>
  </r>
  <r>
    <s v="WF_1333"/>
    <x v="4"/>
    <x v="1332"/>
    <s v="Data Entry"/>
    <s v="Critical"/>
    <s v="Finance"/>
    <s v="EMP_13"/>
    <d v="2024-03-09T19:39:00"/>
    <d v="2024-03-09T21:57:00"/>
    <n v="26"/>
    <n v="138"/>
    <n v="1"/>
    <s v="Level 2"/>
    <n v="10"/>
    <n v="120.01"/>
  </r>
  <r>
    <s v="WF_1334"/>
    <x v="2"/>
    <x v="1333"/>
    <s v="Validation"/>
    <s v="Critical"/>
    <s v="Customer Service"/>
    <s v="EMP_19"/>
    <d v="2024-09-04T10:07:00"/>
    <d v="2024-09-04T11:36:00"/>
    <n v="11"/>
    <n v="89"/>
    <n v="1"/>
    <s v="Level 1"/>
    <n v="2"/>
    <n v="444.03"/>
  </r>
  <r>
    <s v="WF_1335"/>
    <x v="3"/>
    <x v="1334"/>
    <s v="Data Entry"/>
    <s v="Medium"/>
    <s v="Finance"/>
    <s v="EMP_136"/>
    <d v="2024-12-02T12:32:00"/>
    <d v="2024-12-02T15:55:00"/>
    <n v="173"/>
    <n v="203"/>
    <n v="1"/>
    <s v="Level 3"/>
    <n v="3"/>
    <n v="381.94"/>
  </r>
  <r>
    <s v="WF_1336"/>
    <x v="0"/>
    <x v="1335"/>
    <s v="Data Entry"/>
    <s v="Low"/>
    <s v="Operations"/>
    <s v="EMP_137"/>
    <d v="2024-12-03T09:27:00"/>
    <d v="2024-12-03T13:11:00"/>
    <n v="120"/>
    <n v="224"/>
    <n v="1"/>
    <s v="Level 3"/>
    <n v="1"/>
    <n v="414.33"/>
  </r>
  <r>
    <s v="WF_1337"/>
    <x v="1"/>
    <x v="1336"/>
    <s v="Validation"/>
    <s v="Critical"/>
    <s v="Finance"/>
    <s v="EMP_84"/>
    <d v="2024-05-29T12:48:00"/>
    <d v="2024-05-29T14:23:00"/>
    <n v="19"/>
    <n v="95"/>
    <n v="1"/>
    <s v="Level 2"/>
    <n v="4"/>
    <n v="225.69"/>
  </r>
  <r>
    <s v="WF_1338"/>
    <x v="4"/>
    <x v="1337"/>
    <s v="Escalation"/>
    <s v="High"/>
    <s v="Finance"/>
    <s v="EMP_71"/>
    <d v="2024-01-12T05:28:00"/>
    <d v="2024-01-12T09:52:00"/>
    <n v="192"/>
    <n v="264"/>
    <n v="1"/>
    <s v="Level 1"/>
    <n v="4"/>
    <n v="380.2"/>
  </r>
  <r>
    <s v="WF_1339"/>
    <x v="3"/>
    <x v="1338"/>
    <s v="Escalation"/>
    <s v="High"/>
    <s v="Operations"/>
    <s v="EMP_72"/>
    <d v="2024-04-03T10:17:00"/>
    <d v="2024-04-03T12:34:00"/>
    <n v="39"/>
    <n v="137"/>
    <n v="1"/>
    <s v="Level 2"/>
    <n v="8"/>
    <n v="263.43"/>
  </r>
  <r>
    <s v="WF_1340"/>
    <x v="2"/>
    <x v="1339"/>
    <s v="Review"/>
    <s v="Medium"/>
    <s v="Finance"/>
    <s v="EMP_108"/>
    <d v="2024-12-22T18:40:00"/>
    <d v="2024-12-22T19:58:00"/>
    <n v="16"/>
    <n v="78"/>
    <n v="1"/>
    <s v="Level 1"/>
    <n v="7"/>
    <n v="283.06"/>
  </r>
  <r>
    <s v="WF_1341"/>
    <x v="3"/>
    <x v="1340"/>
    <s v="Review"/>
    <s v="Critical"/>
    <s v="Customer Service"/>
    <s v="EMP_127"/>
    <d v="2024-06-13T01:35:00"/>
    <d v="2024-06-13T06:25:00"/>
    <n v="196"/>
    <n v="290"/>
    <n v="1"/>
    <s v="Level 3"/>
    <n v="9"/>
    <n v="160.68"/>
  </r>
  <r>
    <s v="WF_1342"/>
    <x v="1"/>
    <x v="1341"/>
    <s v="Approval"/>
    <s v="Low"/>
    <s v="Customer Service"/>
    <s v="EMP_110"/>
    <d v="2024-12-24T15:07:00"/>
    <d v="2024-12-24T18:41:00"/>
    <n v="194"/>
    <n v="214"/>
    <n v="1"/>
    <s v="Level 3"/>
    <n v="8"/>
    <n v="145.69"/>
  </r>
  <r>
    <s v="WF_1343"/>
    <x v="3"/>
    <x v="1342"/>
    <s v="Escalation"/>
    <s v="Medium"/>
    <s v="Finance"/>
    <s v="EMP_109"/>
    <d v="2024-03-13T00:00:00"/>
    <d v="2024-03-13T04:07:00"/>
    <n v="234"/>
    <n v="247"/>
    <n v="1"/>
    <s v="Level 3"/>
    <n v="5"/>
    <n v="319.83999999999997"/>
  </r>
  <r>
    <s v="WF_1344"/>
    <x v="4"/>
    <x v="1343"/>
    <s v="Review"/>
    <s v="High"/>
    <s v="Operations"/>
    <s v="EMP_58"/>
    <d v="2024-07-27T01:51:00"/>
    <d v="2024-07-27T05:53:00"/>
    <n v="234"/>
    <n v="242"/>
    <n v="1"/>
    <s v="Level 1"/>
    <n v="5"/>
    <n v="487.92"/>
  </r>
  <r>
    <s v="WF_1345"/>
    <x v="0"/>
    <x v="1344"/>
    <s v="Validation"/>
    <s v="Critical"/>
    <s v="IT"/>
    <s v="EMP_149"/>
    <d v="2024-05-30T18:28:00"/>
    <d v="2024-05-30T23:29:00"/>
    <n v="218"/>
    <n v="301"/>
    <n v="1"/>
    <s v="Level 3"/>
    <n v="3"/>
    <n v="283.48"/>
  </r>
  <r>
    <s v="WF_1346"/>
    <x v="3"/>
    <x v="1345"/>
    <s v="Data Entry"/>
    <s v="Low"/>
    <s v="Operations"/>
    <s v="EMP_36"/>
    <d v="2024-03-02T03:04:00"/>
    <d v="2024-03-02T03:56:00"/>
    <n v="54"/>
    <n v="52"/>
    <n v="0"/>
    <s v="Level 2"/>
    <n v="9"/>
    <n v="116.5"/>
  </r>
  <r>
    <s v="WF_1347"/>
    <x v="1"/>
    <x v="1346"/>
    <s v="Review"/>
    <s v="Low"/>
    <s v="Finance"/>
    <s v="EMP_55"/>
    <d v="2024-12-17T10:51:00"/>
    <d v="2024-12-17T11:55:00"/>
    <n v="31"/>
    <n v="64"/>
    <n v="1"/>
    <s v="Level 2"/>
    <n v="1"/>
    <n v="66.77"/>
  </r>
  <r>
    <s v="WF_1348"/>
    <x v="0"/>
    <x v="1347"/>
    <s v="Approval"/>
    <s v="Low"/>
    <s v="Operations"/>
    <s v="EMP_25"/>
    <d v="2024-03-25T00:42:00"/>
    <d v="2024-03-25T04:45:00"/>
    <n v="227"/>
    <n v="243"/>
    <n v="1"/>
    <s v="Level 3"/>
    <n v="2"/>
    <n v="137.83000000000001"/>
  </r>
  <r>
    <s v="WF_1349"/>
    <x v="1"/>
    <x v="1348"/>
    <s v="Review"/>
    <s v="Low"/>
    <s v="Finance"/>
    <s v="EMP_130"/>
    <d v="2024-08-19T13:04:00"/>
    <d v="2024-08-19T14:09:00"/>
    <n v="70"/>
    <n v="65"/>
    <n v="0"/>
    <s v="Level 2"/>
    <n v="7"/>
    <n v="133.03"/>
  </r>
  <r>
    <s v="WF_1350"/>
    <x v="1"/>
    <x v="1349"/>
    <s v="Escalation"/>
    <s v="Medium"/>
    <s v="Finance"/>
    <s v="EMP_13"/>
    <d v="2024-05-23T01:58:00"/>
    <d v="2024-05-23T03:55:00"/>
    <n v="80"/>
    <n v="117"/>
    <n v="1"/>
    <s v="Level 3"/>
    <n v="3"/>
    <n v="160.61000000000001"/>
  </r>
  <r>
    <s v="WF_1351"/>
    <x v="0"/>
    <x v="1350"/>
    <s v="Review"/>
    <s v="High"/>
    <s v="Operations"/>
    <s v="EMP_112"/>
    <d v="2024-11-03T08:40:00"/>
    <d v="2024-11-03T09:20:00"/>
    <n v="14"/>
    <n v="40"/>
    <n v="1"/>
    <s v="Level 2"/>
    <n v="2"/>
    <n v="437.96"/>
  </r>
  <r>
    <s v="WF_1352"/>
    <x v="2"/>
    <x v="1351"/>
    <s v="Escalation"/>
    <s v="High"/>
    <s v="Finance"/>
    <s v="EMP_36"/>
    <d v="2024-05-29T23:19:00"/>
    <d v="2024-05-30T01:26:00"/>
    <n v="73"/>
    <n v="127"/>
    <n v="1"/>
    <s v="Level 1"/>
    <n v="7"/>
    <n v="446.35"/>
  </r>
  <r>
    <s v="WF_1353"/>
    <x v="3"/>
    <x v="1352"/>
    <s v="Data Entry"/>
    <s v="High"/>
    <s v="IT"/>
    <s v="EMP_40"/>
    <d v="2024-04-05T16:04:00"/>
    <d v="2024-04-05T18:14:00"/>
    <n v="85"/>
    <n v="130"/>
    <n v="1"/>
    <s v="Level 2"/>
    <n v="2"/>
    <n v="293.08999999999997"/>
  </r>
  <r>
    <s v="WF_1354"/>
    <x v="0"/>
    <x v="1353"/>
    <s v="Data Entry"/>
    <s v="Critical"/>
    <s v="IT"/>
    <s v="EMP_50"/>
    <d v="2024-02-03T13:38:00"/>
    <d v="2024-02-03T16:58:00"/>
    <n v="156"/>
    <n v="200"/>
    <n v="1"/>
    <s v="Level 3"/>
    <n v="1"/>
    <n v="298.99"/>
  </r>
  <r>
    <s v="WF_1355"/>
    <x v="2"/>
    <x v="1354"/>
    <s v="Approval"/>
    <s v="Critical"/>
    <s v="IT"/>
    <s v="EMP_122"/>
    <d v="2024-01-07T05:32:00"/>
    <d v="2024-01-07T06:34:00"/>
    <n v="13"/>
    <n v="62"/>
    <n v="1"/>
    <s v="Level 3"/>
    <n v="5"/>
    <n v="234.16"/>
  </r>
  <r>
    <s v="WF_1356"/>
    <x v="2"/>
    <x v="1355"/>
    <s v="Review"/>
    <s v="Low"/>
    <s v="Operations"/>
    <s v="EMP_121"/>
    <d v="2024-01-06T11:10:00"/>
    <d v="2024-01-06T13:29:00"/>
    <n v="111"/>
    <n v="139"/>
    <n v="1"/>
    <s v="Level 1"/>
    <n v="2"/>
    <n v="420.12"/>
  </r>
  <r>
    <s v="WF_1357"/>
    <x v="0"/>
    <x v="1356"/>
    <s v="Data Entry"/>
    <s v="High"/>
    <s v="Customer Service"/>
    <s v="EMP_38"/>
    <d v="2024-06-29T04:20:00"/>
    <d v="2024-06-29T05:26:00"/>
    <n v="10"/>
    <n v="66"/>
    <n v="1"/>
    <s v="Level 3"/>
    <n v="10"/>
    <n v="350.09"/>
  </r>
  <r>
    <s v="WF_1358"/>
    <x v="4"/>
    <x v="1357"/>
    <s v="Escalation"/>
    <s v="Critical"/>
    <s v="Operations"/>
    <s v="EMP_74"/>
    <d v="2024-09-24T16:08:00"/>
    <d v="2024-09-24T19:59:00"/>
    <n v="232"/>
    <n v="231"/>
    <n v="0"/>
    <s v="Level 3"/>
    <n v="6"/>
    <n v="210.46"/>
  </r>
  <r>
    <s v="WF_1359"/>
    <x v="4"/>
    <x v="1358"/>
    <s v="Escalation"/>
    <s v="Critical"/>
    <s v="Finance"/>
    <s v="EMP_117"/>
    <d v="2024-08-05T08:45:00"/>
    <d v="2024-08-05T11:38:00"/>
    <n v="122"/>
    <n v="173"/>
    <n v="1"/>
    <s v="Level 3"/>
    <n v="6"/>
    <n v="345.16"/>
  </r>
  <r>
    <s v="WF_1360"/>
    <x v="0"/>
    <x v="1359"/>
    <s v="Review"/>
    <s v="Low"/>
    <s v="Customer Service"/>
    <s v="EMP_68"/>
    <d v="2024-07-18T22:38:00"/>
    <d v="2024-07-19T01:06:00"/>
    <n v="60"/>
    <n v="148"/>
    <n v="1"/>
    <s v="Level 1"/>
    <n v="9"/>
    <n v="170.98"/>
  </r>
  <r>
    <s v="WF_1361"/>
    <x v="1"/>
    <x v="1360"/>
    <s v="Data Entry"/>
    <s v="Medium"/>
    <s v="HR"/>
    <s v="EMP_3"/>
    <d v="2024-04-09T14:33:00"/>
    <d v="2024-04-09T19:54:00"/>
    <n v="226"/>
    <n v="321"/>
    <n v="1"/>
    <s v="Level 2"/>
    <n v="5"/>
    <n v="490.37"/>
  </r>
  <r>
    <s v="WF_1362"/>
    <x v="1"/>
    <x v="1361"/>
    <s v="Validation"/>
    <s v="Critical"/>
    <s v="Customer Service"/>
    <s v="EMP_114"/>
    <d v="2024-11-23T04:58:00"/>
    <d v="2024-11-23T06:15:00"/>
    <n v="31"/>
    <n v="77"/>
    <n v="1"/>
    <s v="Level 2"/>
    <n v="9"/>
    <n v="220.71"/>
  </r>
  <r>
    <s v="WF_1363"/>
    <x v="1"/>
    <x v="1362"/>
    <s v="Validation"/>
    <s v="Critical"/>
    <s v="Operations"/>
    <s v="EMP_64"/>
    <d v="2024-01-08T01:47:00"/>
    <d v="2024-01-08T06:31:00"/>
    <n v="192"/>
    <n v="284"/>
    <n v="1"/>
    <s v="Level 3"/>
    <n v="2"/>
    <n v="399.7"/>
  </r>
  <r>
    <s v="WF_1364"/>
    <x v="1"/>
    <x v="1363"/>
    <s v="Approval"/>
    <s v="Critical"/>
    <s v="HR"/>
    <s v="EMP_55"/>
    <d v="2024-09-18T12:46:00"/>
    <d v="2024-09-18T16:04:00"/>
    <n v="165"/>
    <n v="198"/>
    <n v="1"/>
    <s v="Level 1"/>
    <n v="7"/>
    <n v="438.72"/>
  </r>
  <r>
    <s v="WF_1365"/>
    <x v="2"/>
    <x v="1364"/>
    <s v="Escalation"/>
    <s v="High"/>
    <s v="Operations"/>
    <s v="EMP_121"/>
    <d v="2024-05-03T07:07:00"/>
    <d v="2024-05-03T09:18:00"/>
    <n v="121"/>
    <n v="131"/>
    <n v="1"/>
    <s v="Level 2"/>
    <n v="6"/>
    <n v="207.73"/>
  </r>
  <r>
    <s v="WF_1366"/>
    <x v="4"/>
    <x v="1365"/>
    <s v="Escalation"/>
    <s v="High"/>
    <s v="HR"/>
    <s v="EMP_81"/>
    <d v="2024-01-11T14:39:00"/>
    <d v="2024-01-11T20:16:00"/>
    <n v="237"/>
    <n v="337"/>
    <n v="1"/>
    <s v="Level 1"/>
    <n v="5"/>
    <n v="428.41"/>
  </r>
  <r>
    <s v="WF_1367"/>
    <x v="3"/>
    <x v="1366"/>
    <s v="Validation"/>
    <s v="Medium"/>
    <s v="Customer Service"/>
    <s v="EMP_31"/>
    <d v="2024-05-02T11:25:00"/>
    <d v="2024-05-02T14:40:00"/>
    <n v="196"/>
    <n v="195"/>
    <n v="0"/>
    <s v="Level 3"/>
    <n v="5"/>
    <n v="422.69"/>
  </r>
  <r>
    <s v="WF_1368"/>
    <x v="3"/>
    <x v="1367"/>
    <s v="Review"/>
    <s v="Low"/>
    <s v="Operations"/>
    <s v="EMP_33"/>
    <d v="2024-08-23T03:24:00"/>
    <d v="2024-08-23T07:29:00"/>
    <n v="142"/>
    <n v="245"/>
    <n v="1"/>
    <s v="Level 1"/>
    <n v="8"/>
    <n v="112.99"/>
  </r>
  <r>
    <s v="WF_1369"/>
    <x v="1"/>
    <x v="1368"/>
    <s v="Approval"/>
    <s v="Medium"/>
    <s v="Customer Service"/>
    <s v="EMP_26"/>
    <d v="2024-04-13T10:03:00"/>
    <d v="2024-04-13T15:09:00"/>
    <n v="214"/>
    <n v="306"/>
    <n v="1"/>
    <s v="Level 1"/>
    <n v="9"/>
    <n v="261.87"/>
  </r>
  <r>
    <s v="WF_1370"/>
    <x v="0"/>
    <x v="1369"/>
    <s v="Validation"/>
    <s v="Low"/>
    <s v="HR"/>
    <s v="EMP_59"/>
    <d v="2024-07-04T10:56:00"/>
    <d v="2024-07-04T15:08:00"/>
    <n v="240"/>
    <n v="252"/>
    <n v="1"/>
    <s v="Level 3"/>
    <n v="8"/>
    <n v="224.94"/>
  </r>
  <r>
    <s v="WF_1371"/>
    <x v="1"/>
    <x v="1370"/>
    <s v="Validation"/>
    <s v="Medium"/>
    <s v="Customer Service"/>
    <s v="EMP_81"/>
    <d v="2024-02-22T17:24:00"/>
    <d v="2024-02-22T19:29:00"/>
    <n v="121"/>
    <n v="125"/>
    <n v="1"/>
    <s v="Level 2"/>
    <n v="7"/>
    <n v="362.67"/>
  </r>
  <r>
    <s v="WF_1372"/>
    <x v="3"/>
    <x v="1371"/>
    <s v="Approval"/>
    <s v="Critical"/>
    <s v="Finance"/>
    <s v="EMP_125"/>
    <d v="2024-08-12T19:40:00"/>
    <d v="2024-08-12T23:34:00"/>
    <n v="174"/>
    <n v="234"/>
    <n v="1"/>
    <s v="Level 3"/>
    <n v="3"/>
    <n v="450.54"/>
  </r>
  <r>
    <s v="WF_1373"/>
    <x v="3"/>
    <x v="1372"/>
    <s v="Review"/>
    <s v="Medium"/>
    <s v="Operations"/>
    <s v="EMP_6"/>
    <d v="2024-09-20T08:40:00"/>
    <d v="2024-09-20T11:20:00"/>
    <n v="139"/>
    <n v="160"/>
    <n v="1"/>
    <s v="Level 3"/>
    <n v="2"/>
    <n v="166.47"/>
  </r>
  <r>
    <s v="WF_1374"/>
    <x v="2"/>
    <x v="1373"/>
    <s v="Approval"/>
    <s v="High"/>
    <s v="Customer Service"/>
    <s v="EMP_122"/>
    <d v="2024-06-09T15:12:00"/>
    <d v="2024-06-09T16:47:00"/>
    <n v="92"/>
    <n v="95"/>
    <n v="1"/>
    <s v="Level 1"/>
    <n v="9"/>
    <n v="497.09"/>
  </r>
  <r>
    <s v="WF_1375"/>
    <x v="0"/>
    <x v="1374"/>
    <s v="Escalation"/>
    <s v="Low"/>
    <s v="Finance"/>
    <s v="EMP_58"/>
    <d v="2024-07-30T13:07:00"/>
    <d v="2024-07-30T15:15:00"/>
    <n v="10"/>
    <n v="128"/>
    <n v="1"/>
    <s v="Level 1"/>
    <n v="10"/>
    <n v="149.16"/>
  </r>
  <r>
    <s v="WF_1376"/>
    <x v="2"/>
    <x v="1375"/>
    <s v="Escalation"/>
    <s v="Critical"/>
    <s v="Customer Service"/>
    <s v="EMP_106"/>
    <d v="2024-10-03T06:08:00"/>
    <d v="2024-10-03T08:24:00"/>
    <n v="36"/>
    <n v="136"/>
    <n v="1"/>
    <s v="Level 1"/>
    <n v="9"/>
    <n v="308.7"/>
  </r>
  <r>
    <s v="WF_1377"/>
    <x v="3"/>
    <x v="1376"/>
    <s v="Validation"/>
    <s v="Medium"/>
    <s v="Finance"/>
    <s v="EMP_150"/>
    <d v="2024-12-04T23:22:00"/>
    <d v="2024-12-05T02:24:00"/>
    <n v="107"/>
    <n v="182"/>
    <n v="1"/>
    <s v="Level 2"/>
    <n v="5"/>
    <n v="138.44999999999999"/>
  </r>
  <r>
    <s v="WF_1378"/>
    <x v="3"/>
    <x v="1377"/>
    <s v="Approval"/>
    <s v="High"/>
    <s v="Customer Service"/>
    <s v="EMP_122"/>
    <d v="2024-03-25T03:06:00"/>
    <d v="2024-03-25T07:36:00"/>
    <n v="216"/>
    <n v="270"/>
    <n v="1"/>
    <s v="Level 3"/>
    <n v="4"/>
    <n v="384.88"/>
  </r>
  <r>
    <s v="WF_1379"/>
    <x v="3"/>
    <x v="1378"/>
    <s v="Review"/>
    <s v="Critical"/>
    <s v="Operations"/>
    <s v="EMP_81"/>
    <d v="2024-10-31T09:50:00"/>
    <d v="2024-10-31T13:24:00"/>
    <n v="114"/>
    <n v="214"/>
    <n v="1"/>
    <s v="Level 1"/>
    <n v="7"/>
    <n v="436.38"/>
  </r>
  <r>
    <s v="WF_1380"/>
    <x v="3"/>
    <x v="1379"/>
    <s v="Data Entry"/>
    <s v="Low"/>
    <s v="IT"/>
    <s v="EMP_27"/>
    <d v="2024-11-12T16:48:00"/>
    <d v="2024-11-12T18:29:00"/>
    <n v="78"/>
    <n v="101"/>
    <n v="1"/>
    <s v="Level 1"/>
    <n v="8"/>
    <n v="283.37"/>
  </r>
  <r>
    <s v="WF_1381"/>
    <x v="0"/>
    <x v="1380"/>
    <s v="Validation"/>
    <s v="Medium"/>
    <s v="IT"/>
    <s v="EMP_8"/>
    <d v="2024-02-09T07:43:00"/>
    <d v="2024-02-09T11:56:00"/>
    <n v="221"/>
    <n v="253"/>
    <n v="1"/>
    <s v="Level 2"/>
    <n v="6"/>
    <n v="482.73"/>
  </r>
  <r>
    <s v="WF_1382"/>
    <x v="3"/>
    <x v="1381"/>
    <s v="Escalation"/>
    <s v="Low"/>
    <s v="Finance"/>
    <s v="EMP_20"/>
    <d v="2024-09-09T04:46:00"/>
    <d v="2024-09-09T08:47:00"/>
    <n v="232"/>
    <n v="241"/>
    <n v="1"/>
    <s v="Level 3"/>
    <n v="1"/>
    <n v="144.69"/>
  </r>
  <r>
    <s v="WF_1383"/>
    <x v="3"/>
    <x v="1382"/>
    <s v="Review"/>
    <s v="High"/>
    <s v="IT"/>
    <s v="EMP_3"/>
    <d v="2024-05-03T03:36:00"/>
    <d v="2024-05-03T05:57:00"/>
    <n v="137"/>
    <n v="141"/>
    <n v="1"/>
    <s v="Level 1"/>
    <n v="9"/>
    <n v="232.67"/>
  </r>
  <r>
    <s v="WF_1384"/>
    <x v="2"/>
    <x v="1383"/>
    <s v="Review"/>
    <s v="Medium"/>
    <s v="Finance"/>
    <s v="EMP_87"/>
    <d v="2024-03-13T17:43:00"/>
    <d v="2024-03-13T21:53:00"/>
    <n v="157"/>
    <n v="250"/>
    <n v="1"/>
    <s v="Level 1"/>
    <n v="3"/>
    <n v="241.11"/>
  </r>
  <r>
    <s v="WF_1385"/>
    <x v="0"/>
    <x v="1384"/>
    <s v="Validation"/>
    <s v="High"/>
    <s v="Finance"/>
    <s v="EMP_83"/>
    <d v="2024-02-20T13:39:00"/>
    <d v="2024-02-20T18:20:00"/>
    <n v="199"/>
    <n v="281"/>
    <n v="1"/>
    <s v="Level 3"/>
    <n v="10"/>
    <n v="313.52999999999997"/>
  </r>
  <r>
    <s v="WF_1386"/>
    <x v="0"/>
    <x v="1385"/>
    <s v="Review"/>
    <s v="High"/>
    <s v="IT"/>
    <s v="EMP_43"/>
    <d v="2024-01-02T08:40:00"/>
    <d v="2024-01-02T13:08:00"/>
    <n v="226"/>
    <n v="268"/>
    <n v="1"/>
    <s v="Level 1"/>
    <n v="7"/>
    <n v="336.18"/>
  </r>
  <r>
    <s v="WF_1387"/>
    <x v="4"/>
    <x v="1386"/>
    <s v="Data Entry"/>
    <s v="Critical"/>
    <s v="HR"/>
    <s v="EMP_82"/>
    <d v="2024-09-20T21:33:00"/>
    <d v="2024-09-21T00:04:00"/>
    <n v="35"/>
    <n v="151"/>
    <n v="1"/>
    <s v="Level 2"/>
    <n v="8"/>
    <n v="457.06"/>
  </r>
  <r>
    <s v="WF_1388"/>
    <x v="4"/>
    <x v="1387"/>
    <s v="Review"/>
    <s v="Medium"/>
    <s v="Customer Service"/>
    <s v="EMP_150"/>
    <d v="2024-08-06T00:16:00"/>
    <d v="2024-08-06T02:35:00"/>
    <n v="67"/>
    <n v="139"/>
    <n v="1"/>
    <s v="Level 2"/>
    <n v="1"/>
    <n v="328.95"/>
  </r>
  <r>
    <s v="WF_1389"/>
    <x v="4"/>
    <x v="1388"/>
    <s v="Escalation"/>
    <s v="Critical"/>
    <s v="Operations"/>
    <s v="EMP_125"/>
    <d v="2024-05-12T19:35:00"/>
    <d v="2024-05-13T00:49:00"/>
    <n v="215"/>
    <n v="314"/>
    <n v="1"/>
    <s v="Level 2"/>
    <n v="8"/>
    <n v="284.23"/>
  </r>
  <r>
    <s v="WF_1390"/>
    <x v="2"/>
    <x v="1389"/>
    <s v="Approval"/>
    <s v="Low"/>
    <s v="Finance"/>
    <s v="EMP_119"/>
    <d v="2024-02-26T14:43:00"/>
    <d v="2024-02-26T17:48:00"/>
    <n v="133"/>
    <n v="185"/>
    <n v="1"/>
    <s v="Level 3"/>
    <n v="3"/>
    <n v="390"/>
  </r>
  <r>
    <s v="WF_1391"/>
    <x v="2"/>
    <x v="1390"/>
    <s v="Approval"/>
    <s v="Medium"/>
    <s v="Customer Service"/>
    <s v="EMP_34"/>
    <d v="2024-01-03T04:11:00"/>
    <d v="2024-01-03T06:26:00"/>
    <n v="81"/>
    <n v="135"/>
    <n v="1"/>
    <s v="Level 3"/>
    <n v="2"/>
    <n v="431.03"/>
  </r>
  <r>
    <s v="WF_1392"/>
    <x v="4"/>
    <x v="1391"/>
    <s v="Escalation"/>
    <s v="Critical"/>
    <s v="HR"/>
    <s v="EMP_128"/>
    <d v="2024-03-27T09:28:00"/>
    <d v="2024-03-27T11:40:00"/>
    <n v="103"/>
    <n v="132"/>
    <n v="1"/>
    <s v="Level 3"/>
    <n v="3"/>
    <n v="155.03"/>
  </r>
  <r>
    <s v="WF_1393"/>
    <x v="2"/>
    <x v="1392"/>
    <s v="Approval"/>
    <s v="Critical"/>
    <s v="Operations"/>
    <s v="EMP_144"/>
    <d v="2024-03-29T10:28:00"/>
    <d v="2024-03-29T15:10:00"/>
    <n v="238"/>
    <n v="282"/>
    <n v="1"/>
    <s v="Level 3"/>
    <n v="7"/>
    <n v="316.11"/>
  </r>
  <r>
    <s v="WF_1394"/>
    <x v="0"/>
    <x v="1393"/>
    <s v="Escalation"/>
    <s v="Medium"/>
    <s v="IT"/>
    <s v="EMP_4"/>
    <d v="2024-11-05T09:13:00"/>
    <d v="2024-11-05T12:32:00"/>
    <n v="113"/>
    <n v="199"/>
    <n v="1"/>
    <s v="Level 3"/>
    <n v="10"/>
    <n v="118.28"/>
  </r>
  <r>
    <s v="WF_1395"/>
    <x v="1"/>
    <x v="1394"/>
    <s v="Validation"/>
    <s v="High"/>
    <s v="HR"/>
    <s v="EMP_77"/>
    <d v="2024-05-13T20:26:00"/>
    <d v="2024-05-13T23:21:00"/>
    <n v="97"/>
    <n v="175"/>
    <n v="1"/>
    <s v="Level 3"/>
    <n v="3"/>
    <n v="270.82"/>
  </r>
  <r>
    <s v="WF_1396"/>
    <x v="1"/>
    <x v="1395"/>
    <s v="Review"/>
    <s v="Low"/>
    <s v="HR"/>
    <s v="EMP_106"/>
    <d v="2024-08-05T23:35:00"/>
    <d v="2024-08-06T04:20:00"/>
    <n v="169"/>
    <n v="285"/>
    <n v="1"/>
    <s v="Level 1"/>
    <n v="3"/>
    <n v="499.44"/>
  </r>
  <r>
    <s v="WF_1397"/>
    <x v="4"/>
    <x v="1396"/>
    <s v="Review"/>
    <s v="Low"/>
    <s v="Operations"/>
    <s v="EMP_140"/>
    <d v="2024-03-02T08:43:00"/>
    <d v="2024-03-02T09:49:00"/>
    <n v="28"/>
    <n v="66"/>
    <n v="1"/>
    <s v="Level 2"/>
    <n v="8"/>
    <n v="248.22"/>
  </r>
  <r>
    <s v="WF_1398"/>
    <x v="0"/>
    <x v="1397"/>
    <s v="Validation"/>
    <s v="Low"/>
    <s v="Operations"/>
    <s v="EMP_29"/>
    <d v="2024-10-30T18:49:00"/>
    <d v="2024-10-30T22:30:00"/>
    <n v="136"/>
    <n v="221"/>
    <n v="1"/>
    <s v="Level 3"/>
    <n v="4"/>
    <n v="479.57"/>
  </r>
  <r>
    <s v="WF_1399"/>
    <x v="0"/>
    <x v="1398"/>
    <s v="Escalation"/>
    <s v="High"/>
    <s v="Finance"/>
    <s v="EMP_108"/>
    <d v="2024-08-09T19:57:00"/>
    <d v="2024-08-09T23:25:00"/>
    <n v="207"/>
    <n v="208"/>
    <n v="1"/>
    <s v="Level 1"/>
    <n v="7"/>
    <n v="100.79"/>
  </r>
  <r>
    <s v="WF_1400"/>
    <x v="1"/>
    <x v="1399"/>
    <s v="Data Entry"/>
    <s v="Critical"/>
    <s v="Customer Service"/>
    <s v="EMP_20"/>
    <d v="2024-11-07T14:56:00"/>
    <d v="2024-11-07T17:15:00"/>
    <n v="132"/>
    <n v="139"/>
    <n v="1"/>
    <s v="Level 3"/>
    <n v="3"/>
    <n v="327.98"/>
  </r>
  <r>
    <s v="WF_1401"/>
    <x v="2"/>
    <x v="1400"/>
    <s v="Review"/>
    <s v="Critical"/>
    <s v="Finance"/>
    <s v="EMP_18"/>
    <d v="2024-11-23T17:19:00"/>
    <d v="2024-11-23T18:38:00"/>
    <n v="13"/>
    <n v="79"/>
    <n v="1"/>
    <s v="Level 2"/>
    <n v="1"/>
    <n v="90.9"/>
  </r>
  <r>
    <s v="WF_1402"/>
    <x v="4"/>
    <x v="1401"/>
    <s v="Data Entry"/>
    <s v="Medium"/>
    <s v="Customer Service"/>
    <s v="EMP_15"/>
    <d v="2024-02-20T03:57:00"/>
    <d v="2024-02-20T06:30:00"/>
    <n v="117"/>
    <n v="153"/>
    <n v="1"/>
    <s v="Level 1"/>
    <n v="6"/>
    <n v="237.06"/>
  </r>
  <r>
    <s v="WF_1403"/>
    <x v="1"/>
    <x v="1402"/>
    <s v="Approval"/>
    <s v="High"/>
    <s v="Customer Service"/>
    <s v="EMP_22"/>
    <d v="2024-05-27T06:22:00"/>
    <d v="2024-05-27T09:44:00"/>
    <n v="183"/>
    <n v="202"/>
    <n v="1"/>
    <s v="Level 3"/>
    <n v="4"/>
    <n v="274.01"/>
  </r>
  <r>
    <s v="WF_1404"/>
    <x v="2"/>
    <x v="1403"/>
    <s v="Data Entry"/>
    <s v="Medium"/>
    <s v="Operations"/>
    <s v="EMP_101"/>
    <d v="2024-12-06T16:42:00"/>
    <d v="2024-12-06T17:14:00"/>
    <n v="32"/>
    <n v="32"/>
    <n v="0"/>
    <s v="Level 1"/>
    <n v="8"/>
    <n v="224.58"/>
  </r>
  <r>
    <s v="WF_1405"/>
    <x v="1"/>
    <x v="1404"/>
    <s v="Validation"/>
    <s v="Critical"/>
    <s v="Customer Service"/>
    <s v="EMP_99"/>
    <d v="2024-07-10T03:45:00"/>
    <d v="2024-07-10T05:14:00"/>
    <n v="94"/>
    <n v="89"/>
    <n v="0"/>
    <s v="Level 2"/>
    <n v="7"/>
    <n v="436.02"/>
  </r>
  <r>
    <s v="WF_1406"/>
    <x v="2"/>
    <x v="1405"/>
    <s v="Approval"/>
    <s v="High"/>
    <s v="Operations"/>
    <s v="EMP_58"/>
    <d v="2024-05-06T20:52:00"/>
    <d v="2024-05-06T23:48:00"/>
    <n v="64"/>
    <n v="176"/>
    <n v="1"/>
    <s v="Level 1"/>
    <n v="4"/>
    <n v="225.21"/>
  </r>
  <r>
    <s v="WF_1407"/>
    <x v="4"/>
    <x v="1406"/>
    <s v="Escalation"/>
    <s v="High"/>
    <s v="IT"/>
    <s v="EMP_136"/>
    <d v="2024-09-06T22:31:00"/>
    <d v="2024-09-07T01:47:00"/>
    <n v="165"/>
    <n v="196"/>
    <n v="1"/>
    <s v="Level 3"/>
    <n v="1"/>
    <n v="80.56"/>
  </r>
  <r>
    <s v="WF_1408"/>
    <x v="1"/>
    <x v="1407"/>
    <s v="Approval"/>
    <s v="Medium"/>
    <s v="IT"/>
    <s v="EMP_132"/>
    <d v="2024-07-15T05:12:00"/>
    <d v="2024-07-15T07:02:00"/>
    <n v="110"/>
    <n v="110"/>
    <n v="0"/>
    <s v="Level 2"/>
    <n v="10"/>
    <n v="428.04"/>
  </r>
  <r>
    <s v="WF_1409"/>
    <x v="3"/>
    <x v="1408"/>
    <s v="Approval"/>
    <s v="Low"/>
    <s v="Finance"/>
    <s v="EMP_67"/>
    <d v="2024-08-19T16:57:00"/>
    <d v="2024-08-19T18:50:00"/>
    <n v="12"/>
    <n v="113"/>
    <n v="1"/>
    <s v="Level 1"/>
    <n v="10"/>
    <n v="155.71"/>
  </r>
  <r>
    <s v="WF_1410"/>
    <x v="3"/>
    <x v="1409"/>
    <s v="Escalation"/>
    <s v="Critical"/>
    <s v="Operations"/>
    <s v="EMP_124"/>
    <d v="2024-12-24T21:49:00"/>
    <d v="2024-12-25T01:01:00"/>
    <n v="100"/>
    <n v="192"/>
    <n v="1"/>
    <s v="Level 1"/>
    <n v="6"/>
    <n v="293.18"/>
  </r>
  <r>
    <s v="WF_1411"/>
    <x v="0"/>
    <x v="1410"/>
    <s v="Validation"/>
    <s v="Low"/>
    <s v="IT"/>
    <s v="EMP_50"/>
    <d v="2024-04-15T20:09:00"/>
    <d v="2024-04-15T22:35:00"/>
    <n v="49"/>
    <n v="146"/>
    <n v="1"/>
    <s v="Level 3"/>
    <n v="5"/>
    <n v="65.78"/>
  </r>
  <r>
    <s v="WF_1412"/>
    <x v="2"/>
    <x v="1411"/>
    <s v="Validation"/>
    <s v="High"/>
    <s v="Finance"/>
    <s v="EMP_14"/>
    <d v="2024-05-24T20:33:00"/>
    <d v="2024-05-24T23:08:00"/>
    <n v="150"/>
    <n v="155"/>
    <n v="1"/>
    <s v="Level 1"/>
    <n v="5"/>
    <n v="68.150000000000006"/>
  </r>
  <r>
    <s v="WF_1413"/>
    <x v="3"/>
    <x v="1412"/>
    <s v="Escalation"/>
    <s v="Medium"/>
    <s v="Finance"/>
    <s v="EMP_83"/>
    <d v="2024-03-27T01:48:00"/>
    <d v="2024-03-27T03:48:00"/>
    <n v="121"/>
    <n v="120"/>
    <n v="0"/>
    <s v="Level 3"/>
    <n v="10"/>
    <n v="142.1"/>
  </r>
  <r>
    <s v="WF_1414"/>
    <x v="2"/>
    <x v="1413"/>
    <s v="Data Entry"/>
    <s v="High"/>
    <s v="Customer Service"/>
    <s v="EMP_5"/>
    <d v="2024-01-25T04:15:00"/>
    <d v="2024-01-25T08:15:00"/>
    <n v="211"/>
    <n v="240"/>
    <n v="1"/>
    <s v="Level 1"/>
    <n v="1"/>
    <n v="320.52"/>
  </r>
  <r>
    <s v="WF_1415"/>
    <x v="3"/>
    <x v="1414"/>
    <s v="Approval"/>
    <s v="Critical"/>
    <s v="Customer Service"/>
    <s v="EMP_105"/>
    <d v="2024-03-06T22:11:00"/>
    <d v="2024-03-07T00:52:00"/>
    <n v="166"/>
    <n v="161"/>
    <n v="0"/>
    <s v="Level 1"/>
    <n v="6"/>
    <n v="261.95"/>
  </r>
  <r>
    <s v="WF_1416"/>
    <x v="3"/>
    <x v="1415"/>
    <s v="Data Entry"/>
    <s v="Critical"/>
    <s v="Customer Service"/>
    <s v="EMP_73"/>
    <d v="2024-12-15T23:50:00"/>
    <d v="2024-12-16T02:14:00"/>
    <n v="98"/>
    <n v="144"/>
    <n v="1"/>
    <s v="Level 2"/>
    <n v="2"/>
    <n v="147.97999999999999"/>
  </r>
  <r>
    <s v="WF_1417"/>
    <x v="1"/>
    <x v="1416"/>
    <s v="Approval"/>
    <s v="Critical"/>
    <s v="Operations"/>
    <s v="EMP_133"/>
    <d v="2024-12-28T02:53:00"/>
    <d v="2024-12-28T07:18:00"/>
    <n v="188"/>
    <n v="265"/>
    <n v="1"/>
    <s v="Level 3"/>
    <n v="6"/>
    <n v="214.5"/>
  </r>
  <r>
    <s v="WF_1418"/>
    <x v="0"/>
    <x v="1417"/>
    <s v="Review"/>
    <s v="Low"/>
    <s v="HR"/>
    <s v="EMP_29"/>
    <d v="2024-03-27T05:28:00"/>
    <d v="2024-03-27T07:20:00"/>
    <n v="66"/>
    <n v="112"/>
    <n v="1"/>
    <s v="Level 2"/>
    <n v="1"/>
    <n v="341.49"/>
  </r>
  <r>
    <s v="WF_1419"/>
    <x v="2"/>
    <x v="1418"/>
    <s v="Data Entry"/>
    <s v="Critical"/>
    <s v="Finance"/>
    <s v="EMP_110"/>
    <d v="2024-04-18T22:46:00"/>
    <d v="2024-04-19T01:28:00"/>
    <n v="69"/>
    <n v="162"/>
    <n v="1"/>
    <s v="Level 2"/>
    <n v="9"/>
    <n v="325.14"/>
  </r>
  <r>
    <s v="WF_1420"/>
    <x v="0"/>
    <x v="1419"/>
    <s v="Validation"/>
    <s v="Low"/>
    <s v="Finance"/>
    <s v="EMP_63"/>
    <d v="2024-04-03T23:30:00"/>
    <d v="2024-04-04T01:43:00"/>
    <n v="46"/>
    <n v="133"/>
    <n v="1"/>
    <s v="Level 1"/>
    <n v="5"/>
    <n v="420.25"/>
  </r>
  <r>
    <s v="WF_1421"/>
    <x v="3"/>
    <x v="1420"/>
    <s v="Escalation"/>
    <s v="Low"/>
    <s v="HR"/>
    <s v="EMP_145"/>
    <d v="2024-12-16T21:37:00"/>
    <d v="2024-12-17T00:05:00"/>
    <n v="81"/>
    <n v="148"/>
    <n v="1"/>
    <s v="Level 3"/>
    <n v="10"/>
    <n v="70.150000000000006"/>
  </r>
  <r>
    <s v="WF_1422"/>
    <x v="2"/>
    <x v="1421"/>
    <s v="Approval"/>
    <s v="Medium"/>
    <s v="HR"/>
    <s v="EMP_68"/>
    <d v="2024-12-16T12:18:00"/>
    <d v="2024-12-16T16:48:00"/>
    <n v="220"/>
    <n v="270"/>
    <n v="1"/>
    <s v="Level 3"/>
    <n v="5"/>
    <n v="471.49"/>
  </r>
  <r>
    <s v="WF_1423"/>
    <x v="3"/>
    <x v="1422"/>
    <s v="Validation"/>
    <s v="High"/>
    <s v="Operations"/>
    <s v="EMP_2"/>
    <d v="2024-07-02T06:49:00"/>
    <d v="2024-07-02T12:06:00"/>
    <n v="229"/>
    <n v="317"/>
    <n v="1"/>
    <s v="Level 3"/>
    <n v="9"/>
    <n v="168.89"/>
  </r>
  <r>
    <s v="WF_1424"/>
    <x v="0"/>
    <x v="1423"/>
    <s v="Validation"/>
    <s v="Low"/>
    <s v="Customer Service"/>
    <s v="EMP_21"/>
    <d v="2024-06-11T02:08:00"/>
    <d v="2024-06-11T05:13:00"/>
    <n v="127"/>
    <n v="185"/>
    <n v="1"/>
    <s v="Level 2"/>
    <n v="5"/>
    <n v="352.34"/>
  </r>
  <r>
    <s v="WF_1425"/>
    <x v="0"/>
    <x v="1424"/>
    <s v="Approval"/>
    <s v="Low"/>
    <s v="Customer Service"/>
    <s v="EMP_58"/>
    <d v="2024-01-06T11:55:00"/>
    <d v="2024-01-06T12:46:00"/>
    <n v="53"/>
    <n v="51"/>
    <n v="0"/>
    <s v="Level 2"/>
    <n v="10"/>
    <n v="371.89"/>
  </r>
  <r>
    <s v="WF_1426"/>
    <x v="2"/>
    <x v="1425"/>
    <s v="Approval"/>
    <s v="Medium"/>
    <s v="Finance"/>
    <s v="EMP_57"/>
    <d v="2024-04-22T03:53:00"/>
    <d v="2024-04-22T05:51:00"/>
    <n v="72"/>
    <n v="118"/>
    <n v="1"/>
    <s v="Level 3"/>
    <n v="4"/>
    <n v="347.88"/>
  </r>
  <r>
    <s v="WF_1427"/>
    <x v="0"/>
    <x v="1426"/>
    <s v="Review"/>
    <s v="Medium"/>
    <s v="HR"/>
    <s v="EMP_5"/>
    <d v="2024-02-07T07:15:00"/>
    <d v="2024-02-07T08:51:00"/>
    <n v="17"/>
    <n v="96"/>
    <n v="1"/>
    <s v="Level 3"/>
    <n v="9"/>
    <n v="421.6"/>
  </r>
  <r>
    <s v="WF_1428"/>
    <x v="0"/>
    <x v="1427"/>
    <s v="Escalation"/>
    <s v="High"/>
    <s v="Operations"/>
    <s v="EMP_87"/>
    <d v="2024-02-11T00:21:00"/>
    <d v="2024-02-11T02:09:00"/>
    <n v="109"/>
    <n v="108"/>
    <n v="0"/>
    <s v="Level 3"/>
    <n v="2"/>
    <n v="182.85"/>
  </r>
  <r>
    <s v="WF_1429"/>
    <x v="1"/>
    <x v="1428"/>
    <s v="Escalation"/>
    <s v="High"/>
    <s v="HR"/>
    <s v="EMP_39"/>
    <d v="2024-04-16T03:49:00"/>
    <d v="2024-04-16T08:39:00"/>
    <n v="236"/>
    <n v="290"/>
    <n v="1"/>
    <s v="Level 1"/>
    <n v="6"/>
    <n v="371.21"/>
  </r>
  <r>
    <s v="WF_1430"/>
    <x v="2"/>
    <x v="1429"/>
    <s v="Approval"/>
    <s v="Critical"/>
    <s v="IT"/>
    <s v="EMP_90"/>
    <d v="2024-05-12T09:34:00"/>
    <d v="2024-05-12T12:05:00"/>
    <n v="135"/>
    <n v="151"/>
    <n v="1"/>
    <s v="Level 1"/>
    <n v="3"/>
    <n v="224.42"/>
  </r>
  <r>
    <s v="WF_1431"/>
    <x v="1"/>
    <x v="1430"/>
    <s v="Approval"/>
    <s v="High"/>
    <s v="Finance"/>
    <s v="EMP_122"/>
    <d v="2024-07-05T00:40:00"/>
    <d v="2024-07-05T02:22:00"/>
    <n v="27"/>
    <n v="102"/>
    <n v="1"/>
    <s v="Level 2"/>
    <n v="7"/>
    <n v="433.49"/>
  </r>
  <r>
    <s v="WF_1432"/>
    <x v="2"/>
    <x v="1431"/>
    <s v="Escalation"/>
    <s v="Critical"/>
    <s v="HR"/>
    <s v="EMP_120"/>
    <d v="2024-10-23T03:59:00"/>
    <d v="2024-10-23T07:23:00"/>
    <n v="117"/>
    <n v="204"/>
    <n v="1"/>
    <s v="Level 3"/>
    <n v="2"/>
    <n v="489"/>
  </r>
  <r>
    <s v="WF_1433"/>
    <x v="4"/>
    <x v="1432"/>
    <s v="Validation"/>
    <s v="High"/>
    <s v="Operations"/>
    <s v="EMP_120"/>
    <d v="2024-07-05T16:05:00"/>
    <d v="2024-07-05T18:22:00"/>
    <n v="97"/>
    <n v="137"/>
    <n v="1"/>
    <s v="Level 2"/>
    <n v="6"/>
    <n v="393.51"/>
  </r>
  <r>
    <s v="WF_1434"/>
    <x v="1"/>
    <x v="1433"/>
    <s v="Data Entry"/>
    <s v="Critical"/>
    <s v="Operations"/>
    <s v="EMP_16"/>
    <d v="2024-11-06T14:22:00"/>
    <d v="2024-11-06T18:19:00"/>
    <n v="141"/>
    <n v="237"/>
    <n v="1"/>
    <s v="Level 3"/>
    <n v="7"/>
    <n v="94.05"/>
  </r>
  <r>
    <s v="WF_1435"/>
    <x v="1"/>
    <x v="1434"/>
    <s v="Data Entry"/>
    <s v="Critical"/>
    <s v="Finance"/>
    <s v="EMP_131"/>
    <d v="2024-05-31T05:04:00"/>
    <d v="2024-05-31T06:31:00"/>
    <n v="21"/>
    <n v="87"/>
    <n v="1"/>
    <s v="Level 1"/>
    <n v="1"/>
    <n v="238.46"/>
  </r>
  <r>
    <s v="WF_1436"/>
    <x v="1"/>
    <x v="1435"/>
    <s v="Approval"/>
    <s v="High"/>
    <s v="Customer Service"/>
    <s v="EMP_17"/>
    <d v="2024-05-02T10:36:00"/>
    <d v="2024-05-02T15:18:00"/>
    <n v="162"/>
    <n v="282"/>
    <n v="1"/>
    <s v="Level 3"/>
    <n v="7"/>
    <n v="316.13"/>
  </r>
  <r>
    <s v="WF_1437"/>
    <x v="0"/>
    <x v="1436"/>
    <s v="Review"/>
    <s v="Critical"/>
    <s v="Finance"/>
    <s v="EMP_82"/>
    <d v="2024-02-10T16:20:00"/>
    <d v="2024-02-10T18:17:00"/>
    <n v="22"/>
    <n v="117"/>
    <n v="1"/>
    <s v="Level 3"/>
    <n v="9"/>
    <n v="404.54"/>
  </r>
  <r>
    <s v="WF_1438"/>
    <x v="2"/>
    <x v="1437"/>
    <s v="Review"/>
    <s v="Low"/>
    <s v="Finance"/>
    <s v="EMP_145"/>
    <d v="2024-08-22T03:26:00"/>
    <d v="2024-08-22T05:49:00"/>
    <n v="81"/>
    <n v="143"/>
    <n v="1"/>
    <s v="Level 1"/>
    <n v="10"/>
    <n v="320.64999999999998"/>
  </r>
  <r>
    <s v="WF_1439"/>
    <x v="4"/>
    <x v="1438"/>
    <s v="Escalation"/>
    <s v="Medium"/>
    <s v="Customer Service"/>
    <s v="EMP_121"/>
    <d v="2024-08-29T04:28:00"/>
    <d v="2024-08-29T08:11:00"/>
    <n v="107"/>
    <n v="223"/>
    <n v="1"/>
    <s v="Level 2"/>
    <n v="7"/>
    <n v="221.55"/>
  </r>
  <r>
    <s v="WF_1440"/>
    <x v="0"/>
    <x v="1439"/>
    <s v="Escalation"/>
    <s v="High"/>
    <s v="IT"/>
    <s v="EMP_64"/>
    <d v="2024-06-21T20:33:00"/>
    <d v="2024-06-22T02:01:00"/>
    <n v="225"/>
    <n v="328"/>
    <n v="1"/>
    <s v="Level 1"/>
    <n v="4"/>
    <n v="284.13"/>
  </r>
  <r>
    <s v="WF_1441"/>
    <x v="4"/>
    <x v="1440"/>
    <s v="Data Entry"/>
    <s v="Critical"/>
    <s v="HR"/>
    <s v="EMP_66"/>
    <d v="2024-11-05T14:26:00"/>
    <d v="2024-11-05T16:09:00"/>
    <n v="82"/>
    <n v="103"/>
    <n v="1"/>
    <s v="Level 2"/>
    <n v="6"/>
    <n v="220.6"/>
  </r>
  <r>
    <s v="WF_1442"/>
    <x v="2"/>
    <x v="1441"/>
    <s v="Approval"/>
    <s v="Critical"/>
    <s v="HR"/>
    <s v="EMP_140"/>
    <d v="2024-12-28T12:30:00"/>
    <d v="2024-12-28T17:15:00"/>
    <n v="187"/>
    <n v="285"/>
    <n v="1"/>
    <s v="Level 1"/>
    <n v="6"/>
    <n v="166.04"/>
  </r>
  <r>
    <s v="WF_1443"/>
    <x v="1"/>
    <x v="1442"/>
    <s v="Data Entry"/>
    <s v="Critical"/>
    <s v="Operations"/>
    <s v="EMP_109"/>
    <d v="2024-07-08T05:04:00"/>
    <d v="2024-07-08T08:24:00"/>
    <n v="179"/>
    <n v="200"/>
    <n v="1"/>
    <s v="Level 1"/>
    <n v="9"/>
    <n v="188.42"/>
  </r>
  <r>
    <s v="WF_1444"/>
    <x v="3"/>
    <x v="1443"/>
    <s v="Escalation"/>
    <s v="Critical"/>
    <s v="IT"/>
    <s v="EMP_22"/>
    <d v="2024-08-03T23:44:00"/>
    <d v="2024-08-04T03:19:00"/>
    <n v="129"/>
    <n v="215"/>
    <n v="1"/>
    <s v="Level 3"/>
    <n v="5"/>
    <n v="158.74"/>
  </r>
  <r>
    <s v="WF_1445"/>
    <x v="0"/>
    <x v="1444"/>
    <s v="Review"/>
    <s v="Critical"/>
    <s v="IT"/>
    <s v="EMP_5"/>
    <d v="2024-10-23T08:17:00"/>
    <d v="2024-10-23T12:50:00"/>
    <n v="154"/>
    <n v="273"/>
    <n v="1"/>
    <s v="Level 2"/>
    <n v="7"/>
    <n v="210.58"/>
  </r>
  <r>
    <s v="WF_1446"/>
    <x v="2"/>
    <x v="1445"/>
    <s v="Data Entry"/>
    <s v="Low"/>
    <s v="Operations"/>
    <s v="EMP_3"/>
    <d v="2024-03-03T19:33:00"/>
    <d v="2024-03-03T21:58:00"/>
    <n v="143"/>
    <n v="145"/>
    <n v="1"/>
    <s v="Level 1"/>
    <n v="7"/>
    <n v="219.55"/>
  </r>
  <r>
    <s v="WF_1447"/>
    <x v="3"/>
    <x v="1446"/>
    <s v="Escalation"/>
    <s v="Critical"/>
    <s v="Operations"/>
    <s v="EMP_97"/>
    <d v="2024-01-24T07:21:00"/>
    <d v="2024-01-24T11:29:00"/>
    <n v="169"/>
    <n v="248"/>
    <n v="1"/>
    <s v="Level 3"/>
    <n v="3"/>
    <n v="310.89"/>
  </r>
  <r>
    <s v="WF_1448"/>
    <x v="3"/>
    <x v="1447"/>
    <s v="Approval"/>
    <s v="Critical"/>
    <s v="Finance"/>
    <s v="EMP_15"/>
    <d v="2024-12-07T23:19:00"/>
    <d v="2024-12-08T00:48:00"/>
    <n v="43"/>
    <n v="89"/>
    <n v="1"/>
    <s v="Level 3"/>
    <n v="5"/>
    <n v="260.61"/>
  </r>
  <r>
    <s v="WF_1449"/>
    <x v="2"/>
    <x v="1448"/>
    <s v="Validation"/>
    <s v="Critical"/>
    <s v="Operations"/>
    <s v="EMP_20"/>
    <d v="2024-09-06T22:12:00"/>
    <d v="2024-09-06T23:22:00"/>
    <n v="40"/>
    <n v="70"/>
    <n v="1"/>
    <s v="Level 2"/>
    <n v="8"/>
    <n v="139.03"/>
  </r>
  <r>
    <s v="WF_1450"/>
    <x v="2"/>
    <x v="1449"/>
    <s v="Data Entry"/>
    <s v="Critical"/>
    <s v="Customer Service"/>
    <s v="EMP_142"/>
    <d v="2024-12-09T18:46:00"/>
    <d v="2024-12-09T23:26:00"/>
    <n v="217"/>
    <n v="280"/>
    <n v="1"/>
    <s v="Level 2"/>
    <n v="9"/>
    <n v="324.99"/>
  </r>
  <r>
    <s v="WF_1451"/>
    <x v="4"/>
    <x v="1450"/>
    <s v="Escalation"/>
    <s v="Medium"/>
    <s v="Finance"/>
    <s v="EMP_13"/>
    <d v="2024-02-25T01:58:00"/>
    <d v="2024-02-25T05:03:00"/>
    <n v="143"/>
    <n v="185"/>
    <n v="1"/>
    <s v="Level 3"/>
    <n v="6"/>
    <n v="404.01"/>
  </r>
  <r>
    <s v="WF_1452"/>
    <x v="0"/>
    <x v="1451"/>
    <s v="Approval"/>
    <s v="High"/>
    <s v="Customer Service"/>
    <s v="EMP_11"/>
    <d v="2024-08-31T00:13:00"/>
    <d v="2024-08-31T04:03:00"/>
    <n v="218"/>
    <n v="230"/>
    <n v="1"/>
    <s v="Level 3"/>
    <n v="1"/>
    <n v="149.63"/>
  </r>
  <r>
    <s v="WF_1453"/>
    <x v="2"/>
    <x v="1452"/>
    <s v="Approval"/>
    <s v="High"/>
    <s v="IT"/>
    <s v="EMP_134"/>
    <d v="2024-06-23T10:02:00"/>
    <d v="2024-06-23T11:49:00"/>
    <n v="28"/>
    <n v="107"/>
    <n v="1"/>
    <s v="Level 3"/>
    <n v="10"/>
    <n v="473.53"/>
  </r>
  <r>
    <s v="WF_1454"/>
    <x v="3"/>
    <x v="1453"/>
    <s v="Escalation"/>
    <s v="Low"/>
    <s v="HR"/>
    <s v="EMP_146"/>
    <d v="2024-06-14T07:36:00"/>
    <d v="2024-06-14T11:13:00"/>
    <n v="106"/>
    <n v="217"/>
    <n v="1"/>
    <s v="Level 2"/>
    <n v="2"/>
    <n v="75.12"/>
  </r>
  <r>
    <s v="WF_1455"/>
    <x v="1"/>
    <x v="1454"/>
    <s v="Validation"/>
    <s v="Medium"/>
    <s v="HR"/>
    <s v="EMP_106"/>
    <d v="2024-08-05T21:17:00"/>
    <d v="2024-08-05T22:33:00"/>
    <n v="70"/>
    <n v="76"/>
    <n v="1"/>
    <s v="Level 3"/>
    <n v="10"/>
    <n v="178.13"/>
  </r>
  <r>
    <s v="WF_1456"/>
    <x v="4"/>
    <x v="1455"/>
    <s v="Validation"/>
    <s v="Medium"/>
    <s v="IT"/>
    <s v="EMP_126"/>
    <d v="2024-06-21T12:43:00"/>
    <d v="2024-06-21T16:41:00"/>
    <n v="154"/>
    <n v="238"/>
    <n v="1"/>
    <s v="Level 2"/>
    <n v="3"/>
    <n v="127.09"/>
  </r>
  <r>
    <s v="WF_1457"/>
    <x v="2"/>
    <x v="1456"/>
    <s v="Review"/>
    <s v="Critical"/>
    <s v="Finance"/>
    <s v="EMP_100"/>
    <d v="2024-04-10T01:52:00"/>
    <d v="2024-04-10T04:41:00"/>
    <n v="123"/>
    <n v="169"/>
    <n v="1"/>
    <s v="Level 2"/>
    <n v="4"/>
    <n v="454.51"/>
  </r>
  <r>
    <s v="WF_1458"/>
    <x v="1"/>
    <x v="1457"/>
    <s v="Review"/>
    <s v="High"/>
    <s v="Customer Service"/>
    <s v="EMP_51"/>
    <d v="2024-12-12T00:57:00"/>
    <d v="2024-12-12T06:04:00"/>
    <n v="207"/>
    <n v="307"/>
    <n v="1"/>
    <s v="Level 2"/>
    <n v="3"/>
    <n v="496.59"/>
  </r>
  <r>
    <s v="WF_1459"/>
    <x v="2"/>
    <x v="1458"/>
    <s v="Approval"/>
    <s v="Critical"/>
    <s v="Operations"/>
    <s v="EMP_83"/>
    <d v="2024-05-24T03:41:00"/>
    <d v="2024-05-24T07:19:00"/>
    <n v="136"/>
    <n v="218"/>
    <n v="1"/>
    <s v="Level 3"/>
    <n v="9"/>
    <n v="350.05"/>
  </r>
  <r>
    <s v="WF_1460"/>
    <x v="0"/>
    <x v="1459"/>
    <s v="Data Entry"/>
    <s v="High"/>
    <s v="IT"/>
    <s v="EMP_79"/>
    <d v="2024-11-16T17:26:00"/>
    <d v="2024-11-16T20:29:00"/>
    <n v="136"/>
    <n v="183"/>
    <n v="1"/>
    <s v="Level 3"/>
    <n v="10"/>
    <n v="189.19"/>
  </r>
  <r>
    <s v="WF_1461"/>
    <x v="0"/>
    <x v="1460"/>
    <s v="Review"/>
    <s v="High"/>
    <s v="Operations"/>
    <s v="EMP_111"/>
    <d v="2024-09-07T01:42:00"/>
    <d v="2024-09-07T02:42:00"/>
    <n v="58"/>
    <n v="60"/>
    <n v="1"/>
    <s v="Level 2"/>
    <n v="4"/>
    <n v="264.43"/>
  </r>
  <r>
    <s v="WF_1462"/>
    <x v="4"/>
    <x v="1461"/>
    <s v="Escalation"/>
    <s v="High"/>
    <s v="IT"/>
    <s v="EMP_140"/>
    <d v="2024-04-04T14:29:00"/>
    <d v="2024-04-04T19:20:00"/>
    <n v="177"/>
    <n v="291"/>
    <n v="1"/>
    <s v="Level 3"/>
    <n v="10"/>
    <n v="85.82"/>
  </r>
  <r>
    <s v="WF_1463"/>
    <x v="0"/>
    <x v="1462"/>
    <s v="Approval"/>
    <s v="High"/>
    <s v="IT"/>
    <s v="EMP_139"/>
    <d v="2024-07-20T01:22:00"/>
    <d v="2024-07-20T06:05:00"/>
    <n v="168"/>
    <n v="283"/>
    <n v="1"/>
    <s v="Level 3"/>
    <n v="2"/>
    <n v="409.93"/>
  </r>
  <r>
    <s v="WF_1464"/>
    <x v="3"/>
    <x v="1463"/>
    <s v="Validation"/>
    <s v="High"/>
    <s v="Finance"/>
    <s v="EMP_39"/>
    <d v="2024-01-26T16:10:00"/>
    <d v="2024-01-26T20:28:00"/>
    <n v="204"/>
    <n v="258"/>
    <n v="1"/>
    <s v="Level 3"/>
    <n v="1"/>
    <n v="78"/>
  </r>
  <r>
    <s v="WF_1465"/>
    <x v="1"/>
    <x v="1464"/>
    <s v="Validation"/>
    <s v="Low"/>
    <s v="Customer Service"/>
    <s v="EMP_20"/>
    <d v="2024-10-28T09:21:00"/>
    <d v="2024-10-28T12:04:00"/>
    <n v="99"/>
    <n v="163"/>
    <n v="1"/>
    <s v="Level 2"/>
    <n v="4"/>
    <n v="126.13"/>
  </r>
  <r>
    <s v="WF_1466"/>
    <x v="0"/>
    <x v="1465"/>
    <s v="Review"/>
    <s v="Critical"/>
    <s v="Operations"/>
    <s v="EMP_1"/>
    <d v="2024-06-07T09:11:00"/>
    <d v="2024-06-07T11:56:00"/>
    <n v="55"/>
    <n v="165"/>
    <n v="1"/>
    <s v="Level 1"/>
    <n v="2"/>
    <n v="356.42"/>
  </r>
  <r>
    <s v="WF_1467"/>
    <x v="3"/>
    <x v="1466"/>
    <s v="Review"/>
    <s v="Low"/>
    <s v="Operations"/>
    <s v="EMP_50"/>
    <d v="2024-03-29T06:41:00"/>
    <d v="2024-03-29T09:57:00"/>
    <n v="84"/>
    <n v="196"/>
    <n v="1"/>
    <s v="Level 1"/>
    <n v="6"/>
    <n v="481.66"/>
  </r>
  <r>
    <s v="WF_1468"/>
    <x v="1"/>
    <x v="1467"/>
    <s v="Approval"/>
    <s v="Medium"/>
    <s v="Finance"/>
    <s v="EMP_25"/>
    <d v="2024-09-09T16:15:00"/>
    <d v="2024-09-09T20:11:00"/>
    <n v="222"/>
    <n v="236"/>
    <n v="1"/>
    <s v="Level 2"/>
    <n v="6"/>
    <n v="290.13"/>
  </r>
  <r>
    <s v="WF_1469"/>
    <x v="2"/>
    <x v="1468"/>
    <s v="Review"/>
    <s v="Critical"/>
    <s v="Customer Service"/>
    <s v="EMP_90"/>
    <d v="2024-06-29T09:16:00"/>
    <d v="2024-06-29T13:59:00"/>
    <n v="166"/>
    <n v="283"/>
    <n v="1"/>
    <s v="Level 2"/>
    <n v="7"/>
    <n v="282.91000000000003"/>
  </r>
  <r>
    <s v="WF_1470"/>
    <x v="1"/>
    <x v="1469"/>
    <s v="Data Entry"/>
    <s v="Critical"/>
    <s v="IT"/>
    <s v="EMP_109"/>
    <d v="2024-02-21T21:57:00"/>
    <d v="2024-02-22T01:02:00"/>
    <n v="131"/>
    <n v="185"/>
    <n v="1"/>
    <s v="Level 1"/>
    <n v="9"/>
    <n v="155.88999999999999"/>
  </r>
  <r>
    <s v="WF_1471"/>
    <x v="1"/>
    <x v="1470"/>
    <s v="Data Entry"/>
    <s v="Low"/>
    <s v="HR"/>
    <s v="EMP_46"/>
    <d v="2024-02-05T22:58:00"/>
    <d v="2024-02-06T01:15:00"/>
    <n v="27"/>
    <n v="137"/>
    <n v="1"/>
    <s v="Level 2"/>
    <n v="6"/>
    <n v="428.59"/>
  </r>
  <r>
    <s v="WF_1472"/>
    <x v="4"/>
    <x v="1471"/>
    <s v="Review"/>
    <s v="High"/>
    <s v="Customer Service"/>
    <s v="EMP_51"/>
    <d v="2024-06-21T15:55:00"/>
    <d v="2024-06-21T18:59:00"/>
    <n v="151"/>
    <n v="184"/>
    <n v="1"/>
    <s v="Level 1"/>
    <n v="5"/>
    <n v="331.49"/>
  </r>
  <r>
    <s v="WF_1473"/>
    <x v="0"/>
    <x v="1472"/>
    <s v="Escalation"/>
    <s v="High"/>
    <s v="Finance"/>
    <s v="EMP_82"/>
    <d v="2024-05-01T01:51:00"/>
    <d v="2024-05-01T03:16:00"/>
    <n v="37"/>
    <n v="85"/>
    <n v="1"/>
    <s v="Level 1"/>
    <n v="8"/>
    <n v="357.76"/>
  </r>
  <r>
    <s v="WF_1474"/>
    <x v="0"/>
    <x v="1473"/>
    <s v="Data Entry"/>
    <s v="High"/>
    <s v="IT"/>
    <s v="EMP_46"/>
    <d v="2024-08-09T11:24:00"/>
    <d v="2024-08-09T15:18:00"/>
    <n v="227"/>
    <n v="234"/>
    <n v="1"/>
    <s v="Level 1"/>
    <n v="9"/>
    <n v="242.25"/>
  </r>
  <r>
    <s v="WF_1475"/>
    <x v="2"/>
    <x v="1474"/>
    <s v="Validation"/>
    <s v="High"/>
    <s v="HR"/>
    <s v="EMP_115"/>
    <d v="2024-11-04T21:11:00"/>
    <d v="2024-11-04T23:19:00"/>
    <n v="71"/>
    <n v="128"/>
    <n v="1"/>
    <s v="Level 3"/>
    <n v="5"/>
    <n v="250.31"/>
  </r>
  <r>
    <s v="WF_1476"/>
    <x v="4"/>
    <x v="1475"/>
    <s v="Review"/>
    <s v="Medium"/>
    <s v="Customer Service"/>
    <s v="EMP_95"/>
    <d v="2024-03-07T18:18:00"/>
    <d v="2024-03-07T21:20:00"/>
    <n v="168"/>
    <n v="182"/>
    <n v="1"/>
    <s v="Level 3"/>
    <n v="3"/>
    <n v="172.78"/>
  </r>
  <r>
    <s v="WF_1477"/>
    <x v="0"/>
    <x v="1476"/>
    <s v="Escalation"/>
    <s v="High"/>
    <s v="Operations"/>
    <s v="EMP_38"/>
    <d v="2024-10-28T07:05:00"/>
    <d v="2024-10-28T09:13:00"/>
    <n v="115"/>
    <n v="128"/>
    <n v="1"/>
    <s v="Level 2"/>
    <n v="7"/>
    <n v="254.65"/>
  </r>
  <r>
    <s v="WF_1478"/>
    <x v="4"/>
    <x v="1477"/>
    <s v="Data Entry"/>
    <s v="Medium"/>
    <s v="Customer Service"/>
    <s v="EMP_102"/>
    <d v="2024-02-04T01:37:00"/>
    <d v="2024-02-04T04:23:00"/>
    <n v="129"/>
    <n v="166"/>
    <n v="1"/>
    <s v="Level 1"/>
    <n v="7"/>
    <n v="450.55"/>
  </r>
  <r>
    <s v="WF_1479"/>
    <x v="1"/>
    <x v="1478"/>
    <s v="Validation"/>
    <s v="Medium"/>
    <s v="IT"/>
    <s v="EMP_29"/>
    <d v="2024-08-06T11:53:00"/>
    <d v="2024-08-06T14:18:00"/>
    <n v="54"/>
    <n v="145"/>
    <n v="1"/>
    <s v="Level 2"/>
    <n v="6"/>
    <n v="313.94"/>
  </r>
  <r>
    <s v="WF_1480"/>
    <x v="1"/>
    <x v="1479"/>
    <s v="Data Entry"/>
    <s v="High"/>
    <s v="IT"/>
    <s v="EMP_76"/>
    <d v="2024-12-08T06:49:00"/>
    <d v="2024-12-08T08:35:00"/>
    <n v="65"/>
    <n v="106"/>
    <n v="1"/>
    <s v="Level 3"/>
    <n v="6"/>
    <n v="441.09"/>
  </r>
  <r>
    <s v="WF_1481"/>
    <x v="3"/>
    <x v="1480"/>
    <s v="Review"/>
    <s v="Critical"/>
    <s v="Operations"/>
    <s v="EMP_44"/>
    <d v="2024-03-07T02:11:00"/>
    <d v="2024-03-07T04:15:00"/>
    <n v="30"/>
    <n v="124"/>
    <n v="1"/>
    <s v="Level 3"/>
    <n v="1"/>
    <n v="147.16"/>
  </r>
  <r>
    <s v="WF_1482"/>
    <x v="4"/>
    <x v="1481"/>
    <s v="Approval"/>
    <s v="High"/>
    <s v="Operations"/>
    <s v="EMP_147"/>
    <d v="2024-06-15T00:47:00"/>
    <d v="2024-06-15T02:31:00"/>
    <n v="100"/>
    <n v="104"/>
    <n v="1"/>
    <s v="Level 3"/>
    <n v="8"/>
    <n v="498.35"/>
  </r>
  <r>
    <s v="WF_1483"/>
    <x v="1"/>
    <x v="1482"/>
    <s v="Validation"/>
    <s v="High"/>
    <s v="Operations"/>
    <s v="EMP_88"/>
    <d v="2024-10-08T15:18:00"/>
    <d v="2024-10-08T20:03:00"/>
    <n v="185"/>
    <n v="285"/>
    <n v="1"/>
    <s v="Level 1"/>
    <n v="6"/>
    <n v="71.83"/>
  </r>
  <r>
    <s v="WF_1484"/>
    <x v="0"/>
    <x v="1483"/>
    <s v="Approval"/>
    <s v="Low"/>
    <s v="IT"/>
    <s v="EMP_97"/>
    <d v="2024-03-10T22:12:00"/>
    <d v="2024-03-11T03:51:00"/>
    <n v="238"/>
    <n v="339"/>
    <n v="1"/>
    <s v="Level 1"/>
    <n v="3"/>
    <n v="212.94"/>
  </r>
  <r>
    <s v="WF_1485"/>
    <x v="0"/>
    <x v="1484"/>
    <s v="Data Entry"/>
    <s v="Critical"/>
    <s v="HR"/>
    <s v="EMP_137"/>
    <d v="2024-07-08T23:32:00"/>
    <d v="2024-07-09T04:45:00"/>
    <n v="232"/>
    <n v="313"/>
    <n v="1"/>
    <s v="Level 3"/>
    <n v="1"/>
    <n v="292.45"/>
  </r>
  <r>
    <s v="WF_1486"/>
    <x v="2"/>
    <x v="1485"/>
    <s v="Review"/>
    <s v="High"/>
    <s v="Operations"/>
    <s v="EMP_121"/>
    <d v="2024-04-12T19:18:00"/>
    <d v="2024-04-12T23:59:00"/>
    <n v="193"/>
    <n v="281"/>
    <n v="1"/>
    <s v="Level 3"/>
    <n v="1"/>
    <n v="128.66"/>
  </r>
  <r>
    <s v="WF_1487"/>
    <x v="4"/>
    <x v="1486"/>
    <s v="Review"/>
    <s v="High"/>
    <s v="HR"/>
    <s v="EMP_68"/>
    <d v="2024-05-09T20:51:00"/>
    <d v="2024-05-10T01:04:00"/>
    <n v="209"/>
    <n v="253"/>
    <n v="1"/>
    <s v="Level 2"/>
    <n v="5"/>
    <n v="136.54"/>
  </r>
  <r>
    <s v="WF_1488"/>
    <x v="0"/>
    <x v="1487"/>
    <s v="Validation"/>
    <s v="Critical"/>
    <s v="Finance"/>
    <s v="EMP_17"/>
    <d v="2024-10-31T14:10:00"/>
    <d v="2024-10-31T17:24:00"/>
    <n v="120"/>
    <n v="194"/>
    <n v="1"/>
    <s v="Level 3"/>
    <n v="5"/>
    <n v="380.06"/>
  </r>
  <r>
    <s v="WF_1489"/>
    <x v="3"/>
    <x v="1488"/>
    <s v="Escalation"/>
    <s v="Critical"/>
    <s v="Customer Service"/>
    <s v="EMP_139"/>
    <d v="2024-02-19T11:00:00"/>
    <d v="2024-02-19T13:19:00"/>
    <n v="38"/>
    <n v="139"/>
    <n v="1"/>
    <s v="Level 1"/>
    <n v="4"/>
    <n v="473.68"/>
  </r>
  <r>
    <s v="WF_1490"/>
    <x v="1"/>
    <x v="1489"/>
    <s v="Validation"/>
    <s v="High"/>
    <s v="IT"/>
    <s v="EMP_7"/>
    <d v="2024-10-04T20:40:00"/>
    <d v="2024-10-04T22:49:00"/>
    <n v="69"/>
    <n v="129"/>
    <n v="1"/>
    <s v="Level 2"/>
    <n v="8"/>
    <n v="161.56"/>
  </r>
  <r>
    <s v="WF_1491"/>
    <x v="3"/>
    <x v="1490"/>
    <s v="Validation"/>
    <s v="Critical"/>
    <s v="HR"/>
    <s v="EMP_116"/>
    <d v="2024-10-04T23:01:00"/>
    <d v="2024-10-05T00:02:00"/>
    <n v="40"/>
    <n v="61"/>
    <n v="1"/>
    <s v="Level 2"/>
    <n v="5"/>
    <n v="331.21"/>
  </r>
  <r>
    <s v="WF_1492"/>
    <x v="0"/>
    <x v="1491"/>
    <s v="Approval"/>
    <s v="Low"/>
    <s v="HR"/>
    <s v="EMP_61"/>
    <d v="2024-04-10T19:36:00"/>
    <d v="2024-04-10T19:57:00"/>
    <n v="25"/>
    <n v="21"/>
    <n v="0"/>
    <s v="Level 1"/>
    <n v="9"/>
    <n v="176.33"/>
  </r>
  <r>
    <s v="WF_1493"/>
    <x v="4"/>
    <x v="1492"/>
    <s v="Data Entry"/>
    <s v="Low"/>
    <s v="IT"/>
    <s v="EMP_41"/>
    <d v="2024-09-04T12:41:00"/>
    <d v="2024-09-04T15:31:00"/>
    <n v="59"/>
    <n v="170"/>
    <n v="1"/>
    <s v="Level 1"/>
    <n v="3"/>
    <n v="382.96"/>
  </r>
  <r>
    <s v="WF_1494"/>
    <x v="3"/>
    <x v="1493"/>
    <s v="Escalation"/>
    <s v="Low"/>
    <s v="HR"/>
    <s v="EMP_47"/>
    <d v="2024-06-17T02:26:00"/>
    <d v="2024-06-17T05:20:00"/>
    <n v="154"/>
    <n v="174"/>
    <n v="1"/>
    <s v="Level 1"/>
    <n v="3"/>
    <n v="262.05"/>
  </r>
  <r>
    <s v="WF_1495"/>
    <x v="1"/>
    <x v="1494"/>
    <s v="Validation"/>
    <s v="Critical"/>
    <s v="IT"/>
    <s v="EMP_59"/>
    <d v="2024-08-23T12:42:00"/>
    <d v="2024-08-23T15:37:00"/>
    <n v="159"/>
    <n v="175"/>
    <n v="1"/>
    <s v="Level 3"/>
    <n v="3"/>
    <n v="100.82"/>
  </r>
  <r>
    <s v="WF_1496"/>
    <x v="4"/>
    <x v="1495"/>
    <s v="Approval"/>
    <s v="Low"/>
    <s v="Customer Service"/>
    <s v="EMP_119"/>
    <d v="2024-01-18T11:56:00"/>
    <d v="2024-01-18T14:23:00"/>
    <n v="104"/>
    <n v="147"/>
    <n v="1"/>
    <s v="Level 3"/>
    <n v="5"/>
    <n v="62.94"/>
  </r>
  <r>
    <s v="WF_1497"/>
    <x v="4"/>
    <x v="1496"/>
    <s v="Escalation"/>
    <s v="Medium"/>
    <s v="Finance"/>
    <s v="EMP_78"/>
    <d v="2024-09-10T12:05:00"/>
    <d v="2024-09-10T15:53:00"/>
    <n v="188"/>
    <n v="228"/>
    <n v="1"/>
    <s v="Level 3"/>
    <n v="7"/>
    <n v="330.85"/>
  </r>
  <r>
    <s v="WF_1498"/>
    <x v="0"/>
    <x v="1497"/>
    <s v="Escalation"/>
    <s v="Critical"/>
    <s v="Customer Service"/>
    <s v="EMP_128"/>
    <d v="2024-03-26T06:42:00"/>
    <d v="2024-03-26T07:43:00"/>
    <n v="36"/>
    <n v="61"/>
    <n v="1"/>
    <s v="Level 1"/>
    <n v="9"/>
    <n v="237.89"/>
  </r>
  <r>
    <s v="WF_1499"/>
    <x v="3"/>
    <x v="1498"/>
    <s v="Data Entry"/>
    <s v="Low"/>
    <s v="IT"/>
    <s v="EMP_69"/>
    <d v="2024-02-25T11:31:00"/>
    <d v="2024-02-25T13:47:00"/>
    <n v="126"/>
    <n v="136"/>
    <n v="1"/>
    <s v="Level 3"/>
    <n v="5"/>
    <n v="228.89"/>
  </r>
  <r>
    <s v="WF_1500"/>
    <x v="3"/>
    <x v="1499"/>
    <s v="Data Entry"/>
    <s v="Low"/>
    <s v="IT"/>
    <s v="EMP_51"/>
    <d v="2024-11-21T04:19:00"/>
    <d v="2024-11-21T06:33:00"/>
    <n v="43"/>
    <n v="134"/>
    <n v="1"/>
    <s v="Level 1"/>
    <n v="4"/>
    <n v="278.98"/>
  </r>
  <r>
    <s v="WF_1501"/>
    <x v="3"/>
    <x v="1500"/>
    <s v="Data Entry"/>
    <s v="High"/>
    <s v="Customer Service"/>
    <s v="EMP_42"/>
    <d v="2024-01-14T00:29:00"/>
    <d v="2024-01-14T02:01:00"/>
    <n v="15"/>
    <n v="92"/>
    <n v="1"/>
    <s v="Level 2"/>
    <n v="10"/>
    <n v="304.87"/>
  </r>
  <r>
    <s v="WF_1502"/>
    <x v="4"/>
    <x v="1501"/>
    <s v="Review"/>
    <s v="Critical"/>
    <s v="Finance"/>
    <s v="EMP_8"/>
    <d v="2024-01-19T20:20:00"/>
    <d v="2024-01-20T00:07:00"/>
    <n v="184"/>
    <n v="227"/>
    <n v="1"/>
    <s v="Level 1"/>
    <n v="2"/>
    <n v="459.3"/>
  </r>
  <r>
    <s v="WF_1503"/>
    <x v="1"/>
    <x v="1502"/>
    <s v="Validation"/>
    <s v="Critical"/>
    <s v="Operations"/>
    <s v="EMP_149"/>
    <d v="2024-10-17T11:37:00"/>
    <d v="2024-10-17T14:51:00"/>
    <n v="131"/>
    <n v="194"/>
    <n v="1"/>
    <s v="Level 2"/>
    <n v="10"/>
    <n v="319.18"/>
  </r>
  <r>
    <s v="WF_1504"/>
    <x v="1"/>
    <x v="1503"/>
    <s v="Review"/>
    <s v="Medium"/>
    <s v="Operations"/>
    <s v="EMP_11"/>
    <d v="2024-10-27T13:46:00"/>
    <d v="2024-10-27T17:09:00"/>
    <n v="145"/>
    <n v="203"/>
    <n v="1"/>
    <s v="Level 1"/>
    <n v="7"/>
    <n v="375.76"/>
  </r>
  <r>
    <s v="WF_1505"/>
    <x v="1"/>
    <x v="1504"/>
    <s v="Review"/>
    <s v="Low"/>
    <s v="Customer Service"/>
    <s v="EMP_35"/>
    <d v="2024-02-02T16:18:00"/>
    <d v="2024-02-02T18:06:00"/>
    <n v="10"/>
    <n v="108"/>
    <n v="1"/>
    <s v="Level 3"/>
    <n v="9"/>
    <n v="450.48"/>
  </r>
  <r>
    <s v="WF_1506"/>
    <x v="4"/>
    <x v="1505"/>
    <s v="Data Entry"/>
    <s v="Critical"/>
    <s v="Customer Service"/>
    <s v="EMP_87"/>
    <d v="2024-07-20T05:48:00"/>
    <d v="2024-07-20T08:04:00"/>
    <n v="60"/>
    <n v="136"/>
    <n v="1"/>
    <s v="Level 2"/>
    <n v="1"/>
    <n v="427.33"/>
  </r>
  <r>
    <s v="WF_1507"/>
    <x v="1"/>
    <x v="1506"/>
    <s v="Escalation"/>
    <s v="Low"/>
    <s v="HR"/>
    <s v="EMP_77"/>
    <d v="2024-09-14T15:44:00"/>
    <d v="2024-09-14T17:22:00"/>
    <n v="98"/>
    <n v="98"/>
    <n v="0"/>
    <s v="Level 1"/>
    <n v="7"/>
    <n v="319.64"/>
  </r>
  <r>
    <s v="WF_1508"/>
    <x v="4"/>
    <x v="1507"/>
    <s v="Escalation"/>
    <s v="Low"/>
    <s v="Operations"/>
    <s v="EMP_133"/>
    <d v="2024-02-17T12:59:00"/>
    <d v="2024-02-17T16:59:00"/>
    <n v="195"/>
    <n v="240"/>
    <n v="1"/>
    <s v="Level 1"/>
    <n v="3"/>
    <n v="458.5"/>
  </r>
  <r>
    <s v="WF_1509"/>
    <x v="3"/>
    <x v="1508"/>
    <s v="Approval"/>
    <s v="Medium"/>
    <s v="Customer Service"/>
    <s v="EMP_58"/>
    <d v="2024-06-03T11:51:00"/>
    <d v="2024-06-03T16:56:00"/>
    <n v="239"/>
    <n v="305"/>
    <n v="1"/>
    <s v="Level 1"/>
    <n v="8"/>
    <n v="158.16999999999999"/>
  </r>
  <r>
    <s v="WF_1510"/>
    <x v="4"/>
    <x v="1509"/>
    <s v="Escalation"/>
    <s v="Medium"/>
    <s v="HR"/>
    <s v="EMP_113"/>
    <d v="2024-04-17T13:24:00"/>
    <d v="2024-04-17T16:53:00"/>
    <n v="154"/>
    <n v="209"/>
    <n v="1"/>
    <s v="Level 2"/>
    <n v="8"/>
    <n v="56.21"/>
  </r>
  <r>
    <s v="WF_1511"/>
    <x v="0"/>
    <x v="1510"/>
    <s v="Validation"/>
    <s v="Low"/>
    <s v="Customer Service"/>
    <s v="EMP_61"/>
    <d v="2024-06-27T10:17:00"/>
    <d v="2024-06-27T14:30:00"/>
    <n v="152"/>
    <n v="253"/>
    <n v="1"/>
    <s v="Level 2"/>
    <n v="4"/>
    <n v="487.29"/>
  </r>
  <r>
    <s v="WF_1512"/>
    <x v="4"/>
    <x v="1511"/>
    <s v="Validation"/>
    <s v="Critical"/>
    <s v="HR"/>
    <s v="EMP_122"/>
    <d v="2024-02-12T03:12:00"/>
    <d v="2024-02-12T04:40:00"/>
    <n v="33"/>
    <n v="88"/>
    <n v="1"/>
    <s v="Level 1"/>
    <n v="9"/>
    <n v="176.84"/>
  </r>
  <r>
    <s v="WF_1513"/>
    <x v="3"/>
    <x v="1512"/>
    <s v="Data Entry"/>
    <s v="High"/>
    <s v="IT"/>
    <s v="EMP_65"/>
    <d v="2024-10-24T03:05:00"/>
    <d v="2024-10-24T06:39:00"/>
    <n v="211"/>
    <n v="214"/>
    <n v="1"/>
    <s v="Level 3"/>
    <n v="9"/>
    <n v="244.16"/>
  </r>
  <r>
    <s v="WF_1514"/>
    <x v="1"/>
    <x v="1513"/>
    <s v="Validation"/>
    <s v="Medium"/>
    <s v="Finance"/>
    <s v="EMP_121"/>
    <d v="2024-03-14T17:46:00"/>
    <d v="2024-03-14T20:09:00"/>
    <n v="72"/>
    <n v="143"/>
    <n v="1"/>
    <s v="Level 1"/>
    <n v="5"/>
    <n v="228.27"/>
  </r>
  <r>
    <s v="WF_1515"/>
    <x v="0"/>
    <x v="1514"/>
    <s v="Review"/>
    <s v="Critical"/>
    <s v="Operations"/>
    <s v="EMP_16"/>
    <d v="2024-07-05T03:16:00"/>
    <d v="2024-07-05T05:38:00"/>
    <n v="105"/>
    <n v="142"/>
    <n v="1"/>
    <s v="Level 2"/>
    <n v="3"/>
    <n v="153.19999999999999"/>
  </r>
  <r>
    <s v="WF_1516"/>
    <x v="4"/>
    <x v="1515"/>
    <s v="Approval"/>
    <s v="High"/>
    <s v="HR"/>
    <s v="EMP_6"/>
    <d v="2024-09-06T19:29:00"/>
    <d v="2024-09-06T23:37:00"/>
    <n v="173"/>
    <n v="248"/>
    <n v="1"/>
    <s v="Level 1"/>
    <n v="7"/>
    <n v="420.38"/>
  </r>
  <r>
    <s v="WF_1517"/>
    <x v="2"/>
    <x v="1516"/>
    <s v="Review"/>
    <s v="High"/>
    <s v="Finance"/>
    <s v="EMP_83"/>
    <d v="2024-06-17T11:35:00"/>
    <d v="2024-06-17T14:58:00"/>
    <n v="132"/>
    <n v="203"/>
    <n v="1"/>
    <s v="Level 1"/>
    <n v="7"/>
    <n v="85.75"/>
  </r>
  <r>
    <s v="WF_1518"/>
    <x v="3"/>
    <x v="1517"/>
    <s v="Review"/>
    <s v="Medium"/>
    <s v="Customer Service"/>
    <s v="EMP_3"/>
    <d v="2024-07-19T23:38:00"/>
    <d v="2024-07-20T03:13:00"/>
    <n v="123"/>
    <n v="215"/>
    <n v="1"/>
    <s v="Level 1"/>
    <n v="10"/>
    <n v="402.94"/>
  </r>
  <r>
    <s v="WF_1519"/>
    <x v="0"/>
    <x v="1518"/>
    <s v="Data Entry"/>
    <s v="High"/>
    <s v="Operations"/>
    <s v="EMP_125"/>
    <d v="2024-07-30T16:33:00"/>
    <d v="2024-07-30T18:57:00"/>
    <n v="132"/>
    <n v="144"/>
    <n v="1"/>
    <s v="Level 1"/>
    <n v="5"/>
    <n v="326.5"/>
  </r>
  <r>
    <s v="WF_1520"/>
    <x v="4"/>
    <x v="1519"/>
    <s v="Escalation"/>
    <s v="Medium"/>
    <s v="Operations"/>
    <s v="EMP_133"/>
    <d v="2024-10-24T00:45:00"/>
    <d v="2024-10-24T03:22:00"/>
    <n v="122"/>
    <n v="157"/>
    <n v="1"/>
    <s v="Level 2"/>
    <n v="3"/>
    <n v="176.2"/>
  </r>
  <r>
    <s v="WF_1521"/>
    <x v="3"/>
    <x v="1520"/>
    <s v="Review"/>
    <s v="High"/>
    <s v="HR"/>
    <s v="EMP_87"/>
    <d v="2024-12-10T12:58:00"/>
    <d v="2024-12-10T14:48:00"/>
    <n v="61"/>
    <n v="110"/>
    <n v="1"/>
    <s v="Level 2"/>
    <n v="10"/>
    <n v="484.38"/>
  </r>
  <r>
    <s v="WF_1522"/>
    <x v="2"/>
    <x v="1521"/>
    <s v="Validation"/>
    <s v="Critical"/>
    <s v="Customer Service"/>
    <s v="EMP_30"/>
    <d v="2024-11-15T12:34:00"/>
    <d v="2024-11-15T17:10:00"/>
    <n v="170"/>
    <n v="276"/>
    <n v="1"/>
    <s v="Level 3"/>
    <n v="4"/>
    <n v="280.87"/>
  </r>
  <r>
    <s v="WF_1523"/>
    <x v="0"/>
    <x v="1522"/>
    <s v="Validation"/>
    <s v="Critical"/>
    <s v="Operations"/>
    <s v="EMP_149"/>
    <d v="2024-07-23T12:19:00"/>
    <d v="2024-07-23T14:46:00"/>
    <n v="38"/>
    <n v="147"/>
    <n v="1"/>
    <s v="Level 3"/>
    <n v="3"/>
    <n v="133.36000000000001"/>
  </r>
  <r>
    <s v="WF_1524"/>
    <x v="3"/>
    <x v="1523"/>
    <s v="Validation"/>
    <s v="Low"/>
    <s v="Finance"/>
    <s v="EMP_146"/>
    <d v="2024-11-30T05:35:00"/>
    <d v="2024-11-30T07:27:00"/>
    <n v="67"/>
    <n v="112"/>
    <n v="1"/>
    <s v="Level 2"/>
    <n v="8"/>
    <n v="348.42"/>
  </r>
  <r>
    <s v="WF_1525"/>
    <x v="3"/>
    <x v="1524"/>
    <s v="Data Entry"/>
    <s v="High"/>
    <s v="HR"/>
    <s v="EMP_9"/>
    <d v="2024-09-22T22:36:00"/>
    <d v="2024-09-23T03:22:00"/>
    <n v="218"/>
    <n v="286"/>
    <n v="1"/>
    <s v="Level 1"/>
    <n v="2"/>
    <n v="137.81"/>
  </r>
  <r>
    <s v="WF_1526"/>
    <x v="4"/>
    <x v="1525"/>
    <s v="Escalation"/>
    <s v="Critical"/>
    <s v="Operations"/>
    <s v="EMP_135"/>
    <d v="2024-06-08T23:37:00"/>
    <d v="2024-06-09T03:13:00"/>
    <n v="109"/>
    <n v="216"/>
    <n v="1"/>
    <s v="Level 1"/>
    <n v="3"/>
    <n v="495.57"/>
  </r>
  <r>
    <s v="WF_1527"/>
    <x v="2"/>
    <x v="1526"/>
    <s v="Review"/>
    <s v="Medium"/>
    <s v="Operations"/>
    <s v="EMP_84"/>
    <d v="2024-01-09T16:04:00"/>
    <d v="2024-01-09T19:05:00"/>
    <n v="87"/>
    <n v="181"/>
    <n v="1"/>
    <s v="Level 1"/>
    <n v="5"/>
    <n v="413.88"/>
  </r>
  <r>
    <s v="WF_1528"/>
    <x v="3"/>
    <x v="1527"/>
    <s v="Approval"/>
    <s v="Medium"/>
    <s v="IT"/>
    <s v="EMP_1"/>
    <d v="2024-04-28T04:54:00"/>
    <d v="2024-04-28T06:38:00"/>
    <n v="102"/>
    <n v="104"/>
    <n v="1"/>
    <s v="Level 3"/>
    <n v="7"/>
    <n v="182.85"/>
  </r>
  <r>
    <s v="WF_1529"/>
    <x v="4"/>
    <x v="1528"/>
    <s v="Validation"/>
    <s v="Medium"/>
    <s v="Customer Service"/>
    <s v="EMP_32"/>
    <d v="2024-08-10T04:43:00"/>
    <d v="2024-08-10T09:28:00"/>
    <n v="239"/>
    <n v="285"/>
    <n v="1"/>
    <s v="Level 3"/>
    <n v="5"/>
    <n v="64.7"/>
  </r>
  <r>
    <s v="WF_1530"/>
    <x v="1"/>
    <x v="1529"/>
    <s v="Approval"/>
    <s v="Low"/>
    <s v="Customer Service"/>
    <s v="EMP_71"/>
    <d v="2024-02-10T06:49:00"/>
    <d v="2024-02-10T10:31:00"/>
    <n v="115"/>
    <n v="222"/>
    <n v="1"/>
    <s v="Level 3"/>
    <n v="5"/>
    <n v="359.56"/>
  </r>
  <r>
    <s v="WF_1531"/>
    <x v="4"/>
    <x v="1530"/>
    <s v="Approval"/>
    <s v="Critical"/>
    <s v="HR"/>
    <s v="EMP_50"/>
    <d v="2024-02-07T00:50:00"/>
    <d v="2024-02-07T02:19:00"/>
    <n v="20"/>
    <n v="89"/>
    <n v="1"/>
    <s v="Level 3"/>
    <n v="9"/>
    <n v="336.35"/>
  </r>
  <r>
    <s v="WF_1532"/>
    <x v="1"/>
    <x v="1531"/>
    <s v="Review"/>
    <s v="Low"/>
    <s v="Customer Service"/>
    <s v="EMP_39"/>
    <d v="2024-01-13T18:31:00"/>
    <d v="2024-01-13T21:07:00"/>
    <n v="82"/>
    <n v="156"/>
    <n v="1"/>
    <s v="Level 3"/>
    <n v="3"/>
    <n v="434.15"/>
  </r>
  <r>
    <s v="WF_1533"/>
    <x v="3"/>
    <x v="1532"/>
    <s v="Review"/>
    <s v="High"/>
    <s v="Customer Service"/>
    <s v="EMP_85"/>
    <d v="2024-11-30T08:25:00"/>
    <d v="2024-11-30T09:43:00"/>
    <n v="42"/>
    <n v="78"/>
    <n v="1"/>
    <s v="Level 2"/>
    <n v="7"/>
    <n v="304.45"/>
  </r>
  <r>
    <s v="WF_1534"/>
    <x v="2"/>
    <x v="1533"/>
    <s v="Approval"/>
    <s v="Low"/>
    <s v="Customer Service"/>
    <s v="EMP_77"/>
    <d v="2024-12-09T17:07:00"/>
    <d v="2024-12-09T19:56:00"/>
    <n v="123"/>
    <n v="169"/>
    <n v="1"/>
    <s v="Level 1"/>
    <n v="6"/>
    <n v="317.75"/>
  </r>
  <r>
    <s v="WF_1535"/>
    <x v="4"/>
    <x v="1534"/>
    <s v="Data Entry"/>
    <s v="Low"/>
    <s v="Customer Service"/>
    <s v="EMP_15"/>
    <d v="2024-10-10T09:38:00"/>
    <d v="2024-10-10T12:53:00"/>
    <n v="154"/>
    <n v="195"/>
    <n v="1"/>
    <s v="Level 3"/>
    <n v="3"/>
    <n v="418.57"/>
  </r>
  <r>
    <s v="WF_1536"/>
    <x v="0"/>
    <x v="1535"/>
    <s v="Data Entry"/>
    <s v="Low"/>
    <s v="IT"/>
    <s v="EMP_51"/>
    <d v="2024-08-12T10:53:00"/>
    <d v="2024-08-12T14:10:00"/>
    <n v="140"/>
    <n v="197"/>
    <n v="1"/>
    <s v="Level 2"/>
    <n v="3"/>
    <n v="341.31"/>
  </r>
  <r>
    <s v="WF_1537"/>
    <x v="3"/>
    <x v="1536"/>
    <s v="Data Entry"/>
    <s v="Medium"/>
    <s v="IT"/>
    <s v="EMP_148"/>
    <d v="2024-06-05T10:33:00"/>
    <d v="2024-06-05T13:40:00"/>
    <n v="169"/>
    <n v="187"/>
    <n v="1"/>
    <s v="Level 1"/>
    <n v="5"/>
    <n v="83.62"/>
  </r>
  <r>
    <s v="WF_1538"/>
    <x v="4"/>
    <x v="1537"/>
    <s v="Data Entry"/>
    <s v="Critical"/>
    <s v="IT"/>
    <s v="EMP_45"/>
    <d v="2024-07-20T10:03:00"/>
    <d v="2024-07-20T12:07:00"/>
    <n v="15"/>
    <n v="124"/>
    <n v="1"/>
    <s v="Level 2"/>
    <n v="6"/>
    <n v="113.22"/>
  </r>
  <r>
    <s v="WF_1539"/>
    <x v="3"/>
    <x v="1538"/>
    <s v="Data Entry"/>
    <s v="Medium"/>
    <s v="Finance"/>
    <s v="EMP_82"/>
    <d v="2024-11-06T02:06:00"/>
    <d v="2024-11-06T05:25:00"/>
    <n v="196"/>
    <n v="199"/>
    <n v="1"/>
    <s v="Level 2"/>
    <n v="10"/>
    <n v="228.02"/>
  </r>
  <r>
    <s v="WF_1540"/>
    <x v="3"/>
    <x v="1539"/>
    <s v="Data Entry"/>
    <s v="High"/>
    <s v="Customer Service"/>
    <s v="EMP_4"/>
    <d v="2024-04-02T12:43:00"/>
    <d v="2024-04-02T17:07:00"/>
    <n v="180"/>
    <n v="264"/>
    <n v="1"/>
    <s v="Level 3"/>
    <n v="10"/>
    <n v="234.55"/>
  </r>
  <r>
    <s v="WF_1541"/>
    <x v="0"/>
    <x v="1540"/>
    <s v="Review"/>
    <s v="Critical"/>
    <s v="Finance"/>
    <s v="EMP_48"/>
    <d v="2024-09-08T08:50:00"/>
    <d v="2024-09-08T12:46:00"/>
    <n v="124"/>
    <n v="236"/>
    <n v="1"/>
    <s v="Level 1"/>
    <n v="4"/>
    <n v="418.63"/>
  </r>
  <r>
    <s v="WF_1542"/>
    <x v="0"/>
    <x v="1541"/>
    <s v="Validation"/>
    <s v="Critical"/>
    <s v="Customer Service"/>
    <s v="EMP_146"/>
    <d v="2024-12-12T08:03:00"/>
    <d v="2024-12-12T13:06:00"/>
    <n v="223"/>
    <n v="303"/>
    <n v="1"/>
    <s v="Level 2"/>
    <n v="4"/>
    <n v="393.98"/>
  </r>
  <r>
    <s v="WF_1543"/>
    <x v="4"/>
    <x v="1542"/>
    <s v="Escalation"/>
    <s v="Critical"/>
    <s v="Customer Service"/>
    <s v="EMP_45"/>
    <d v="2024-12-18T04:38:00"/>
    <d v="2024-12-18T07:01:00"/>
    <n v="43"/>
    <n v="143"/>
    <n v="1"/>
    <s v="Level 3"/>
    <n v="9"/>
    <n v="289.91000000000003"/>
  </r>
  <r>
    <s v="WF_1544"/>
    <x v="0"/>
    <x v="1543"/>
    <s v="Escalation"/>
    <s v="High"/>
    <s v="Customer Service"/>
    <s v="EMP_74"/>
    <d v="2024-01-16T03:32:00"/>
    <d v="2024-01-16T06:42:00"/>
    <n v="140"/>
    <n v="190"/>
    <n v="1"/>
    <s v="Level 1"/>
    <n v="8"/>
    <n v="386.33"/>
  </r>
  <r>
    <s v="WF_1545"/>
    <x v="2"/>
    <x v="1544"/>
    <s v="Approval"/>
    <s v="Low"/>
    <s v="HR"/>
    <s v="EMP_7"/>
    <d v="2024-10-16T14:25:00"/>
    <d v="2024-10-16T15:54:00"/>
    <n v="56"/>
    <n v="89"/>
    <n v="1"/>
    <s v="Level 3"/>
    <n v="10"/>
    <n v="430.7"/>
  </r>
  <r>
    <s v="WF_1546"/>
    <x v="2"/>
    <x v="1545"/>
    <s v="Review"/>
    <s v="High"/>
    <s v="HR"/>
    <s v="EMP_137"/>
    <d v="2024-02-04T16:18:00"/>
    <d v="2024-02-04T18:07:00"/>
    <n v="33"/>
    <n v="109"/>
    <n v="1"/>
    <s v="Level 1"/>
    <n v="4"/>
    <n v="93.21"/>
  </r>
  <r>
    <s v="WF_1547"/>
    <x v="0"/>
    <x v="1546"/>
    <s v="Escalation"/>
    <s v="Low"/>
    <s v="Finance"/>
    <s v="EMP_148"/>
    <d v="2024-01-07T01:44:00"/>
    <d v="2024-01-07T05:57:00"/>
    <n v="194"/>
    <n v="253"/>
    <n v="1"/>
    <s v="Level 1"/>
    <n v="10"/>
    <n v="170.55"/>
  </r>
  <r>
    <s v="WF_1548"/>
    <x v="0"/>
    <x v="1547"/>
    <s v="Validation"/>
    <s v="Medium"/>
    <s v="Customer Service"/>
    <s v="EMP_116"/>
    <d v="2024-01-11T21:59:00"/>
    <d v="2024-01-12T02:26:00"/>
    <n v="167"/>
    <n v="267"/>
    <n v="1"/>
    <s v="Level 2"/>
    <n v="3"/>
    <n v="260.16000000000003"/>
  </r>
  <r>
    <s v="WF_1549"/>
    <x v="1"/>
    <x v="1548"/>
    <s v="Escalation"/>
    <s v="Medium"/>
    <s v="Customer Service"/>
    <s v="EMP_44"/>
    <d v="2024-08-17T01:22:00"/>
    <d v="2024-08-17T03:15:00"/>
    <n v="114"/>
    <n v="113"/>
    <n v="0"/>
    <s v="Level 3"/>
    <n v="3"/>
    <n v="126.35"/>
  </r>
  <r>
    <s v="WF_1550"/>
    <x v="3"/>
    <x v="1549"/>
    <s v="Review"/>
    <s v="High"/>
    <s v="IT"/>
    <s v="EMP_77"/>
    <d v="2024-11-05T05:41:00"/>
    <d v="2024-11-05T07:15:00"/>
    <n v="44"/>
    <n v="94"/>
    <n v="1"/>
    <s v="Level 2"/>
    <n v="1"/>
    <n v="409.65"/>
  </r>
  <r>
    <s v="WF_1551"/>
    <x v="2"/>
    <x v="1550"/>
    <s v="Escalation"/>
    <s v="Critical"/>
    <s v="Operations"/>
    <s v="EMP_121"/>
    <d v="2024-10-03T08:25:00"/>
    <d v="2024-10-03T11:16:00"/>
    <n v="94"/>
    <n v="171"/>
    <n v="1"/>
    <s v="Level 1"/>
    <n v="1"/>
    <n v="61.43"/>
  </r>
  <r>
    <s v="WF_1552"/>
    <x v="1"/>
    <x v="1551"/>
    <s v="Approval"/>
    <s v="Medium"/>
    <s v="Customer Service"/>
    <s v="EMP_14"/>
    <d v="2024-01-29T16:34:00"/>
    <d v="2024-01-29T20:19:00"/>
    <n v="217"/>
    <n v="225"/>
    <n v="1"/>
    <s v="Level 1"/>
    <n v="5"/>
    <n v="102.02"/>
  </r>
  <r>
    <s v="WF_1553"/>
    <x v="4"/>
    <x v="1552"/>
    <s v="Approval"/>
    <s v="Medium"/>
    <s v="Operations"/>
    <s v="EMP_113"/>
    <d v="2024-02-19T04:29:00"/>
    <d v="2024-02-19T05:58:00"/>
    <n v="53"/>
    <n v="89"/>
    <n v="1"/>
    <s v="Level 1"/>
    <n v="6"/>
    <n v="363.98"/>
  </r>
  <r>
    <s v="WF_1554"/>
    <x v="3"/>
    <x v="1553"/>
    <s v="Approval"/>
    <s v="High"/>
    <s v="Operations"/>
    <s v="EMP_138"/>
    <d v="2024-06-27T14:06:00"/>
    <d v="2024-06-27T16:46:00"/>
    <n v="128"/>
    <n v="160"/>
    <n v="1"/>
    <s v="Level 3"/>
    <n v="5"/>
    <n v="362.73"/>
  </r>
  <r>
    <s v="WF_1555"/>
    <x v="1"/>
    <x v="1554"/>
    <s v="Review"/>
    <s v="Medium"/>
    <s v="HR"/>
    <s v="EMP_2"/>
    <d v="2024-06-15T10:50:00"/>
    <d v="2024-06-15T13:24:00"/>
    <n v="71"/>
    <n v="154"/>
    <n v="1"/>
    <s v="Level 2"/>
    <n v="7"/>
    <n v="91.85"/>
  </r>
  <r>
    <s v="WF_1556"/>
    <x v="3"/>
    <x v="1555"/>
    <s v="Review"/>
    <s v="Low"/>
    <s v="Customer Service"/>
    <s v="EMP_87"/>
    <d v="2024-10-12T18:00:00"/>
    <d v="2024-10-12T19:39:00"/>
    <n v="101"/>
    <n v="99"/>
    <n v="0"/>
    <s v="Level 2"/>
    <n v="9"/>
    <n v="432.48"/>
  </r>
  <r>
    <s v="WF_1557"/>
    <x v="2"/>
    <x v="1556"/>
    <s v="Approval"/>
    <s v="Critical"/>
    <s v="Operations"/>
    <s v="EMP_66"/>
    <d v="2024-03-13T21:32:00"/>
    <d v="2024-03-14T02:17:00"/>
    <n v="186"/>
    <n v="285"/>
    <n v="1"/>
    <s v="Level 1"/>
    <n v="8"/>
    <n v="215.41"/>
  </r>
  <r>
    <s v="WF_1558"/>
    <x v="2"/>
    <x v="1557"/>
    <s v="Review"/>
    <s v="Medium"/>
    <s v="Customer Service"/>
    <s v="EMP_14"/>
    <d v="2024-05-12T04:36:00"/>
    <d v="2024-05-12T07:44:00"/>
    <n v="112"/>
    <n v="188"/>
    <n v="1"/>
    <s v="Level 3"/>
    <n v="5"/>
    <n v="399.95"/>
  </r>
  <r>
    <s v="WF_1559"/>
    <x v="2"/>
    <x v="1558"/>
    <s v="Data Entry"/>
    <s v="Medium"/>
    <s v="Operations"/>
    <s v="EMP_37"/>
    <d v="2024-02-13T13:33:00"/>
    <d v="2024-02-13T17:00:00"/>
    <n v="185"/>
    <n v="207"/>
    <n v="1"/>
    <s v="Level 2"/>
    <n v="9"/>
    <n v="281.81"/>
  </r>
  <r>
    <s v="WF_1560"/>
    <x v="1"/>
    <x v="1559"/>
    <s v="Review"/>
    <s v="Critical"/>
    <s v="HR"/>
    <s v="EMP_4"/>
    <d v="2024-06-17T19:14:00"/>
    <d v="2024-06-18T00:40:00"/>
    <n v="234"/>
    <n v="326"/>
    <n v="1"/>
    <s v="Level 2"/>
    <n v="9"/>
    <n v="375.68"/>
  </r>
  <r>
    <s v="WF_1561"/>
    <x v="3"/>
    <x v="1560"/>
    <s v="Review"/>
    <s v="Low"/>
    <s v="Customer Service"/>
    <s v="EMP_136"/>
    <d v="2024-01-05T20:43:00"/>
    <d v="2024-01-06T00:20:00"/>
    <n v="143"/>
    <n v="217"/>
    <n v="1"/>
    <s v="Level 3"/>
    <n v="1"/>
    <n v="412.39"/>
  </r>
  <r>
    <s v="WF_1562"/>
    <x v="3"/>
    <x v="1561"/>
    <s v="Review"/>
    <s v="Medium"/>
    <s v="Customer Service"/>
    <s v="EMP_54"/>
    <d v="2024-09-01T23:36:00"/>
    <d v="2024-09-02T01:04:00"/>
    <n v="68"/>
    <n v="88"/>
    <n v="1"/>
    <s v="Level 2"/>
    <n v="4"/>
    <n v="89.24"/>
  </r>
  <r>
    <s v="WF_1563"/>
    <x v="0"/>
    <x v="1562"/>
    <s v="Data Entry"/>
    <s v="Low"/>
    <s v="Customer Service"/>
    <s v="EMP_125"/>
    <d v="2024-07-07T10:11:00"/>
    <d v="2024-07-07T13:00:00"/>
    <n v="98"/>
    <n v="169"/>
    <n v="1"/>
    <s v="Level 1"/>
    <n v="6"/>
    <n v="182.69"/>
  </r>
  <r>
    <s v="WF_1564"/>
    <x v="0"/>
    <x v="1563"/>
    <s v="Validation"/>
    <s v="Low"/>
    <s v="Customer Service"/>
    <s v="EMP_116"/>
    <d v="2024-07-17T02:17:00"/>
    <d v="2024-07-17T07:31:00"/>
    <n v="232"/>
    <n v="314"/>
    <n v="1"/>
    <s v="Level 2"/>
    <n v="10"/>
    <n v="321.01"/>
  </r>
  <r>
    <s v="WF_1565"/>
    <x v="3"/>
    <x v="1564"/>
    <s v="Escalation"/>
    <s v="Critical"/>
    <s v="Finance"/>
    <s v="EMP_132"/>
    <d v="2024-03-09T06:50:00"/>
    <d v="2024-03-09T11:33:00"/>
    <n v="237"/>
    <n v="283"/>
    <n v="1"/>
    <s v="Level 1"/>
    <n v="6"/>
    <n v="385.95"/>
  </r>
  <r>
    <s v="WF_1566"/>
    <x v="1"/>
    <x v="1565"/>
    <s v="Data Entry"/>
    <s v="Critical"/>
    <s v="HR"/>
    <s v="EMP_84"/>
    <d v="2024-11-01T09:41:00"/>
    <d v="2024-11-01T12:27:00"/>
    <n v="110"/>
    <n v="166"/>
    <n v="1"/>
    <s v="Level 3"/>
    <n v="6"/>
    <n v="302.29000000000002"/>
  </r>
  <r>
    <s v="WF_1567"/>
    <x v="3"/>
    <x v="1566"/>
    <s v="Escalation"/>
    <s v="Critical"/>
    <s v="Operations"/>
    <s v="EMP_150"/>
    <d v="2024-04-20T16:31:00"/>
    <d v="2024-04-20T17:27:00"/>
    <n v="29"/>
    <n v="56"/>
    <n v="1"/>
    <s v="Level 1"/>
    <n v="7"/>
    <n v="58.15"/>
  </r>
  <r>
    <s v="WF_1568"/>
    <x v="0"/>
    <x v="1567"/>
    <s v="Escalation"/>
    <s v="Medium"/>
    <s v="Customer Service"/>
    <s v="EMP_134"/>
    <d v="2024-12-27T16:23:00"/>
    <d v="2024-12-27T19:45:00"/>
    <n v="132"/>
    <n v="202"/>
    <n v="1"/>
    <s v="Level 2"/>
    <n v="5"/>
    <n v="99.63"/>
  </r>
  <r>
    <s v="WF_1569"/>
    <x v="1"/>
    <x v="1568"/>
    <s v="Data Entry"/>
    <s v="Medium"/>
    <s v="HR"/>
    <s v="EMP_95"/>
    <d v="2024-06-14T13:11:00"/>
    <d v="2024-06-14T14:43:00"/>
    <n v="55"/>
    <n v="92"/>
    <n v="1"/>
    <s v="Level 2"/>
    <n v="1"/>
    <n v="71.56"/>
  </r>
  <r>
    <s v="WF_1570"/>
    <x v="1"/>
    <x v="1569"/>
    <s v="Review"/>
    <s v="Medium"/>
    <s v="HR"/>
    <s v="EMP_19"/>
    <d v="2024-12-16T08:55:00"/>
    <d v="2024-12-16T11:30:00"/>
    <n v="138"/>
    <n v="155"/>
    <n v="1"/>
    <s v="Level 2"/>
    <n v="7"/>
    <n v="79.36"/>
  </r>
  <r>
    <s v="WF_1571"/>
    <x v="3"/>
    <x v="1570"/>
    <s v="Approval"/>
    <s v="High"/>
    <s v="HR"/>
    <s v="EMP_101"/>
    <d v="2024-12-29T23:08:00"/>
    <d v="2024-12-30T01:59:00"/>
    <n v="67"/>
    <n v="171"/>
    <n v="1"/>
    <s v="Level 3"/>
    <n v="7"/>
    <n v="183.09"/>
  </r>
  <r>
    <s v="WF_1572"/>
    <x v="4"/>
    <x v="1571"/>
    <s v="Review"/>
    <s v="High"/>
    <s v="IT"/>
    <s v="EMP_49"/>
    <d v="2024-08-09T20:17:00"/>
    <d v="2024-08-10T00:03:00"/>
    <n v="230"/>
    <n v="226"/>
    <n v="0"/>
    <s v="Level 3"/>
    <n v="3"/>
    <n v="190.76"/>
  </r>
  <r>
    <s v="WF_1573"/>
    <x v="2"/>
    <x v="1572"/>
    <s v="Escalation"/>
    <s v="Low"/>
    <s v="IT"/>
    <s v="EMP_107"/>
    <d v="2024-11-05T00:54:00"/>
    <d v="2024-11-05T05:44:00"/>
    <n v="235"/>
    <n v="290"/>
    <n v="1"/>
    <s v="Level 2"/>
    <n v="7"/>
    <n v="296.36"/>
  </r>
  <r>
    <s v="WF_1574"/>
    <x v="3"/>
    <x v="1573"/>
    <s v="Validation"/>
    <s v="Low"/>
    <s v="Finance"/>
    <s v="EMP_129"/>
    <d v="2024-11-21T08:53:00"/>
    <d v="2024-11-21T09:45:00"/>
    <n v="36"/>
    <n v="52"/>
    <n v="1"/>
    <s v="Level 2"/>
    <n v="10"/>
    <n v="485.97"/>
  </r>
  <r>
    <s v="WF_1575"/>
    <x v="4"/>
    <x v="1574"/>
    <s v="Review"/>
    <s v="Low"/>
    <s v="HR"/>
    <s v="EMP_132"/>
    <d v="2024-12-12T00:38:00"/>
    <d v="2024-12-12T04:37:00"/>
    <n v="140"/>
    <n v="239"/>
    <n v="1"/>
    <s v="Level 2"/>
    <n v="10"/>
    <n v="431.69"/>
  </r>
  <r>
    <s v="WF_1576"/>
    <x v="2"/>
    <x v="1575"/>
    <s v="Escalation"/>
    <s v="Medium"/>
    <s v="HR"/>
    <s v="EMP_120"/>
    <d v="2024-10-19T01:11:00"/>
    <d v="2024-10-19T03:51:00"/>
    <n v="68"/>
    <n v="160"/>
    <n v="1"/>
    <s v="Level 2"/>
    <n v="2"/>
    <n v="383.96"/>
  </r>
  <r>
    <s v="WF_1577"/>
    <x v="1"/>
    <x v="1576"/>
    <s v="Escalation"/>
    <s v="Low"/>
    <s v="Operations"/>
    <s v="EMP_109"/>
    <d v="2024-09-25T12:28:00"/>
    <d v="2024-09-25T16:39:00"/>
    <n v="137"/>
    <n v="251"/>
    <n v="1"/>
    <s v="Level 1"/>
    <n v="8"/>
    <n v="456.16"/>
  </r>
  <r>
    <s v="WF_1578"/>
    <x v="2"/>
    <x v="1577"/>
    <s v="Validation"/>
    <s v="Critical"/>
    <s v="Operations"/>
    <s v="EMP_75"/>
    <d v="2024-06-19T12:31:00"/>
    <d v="2024-06-19T14:58:00"/>
    <n v="119"/>
    <n v="147"/>
    <n v="1"/>
    <s v="Level 2"/>
    <n v="6"/>
    <n v="495.9"/>
  </r>
  <r>
    <s v="WF_1579"/>
    <x v="3"/>
    <x v="1578"/>
    <s v="Escalation"/>
    <s v="Critical"/>
    <s v="Customer Service"/>
    <s v="EMP_83"/>
    <d v="2024-05-13T20:46:00"/>
    <d v="2024-05-14T00:28:00"/>
    <n v="221"/>
    <n v="222"/>
    <n v="1"/>
    <s v="Level 2"/>
    <n v="4"/>
    <n v="142.79"/>
  </r>
  <r>
    <s v="WF_1580"/>
    <x v="4"/>
    <x v="1579"/>
    <s v="Data Entry"/>
    <s v="High"/>
    <s v="Operations"/>
    <s v="EMP_82"/>
    <d v="2024-06-22T06:42:00"/>
    <d v="2024-06-22T09:45:00"/>
    <n v="122"/>
    <n v="183"/>
    <n v="1"/>
    <s v="Level 1"/>
    <n v="7"/>
    <n v="196.2"/>
  </r>
  <r>
    <s v="WF_1581"/>
    <x v="3"/>
    <x v="1580"/>
    <s v="Approval"/>
    <s v="High"/>
    <s v="Finance"/>
    <s v="EMP_5"/>
    <d v="2024-08-21T21:22:00"/>
    <d v="2024-08-22T01:49:00"/>
    <n v="171"/>
    <n v="267"/>
    <n v="1"/>
    <s v="Level 3"/>
    <n v="8"/>
    <n v="373.68"/>
  </r>
  <r>
    <s v="WF_1582"/>
    <x v="3"/>
    <x v="1581"/>
    <s v="Validation"/>
    <s v="Low"/>
    <s v="Finance"/>
    <s v="EMP_22"/>
    <d v="2024-09-05T14:57:00"/>
    <d v="2024-09-05T17:17:00"/>
    <n v="100"/>
    <n v="140"/>
    <n v="1"/>
    <s v="Level 3"/>
    <n v="10"/>
    <n v="367.2"/>
  </r>
  <r>
    <s v="WF_1583"/>
    <x v="4"/>
    <x v="1582"/>
    <s v="Approval"/>
    <s v="Critical"/>
    <s v="HR"/>
    <s v="EMP_107"/>
    <d v="2024-08-13T20:14:00"/>
    <d v="2024-08-14T00:19:00"/>
    <n v="235"/>
    <n v="245"/>
    <n v="1"/>
    <s v="Level 3"/>
    <n v="3"/>
    <n v="100.96"/>
  </r>
  <r>
    <s v="WF_1584"/>
    <x v="4"/>
    <x v="1583"/>
    <s v="Validation"/>
    <s v="Medium"/>
    <s v="IT"/>
    <s v="EMP_64"/>
    <d v="2024-09-06T14:26:00"/>
    <d v="2024-09-06T16:06:00"/>
    <n v="81"/>
    <n v="100"/>
    <n v="1"/>
    <s v="Level 2"/>
    <n v="7"/>
    <n v="368.8"/>
  </r>
  <r>
    <s v="WF_1585"/>
    <x v="3"/>
    <x v="1584"/>
    <s v="Review"/>
    <s v="High"/>
    <s v="Finance"/>
    <s v="EMP_110"/>
    <d v="2024-02-03T03:45:00"/>
    <d v="2024-02-03T06:44:00"/>
    <n v="62"/>
    <n v="179"/>
    <n v="1"/>
    <s v="Level 3"/>
    <n v="3"/>
    <n v="278.23"/>
  </r>
  <r>
    <s v="WF_1586"/>
    <x v="1"/>
    <x v="1585"/>
    <s v="Review"/>
    <s v="Low"/>
    <s v="Operations"/>
    <s v="EMP_25"/>
    <d v="2024-09-24T23:35:00"/>
    <d v="2024-09-25T02:45:00"/>
    <n v="126"/>
    <n v="190"/>
    <n v="1"/>
    <s v="Level 2"/>
    <n v="2"/>
    <n v="445.88"/>
  </r>
  <r>
    <s v="WF_1587"/>
    <x v="0"/>
    <x v="1586"/>
    <s v="Data Entry"/>
    <s v="Critical"/>
    <s v="IT"/>
    <s v="EMP_46"/>
    <d v="2024-09-11T09:39:00"/>
    <d v="2024-09-11T14:27:00"/>
    <n v="179"/>
    <n v="288"/>
    <n v="1"/>
    <s v="Level 2"/>
    <n v="10"/>
    <n v="68.040000000000006"/>
  </r>
  <r>
    <s v="WF_1588"/>
    <x v="4"/>
    <x v="1587"/>
    <s v="Review"/>
    <s v="Low"/>
    <s v="Finance"/>
    <s v="EMP_5"/>
    <d v="2024-08-02T09:04:00"/>
    <d v="2024-08-02T13:48:00"/>
    <n v="166"/>
    <n v="284"/>
    <n v="1"/>
    <s v="Level 1"/>
    <n v="1"/>
    <n v="246.03"/>
  </r>
  <r>
    <s v="WF_1589"/>
    <x v="4"/>
    <x v="1588"/>
    <s v="Data Entry"/>
    <s v="Critical"/>
    <s v="HR"/>
    <s v="EMP_114"/>
    <d v="2024-03-03T12:37:00"/>
    <d v="2024-03-03T14:50:00"/>
    <n v="134"/>
    <n v="133"/>
    <n v="0"/>
    <s v="Level 3"/>
    <n v="3"/>
    <n v="291.04000000000002"/>
  </r>
  <r>
    <s v="WF_1590"/>
    <x v="4"/>
    <x v="1589"/>
    <s v="Escalation"/>
    <s v="Low"/>
    <s v="Customer Service"/>
    <s v="EMP_94"/>
    <d v="2024-01-18T19:16:00"/>
    <d v="2024-01-18T22:05:00"/>
    <n v="174"/>
    <n v="169"/>
    <n v="0"/>
    <s v="Level 2"/>
    <n v="5"/>
    <n v="284.79000000000002"/>
  </r>
  <r>
    <s v="WF_1591"/>
    <x v="0"/>
    <x v="1590"/>
    <s v="Review"/>
    <s v="Medium"/>
    <s v="IT"/>
    <s v="EMP_61"/>
    <d v="2024-11-16T01:15:00"/>
    <d v="2024-11-16T04:24:00"/>
    <n v="107"/>
    <n v="189"/>
    <n v="1"/>
    <s v="Level 2"/>
    <n v="3"/>
    <n v="400.19"/>
  </r>
  <r>
    <s v="WF_1592"/>
    <x v="1"/>
    <x v="1591"/>
    <s v="Escalation"/>
    <s v="Critical"/>
    <s v="HR"/>
    <s v="EMP_99"/>
    <d v="2024-02-27T05:28:00"/>
    <d v="2024-02-27T10:41:00"/>
    <n v="233"/>
    <n v="313"/>
    <n v="1"/>
    <s v="Level 1"/>
    <n v="7"/>
    <n v="226.04"/>
  </r>
  <r>
    <s v="WF_1593"/>
    <x v="4"/>
    <x v="1592"/>
    <s v="Approval"/>
    <s v="Critical"/>
    <s v="HR"/>
    <s v="EMP_118"/>
    <d v="2024-06-19T08:55:00"/>
    <d v="2024-06-19T12:20:00"/>
    <n v="162"/>
    <n v="205"/>
    <n v="1"/>
    <s v="Level 1"/>
    <n v="2"/>
    <n v="469.09"/>
  </r>
  <r>
    <s v="WF_1594"/>
    <x v="0"/>
    <x v="1593"/>
    <s v="Review"/>
    <s v="High"/>
    <s v="Customer Service"/>
    <s v="EMP_139"/>
    <d v="2024-03-24T17:40:00"/>
    <d v="2024-03-24T22:00:00"/>
    <n v="216"/>
    <n v="260"/>
    <n v="1"/>
    <s v="Level 1"/>
    <n v="7"/>
    <n v="445.11"/>
  </r>
  <r>
    <s v="WF_1595"/>
    <x v="1"/>
    <x v="1594"/>
    <s v="Escalation"/>
    <s v="Medium"/>
    <s v="Operations"/>
    <s v="EMP_35"/>
    <d v="2024-10-10T01:14:00"/>
    <d v="2024-10-10T05:30:00"/>
    <n v="239"/>
    <n v="256"/>
    <n v="1"/>
    <s v="Level 3"/>
    <n v="5"/>
    <n v="306.02999999999997"/>
  </r>
  <r>
    <s v="WF_1596"/>
    <x v="2"/>
    <x v="1595"/>
    <s v="Escalation"/>
    <s v="Medium"/>
    <s v="Customer Service"/>
    <s v="EMP_149"/>
    <d v="2024-09-21T19:38:00"/>
    <d v="2024-09-21T22:11:00"/>
    <n v="131"/>
    <n v="153"/>
    <n v="1"/>
    <s v="Level 1"/>
    <n v="1"/>
    <n v="328.77"/>
  </r>
  <r>
    <s v="WF_1597"/>
    <x v="3"/>
    <x v="1596"/>
    <s v="Review"/>
    <s v="High"/>
    <s v="IT"/>
    <s v="EMP_100"/>
    <d v="2024-08-24T09:48:00"/>
    <d v="2024-08-24T11:51:00"/>
    <n v="59"/>
    <n v="123"/>
    <n v="1"/>
    <s v="Level 3"/>
    <n v="2"/>
    <n v="217.96"/>
  </r>
  <r>
    <s v="WF_1598"/>
    <x v="4"/>
    <x v="1597"/>
    <s v="Data Entry"/>
    <s v="Critical"/>
    <s v="Operations"/>
    <s v="EMP_125"/>
    <d v="2024-09-17T00:39:00"/>
    <d v="2024-09-17T03:47:00"/>
    <n v="145"/>
    <n v="188"/>
    <n v="1"/>
    <s v="Level 3"/>
    <n v="7"/>
    <n v="155.26"/>
  </r>
  <r>
    <s v="WF_1599"/>
    <x v="0"/>
    <x v="1598"/>
    <s v="Review"/>
    <s v="Medium"/>
    <s v="Operations"/>
    <s v="EMP_54"/>
    <d v="2024-03-12T03:16:00"/>
    <d v="2024-03-12T04:26:00"/>
    <n v="48"/>
    <n v="70"/>
    <n v="1"/>
    <s v="Level 3"/>
    <n v="5"/>
    <n v="494.89"/>
  </r>
  <r>
    <s v="WF_1600"/>
    <x v="1"/>
    <x v="1599"/>
    <s v="Validation"/>
    <s v="Medium"/>
    <s v="Operations"/>
    <s v="EMP_140"/>
    <d v="2024-11-12T02:24:00"/>
    <d v="2024-11-12T07:18:00"/>
    <n v="236"/>
    <n v="294"/>
    <n v="1"/>
    <s v="Level 1"/>
    <n v="4"/>
    <n v="429"/>
  </r>
  <r>
    <s v="WF_1601"/>
    <x v="0"/>
    <x v="1600"/>
    <s v="Approval"/>
    <s v="Critical"/>
    <s v="Customer Service"/>
    <s v="EMP_35"/>
    <d v="2024-12-07T15:29:00"/>
    <d v="2024-12-07T17:50:00"/>
    <n v="68"/>
    <n v="141"/>
    <n v="1"/>
    <s v="Level 2"/>
    <n v="1"/>
    <n v="178.27"/>
  </r>
  <r>
    <s v="WF_1602"/>
    <x v="3"/>
    <x v="1601"/>
    <s v="Escalation"/>
    <s v="Low"/>
    <s v="Finance"/>
    <s v="EMP_39"/>
    <d v="2024-06-10T06:08:00"/>
    <d v="2024-06-10T06:39:00"/>
    <n v="25"/>
    <n v="31"/>
    <n v="1"/>
    <s v="Level 3"/>
    <n v="4"/>
    <n v="475.12"/>
  </r>
  <r>
    <s v="WF_1603"/>
    <x v="4"/>
    <x v="1602"/>
    <s v="Data Entry"/>
    <s v="Medium"/>
    <s v="Customer Service"/>
    <s v="EMP_147"/>
    <d v="2024-04-06T10:16:00"/>
    <d v="2024-04-06T11:51:00"/>
    <n v="76"/>
    <n v="95"/>
    <n v="1"/>
    <s v="Level 1"/>
    <n v="5"/>
    <n v="394.48"/>
  </r>
  <r>
    <s v="WF_1604"/>
    <x v="1"/>
    <x v="1603"/>
    <s v="Validation"/>
    <s v="Low"/>
    <s v="Operations"/>
    <s v="EMP_112"/>
    <d v="2024-04-27T21:11:00"/>
    <d v="2024-04-28T00:12:00"/>
    <n v="81"/>
    <n v="181"/>
    <n v="1"/>
    <s v="Level 1"/>
    <n v="5"/>
    <n v="231.03"/>
  </r>
  <r>
    <s v="WF_1605"/>
    <x v="3"/>
    <x v="1604"/>
    <s v="Data Entry"/>
    <s v="High"/>
    <s v="Operations"/>
    <s v="EMP_41"/>
    <d v="2024-08-17T23:13:00"/>
    <d v="2024-08-18T02:04:00"/>
    <n v="68"/>
    <n v="171"/>
    <n v="1"/>
    <s v="Level 1"/>
    <n v="4"/>
    <n v="273.61"/>
  </r>
  <r>
    <s v="WF_1606"/>
    <x v="0"/>
    <x v="1605"/>
    <s v="Approval"/>
    <s v="Critical"/>
    <s v="Finance"/>
    <s v="EMP_81"/>
    <d v="2024-05-25T17:54:00"/>
    <d v="2024-05-25T21:51:00"/>
    <n v="198"/>
    <n v="237"/>
    <n v="1"/>
    <s v="Level 1"/>
    <n v="9"/>
    <n v="250.98"/>
  </r>
  <r>
    <s v="WF_1607"/>
    <x v="1"/>
    <x v="1606"/>
    <s v="Validation"/>
    <s v="Low"/>
    <s v="IT"/>
    <s v="EMP_136"/>
    <d v="2024-09-26T09:39:00"/>
    <d v="2024-09-26T12:05:00"/>
    <n v="104"/>
    <n v="146"/>
    <n v="1"/>
    <s v="Level 2"/>
    <n v="9"/>
    <n v="413.05"/>
  </r>
  <r>
    <s v="WF_1608"/>
    <x v="4"/>
    <x v="1607"/>
    <s v="Approval"/>
    <s v="Low"/>
    <s v="IT"/>
    <s v="EMP_135"/>
    <d v="2024-12-02T02:53:00"/>
    <d v="2024-12-02T07:25:00"/>
    <n v="173"/>
    <n v="272"/>
    <n v="1"/>
    <s v="Level 3"/>
    <n v="3"/>
    <n v="439.94"/>
  </r>
  <r>
    <s v="WF_1609"/>
    <x v="0"/>
    <x v="1608"/>
    <s v="Data Entry"/>
    <s v="Critical"/>
    <s v="Customer Service"/>
    <s v="EMP_54"/>
    <d v="2024-03-28T02:46:00"/>
    <d v="2024-03-28T05:21:00"/>
    <n v="51"/>
    <n v="155"/>
    <n v="1"/>
    <s v="Level 1"/>
    <n v="3"/>
    <n v="217.3"/>
  </r>
  <r>
    <s v="WF_1610"/>
    <x v="3"/>
    <x v="1609"/>
    <s v="Escalation"/>
    <s v="Critical"/>
    <s v="HR"/>
    <s v="EMP_2"/>
    <d v="2024-06-10T20:39:00"/>
    <d v="2024-06-10T22:09:00"/>
    <n v="44"/>
    <n v="90"/>
    <n v="1"/>
    <s v="Level 3"/>
    <n v="4"/>
    <n v="491.78"/>
  </r>
  <r>
    <s v="WF_1611"/>
    <x v="3"/>
    <x v="1610"/>
    <s v="Validation"/>
    <s v="Medium"/>
    <s v="IT"/>
    <s v="EMP_27"/>
    <d v="2024-09-02T03:39:00"/>
    <d v="2024-09-02T06:44:00"/>
    <n v="70"/>
    <n v="185"/>
    <n v="1"/>
    <s v="Level 3"/>
    <n v="1"/>
    <n v="445.2"/>
  </r>
  <r>
    <s v="WF_1612"/>
    <x v="4"/>
    <x v="1611"/>
    <s v="Approval"/>
    <s v="Low"/>
    <s v="HR"/>
    <s v="EMP_30"/>
    <d v="2024-03-12T14:57:00"/>
    <d v="2024-03-12T17:52:00"/>
    <n v="60"/>
    <n v="175"/>
    <n v="1"/>
    <s v="Level 2"/>
    <n v="7"/>
    <n v="86.19"/>
  </r>
  <r>
    <s v="WF_1613"/>
    <x v="1"/>
    <x v="1612"/>
    <s v="Approval"/>
    <s v="Critical"/>
    <s v="HR"/>
    <s v="EMP_34"/>
    <d v="2024-08-25T08:02:00"/>
    <d v="2024-08-25T11:04:00"/>
    <n v="128"/>
    <n v="182"/>
    <n v="1"/>
    <s v="Level 3"/>
    <n v="10"/>
    <n v="434.11"/>
  </r>
  <r>
    <s v="WF_1614"/>
    <x v="4"/>
    <x v="1613"/>
    <s v="Escalation"/>
    <s v="Medium"/>
    <s v="IT"/>
    <s v="EMP_149"/>
    <d v="2024-10-24T08:45:00"/>
    <d v="2024-10-24T11:36:00"/>
    <n v="134"/>
    <n v="171"/>
    <n v="1"/>
    <s v="Level 1"/>
    <n v="1"/>
    <n v="446.62"/>
  </r>
  <r>
    <s v="WF_1615"/>
    <x v="1"/>
    <x v="1614"/>
    <s v="Approval"/>
    <s v="Critical"/>
    <s v="Operations"/>
    <s v="EMP_20"/>
    <d v="2024-09-27T00:49:00"/>
    <d v="2024-09-27T04:08:00"/>
    <n v="86"/>
    <n v="199"/>
    <n v="1"/>
    <s v="Level 2"/>
    <n v="6"/>
    <n v="265.08"/>
  </r>
  <r>
    <s v="WF_1616"/>
    <x v="0"/>
    <x v="1615"/>
    <s v="Escalation"/>
    <s v="High"/>
    <s v="HR"/>
    <s v="EMP_90"/>
    <d v="2024-04-30T04:18:00"/>
    <d v="2024-04-30T07:34:00"/>
    <n v="190"/>
    <n v="196"/>
    <n v="1"/>
    <s v="Level 2"/>
    <n v="2"/>
    <n v="383.36"/>
  </r>
  <r>
    <s v="WF_1617"/>
    <x v="3"/>
    <x v="1616"/>
    <s v="Approval"/>
    <s v="Low"/>
    <s v="HR"/>
    <s v="EMP_92"/>
    <d v="2024-02-28T08:20:00"/>
    <d v="2024-02-28T11:49:00"/>
    <n v="122"/>
    <n v="209"/>
    <n v="1"/>
    <s v="Level 3"/>
    <n v="10"/>
    <n v="376.41"/>
  </r>
  <r>
    <s v="WF_1618"/>
    <x v="0"/>
    <x v="1617"/>
    <s v="Data Entry"/>
    <s v="Low"/>
    <s v="Customer Service"/>
    <s v="EMP_25"/>
    <d v="2024-05-31T12:04:00"/>
    <d v="2024-05-31T14:13:00"/>
    <n v="116"/>
    <n v="129"/>
    <n v="1"/>
    <s v="Level 1"/>
    <n v="6"/>
    <n v="105.98"/>
  </r>
  <r>
    <s v="WF_1619"/>
    <x v="0"/>
    <x v="1618"/>
    <s v="Validation"/>
    <s v="High"/>
    <s v="Operations"/>
    <s v="EMP_146"/>
    <d v="2024-06-22T17:03:00"/>
    <d v="2024-06-22T20:25:00"/>
    <n v="169"/>
    <n v="202"/>
    <n v="1"/>
    <s v="Level 2"/>
    <n v="10"/>
    <n v="379.78"/>
  </r>
  <r>
    <s v="WF_1620"/>
    <x v="1"/>
    <x v="1619"/>
    <s v="Validation"/>
    <s v="Medium"/>
    <s v="HR"/>
    <s v="EMP_75"/>
    <d v="2024-08-07T20:51:00"/>
    <d v="2024-08-08T00:22:00"/>
    <n v="106"/>
    <n v="211"/>
    <n v="1"/>
    <s v="Level 3"/>
    <n v="6"/>
    <n v="482.5"/>
  </r>
  <r>
    <s v="WF_1621"/>
    <x v="1"/>
    <x v="1620"/>
    <s v="Data Entry"/>
    <s v="Low"/>
    <s v="Operations"/>
    <s v="EMP_26"/>
    <d v="2024-02-14T07:49:00"/>
    <d v="2024-02-14T09:28:00"/>
    <n v="22"/>
    <n v="99"/>
    <n v="1"/>
    <s v="Level 2"/>
    <n v="9"/>
    <n v="63.07"/>
  </r>
  <r>
    <s v="WF_1622"/>
    <x v="0"/>
    <x v="1621"/>
    <s v="Validation"/>
    <s v="Medium"/>
    <s v="Finance"/>
    <s v="EMP_50"/>
    <d v="2024-12-13T11:05:00"/>
    <d v="2024-12-13T16:11:00"/>
    <n v="220"/>
    <n v="306"/>
    <n v="1"/>
    <s v="Level 3"/>
    <n v="3"/>
    <n v="216.68"/>
  </r>
  <r>
    <s v="WF_1623"/>
    <x v="3"/>
    <x v="1622"/>
    <s v="Validation"/>
    <s v="Low"/>
    <s v="Finance"/>
    <s v="EMP_24"/>
    <d v="2024-08-11T17:56:00"/>
    <d v="2024-08-11T19:29:00"/>
    <n v="94"/>
    <n v="93"/>
    <n v="0"/>
    <s v="Level 2"/>
    <n v="8"/>
    <n v="116.48"/>
  </r>
  <r>
    <s v="WF_1624"/>
    <x v="3"/>
    <x v="1623"/>
    <s v="Escalation"/>
    <s v="Critical"/>
    <s v="IT"/>
    <s v="EMP_45"/>
    <d v="2024-12-08T02:17:00"/>
    <d v="2024-12-08T06:25:00"/>
    <n v="186"/>
    <n v="248"/>
    <n v="1"/>
    <s v="Level 3"/>
    <n v="9"/>
    <n v="95.4"/>
  </r>
  <r>
    <s v="WF_1625"/>
    <x v="4"/>
    <x v="1624"/>
    <s v="Data Entry"/>
    <s v="Low"/>
    <s v="Customer Service"/>
    <s v="EMP_43"/>
    <d v="2024-11-10T16:34:00"/>
    <d v="2024-11-10T21:09:00"/>
    <n v="184"/>
    <n v="275"/>
    <n v="1"/>
    <s v="Level 1"/>
    <n v="9"/>
    <n v="360.09"/>
  </r>
  <r>
    <s v="WF_1626"/>
    <x v="4"/>
    <x v="1625"/>
    <s v="Validation"/>
    <s v="Low"/>
    <s v="IT"/>
    <s v="EMP_90"/>
    <d v="2024-11-18T10:11:00"/>
    <d v="2024-11-18T12:59:00"/>
    <n v="162"/>
    <n v="168"/>
    <n v="1"/>
    <s v="Level 1"/>
    <n v="3"/>
    <n v="75.05"/>
  </r>
  <r>
    <s v="WF_1627"/>
    <x v="4"/>
    <x v="1626"/>
    <s v="Review"/>
    <s v="Medium"/>
    <s v="Customer Service"/>
    <s v="EMP_1"/>
    <d v="2024-10-01T20:09:00"/>
    <d v="2024-10-01T21:49:00"/>
    <n v="85"/>
    <n v="100"/>
    <n v="1"/>
    <s v="Level 3"/>
    <n v="2"/>
    <n v="288.5"/>
  </r>
  <r>
    <s v="WF_1628"/>
    <x v="3"/>
    <x v="1627"/>
    <s v="Validation"/>
    <s v="Medium"/>
    <s v="Finance"/>
    <s v="EMP_116"/>
    <d v="2024-07-17T08:46:00"/>
    <d v="2024-07-17T12:37:00"/>
    <n v="167"/>
    <n v="231"/>
    <n v="1"/>
    <s v="Level 3"/>
    <n v="10"/>
    <n v="394.95"/>
  </r>
  <r>
    <s v="WF_1629"/>
    <x v="0"/>
    <x v="1628"/>
    <s v="Validation"/>
    <s v="Low"/>
    <s v="IT"/>
    <s v="EMP_81"/>
    <d v="2024-12-17T07:28:00"/>
    <d v="2024-12-17T10:19:00"/>
    <n v="143"/>
    <n v="171"/>
    <n v="1"/>
    <s v="Level 3"/>
    <n v="7"/>
    <n v="339.58"/>
  </r>
  <r>
    <s v="WF_1630"/>
    <x v="4"/>
    <x v="1629"/>
    <s v="Approval"/>
    <s v="Low"/>
    <s v="Customer Service"/>
    <s v="EMP_122"/>
    <d v="2024-11-20T16:24:00"/>
    <d v="2024-11-20T18:50:00"/>
    <n v="115"/>
    <n v="146"/>
    <n v="1"/>
    <s v="Level 2"/>
    <n v="8"/>
    <n v="142.28"/>
  </r>
  <r>
    <s v="WF_1631"/>
    <x v="4"/>
    <x v="1630"/>
    <s v="Review"/>
    <s v="Low"/>
    <s v="Customer Service"/>
    <s v="EMP_36"/>
    <d v="2024-02-01T07:50:00"/>
    <d v="2024-02-01T11:37:00"/>
    <n v="176"/>
    <n v="227"/>
    <n v="1"/>
    <s v="Level 3"/>
    <n v="6"/>
    <n v="417.02"/>
  </r>
  <r>
    <s v="WF_1632"/>
    <x v="0"/>
    <x v="1631"/>
    <s v="Escalation"/>
    <s v="Critical"/>
    <s v="Operations"/>
    <s v="EMP_36"/>
    <d v="2024-07-11T04:42:00"/>
    <d v="2024-07-11T07:11:00"/>
    <n v="56"/>
    <n v="149"/>
    <n v="1"/>
    <s v="Level 3"/>
    <n v="1"/>
    <n v="484.64"/>
  </r>
  <r>
    <s v="WF_1633"/>
    <x v="4"/>
    <x v="1632"/>
    <s v="Validation"/>
    <s v="Low"/>
    <s v="IT"/>
    <s v="EMP_123"/>
    <d v="2024-09-25T20:35:00"/>
    <d v="2024-09-26T01:25:00"/>
    <n v="212"/>
    <n v="290"/>
    <n v="1"/>
    <s v="Level 2"/>
    <n v="3"/>
    <n v="158.24"/>
  </r>
  <r>
    <s v="WF_1634"/>
    <x v="4"/>
    <x v="1633"/>
    <s v="Data Entry"/>
    <s v="Low"/>
    <s v="Operations"/>
    <s v="EMP_140"/>
    <d v="2024-10-19T13:32:00"/>
    <d v="2024-10-19T18:02:00"/>
    <n v="225"/>
    <n v="270"/>
    <n v="1"/>
    <s v="Level 3"/>
    <n v="2"/>
    <n v="175.35"/>
  </r>
  <r>
    <s v="WF_1635"/>
    <x v="1"/>
    <x v="1634"/>
    <s v="Escalation"/>
    <s v="Medium"/>
    <s v="Operations"/>
    <s v="EMP_117"/>
    <d v="2024-05-25T12:35:00"/>
    <d v="2024-05-25T14:48:00"/>
    <n v="116"/>
    <n v="133"/>
    <n v="1"/>
    <s v="Level 1"/>
    <n v="6"/>
    <n v="267.82"/>
  </r>
  <r>
    <s v="WF_1636"/>
    <x v="0"/>
    <x v="1635"/>
    <s v="Escalation"/>
    <s v="Low"/>
    <s v="HR"/>
    <s v="EMP_44"/>
    <d v="2024-09-28T23:23:00"/>
    <d v="2024-09-29T04:30:00"/>
    <n v="225"/>
    <n v="307"/>
    <n v="1"/>
    <s v="Level 3"/>
    <n v="5"/>
    <n v="93.99"/>
  </r>
  <r>
    <s v="WF_1637"/>
    <x v="4"/>
    <x v="1636"/>
    <s v="Escalation"/>
    <s v="Critical"/>
    <s v="HR"/>
    <s v="EMP_145"/>
    <d v="2024-12-26T00:01:00"/>
    <d v="2024-12-26T03:53:00"/>
    <n v="211"/>
    <n v="232"/>
    <n v="1"/>
    <s v="Level 3"/>
    <n v="6"/>
    <n v="100.13"/>
  </r>
  <r>
    <s v="WF_1638"/>
    <x v="0"/>
    <x v="1637"/>
    <s v="Escalation"/>
    <s v="High"/>
    <s v="Customer Service"/>
    <s v="EMP_91"/>
    <d v="2024-02-12T22:40:00"/>
    <d v="2024-02-13T00:54:00"/>
    <n v="67"/>
    <n v="134"/>
    <n v="1"/>
    <s v="Level 3"/>
    <n v="9"/>
    <n v="90.3"/>
  </r>
  <r>
    <s v="WF_1639"/>
    <x v="4"/>
    <x v="1638"/>
    <s v="Data Entry"/>
    <s v="Critical"/>
    <s v="Operations"/>
    <s v="EMP_56"/>
    <d v="2024-12-13T11:13:00"/>
    <d v="2024-12-13T17:06:00"/>
    <n v="239"/>
    <n v="353"/>
    <n v="1"/>
    <s v="Level 2"/>
    <n v="3"/>
    <n v="313.73"/>
  </r>
  <r>
    <s v="WF_1640"/>
    <x v="3"/>
    <x v="1639"/>
    <s v="Review"/>
    <s v="High"/>
    <s v="IT"/>
    <s v="EMP_91"/>
    <d v="2024-07-07T06:56:00"/>
    <d v="2024-07-07T09:52:00"/>
    <n v="67"/>
    <n v="176"/>
    <n v="1"/>
    <s v="Level 3"/>
    <n v="9"/>
    <n v="470.75"/>
  </r>
  <r>
    <s v="WF_1641"/>
    <x v="3"/>
    <x v="1640"/>
    <s v="Escalation"/>
    <s v="High"/>
    <s v="IT"/>
    <s v="EMP_35"/>
    <d v="2024-02-02T06:14:00"/>
    <d v="2024-02-02T09:27:00"/>
    <n v="143"/>
    <n v="193"/>
    <n v="1"/>
    <s v="Level 1"/>
    <n v="8"/>
    <n v="86.74"/>
  </r>
  <r>
    <s v="WF_1642"/>
    <x v="0"/>
    <x v="1641"/>
    <s v="Review"/>
    <s v="Critical"/>
    <s v="IT"/>
    <s v="EMP_92"/>
    <d v="2024-09-22T18:14:00"/>
    <d v="2024-09-22T19:47:00"/>
    <n v="24"/>
    <n v="93"/>
    <n v="1"/>
    <s v="Level 3"/>
    <n v="5"/>
    <n v="185.39"/>
  </r>
  <r>
    <s v="WF_1643"/>
    <x v="4"/>
    <x v="1642"/>
    <s v="Validation"/>
    <s v="Low"/>
    <s v="Operations"/>
    <s v="EMP_49"/>
    <d v="2024-12-23T09:45:00"/>
    <d v="2024-12-23T11:50:00"/>
    <n v="48"/>
    <n v="125"/>
    <n v="1"/>
    <s v="Level 2"/>
    <n v="1"/>
    <n v="285.99"/>
  </r>
  <r>
    <s v="WF_1644"/>
    <x v="3"/>
    <x v="1643"/>
    <s v="Data Entry"/>
    <s v="Critical"/>
    <s v="Finance"/>
    <s v="EMP_117"/>
    <d v="2024-07-12T17:50:00"/>
    <d v="2024-07-12T20:30:00"/>
    <n v="107"/>
    <n v="160"/>
    <n v="1"/>
    <s v="Level 3"/>
    <n v="9"/>
    <n v="433.17"/>
  </r>
  <r>
    <s v="WF_1645"/>
    <x v="4"/>
    <x v="1644"/>
    <s v="Approval"/>
    <s v="High"/>
    <s v="Finance"/>
    <s v="EMP_45"/>
    <d v="2024-04-05T23:30:00"/>
    <d v="2024-04-06T03:03:00"/>
    <n v="122"/>
    <n v="213"/>
    <n v="1"/>
    <s v="Level 1"/>
    <n v="6"/>
    <n v="116.28"/>
  </r>
  <r>
    <s v="WF_1646"/>
    <x v="0"/>
    <x v="1645"/>
    <s v="Escalation"/>
    <s v="High"/>
    <s v="Finance"/>
    <s v="EMP_142"/>
    <d v="2024-01-20T11:59:00"/>
    <d v="2024-01-20T15:32:00"/>
    <n v="213"/>
    <n v="213"/>
    <n v="0"/>
    <s v="Level 3"/>
    <n v="6"/>
    <n v="483.28"/>
  </r>
  <r>
    <s v="WF_1647"/>
    <x v="1"/>
    <x v="1646"/>
    <s v="Data Entry"/>
    <s v="Critical"/>
    <s v="Finance"/>
    <s v="EMP_68"/>
    <d v="2024-08-05T19:01:00"/>
    <d v="2024-08-05T23:51:00"/>
    <n v="204"/>
    <n v="290"/>
    <n v="1"/>
    <s v="Level 1"/>
    <n v="5"/>
    <n v="61.74"/>
  </r>
  <r>
    <s v="WF_1648"/>
    <x v="4"/>
    <x v="1647"/>
    <s v="Data Entry"/>
    <s v="Critical"/>
    <s v="IT"/>
    <s v="EMP_117"/>
    <d v="2024-12-07T16:54:00"/>
    <d v="2024-12-07T20:31:00"/>
    <n v="177"/>
    <n v="217"/>
    <n v="1"/>
    <s v="Level 2"/>
    <n v="6"/>
    <n v="262.39"/>
  </r>
  <r>
    <s v="WF_1649"/>
    <x v="1"/>
    <x v="1648"/>
    <s v="Review"/>
    <s v="Critical"/>
    <s v="Operations"/>
    <s v="EMP_86"/>
    <d v="2024-05-06T02:06:00"/>
    <d v="2024-05-06T02:59:00"/>
    <n v="31"/>
    <n v="53"/>
    <n v="1"/>
    <s v="Level 2"/>
    <n v="9"/>
    <n v="468.94"/>
  </r>
  <r>
    <s v="WF_1650"/>
    <x v="1"/>
    <x v="1649"/>
    <s v="Review"/>
    <s v="Critical"/>
    <s v="HR"/>
    <s v="EMP_105"/>
    <d v="2024-02-10T23:18:00"/>
    <d v="2024-02-11T01:24:00"/>
    <n v="108"/>
    <n v="126"/>
    <n v="1"/>
    <s v="Level 3"/>
    <n v="10"/>
    <n v="72.040000000000006"/>
  </r>
  <r>
    <s v="WF_1651"/>
    <x v="1"/>
    <x v="1650"/>
    <s v="Escalation"/>
    <s v="High"/>
    <s v="Finance"/>
    <s v="EMP_112"/>
    <d v="2024-03-29T23:52:00"/>
    <d v="2024-03-30T04:33:00"/>
    <n v="229"/>
    <n v="281"/>
    <n v="1"/>
    <s v="Level 2"/>
    <n v="2"/>
    <n v="492.76"/>
  </r>
  <r>
    <s v="WF_1652"/>
    <x v="1"/>
    <x v="1651"/>
    <s v="Data Entry"/>
    <s v="Critical"/>
    <s v="Finance"/>
    <s v="EMP_142"/>
    <d v="2024-11-07T18:04:00"/>
    <d v="2024-11-07T21:02:00"/>
    <n v="77"/>
    <n v="178"/>
    <n v="1"/>
    <s v="Level 3"/>
    <n v="2"/>
    <n v="449.21"/>
  </r>
  <r>
    <s v="WF_1653"/>
    <x v="0"/>
    <x v="1652"/>
    <s v="Review"/>
    <s v="High"/>
    <s v="Customer Service"/>
    <s v="EMP_114"/>
    <d v="2024-10-31T17:20:00"/>
    <d v="2024-10-31T21:06:00"/>
    <n v="217"/>
    <n v="226"/>
    <n v="1"/>
    <s v="Level 3"/>
    <n v="8"/>
    <n v="249.7"/>
  </r>
  <r>
    <s v="WF_1654"/>
    <x v="2"/>
    <x v="1653"/>
    <s v="Escalation"/>
    <s v="Medium"/>
    <s v="IT"/>
    <s v="EMP_143"/>
    <d v="2024-07-01T18:28:00"/>
    <d v="2024-07-01T20:46:00"/>
    <n v="143"/>
    <n v="138"/>
    <n v="0"/>
    <s v="Level 2"/>
    <n v="3"/>
    <n v="410.19"/>
  </r>
  <r>
    <s v="WF_1655"/>
    <x v="0"/>
    <x v="1654"/>
    <s v="Escalation"/>
    <s v="Low"/>
    <s v="Operations"/>
    <s v="EMP_86"/>
    <d v="2024-06-05T14:07:00"/>
    <d v="2024-06-05T16:30:00"/>
    <n v="117"/>
    <n v="143"/>
    <n v="1"/>
    <s v="Level 1"/>
    <n v="10"/>
    <n v="352.96"/>
  </r>
  <r>
    <s v="WF_1656"/>
    <x v="0"/>
    <x v="1655"/>
    <s v="Validation"/>
    <s v="Low"/>
    <s v="Finance"/>
    <s v="EMP_90"/>
    <d v="2024-01-10T16:46:00"/>
    <d v="2024-01-10T18:42:00"/>
    <n v="36"/>
    <n v="116"/>
    <n v="1"/>
    <s v="Level 1"/>
    <n v="3"/>
    <n v="146.38"/>
  </r>
  <r>
    <s v="WF_1657"/>
    <x v="3"/>
    <x v="1656"/>
    <s v="Data Entry"/>
    <s v="Medium"/>
    <s v="Customer Service"/>
    <s v="EMP_104"/>
    <d v="2024-05-25T09:20:00"/>
    <d v="2024-05-25T14:40:00"/>
    <n v="237"/>
    <n v="320"/>
    <n v="1"/>
    <s v="Level 3"/>
    <n v="1"/>
    <n v="57.21"/>
  </r>
  <r>
    <s v="WF_1658"/>
    <x v="3"/>
    <x v="1657"/>
    <s v="Approval"/>
    <s v="Medium"/>
    <s v="Finance"/>
    <s v="EMP_107"/>
    <d v="2024-06-18T10:17:00"/>
    <d v="2024-06-18T12:50:00"/>
    <n v="130"/>
    <n v="153"/>
    <n v="1"/>
    <s v="Level 1"/>
    <n v="7"/>
    <n v="464.75"/>
  </r>
  <r>
    <s v="WF_1659"/>
    <x v="2"/>
    <x v="1658"/>
    <s v="Data Entry"/>
    <s v="Medium"/>
    <s v="Operations"/>
    <s v="EMP_119"/>
    <d v="2024-07-11T09:35:00"/>
    <d v="2024-07-11T14:12:00"/>
    <n v="177"/>
    <n v="277"/>
    <n v="1"/>
    <s v="Level 3"/>
    <n v="8"/>
    <n v="286.8"/>
  </r>
  <r>
    <s v="WF_1660"/>
    <x v="3"/>
    <x v="1659"/>
    <s v="Review"/>
    <s v="Critical"/>
    <s v="Operations"/>
    <s v="EMP_50"/>
    <d v="2024-02-29T17:25:00"/>
    <d v="2024-02-29T20:38:00"/>
    <n v="108"/>
    <n v="193"/>
    <n v="1"/>
    <s v="Level 2"/>
    <n v="8"/>
    <n v="277.17"/>
  </r>
  <r>
    <s v="WF_1661"/>
    <x v="2"/>
    <x v="1660"/>
    <s v="Validation"/>
    <s v="Low"/>
    <s v="Finance"/>
    <s v="EMP_47"/>
    <d v="2024-06-12T16:38:00"/>
    <d v="2024-06-12T19:12:00"/>
    <n v="113"/>
    <n v="154"/>
    <n v="1"/>
    <s v="Level 3"/>
    <n v="3"/>
    <n v="331.29"/>
  </r>
  <r>
    <s v="WF_1662"/>
    <x v="2"/>
    <x v="1661"/>
    <s v="Validation"/>
    <s v="High"/>
    <s v="HR"/>
    <s v="EMP_71"/>
    <d v="2024-06-06T01:35:00"/>
    <d v="2024-06-06T03:12:00"/>
    <n v="76"/>
    <n v="97"/>
    <n v="1"/>
    <s v="Level 1"/>
    <n v="2"/>
    <n v="292.16000000000003"/>
  </r>
  <r>
    <s v="WF_1663"/>
    <x v="0"/>
    <x v="1662"/>
    <s v="Data Entry"/>
    <s v="Medium"/>
    <s v="Finance"/>
    <s v="EMP_46"/>
    <d v="2024-03-04T05:40:00"/>
    <d v="2024-03-04T10:05:00"/>
    <n v="178"/>
    <n v="265"/>
    <n v="1"/>
    <s v="Level 2"/>
    <n v="3"/>
    <n v="333.55"/>
  </r>
  <r>
    <s v="WF_1664"/>
    <x v="2"/>
    <x v="1663"/>
    <s v="Approval"/>
    <s v="Medium"/>
    <s v="Finance"/>
    <s v="EMP_79"/>
    <d v="2024-07-29T16:25:00"/>
    <d v="2024-07-29T18:35:00"/>
    <n v="19"/>
    <n v="130"/>
    <n v="1"/>
    <s v="Level 1"/>
    <n v="1"/>
    <n v="116.21"/>
  </r>
  <r>
    <s v="WF_1665"/>
    <x v="0"/>
    <x v="1664"/>
    <s v="Escalation"/>
    <s v="Medium"/>
    <s v="Finance"/>
    <s v="EMP_70"/>
    <d v="2024-09-28T22:13:00"/>
    <d v="2024-09-29T00:48:00"/>
    <n v="160"/>
    <n v="155"/>
    <n v="0"/>
    <s v="Level 1"/>
    <n v="5"/>
    <n v="185.74"/>
  </r>
  <r>
    <s v="WF_1666"/>
    <x v="3"/>
    <x v="1665"/>
    <s v="Data Entry"/>
    <s v="Medium"/>
    <s v="HR"/>
    <s v="EMP_88"/>
    <d v="2024-02-25T04:49:00"/>
    <d v="2024-02-25T07:53:00"/>
    <n v="101"/>
    <n v="184"/>
    <n v="1"/>
    <s v="Level 3"/>
    <n v="5"/>
    <n v="380.02"/>
  </r>
  <r>
    <s v="WF_1667"/>
    <x v="2"/>
    <x v="1666"/>
    <s v="Review"/>
    <s v="Low"/>
    <s v="IT"/>
    <s v="EMP_86"/>
    <d v="2024-01-22T01:34:00"/>
    <d v="2024-01-22T06:08:00"/>
    <n v="158"/>
    <n v="274"/>
    <n v="1"/>
    <s v="Level 1"/>
    <n v="6"/>
    <n v="448.89"/>
  </r>
  <r>
    <s v="WF_1668"/>
    <x v="3"/>
    <x v="1667"/>
    <s v="Escalation"/>
    <s v="Medium"/>
    <s v="Finance"/>
    <s v="EMP_101"/>
    <d v="2024-04-02T03:08:00"/>
    <d v="2024-04-02T08:24:00"/>
    <n v="215"/>
    <n v="316"/>
    <n v="1"/>
    <s v="Level 1"/>
    <n v="9"/>
    <n v="285.31"/>
  </r>
  <r>
    <s v="WF_1669"/>
    <x v="2"/>
    <x v="1668"/>
    <s v="Validation"/>
    <s v="High"/>
    <s v="IT"/>
    <s v="EMP_137"/>
    <d v="2024-09-19T18:52:00"/>
    <d v="2024-09-19T21:02:00"/>
    <n v="100"/>
    <n v="130"/>
    <n v="1"/>
    <s v="Level 2"/>
    <n v="10"/>
    <n v="393.91"/>
  </r>
  <r>
    <s v="WF_1670"/>
    <x v="1"/>
    <x v="1669"/>
    <s v="Escalation"/>
    <s v="High"/>
    <s v="HR"/>
    <s v="EMP_127"/>
    <d v="2024-12-04T10:25:00"/>
    <d v="2024-12-04T16:12:00"/>
    <n v="232"/>
    <n v="347"/>
    <n v="1"/>
    <s v="Level 3"/>
    <n v="10"/>
    <n v="258.57"/>
  </r>
  <r>
    <s v="WF_1671"/>
    <x v="0"/>
    <x v="1670"/>
    <s v="Approval"/>
    <s v="Critical"/>
    <s v="Customer Service"/>
    <s v="EMP_45"/>
    <d v="2024-08-01T15:09:00"/>
    <d v="2024-08-01T18:30:00"/>
    <n v="190"/>
    <n v="201"/>
    <n v="1"/>
    <s v="Level 1"/>
    <n v="6"/>
    <n v="243.88"/>
  </r>
  <r>
    <s v="WF_1672"/>
    <x v="3"/>
    <x v="1671"/>
    <s v="Escalation"/>
    <s v="Medium"/>
    <s v="Operations"/>
    <s v="EMP_114"/>
    <d v="2024-04-04T16:17:00"/>
    <d v="2024-04-04T20:44:00"/>
    <n v="154"/>
    <n v="267"/>
    <n v="1"/>
    <s v="Level 1"/>
    <n v="6"/>
    <n v="422.18"/>
  </r>
  <r>
    <s v="WF_1673"/>
    <x v="4"/>
    <x v="1672"/>
    <s v="Review"/>
    <s v="Medium"/>
    <s v="IT"/>
    <s v="EMP_79"/>
    <d v="2024-02-25T01:35:00"/>
    <d v="2024-02-25T04:32:00"/>
    <n v="84"/>
    <n v="177"/>
    <n v="1"/>
    <s v="Level 3"/>
    <n v="6"/>
    <n v="63.69"/>
  </r>
  <r>
    <s v="WF_1674"/>
    <x v="1"/>
    <x v="1673"/>
    <s v="Approval"/>
    <s v="High"/>
    <s v="HR"/>
    <s v="EMP_138"/>
    <d v="2024-02-11T08:20:00"/>
    <d v="2024-02-11T10:23:00"/>
    <n v="76"/>
    <n v="123"/>
    <n v="1"/>
    <s v="Level 3"/>
    <n v="6"/>
    <n v="439.44"/>
  </r>
  <r>
    <s v="WF_1675"/>
    <x v="2"/>
    <x v="1674"/>
    <s v="Data Entry"/>
    <s v="High"/>
    <s v="Customer Service"/>
    <s v="EMP_141"/>
    <d v="2024-06-18T06:15:00"/>
    <d v="2024-06-18T07:35:00"/>
    <n v="29"/>
    <n v="80"/>
    <n v="1"/>
    <s v="Level 3"/>
    <n v="8"/>
    <n v="425.89"/>
  </r>
  <r>
    <s v="WF_1676"/>
    <x v="4"/>
    <x v="1675"/>
    <s v="Data Entry"/>
    <s v="Critical"/>
    <s v="Operations"/>
    <s v="EMP_10"/>
    <d v="2024-08-21T20:44:00"/>
    <d v="2024-08-21T22:06:00"/>
    <n v="12"/>
    <n v="82"/>
    <n v="1"/>
    <s v="Level 1"/>
    <n v="2"/>
    <n v="409.84"/>
  </r>
  <r>
    <s v="WF_1677"/>
    <x v="0"/>
    <x v="1676"/>
    <s v="Escalation"/>
    <s v="Low"/>
    <s v="HR"/>
    <s v="EMP_76"/>
    <d v="2024-03-30T00:00:00"/>
    <d v="2024-03-30T01:39:00"/>
    <n v="67"/>
    <n v="99"/>
    <n v="1"/>
    <s v="Level 1"/>
    <n v="8"/>
    <n v="242.12"/>
  </r>
  <r>
    <s v="WF_1678"/>
    <x v="3"/>
    <x v="1677"/>
    <s v="Data Entry"/>
    <s v="Low"/>
    <s v="HR"/>
    <s v="EMP_7"/>
    <d v="2024-02-13T08:56:00"/>
    <d v="2024-02-13T11:15:00"/>
    <n v="110"/>
    <n v="139"/>
    <n v="1"/>
    <s v="Level 1"/>
    <n v="2"/>
    <n v="123.54"/>
  </r>
  <r>
    <s v="WF_1679"/>
    <x v="1"/>
    <x v="1678"/>
    <s v="Review"/>
    <s v="Critical"/>
    <s v="HR"/>
    <s v="EMP_90"/>
    <d v="2024-01-23T10:15:00"/>
    <d v="2024-01-23T14:42:00"/>
    <n v="155"/>
    <n v="267"/>
    <n v="1"/>
    <s v="Level 3"/>
    <n v="7"/>
    <n v="409.29"/>
  </r>
  <r>
    <s v="WF_1680"/>
    <x v="1"/>
    <x v="1679"/>
    <s v="Validation"/>
    <s v="Low"/>
    <s v="Operations"/>
    <s v="EMP_47"/>
    <d v="2024-11-06T20:51:00"/>
    <d v="2024-11-07T01:37:00"/>
    <n v="232"/>
    <n v="286"/>
    <n v="1"/>
    <s v="Level 2"/>
    <n v="1"/>
    <n v="141.79"/>
  </r>
  <r>
    <s v="WF_1681"/>
    <x v="3"/>
    <x v="1680"/>
    <s v="Review"/>
    <s v="Critical"/>
    <s v="Operations"/>
    <s v="EMP_112"/>
    <d v="2024-08-10T03:07:00"/>
    <d v="2024-08-10T05:56:00"/>
    <n v="121"/>
    <n v="169"/>
    <n v="1"/>
    <s v="Level 3"/>
    <n v="9"/>
    <n v="372.59"/>
  </r>
  <r>
    <s v="WF_1682"/>
    <x v="4"/>
    <x v="1681"/>
    <s v="Validation"/>
    <s v="Low"/>
    <s v="Operations"/>
    <s v="EMP_128"/>
    <d v="2024-10-06T04:33:00"/>
    <d v="2024-10-06T06:47:00"/>
    <n v="127"/>
    <n v="134"/>
    <n v="1"/>
    <s v="Level 1"/>
    <n v="1"/>
    <n v="317.33"/>
  </r>
  <r>
    <s v="WF_1683"/>
    <x v="4"/>
    <x v="1682"/>
    <s v="Data Entry"/>
    <s v="Low"/>
    <s v="IT"/>
    <s v="EMP_95"/>
    <d v="2024-05-28T20:45:00"/>
    <d v="2024-05-29T00:14:00"/>
    <n v="211"/>
    <n v="209"/>
    <n v="0"/>
    <s v="Level 2"/>
    <n v="6"/>
    <n v="306.33999999999997"/>
  </r>
  <r>
    <s v="WF_1684"/>
    <x v="3"/>
    <x v="1683"/>
    <s v="Data Entry"/>
    <s v="Low"/>
    <s v="HR"/>
    <s v="EMP_78"/>
    <d v="2024-11-09T18:34:00"/>
    <d v="2024-11-09T20:31:00"/>
    <n v="111"/>
    <n v="117"/>
    <n v="1"/>
    <s v="Level 1"/>
    <n v="6"/>
    <n v="299.97000000000003"/>
  </r>
  <r>
    <s v="WF_1685"/>
    <x v="4"/>
    <x v="1684"/>
    <s v="Data Entry"/>
    <s v="Critical"/>
    <s v="HR"/>
    <s v="EMP_140"/>
    <d v="2024-10-04T20:03:00"/>
    <d v="2024-10-05T00:19:00"/>
    <n v="207"/>
    <n v="256"/>
    <n v="1"/>
    <s v="Level 3"/>
    <n v="5"/>
    <n v="209.53"/>
  </r>
  <r>
    <s v="WF_1686"/>
    <x v="4"/>
    <x v="1685"/>
    <s v="Review"/>
    <s v="Low"/>
    <s v="Operations"/>
    <s v="EMP_96"/>
    <d v="2024-10-25T14:44:00"/>
    <d v="2024-10-25T18:44:00"/>
    <n v="147"/>
    <n v="240"/>
    <n v="1"/>
    <s v="Level 3"/>
    <n v="3"/>
    <n v="190.88"/>
  </r>
  <r>
    <s v="WF_1687"/>
    <x v="0"/>
    <x v="1686"/>
    <s v="Validation"/>
    <s v="Low"/>
    <s v="IT"/>
    <s v="EMP_105"/>
    <d v="2024-02-14T17:53:00"/>
    <d v="2024-02-14T19:46:00"/>
    <n v="93"/>
    <n v="113"/>
    <n v="1"/>
    <s v="Level 3"/>
    <n v="9"/>
    <n v="272.49"/>
  </r>
  <r>
    <s v="WF_1688"/>
    <x v="2"/>
    <x v="1687"/>
    <s v="Review"/>
    <s v="Low"/>
    <s v="HR"/>
    <s v="EMP_45"/>
    <d v="2024-07-25T12:09:00"/>
    <d v="2024-07-25T13:05:00"/>
    <n v="30"/>
    <n v="56"/>
    <n v="1"/>
    <s v="Level 2"/>
    <n v="9"/>
    <n v="294.8"/>
  </r>
  <r>
    <s v="WF_1689"/>
    <x v="3"/>
    <x v="1688"/>
    <s v="Validation"/>
    <s v="Low"/>
    <s v="Finance"/>
    <s v="EMP_67"/>
    <d v="2024-02-23T00:09:00"/>
    <d v="2024-02-23T03:15:00"/>
    <n v="108"/>
    <n v="186"/>
    <n v="1"/>
    <s v="Level 3"/>
    <n v="7"/>
    <n v="234.46"/>
  </r>
  <r>
    <s v="WF_1690"/>
    <x v="4"/>
    <x v="1689"/>
    <s v="Validation"/>
    <s v="Medium"/>
    <s v="Customer Service"/>
    <s v="EMP_120"/>
    <d v="2024-05-29T22:09:00"/>
    <d v="2024-05-30T02:11:00"/>
    <n v="168"/>
    <n v="242"/>
    <n v="1"/>
    <s v="Level 3"/>
    <n v="5"/>
    <n v="307.81"/>
  </r>
  <r>
    <s v="WF_1691"/>
    <x v="0"/>
    <x v="1690"/>
    <s v="Escalation"/>
    <s v="Medium"/>
    <s v="IT"/>
    <s v="EMP_17"/>
    <d v="2024-06-08T01:35:00"/>
    <d v="2024-06-08T02:56:00"/>
    <n v="59"/>
    <n v="81"/>
    <n v="1"/>
    <s v="Level 2"/>
    <n v="10"/>
    <n v="439.27"/>
  </r>
  <r>
    <s v="WF_1692"/>
    <x v="1"/>
    <x v="1691"/>
    <s v="Validation"/>
    <s v="High"/>
    <s v="IT"/>
    <s v="EMP_37"/>
    <d v="2024-02-22T01:29:00"/>
    <d v="2024-02-22T05:10:00"/>
    <n v="114"/>
    <n v="221"/>
    <n v="1"/>
    <s v="Level 1"/>
    <n v="8"/>
    <n v="412.75"/>
  </r>
  <r>
    <s v="WF_1693"/>
    <x v="2"/>
    <x v="1692"/>
    <s v="Data Entry"/>
    <s v="Low"/>
    <s v="Operations"/>
    <s v="EMP_49"/>
    <d v="2024-06-09T23:53:00"/>
    <d v="2024-06-10T04:05:00"/>
    <n v="184"/>
    <n v="252"/>
    <n v="1"/>
    <s v="Level 1"/>
    <n v="4"/>
    <n v="204.76"/>
  </r>
  <r>
    <s v="WF_1694"/>
    <x v="0"/>
    <x v="1693"/>
    <s v="Validation"/>
    <s v="Low"/>
    <s v="HR"/>
    <s v="EMP_138"/>
    <d v="2024-02-23T04:07:00"/>
    <d v="2024-02-23T08:00:00"/>
    <n v="198"/>
    <n v="233"/>
    <n v="1"/>
    <s v="Level 2"/>
    <n v="4"/>
    <n v="273.56"/>
  </r>
  <r>
    <s v="WF_1695"/>
    <x v="0"/>
    <x v="1694"/>
    <s v="Escalation"/>
    <s v="Low"/>
    <s v="Customer Service"/>
    <s v="EMP_47"/>
    <d v="2024-02-20T06:21:00"/>
    <d v="2024-02-20T09:00:00"/>
    <n v="118"/>
    <n v="159"/>
    <n v="1"/>
    <s v="Level 1"/>
    <n v="4"/>
    <n v="269.75"/>
  </r>
  <r>
    <s v="WF_1696"/>
    <x v="2"/>
    <x v="1695"/>
    <s v="Validation"/>
    <s v="Critical"/>
    <s v="Finance"/>
    <s v="EMP_67"/>
    <d v="2024-02-01T06:12:00"/>
    <d v="2024-02-01T09:45:00"/>
    <n v="140"/>
    <n v="213"/>
    <n v="1"/>
    <s v="Level 3"/>
    <n v="4"/>
    <n v="441.9"/>
  </r>
  <r>
    <s v="WF_1697"/>
    <x v="0"/>
    <x v="1696"/>
    <s v="Approval"/>
    <s v="Critical"/>
    <s v="Customer Service"/>
    <s v="EMP_51"/>
    <d v="2024-11-27T14:55:00"/>
    <d v="2024-11-27T18:08:00"/>
    <n v="109"/>
    <n v="193"/>
    <n v="1"/>
    <s v="Level 2"/>
    <n v="10"/>
    <n v="441.74"/>
  </r>
  <r>
    <s v="WF_1698"/>
    <x v="1"/>
    <x v="1697"/>
    <s v="Escalation"/>
    <s v="High"/>
    <s v="Customer Service"/>
    <s v="EMP_134"/>
    <d v="2024-09-11T15:25:00"/>
    <d v="2024-09-11T17:55:00"/>
    <n v="104"/>
    <n v="150"/>
    <n v="1"/>
    <s v="Level 3"/>
    <n v="5"/>
    <n v="379.57"/>
  </r>
  <r>
    <s v="WF_1699"/>
    <x v="2"/>
    <x v="1698"/>
    <s v="Escalation"/>
    <s v="Medium"/>
    <s v="IT"/>
    <s v="EMP_10"/>
    <d v="2024-10-14T01:05:00"/>
    <d v="2024-10-14T03:20:00"/>
    <n v="91"/>
    <n v="135"/>
    <n v="1"/>
    <s v="Level 1"/>
    <n v="7"/>
    <n v="449.47"/>
  </r>
  <r>
    <s v="WF_1700"/>
    <x v="3"/>
    <x v="1699"/>
    <s v="Escalation"/>
    <s v="Low"/>
    <s v="HR"/>
    <s v="EMP_66"/>
    <d v="2024-08-20T14:30:00"/>
    <d v="2024-08-20T15:49:00"/>
    <n v="56"/>
    <n v="79"/>
    <n v="1"/>
    <s v="Level 3"/>
    <n v="3"/>
    <n v="451.72"/>
  </r>
  <r>
    <s v="WF_1701"/>
    <x v="3"/>
    <x v="1700"/>
    <s v="Data Entry"/>
    <s v="High"/>
    <s v="IT"/>
    <s v="EMP_41"/>
    <d v="2024-02-03T10:52:00"/>
    <d v="2024-02-03T15:41:00"/>
    <n v="178"/>
    <n v="289"/>
    <n v="1"/>
    <s v="Level 3"/>
    <n v="3"/>
    <n v="381.24"/>
  </r>
  <r>
    <s v="WF_1702"/>
    <x v="4"/>
    <x v="1701"/>
    <s v="Escalation"/>
    <s v="High"/>
    <s v="Operations"/>
    <s v="EMP_7"/>
    <d v="2024-10-29T06:52:00"/>
    <d v="2024-10-29T11:28:00"/>
    <n v="191"/>
    <n v="276"/>
    <n v="1"/>
    <s v="Level 3"/>
    <n v="7"/>
    <n v="244.13"/>
  </r>
  <r>
    <s v="WF_1703"/>
    <x v="3"/>
    <x v="1702"/>
    <s v="Approval"/>
    <s v="Critical"/>
    <s v="Operations"/>
    <s v="EMP_116"/>
    <d v="2024-02-24T23:02:00"/>
    <d v="2024-02-24T23:31:00"/>
    <n v="26"/>
    <n v="29"/>
    <n v="1"/>
    <s v="Level 2"/>
    <n v="7"/>
    <n v="167.92"/>
  </r>
  <r>
    <s v="WF_1704"/>
    <x v="0"/>
    <x v="1703"/>
    <s v="Escalation"/>
    <s v="High"/>
    <s v="Customer Service"/>
    <s v="EMP_11"/>
    <d v="2024-07-04T15:00:00"/>
    <d v="2024-07-04T15:36:00"/>
    <n v="39"/>
    <n v="36"/>
    <n v="0"/>
    <s v="Level 1"/>
    <n v="8"/>
    <n v="198.72"/>
  </r>
  <r>
    <s v="WF_1705"/>
    <x v="2"/>
    <x v="1704"/>
    <s v="Escalation"/>
    <s v="Medium"/>
    <s v="Customer Service"/>
    <s v="EMP_14"/>
    <d v="2024-04-24T06:09:00"/>
    <d v="2024-04-24T07:48:00"/>
    <n v="40"/>
    <n v="99"/>
    <n v="1"/>
    <s v="Level 2"/>
    <n v="1"/>
    <n v="489.7"/>
  </r>
  <r>
    <s v="WF_1706"/>
    <x v="2"/>
    <x v="1705"/>
    <s v="Approval"/>
    <s v="Low"/>
    <s v="Finance"/>
    <s v="EMP_17"/>
    <d v="2024-09-09T12:03:00"/>
    <d v="2024-09-09T14:37:00"/>
    <n v="68"/>
    <n v="154"/>
    <n v="1"/>
    <s v="Level 1"/>
    <n v="2"/>
    <n v="196.1"/>
  </r>
  <r>
    <s v="WF_1707"/>
    <x v="0"/>
    <x v="1706"/>
    <s v="Data Entry"/>
    <s v="Low"/>
    <s v="Finance"/>
    <s v="EMP_83"/>
    <d v="2024-09-08T15:17:00"/>
    <d v="2024-09-08T19:11:00"/>
    <n v="152"/>
    <n v="234"/>
    <n v="1"/>
    <s v="Level 1"/>
    <n v="9"/>
    <n v="98.66"/>
  </r>
  <r>
    <s v="WF_1708"/>
    <x v="2"/>
    <x v="1707"/>
    <s v="Approval"/>
    <s v="High"/>
    <s v="HR"/>
    <s v="EMP_12"/>
    <d v="2024-08-25T06:46:00"/>
    <d v="2024-08-25T07:03:00"/>
    <n v="17"/>
    <n v="17"/>
    <n v="0"/>
    <s v="Level 2"/>
    <n v="3"/>
    <n v="129.81"/>
  </r>
  <r>
    <s v="WF_1709"/>
    <x v="4"/>
    <x v="1708"/>
    <s v="Escalation"/>
    <s v="High"/>
    <s v="HR"/>
    <s v="EMP_140"/>
    <d v="2024-10-13T18:40:00"/>
    <d v="2024-10-13T22:25:00"/>
    <n v="139"/>
    <n v="225"/>
    <n v="1"/>
    <s v="Level 1"/>
    <n v="5"/>
    <n v="148.91"/>
  </r>
  <r>
    <s v="WF_1710"/>
    <x v="0"/>
    <x v="1709"/>
    <s v="Review"/>
    <s v="High"/>
    <s v="Operations"/>
    <s v="EMP_75"/>
    <d v="2024-08-15T19:38:00"/>
    <d v="2024-08-15T22:02:00"/>
    <n v="68"/>
    <n v="144"/>
    <n v="1"/>
    <s v="Level 3"/>
    <n v="10"/>
    <n v="160.35"/>
  </r>
  <r>
    <s v="WF_1711"/>
    <x v="2"/>
    <x v="1710"/>
    <s v="Approval"/>
    <s v="Critical"/>
    <s v="HR"/>
    <s v="EMP_59"/>
    <d v="2024-11-26T04:36:00"/>
    <d v="2024-11-26T05:38:00"/>
    <n v="39"/>
    <n v="62"/>
    <n v="1"/>
    <s v="Level 3"/>
    <n v="2"/>
    <n v="332.05"/>
  </r>
  <r>
    <s v="WF_1712"/>
    <x v="1"/>
    <x v="1711"/>
    <s v="Data Entry"/>
    <s v="High"/>
    <s v="Customer Service"/>
    <s v="EMP_126"/>
    <d v="2024-05-31T14:33:00"/>
    <d v="2024-05-31T16:34:00"/>
    <n v="113"/>
    <n v="121"/>
    <n v="1"/>
    <s v="Level 3"/>
    <n v="9"/>
    <n v="80.19"/>
  </r>
  <r>
    <s v="WF_1713"/>
    <x v="3"/>
    <x v="1712"/>
    <s v="Data Entry"/>
    <s v="Critical"/>
    <s v="IT"/>
    <s v="EMP_86"/>
    <d v="2024-05-27T00:57:00"/>
    <d v="2024-05-27T01:55:00"/>
    <n v="48"/>
    <n v="58"/>
    <n v="1"/>
    <s v="Level 1"/>
    <n v="9"/>
    <n v="317.62"/>
  </r>
  <r>
    <s v="WF_1714"/>
    <x v="2"/>
    <x v="1713"/>
    <s v="Escalation"/>
    <s v="High"/>
    <s v="Finance"/>
    <s v="EMP_6"/>
    <d v="2024-01-01T02:40:00"/>
    <d v="2024-01-01T05:24:00"/>
    <n v="55"/>
    <n v="164"/>
    <n v="1"/>
    <s v="Level 3"/>
    <n v="4"/>
    <n v="309.56"/>
  </r>
  <r>
    <s v="WF_1715"/>
    <x v="1"/>
    <x v="1714"/>
    <s v="Review"/>
    <s v="Medium"/>
    <s v="HR"/>
    <s v="EMP_5"/>
    <d v="2024-07-15T19:04:00"/>
    <d v="2024-07-15T20:45:00"/>
    <n v="64"/>
    <n v="101"/>
    <n v="1"/>
    <s v="Level 3"/>
    <n v="6"/>
    <n v="345.38"/>
  </r>
  <r>
    <s v="WF_1716"/>
    <x v="0"/>
    <x v="1715"/>
    <s v="Review"/>
    <s v="Low"/>
    <s v="Customer Service"/>
    <s v="EMP_62"/>
    <d v="2024-09-15T13:48:00"/>
    <d v="2024-09-15T16:25:00"/>
    <n v="58"/>
    <n v="157"/>
    <n v="1"/>
    <s v="Level 3"/>
    <n v="4"/>
    <n v="378.51"/>
  </r>
  <r>
    <s v="WF_1717"/>
    <x v="3"/>
    <x v="1716"/>
    <s v="Review"/>
    <s v="Medium"/>
    <s v="Customer Service"/>
    <s v="EMP_124"/>
    <d v="2024-08-27T01:34:00"/>
    <d v="2024-08-27T05:04:00"/>
    <n v="174"/>
    <n v="210"/>
    <n v="1"/>
    <s v="Level 3"/>
    <n v="6"/>
    <n v="90.85"/>
  </r>
  <r>
    <s v="WF_1718"/>
    <x v="2"/>
    <x v="1717"/>
    <s v="Approval"/>
    <s v="Low"/>
    <s v="HR"/>
    <s v="EMP_108"/>
    <d v="2024-06-29T06:13:00"/>
    <d v="2024-06-29T09:12:00"/>
    <n v="72"/>
    <n v="179"/>
    <n v="1"/>
    <s v="Level 2"/>
    <n v="8"/>
    <n v="244.06"/>
  </r>
  <r>
    <s v="WF_1719"/>
    <x v="0"/>
    <x v="1718"/>
    <s v="Review"/>
    <s v="High"/>
    <s v="IT"/>
    <s v="EMP_131"/>
    <d v="2024-08-03T22:11:00"/>
    <d v="2024-08-04T01:56:00"/>
    <n v="129"/>
    <n v="225"/>
    <n v="1"/>
    <s v="Level 1"/>
    <n v="3"/>
    <n v="413.71"/>
  </r>
  <r>
    <s v="WF_1720"/>
    <x v="0"/>
    <x v="1719"/>
    <s v="Escalation"/>
    <s v="Low"/>
    <s v="IT"/>
    <s v="EMP_122"/>
    <d v="2024-07-18T16:02:00"/>
    <d v="2024-07-18T20:53:00"/>
    <n v="191"/>
    <n v="291"/>
    <n v="1"/>
    <s v="Level 2"/>
    <n v="7"/>
    <n v="437.16"/>
  </r>
  <r>
    <s v="WF_1721"/>
    <x v="2"/>
    <x v="1720"/>
    <s v="Escalation"/>
    <s v="Medium"/>
    <s v="HR"/>
    <s v="EMP_86"/>
    <d v="2024-10-21T15:11:00"/>
    <d v="2024-10-21T17:09:00"/>
    <n v="89"/>
    <n v="118"/>
    <n v="1"/>
    <s v="Level 2"/>
    <n v="5"/>
    <n v="470.19"/>
  </r>
  <r>
    <s v="WF_1722"/>
    <x v="0"/>
    <x v="1721"/>
    <s v="Data Entry"/>
    <s v="Medium"/>
    <s v="Finance"/>
    <s v="EMP_25"/>
    <d v="2024-02-06T02:44:00"/>
    <d v="2024-02-06T05:27:00"/>
    <n v="54"/>
    <n v="163"/>
    <n v="1"/>
    <s v="Level 2"/>
    <n v="1"/>
    <n v="150.21"/>
  </r>
  <r>
    <s v="WF_1723"/>
    <x v="4"/>
    <x v="1722"/>
    <s v="Data Entry"/>
    <s v="Low"/>
    <s v="Finance"/>
    <s v="EMP_21"/>
    <d v="2024-05-20T21:07:00"/>
    <d v="2024-05-21T00:54:00"/>
    <n v="205"/>
    <n v="227"/>
    <n v="1"/>
    <s v="Level 2"/>
    <n v="9"/>
    <n v="62.06"/>
  </r>
  <r>
    <s v="WF_1724"/>
    <x v="2"/>
    <x v="1723"/>
    <s v="Validation"/>
    <s v="High"/>
    <s v="Operations"/>
    <s v="EMP_12"/>
    <d v="2024-08-10T19:51:00"/>
    <d v="2024-08-10T21:48:00"/>
    <n v="77"/>
    <n v="117"/>
    <n v="1"/>
    <s v="Level 2"/>
    <n v="5"/>
    <n v="212.11"/>
  </r>
  <r>
    <s v="WF_1725"/>
    <x v="4"/>
    <x v="1724"/>
    <s v="Approval"/>
    <s v="Low"/>
    <s v="Finance"/>
    <s v="EMP_18"/>
    <d v="2024-10-28T04:45:00"/>
    <d v="2024-10-28T09:59:00"/>
    <n v="209"/>
    <n v="314"/>
    <n v="1"/>
    <s v="Level 3"/>
    <n v="5"/>
    <n v="66.760000000000005"/>
  </r>
  <r>
    <s v="WF_1726"/>
    <x v="4"/>
    <x v="1725"/>
    <s v="Review"/>
    <s v="High"/>
    <s v="Finance"/>
    <s v="EMP_28"/>
    <d v="2024-03-23T23:10:00"/>
    <d v="2024-03-24T01:19:00"/>
    <n v="118"/>
    <n v="129"/>
    <n v="1"/>
    <s v="Level 1"/>
    <n v="8"/>
    <n v="387.55"/>
  </r>
  <r>
    <s v="WF_1727"/>
    <x v="4"/>
    <x v="1726"/>
    <s v="Review"/>
    <s v="Medium"/>
    <s v="IT"/>
    <s v="EMP_14"/>
    <d v="2024-07-21T18:29:00"/>
    <d v="2024-07-21T20:32:00"/>
    <n v="82"/>
    <n v="123"/>
    <n v="1"/>
    <s v="Level 3"/>
    <n v="5"/>
    <n v="212.24"/>
  </r>
  <r>
    <s v="WF_1728"/>
    <x v="1"/>
    <x v="1727"/>
    <s v="Approval"/>
    <s v="High"/>
    <s v="HR"/>
    <s v="EMP_115"/>
    <d v="2024-08-16T07:09:00"/>
    <d v="2024-08-16T09:56:00"/>
    <n v="62"/>
    <n v="167"/>
    <n v="1"/>
    <s v="Level 1"/>
    <n v="2"/>
    <n v="440.75"/>
  </r>
  <r>
    <s v="WF_1729"/>
    <x v="3"/>
    <x v="1728"/>
    <s v="Validation"/>
    <s v="Critical"/>
    <s v="Operations"/>
    <s v="EMP_28"/>
    <d v="2024-04-17T17:47:00"/>
    <d v="2024-04-17T22:11:00"/>
    <n v="229"/>
    <n v="264"/>
    <n v="1"/>
    <s v="Level 2"/>
    <n v="3"/>
    <n v="104.51"/>
  </r>
  <r>
    <s v="WF_1730"/>
    <x v="0"/>
    <x v="1729"/>
    <s v="Data Entry"/>
    <s v="Medium"/>
    <s v="Operations"/>
    <s v="EMP_118"/>
    <d v="2024-08-14T00:30:00"/>
    <d v="2024-08-14T04:02:00"/>
    <n v="105"/>
    <n v="212"/>
    <n v="1"/>
    <s v="Level 2"/>
    <n v="4"/>
    <n v="228.52"/>
  </r>
  <r>
    <s v="WF_1731"/>
    <x v="2"/>
    <x v="1730"/>
    <s v="Escalation"/>
    <s v="High"/>
    <s v="Operations"/>
    <s v="EMP_75"/>
    <d v="2024-10-07T12:00:00"/>
    <d v="2024-10-07T13:18:00"/>
    <n v="57"/>
    <n v="78"/>
    <n v="1"/>
    <s v="Level 1"/>
    <n v="10"/>
    <n v="253.08"/>
  </r>
  <r>
    <s v="WF_1732"/>
    <x v="3"/>
    <x v="1731"/>
    <s v="Validation"/>
    <s v="High"/>
    <s v="Customer Service"/>
    <s v="EMP_89"/>
    <d v="2024-04-11T13:45:00"/>
    <d v="2024-04-11T17:29:00"/>
    <n v="151"/>
    <n v="224"/>
    <n v="1"/>
    <s v="Level 1"/>
    <n v="4"/>
    <n v="492.13"/>
  </r>
  <r>
    <s v="WF_1733"/>
    <x v="0"/>
    <x v="1732"/>
    <s v="Approval"/>
    <s v="High"/>
    <s v="Operations"/>
    <s v="EMP_131"/>
    <d v="2024-05-22T09:39:00"/>
    <d v="2024-05-22T15:30:00"/>
    <n v="238"/>
    <n v="351"/>
    <n v="1"/>
    <s v="Level 2"/>
    <n v="4"/>
    <n v="118.73"/>
  </r>
  <r>
    <s v="WF_1734"/>
    <x v="1"/>
    <x v="1733"/>
    <s v="Escalation"/>
    <s v="Medium"/>
    <s v="Customer Service"/>
    <s v="EMP_45"/>
    <d v="2024-08-27T23:03:00"/>
    <d v="2024-08-28T00:42:00"/>
    <n v="17"/>
    <n v="99"/>
    <n v="1"/>
    <s v="Level 3"/>
    <n v="10"/>
    <n v="90.55"/>
  </r>
  <r>
    <s v="WF_1735"/>
    <x v="3"/>
    <x v="1734"/>
    <s v="Review"/>
    <s v="High"/>
    <s v="Finance"/>
    <s v="EMP_129"/>
    <d v="2024-08-11T09:27:00"/>
    <d v="2024-08-11T13:29:00"/>
    <n v="163"/>
    <n v="242"/>
    <n v="1"/>
    <s v="Level 3"/>
    <n v="8"/>
    <n v="374.27"/>
  </r>
  <r>
    <s v="WF_1736"/>
    <x v="4"/>
    <x v="1735"/>
    <s v="Review"/>
    <s v="Low"/>
    <s v="IT"/>
    <s v="EMP_66"/>
    <d v="2024-02-17T03:13:00"/>
    <d v="2024-02-17T07:16:00"/>
    <n v="210"/>
    <n v="243"/>
    <n v="1"/>
    <s v="Level 3"/>
    <n v="5"/>
    <n v="399.54"/>
  </r>
  <r>
    <s v="WF_1737"/>
    <x v="2"/>
    <x v="1736"/>
    <s v="Escalation"/>
    <s v="Low"/>
    <s v="Operations"/>
    <s v="EMP_25"/>
    <d v="2024-11-21T17:43:00"/>
    <d v="2024-11-21T21:47:00"/>
    <n v="206"/>
    <n v="244"/>
    <n v="1"/>
    <s v="Level 2"/>
    <n v="8"/>
    <n v="398.92"/>
  </r>
  <r>
    <s v="WF_1738"/>
    <x v="0"/>
    <x v="1737"/>
    <s v="Approval"/>
    <s v="Low"/>
    <s v="IT"/>
    <s v="EMP_110"/>
    <d v="2024-05-25T01:05:00"/>
    <d v="2024-05-25T05:53:00"/>
    <n v="203"/>
    <n v="288"/>
    <n v="1"/>
    <s v="Level 1"/>
    <n v="9"/>
    <n v="131.01"/>
  </r>
  <r>
    <s v="WF_1739"/>
    <x v="4"/>
    <x v="1738"/>
    <s v="Escalation"/>
    <s v="Medium"/>
    <s v="IT"/>
    <s v="EMP_127"/>
    <d v="2024-05-15T19:33:00"/>
    <d v="2024-05-15T23:37:00"/>
    <n v="147"/>
    <n v="244"/>
    <n v="1"/>
    <s v="Level 1"/>
    <n v="9"/>
    <n v="79.739999999999995"/>
  </r>
  <r>
    <s v="WF_1740"/>
    <x v="3"/>
    <x v="1739"/>
    <s v="Validation"/>
    <s v="Critical"/>
    <s v="Operations"/>
    <s v="EMP_134"/>
    <d v="2024-07-14T03:19:00"/>
    <d v="2024-07-14T05:36:00"/>
    <n v="136"/>
    <n v="137"/>
    <n v="1"/>
    <s v="Level 2"/>
    <n v="6"/>
    <n v="406.32"/>
  </r>
  <r>
    <s v="WF_1741"/>
    <x v="0"/>
    <x v="1740"/>
    <s v="Approval"/>
    <s v="High"/>
    <s v="Operations"/>
    <s v="EMP_90"/>
    <d v="2024-02-27T11:43:00"/>
    <d v="2024-02-27T17:19:00"/>
    <n v="240"/>
    <n v="336"/>
    <n v="1"/>
    <s v="Level 2"/>
    <n v="5"/>
    <n v="207.81"/>
  </r>
  <r>
    <s v="WF_1742"/>
    <x v="3"/>
    <x v="1741"/>
    <s v="Review"/>
    <s v="Low"/>
    <s v="Finance"/>
    <s v="EMP_75"/>
    <d v="2024-04-21T13:11:00"/>
    <d v="2024-04-21T15:29:00"/>
    <n v="90"/>
    <n v="138"/>
    <n v="1"/>
    <s v="Level 2"/>
    <n v="1"/>
    <n v="363.77"/>
  </r>
  <r>
    <s v="WF_1743"/>
    <x v="2"/>
    <x v="1742"/>
    <s v="Escalation"/>
    <s v="Low"/>
    <s v="HR"/>
    <s v="EMP_122"/>
    <d v="2024-08-08T18:17:00"/>
    <d v="2024-08-08T20:14:00"/>
    <n v="16"/>
    <n v="117"/>
    <n v="1"/>
    <s v="Level 2"/>
    <n v="6"/>
    <n v="268.47000000000003"/>
  </r>
  <r>
    <s v="WF_1744"/>
    <x v="1"/>
    <x v="1743"/>
    <s v="Escalation"/>
    <s v="Critical"/>
    <s v="IT"/>
    <s v="EMP_139"/>
    <d v="2024-03-03T22:23:00"/>
    <d v="2024-03-04T02:43:00"/>
    <n v="195"/>
    <n v="260"/>
    <n v="1"/>
    <s v="Level 2"/>
    <n v="4"/>
    <n v="201.17"/>
  </r>
  <r>
    <s v="WF_1745"/>
    <x v="4"/>
    <x v="1744"/>
    <s v="Review"/>
    <s v="High"/>
    <s v="HR"/>
    <s v="EMP_61"/>
    <d v="2024-01-04T15:35:00"/>
    <d v="2024-01-04T17:10:00"/>
    <n v="47"/>
    <n v="95"/>
    <n v="1"/>
    <s v="Level 2"/>
    <n v="5"/>
    <n v="367.56"/>
  </r>
  <r>
    <s v="WF_1746"/>
    <x v="1"/>
    <x v="1745"/>
    <s v="Validation"/>
    <s v="Critical"/>
    <s v="HR"/>
    <s v="EMP_47"/>
    <d v="2024-03-08T11:37:00"/>
    <d v="2024-03-08T14:15:00"/>
    <n v="80"/>
    <n v="158"/>
    <n v="1"/>
    <s v="Level 3"/>
    <n v="2"/>
    <n v="433.93"/>
  </r>
  <r>
    <s v="WF_1747"/>
    <x v="0"/>
    <x v="1746"/>
    <s v="Approval"/>
    <s v="Low"/>
    <s v="HR"/>
    <s v="EMP_83"/>
    <d v="2024-05-16T21:23:00"/>
    <d v="2024-05-17T00:27:00"/>
    <n v="84"/>
    <n v="184"/>
    <n v="1"/>
    <s v="Level 3"/>
    <n v="10"/>
    <n v="414.42"/>
  </r>
  <r>
    <s v="WF_1748"/>
    <x v="2"/>
    <x v="1747"/>
    <s v="Review"/>
    <s v="Low"/>
    <s v="HR"/>
    <s v="EMP_17"/>
    <d v="2024-05-01T07:46:00"/>
    <d v="2024-05-01T11:44:00"/>
    <n v="136"/>
    <n v="238"/>
    <n v="1"/>
    <s v="Level 2"/>
    <n v="7"/>
    <n v="455.17"/>
  </r>
  <r>
    <s v="WF_1749"/>
    <x v="4"/>
    <x v="1748"/>
    <s v="Escalation"/>
    <s v="Medium"/>
    <s v="HR"/>
    <s v="EMP_65"/>
    <d v="2024-01-27T07:32:00"/>
    <d v="2024-01-27T12:50:00"/>
    <n v="211"/>
    <n v="318"/>
    <n v="1"/>
    <s v="Level 1"/>
    <n v="3"/>
    <n v="214.89"/>
  </r>
  <r>
    <s v="WF_1750"/>
    <x v="1"/>
    <x v="1749"/>
    <s v="Validation"/>
    <s v="Low"/>
    <s v="Customer Service"/>
    <s v="EMP_81"/>
    <d v="2024-04-04T01:16:00"/>
    <d v="2024-04-04T04:56:00"/>
    <n v="121"/>
    <n v="220"/>
    <n v="1"/>
    <s v="Level 2"/>
    <n v="10"/>
    <n v="247.79"/>
  </r>
  <r>
    <s v="WF_1751"/>
    <x v="2"/>
    <x v="1750"/>
    <s v="Approval"/>
    <s v="Critical"/>
    <s v="Finance"/>
    <s v="EMP_108"/>
    <d v="2024-10-18T00:16:00"/>
    <d v="2024-10-18T05:10:00"/>
    <n v="205"/>
    <n v="294"/>
    <n v="1"/>
    <s v="Level 1"/>
    <n v="5"/>
    <n v="185.35"/>
  </r>
  <r>
    <s v="WF_1752"/>
    <x v="4"/>
    <x v="1751"/>
    <s v="Escalation"/>
    <s v="High"/>
    <s v="Customer Service"/>
    <s v="EMP_80"/>
    <d v="2024-01-04T06:01:00"/>
    <d v="2024-01-04T06:36:00"/>
    <n v="21"/>
    <n v="35"/>
    <n v="1"/>
    <s v="Level 3"/>
    <n v="10"/>
    <n v="300.88"/>
  </r>
  <r>
    <s v="WF_1753"/>
    <x v="2"/>
    <x v="1752"/>
    <s v="Escalation"/>
    <s v="High"/>
    <s v="Finance"/>
    <s v="EMP_39"/>
    <d v="2024-10-10T10:23:00"/>
    <d v="2024-10-10T14:57:00"/>
    <n v="233"/>
    <n v="274"/>
    <n v="1"/>
    <s v="Level 2"/>
    <n v="8"/>
    <n v="375.89"/>
  </r>
  <r>
    <s v="WF_1754"/>
    <x v="3"/>
    <x v="1753"/>
    <s v="Approval"/>
    <s v="Medium"/>
    <s v="IT"/>
    <s v="EMP_91"/>
    <d v="2024-03-13T08:30:00"/>
    <d v="2024-03-13T11:43:00"/>
    <n v="100"/>
    <n v="193"/>
    <n v="1"/>
    <s v="Level 1"/>
    <n v="7"/>
    <n v="377.33"/>
  </r>
  <r>
    <s v="WF_1755"/>
    <x v="2"/>
    <x v="1754"/>
    <s v="Escalation"/>
    <s v="Medium"/>
    <s v="Customer Service"/>
    <s v="EMP_108"/>
    <d v="2024-07-12T07:37:00"/>
    <d v="2024-07-12T09:27:00"/>
    <n v="110"/>
    <n v="110"/>
    <n v="0"/>
    <s v="Level 1"/>
    <n v="4"/>
    <n v="298.31"/>
  </r>
  <r>
    <s v="WF_1756"/>
    <x v="2"/>
    <x v="1755"/>
    <s v="Approval"/>
    <s v="Medium"/>
    <s v="IT"/>
    <s v="EMP_13"/>
    <d v="2024-02-16T13:37:00"/>
    <d v="2024-02-16T18:17:00"/>
    <n v="214"/>
    <n v="280"/>
    <n v="1"/>
    <s v="Level 2"/>
    <n v="3"/>
    <n v="392.42"/>
  </r>
  <r>
    <s v="WF_1757"/>
    <x v="3"/>
    <x v="1756"/>
    <s v="Review"/>
    <s v="Medium"/>
    <s v="Finance"/>
    <s v="EMP_106"/>
    <d v="2024-12-12T22:46:00"/>
    <d v="2024-12-13T01:01:00"/>
    <n v="71"/>
    <n v="135"/>
    <n v="1"/>
    <s v="Level 2"/>
    <n v="10"/>
    <n v="458.81"/>
  </r>
  <r>
    <s v="WF_1758"/>
    <x v="0"/>
    <x v="1757"/>
    <s v="Review"/>
    <s v="Critical"/>
    <s v="Customer Service"/>
    <s v="EMP_118"/>
    <d v="2024-08-20T04:15:00"/>
    <d v="2024-08-20T07:02:00"/>
    <n v="119"/>
    <n v="167"/>
    <n v="1"/>
    <s v="Level 2"/>
    <n v="1"/>
    <n v="50.75"/>
  </r>
  <r>
    <s v="WF_1759"/>
    <x v="1"/>
    <x v="1758"/>
    <s v="Approval"/>
    <s v="High"/>
    <s v="Customer Service"/>
    <s v="EMP_70"/>
    <d v="2024-01-17T03:31:00"/>
    <d v="2024-01-17T04:34:00"/>
    <n v="55"/>
    <n v="63"/>
    <n v="1"/>
    <s v="Level 3"/>
    <n v="5"/>
    <n v="317.43"/>
  </r>
  <r>
    <s v="WF_1760"/>
    <x v="1"/>
    <x v="1759"/>
    <s v="Validation"/>
    <s v="Critical"/>
    <s v="Customer Service"/>
    <s v="EMP_138"/>
    <d v="2024-10-23T13:15:00"/>
    <d v="2024-10-23T17:06:00"/>
    <n v="174"/>
    <n v="231"/>
    <n v="1"/>
    <s v="Level 2"/>
    <n v="1"/>
    <n v="135.18"/>
  </r>
  <r>
    <s v="WF_1761"/>
    <x v="4"/>
    <x v="1760"/>
    <s v="Data Entry"/>
    <s v="Low"/>
    <s v="Customer Service"/>
    <s v="EMP_110"/>
    <d v="2024-06-13T22:11:00"/>
    <d v="2024-06-13T23:45:00"/>
    <n v="27"/>
    <n v="94"/>
    <n v="1"/>
    <s v="Level 2"/>
    <n v="4"/>
    <n v="239.77"/>
  </r>
  <r>
    <s v="WF_1762"/>
    <x v="1"/>
    <x v="1761"/>
    <s v="Review"/>
    <s v="Critical"/>
    <s v="Customer Service"/>
    <s v="EMP_53"/>
    <d v="2024-07-09T22:04:00"/>
    <d v="2024-07-10T01:34:00"/>
    <n v="185"/>
    <n v="210"/>
    <n v="1"/>
    <s v="Level 2"/>
    <n v="6"/>
    <n v="326.16000000000003"/>
  </r>
  <r>
    <s v="WF_1763"/>
    <x v="3"/>
    <x v="1762"/>
    <s v="Review"/>
    <s v="Low"/>
    <s v="Customer Service"/>
    <s v="EMP_37"/>
    <d v="2024-11-04T21:44:00"/>
    <d v="2024-11-05T00:00:00"/>
    <n v="96"/>
    <n v="136"/>
    <n v="1"/>
    <s v="Level 3"/>
    <n v="7"/>
    <n v="88.07"/>
  </r>
  <r>
    <s v="WF_1764"/>
    <x v="0"/>
    <x v="1763"/>
    <s v="Approval"/>
    <s v="Critical"/>
    <s v="HR"/>
    <s v="EMP_20"/>
    <d v="2024-05-12T10:15:00"/>
    <d v="2024-05-12T12:03:00"/>
    <n v="96"/>
    <n v="108"/>
    <n v="1"/>
    <s v="Level 1"/>
    <n v="6"/>
    <n v="316"/>
  </r>
  <r>
    <s v="WF_1765"/>
    <x v="3"/>
    <x v="1764"/>
    <s v="Review"/>
    <s v="Low"/>
    <s v="Operations"/>
    <s v="EMP_64"/>
    <d v="2024-07-28T02:37:00"/>
    <d v="2024-07-28T06:31:00"/>
    <n v="141"/>
    <n v="234"/>
    <n v="1"/>
    <s v="Level 2"/>
    <n v="6"/>
    <n v="120.04"/>
  </r>
  <r>
    <s v="WF_1766"/>
    <x v="2"/>
    <x v="1765"/>
    <s v="Data Entry"/>
    <s v="Critical"/>
    <s v="Finance"/>
    <s v="EMP_5"/>
    <d v="2024-09-01T01:50:00"/>
    <d v="2024-09-01T04:54:00"/>
    <n v="139"/>
    <n v="184"/>
    <n v="1"/>
    <s v="Level 1"/>
    <n v="3"/>
    <n v="322.83999999999997"/>
  </r>
  <r>
    <s v="WF_1767"/>
    <x v="0"/>
    <x v="1766"/>
    <s v="Validation"/>
    <s v="Medium"/>
    <s v="Finance"/>
    <s v="EMP_111"/>
    <d v="2024-09-30T06:33:00"/>
    <d v="2024-09-30T07:54:00"/>
    <n v="16"/>
    <n v="81"/>
    <n v="1"/>
    <s v="Level 3"/>
    <n v="3"/>
    <n v="421.59"/>
  </r>
  <r>
    <s v="WF_1768"/>
    <x v="0"/>
    <x v="1767"/>
    <s v="Escalation"/>
    <s v="Critical"/>
    <s v="Finance"/>
    <s v="EMP_60"/>
    <d v="2024-01-04T07:15:00"/>
    <d v="2024-01-04T09:52:00"/>
    <n v="81"/>
    <n v="157"/>
    <n v="1"/>
    <s v="Level 3"/>
    <n v="5"/>
    <n v="381.05"/>
  </r>
  <r>
    <s v="WF_1769"/>
    <x v="0"/>
    <x v="1768"/>
    <s v="Approval"/>
    <s v="High"/>
    <s v="Finance"/>
    <s v="EMP_39"/>
    <d v="2024-09-07T11:10:00"/>
    <d v="2024-09-07T13:53:00"/>
    <n v="100"/>
    <n v="163"/>
    <n v="1"/>
    <s v="Level 3"/>
    <n v="1"/>
    <n v="76.48"/>
  </r>
  <r>
    <s v="WF_1770"/>
    <x v="4"/>
    <x v="1769"/>
    <s v="Data Entry"/>
    <s v="High"/>
    <s v="Customer Service"/>
    <s v="EMP_99"/>
    <d v="2024-12-18T01:58:00"/>
    <d v="2024-12-18T04:43:00"/>
    <n v="168"/>
    <n v="165"/>
    <n v="0"/>
    <s v="Level 3"/>
    <n v="6"/>
    <n v="242.98"/>
  </r>
  <r>
    <s v="WF_1771"/>
    <x v="2"/>
    <x v="1770"/>
    <s v="Approval"/>
    <s v="Low"/>
    <s v="Operations"/>
    <s v="EMP_14"/>
    <d v="2024-10-02T06:27:00"/>
    <d v="2024-10-02T07:27:00"/>
    <n v="45"/>
    <n v="60"/>
    <n v="1"/>
    <s v="Level 3"/>
    <n v="5"/>
    <n v="273.43"/>
  </r>
  <r>
    <s v="WF_1772"/>
    <x v="0"/>
    <x v="1771"/>
    <s v="Approval"/>
    <s v="Medium"/>
    <s v="Customer Service"/>
    <s v="EMP_99"/>
    <d v="2024-06-09T01:41:00"/>
    <d v="2024-06-09T02:25:00"/>
    <n v="23"/>
    <n v="44"/>
    <n v="1"/>
    <s v="Level 2"/>
    <n v="1"/>
    <n v="289.26"/>
  </r>
  <r>
    <s v="WF_1773"/>
    <x v="4"/>
    <x v="1772"/>
    <s v="Escalation"/>
    <s v="Medium"/>
    <s v="Customer Service"/>
    <s v="EMP_129"/>
    <d v="2024-06-17T01:27:00"/>
    <d v="2024-06-17T05:49:00"/>
    <n v="170"/>
    <n v="262"/>
    <n v="1"/>
    <s v="Level 2"/>
    <n v="8"/>
    <n v="111.64"/>
  </r>
  <r>
    <s v="WF_1774"/>
    <x v="4"/>
    <x v="1773"/>
    <s v="Data Entry"/>
    <s v="Low"/>
    <s v="Operations"/>
    <s v="EMP_121"/>
    <d v="2024-02-23T17:39:00"/>
    <d v="2024-02-23T21:15:00"/>
    <n v="155"/>
    <n v="216"/>
    <n v="1"/>
    <s v="Level 1"/>
    <n v="10"/>
    <n v="99.08"/>
  </r>
  <r>
    <s v="WF_1775"/>
    <x v="4"/>
    <x v="1774"/>
    <s v="Review"/>
    <s v="Low"/>
    <s v="Finance"/>
    <s v="EMP_6"/>
    <d v="2024-01-24T05:44:00"/>
    <d v="2024-01-24T06:30:00"/>
    <n v="31"/>
    <n v="46"/>
    <n v="1"/>
    <s v="Level 2"/>
    <n v="10"/>
    <n v="458.58"/>
  </r>
  <r>
    <s v="WF_1776"/>
    <x v="2"/>
    <x v="1775"/>
    <s v="Review"/>
    <s v="Critical"/>
    <s v="Operations"/>
    <s v="EMP_44"/>
    <d v="2024-03-27T13:54:00"/>
    <d v="2024-03-27T18:21:00"/>
    <n v="226"/>
    <n v="267"/>
    <n v="1"/>
    <s v="Level 1"/>
    <n v="8"/>
    <n v="438.62"/>
  </r>
  <r>
    <s v="WF_1777"/>
    <x v="3"/>
    <x v="1776"/>
    <s v="Review"/>
    <s v="Critical"/>
    <s v="Customer Service"/>
    <s v="EMP_69"/>
    <d v="2024-11-08T06:27:00"/>
    <d v="2024-11-08T08:08:00"/>
    <n v="35"/>
    <n v="101"/>
    <n v="1"/>
    <s v="Level 1"/>
    <n v="1"/>
    <n v="350"/>
  </r>
  <r>
    <s v="WF_1778"/>
    <x v="1"/>
    <x v="1777"/>
    <s v="Escalation"/>
    <s v="Medium"/>
    <s v="Operations"/>
    <s v="EMP_54"/>
    <d v="2024-12-12T16:51:00"/>
    <d v="2024-12-12T19:09:00"/>
    <n v="125"/>
    <n v="138"/>
    <n v="1"/>
    <s v="Level 2"/>
    <n v="1"/>
    <n v="242.14"/>
  </r>
  <r>
    <s v="WF_1779"/>
    <x v="4"/>
    <x v="1778"/>
    <s v="Approval"/>
    <s v="Medium"/>
    <s v="IT"/>
    <s v="EMP_143"/>
    <d v="2024-09-27T03:41:00"/>
    <d v="2024-09-27T06:56:00"/>
    <n v="161"/>
    <n v="195"/>
    <n v="1"/>
    <s v="Level 2"/>
    <n v="9"/>
    <n v="224.93"/>
  </r>
  <r>
    <s v="WF_1780"/>
    <x v="1"/>
    <x v="1779"/>
    <s v="Approval"/>
    <s v="Critical"/>
    <s v="Operations"/>
    <s v="EMP_40"/>
    <d v="2024-01-03T16:17:00"/>
    <d v="2024-01-03T18:32:00"/>
    <n v="24"/>
    <n v="135"/>
    <n v="1"/>
    <s v="Level 1"/>
    <n v="4"/>
    <n v="64.86"/>
  </r>
  <r>
    <s v="WF_1781"/>
    <x v="4"/>
    <x v="1780"/>
    <s v="Escalation"/>
    <s v="High"/>
    <s v="Finance"/>
    <s v="EMP_85"/>
    <d v="2024-04-04T03:21:00"/>
    <d v="2024-04-04T06:48:00"/>
    <n v="119"/>
    <n v="207"/>
    <n v="1"/>
    <s v="Level 2"/>
    <n v="8"/>
    <n v="476.91"/>
  </r>
  <r>
    <s v="WF_1782"/>
    <x v="0"/>
    <x v="1781"/>
    <s v="Review"/>
    <s v="Critical"/>
    <s v="Customer Service"/>
    <s v="EMP_106"/>
    <d v="2024-12-03T14:40:00"/>
    <d v="2024-12-03T18:29:00"/>
    <n v="111"/>
    <n v="229"/>
    <n v="1"/>
    <s v="Level 3"/>
    <n v="4"/>
    <n v="261.62"/>
  </r>
  <r>
    <s v="WF_1783"/>
    <x v="2"/>
    <x v="1782"/>
    <s v="Escalation"/>
    <s v="Critical"/>
    <s v="IT"/>
    <s v="EMP_139"/>
    <d v="2024-05-26T21:06:00"/>
    <d v="2024-05-26T22:20:00"/>
    <n v="72"/>
    <n v="74"/>
    <n v="1"/>
    <s v="Level 1"/>
    <n v="5"/>
    <n v="474.65"/>
  </r>
  <r>
    <s v="WF_1784"/>
    <x v="3"/>
    <x v="1783"/>
    <s v="Review"/>
    <s v="High"/>
    <s v="Finance"/>
    <s v="EMP_43"/>
    <d v="2024-08-30T00:54:00"/>
    <d v="2024-08-30T03:31:00"/>
    <n v="150"/>
    <n v="157"/>
    <n v="1"/>
    <s v="Level 3"/>
    <n v="5"/>
    <n v="60.9"/>
  </r>
  <r>
    <s v="WF_1785"/>
    <x v="3"/>
    <x v="1784"/>
    <s v="Escalation"/>
    <s v="High"/>
    <s v="HR"/>
    <s v="EMP_109"/>
    <d v="2024-08-30T16:43:00"/>
    <d v="2024-08-30T19:06:00"/>
    <n v="85"/>
    <n v="143"/>
    <n v="1"/>
    <s v="Level 1"/>
    <n v="2"/>
    <n v="470.43"/>
  </r>
  <r>
    <s v="WF_1786"/>
    <x v="1"/>
    <x v="1785"/>
    <s v="Validation"/>
    <s v="Low"/>
    <s v="Finance"/>
    <s v="EMP_103"/>
    <d v="2024-02-17T00:36:00"/>
    <d v="2024-02-17T02:53:00"/>
    <n v="50"/>
    <n v="137"/>
    <n v="1"/>
    <s v="Level 2"/>
    <n v="4"/>
    <n v="449.83"/>
  </r>
  <r>
    <s v="WF_1787"/>
    <x v="3"/>
    <x v="1786"/>
    <s v="Review"/>
    <s v="Critical"/>
    <s v="Finance"/>
    <s v="EMP_24"/>
    <d v="2024-09-24T23:20:00"/>
    <d v="2024-09-25T00:26:00"/>
    <n v="33"/>
    <n v="66"/>
    <n v="1"/>
    <s v="Level 3"/>
    <n v="2"/>
    <n v="301.48"/>
  </r>
  <r>
    <s v="WF_1788"/>
    <x v="1"/>
    <x v="1787"/>
    <s v="Approval"/>
    <s v="Low"/>
    <s v="HR"/>
    <s v="EMP_147"/>
    <d v="2024-12-04T22:49:00"/>
    <d v="2024-12-05T02:07:00"/>
    <n v="129"/>
    <n v="198"/>
    <n v="1"/>
    <s v="Level 3"/>
    <n v="4"/>
    <n v="496.2"/>
  </r>
  <r>
    <s v="WF_1789"/>
    <x v="2"/>
    <x v="1788"/>
    <s v="Review"/>
    <s v="Medium"/>
    <s v="Customer Service"/>
    <s v="EMP_77"/>
    <d v="2024-02-01T04:37:00"/>
    <d v="2024-02-01T07:46:00"/>
    <n v="73"/>
    <n v="189"/>
    <n v="1"/>
    <s v="Level 1"/>
    <n v="2"/>
    <n v="284.60000000000002"/>
  </r>
  <r>
    <s v="WF_1790"/>
    <x v="3"/>
    <x v="1789"/>
    <s v="Review"/>
    <s v="High"/>
    <s v="HR"/>
    <s v="EMP_8"/>
    <d v="2024-08-20T05:00:00"/>
    <d v="2024-08-20T07:41:00"/>
    <n v="44"/>
    <n v="161"/>
    <n v="1"/>
    <s v="Level 3"/>
    <n v="7"/>
    <n v="85.38"/>
  </r>
  <r>
    <s v="WF_1791"/>
    <x v="0"/>
    <x v="1790"/>
    <s v="Data Entry"/>
    <s v="Low"/>
    <s v="Customer Service"/>
    <s v="EMP_124"/>
    <d v="2024-01-01T12:11:00"/>
    <d v="2024-01-01T15:06:00"/>
    <n v="60"/>
    <n v="175"/>
    <n v="1"/>
    <s v="Level 2"/>
    <n v="10"/>
    <n v="453.27"/>
  </r>
  <r>
    <s v="WF_1792"/>
    <x v="0"/>
    <x v="1791"/>
    <s v="Data Entry"/>
    <s v="Critical"/>
    <s v="Customer Service"/>
    <s v="EMP_18"/>
    <d v="2024-06-15T05:50:00"/>
    <d v="2024-06-15T07:45:00"/>
    <n v="107"/>
    <n v="115"/>
    <n v="1"/>
    <s v="Level 3"/>
    <n v="6"/>
    <n v="476.28"/>
  </r>
  <r>
    <s v="WF_1793"/>
    <x v="2"/>
    <x v="1792"/>
    <s v="Review"/>
    <s v="Medium"/>
    <s v="HR"/>
    <s v="EMP_54"/>
    <d v="2024-03-14T12:39:00"/>
    <d v="2024-03-14T15:40:00"/>
    <n v="112"/>
    <n v="181"/>
    <n v="1"/>
    <s v="Level 1"/>
    <n v="2"/>
    <n v="207.36"/>
  </r>
  <r>
    <s v="WF_1794"/>
    <x v="4"/>
    <x v="1793"/>
    <s v="Data Entry"/>
    <s v="Critical"/>
    <s v="Operations"/>
    <s v="EMP_112"/>
    <d v="2024-09-21T09:01:00"/>
    <d v="2024-09-21T10:07:00"/>
    <n v="12"/>
    <n v="66"/>
    <n v="1"/>
    <s v="Level 3"/>
    <n v="6"/>
    <n v="142.35"/>
  </r>
  <r>
    <s v="WF_1795"/>
    <x v="0"/>
    <x v="1794"/>
    <s v="Validation"/>
    <s v="Critical"/>
    <s v="Finance"/>
    <s v="EMP_136"/>
    <d v="2024-04-26T03:38:00"/>
    <d v="2024-04-26T05:17:00"/>
    <n v="55"/>
    <n v="99"/>
    <n v="1"/>
    <s v="Level 1"/>
    <n v="3"/>
    <n v="266.88"/>
  </r>
  <r>
    <s v="WF_1796"/>
    <x v="1"/>
    <x v="1795"/>
    <s v="Review"/>
    <s v="High"/>
    <s v="HR"/>
    <s v="EMP_144"/>
    <d v="2024-05-01T18:22:00"/>
    <d v="2024-05-01T23:17:00"/>
    <n v="226"/>
    <n v="295"/>
    <n v="1"/>
    <s v="Level 3"/>
    <n v="5"/>
    <n v="357.19"/>
  </r>
  <r>
    <s v="WF_1797"/>
    <x v="3"/>
    <x v="1796"/>
    <s v="Validation"/>
    <s v="Low"/>
    <s v="Operations"/>
    <s v="EMP_82"/>
    <d v="2024-09-03T17:58:00"/>
    <d v="2024-09-03T20:48:00"/>
    <n v="169"/>
    <n v="170"/>
    <n v="1"/>
    <s v="Level 2"/>
    <n v="9"/>
    <n v="353.05"/>
  </r>
  <r>
    <s v="WF_1798"/>
    <x v="1"/>
    <x v="1797"/>
    <s v="Escalation"/>
    <s v="High"/>
    <s v="Operations"/>
    <s v="EMP_113"/>
    <d v="2024-01-04T01:46:00"/>
    <d v="2024-01-04T04:16:00"/>
    <n v="148"/>
    <n v="150"/>
    <n v="1"/>
    <s v="Level 1"/>
    <n v="1"/>
    <n v="410.48"/>
  </r>
  <r>
    <s v="WF_1799"/>
    <x v="1"/>
    <x v="1798"/>
    <s v="Data Entry"/>
    <s v="High"/>
    <s v="Finance"/>
    <s v="EMP_70"/>
    <d v="2024-10-28T00:40:00"/>
    <d v="2024-10-28T03:25:00"/>
    <n v="120"/>
    <n v="165"/>
    <n v="1"/>
    <s v="Level 3"/>
    <n v="4"/>
    <n v="228.09"/>
  </r>
  <r>
    <s v="WF_1800"/>
    <x v="1"/>
    <x v="1799"/>
    <s v="Approval"/>
    <s v="Medium"/>
    <s v="Customer Service"/>
    <s v="EMP_23"/>
    <d v="2024-03-30T00:54:00"/>
    <d v="2024-03-30T02:52:00"/>
    <n v="49"/>
    <n v="118"/>
    <n v="1"/>
    <s v="Level 1"/>
    <n v="10"/>
    <n v="223"/>
  </r>
  <r>
    <s v="WF_1801"/>
    <x v="2"/>
    <x v="1800"/>
    <s v="Data Entry"/>
    <s v="Critical"/>
    <s v="IT"/>
    <s v="EMP_81"/>
    <d v="2024-05-06T09:29:00"/>
    <d v="2024-05-06T10:59:00"/>
    <n v="32"/>
    <n v="90"/>
    <n v="1"/>
    <s v="Level 2"/>
    <n v="7"/>
    <n v="499.92"/>
  </r>
  <r>
    <s v="WF_1802"/>
    <x v="2"/>
    <x v="1801"/>
    <s v="Review"/>
    <s v="High"/>
    <s v="Customer Service"/>
    <s v="EMP_149"/>
    <d v="2024-06-19T19:46:00"/>
    <d v="2024-06-20T00:09:00"/>
    <n v="166"/>
    <n v="263"/>
    <n v="1"/>
    <s v="Level 2"/>
    <n v="1"/>
    <n v="490.78"/>
  </r>
  <r>
    <s v="WF_1803"/>
    <x v="1"/>
    <x v="1802"/>
    <s v="Review"/>
    <s v="High"/>
    <s v="Operations"/>
    <s v="EMP_65"/>
    <d v="2024-08-04T06:04:00"/>
    <d v="2024-08-04T09:30:00"/>
    <n v="86"/>
    <n v="206"/>
    <n v="1"/>
    <s v="Level 2"/>
    <n v="3"/>
    <n v="112.01"/>
  </r>
  <r>
    <s v="WF_1804"/>
    <x v="3"/>
    <x v="1803"/>
    <s v="Escalation"/>
    <s v="High"/>
    <s v="HR"/>
    <s v="EMP_52"/>
    <d v="2024-07-12T18:16:00"/>
    <d v="2024-07-12T20:43:00"/>
    <n v="132"/>
    <n v="147"/>
    <n v="1"/>
    <s v="Level 2"/>
    <n v="7"/>
    <n v="129.63999999999999"/>
  </r>
  <r>
    <s v="WF_1805"/>
    <x v="2"/>
    <x v="1804"/>
    <s v="Validation"/>
    <s v="Critical"/>
    <s v="Finance"/>
    <s v="EMP_111"/>
    <d v="2024-10-28T06:37:00"/>
    <d v="2024-10-28T11:15:00"/>
    <n v="210"/>
    <n v="278"/>
    <n v="1"/>
    <s v="Level 1"/>
    <n v="7"/>
    <n v="376.91"/>
  </r>
  <r>
    <s v="WF_1806"/>
    <x v="0"/>
    <x v="1805"/>
    <s v="Validation"/>
    <s v="Medium"/>
    <s v="Finance"/>
    <s v="EMP_54"/>
    <d v="2024-02-18T23:13:00"/>
    <d v="2024-02-19T04:01:00"/>
    <n v="240"/>
    <n v="288"/>
    <n v="1"/>
    <s v="Level 2"/>
    <n v="9"/>
    <n v="143.47"/>
  </r>
  <r>
    <s v="WF_1807"/>
    <x v="2"/>
    <x v="1806"/>
    <s v="Validation"/>
    <s v="Low"/>
    <s v="HR"/>
    <s v="EMP_124"/>
    <d v="2024-07-19T05:45:00"/>
    <d v="2024-07-19T10:38:00"/>
    <n v="196"/>
    <n v="293"/>
    <n v="1"/>
    <s v="Level 1"/>
    <n v="5"/>
    <n v="88.24"/>
  </r>
  <r>
    <s v="WF_1808"/>
    <x v="4"/>
    <x v="1807"/>
    <s v="Review"/>
    <s v="Medium"/>
    <s v="Operations"/>
    <s v="EMP_80"/>
    <d v="2024-11-14T05:53:00"/>
    <d v="2024-11-14T09:10:00"/>
    <n v="81"/>
    <n v="197"/>
    <n v="1"/>
    <s v="Level 3"/>
    <n v="6"/>
    <n v="358.89"/>
  </r>
  <r>
    <s v="WF_1809"/>
    <x v="3"/>
    <x v="1808"/>
    <s v="Validation"/>
    <s v="Critical"/>
    <s v="Operations"/>
    <s v="EMP_52"/>
    <d v="2024-08-20T12:36:00"/>
    <d v="2024-08-20T13:20:00"/>
    <n v="22"/>
    <n v="44"/>
    <n v="1"/>
    <s v="Level 2"/>
    <n v="3"/>
    <n v="463.92"/>
  </r>
  <r>
    <s v="WF_1810"/>
    <x v="4"/>
    <x v="1809"/>
    <s v="Review"/>
    <s v="Medium"/>
    <s v="Customer Service"/>
    <s v="EMP_26"/>
    <d v="2024-07-12T12:54:00"/>
    <d v="2024-07-12T15:35:00"/>
    <n v="123"/>
    <n v="161"/>
    <n v="1"/>
    <s v="Level 2"/>
    <n v="7"/>
    <n v="314.11"/>
  </r>
  <r>
    <s v="WF_1811"/>
    <x v="3"/>
    <x v="1810"/>
    <s v="Approval"/>
    <s v="High"/>
    <s v="Operations"/>
    <s v="EMP_23"/>
    <d v="2024-12-09T09:28:00"/>
    <d v="2024-12-09T13:24:00"/>
    <n v="169"/>
    <n v="236"/>
    <n v="1"/>
    <s v="Level 1"/>
    <n v="5"/>
    <n v="380.78"/>
  </r>
  <r>
    <s v="WF_1812"/>
    <x v="1"/>
    <x v="1811"/>
    <s v="Data Entry"/>
    <s v="Low"/>
    <s v="Operations"/>
    <s v="EMP_131"/>
    <d v="2024-02-11T15:40:00"/>
    <d v="2024-02-11T17:43:00"/>
    <n v="125"/>
    <n v="123"/>
    <n v="0"/>
    <s v="Level 3"/>
    <n v="9"/>
    <n v="305.35000000000002"/>
  </r>
  <r>
    <s v="WF_1813"/>
    <x v="0"/>
    <x v="1812"/>
    <s v="Data Entry"/>
    <s v="High"/>
    <s v="IT"/>
    <s v="EMP_118"/>
    <d v="2024-02-23T05:20:00"/>
    <d v="2024-02-23T06:30:00"/>
    <n v="15"/>
    <n v="70"/>
    <n v="1"/>
    <s v="Level 2"/>
    <n v="5"/>
    <n v="344.2"/>
  </r>
  <r>
    <s v="WF_1814"/>
    <x v="2"/>
    <x v="1813"/>
    <s v="Escalation"/>
    <s v="Low"/>
    <s v="Finance"/>
    <s v="EMP_149"/>
    <d v="2024-11-18T05:28:00"/>
    <d v="2024-11-18T08:11:00"/>
    <n v="140"/>
    <n v="163"/>
    <n v="1"/>
    <s v="Level 2"/>
    <n v="10"/>
    <n v="486.63"/>
  </r>
  <r>
    <s v="WF_1815"/>
    <x v="4"/>
    <x v="1814"/>
    <s v="Approval"/>
    <s v="Critical"/>
    <s v="IT"/>
    <s v="EMP_29"/>
    <d v="2024-04-14T13:17:00"/>
    <d v="2024-04-14T15:20:00"/>
    <n v="23"/>
    <n v="123"/>
    <n v="1"/>
    <s v="Level 1"/>
    <n v="3"/>
    <n v="450.74"/>
  </r>
  <r>
    <s v="WF_1816"/>
    <x v="3"/>
    <x v="1815"/>
    <s v="Data Entry"/>
    <s v="Low"/>
    <s v="IT"/>
    <s v="EMP_85"/>
    <d v="2024-07-20T10:32:00"/>
    <d v="2024-07-20T14:42:00"/>
    <n v="131"/>
    <n v="250"/>
    <n v="1"/>
    <s v="Level 1"/>
    <n v="10"/>
    <n v="114.87"/>
  </r>
  <r>
    <s v="WF_1817"/>
    <x v="1"/>
    <x v="1816"/>
    <s v="Data Entry"/>
    <s v="Medium"/>
    <s v="IT"/>
    <s v="EMP_133"/>
    <d v="2024-02-17T03:12:00"/>
    <d v="2024-02-17T04:31:00"/>
    <n v="43"/>
    <n v="79"/>
    <n v="1"/>
    <s v="Level 3"/>
    <n v="2"/>
    <n v="75.55"/>
  </r>
  <r>
    <s v="WF_1818"/>
    <x v="4"/>
    <x v="1817"/>
    <s v="Review"/>
    <s v="Medium"/>
    <s v="HR"/>
    <s v="EMP_42"/>
    <d v="2024-01-05T07:06:00"/>
    <d v="2024-01-05T08:21:00"/>
    <n v="16"/>
    <n v="75"/>
    <n v="1"/>
    <s v="Level 1"/>
    <n v="2"/>
    <n v="270.04000000000002"/>
  </r>
  <r>
    <s v="WF_1819"/>
    <x v="0"/>
    <x v="1818"/>
    <s v="Data Entry"/>
    <s v="High"/>
    <s v="IT"/>
    <s v="EMP_93"/>
    <d v="2024-05-26T11:12:00"/>
    <d v="2024-05-26T12:24:00"/>
    <n v="60"/>
    <n v="72"/>
    <n v="1"/>
    <s v="Level 2"/>
    <n v="1"/>
    <n v="333.84"/>
  </r>
  <r>
    <s v="WF_1820"/>
    <x v="4"/>
    <x v="1819"/>
    <s v="Data Entry"/>
    <s v="Critical"/>
    <s v="Customer Service"/>
    <s v="EMP_99"/>
    <d v="2024-04-02T05:16:00"/>
    <d v="2024-04-02T08:55:00"/>
    <n v="149"/>
    <n v="219"/>
    <n v="1"/>
    <s v="Level 1"/>
    <n v="8"/>
    <n v="404.39"/>
  </r>
  <r>
    <s v="WF_1821"/>
    <x v="1"/>
    <x v="1820"/>
    <s v="Escalation"/>
    <s v="High"/>
    <s v="Operations"/>
    <s v="EMP_97"/>
    <d v="2024-11-14T17:06:00"/>
    <d v="2024-11-14T20:34:00"/>
    <n v="174"/>
    <n v="208"/>
    <n v="1"/>
    <s v="Level 1"/>
    <n v="7"/>
    <n v="114.29"/>
  </r>
  <r>
    <s v="WF_1822"/>
    <x v="4"/>
    <x v="1821"/>
    <s v="Data Entry"/>
    <s v="Critical"/>
    <s v="IT"/>
    <s v="EMP_124"/>
    <d v="2024-05-19T22:32:00"/>
    <d v="2024-05-20T02:25:00"/>
    <n v="174"/>
    <n v="233"/>
    <n v="1"/>
    <s v="Level 1"/>
    <n v="5"/>
    <n v="285.24"/>
  </r>
  <r>
    <s v="WF_1823"/>
    <x v="1"/>
    <x v="1822"/>
    <s v="Approval"/>
    <s v="Critical"/>
    <s v="HR"/>
    <s v="EMP_79"/>
    <d v="2024-02-25T01:14:00"/>
    <d v="2024-02-25T05:24:00"/>
    <n v="220"/>
    <n v="250"/>
    <n v="1"/>
    <s v="Level 2"/>
    <n v="9"/>
    <n v="497.42"/>
  </r>
  <r>
    <s v="WF_1824"/>
    <x v="1"/>
    <x v="1823"/>
    <s v="Review"/>
    <s v="Critical"/>
    <s v="IT"/>
    <s v="EMP_24"/>
    <d v="2024-12-12T10:34:00"/>
    <d v="2024-12-12T12:58:00"/>
    <n v="67"/>
    <n v="144"/>
    <n v="1"/>
    <s v="Level 1"/>
    <n v="8"/>
    <n v="387.21"/>
  </r>
  <r>
    <s v="WF_1825"/>
    <x v="3"/>
    <x v="1824"/>
    <s v="Review"/>
    <s v="High"/>
    <s v="HR"/>
    <s v="EMP_112"/>
    <d v="2024-08-02T17:06:00"/>
    <d v="2024-08-02T19:20:00"/>
    <n v="81"/>
    <n v="134"/>
    <n v="1"/>
    <s v="Level 1"/>
    <n v="5"/>
    <n v="357.09"/>
  </r>
  <r>
    <s v="WF_1826"/>
    <x v="0"/>
    <x v="1825"/>
    <s v="Validation"/>
    <s v="High"/>
    <s v="IT"/>
    <s v="EMP_2"/>
    <d v="2024-12-21T22:21:00"/>
    <d v="2024-12-22T03:35:00"/>
    <n v="206"/>
    <n v="314"/>
    <n v="1"/>
    <s v="Level 1"/>
    <n v="4"/>
    <n v="267.07"/>
  </r>
  <r>
    <s v="WF_1827"/>
    <x v="2"/>
    <x v="1826"/>
    <s v="Data Entry"/>
    <s v="Medium"/>
    <s v="Operations"/>
    <s v="EMP_77"/>
    <d v="2024-10-28T22:39:00"/>
    <d v="2024-10-29T01:05:00"/>
    <n v="135"/>
    <n v="146"/>
    <n v="1"/>
    <s v="Level 1"/>
    <n v="7"/>
    <n v="65.95"/>
  </r>
  <r>
    <s v="WF_1828"/>
    <x v="0"/>
    <x v="1827"/>
    <s v="Escalation"/>
    <s v="Critical"/>
    <s v="Finance"/>
    <s v="EMP_85"/>
    <d v="2024-06-22T05:16:00"/>
    <d v="2024-06-22T10:46:00"/>
    <n v="213"/>
    <n v="330"/>
    <n v="1"/>
    <s v="Level 3"/>
    <n v="5"/>
    <n v="189.64"/>
  </r>
  <r>
    <s v="WF_1829"/>
    <x v="1"/>
    <x v="1828"/>
    <s v="Escalation"/>
    <s v="Medium"/>
    <s v="HR"/>
    <s v="EMP_116"/>
    <d v="2024-03-22T19:35:00"/>
    <d v="2024-03-22T22:16:00"/>
    <n v="106"/>
    <n v="161"/>
    <n v="1"/>
    <s v="Level 2"/>
    <n v="1"/>
    <n v="299.63"/>
  </r>
  <r>
    <s v="WF_1830"/>
    <x v="2"/>
    <x v="1829"/>
    <s v="Validation"/>
    <s v="Medium"/>
    <s v="Operations"/>
    <s v="EMP_83"/>
    <d v="2024-05-08T01:16:00"/>
    <d v="2024-05-08T03:25:00"/>
    <n v="81"/>
    <n v="129"/>
    <n v="1"/>
    <s v="Level 3"/>
    <n v="4"/>
    <n v="99.66"/>
  </r>
  <r>
    <s v="WF_1831"/>
    <x v="3"/>
    <x v="1830"/>
    <s v="Data Entry"/>
    <s v="Critical"/>
    <s v="Operations"/>
    <s v="EMP_79"/>
    <d v="2024-12-20T21:04:00"/>
    <d v="2024-12-21T01:21:00"/>
    <n v="222"/>
    <n v="257"/>
    <n v="1"/>
    <s v="Level 1"/>
    <n v="10"/>
    <n v="165.58"/>
  </r>
  <r>
    <s v="WF_1832"/>
    <x v="2"/>
    <x v="1831"/>
    <s v="Review"/>
    <s v="High"/>
    <s v="Operations"/>
    <s v="EMP_108"/>
    <d v="2024-05-24T13:28:00"/>
    <d v="2024-05-24T16:14:00"/>
    <n v="109"/>
    <n v="166"/>
    <n v="1"/>
    <s v="Level 3"/>
    <n v="2"/>
    <n v="317.27999999999997"/>
  </r>
  <r>
    <s v="WF_1833"/>
    <x v="4"/>
    <x v="1832"/>
    <s v="Review"/>
    <s v="Medium"/>
    <s v="IT"/>
    <s v="EMP_95"/>
    <d v="2024-07-18T23:12:00"/>
    <d v="2024-07-19T01:13:00"/>
    <n v="104"/>
    <n v="121"/>
    <n v="1"/>
    <s v="Level 2"/>
    <n v="2"/>
    <n v="267.83999999999997"/>
  </r>
  <r>
    <s v="WF_1834"/>
    <x v="4"/>
    <x v="1833"/>
    <s v="Approval"/>
    <s v="Medium"/>
    <s v="Operations"/>
    <s v="EMP_104"/>
    <d v="2024-11-03T21:13:00"/>
    <d v="2024-11-04T00:15:00"/>
    <n v="157"/>
    <n v="182"/>
    <n v="1"/>
    <s v="Level 3"/>
    <n v="2"/>
    <n v="497.73"/>
  </r>
  <r>
    <s v="WF_1835"/>
    <x v="1"/>
    <x v="1834"/>
    <s v="Data Entry"/>
    <s v="Low"/>
    <s v="Customer Service"/>
    <s v="EMP_143"/>
    <d v="2024-03-27T16:42:00"/>
    <d v="2024-03-27T19:36:00"/>
    <n v="56"/>
    <n v="174"/>
    <n v="1"/>
    <s v="Level 1"/>
    <n v="7"/>
    <n v="422.24"/>
  </r>
  <r>
    <s v="WF_1836"/>
    <x v="2"/>
    <x v="1835"/>
    <s v="Escalation"/>
    <s v="High"/>
    <s v="HR"/>
    <s v="EMP_112"/>
    <d v="2024-01-19T23:36:00"/>
    <d v="2024-01-20T03:42:00"/>
    <n v="227"/>
    <n v="246"/>
    <n v="1"/>
    <s v="Level 2"/>
    <n v="3"/>
    <n v="347.69"/>
  </r>
  <r>
    <s v="WF_1837"/>
    <x v="4"/>
    <x v="1836"/>
    <s v="Data Entry"/>
    <s v="Low"/>
    <s v="Operations"/>
    <s v="EMP_33"/>
    <d v="2024-06-01T09:14:00"/>
    <d v="2024-06-01T13:47:00"/>
    <n v="219"/>
    <n v="273"/>
    <n v="1"/>
    <s v="Level 2"/>
    <n v="5"/>
    <n v="164.5"/>
  </r>
  <r>
    <s v="WF_1838"/>
    <x v="4"/>
    <x v="1837"/>
    <s v="Escalation"/>
    <s v="Medium"/>
    <s v="IT"/>
    <s v="EMP_111"/>
    <d v="2024-05-04T06:46:00"/>
    <d v="2024-05-04T08:59:00"/>
    <n v="126"/>
    <n v="133"/>
    <n v="1"/>
    <s v="Level 2"/>
    <n v="5"/>
    <n v="250.37"/>
  </r>
  <r>
    <s v="WF_1839"/>
    <x v="2"/>
    <x v="1838"/>
    <s v="Review"/>
    <s v="Critical"/>
    <s v="Customer Service"/>
    <s v="EMP_114"/>
    <d v="2024-06-13T22:40:00"/>
    <d v="2024-06-14T00:34:00"/>
    <n v="106"/>
    <n v="114"/>
    <n v="1"/>
    <s v="Level 2"/>
    <n v="6"/>
    <n v="398.78"/>
  </r>
  <r>
    <s v="WF_1840"/>
    <x v="4"/>
    <x v="1839"/>
    <s v="Validation"/>
    <s v="Critical"/>
    <s v="HR"/>
    <s v="EMP_82"/>
    <d v="2024-04-29T01:54:00"/>
    <d v="2024-04-29T04:08:00"/>
    <n v="118"/>
    <n v="134"/>
    <n v="1"/>
    <s v="Level 1"/>
    <n v="8"/>
    <n v="458.89"/>
  </r>
  <r>
    <s v="WF_1841"/>
    <x v="2"/>
    <x v="1840"/>
    <s v="Review"/>
    <s v="Medium"/>
    <s v="Customer Service"/>
    <s v="EMP_97"/>
    <d v="2024-08-24T00:04:00"/>
    <d v="2024-08-24T04:44:00"/>
    <n v="226"/>
    <n v="280"/>
    <n v="1"/>
    <s v="Level 3"/>
    <n v="1"/>
    <n v="233.05"/>
  </r>
  <r>
    <s v="WF_1842"/>
    <x v="4"/>
    <x v="1841"/>
    <s v="Validation"/>
    <s v="Critical"/>
    <s v="HR"/>
    <s v="EMP_115"/>
    <d v="2024-12-24T14:02:00"/>
    <d v="2024-12-24T14:46:00"/>
    <n v="20"/>
    <n v="44"/>
    <n v="1"/>
    <s v="Level 2"/>
    <n v="10"/>
    <n v="299.11"/>
  </r>
  <r>
    <s v="WF_1843"/>
    <x v="1"/>
    <x v="1842"/>
    <s v="Escalation"/>
    <s v="Critical"/>
    <s v="Finance"/>
    <s v="EMP_62"/>
    <d v="2024-12-24T15:40:00"/>
    <d v="2024-12-24T20:21:00"/>
    <n v="234"/>
    <n v="281"/>
    <n v="1"/>
    <s v="Level 1"/>
    <n v="4"/>
    <n v="144.69999999999999"/>
  </r>
  <r>
    <s v="WF_1844"/>
    <x v="2"/>
    <x v="1843"/>
    <s v="Escalation"/>
    <s v="Low"/>
    <s v="Customer Service"/>
    <s v="EMP_149"/>
    <d v="2024-11-01T20:19:00"/>
    <d v="2024-11-02T01:52:00"/>
    <n v="227"/>
    <n v="333"/>
    <n v="1"/>
    <s v="Level 3"/>
    <n v="9"/>
    <n v="105.68"/>
  </r>
  <r>
    <s v="WF_1845"/>
    <x v="4"/>
    <x v="1844"/>
    <s v="Approval"/>
    <s v="Critical"/>
    <s v="HR"/>
    <s v="EMP_3"/>
    <d v="2024-01-28T17:07:00"/>
    <d v="2024-01-28T21:16:00"/>
    <n v="215"/>
    <n v="249"/>
    <n v="1"/>
    <s v="Level 2"/>
    <n v="4"/>
    <n v="181.8"/>
  </r>
  <r>
    <s v="WF_1846"/>
    <x v="3"/>
    <x v="1845"/>
    <s v="Approval"/>
    <s v="Low"/>
    <s v="IT"/>
    <s v="EMP_39"/>
    <d v="2024-02-17T04:58:00"/>
    <d v="2024-02-17T10:24:00"/>
    <n v="239"/>
    <n v="326"/>
    <n v="1"/>
    <s v="Level 2"/>
    <n v="2"/>
    <n v="482.94"/>
  </r>
  <r>
    <s v="WF_1847"/>
    <x v="2"/>
    <x v="1846"/>
    <s v="Escalation"/>
    <s v="High"/>
    <s v="IT"/>
    <s v="EMP_31"/>
    <d v="2024-07-28T04:44:00"/>
    <d v="2024-07-28T08:22:00"/>
    <n v="107"/>
    <n v="218"/>
    <n v="1"/>
    <s v="Level 2"/>
    <n v="10"/>
    <n v="440.72"/>
  </r>
  <r>
    <s v="WF_1848"/>
    <x v="4"/>
    <x v="1847"/>
    <s v="Escalation"/>
    <s v="High"/>
    <s v="HR"/>
    <s v="EMP_90"/>
    <d v="2024-06-02T18:28:00"/>
    <d v="2024-06-02T21:57:00"/>
    <n v="127"/>
    <n v="209"/>
    <n v="1"/>
    <s v="Level 2"/>
    <n v="6"/>
    <n v="67.180000000000007"/>
  </r>
  <r>
    <s v="WF_1849"/>
    <x v="4"/>
    <x v="1848"/>
    <s v="Review"/>
    <s v="Medium"/>
    <s v="HR"/>
    <s v="EMP_22"/>
    <d v="2024-11-20T16:53:00"/>
    <d v="2024-11-20T20:00:00"/>
    <n v="155"/>
    <n v="187"/>
    <n v="1"/>
    <s v="Level 1"/>
    <n v="8"/>
    <n v="69.53"/>
  </r>
  <r>
    <s v="WF_1850"/>
    <x v="0"/>
    <x v="1849"/>
    <s v="Review"/>
    <s v="High"/>
    <s v="Finance"/>
    <s v="EMP_112"/>
    <d v="2024-05-23T03:59:00"/>
    <d v="2024-05-23T06:29:00"/>
    <n v="33"/>
    <n v="150"/>
    <n v="1"/>
    <s v="Level 3"/>
    <n v="4"/>
    <n v="198.36"/>
  </r>
  <r>
    <s v="WF_1851"/>
    <x v="2"/>
    <x v="1850"/>
    <s v="Approval"/>
    <s v="High"/>
    <s v="HR"/>
    <s v="EMP_63"/>
    <d v="2024-10-27T20:52:00"/>
    <d v="2024-10-27T23:00:00"/>
    <n v="54"/>
    <n v="128"/>
    <n v="1"/>
    <s v="Level 1"/>
    <n v="8"/>
    <n v="374.65"/>
  </r>
  <r>
    <s v="WF_1852"/>
    <x v="3"/>
    <x v="1851"/>
    <s v="Escalation"/>
    <s v="Low"/>
    <s v="Operations"/>
    <s v="EMP_18"/>
    <d v="2024-03-02T12:51:00"/>
    <d v="2024-03-02T16:14:00"/>
    <n v="104"/>
    <n v="203"/>
    <n v="1"/>
    <s v="Level 2"/>
    <n v="7"/>
    <n v="138.97"/>
  </r>
  <r>
    <s v="WF_1853"/>
    <x v="4"/>
    <x v="1852"/>
    <s v="Data Entry"/>
    <s v="Medium"/>
    <s v="Finance"/>
    <s v="EMP_71"/>
    <d v="2024-03-25T22:29:00"/>
    <d v="2024-03-25T23:27:00"/>
    <n v="51"/>
    <n v="58"/>
    <n v="1"/>
    <s v="Level 3"/>
    <n v="7"/>
    <n v="75.599999999999994"/>
  </r>
  <r>
    <s v="WF_1854"/>
    <x v="3"/>
    <x v="1853"/>
    <s v="Approval"/>
    <s v="Low"/>
    <s v="HR"/>
    <s v="EMP_137"/>
    <d v="2024-04-29T22:12:00"/>
    <d v="2024-04-30T00:46:00"/>
    <n v="90"/>
    <n v="154"/>
    <n v="1"/>
    <s v="Level 3"/>
    <n v="5"/>
    <n v="447.63"/>
  </r>
  <r>
    <s v="WF_1855"/>
    <x v="4"/>
    <x v="1854"/>
    <s v="Data Entry"/>
    <s v="Medium"/>
    <s v="IT"/>
    <s v="EMP_42"/>
    <d v="2024-05-30T20:28:00"/>
    <d v="2024-05-30T21:33:00"/>
    <n v="40"/>
    <n v="65"/>
    <n v="1"/>
    <s v="Level 1"/>
    <n v="1"/>
    <n v="440.14"/>
  </r>
  <r>
    <s v="WF_1856"/>
    <x v="3"/>
    <x v="1855"/>
    <s v="Escalation"/>
    <s v="Critical"/>
    <s v="IT"/>
    <s v="EMP_58"/>
    <d v="2024-01-17T08:33:00"/>
    <d v="2024-01-17T13:18:00"/>
    <n v="236"/>
    <n v="285"/>
    <n v="1"/>
    <s v="Level 1"/>
    <n v="3"/>
    <n v="235.07"/>
  </r>
  <r>
    <s v="WF_1857"/>
    <x v="2"/>
    <x v="1856"/>
    <s v="Data Entry"/>
    <s v="Critical"/>
    <s v="Operations"/>
    <s v="EMP_145"/>
    <d v="2024-10-11T08:21:00"/>
    <d v="2024-10-11T10:11:00"/>
    <n v="56"/>
    <n v="110"/>
    <n v="1"/>
    <s v="Level 3"/>
    <n v="9"/>
    <n v="104.83"/>
  </r>
  <r>
    <s v="WF_1858"/>
    <x v="1"/>
    <x v="1857"/>
    <s v="Validation"/>
    <s v="Medium"/>
    <s v="Operations"/>
    <s v="EMP_120"/>
    <d v="2024-07-04T19:38:00"/>
    <d v="2024-07-04T21:46:00"/>
    <n v="91"/>
    <n v="128"/>
    <n v="1"/>
    <s v="Level 3"/>
    <n v="2"/>
    <n v="313.86"/>
  </r>
  <r>
    <s v="WF_1859"/>
    <x v="0"/>
    <x v="1858"/>
    <s v="Review"/>
    <s v="Low"/>
    <s v="HR"/>
    <s v="EMP_45"/>
    <d v="2024-07-05T03:49:00"/>
    <d v="2024-07-05T07:39:00"/>
    <n v="191"/>
    <n v="230"/>
    <n v="1"/>
    <s v="Level 1"/>
    <n v="8"/>
    <n v="98.75"/>
  </r>
  <r>
    <s v="WF_1860"/>
    <x v="2"/>
    <x v="1859"/>
    <s v="Escalation"/>
    <s v="Medium"/>
    <s v="HR"/>
    <s v="EMP_42"/>
    <d v="2024-03-14T01:10:00"/>
    <d v="2024-03-14T04:19:00"/>
    <n v="84"/>
    <n v="189"/>
    <n v="1"/>
    <s v="Level 3"/>
    <n v="3"/>
    <n v="390"/>
  </r>
  <r>
    <s v="WF_1861"/>
    <x v="3"/>
    <x v="1860"/>
    <s v="Approval"/>
    <s v="Critical"/>
    <s v="HR"/>
    <s v="EMP_67"/>
    <d v="2024-10-12T11:14:00"/>
    <d v="2024-10-12T16:05:00"/>
    <n v="182"/>
    <n v="291"/>
    <n v="1"/>
    <s v="Level 3"/>
    <n v="5"/>
    <n v="339.24"/>
  </r>
  <r>
    <s v="WF_1862"/>
    <x v="4"/>
    <x v="1861"/>
    <s v="Data Entry"/>
    <s v="High"/>
    <s v="Operations"/>
    <s v="EMP_134"/>
    <d v="2024-11-12T05:09:00"/>
    <d v="2024-11-12T06:34:00"/>
    <n v="89"/>
    <n v="85"/>
    <n v="0"/>
    <s v="Level 2"/>
    <n v="5"/>
    <n v="58.16"/>
  </r>
  <r>
    <s v="WF_1863"/>
    <x v="4"/>
    <x v="1862"/>
    <s v="Escalation"/>
    <s v="Medium"/>
    <s v="HR"/>
    <s v="EMP_80"/>
    <d v="2024-05-28T04:41:00"/>
    <d v="2024-05-28T09:41:00"/>
    <n v="184"/>
    <n v="300"/>
    <n v="1"/>
    <s v="Level 3"/>
    <n v="1"/>
    <n v="260.38"/>
  </r>
  <r>
    <s v="WF_1864"/>
    <x v="3"/>
    <x v="1863"/>
    <s v="Data Entry"/>
    <s v="Critical"/>
    <s v="Operations"/>
    <s v="EMP_110"/>
    <d v="2024-08-20T22:28:00"/>
    <d v="2024-08-21T02:11:00"/>
    <n v="194"/>
    <n v="223"/>
    <n v="1"/>
    <s v="Level 2"/>
    <n v="9"/>
    <n v="459.44"/>
  </r>
  <r>
    <s v="WF_1865"/>
    <x v="4"/>
    <x v="1864"/>
    <s v="Approval"/>
    <s v="Critical"/>
    <s v="IT"/>
    <s v="EMP_122"/>
    <d v="2024-09-23T19:15:00"/>
    <d v="2024-09-23T22:52:00"/>
    <n v="133"/>
    <n v="217"/>
    <n v="1"/>
    <s v="Level 2"/>
    <n v="10"/>
    <n v="453.24"/>
  </r>
  <r>
    <s v="WF_1866"/>
    <x v="2"/>
    <x v="1865"/>
    <s v="Approval"/>
    <s v="Medium"/>
    <s v="Customer Service"/>
    <s v="EMP_89"/>
    <d v="2024-05-17T14:10:00"/>
    <d v="2024-05-17T15:47:00"/>
    <n v="97"/>
    <n v="97"/>
    <n v="0"/>
    <s v="Level 3"/>
    <n v="10"/>
    <n v="181.25"/>
  </r>
  <r>
    <s v="WF_1867"/>
    <x v="3"/>
    <x v="1866"/>
    <s v="Review"/>
    <s v="High"/>
    <s v="Finance"/>
    <s v="EMP_74"/>
    <d v="2024-03-26T21:59:00"/>
    <d v="2024-03-27T01:09:00"/>
    <n v="70"/>
    <n v="190"/>
    <n v="1"/>
    <s v="Level 3"/>
    <n v="7"/>
    <n v="191.91"/>
  </r>
  <r>
    <s v="WF_1868"/>
    <x v="1"/>
    <x v="1867"/>
    <s v="Approval"/>
    <s v="High"/>
    <s v="IT"/>
    <s v="EMP_136"/>
    <d v="2024-05-22T08:07:00"/>
    <d v="2024-05-22T12:22:00"/>
    <n v="136"/>
    <n v="255"/>
    <n v="1"/>
    <s v="Level 1"/>
    <n v="6"/>
    <n v="242.6"/>
  </r>
  <r>
    <s v="WF_1869"/>
    <x v="4"/>
    <x v="1868"/>
    <s v="Validation"/>
    <s v="Critical"/>
    <s v="IT"/>
    <s v="EMP_91"/>
    <d v="2024-02-26T16:59:00"/>
    <d v="2024-02-26T19:39:00"/>
    <n v="100"/>
    <n v="160"/>
    <n v="1"/>
    <s v="Level 3"/>
    <n v="2"/>
    <n v="329.38"/>
  </r>
  <r>
    <s v="WF_1870"/>
    <x v="0"/>
    <x v="1869"/>
    <s v="Review"/>
    <s v="Medium"/>
    <s v="Finance"/>
    <s v="EMP_36"/>
    <d v="2024-07-24T12:01:00"/>
    <d v="2024-07-24T14:31:00"/>
    <n v="70"/>
    <n v="150"/>
    <n v="1"/>
    <s v="Level 3"/>
    <n v="4"/>
    <n v="183.11"/>
  </r>
  <r>
    <s v="WF_1871"/>
    <x v="2"/>
    <x v="1870"/>
    <s v="Data Entry"/>
    <s v="Medium"/>
    <s v="Customer Service"/>
    <s v="EMP_64"/>
    <d v="2024-12-25T17:34:00"/>
    <d v="2024-12-25T20:25:00"/>
    <n v="107"/>
    <n v="171"/>
    <n v="1"/>
    <s v="Level 2"/>
    <n v="10"/>
    <n v="462.11"/>
  </r>
  <r>
    <s v="WF_1872"/>
    <x v="3"/>
    <x v="1871"/>
    <s v="Approval"/>
    <s v="Low"/>
    <s v="IT"/>
    <s v="EMP_39"/>
    <d v="2024-11-10T01:31:00"/>
    <d v="2024-11-10T05:19:00"/>
    <n v="210"/>
    <n v="228"/>
    <n v="1"/>
    <s v="Level 1"/>
    <n v="8"/>
    <n v="488.31"/>
  </r>
  <r>
    <s v="WF_1873"/>
    <x v="3"/>
    <x v="1872"/>
    <s v="Data Entry"/>
    <s v="Critical"/>
    <s v="Operations"/>
    <s v="EMP_101"/>
    <d v="2024-12-22T04:50:00"/>
    <d v="2024-12-22T07:35:00"/>
    <n v="51"/>
    <n v="165"/>
    <n v="1"/>
    <s v="Level 3"/>
    <n v="7"/>
    <n v="410.86"/>
  </r>
  <r>
    <s v="WF_1874"/>
    <x v="1"/>
    <x v="1873"/>
    <s v="Approval"/>
    <s v="Medium"/>
    <s v="Operations"/>
    <s v="EMP_107"/>
    <d v="2024-07-27T10:36:00"/>
    <d v="2024-07-27T13:13:00"/>
    <n v="154"/>
    <n v="157"/>
    <n v="1"/>
    <s v="Level 3"/>
    <n v="2"/>
    <n v="496.1"/>
  </r>
  <r>
    <s v="WF_1875"/>
    <x v="1"/>
    <x v="1874"/>
    <s v="Escalation"/>
    <s v="Medium"/>
    <s v="Finance"/>
    <s v="EMP_11"/>
    <d v="2024-08-09T13:28:00"/>
    <d v="2024-08-09T17:28:00"/>
    <n v="177"/>
    <n v="240"/>
    <n v="1"/>
    <s v="Level 3"/>
    <n v="5"/>
    <n v="183.72"/>
  </r>
  <r>
    <s v="WF_1876"/>
    <x v="3"/>
    <x v="1875"/>
    <s v="Approval"/>
    <s v="Low"/>
    <s v="HR"/>
    <s v="EMP_29"/>
    <d v="2024-07-03T20:39:00"/>
    <d v="2024-07-03T22:15:00"/>
    <n v="21"/>
    <n v="96"/>
    <n v="1"/>
    <s v="Level 2"/>
    <n v="1"/>
    <n v="299.16000000000003"/>
  </r>
  <r>
    <s v="WF_1877"/>
    <x v="0"/>
    <x v="1876"/>
    <s v="Escalation"/>
    <s v="Low"/>
    <s v="HR"/>
    <s v="EMP_38"/>
    <d v="2024-04-07T09:20:00"/>
    <d v="2024-04-07T11:55:00"/>
    <n v="126"/>
    <n v="155"/>
    <n v="1"/>
    <s v="Level 3"/>
    <n v="7"/>
    <n v="499.48"/>
  </r>
  <r>
    <s v="WF_1878"/>
    <x v="4"/>
    <x v="1877"/>
    <s v="Approval"/>
    <s v="Low"/>
    <s v="Operations"/>
    <s v="EMP_78"/>
    <d v="2024-07-31T05:14:00"/>
    <d v="2024-07-31T08:07:00"/>
    <n v="75"/>
    <n v="173"/>
    <n v="1"/>
    <s v="Level 2"/>
    <n v="9"/>
    <n v="496.54"/>
  </r>
  <r>
    <s v="WF_1879"/>
    <x v="0"/>
    <x v="1878"/>
    <s v="Approval"/>
    <s v="High"/>
    <s v="Customer Service"/>
    <s v="EMP_121"/>
    <d v="2024-10-23T22:05:00"/>
    <d v="2024-10-23T22:55:00"/>
    <n v="17"/>
    <n v="50"/>
    <n v="1"/>
    <s v="Level 1"/>
    <n v="5"/>
    <n v="364.96"/>
  </r>
  <r>
    <s v="WF_1880"/>
    <x v="4"/>
    <x v="1879"/>
    <s v="Approval"/>
    <s v="Low"/>
    <s v="Operations"/>
    <s v="EMP_38"/>
    <d v="2024-04-13T14:54:00"/>
    <d v="2024-04-13T19:19:00"/>
    <n v="193"/>
    <n v="265"/>
    <n v="1"/>
    <s v="Level 1"/>
    <n v="5"/>
    <n v="96.18"/>
  </r>
  <r>
    <s v="WF_1881"/>
    <x v="3"/>
    <x v="1880"/>
    <s v="Escalation"/>
    <s v="Critical"/>
    <s v="Finance"/>
    <s v="EMP_84"/>
    <d v="2024-07-20T01:07:00"/>
    <d v="2024-07-20T04:53:00"/>
    <n v="175"/>
    <n v="226"/>
    <n v="1"/>
    <s v="Level 3"/>
    <n v="8"/>
    <n v="466.27"/>
  </r>
  <r>
    <s v="WF_1882"/>
    <x v="3"/>
    <x v="1881"/>
    <s v="Validation"/>
    <s v="Low"/>
    <s v="IT"/>
    <s v="EMP_61"/>
    <d v="2024-10-08T21:31:00"/>
    <d v="2024-10-08T23:11:00"/>
    <n v="87"/>
    <n v="100"/>
    <n v="1"/>
    <s v="Level 1"/>
    <n v="1"/>
    <n v="67.709999999999994"/>
  </r>
  <r>
    <s v="WF_1883"/>
    <x v="0"/>
    <x v="1882"/>
    <s v="Approval"/>
    <s v="Low"/>
    <s v="IT"/>
    <s v="EMP_18"/>
    <d v="2024-03-16T06:42:00"/>
    <d v="2024-03-16T10:31:00"/>
    <n v="218"/>
    <n v="229"/>
    <n v="1"/>
    <s v="Level 1"/>
    <n v="4"/>
    <n v="279.24"/>
  </r>
  <r>
    <s v="WF_1884"/>
    <x v="2"/>
    <x v="1883"/>
    <s v="Approval"/>
    <s v="Critical"/>
    <s v="Finance"/>
    <s v="EMP_36"/>
    <d v="2024-01-10T14:19:00"/>
    <d v="2024-01-10T18:39:00"/>
    <n v="143"/>
    <n v="260"/>
    <n v="1"/>
    <s v="Level 2"/>
    <n v="6"/>
    <n v="270.89999999999998"/>
  </r>
  <r>
    <s v="WF_1885"/>
    <x v="0"/>
    <x v="1884"/>
    <s v="Review"/>
    <s v="Low"/>
    <s v="Finance"/>
    <s v="EMP_2"/>
    <d v="2024-06-06T02:26:00"/>
    <d v="2024-06-06T04:38:00"/>
    <n v="68"/>
    <n v="132"/>
    <n v="1"/>
    <s v="Level 1"/>
    <n v="9"/>
    <n v="66.599999999999994"/>
  </r>
  <r>
    <s v="WF_1886"/>
    <x v="3"/>
    <x v="1885"/>
    <s v="Escalation"/>
    <s v="High"/>
    <s v="Finance"/>
    <s v="EMP_149"/>
    <d v="2024-03-21T08:04:00"/>
    <d v="2024-03-21T11:08:00"/>
    <n v="82"/>
    <n v="184"/>
    <n v="1"/>
    <s v="Level 2"/>
    <n v="6"/>
    <n v="351.31"/>
  </r>
  <r>
    <s v="WF_1887"/>
    <x v="1"/>
    <x v="1886"/>
    <s v="Data Entry"/>
    <s v="Low"/>
    <s v="Finance"/>
    <s v="EMP_70"/>
    <d v="2024-02-29T14:07:00"/>
    <d v="2024-02-29T18:21:00"/>
    <n v="187"/>
    <n v="254"/>
    <n v="1"/>
    <s v="Level 1"/>
    <n v="5"/>
    <n v="60.75"/>
  </r>
  <r>
    <s v="WF_1888"/>
    <x v="0"/>
    <x v="1887"/>
    <s v="Data Entry"/>
    <s v="High"/>
    <s v="HR"/>
    <s v="EMP_8"/>
    <d v="2024-10-16T10:39:00"/>
    <d v="2024-10-16T12:39:00"/>
    <n v="116"/>
    <n v="120"/>
    <n v="1"/>
    <s v="Level 1"/>
    <n v="10"/>
    <n v="387.57"/>
  </r>
  <r>
    <s v="WF_1889"/>
    <x v="1"/>
    <x v="1888"/>
    <s v="Review"/>
    <s v="Medium"/>
    <s v="HR"/>
    <s v="EMP_123"/>
    <d v="2024-01-21T10:57:00"/>
    <d v="2024-01-21T14:51:00"/>
    <n v="222"/>
    <n v="234"/>
    <n v="1"/>
    <s v="Level 3"/>
    <n v="7"/>
    <n v="115.84"/>
  </r>
  <r>
    <s v="WF_1890"/>
    <x v="2"/>
    <x v="1889"/>
    <s v="Escalation"/>
    <s v="Low"/>
    <s v="Customer Service"/>
    <s v="EMP_128"/>
    <d v="2024-07-30T20:07:00"/>
    <d v="2024-07-30T21:30:00"/>
    <n v="36"/>
    <n v="83"/>
    <n v="1"/>
    <s v="Level 2"/>
    <n v="4"/>
    <n v="376.18"/>
  </r>
  <r>
    <s v="WF_1891"/>
    <x v="0"/>
    <x v="1890"/>
    <s v="Approval"/>
    <s v="High"/>
    <s v="Finance"/>
    <s v="EMP_106"/>
    <d v="2024-04-12T20:44:00"/>
    <d v="2024-04-12T23:03:00"/>
    <n v="109"/>
    <n v="139"/>
    <n v="1"/>
    <s v="Level 1"/>
    <n v="7"/>
    <n v="244.33"/>
  </r>
  <r>
    <s v="WF_1892"/>
    <x v="4"/>
    <x v="1891"/>
    <s v="Review"/>
    <s v="Critical"/>
    <s v="Customer Service"/>
    <s v="EMP_125"/>
    <d v="2024-02-21T21:25:00"/>
    <d v="2024-02-22T01:38:00"/>
    <n v="224"/>
    <n v="253"/>
    <n v="1"/>
    <s v="Level 1"/>
    <n v="5"/>
    <n v="359.69"/>
  </r>
  <r>
    <s v="WF_1893"/>
    <x v="4"/>
    <x v="1892"/>
    <s v="Data Entry"/>
    <s v="Medium"/>
    <s v="Operations"/>
    <s v="EMP_71"/>
    <d v="2024-02-25T06:12:00"/>
    <d v="2024-02-25T09:50:00"/>
    <n v="131"/>
    <n v="218"/>
    <n v="1"/>
    <s v="Level 3"/>
    <n v="2"/>
    <n v="419.65"/>
  </r>
  <r>
    <s v="WF_1894"/>
    <x v="4"/>
    <x v="1893"/>
    <s v="Escalation"/>
    <s v="Low"/>
    <s v="HR"/>
    <s v="EMP_16"/>
    <d v="2024-05-14T16:48:00"/>
    <d v="2024-05-14T22:14:00"/>
    <n v="210"/>
    <n v="326"/>
    <n v="1"/>
    <s v="Level 1"/>
    <n v="8"/>
    <n v="310.62"/>
  </r>
  <r>
    <s v="WF_1895"/>
    <x v="1"/>
    <x v="1894"/>
    <s v="Review"/>
    <s v="Medium"/>
    <s v="IT"/>
    <s v="EMP_26"/>
    <d v="2024-06-04T21:55:00"/>
    <d v="2024-06-05T00:10:00"/>
    <n v="81"/>
    <n v="135"/>
    <n v="1"/>
    <s v="Level 2"/>
    <n v="2"/>
    <n v="292.14"/>
  </r>
  <r>
    <s v="WF_1896"/>
    <x v="4"/>
    <x v="1895"/>
    <s v="Review"/>
    <s v="Critical"/>
    <s v="Customer Service"/>
    <s v="EMP_37"/>
    <d v="2024-03-07T03:42:00"/>
    <d v="2024-03-07T08:55:00"/>
    <n v="216"/>
    <n v="313"/>
    <n v="1"/>
    <s v="Level 1"/>
    <n v="4"/>
    <n v="445.15"/>
  </r>
  <r>
    <s v="WF_1897"/>
    <x v="3"/>
    <x v="1896"/>
    <s v="Escalation"/>
    <s v="Medium"/>
    <s v="Customer Service"/>
    <s v="EMP_125"/>
    <d v="2024-03-04T19:42:00"/>
    <d v="2024-03-04T21:20:00"/>
    <n v="51"/>
    <n v="98"/>
    <n v="1"/>
    <s v="Level 3"/>
    <n v="7"/>
    <n v="197.16"/>
  </r>
  <r>
    <s v="WF_1898"/>
    <x v="2"/>
    <x v="1897"/>
    <s v="Escalation"/>
    <s v="High"/>
    <s v="Finance"/>
    <s v="EMP_100"/>
    <d v="2024-08-31T16:44:00"/>
    <d v="2024-08-31T17:32:00"/>
    <n v="49"/>
    <n v="48"/>
    <n v="0"/>
    <s v="Level 2"/>
    <n v="1"/>
    <n v="295.20999999999998"/>
  </r>
  <r>
    <s v="WF_1899"/>
    <x v="2"/>
    <x v="1898"/>
    <s v="Validation"/>
    <s v="Medium"/>
    <s v="HR"/>
    <s v="EMP_55"/>
    <d v="2024-06-19T16:18:00"/>
    <d v="2024-06-19T20:50:00"/>
    <n v="208"/>
    <n v="272"/>
    <n v="1"/>
    <s v="Level 2"/>
    <n v="9"/>
    <n v="82.97"/>
  </r>
  <r>
    <s v="WF_1900"/>
    <x v="1"/>
    <x v="1899"/>
    <s v="Review"/>
    <s v="High"/>
    <s v="Finance"/>
    <s v="EMP_71"/>
    <d v="2024-07-22T06:31:00"/>
    <d v="2024-07-22T08:00:00"/>
    <n v="11"/>
    <n v="89"/>
    <n v="1"/>
    <s v="Level 2"/>
    <n v="4"/>
    <n v="96.31"/>
  </r>
  <r>
    <s v="WF_1901"/>
    <x v="0"/>
    <x v="1900"/>
    <s v="Validation"/>
    <s v="Medium"/>
    <s v="HR"/>
    <s v="EMP_59"/>
    <d v="2024-07-04T20:34:00"/>
    <d v="2024-07-04T22:07:00"/>
    <n v="55"/>
    <n v="93"/>
    <n v="1"/>
    <s v="Level 1"/>
    <n v="1"/>
    <n v="65.430000000000007"/>
  </r>
  <r>
    <s v="WF_1902"/>
    <x v="2"/>
    <x v="1901"/>
    <s v="Validation"/>
    <s v="High"/>
    <s v="Customer Service"/>
    <s v="EMP_63"/>
    <d v="2024-08-15T16:27:00"/>
    <d v="2024-08-15T19:16:00"/>
    <n v="77"/>
    <n v="169"/>
    <n v="1"/>
    <s v="Level 2"/>
    <n v="1"/>
    <n v="201.38"/>
  </r>
  <r>
    <s v="WF_1903"/>
    <x v="4"/>
    <x v="1902"/>
    <s v="Review"/>
    <s v="Critical"/>
    <s v="Operations"/>
    <s v="EMP_82"/>
    <d v="2024-05-29T15:06:00"/>
    <d v="2024-05-29T19:53:00"/>
    <n v="192"/>
    <n v="287"/>
    <n v="1"/>
    <s v="Level 1"/>
    <n v="2"/>
    <n v="188.4"/>
  </r>
  <r>
    <s v="WF_1904"/>
    <x v="1"/>
    <x v="1903"/>
    <s v="Escalation"/>
    <s v="Critical"/>
    <s v="Finance"/>
    <s v="EMP_28"/>
    <d v="2024-03-12T08:44:00"/>
    <d v="2024-03-12T11:34:00"/>
    <n v="64"/>
    <n v="170"/>
    <n v="1"/>
    <s v="Level 3"/>
    <n v="8"/>
    <n v="342.09"/>
  </r>
  <r>
    <s v="WF_1905"/>
    <x v="3"/>
    <x v="1904"/>
    <s v="Approval"/>
    <s v="Critical"/>
    <s v="IT"/>
    <s v="EMP_54"/>
    <d v="2024-06-09T04:01:00"/>
    <d v="2024-06-09T07:12:00"/>
    <n v="187"/>
    <n v="191"/>
    <n v="1"/>
    <s v="Level 1"/>
    <n v="4"/>
    <n v="412.01"/>
  </r>
  <r>
    <s v="WF_1906"/>
    <x v="2"/>
    <x v="1905"/>
    <s v="Validation"/>
    <s v="High"/>
    <s v="IT"/>
    <s v="EMP_95"/>
    <d v="2024-05-31T03:41:00"/>
    <d v="2024-05-31T08:18:00"/>
    <n v="180"/>
    <n v="277"/>
    <n v="1"/>
    <s v="Level 1"/>
    <n v="6"/>
    <n v="347.26"/>
  </r>
  <r>
    <s v="WF_1907"/>
    <x v="0"/>
    <x v="1906"/>
    <s v="Data Entry"/>
    <s v="High"/>
    <s v="HR"/>
    <s v="EMP_93"/>
    <d v="2024-06-16T03:15:00"/>
    <d v="2024-06-16T04:56:00"/>
    <n v="76"/>
    <n v="101"/>
    <n v="1"/>
    <s v="Level 1"/>
    <n v="5"/>
    <n v="89.84"/>
  </r>
  <r>
    <s v="WF_1908"/>
    <x v="1"/>
    <x v="1907"/>
    <s v="Escalation"/>
    <s v="High"/>
    <s v="Operations"/>
    <s v="EMP_56"/>
    <d v="2024-03-07T18:14:00"/>
    <d v="2024-03-07T21:23:00"/>
    <n v="69"/>
    <n v="189"/>
    <n v="1"/>
    <s v="Level 2"/>
    <n v="4"/>
    <n v="164.08"/>
  </r>
  <r>
    <s v="WF_1909"/>
    <x v="2"/>
    <x v="1908"/>
    <s v="Validation"/>
    <s v="Critical"/>
    <s v="Operations"/>
    <s v="EMP_145"/>
    <d v="2024-08-30T07:51:00"/>
    <d v="2024-08-30T11:24:00"/>
    <n v="208"/>
    <n v="213"/>
    <n v="1"/>
    <s v="Level 2"/>
    <n v="5"/>
    <n v="251.03"/>
  </r>
  <r>
    <s v="WF_1910"/>
    <x v="0"/>
    <x v="1909"/>
    <s v="Escalation"/>
    <s v="Medium"/>
    <s v="Operations"/>
    <s v="EMP_104"/>
    <d v="2024-10-05T18:45:00"/>
    <d v="2024-10-05T22:40:00"/>
    <n v="145"/>
    <n v="235"/>
    <n v="1"/>
    <s v="Level 2"/>
    <n v="1"/>
    <n v="245.32"/>
  </r>
  <r>
    <s v="WF_1911"/>
    <x v="0"/>
    <x v="1910"/>
    <s v="Escalation"/>
    <s v="High"/>
    <s v="HR"/>
    <s v="EMP_96"/>
    <d v="2024-03-01T05:32:00"/>
    <d v="2024-03-01T10:13:00"/>
    <n v="201"/>
    <n v="281"/>
    <n v="1"/>
    <s v="Level 2"/>
    <n v="6"/>
    <n v="427.55"/>
  </r>
  <r>
    <s v="WF_1912"/>
    <x v="2"/>
    <x v="1911"/>
    <s v="Approval"/>
    <s v="Low"/>
    <s v="HR"/>
    <s v="EMP_26"/>
    <d v="2024-01-11T15:35:00"/>
    <d v="2024-01-11T20:03:00"/>
    <n v="218"/>
    <n v="268"/>
    <n v="1"/>
    <s v="Level 1"/>
    <n v="9"/>
    <n v="187.9"/>
  </r>
  <r>
    <s v="WF_1913"/>
    <x v="3"/>
    <x v="1912"/>
    <s v="Validation"/>
    <s v="High"/>
    <s v="IT"/>
    <s v="EMP_134"/>
    <d v="2024-09-17T17:49:00"/>
    <d v="2024-09-17T20:40:00"/>
    <n v="119"/>
    <n v="171"/>
    <n v="1"/>
    <s v="Level 1"/>
    <n v="10"/>
    <n v="78.52"/>
  </r>
  <r>
    <s v="WF_1914"/>
    <x v="4"/>
    <x v="1913"/>
    <s v="Approval"/>
    <s v="Low"/>
    <s v="Finance"/>
    <s v="EMP_116"/>
    <d v="2024-08-06T14:45:00"/>
    <d v="2024-08-06T15:54:00"/>
    <n v="60"/>
    <n v="69"/>
    <n v="1"/>
    <s v="Level 3"/>
    <n v="1"/>
    <n v="435.24"/>
  </r>
  <r>
    <s v="WF_1915"/>
    <x v="3"/>
    <x v="1914"/>
    <s v="Approval"/>
    <s v="Critical"/>
    <s v="IT"/>
    <s v="EMP_146"/>
    <d v="2024-07-18T19:57:00"/>
    <d v="2024-07-18T22:57:00"/>
    <n v="97"/>
    <n v="180"/>
    <n v="1"/>
    <s v="Level 2"/>
    <n v="7"/>
    <n v="379.64"/>
  </r>
  <r>
    <s v="WF_1916"/>
    <x v="1"/>
    <x v="1915"/>
    <s v="Data Entry"/>
    <s v="Critical"/>
    <s v="Finance"/>
    <s v="EMP_87"/>
    <d v="2024-01-10T09:31:00"/>
    <d v="2024-01-10T12:40:00"/>
    <n v="80"/>
    <n v="189"/>
    <n v="1"/>
    <s v="Level 2"/>
    <n v="10"/>
    <n v="437.71"/>
  </r>
  <r>
    <s v="WF_1917"/>
    <x v="2"/>
    <x v="1916"/>
    <s v="Approval"/>
    <s v="High"/>
    <s v="Finance"/>
    <s v="EMP_51"/>
    <d v="2024-03-01T23:45:00"/>
    <d v="2024-03-02T00:21:00"/>
    <n v="16"/>
    <n v="36"/>
    <n v="1"/>
    <s v="Level 2"/>
    <n v="10"/>
    <n v="304.67"/>
  </r>
  <r>
    <s v="WF_1918"/>
    <x v="2"/>
    <x v="1917"/>
    <s v="Validation"/>
    <s v="Low"/>
    <s v="Customer Service"/>
    <s v="EMP_37"/>
    <d v="2024-11-07T16:11:00"/>
    <d v="2024-11-07T19:00:00"/>
    <n v="94"/>
    <n v="169"/>
    <n v="1"/>
    <s v="Level 2"/>
    <n v="1"/>
    <n v="163.57"/>
  </r>
  <r>
    <s v="WF_1919"/>
    <x v="4"/>
    <x v="1918"/>
    <s v="Validation"/>
    <s v="Medium"/>
    <s v="IT"/>
    <s v="EMP_84"/>
    <d v="2024-11-01T17:48:00"/>
    <d v="2024-11-01T21:43:00"/>
    <n v="183"/>
    <n v="235"/>
    <n v="1"/>
    <s v="Level 2"/>
    <n v="8"/>
    <n v="219.98"/>
  </r>
  <r>
    <s v="WF_1920"/>
    <x v="2"/>
    <x v="1919"/>
    <s v="Escalation"/>
    <s v="Low"/>
    <s v="Operations"/>
    <s v="EMP_32"/>
    <d v="2024-12-21T18:21:00"/>
    <d v="2024-12-21T19:43:00"/>
    <n v="24"/>
    <n v="82"/>
    <n v="1"/>
    <s v="Level 1"/>
    <n v="1"/>
    <n v="157.1"/>
  </r>
  <r>
    <s v="WF_1921"/>
    <x v="4"/>
    <x v="1920"/>
    <s v="Data Entry"/>
    <s v="Critical"/>
    <s v="IT"/>
    <s v="EMP_57"/>
    <d v="2024-12-26T11:55:00"/>
    <d v="2024-12-26T15:08:00"/>
    <n v="191"/>
    <n v="193"/>
    <n v="1"/>
    <s v="Level 3"/>
    <n v="5"/>
    <n v="387.61"/>
  </r>
  <r>
    <s v="WF_1922"/>
    <x v="1"/>
    <x v="1921"/>
    <s v="Review"/>
    <s v="Critical"/>
    <s v="Customer Service"/>
    <s v="EMP_136"/>
    <d v="2024-03-14T06:00:00"/>
    <d v="2024-03-14T08:12:00"/>
    <n v="29"/>
    <n v="132"/>
    <n v="1"/>
    <s v="Level 3"/>
    <n v="2"/>
    <n v="171.98"/>
  </r>
  <r>
    <s v="WF_1923"/>
    <x v="0"/>
    <x v="1922"/>
    <s v="Data Entry"/>
    <s v="Medium"/>
    <s v="Customer Service"/>
    <s v="EMP_37"/>
    <d v="2024-07-31T01:31:00"/>
    <d v="2024-07-31T03:17:00"/>
    <n v="41"/>
    <n v="106"/>
    <n v="1"/>
    <s v="Level 1"/>
    <n v="1"/>
    <n v="57.54"/>
  </r>
  <r>
    <s v="WF_1924"/>
    <x v="1"/>
    <x v="1923"/>
    <s v="Data Entry"/>
    <s v="Medium"/>
    <s v="Operations"/>
    <s v="EMP_119"/>
    <d v="2024-01-27T10:52:00"/>
    <d v="2024-01-27T15:56:00"/>
    <n v="204"/>
    <n v="304"/>
    <n v="1"/>
    <s v="Level 1"/>
    <n v="3"/>
    <n v="246.76"/>
  </r>
  <r>
    <s v="WF_1925"/>
    <x v="4"/>
    <x v="1924"/>
    <s v="Validation"/>
    <s v="Medium"/>
    <s v="IT"/>
    <s v="EMP_10"/>
    <d v="2024-03-01T21:02:00"/>
    <d v="2024-03-02T00:07:00"/>
    <n v="174"/>
    <n v="185"/>
    <n v="1"/>
    <s v="Level 3"/>
    <n v="6"/>
    <n v="274.64"/>
  </r>
  <r>
    <s v="WF_1926"/>
    <x v="4"/>
    <x v="1925"/>
    <s v="Review"/>
    <s v="Medium"/>
    <s v="Customer Service"/>
    <s v="EMP_104"/>
    <d v="2024-11-12T10:05:00"/>
    <d v="2024-11-12T11:35:00"/>
    <n v="20"/>
    <n v="90"/>
    <n v="1"/>
    <s v="Level 1"/>
    <n v="10"/>
    <n v="70.02"/>
  </r>
  <r>
    <s v="WF_1927"/>
    <x v="1"/>
    <x v="1926"/>
    <s v="Review"/>
    <s v="High"/>
    <s v="HR"/>
    <s v="EMP_18"/>
    <d v="2024-07-26T06:18:00"/>
    <d v="2024-07-26T07:51:00"/>
    <n v="37"/>
    <n v="93"/>
    <n v="1"/>
    <s v="Level 1"/>
    <n v="4"/>
    <n v="65.63"/>
  </r>
  <r>
    <s v="WF_1928"/>
    <x v="3"/>
    <x v="1927"/>
    <s v="Validation"/>
    <s v="Critical"/>
    <s v="Finance"/>
    <s v="EMP_88"/>
    <d v="2024-08-15T22:28:00"/>
    <d v="2024-08-16T00:27:00"/>
    <n v="122"/>
    <n v="119"/>
    <n v="0"/>
    <s v="Level 2"/>
    <n v="10"/>
    <n v="497.34"/>
  </r>
  <r>
    <s v="WF_1929"/>
    <x v="4"/>
    <x v="1928"/>
    <s v="Data Entry"/>
    <s v="Low"/>
    <s v="IT"/>
    <s v="EMP_37"/>
    <d v="2024-10-18T23:47:00"/>
    <d v="2024-10-19T01:30:00"/>
    <n v="88"/>
    <n v="103"/>
    <n v="1"/>
    <s v="Level 3"/>
    <n v="4"/>
    <n v="496.87"/>
  </r>
  <r>
    <s v="WF_1930"/>
    <x v="3"/>
    <x v="1929"/>
    <s v="Approval"/>
    <s v="Low"/>
    <s v="HR"/>
    <s v="EMP_64"/>
    <d v="2024-07-16T20:38:00"/>
    <d v="2024-07-17T01:29:00"/>
    <n v="238"/>
    <n v="291"/>
    <n v="1"/>
    <s v="Level 2"/>
    <n v="4"/>
    <n v="187.97"/>
  </r>
  <r>
    <s v="WF_1931"/>
    <x v="4"/>
    <x v="1930"/>
    <s v="Review"/>
    <s v="Low"/>
    <s v="IT"/>
    <s v="EMP_137"/>
    <d v="2024-02-27T09:20:00"/>
    <d v="2024-02-27T11:41:00"/>
    <n v="139"/>
    <n v="141"/>
    <n v="1"/>
    <s v="Level 1"/>
    <n v="7"/>
    <n v="199.63"/>
  </r>
  <r>
    <s v="WF_1932"/>
    <x v="2"/>
    <x v="1931"/>
    <s v="Validation"/>
    <s v="Low"/>
    <s v="IT"/>
    <s v="EMP_84"/>
    <d v="2024-09-06T23:09:00"/>
    <d v="2024-09-07T01:37:00"/>
    <n v="125"/>
    <n v="148"/>
    <n v="1"/>
    <s v="Level 1"/>
    <n v="5"/>
    <n v="159.66999999999999"/>
  </r>
  <r>
    <s v="WF_1933"/>
    <x v="1"/>
    <x v="1932"/>
    <s v="Review"/>
    <s v="Critical"/>
    <s v="Customer Service"/>
    <s v="EMP_150"/>
    <d v="2024-09-04T09:22:00"/>
    <d v="2024-09-04T13:20:00"/>
    <n v="202"/>
    <n v="238"/>
    <n v="1"/>
    <s v="Level 2"/>
    <n v="6"/>
    <n v="271.58"/>
  </r>
  <r>
    <s v="WF_1934"/>
    <x v="2"/>
    <x v="1933"/>
    <s v="Escalation"/>
    <s v="High"/>
    <s v="HR"/>
    <s v="EMP_23"/>
    <d v="2024-03-08T07:59:00"/>
    <d v="2024-03-08T09:39:00"/>
    <n v="94"/>
    <n v="100"/>
    <n v="1"/>
    <s v="Level 2"/>
    <n v="7"/>
    <n v="329.72"/>
  </r>
  <r>
    <s v="WF_1935"/>
    <x v="2"/>
    <x v="1934"/>
    <s v="Escalation"/>
    <s v="Critical"/>
    <s v="Customer Service"/>
    <s v="EMP_147"/>
    <d v="2024-09-30T06:33:00"/>
    <d v="2024-09-30T09:20:00"/>
    <n v="66"/>
    <n v="167"/>
    <n v="1"/>
    <s v="Level 2"/>
    <n v="10"/>
    <n v="114.48"/>
  </r>
  <r>
    <s v="WF_1936"/>
    <x v="1"/>
    <x v="1935"/>
    <s v="Review"/>
    <s v="Critical"/>
    <s v="Operations"/>
    <s v="EMP_102"/>
    <d v="2024-12-28T22:46:00"/>
    <d v="2024-12-29T02:53:00"/>
    <n v="175"/>
    <n v="247"/>
    <n v="1"/>
    <s v="Level 2"/>
    <n v="6"/>
    <n v="103.09"/>
  </r>
  <r>
    <s v="WF_1937"/>
    <x v="2"/>
    <x v="1936"/>
    <s v="Validation"/>
    <s v="Medium"/>
    <s v="Operations"/>
    <s v="EMP_100"/>
    <d v="2024-01-02T23:30:00"/>
    <d v="2024-01-03T02:36:00"/>
    <n v="174"/>
    <n v="186"/>
    <n v="1"/>
    <s v="Level 1"/>
    <n v="1"/>
    <n v="273.97000000000003"/>
  </r>
  <r>
    <s v="WF_1938"/>
    <x v="2"/>
    <x v="1937"/>
    <s v="Review"/>
    <s v="Low"/>
    <s v="Customer Service"/>
    <s v="EMP_110"/>
    <d v="2024-10-31T09:54:00"/>
    <d v="2024-10-31T12:59:00"/>
    <n v="117"/>
    <n v="185"/>
    <n v="1"/>
    <s v="Level 3"/>
    <n v="6"/>
    <n v="474.3"/>
  </r>
  <r>
    <s v="WF_1939"/>
    <x v="1"/>
    <x v="1938"/>
    <s v="Review"/>
    <s v="Medium"/>
    <s v="Customer Service"/>
    <s v="EMP_22"/>
    <d v="2024-01-29T14:17:00"/>
    <d v="2024-01-29T16:53:00"/>
    <n v="131"/>
    <n v="156"/>
    <n v="1"/>
    <s v="Level 3"/>
    <n v="5"/>
    <n v="153.79"/>
  </r>
  <r>
    <s v="WF_1940"/>
    <x v="3"/>
    <x v="1939"/>
    <s v="Data Entry"/>
    <s v="Low"/>
    <s v="IT"/>
    <s v="EMP_30"/>
    <d v="2024-12-21T17:27:00"/>
    <d v="2024-12-21T20:36:00"/>
    <n v="185"/>
    <n v="189"/>
    <n v="1"/>
    <s v="Level 2"/>
    <n v="4"/>
    <n v="86.7"/>
  </r>
  <r>
    <s v="WF_1941"/>
    <x v="3"/>
    <x v="1940"/>
    <s v="Data Entry"/>
    <s v="Medium"/>
    <s v="Operations"/>
    <s v="EMP_39"/>
    <d v="2024-01-21T20:10:00"/>
    <d v="2024-01-21T21:15:00"/>
    <n v="20"/>
    <n v="65"/>
    <n v="1"/>
    <s v="Level 3"/>
    <n v="6"/>
    <n v="58.47"/>
  </r>
  <r>
    <s v="WF_1942"/>
    <x v="0"/>
    <x v="1941"/>
    <s v="Validation"/>
    <s v="Medium"/>
    <s v="HR"/>
    <s v="EMP_103"/>
    <d v="2024-11-08T06:11:00"/>
    <d v="2024-11-08T09:15:00"/>
    <n v="187"/>
    <n v="184"/>
    <n v="0"/>
    <s v="Level 2"/>
    <n v="7"/>
    <n v="207.73"/>
  </r>
  <r>
    <s v="WF_1943"/>
    <x v="3"/>
    <x v="1942"/>
    <s v="Approval"/>
    <s v="Critical"/>
    <s v="Finance"/>
    <s v="EMP_149"/>
    <d v="2024-04-08T04:51:00"/>
    <d v="2024-04-08T09:15:00"/>
    <n v="193"/>
    <n v="264"/>
    <n v="1"/>
    <s v="Level 3"/>
    <n v="8"/>
    <n v="477.34"/>
  </r>
  <r>
    <s v="WF_1944"/>
    <x v="0"/>
    <x v="1943"/>
    <s v="Approval"/>
    <s v="Medium"/>
    <s v="Finance"/>
    <s v="EMP_29"/>
    <d v="2024-01-17T14:00:00"/>
    <d v="2024-01-17T18:48:00"/>
    <n v="223"/>
    <n v="288"/>
    <n v="1"/>
    <s v="Level 1"/>
    <n v="7"/>
    <n v="367.22"/>
  </r>
  <r>
    <s v="WF_1945"/>
    <x v="0"/>
    <x v="1944"/>
    <s v="Escalation"/>
    <s v="Low"/>
    <s v="Customer Service"/>
    <s v="EMP_142"/>
    <d v="2024-07-13T12:23:00"/>
    <d v="2024-07-13T14:03:00"/>
    <n v="24"/>
    <n v="100"/>
    <n v="1"/>
    <s v="Level 2"/>
    <n v="7"/>
    <n v="236.07"/>
  </r>
  <r>
    <s v="WF_1946"/>
    <x v="0"/>
    <x v="1945"/>
    <s v="Review"/>
    <s v="Low"/>
    <s v="IT"/>
    <s v="EMP_85"/>
    <d v="2024-10-11T09:04:00"/>
    <d v="2024-10-11T12:50:00"/>
    <n v="193"/>
    <n v="226"/>
    <n v="1"/>
    <s v="Level 2"/>
    <n v="6"/>
    <n v="257.5"/>
  </r>
  <r>
    <s v="WF_1947"/>
    <x v="4"/>
    <x v="1946"/>
    <s v="Escalation"/>
    <s v="High"/>
    <s v="Finance"/>
    <s v="EMP_61"/>
    <d v="2024-11-30T16:27:00"/>
    <d v="2024-11-30T19:35:00"/>
    <n v="115"/>
    <n v="188"/>
    <n v="1"/>
    <s v="Level 3"/>
    <n v="3"/>
    <n v="341.57"/>
  </r>
  <r>
    <s v="WF_1948"/>
    <x v="3"/>
    <x v="1947"/>
    <s v="Approval"/>
    <s v="Critical"/>
    <s v="Operations"/>
    <s v="EMP_91"/>
    <d v="2024-08-21T13:27:00"/>
    <d v="2024-08-21T17:43:00"/>
    <n v="204"/>
    <n v="256"/>
    <n v="1"/>
    <s v="Level 1"/>
    <n v="4"/>
    <n v="164.47"/>
  </r>
  <r>
    <s v="WF_1949"/>
    <x v="3"/>
    <x v="1948"/>
    <s v="Escalation"/>
    <s v="Medium"/>
    <s v="Finance"/>
    <s v="EMP_53"/>
    <d v="2024-06-25T05:48:00"/>
    <d v="2024-06-25T07:28:00"/>
    <n v="42"/>
    <n v="100"/>
    <n v="1"/>
    <s v="Level 3"/>
    <n v="4"/>
    <n v="480.92"/>
  </r>
  <r>
    <s v="WF_1950"/>
    <x v="4"/>
    <x v="1949"/>
    <s v="Approval"/>
    <s v="Low"/>
    <s v="Operations"/>
    <s v="EMP_35"/>
    <d v="2024-12-29T16:59:00"/>
    <d v="2024-12-29T20:41:00"/>
    <n v="121"/>
    <n v="222"/>
    <n v="1"/>
    <s v="Level 3"/>
    <n v="5"/>
    <n v="362.96"/>
  </r>
  <r>
    <s v="WF_1951"/>
    <x v="2"/>
    <x v="1950"/>
    <s v="Escalation"/>
    <s v="Medium"/>
    <s v="HR"/>
    <s v="EMP_137"/>
    <d v="2024-12-20T14:43:00"/>
    <d v="2024-12-20T18:33:00"/>
    <n v="189"/>
    <n v="230"/>
    <n v="1"/>
    <s v="Level 2"/>
    <n v="6"/>
    <n v="156.52000000000001"/>
  </r>
  <r>
    <s v="WF_1952"/>
    <x v="1"/>
    <x v="1951"/>
    <s v="Data Entry"/>
    <s v="Medium"/>
    <s v="Finance"/>
    <s v="EMP_47"/>
    <d v="2024-02-13T18:40:00"/>
    <d v="2024-02-13T21:24:00"/>
    <n v="159"/>
    <n v="164"/>
    <n v="1"/>
    <s v="Level 1"/>
    <n v="9"/>
    <n v="291.52"/>
  </r>
  <r>
    <s v="WF_1953"/>
    <x v="0"/>
    <x v="1952"/>
    <s v="Data Entry"/>
    <s v="High"/>
    <s v="Customer Service"/>
    <s v="EMP_135"/>
    <d v="2024-02-17T20:09:00"/>
    <d v="2024-02-18T01:48:00"/>
    <n v="232"/>
    <n v="339"/>
    <n v="1"/>
    <s v="Level 2"/>
    <n v="1"/>
    <n v="330.63"/>
  </r>
  <r>
    <s v="WF_1954"/>
    <x v="1"/>
    <x v="1953"/>
    <s v="Escalation"/>
    <s v="Medium"/>
    <s v="Finance"/>
    <s v="EMP_110"/>
    <d v="2024-01-05T12:50:00"/>
    <d v="2024-01-05T16:34:00"/>
    <n v="222"/>
    <n v="224"/>
    <n v="1"/>
    <s v="Level 3"/>
    <n v="8"/>
    <n v="328.95"/>
  </r>
  <r>
    <s v="WF_1955"/>
    <x v="2"/>
    <x v="1954"/>
    <s v="Validation"/>
    <s v="Medium"/>
    <s v="IT"/>
    <s v="EMP_121"/>
    <d v="2024-10-14T04:40:00"/>
    <d v="2024-10-14T07:31:00"/>
    <n v="95"/>
    <n v="171"/>
    <n v="1"/>
    <s v="Level 2"/>
    <n v="7"/>
    <n v="219.52"/>
  </r>
  <r>
    <s v="WF_1956"/>
    <x v="4"/>
    <x v="1955"/>
    <s v="Review"/>
    <s v="High"/>
    <s v="Finance"/>
    <s v="EMP_124"/>
    <d v="2024-07-03T19:36:00"/>
    <d v="2024-07-03T22:23:00"/>
    <n v="150"/>
    <n v="167"/>
    <n v="1"/>
    <s v="Level 3"/>
    <n v="8"/>
    <n v="261.73"/>
  </r>
  <r>
    <s v="WF_1957"/>
    <x v="4"/>
    <x v="1956"/>
    <s v="Approval"/>
    <s v="High"/>
    <s v="Operations"/>
    <s v="EMP_5"/>
    <d v="2024-09-02T18:51:00"/>
    <d v="2024-09-02T20:19:00"/>
    <n v="33"/>
    <n v="88"/>
    <n v="1"/>
    <s v="Level 2"/>
    <n v="5"/>
    <n v="428.58"/>
  </r>
  <r>
    <s v="WF_1958"/>
    <x v="4"/>
    <x v="1957"/>
    <s v="Review"/>
    <s v="High"/>
    <s v="Customer Service"/>
    <s v="EMP_135"/>
    <d v="2024-06-06T23:35:00"/>
    <d v="2024-06-07T01:44:00"/>
    <n v="46"/>
    <n v="129"/>
    <n v="1"/>
    <s v="Level 1"/>
    <n v="8"/>
    <n v="275.95999999999998"/>
  </r>
  <r>
    <s v="WF_1959"/>
    <x v="2"/>
    <x v="1958"/>
    <s v="Review"/>
    <s v="Low"/>
    <s v="Operations"/>
    <s v="EMP_69"/>
    <d v="2024-08-24T18:33:00"/>
    <d v="2024-08-24T22:39:00"/>
    <n v="126"/>
    <n v="246"/>
    <n v="1"/>
    <s v="Level 2"/>
    <n v="3"/>
    <n v="79.849999999999994"/>
  </r>
  <r>
    <s v="WF_1960"/>
    <x v="4"/>
    <x v="1959"/>
    <s v="Review"/>
    <s v="Medium"/>
    <s v="Finance"/>
    <s v="EMP_88"/>
    <d v="2024-02-07T12:33:00"/>
    <d v="2024-02-07T17:20:00"/>
    <n v="197"/>
    <n v="287"/>
    <n v="1"/>
    <s v="Level 3"/>
    <n v="3"/>
    <n v="173.67"/>
  </r>
  <r>
    <s v="WF_1961"/>
    <x v="0"/>
    <x v="1960"/>
    <s v="Escalation"/>
    <s v="Critical"/>
    <s v="Finance"/>
    <s v="EMP_146"/>
    <d v="2024-05-28T18:28:00"/>
    <d v="2024-05-28T22:07:00"/>
    <n v="203"/>
    <n v="219"/>
    <n v="1"/>
    <s v="Level 3"/>
    <n v="2"/>
    <n v="464.42"/>
  </r>
  <r>
    <s v="WF_1962"/>
    <x v="1"/>
    <x v="1961"/>
    <s v="Validation"/>
    <s v="Low"/>
    <s v="IT"/>
    <s v="EMP_104"/>
    <d v="2024-02-20T16:46:00"/>
    <d v="2024-02-20T19:58:00"/>
    <n v="132"/>
    <n v="192"/>
    <n v="1"/>
    <s v="Level 2"/>
    <n v="1"/>
    <n v="266.27"/>
  </r>
  <r>
    <s v="WF_1963"/>
    <x v="3"/>
    <x v="1962"/>
    <s v="Data Entry"/>
    <s v="Low"/>
    <s v="Operations"/>
    <s v="EMP_10"/>
    <d v="2024-05-28T04:11:00"/>
    <d v="2024-05-28T06:47:00"/>
    <n v="94"/>
    <n v="156"/>
    <n v="1"/>
    <s v="Level 1"/>
    <n v="2"/>
    <n v="87.98"/>
  </r>
  <r>
    <s v="WF_1964"/>
    <x v="4"/>
    <x v="1963"/>
    <s v="Review"/>
    <s v="Low"/>
    <s v="IT"/>
    <s v="EMP_110"/>
    <d v="2024-05-28T13:56:00"/>
    <d v="2024-05-28T18:16:00"/>
    <n v="166"/>
    <n v="260"/>
    <n v="1"/>
    <s v="Level 3"/>
    <n v="6"/>
    <n v="135.94"/>
  </r>
  <r>
    <s v="WF_1965"/>
    <x v="0"/>
    <x v="1964"/>
    <s v="Escalation"/>
    <s v="Low"/>
    <s v="IT"/>
    <s v="EMP_97"/>
    <d v="2024-02-18T08:35:00"/>
    <d v="2024-02-18T12:01:00"/>
    <n v="97"/>
    <n v="206"/>
    <n v="1"/>
    <s v="Level 3"/>
    <n v="9"/>
    <n v="373.72"/>
  </r>
  <r>
    <s v="WF_1966"/>
    <x v="4"/>
    <x v="1965"/>
    <s v="Review"/>
    <s v="Low"/>
    <s v="IT"/>
    <s v="EMP_21"/>
    <d v="2024-11-19T16:32:00"/>
    <d v="2024-11-19T20:37:00"/>
    <n v="146"/>
    <n v="245"/>
    <n v="1"/>
    <s v="Level 3"/>
    <n v="7"/>
    <n v="138.56"/>
  </r>
  <r>
    <s v="WF_1967"/>
    <x v="2"/>
    <x v="1966"/>
    <s v="Data Entry"/>
    <s v="Critical"/>
    <s v="IT"/>
    <s v="EMP_112"/>
    <d v="2024-03-04T15:22:00"/>
    <d v="2024-03-04T21:16:00"/>
    <n v="237"/>
    <n v="354"/>
    <n v="1"/>
    <s v="Level 2"/>
    <n v="10"/>
    <n v="258.76"/>
  </r>
  <r>
    <s v="WF_1968"/>
    <x v="4"/>
    <x v="1967"/>
    <s v="Approval"/>
    <s v="Medium"/>
    <s v="IT"/>
    <s v="EMP_40"/>
    <d v="2024-12-15T18:41:00"/>
    <d v="2024-12-15T19:45:00"/>
    <n v="42"/>
    <n v="64"/>
    <n v="1"/>
    <s v="Level 3"/>
    <n v="10"/>
    <n v="170.86"/>
  </r>
  <r>
    <s v="WF_1969"/>
    <x v="3"/>
    <x v="1968"/>
    <s v="Escalation"/>
    <s v="Critical"/>
    <s v="IT"/>
    <s v="EMP_26"/>
    <d v="2024-08-26T22:20:00"/>
    <d v="2024-08-27T02:26:00"/>
    <n v="188"/>
    <n v="246"/>
    <n v="1"/>
    <s v="Level 1"/>
    <n v="4"/>
    <n v="258.86"/>
  </r>
  <r>
    <s v="WF_1970"/>
    <x v="0"/>
    <x v="1969"/>
    <s v="Data Entry"/>
    <s v="Critical"/>
    <s v="Customer Service"/>
    <s v="EMP_54"/>
    <d v="2024-03-08T19:05:00"/>
    <d v="2024-03-08T23:09:00"/>
    <n v="234"/>
    <n v="244"/>
    <n v="1"/>
    <s v="Level 1"/>
    <n v="2"/>
    <n v="369.89"/>
  </r>
  <r>
    <s v="WF_1971"/>
    <x v="1"/>
    <x v="1970"/>
    <s v="Data Entry"/>
    <s v="Critical"/>
    <s v="Operations"/>
    <s v="EMP_15"/>
    <d v="2024-10-10T10:59:00"/>
    <d v="2024-10-10T12:52:00"/>
    <n v="114"/>
    <n v="113"/>
    <n v="0"/>
    <s v="Level 2"/>
    <n v="7"/>
    <n v="452.75"/>
  </r>
  <r>
    <s v="WF_1972"/>
    <x v="0"/>
    <x v="1971"/>
    <s v="Validation"/>
    <s v="Low"/>
    <s v="Finance"/>
    <s v="EMP_143"/>
    <d v="2024-06-14T21:27:00"/>
    <d v="2024-06-15T00:33:00"/>
    <n v="112"/>
    <n v="186"/>
    <n v="1"/>
    <s v="Level 2"/>
    <n v="5"/>
    <n v="324.07"/>
  </r>
  <r>
    <s v="WF_1973"/>
    <x v="0"/>
    <x v="1972"/>
    <s v="Approval"/>
    <s v="Low"/>
    <s v="Customer Service"/>
    <s v="EMP_28"/>
    <d v="2024-04-06T20:16:00"/>
    <d v="2024-04-06T21:50:00"/>
    <n v="97"/>
    <n v="94"/>
    <n v="0"/>
    <s v="Level 2"/>
    <n v="7"/>
    <n v="298.56"/>
  </r>
  <r>
    <s v="WF_1974"/>
    <x v="0"/>
    <x v="1973"/>
    <s v="Escalation"/>
    <s v="High"/>
    <s v="IT"/>
    <s v="EMP_143"/>
    <d v="2024-04-09T13:02:00"/>
    <d v="2024-04-09T17:24:00"/>
    <n v="156"/>
    <n v="262"/>
    <n v="1"/>
    <s v="Level 2"/>
    <n v="10"/>
    <n v="432.97"/>
  </r>
  <r>
    <s v="WF_1975"/>
    <x v="1"/>
    <x v="1974"/>
    <s v="Data Entry"/>
    <s v="Medium"/>
    <s v="Customer Service"/>
    <s v="EMP_117"/>
    <d v="2024-04-17T02:50:00"/>
    <d v="2024-04-17T07:26:00"/>
    <n v="156"/>
    <n v="276"/>
    <n v="1"/>
    <s v="Level 1"/>
    <n v="3"/>
    <n v="448.35"/>
  </r>
  <r>
    <s v="WF_1976"/>
    <x v="1"/>
    <x v="1975"/>
    <s v="Data Entry"/>
    <s v="Medium"/>
    <s v="Customer Service"/>
    <s v="EMP_30"/>
    <d v="2024-09-24T05:56:00"/>
    <d v="2024-09-24T07:18:00"/>
    <n v="37"/>
    <n v="82"/>
    <n v="1"/>
    <s v="Level 2"/>
    <n v="9"/>
    <n v="393.88"/>
  </r>
  <r>
    <s v="WF_1977"/>
    <x v="0"/>
    <x v="1976"/>
    <s v="Data Entry"/>
    <s v="Low"/>
    <s v="Operations"/>
    <s v="EMP_94"/>
    <d v="2024-05-16T14:57:00"/>
    <d v="2024-05-16T16:28:00"/>
    <n v="17"/>
    <n v="91"/>
    <n v="1"/>
    <s v="Level 2"/>
    <n v="9"/>
    <n v="59.35"/>
  </r>
  <r>
    <s v="WF_1978"/>
    <x v="4"/>
    <x v="1977"/>
    <s v="Data Entry"/>
    <s v="Critical"/>
    <s v="HR"/>
    <s v="EMP_13"/>
    <d v="2024-04-05T12:03:00"/>
    <d v="2024-04-05T15:17:00"/>
    <n v="169"/>
    <n v="194"/>
    <n v="1"/>
    <s v="Level 2"/>
    <n v="9"/>
    <n v="471.39"/>
  </r>
  <r>
    <s v="WF_1979"/>
    <x v="1"/>
    <x v="1978"/>
    <s v="Data Entry"/>
    <s v="Medium"/>
    <s v="Finance"/>
    <s v="EMP_139"/>
    <d v="2024-05-11T12:01:00"/>
    <d v="2024-05-11T13:32:00"/>
    <n v="63"/>
    <n v="91"/>
    <n v="1"/>
    <s v="Level 2"/>
    <n v="10"/>
    <n v="154.38999999999999"/>
  </r>
  <r>
    <s v="WF_1980"/>
    <x v="3"/>
    <x v="1979"/>
    <s v="Data Entry"/>
    <s v="Medium"/>
    <s v="HR"/>
    <s v="EMP_122"/>
    <d v="2024-01-31T12:18:00"/>
    <d v="2024-01-31T15:26:00"/>
    <n v="90"/>
    <n v="188"/>
    <n v="1"/>
    <s v="Level 1"/>
    <n v="8"/>
    <n v="331.84"/>
  </r>
  <r>
    <s v="WF_1981"/>
    <x v="1"/>
    <x v="1980"/>
    <s v="Data Entry"/>
    <s v="High"/>
    <s v="Finance"/>
    <s v="EMP_61"/>
    <d v="2024-11-30T22:34:00"/>
    <d v="2024-12-01T01:50:00"/>
    <n v="118"/>
    <n v="196"/>
    <n v="1"/>
    <s v="Level 3"/>
    <n v="5"/>
    <n v="68.239999999999995"/>
  </r>
  <r>
    <s v="WF_1982"/>
    <x v="1"/>
    <x v="1981"/>
    <s v="Data Entry"/>
    <s v="High"/>
    <s v="IT"/>
    <s v="EMP_95"/>
    <d v="2024-08-05T07:00:00"/>
    <d v="2024-08-05T12:34:00"/>
    <n v="214"/>
    <n v="334"/>
    <n v="1"/>
    <s v="Level 3"/>
    <n v="9"/>
    <n v="225.4"/>
  </r>
  <r>
    <s v="WF_1983"/>
    <x v="2"/>
    <x v="1982"/>
    <s v="Approval"/>
    <s v="Medium"/>
    <s v="Customer Service"/>
    <s v="EMP_8"/>
    <d v="2024-10-05T21:11:00"/>
    <d v="2024-10-06T01:17:00"/>
    <n v="173"/>
    <n v="246"/>
    <n v="1"/>
    <s v="Level 3"/>
    <n v="9"/>
    <n v="323.35000000000002"/>
  </r>
  <r>
    <s v="WF_1984"/>
    <x v="0"/>
    <x v="1983"/>
    <s v="Escalation"/>
    <s v="Critical"/>
    <s v="IT"/>
    <s v="EMP_19"/>
    <d v="2024-12-02T07:44:00"/>
    <d v="2024-12-02T13:25:00"/>
    <n v="230"/>
    <n v="341"/>
    <n v="1"/>
    <s v="Level 1"/>
    <n v="2"/>
    <n v="353.33"/>
  </r>
  <r>
    <s v="WF_1985"/>
    <x v="1"/>
    <x v="1984"/>
    <s v="Review"/>
    <s v="Low"/>
    <s v="IT"/>
    <s v="EMP_2"/>
    <d v="2024-03-14T23:14:00"/>
    <d v="2024-03-15T01:29:00"/>
    <n v="38"/>
    <n v="135"/>
    <n v="1"/>
    <s v="Level 2"/>
    <n v="1"/>
    <n v="439.46"/>
  </r>
  <r>
    <s v="WF_1986"/>
    <x v="2"/>
    <x v="1985"/>
    <s v="Data Entry"/>
    <s v="High"/>
    <s v="Operations"/>
    <s v="EMP_82"/>
    <d v="2024-04-15T02:42:00"/>
    <d v="2024-04-15T06:01:00"/>
    <n v="176"/>
    <n v="199"/>
    <n v="1"/>
    <s v="Level 3"/>
    <n v="4"/>
    <n v="457.66"/>
  </r>
  <r>
    <s v="WF_1987"/>
    <x v="2"/>
    <x v="1986"/>
    <s v="Review"/>
    <s v="Low"/>
    <s v="Operations"/>
    <s v="EMP_115"/>
    <d v="2024-03-12T09:23:00"/>
    <d v="2024-03-12T12:19:00"/>
    <n v="175"/>
    <n v="176"/>
    <n v="1"/>
    <s v="Level 1"/>
    <n v="7"/>
    <n v="234.13"/>
  </r>
  <r>
    <s v="WF_1988"/>
    <x v="4"/>
    <x v="1987"/>
    <s v="Data Entry"/>
    <s v="Critical"/>
    <s v="HR"/>
    <s v="EMP_21"/>
    <d v="2024-10-01T02:20:00"/>
    <d v="2024-10-01T04:24:00"/>
    <n v="50"/>
    <n v="124"/>
    <n v="1"/>
    <s v="Level 2"/>
    <n v="10"/>
    <n v="258.68"/>
  </r>
  <r>
    <s v="WF_1989"/>
    <x v="4"/>
    <x v="1988"/>
    <s v="Approval"/>
    <s v="Critical"/>
    <s v="Operations"/>
    <s v="EMP_139"/>
    <d v="2024-08-23T14:53:00"/>
    <d v="2024-08-23T17:40:00"/>
    <n v="155"/>
    <n v="167"/>
    <n v="1"/>
    <s v="Level 3"/>
    <n v="6"/>
    <n v="377.81"/>
  </r>
  <r>
    <s v="WF_1990"/>
    <x v="1"/>
    <x v="1989"/>
    <s v="Review"/>
    <s v="Low"/>
    <s v="IT"/>
    <s v="EMP_110"/>
    <d v="2024-06-29T21:31:00"/>
    <d v="2024-06-29T22:17:00"/>
    <n v="46"/>
    <n v="46"/>
    <n v="0"/>
    <s v="Level 3"/>
    <n v="7"/>
    <n v="406.31"/>
  </r>
  <r>
    <s v="WF_1991"/>
    <x v="0"/>
    <x v="1990"/>
    <s v="Escalation"/>
    <s v="Medium"/>
    <s v="IT"/>
    <s v="EMP_21"/>
    <d v="2024-03-15T01:22:00"/>
    <d v="2024-03-15T03:14:00"/>
    <n v="81"/>
    <n v="112"/>
    <n v="1"/>
    <s v="Level 3"/>
    <n v="5"/>
    <n v="87.58"/>
  </r>
  <r>
    <s v="WF_1992"/>
    <x v="0"/>
    <x v="1991"/>
    <s v="Data Entry"/>
    <s v="High"/>
    <s v="IT"/>
    <s v="EMP_34"/>
    <d v="2024-04-30T09:52:00"/>
    <d v="2024-04-30T15:11:00"/>
    <n v="213"/>
    <n v="319"/>
    <n v="1"/>
    <s v="Level 1"/>
    <n v="5"/>
    <n v="274.01"/>
  </r>
  <r>
    <s v="WF_1993"/>
    <x v="2"/>
    <x v="1992"/>
    <s v="Approval"/>
    <s v="Low"/>
    <s v="HR"/>
    <s v="EMP_83"/>
    <d v="2024-02-15T01:56:00"/>
    <d v="2024-02-15T04:52:00"/>
    <n v="84"/>
    <n v="176"/>
    <n v="1"/>
    <s v="Level 3"/>
    <n v="8"/>
    <n v="80.709999999999994"/>
  </r>
  <r>
    <s v="WF_1994"/>
    <x v="2"/>
    <x v="1993"/>
    <s v="Review"/>
    <s v="Critical"/>
    <s v="Operations"/>
    <s v="EMP_86"/>
    <d v="2024-03-15T20:05:00"/>
    <d v="2024-03-15T21:45:00"/>
    <n v="21"/>
    <n v="100"/>
    <n v="1"/>
    <s v="Level 1"/>
    <n v="1"/>
    <n v="234.6"/>
  </r>
  <r>
    <s v="WF_1995"/>
    <x v="3"/>
    <x v="1994"/>
    <s v="Approval"/>
    <s v="Low"/>
    <s v="IT"/>
    <s v="EMP_94"/>
    <d v="2024-04-11T03:26:00"/>
    <d v="2024-04-11T07:40:00"/>
    <n v="215"/>
    <n v="254"/>
    <n v="1"/>
    <s v="Level 2"/>
    <n v="5"/>
    <n v="246.4"/>
  </r>
  <r>
    <s v="WF_1996"/>
    <x v="2"/>
    <x v="1995"/>
    <s v="Approval"/>
    <s v="Medium"/>
    <s v="Customer Service"/>
    <s v="EMP_102"/>
    <d v="2024-11-24T06:11:00"/>
    <d v="2024-11-24T09:33:00"/>
    <n v="111"/>
    <n v="202"/>
    <n v="1"/>
    <s v="Level 1"/>
    <n v="10"/>
    <n v="136.81"/>
  </r>
  <r>
    <s v="WF_1997"/>
    <x v="0"/>
    <x v="1996"/>
    <s v="Escalation"/>
    <s v="Low"/>
    <s v="IT"/>
    <s v="EMP_28"/>
    <d v="2024-04-24T20:03:00"/>
    <d v="2024-04-24T22:09:00"/>
    <n v="113"/>
    <n v="126"/>
    <n v="1"/>
    <s v="Level 2"/>
    <n v="5"/>
    <n v="309.17"/>
  </r>
  <r>
    <s v="WF_1998"/>
    <x v="3"/>
    <x v="1997"/>
    <s v="Data Entry"/>
    <s v="High"/>
    <s v="HR"/>
    <s v="EMP_40"/>
    <d v="2024-10-04T05:58:00"/>
    <d v="2024-10-04T10:59:00"/>
    <n v="196"/>
    <n v="301"/>
    <n v="1"/>
    <s v="Level 3"/>
    <n v="6"/>
    <n v="361.97"/>
  </r>
  <r>
    <s v="WF_1999"/>
    <x v="3"/>
    <x v="1998"/>
    <s v="Validation"/>
    <s v="Medium"/>
    <s v="Customer Service"/>
    <s v="EMP_139"/>
    <d v="2024-11-15T03:42:00"/>
    <d v="2024-11-15T06:53:00"/>
    <n v="185"/>
    <n v="191"/>
    <n v="1"/>
    <s v="Level 2"/>
    <n v="2"/>
    <n v="428.48"/>
  </r>
  <r>
    <s v="WF_2000"/>
    <x v="1"/>
    <x v="1999"/>
    <s v="Approval"/>
    <s v="Medium"/>
    <s v="IT"/>
    <s v="EMP_57"/>
    <d v="2024-07-09T05:55:00"/>
    <d v="2024-07-09T07:41:00"/>
    <n v="46"/>
    <n v="106"/>
    <n v="1"/>
    <s v="Level 3"/>
    <n v="3"/>
    <n v="368.66"/>
  </r>
  <r>
    <s v="WF_2001"/>
    <x v="0"/>
    <x v="2000"/>
    <s v="Data Entry"/>
    <s v="Low"/>
    <s v="IT"/>
    <s v="EMP_38"/>
    <d v="2024-01-29T10:45:00"/>
    <d v="2024-01-29T13:34:00"/>
    <n v="123"/>
    <n v="169"/>
    <n v="1"/>
    <s v="Level 1"/>
    <n v="5"/>
    <n v="387.53"/>
  </r>
  <r>
    <s v="WF_2002"/>
    <x v="4"/>
    <x v="2001"/>
    <s v="Escalation"/>
    <s v="Low"/>
    <s v="Finance"/>
    <s v="EMP_102"/>
    <d v="2024-03-26T16:39:00"/>
    <d v="2024-03-26T18:19:00"/>
    <n v="19"/>
    <n v="100"/>
    <n v="1"/>
    <s v="Level 2"/>
    <n v="2"/>
    <n v="301.56"/>
  </r>
  <r>
    <s v="WF_2003"/>
    <x v="1"/>
    <x v="2002"/>
    <s v="Approval"/>
    <s v="Low"/>
    <s v="HR"/>
    <s v="EMP_67"/>
    <d v="2024-01-12T15:45:00"/>
    <d v="2024-01-12T20:29:00"/>
    <n v="225"/>
    <n v="284"/>
    <n v="1"/>
    <s v="Level 1"/>
    <n v="1"/>
    <n v="281.33999999999997"/>
  </r>
  <r>
    <s v="WF_2004"/>
    <x v="1"/>
    <x v="2003"/>
    <s v="Data Entry"/>
    <s v="Low"/>
    <s v="Operations"/>
    <s v="EMP_2"/>
    <d v="2024-09-04T23:13:00"/>
    <d v="2024-09-05T04:02:00"/>
    <n v="219"/>
    <n v="289"/>
    <n v="1"/>
    <s v="Level 3"/>
    <n v="10"/>
    <n v="233.98"/>
  </r>
  <r>
    <s v="WF_2005"/>
    <x v="1"/>
    <x v="2004"/>
    <s v="Review"/>
    <s v="High"/>
    <s v="IT"/>
    <s v="EMP_43"/>
    <d v="2024-10-28T09:24:00"/>
    <d v="2024-10-28T12:16:00"/>
    <n v="55"/>
    <n v="172"/>
    <n v="1"/>
    <s v="Level 2"/>
    <n v="9"/>
    <n v="425.99"/>
  </r>
  <r>
    <s v="WF_2006"/>
    <x v="3"/>
    <x v="2005"/>
    <s v="Review"/>
    <s v="High"/>
    <s v="Finance"/>
    <s v="EMP_66"/>
    <d v="2024-06-03T11:03:00"/>
    <d v="2024-06-03T12:15:00"/>
    <n v="27"/>
    <n v="72"/>
    <n v="1"/>
    <s v="Level 3"/>
    <n v="10"/>
    <n v="137.36000000000001"/>
  </r>
  <r>
    <s v="WF_2007"/>
    <x v="3"/>
    <x v="2006"/>
    <s v="Escalation"/>
    <s v="High"/>
    <s v="HR"/>
    <s v="EMP_10"/>
    <d v="2024-03-03T00:51:00"/>
    <d v="2024-03-03T03:22:00"/>
    <n v="63"/>
    <n v="151"/>
    <n v="1"/>
    <s v="Level 3"/>
    <n v="1"/>
    <n v="54.21"/>
  </r>
  <r>
    <s v="WF_2008"/>
    <x v="1"/>
    <x v="2007"/>
    <s v="Approval"/>
    <s v="High"/>
    <s v="IT"/>
    <s v="EMP_140"/>
    <d v="2024-06-12T04:30:00"/>
    <d v="2024-06-12T10:09:00"/>
    <n v="222"/>
    <n v="339"/>
    <n v="1"/>
    <s v="Level 2"/>
    <n v="6"/>
    <n v="308.66000000000003"/>
  </r>
  <r>
    <s v="WF_2009"/>
    <x v="4"/>
    <x v="2008"/>
    <s v="Review"/>
    <s v="High"/>
    <s v="Finance"/>
    <s v="EMP_31"/>
    <d v="2024-01-14T15:35:00"/>
    <d v="2024-01-14T16:33:00"/>
    <n v="18"/>
    <n v="58"/>
    <n v="1"/>
    <s v="Level 3"/>
    <n v="3"/>
    <n v="454.29"/>
  </r>
  <r>
    <s v="WF_2010"/>
    <x v="4"/>
    <x v="2009"/>
    <s v="Review"/>
    <s v="High"/>
    <s v="Finance"/>
    <s v="EMP_110"/>
    <d v="2024-04-03T05:17:00"/>
    <d v="2024-04-03T07:59:00"/>
    <n v="109"/>
    <n v="162"/>
    <n v="1"/>
    <s v="Level 1"/>
    <n v="9"/>
    <n v="212.42"/>
  </r>
  <r>
    <s v="WF_2011"/>
    <x v="1"/>
    <x v="2010"/>
    <s v="Review"/>
    <s v="Critical"/>
    <s v="Operations"/>
    <s v="EMP_133"/>
    <d v="2024-04-01T04:39:00"/>
    <d v="2024-04-01T05:54:00"/>
    <n v="68"/>
    <n v="75"/>
    <n v="1"/>
    <s v="Level 3"/>
    <n v="7"/>
    <n v="228.72"/>
  </r>
  <r>
    <s v="WF_2012"/>
    <x v="0"/>
    <x v="2011"/>
    <s v="Approval"/>
    <s v="Critical"/>
    <s v="IT"/>
    <s v="EMP_29"/>
    <d v="2024-09-26T13:29:00"/>
    <d v="2024-09-26T15:03:00"/>
    <n v="94"/>
    <n v="94"/>
    <n v="0"/>
    <s v="Level 1"/>
    <n v="1"/>
    <n v="213.22"/>
  </r>
  <r>
    <s v="WF_2013"/>
    <x v="2"/>
    <x v="2012"/>
    <s v="Approval"/>
    <s v="Critical"/>
    <s v="Operations"/>
    <s v="EMP_120"/>
    <d v="2024-03-03T12:27:00"/>
    <d v="2024-03-03T15:03:00"/>
    <n v="107"/>
    <n v="156"/>
    <n v="1"/>
    <s v="Level 3"/>
    <n v="1"/>
    <n v="335.49"/>
  </r>
  <r>
    <s v="WF_2014"/>
    <x v="3"/>
    <x v="2013"/>
    <s v="Data Entry"/>
    <s v="Medium"/>
    <s v="IT"/>
    <s v="EMP_138"/>
    <d v="2024-08-08T05:12:00"/>
    <d v="2024-08-08T10:40:00"/>
    <n v="219"/>
    <n v="328"/>
    <n v="1"/>
    <s v="Level 2"/>
    <n v="1"/>
    <n v="430.01"/>
  </r>
  <r>
    <s v="WF_2015"/>
    <x v="1"/>
    <x v="2014"/>
    <s v="Data Entry"/>
    <s v="Medium"/>
    <s v="HR"/>
    <s v="EMP_4"/>
    <d v="2024-09-02T20:33:00"/>
    <d v="2024-09-02T23:34:00"/>
    <n v="169"/>
    <n v="181"/>
    <n v="1"/>
    <s v="Level 3"/>
    <n v="5"/>
    <n v="125.19"/>
  </r>
  <r>
    <s v="WF_2016"/>
    <x v="3"/>
    <x v="2015"/>
    <s v="Review"/>
    <s v="Low"/>
    <s v="Finance"/>
    <s v="EMP_98"/>
    <d v="2024-10-19T15:02:00"/>
    <d v="2024-10-19T17:12:00"/>
    <n v="53"/>
    <n v="130"/>
    <n v="1"/>
    <s v="Level 1"/>
    <n v="9"/>
    <n v="389.08"/>
  </r>
  <r>
    <s v="WF_2017"/>
    <x v="1"/>
    <x v="2016"/>
    <s v="Validation"/>
    <s v="Critical"/>
    <s v="IT"/>
    <s v="EMP_43"/>
    <d v="2024-02-01T02:15:00"/>
    <d v="2024-02-01T07:06:00"/>
    <n v="180"/>
    <n v="291"/>
    <n v="1"/>
    <s v="Level 3"/>
    <n v="9"/>
    <n v="130.97"/>
  </r>
  <r>
    <s v="WF_2018"/>
    <x v="0"/>
    <x v="2017"/>
    <s v="Approval"/>
    <s v="Critical"/>
    <s v="IT"/>
    <s v="EMP_104"/>
    <d v="2024-10-10T16:35:00"/>
    <d v="2024-10-10T19:56:00"/>
    <n v="145"/>
    <n v="201"/>
    <n v="1"/>
    <s v="Level 1"/>
    <n v="7"/>
    <n v="327.20999999999998"/>
  </r>
  <r>
    <s v="WF_2019"/>
    <x v="3"/>
    <x v="2018"/>
    <s v="Data Entry"/>
    <s v="Low"/>
    <s v="HR"/>
    <s v="EMP_47"/>
    <d v="2024-10-21T14:05:00"/>
    <d v="2024-10-21T18:22:00"/>
    <n v="232"/>
    <n v="257"/>
    <n v="1"/>
    <s v="Level 2"/>
    <n v="7"/>
    <n v="409.06"/>
  </r>
  <r>
    <s v="WF_2020"/>
    <x v="2"/>
    <x v="2019"/>
    <s v="Escalation"/>
    <s v="Low"/>
    <s v="IT"/>
    <s v="EMP_41"/>
    <d v="2024-12-01T04:35:00"/>
    <d v="2024-12-01T09:16:00"/>
    <n v="216"/>
    <n v="281"/>
    <n v="1"/>
    <s v="Level 2"/>
    <n v="5"/>
    <n v="323.60000000000002"/>
  </r>
  <r>
    <s v="WF_2021"/>
    <x v="4"/>
    <x v="2020"/>
    <s v="Review"/>
    <s v="High"/>
    <s v="IT"/>
    <s v="EMP_102"/>
    <d v="2024-10-29T01:34:00"/>
    <d v="2024-10-29T05:25:00"/>
    <n v="112"/>
    <n v="231"/>
    <n v="1"/>
    <s v="Level 1"/>
    <n v="7"/>
    <n v="74.790000000000006"/>
  </r>
  <r>
    <s v="WF_2022"/>
    <x v="1"/>
    <x v="2021"/>
    <s v="Approval"/>
    <s v="Critical"/>
    <s v="Finance"/>
    <s v="EMP_29"/>
    <d v="2024-09-19T23:10:00"/>
    <d v="2024-09-20T00:54:00"/>
    <n v="75"/>
    <n v="104"/>
    <n v="1"/>
    <s v="Level 1"/>
    <n v="7"/>
    <n v="419.38"/>
  </r>
  <r>
    <s v="WF_2023"/>
    <x v="2"/>
    <x v="2022"/>
    <s v="Review"/>
    <s v="Critical"/>
    <s v="HR"/>
    <s v="EMP_61"/>
    <d v="2024-06-16T05:40:00"/>
    <d v="2024-06-16T09:48:00"/>
    <n v="169"/>
    <n v="248"/>
    <n v="1"/>
    <s v="Level 3"/>
    <n v="2"/>
    <n v="425.42"/>
  </r>
  <r>
    <s v="WF_2024"/>
    <x v="4"/>
    <x v="2023"/>
    <s v="Validation"/>
    <s v="Low"/>
    <s v="IT"/>
    <s v="EMP_91"/>
    <d v="2024-12-09T21:08:00"/>
    <d v="2024-12-09T23:08:00"/>
    <n v="116"/>
    <n v="120"/>
    <n v="1"/>
    <s v="Level 1"/>
    <n v="9"/>
    <n v="495.29"/>
  </r>
  <r>
    <s v="WF_2025"/>
    <x v="1"/>
    <x v="2024"/>
    <s v="Escalation"/>
    <s v="Critical"/>
    <s v="Operations"/>
    <s v="EMP_126"/>
    <d v="2024-01-20T00:56:00"/>
    <d v="2024-01-20T02:31:00"/>
    <n v="15"/>
    <n v="95"/>
    <n v="1"/>
    <s v="Level 2"/>
    <n v="4"/>
    <n v="454.59"/>
  </r>
  <r>
    <s v="WF_2026"/>
    <x v="4"/>
    <x v="2025"/>
    <s v="Review"/>
    <s v="Low"/>
    <s v="Customer Service"/>
    <s v="EMP_25"/>
    <d v="2024-08-06T15:01:00"/>
    <d v="2024-08-06T17:25:00"/>
    <n v="67"/>
    <n v="144"/>
    <n v="1"/>
    <s v="Level 3"/>
    <n v="9"/>
    <n v="122.98"/>
  </r>
  <r>
    <s v="WF_2027"/>
    <x v="1"/>
    <x v="2026"/>
    <s v="Approval"/>
    <s v="Low"/>
    <s v="HR"/>
    <s v="EMP_145"/>
    <d v="2024-09-03T14:09:00"/>
    <d v="2024-09-03T15:54:00"/>
    <n v="99"/>
    <n v="105"/>
    <n v="1"/>
    <s v="Level 2"/>
    <n v="9"/>
    <n v="454.8"/>
  </r>
  <r>
    <s v="WF_2028"/>
    <x v="2"/>
    <x v="2027"/>
    <s v="Data Entry"/>
    <s v="High"/>
    <s v="Finance"/>
    <s v="EMP_31"/>
    <d v="2024-07-15T15:07:00"/>
    <d v="2024-07-15T18:05:00"/>
    <n v="86"/>
    <n v="178"/>
    <n v="1"/>
    <s v="Level 1"/>
    <n v="4"/>
    <n v="169.4"/>
  </r>
  <r>
    <s v="WF_2029"/>
    <x v="3"/>
    <x v="2028"/>
    <s v="Approval"/>
    <s v="Critical"/>
    <s v="Customer Service"/>
    <s v="EMP_105"/>
    <d v="2024-12-16T07:22:00"/>
    <d v="2024-12-16T08:29:00"/>
    <n v="10"/>
    <n v="67"/>
    <n v="1"/>
    <s v="Level 2"/>
    <n v="7"/>
    <n v="394.25"/>
  </r>
  <r>
    <s v="WF_2030"/>
    <x v="4"/>
    <x v="2029"/>
    <s v="Validation"/>
    <s v="High"/>
    <s v="Finance"/>
    <s v="EMP_1"/>
    <d v="2024-07-23T22:27:00"/>
    <d v="2024-07-24T01:15:00"/>
    <n v="96"/>
    <n v="168"/>
    <n v="1"/>
    <s v="Level 2"/>
    <n v="1"/>
    <n v="249.36"/>
  </r>
  <r>
    <s v="WF_2031"/>
    <x v="2"/>
    <x v="2030"/>
    <s v="Data Entry"/>
    <s v="Critical"/>
    <s v="Finance"/>
    <s v="EMP_134"/>
    <d v="2024-06-28T05:08:00"/>
    <d v="2024-06-28T09:54:00"/>
    <n v="197"/>
    <n v="286"/>
    <n v="1"/>
    <s v="Level 1"/>
    <n v="8"/>
    <n v="145.82"/>
  </r>
  <r>
    <s v="WF_2032"/>
    <x v="2"/>
    <x v="2031"/>
    <s v="Escalation"/>
    <s v="Critical"/>
    <s v="Finance"/>
    <s v="EMP_145"/>
    <d v="2024-08-22T05:02:00"/>
    <d v="2024-08-22T10:03:00"/>
    <n v="228"/>
    <n v="301"/>
    <n v="1"/>
    <s v="Level 2"/>
    <n v="4"/>
    <n v="300.62"/>
  </r>
  <r>
    <s v="WF_2033"/>
    <x v="0"/>
    <x v="2032"/>
    <s v="Data Entry"/>
    <s v="Low"/>
    <s v="Customer Service"/>
    <s v="EMP_41"/>
    <d v="2024-02-21T18:37:00"/>
    <d v="2024-02-21T22:21:00"/>
    <n v="142"/>
    <n v="224"/>
    <n v="1"/>
    <s v="Level 2"/>
    <n v="6"/>
    <n v="264.08"/>
  </r>
  <r>
    <s v="WF_2034"/>
    <x v="1"/>
    <x v="2033"/>
    <s v="Data Entry"/>
    <s v="High"/>
    <s v="IT"/>
    <s v="EMP_146"/>
    <d v="2024-09-18T12:23:00"/>
    <d v="2024-09-18T14:25:00"/>
    <n v="73"/>
    <n v="122"/>
    <n v="1"/>
    <s v="Level 2"/>
    <n v="5"/>
    <n v="194.28"/>
  </r>
  <r>
    <s v="WF_2035"/>
    <x v="0"/>
    <x v="2034"/>
    <s v="Review"/>
    <s v="Medium"/>
    <s v="HR"/>
    <s v="EMP_75"/>
    <d v="2024-10-30T09:30:00"/>
    <d v="2024-10-30T12:57:00"/>
    <n v="99"/>
    <n v="207"/>
    <n v="1"/>
    <s v="Level 1"/>
    <n v="2"/>
    <n v="335.59"/>
  </r>
  <r>
    <s v="WF_2036"/>
    <x v="0"/>
    <x v="2035"/>
    <s v="Escalation"/>
    <s v="Medium"/>
    <s v="Finance"/>
    <s v="EMP_21"/>
    <d v="2024-06-27T06:56:00"/>
    <d v="2024-06-27T10:37:00"/>
    <n v="164"/>
    <n v="221"/>
    <n v="1"/>
    <s v="Level 1"/>
    <n v="2"/>
    <n v="173.17"/>
  </r>
  <r>
    <s v="WF_2037"/>
    <x v="3"/>
    <x v="2036"/>
    <s v="Data Entry"/>
    <s v="High"/>
    <s v="Finance"/>
    <s v="EMP_104"/>
    <d v="2024-09-06T21:14:00"/>
    <d v="2024-09-06T21:49:00"/>
    <n v="40"/>
    <n v="35"/>
    <n v="0"/>
    <s v="Level 2"/>
    <n v="9"/>
    <n v="88.28"/>
  </r>
  <r>
    <s v="WF_2038"/>
    <x v="2"/>
    <x v="2037"/>
    <s v="Review"/>
    <s v="High"/>
    <s v="HR"/>
    <s v="EMP_62"/>
    <d v="2024-11-23T03:33:00"/>
    <d v="2024-11-23T06:12:00"/>
    <n v="67"/>
    <n v="159"/>
    <n v="1"/>
    <s v="Level 2"/>
    <n v="9"/>
    <n v="125.78"/>
  </r>
  <r>
    <s v="WF_2039"/>
    <x v="0"/>
    <x v="2038"/>
    <s v="Approval"/>
    <s v="Medium"/>
    <s v="Operations"/>
    <s v="EMP_23"/>
    <d v="2024-11-07T20:09:00"/>
    <d v="2024-11-07T21:55:00"/>
    <n v="38"/>
    <n v="106"/>
    <n v="1"/>
    <s v="Level 3"/>
    <n v="4"/>
    <n v="460.89"/>
  </r>
  <r>
    <s v="WF_2040"/>
    <x v="0"/>
    <x v="2039"/>
    <s v="Approval"/>
    <s v="High"/>
    <s v="Customer Service"/>
    <s v="EMP_92"/>
    <d v="2024-02-10T23:32:00"/>
    <d v="2024-02-11T02:50:00"/>
    <n v="161"/>
    <n v="198"/>
    <n v="1"/>
    <s v="Level 1"/>
    <n v="4"/>
    <n v="429.66"/>
  </r>
  <r>
    <s v="WF_2041"/>
    <x v="3"/>
    <x v="2040"/>
    <s v="Review"/>
    <s v="Critical"/>
    <s v="Finance"/>
    <s v="EMP_145"/>
    <d v="2024-10-17T05:28:00"/>
    <d v="2024-10-17T07:12:00"/>
    <n v="38"/>
    <n v="104"/>
    <n v="1"/>
    <s v="Level 3"/>
    <n v="3"/>
    <n v="207.12"/>
  </r>
  <r>
    <s v="WF_2042"/>
    <x v="2"/>
    <x v="2041"/>
    <s v="Review"/>
    <s v="Medium"/>
    <s v="Finance"/>
    <s v="EMP_140"/>
    <d v="2024-08-08T07:11:00"/>
    <d v="2024-08-08T10:31:00"/>
    <n v="130"/>
    <n v="200"/>
    <n v="1"/>
    <s v="Level 1"/>
    <n v="10"/>
    <n v="489.58"/>
  </r>
  <r>
    <s v="WF_2043"/>
    <x v="3"/>
    <x v="2042"/>
    <s v="Review"/>
    <s v="Medium"/>
    <s v="Customer Service"/>
    <s v="EMP_122"/>
    <d v="2024-07-31T14:24:00"/>
    <d v="2024-07-31T17:51:00"/>
    <n v="141"/>
    <n v="207"/>
    <n v="1"/>
    <s v="Level 2"/>
    <n v="8"/>
    <n v="158.06"/>
  </r>
  <r>
    <s v="WF_2044"/>
    <x v="1"/>
    <x v="2043"/>
    <s v="Data Entry"/>
    <s v="Low"/>
    <s v="IT"/>
    <s v="EMP_84"/>
    <d v="2024-09-29T21:35:00"/>
    <d v="2024-09-29T22:56:00"/>
    <n v="65"/>
    <n v="81"/>
    <n v="1"/>
    <s v="Level 1"/>
    <n v="1"/>
    <n v="299.95"/>
  </r>
  <r>
    <s v="WF_2045"/>
    <x v="3"/>
    <x v="2044"/>
    <s v="Data Entry"/>
    <s v="Critical"/>
    <s v="Operations"/>
    <s v="EMP_36"/>
    <d v="2024-04-07T00:02:00"/>
    <d v="2024-04-07T01:45:00"/>
    <n v="64"/>
    <n v="103"/>
    <n v="1"/>
    <s v="Level 2"/>
    <n v="5"/>
    <n v="454.53"/>
  </r>
  <r>
    <s v="WF_2046"/>
    <x v="4"/>
    <x v="2045"/>
    <s v="Review"/>
    <s v="Critical"/>
    <s v="Operations"/>
    <s v="EMP_145"/>
    <d v="2024-04-30T09:42:00"/>
    <d v="2024-04-30T12:42:00"/>
    <n v="129"/>
    <n v="180"/>
    <n v="1"/>
    <s v="Level 3"/>
    <n v="4"/>
    <n v="420.84"/>
  </r>
  <r>
    <s v="WF_2047"/>
    <x v="1"/>
    <x v="2046"/>
    <s v="Review"/>
    <s v="High"/>
    <s v="HR"/>
    <s v="EMP_144"/>
    <d v="2024-04-06T15:00:00"/>
    <d v="2024-04-06T18:30:00"/>
    <n v="211"/>
    <n v="210"/>
    <n v="0"/>
    <s v="Level 3"/>
    <n v="9"/>
    <n v="250.29"/>
  </r>
  <r>
    <s v="WF_2048"/>
    <x v="2"/>
    <x v="2047"/>
    <s v="Review"/>
    <s v="Low"/>
    <s v="HR"/>
    <s v="EMP_12"/>
    <d v="2024-02-23T04:03:00"/>
    <d v="2024-02-23T07:29:00"/>
    <n v="120"/>
    <n v="206"/>
    <n v="1"/>
    <s v="Level 1"/>
    <n v="6"/>
    <n v="278.29000000000002"/>
  </r>
  <r>
    <s v="WF_2049"/>
    <x v="1"/>
    <x v="2048"/>
    <s v="Data Entry"/>
    <s v="Medium"/>
    <s v="Operations"/>
    <s v="EMP_149"/>
    <d v="2024-09-01T03:44:00"/>
    <d v="2024-09-01T07:12:00"/>
    <n v="129"/>
    <n v="208"/>
    <n v="1"/>
    <s v="Level 3"/>
    <n v="4"/>
    <n v="366.28"/>
  </r>
  <r>
    <s v="WF_2050"/>
    <x v="0"/>
    <x v="2049"/>
    <s v="Validation"/>
    <s v="Low"/>
    <s v="HR"/>
    <s v="EMP_120"/>
    <d v="2024-07-14T17:20:00"/>
    <d v="2024-07-14T18:02:00"/>
    <n v="22"/>
    <n v="42"/>
    <n v="1"/>
    <s v="Level 3"/>
    <n v="4"/>
    <n v="103.71"/>
  </r>
  <r>
    <s v="WF_2051"/>
    <x v="1"/>
    <x v="2050"/>
    <s v="Review"/>
    <s v="Critical"/>
    <s v="HR"/>
    <s v="EMP_99"/>
    <d v="2024-02-01T01:01:00"/>
    <d v="2024-02-01T05:28:00"/>
    <n v="237"/>
    <n v="267"/>
    <n v="1"/>
    <s v="Level 2"/>
    <n v="9"/>
    <n v="124.01"/>
  </r>
  <r>
    <s v="WF_2052"/>
    <x v="4"/>
    <x v="2051"/>
    <s v="Review"/>
    <s v="High"/>
    <s v="Customer Service"/>
    <s v="EMP_78"/>
    <d v="2024-10-20T15:15:00"/>
    <d v="2024-10-20T16:32:00"/>
    <n v="38"/>
    <n v="77"/>
    <n v="1"/>
    <s v="Level 1"/>
    <n v="1"/>
    <n v="472.21"/>
  </r>
  <r>
    <s v="WF_2053"/>
    <x v="4"/>
    <x v="2052"/>
    <s v="Escalation"/>
    <s v="Critical"/>
    <s v="Operations"/>
    <s v="EMP_15"/>
    <d v="2024-05-10T15:27:00"/>
    <d v="2024-05-10T17:11:00"/>
    <n v="103"/>
    <n v="104"/>
    <n v="1"/>
    <s v="Level 1"/>
    <n v="10"/>
    <n v="316.82"/>
  </r>
  <r>
    <s v="WF_2054"/>
    <x v="1"/>
    <x v="2053"/>
    <s v="Data Entry"/>
    <s v="High"/>
    <s v="Operations"/>
    <s v="EMP_65"/>
    <d v="2024-10-28T18:07:00"/>
    <d v="2024-10-28T20:07:00"/>
    <n v="108"/>
    <n v="120"/>
    <n v="1"/>
    <s v="Level 2"/>
    <n v="6"/>
    <n v="221.46"/>
  </r>
  <r>
    <s v="WF_2055"/>
    <x v="1"/>
    <x v="2054"/>
    <s v="Approval"/>
    <s v="High"/>
    <s v="Operations"/>
    <s v="EMP_9"/>
    <d v="2024-08-18T07:47:00"/>
    <d v="2024-08-18T11:41:00"/>
    <n v="165"/>
    <n v="234"/>
    <n v="1"/>
    <s v="Level 2"/>
    <n v="6"/>
    <n v="285.99"/>
  </r>
  <r>
    <s v="WF_2056"/>
    <x v="2"/>
    <x v="2055"/>
    <s v="Validation"/>
    <s v="Medium"/>
    <s v="Finance"/>
    <s v="EMP_137"/>
    <d v="2024-11-08T03:23:00"/>
    <d v="2024-11-08T05:26:00"/>
    <n v="14"/>
    <n v="123"/>
    <n v="1"/>
    <s v="Level 3"/>
    <n v="2"/>
    <n v="469.11"/>
  </r>
  <r>
    <s v="WF_2057"/>
    <x v="3"/>
    <x v="2056"/>
    <s v="Escalation"/>
    <s v="Medium"/>
    <s v="Customer Service"/>
    <s v="EMP_102"/>
    <d v="2024-10-14T06:49:00"/>
    <d v="2024-10-14T10:05:00"/>
    <n v="185"/>
    <n v="196"/>
    <n v="1"/>
    <s v="Level 3"/>
    <n v="5"/>
    <n v="272.5"/>
  </r>
  <r>
    <s v="WF_2058"/>
    <x v="3"/>
    <x v="2057"/>
    <s v="Validation"/>
    <s v="Low"/>
    <s v="Finance"/>
    <s v="EMP_130"/>
    <d v="2024-02-29T22:14:00"/>
    <d v="2024-03-01T02:41:00"/>
    <n v="204"/>
    <n v="267"/>
    <n v="1"/>
    <s v="Level 2"/>
    <n v="4"/>
    <n v="53.81"/>
  </r>
  <r>
    <s v="WF_2059"/>
    <x v="2"/>
    <x v="2058"/>
    <s v="Data Entry"/>
    <s v="High"/>
    <s v="Finance"/>
    <s v="EMP_39"/>
    <d v="2024-05-18T22:39:00"/>
    <d v="2024-05-19T02:27:00"/>
    <n v="142"/>
    <n v="228"/>
    <n v="1"/>
    <s v="Level 3"/>
    <n v="4"/>
    <n v="417.21"/>
  </r>
  <r>
    <s v="WF_2060"/>
    <x v="3"/>
    <x v="2059"/>
    <s v="Escalation"/>
    <s v="Critical"/>
    <s v="HR"/>
    <s v="EMP_110"/>
    <d v="2024-08-16T05:38:00"/>
    <d v="2024-08-16T09:06:00"/>
    <n v="88"/>
    <n v="208"/>
    <n v="1"/>
    <s v="Level 3"/>
    <n v="4"/>
    <n v="422.23"/>
  </r>
  <r>
    <s v="WF_2061"/>
    <x v="3"/>
    <x v="2060"/>
    <s v="Data Entry"/>
    <s v="Low"/>
    <s v="Operations"/>
    <s v="EMP_7"/>
    <d v="2024-12-05T22:02:00"/>
    <d v="2024-12-06T00:40:00"/>
    <n v="147"/>
    <n v="158"/>
    <n v="1"/>
    <s v="Level 2"/>
    <n v="7"/>
    <n v="64.430000000000007"/>
  </r>
  <r>
    <s v="WF_2062"/>
    <x v="3"/>
    <x v="2061"/>
    <s v="Data Entry"/>
    <s v="Critical"/>
    <s v="Customer Service"/>
    <s v="EMP_34"/>
    <d v="2024-02-18T13:21:00"/>
    <d v="2024-02-18T14:47:00"/>
    <n v="71"/>
    <n v="86"/>
    <n v="1"/>
    <s v="Level 2"/>
    <n v="9"/>
    <n v="275.51"/>
  </r>
  <r>
    <s v="WF_2063"/>
    <x v="1"/>
    <x v="2062"/>
    <s v="Escalation"/>
    <s v="Medium"/>
    <s v="Operations"/>
    <s v="EMP_53"/>
    <d v="2024-07-31T20:32:00"/>
    <d v="2024-08-01T01:13:00"/>
    <n v="168"/>
    <n v="281"/>
    <n v="1"/>
    <s v="Level 3"/>
    <n v="1"/>
    <n v="281.7"/>
  </r>
  <r>
    <s v="WF_2064"/>
    <x v="4"/>
    <x v="2063"/>
    <s v="Validation"/>
    <s v="Critical"/>
    <s v="Finance"/>
    <s v="EMP_11"/>
    <d v="2024-07-21T23:43:00"/>
    <d v="2024-07-22T02:00:00"/>
    <n v="86"/>
    <n v="137"/>
    <n v="1"/>
    <s v="Level 2"/>
    <n v="4"/>
    <n v="485.72"/>
  </r>
  <r>
    <s v="WF_2065"/>
    <x v="4"/>
    <x v="2064"/>
    <s v="Review"/>
    <s v="Low"/>
    <s v="Finance"/>
    <s v="EMP_47"/>
    <d v="2024-02-26T00:11:00"/>
    <d v="2024-02-26T01:39:00"/>
    <n v="49"/>
    <n v="88"/>
    <n v="1"/>
    <s v="Level 3"/>
    <n v="3"/>
    <n v="451.47"/>
  </r>
  <r>
    <s v="WF_2066"/>
    <x v="2"/>
    <x v="2065"/>
    <s v="Approval"/>
    <s v="Medium"/>
    <s v="Finance"/>
    <s v="EMP_18"/>
    <d v="2024-07-09T10:19:00"/>
    <d v="2024-07-09T14:45:00"/>
    <n v="169"/>
    <n v="266"/>
    <n v="1"/>
    <s v="Level 1"/>
    <n v="5"/>
    <n v="297.06"/>
  </r>
  <r>
    <s v="WF_2067"/>
    <x v="2"/>
    <x v="2066"/>
    <s v="Escalation"/>
    <s v="High"/>
    <s v="Operations"/>
    <s v="EMP_60"/>
    <d v="2024-01-23T08:55:00"/>
    <d v="2024-01-23T12:10:00"/>
    <n v="120"/>
    <n v="195"/>
    <n v="1"/>
    <s v="Level 2"/>
    <n v="7"/>
    <n v="362.33"/>
  </r>
  <r>
    <s v="WF_2068"/>
    <x v="0"/>
    <x v="2067"/>
    <s v="Data Entry"/>
    <s v="Critical"/>
    <s v="Finance"/>
    <s v="EMP_61"/>
    <d v="2024-12-01T17:06:00"/>
    <d v="2024-12-01T20:55:00"/>
    <n v="206"/>
    <n v="229"/>
    <n v="1"/>
    <s v="Level 3"/>
    <n v="9"/>
    <n v="131.96"/>
  </r>
  <r>
    <s v="WF_2069"/>
    <x v="2"/>
    <x v="2068"/>
    <s v="Approval"/>
    <s v="Critical"/>
    <s v="Customer Service"/>
    <s v="EMP_45"/>
    <d v="2024-08-07T00:33:00"/>
    <d v="2024-08-07T01:31:00"/>
    <n v="34"/>
    <n v="58"/>
    <n v="1"/>
    <s v="Level 3"/>
    <n v="4"/>
    <n v="194.79"/>
  </r>
  <r>
    <s v="WF_2070"/>
    <x v="3"/>
    <x v="2069"/>
    <s v="Escalation"/>
    <s v="High"/>
    <s v="IT"/>
    <s v="EMP_99"/>
    <d v="2024-10-10T12:36:00"/>
    <d v="2024-10-10T14:37:00"/>
    <n v="103"/>
    <n v="121"/>
    <n v="1"/>
    <s v="Level 1"/>
    <n v="1"/>
    <n v="372.05"/>
  </r>
  <r>
    <s v="WF_2071"/>
    <x v="3"/>
    <x v="2070"/>
    <s v="Data Entry"/>
    <s v="High"/>
    <s v="HR"/>
    <s v="EMP_39"/>
    <d v="2024-11-05T20:58:00"/>
    <d v="2024-11-06T01:42:00"/>
    <n v="172"/>
    <n v="284"/>
    <n v="1"/>
    <s v="Level 3"/>
    <n v="6"/>
    <n v="416.26"/>
  </r>
  <r>
    <s v="WF_2072"/>
    <x v="2"/>
    <x v="2071"/>
    <s v="Review"/>
    <s v="Critical"/>
    <s v="Customer Service"/>
    <s v="EMP_34"/>
    <d v="2024-02-16T04:15:00"/>
    <d v="2024-02-16T08:46:00"/>
    <n v="176"/>
    <n v="271"/>
    <n v="1"/>
    <s v="Level 3"/>
    <n v="4"/>
    <n v="367.07"/>
  </r>
  <r>
    <s v="WF_2073"/>
    <x v="3"/>
    <x v="2072"/>
    <s v="Data Entry"/>
    <s v="Low"/>
    <s v="Operations"/>
    <s v="EMP_35"/>
    <d v="2024-05-17T09:43:00"/>
    <d v="2024-05-17T12:13:00"/>
    <n v="82"/>
    <n v="150"/>
    <n v="1"/>
    <s v="Level 2"/>
    <n v="4"/>
    <n v="268.55"/>
  </r>
  <r>
    <s v="WF_2074"/>
    <x v="2"/>
    <x v="2073"/>
    <s v="Approval"/>
    <s v="Medium"/>
    <s v="IT"/>
    <s v="EMP_130"/>
    <d v="2024-11-25T06:42:00"/>
    <d v="2024-11-25T09:01:00"/>
    <n v="107"/>
    <n v="139"/>
    <n v="1"/>
    <s v="Level 1"/>
    <n v="5"/>
    <n v="438.45"/>
  </r>
  <r>
    <s v="WF_2075"/>
    <x v="3"/>
    <x v="2074"/>
    <s v="Escalation"/>
    <s v="Critical"/>
    <s v="Customer Service"/>
    <s v="EMP_15"/>
    <d v="2024-12-24T03:00:00"/>
    <d v="2024-12-24T06:12:00"/>
    <n v="165"/>
    <n v="192"/>
    <n v="1"/>
    <s v="Level 1"/>
    <n v="1"/>
    <n v="445.7"/>
  </r>
  <r>
    <s v="WF_2076"/>
    <x v="1"/>
    <x v="2075"/>
    <s v="Review"/>
    <s v="Critical"/>
    <s v="Operations"/>
    <s v="EMP_89"/>
    <d v="2024-08-04T17:48:00"/>
    <d v="2024-08-04T19:52:00"/>
    <n v="129"/>
    <n v="124"/>
    <n v="0"/>
    <s v="Level 3"/>
    <n v="5"/>
    <n v="354.41"/>
  </r>
  <r>
    <s v="WF_2077"/>
    <x v="3"/>
    <x v="2076"/>
    <s v="Data Entry"/>
    <s v="High"/>
    <s v="IT"/>
    <s v="EMP_9"/>
    <d v="2024-10-01T08:32:00"/>
    <d v="2024-10-01T14:03:00"/>
    <n v="238"/>
    <n v="331"/>
    <n v="1"/>
    <s v="Level 2"/>
    <n v="8"/>
    <n v="458.71"/>
  </r>
  <r>
    <s v="WF_2078"/>
    <x v="0"/>
    <x v="2077"/>
    <s v="Validation"/>
    <s v="Low"/>
    <s v="Customer Service"/>
    <s v="EMP_127"/>
    <d v="2024-02-13T18:05:00"/>
    <d v="2024-02-13T21:16:00"/>
    <n v="85"/>
    <n v="191"/>
    <n v="1"/>
    <s v="Level 1"/>
    <n v="8"/>
    <n v="461.57"/>
  </r>
  <r>
    <s v="WF_2079"/>
    <x v="4"/>
    <x v="2078"/>
    <s v="Escalation"/>
    <s v="Medium"/>
    <s v="Operations"/>
    <s v="EMP_132"/>
    <d v="2024-02-02T04:01:00"/>
    <d v="2024-02-02T07:55:00"/>
    <n v="230"/>
    <n v="234"/>
    <n v="1"/>
    <s v="Level 3"/>
    <n v="4"/>
    <n v="293.64999999999998"/>
  </r>
  <r>
    <s v="WF_2080"/>
    <x v="1"/>
    <x v="2079"/>
    <s v="Review"/>
    <s v="High"/>
    <s v="Finance"/>
    <s v="EMP_135"/>
    <d v="2024-11-05T22:24:00"/>
    <d v="2024-11-05T22:59:00"/>
    <n v="10"/>
    <n v="35"/>
    <n v="1"/>
    <s v="Level 1"/>
    <n v="2"/>
    <n v="432.62"/>
  </r>
  <r>
    <s v="WF_2081"/>
    <x v="4"/>
    <x v="2080"/>
    <s v="Validation"/>
    <s v="Low"/>
    <s v="IT"/>
    <s v="EMP_93"/>
    <d v="2024-12-26T06:06:00"/>
    <d v="2024-12-26T11:13:00"/>
    <n v="191"/>
    <n v="307"/>
    <n v="1"/>
    <s v="Level 3"/>
    <n v="5"/>
    <n v="103.65"/>
  </r>
  <r>
    <s v="WF_2082"/>
    <x v="2"/>
    <x v="2081"/>
    <s v="Escalation"/>
    <s v="High"/>
    <s v="IT"/>
    <s v="EMP_111"/>
    <d v="2024-03-13T19:16:00"/>
    <d v="2024-03-13T21:45:00"/>
    <n v="101"/>
    <n v="149"/>
    <n v="1"/>
    <s v="Level 3"/>
    <n v="4"/>
    <n v="241.07"/>
  </r>
  <r>
    <s v="WF_2083"/>
    <x v="1"/>
    <x v="2082"/>
    <s v="Approval"/>
    <s v="Low"/>
    <s v="IT"/>
    <s v="EMP_28"/>
    <d v="2024-12-05T15:19:00"/>
    <d v="2024-12-05T20:01:00"/>
    <n v="237"/>
    <n v="282"/>
    <n v="1"/>
    <s v="Level 1"/>
    <n v="5"/>
    <n v="167.05"/>
  </r>
  <r>
    <s v="WF_2084"/>
    <x v="4"/>
    <x v="2083"/>
    <s v="Approval"/>
    <s v="High"/>
    <s v="HR"/>
    <s v="EMP_77"/>
    <d v="2024-03-19T20:53:00"/>
    <d v="2024-03-20T00:28:00"/>
    <n v="207"/>
    <n v="215"/>
    <n v="1"/>
    <s v="Level 2"/>
    <n v="9"/>
    <n v="107.72"/>
  </r>
  <r>
    <s v="WF_2085"/>
    <x v="4"/>
    <x v="2084"/>
    <s v="Escalation"/>
    <s v="High"/>
    <s v="HR"/>
    <s v="EMP_136"/>
    <d v="2024-03-04T01:45:00"/>
    <d v="2024-03-04T04:54:00"/>
    <n v="69"/>
    <n v="189"/>
    <n v="1"/>
    <s v="Level 3"/>
    <n v="8"/>
    <n v="136.96"/>
  </r>
  <r>
    <s v="WF_2086"/>
    <x v="0"/>
    <x v="2085"/>
    <s v="Escalation"/>
    <s v="Critical"/>
    <s v="Operations"/>
    <s v="EMP_107"/>
    <d v="2024-06-25T13:08:00"/>
    <d v="2024-06-25T16:20:00"/>
    <n v="172"/>
    <n v="192"/>
    <n v="1"/>
    <s v="Level 3"/>
    <n v="6"/>
    <n v="116.8"/>
  </r>
  <r>
    <s v="WF_2087"/>
    <x v="3"/>
    <x v="2086"/>
    <s v="Escalation"/>
    <s v="Medium"/>
    <s v="Operations"/>
    <s v="EMP_54"/>
    <d v="2024-12-03T11:22:00"/>
    <d v="2024-12-03T12:27:00"/>
    <n v="67"/>
    <n v="65"/>
    <n v="0"/>
    <s v="Level 2"/>
    <n v="5"/>
    <n v="432.07"/>
  </r>
  <r>
    <s v="WF_2088"/>
    <x v="2"/>
    <x v="2087"/>
    <s v="Review"/>
    <s v="Low"/>
    <s v="Customer Service"/>
    <s v="EMP_149"/>
    <d v="2024-01-25T00:21:00"/>
    <d v="2024-01-25T05:47:00"/>
    <n v="227"/>
    <n v="326"/>
    <n v="1"/>
    <s v="Level 2"/>
    <n v="9"/>
    <n v="146.9"/>
  </r>
  <r>
    <s v="WF_2089"/>
    <x v="0"/>
    <x v="2088"/>
    <s v="Approval"/>
    <s v="High"/>
    <s v="Finance"/>
    <s v="EMP_92"/>
    <d v="2024-12-18T03:19:00"/>
    <d v="2024-12-18T06:32:00"/>
    <n v="111"/>
    <n v="193"/>
    <n v="1"/>
    <s v="Level 1"/>
    <n v="8"/>
    <n v="294.23"/>
  </r>
  <r>
    <s v="WF_2090"/>
    <x v="3"/>
    <x v="2089"/>
    <s v="Review"/>
    <s v="High"/>
    <s v="IT"/>
    <s v="EMP_121"/>
    <d v="2024-05-13T12:36:00"/>
    <d v="2024-05-13T16:17:00"/>
    <n v="192"/>
    <n v="221"/>
    <n v="1"/>
    <s v="Level 1"/>
    <n v="3"/>
    <n v="466.28"/>
  </r>
  <r>
    <s v="WF_2091"/>
    <x v="2"/>
    <x v="2090"/>
    <s v="Validation"/>
    <s v="Medium"/>
    <s v="HR"/>
    <s v="EMP_57"/>
    <d v="2024-05-20T16:53:00"/>
    <d v="2024-05-20T19:59:00"/>
    <n v="169"/>
    <n v="186"/>
    <n v="1"/>
    <s v="Level 1"/>
    <n v="9"/>
    <n v="368.37"/>
  </r>
  <r>
    <s v="WF_2092"/>
    <x v="3"/>
    <x v="2091"/>
    <s v="Approval"/>
    <s v="High"/>
    <s v="IT"/>
    <s v="EMP_105"/>
    <d v="2024-12-28T13:50:00"/>
    <d v="2024-12-28T16:34:00"/>
    <n v="129"/>
    <n v="164"/>
    <n v="1"/>
    <s v="Level 2"/>
    <n v="7"/>
    <n v="470.39"/>
  </r>
  <r>
    <s v="WF_2093"/>
    <x v="4"/>
    <x v="2092"/>
    <s v="Approval"/>
    <s v="Critical"/>
    <s v="Operations"/>
    <s v="EMP_141"/>
    <d v="2024-11-15T20:35:00"/>
    <d v="2024-11-16T00:41:00"/>
    <n v="221"/>
    <n v="246"/>
    <n v="1"/>
    <s v="Level 2"/>
    <n v="7"/>
    <n v="489.59"/>
  </r>
  <r>
    <s v="WF_2094"/>
    <x v="3"/>
    <x v="2093"/>
    <s v="Validation"/>
    <s v="Medium"/>
    <s v="IT"/>
    <s v="EMP_147"/>
    <d v="2024-10-27T02:13:00"/>
    <d v="2024-10-27T06:51:00"/>
    <n v="170"/>
    <n v="278"/>
    <n v="1"/>
    <s v="Level 2"/>
    <n v="1"/>
    <n v="453.1"/>
  </r>
  <r>
    <s v="WF_2095"/>
    <x v="3"/>
    <x v="2094"/>
    <s v="Review"/>
    <s v="Low"/>
    <s v="Customer Service"/>
    <s v="EMP_132"/>
    <d v="2024-06-01T15:06:00"/>
    <d v="2024-06-01T17:29:00"/>
    <n v="114"/>
    <n v="143"/>
    <n v="1"/>
    <s v="Level 3"/>
    <n v="10"/>
    <n v="347.29"/>
  </r>
  <r>
    <s v="WF_2096"/>
    <x v="2"/>
    <x v="2095"/>
    <s v="Validation"/>
    <s v="High"/>
    <s v="Customer Service"/>
    <s v="EMP_121"/>
    <d v="2024-07-22T08:38:00"/>
    <d v="2024-07-22T11:00:00"/>
    <n v="47"/>
    <n v="142"/>
    <n v="1"/>
    <s v="Level 3"/>
    <n v="9"/>
    <n v="139.51"/>
  </r>
  <r>
    <s v="WF_2097"/>
    <x v="4"/>
    <x v="2096"/>
    <s v="Review"/>
    <s v="Critical"/>
    <s v="IT"/>
    <s v="EMP_8"/>
    <d v="2024-07-03T07:52:00"/>
    <d v="2024-07-03T09:38:00"/>
    <n v="47"/>
    <n v="106"/>
    <n v="1"/>
    <s v="Level 3"/>
    <n v="8"/>
    <n v="466.3"/>
  </r>
  <r>
    <s v="WF_2098"/>
    <x v="4"/>
    <x v="2097"/>
    <s v="Review"/>
    <s v="Critical"/>
    <s v="IT"/>
    <s v="EMP_59"/>
    <d v="2024-12-30T08:08:00"/>
    <d v="2024-12-30T11:13:00"/>
    <n v="100"/>
    <n v="185"/>
    <n v="1"/>
    <s v="Level 3"/>
    <n v="8"/>
    <n v="60.92"/>
  </r>
  <r>
    <s v="WF_2099"/>
    <x v="0"/>
    <x v="2098"/>
    <s v="Review"/>
    <s v="Critical"/>
    <s v="IT"/>
    <s v="EMP_133"/>
    <d v="2024-04-10T10:53:00"/>
    <d v="2024-04-10T12:36:00"/>
    <n v="81"/>
    <n v="103"/>
    <n v="1"/>
    <s v="Level 2"/>
    <n v="1"/>
    <n v="212.6"/>
  </r>
  <r>
    <s v="WF_2100"/>
    <x v="4"/>
    <x v="2099"/>
    <s v="Review"/>
    <s v="High"/>
    <s v="IT"/>
    <s v="EMP_93"/>
    <d v="2024-06-28T22:27:00"/>
    <d v="2024-06-29T02:17:00"/>
    <n v="133"/>
    <n v="230"/>
    <n v="1"/>
    <s v="Level 1"/>
    <n v="7"/>
    <n v="455.38"/>
  </r>
  <r>
    <s v="WF_2101"/>
    <x v="2"/>
    <x v="2100"/>
    <s v="Review"/>
    <s v="Medium"/>
    <s v="Finance"/>
    <s v="EMP_21"/>
    <d v="2024-02-11T03:40:00"/>
    <d v="2024-02-11T05:39:00"/>
    <n v="11"/>
    <n v="119"/>
    <n v="1"/>
    <s v="Level 2"/>
    <n v="8"/>
    <n v="484.91"/>
  </r>
  <r>
    <s v="WF_2102"/>
    <x v="0"/>
    <x v="2101"/>
    <s v="Escalation"/>
    <s v="Critical"/>
    <s v="IT"/>
    <s v="EMP_58"/>
    <d v="2024-03-06T14:28:00"/>
    <d v="2024-03-06T15:35:00"/>
    <n v="21"/>
    <n v="67"/>
    <n v="1"/>
    <s v="Level 1"/>
    <n v="10"/>
    <n v="487.08"/>
  </r>
  <r>
    <s v="WF_2103"/>
    <x v="1"/>
    <x v="2102"/>
    <s v="Review"/>
    <s v="Critical"/>
    <s v="HR"/>
    <s v="EMP_24"/>
    <d v="2024-07-09T05:00:00"/>
    <d v="2024-07-09T08:06:00"/>
    <n v="84"/>
    <n v="186"/>
    <n v="1"/>
    <s v="Level 1"/>
    <n v="8"/>
    <n v="237.48"/>
  </r>
  <r>
    <s v="WF_2104"/>
    <x v="1"/>
    <x v="2103"/>
    <s v="Validation"/>
    <s v="Critical"/>
    <s v="HR"/>
    <s v="EMP_45"/>
    <d v="2024-06-08T12:37:00"/>
    <d v="2024-06-08T16:13:00"/>
    <n v="194"/>
    <n v="216"/>
    <n v="1"/>
    <s v="Level 1"/>
    <n v="6"/>
    <n v="84.74"/>
  </r>
  <r>
    <s v="WF_2105"/>
    <x v="3"/>
    <x v="2104"/>
    <s v="Review"/>
    <s v="Medium"/>
    <s v="Operations"/>
    <s v="EMP_27"/>
    <d v="2024-04-14T04:48:00"/>
    <d v="2024-04-14T06:50:00"/>
    <n v="35"/>
    <n v="122"/>
    <n v="1"/>
    <s v="Level 2"/>
    <n v="1"/>
    <n v="277.5"/>
  </r>
  <r>
    <s v="WF_2106"/>
    <x v="4"/>
    <x v="2105"/>
    <s v="Review"/>
    <s v="High"/>
    <s v="Operations"/>
    <s v="EMP_75"/>
    <d v="2024-01-11T18:50:00"/>
    <d v="2024-01-11T20:45:00"/>
    <n v="90"/>
    <n v="115"/>
    <n v="1"/>
    <s v="Level 3"/>
    <n v="10"/>
    <n v="268.89"/>
  </r>
  <r>
    <s v="WF_2107"/>
    <x v="0"/>
    <x v="2106"/>
    <s v="Approval"/>
    <s v="Low"/>
    <s v="Customer Service"/>
    <s v="EMP_78"/>
    <d v="2024-05-20T17:19:00"/>
    <d v="2024-05-20T18:20:00"/>
    <n v="23"/>
    <n v="61"/>
    <n v="1"/>
    <s v="Level 3"/>
    <n v="9"/>
    <n v="347.07"/>
  </r>
  <r>
    <s v="WF_2108"/>
    <x v="0"/>
    <x v="2107"/>
    <s v="Data Entry"/>
    <s v="High"/>
    <s v="IT"/>
    <s v="EMP_45"/>
    <d v="2024-09-21T04:02:00"/>
    <d v="2024-09-21T06:57:00"/>
    <n v="80"/>
    <n v="175"/>
    <n v="1"/>
    <s v="Level 1"/>
    <n v="8"/>
    <n v="407.38"/>
  </r>
  <r>
    <s v="WF_2109"/>
    <x v="3"/>
    <x v="2108"/>
    <s v="Review"/>
    <s v="Critical"/>
    <s v="Finance"/>
    <s v="EMP_101"/>
    <d v="2024-10-03T12:30:00"/>
    <d v="2024-10-03T17:02:00"/>
    <n v="227"/>
    <n v="272"/>
    <n v="1"/>
    <s v="Level 2"/>
    <n v="3"/>
    <n v="408.6"/>
  </r>
  <r>
    <s v="WF_2110"/>
    <x v="0"/>
    <x v="2109"/>
    <s v="Data Entry"/>
    <s v="Critical"/>
    <s v="IT"/>
    <s v="EMP_29"/>
    <d v="2024-01-05T12:11:00"/>
    <d v="2024-01-05T14:05:00"/>
    <n v="48"/>
    <n v="114"/>
    <n v="1"/>
    <s v="Level 3"/>
    <n v="1"/>
    <n v="496.29"/>
  </r>
  <r>
    <s v="WF_2111"/>
    <x v="1"/>
    <x v="2110"/>
    <s v="Review"/>
    <s v="Critical"/>
    <s v="Finance"/>
    <s v="EMP_4"/>
    <d v="2024-08-19T17:09:00"/>
    <d v="2024-08-19T18:52:00"/>
    <n v="49"/>
    <n v="103"/>
    <n v="1"/>
    <s v="Level 3"/>
    <n v="6"/>
    <n v="124.37"/>
  </r>
  <r>
    <s v="WF_2112"/>
    <x v="3"/>
    <x v="2111"/>
    <s v="Escalation"/>
    <s v="Medium"/>
    <s v="IT"/>
    <s v="EMP_84"/>
    <d v="2024-10-28T08:53:00"/>
    <d v="2024-10-28T11:11:00"/>
    <n v="112"/>
    <n v="138"/>
    <n v="1"/>
    <s v="Level 3"/>
    <n v="8"/>
    <n v="453.16"/>
  </r>
  <r>
    <s v="WF_2113"/>
    <x v="2"/>
    <x v="2112"/>
    <s v="Data Entry"/>
    <s v="Critical"/>
    <s v="Operations"/>
    <s v="EMP_75"/>
    <d v="2024-02-18T12:57:00"/>
    <d v="2024-02-18T15:24:00"/>
    <n v="58"/>
    <n v="147"/>
    <n v="1"/>
    <s v="Level 3"/>
    <n v="2"/>
    <n v="482.08"/>
  </r>
  <r>
    <s v="WF_2114"/>
    <x v="1"/>
    <x v="2113"/>
    <s v="Review"/>
    <s v="Medium"/>
    <s v="Finance"/>
    <s v="EMP_66"/>
    <d v="2024-09-08T18:04:00"/>
    <d v="2024-09-08T20:46:00"/>
    <n v="83"/>
    <n v="162"/>
    <n v="1"/>
    <s v="Level 1"/>
    <n v="1"/>
    <n v="92.87"/>
  </r>
  <r>
    <s v="WF_2115"/>
    <x v="1"/>
    <x v="2114"/>
    <s v="Escalation"/>
    <s v="High"/>
    <s v="Finance"/>
    <s v="EMP_67"/>
    <d v="2024-04-19T12:40:00"/>
    <d v="2024-04-19T13:55:00"/>
    <n v="39"/>
    <n v="75"/>
    <n v="1"/>
    <s v="Level 1"/>
    <n v="6"/>
    <n v="253.54"/>
  </r>
  <r>
    <s v="WF_2116"/>
    <x v="0"/>
    <x v="2115"/>
    <s v="Review"/>
    <s v="Medium"/>
    <s v="IT"/>
    <s v="EMP_143"/>
    <d v="2024-12-28T14:13:00"/>
    <d v="2024-12-28T18:48:00"/>
    <n v="171"/>
    <n v="275"/>
    <n v="1"/>
    <s v="Level 1"/>
    <n v="3"/>
    <n v="289.24"/>
  </r>
  <r>
    <s v="WF_2117"/>
    <x v="1"/>
    <x v="2116"/>
    <s v="Validation"/>
    <s v="Medium"/>
    <s v="Finance"/>
    <s v="EMP_61"/>
    <d v="2024-07-15T04:32:00"/>
    <d v="2024-07-15T06:44:00"/>
    <n v="93"/>
    <n v="132"/>
    <n v="1"/>
    <s v="Level 1"/>
    <n v="5"/>
    <n v="145.13"/>
  </r>
  <r>
    <s v="WF_2118"/>
    <x v="0"/>
    <x v="2117"/>
    <s v="Data Entry"/>
    <s v="Critical"/>
    <s v="Operations"/>
    <s v="EMP_67"/>
    <d v="2024-10-02T22:32:00"/>
    <d v="2024-10-03T03:40:00"/>
    <n v="200"/>
    <n v="308"/>
    <n v="1"/>
    <s v="Level 2"/>
    <n v="9"/>
    <n v="135.30000000000001"/>
  </r>
  <r>
    <s v="WF_2119"/>
    <x v="1"/>
    <x v="2118"/>
    <s v="Review"/>
    <s v="Medium"/>
    <s v="Customer Service"/>
    <s v="EMP_139"/>
    <d v="2024-04-19T01:11:00"/>
    <d v="2024-04-19T03:15:00"/>
    <n v="126"/>
    <n v="124"/>
    <n v="0"/>
    <s v="Level 3"/>
    <n v="8"/>
    <n v="451.29"/>
  </r>
  <r>
    <s v="WF_2120"/>
    <x v="3"/>
    <x v="2119"/>
    <s v="Approval"/>
    <s v="Low"/>
    <s v="Finance"/>
    <s v="EMP_132"/>
    <d v="2024-07-06T04:49:00"/>
    <d v="2024-07-06T06:38:00"/>
    <n v="33"/>
    <n v="109"/>
    <n v="1"/>
    <s v="Level 3"/>
    <n v="6"/>
    <n v="375.93"/>
  </r>
  <r>
    <s v="WF_2121"/>
    <x v="1"/>
    <x v="2120"/>
    <s v="Validation"/>
    <s v="Low"/>
    <s v="Customer Service"/>
    <s v="EMP_36"/>
    <d v="2024-10-18T06:16:00"/>
    <d v="2024-10-18T11:18:00"/>
    <n v="229"/>
    <n v="302"/>
    <n v="1"/>
    <s v="Level 2"/>
    <n v="6"/>
    <n v="66.459999999999994"/>
  </r>
  <r>
    <s v="WF_2122"/>
    <x v="2"/>
    <x v="2121"/>
    <s v="Validation"/>
    <s v="High"/>
    <s v="Operations"/>
    <s v="EMP_26"/>
    <d v="2024-03-27T21:18:00"/>
    <d v="2024-03-28T01:20:00"/>
    <n v="195"/>
    <n v="242"/>
    <n v="1"/>
    <s v="Level 1"/>
    <n v="3"/>
    <n v="327.26"/>
  </r>
  <r>
    <s v="WF_2123"/>
    <x v="2"/>
    <x v="2122"/>
    <s v="Validation"/>
    <s v="High"/>
    <s v="Finance"/>
    <s v="EMP_33"/>
    <d v="2024-12-04T14:14:00"/>
    <d v="2024-12-04T17:20:00"/>
    <n v="169"/>
    <n v="186"/>
    <n v="1"/>
    <s v="Level 2"/>
    <n v="5"/>
    <n v="419.57"/>
  </r>
  <r>
    <s v="WF_2124"/>
    <x v="2"/>
    <x v="2123"/>
    <s v="Escalation"/>
    <s v="High"/>
    <s v="Customer Service"/>
    <s v="EMP_105"/>
    <d v="2024-11-05T17:16:00"/>
    <d v="2024-11-05T20:03:00"/>
    <n v="116"/>
    <n v="167"/>
    <n v="1"/>
    <s v="Level 1"/>
    <n v="6"/>
    <n v="421.25"/>
  </r>
  <r>
    <s v="WF_2125"/>
    <x v="1"/>
    <x v="2124"/>
    <s v="Approval"/>
    <s v="Low"/>
    <s v="IT"/>
    <s v="EMP_82"/>
    <d v="2024-09-13T19:34:00"/>
    <d v="2024-09-13T22:07:00"/>
    <n v="50"/>
    <n v="153"/>
    <n v="1"/>
    <s v="Level 1"/>
    <n v="8"/>
    <n v="355"/>
  </r>
  <r>
    <s v="WF_2126"/>
    <x v="4"/>
    <x v="2125"/>
    <s v="Validation"/>
    <s v="Medium"/>
    <s v="Customer Service"/>
    <s v="EMP_78"/>
    <d v="2024-10-03T09:00:00"/>
    <d v="2024-10-03T11:26:00"/>
    <n v="148"/>
    <n v="146"/>
    <n v="0"/>
    <s v="Level 3"/>
    <n v="5"/>
    <n v="460.96"/>
  </r>
  <r>
    <s v="WF_2127"/>
    <x v="3"/>
    <x v="2126"/>
    <s v="Approval"/>
    <s v="Low"/>
    <s v="Finance"/>
    <s v="EMP_81"/>
    <d v="2024-02-22T05:54:00"/>
    <d v="2024-02-22T07:58:00"/>
    <n v="76"/>
    <n v="124"/>
    <n v="1"/>
    <s v="Level 1"/>
    <n v="6"/>
    <n v="75.39"/>
  </r>
  <r>
    <s v="WF_2128"/>
    <x v="0"/>
    <x v="2127"/>
    <s v="Approval"/>
    <s v="Medium"/>
    <s v="HR"/>
    <s v="EMP_128"/>
    <d v="2024-03-06T21:29:00"/>
    <d v="2024-03-07T01:17:00"/>
    <n v="232"/>
    <n v="228"/>
    <n v="0"/>
    <s v="Level 2"/>
    <n v="4"/>
    <n v="470.43"/>
  </r>
  <r>
    <s v="WF_2129"/>
    <x v="4"/>
    <x v="2128"/>
    <s v="Approval"/>
    <s v="Medium"/>
    <s v="Finance"/>
    <s v="EMP_30"/>
    <d v="2024-12-03T01:27:00"/>
    <d v="2024-12-03T02:58:00"/>
    <n v="42"/>
    <n v="91"/>
    <n v="1"/>
    <s v="Level 3"/>
    <n v="1"/>
    <n v="333.43"/>
  </r>
  <r>
    <s v="WF_2130"/>
    <x v="2"/>
    <x v="2129"/>
    <s v="Escalation"/>
    <s v="Critical"/>
    <s v="Finance"/>
    <s v="EMP_131"/>
    <d v="2024-03-26T08:24:00"/>
    <d v="2024-03-26T11:23:00"/>
    <n v="118"/>
    <n v="179"/>
    <n v="1"/>
    <s v="Level 1"/>
    <n v="9"/>
    <n v="180.43"/>
  </r>
  <r>
    <s v="WF_2131"/>
    <x v="2"/>
    <x v="2130"/>
    <s v="Escalation"/>
    <s v="High"/>
    <s v="Operations"/>
    <s v="EMP_84"/>
    <d v="2024-10-01T20:11:00"/>
    <d v="2024-10-01T23:28:00"/>
    <n v="194"/>
    <n v="197"/>
    <n v="1"/>
    <s v="Level 3"/>
    <n v="1"/>
    <n v="344.87"/>
  </r>
  <r>
    <s v="WF_2132"/>
    <x v="2"/>
    <x v="2131"/>
    <s v="Validation"/>
    <s v="Critical"/>
    <s v="IT"/>
    <s v="EMP_94"/>
    <d v="2024-12-29T17:27:00"/>
    <d v="2024-12-29T19:12:00"/>
    <n v="34"/>
    <n v="105"/>
    <n v="1"/>
    <s v="Level 3"/>
    <n v="1"/>
    <n v="482.55"/>
  </r>
  <r>
    <s v="WF_2133"/>
    <x v="2"/>
    <x v="2132"/>
    <s v="Escalation"/>
    <s v="Critical"/>
    <s v="Finance"/>
    <s v="EMP_35"/>
    <d v="2024-03-04T11:20:00"/>
    <d v="2024-03-04T15:30:00"/>
    <n v="176"/>
    <n v="250"/>
    <n v="1"/>
    <s v="Level 2"/>
    <n v="8"/>
    <n v="113.96"/>
  </r>
  <r>
    <s v="WF_2134"/>
    <x v="3"/>
    <x v="2133"/>
    <s v="Review"/>
    <s v="High"/>
    <s v="Finance"/>
    <s v="EMP_138"/>
    <d v="2024-09-24T08:10:00"/>
    <d v="2024-09-24T10:01:00"/>
    <n v="19"/>
    <n v="111"/>
    <n v="1"/>
    <s v="Level 3"/>
    <n v="1"/>
    <n v="294.05"/>
  </r>
  <r>
    <s v="WF_2135"/>
    <x v="2"/>
    <x v="2134"/>
    <s v="Approval"/>
    <s v="Medium"/>
    <s v="Finance"/>
    <s v="EMP_115"/>
    <d v="2024-03-23T22:11:00"/>
    <d v="2024-03-24T02:43:00"/>
    <n v="196"/>
    <n v="272"/>
    <n v="1"/>
    <s v="Level 3"/>
    <n v="5"/>
    <n v="71.91"/>
  </r>
  <r>
    <s v="WF_2136"/>
    <x v="1"/>
    <x v="2135"/>
    <s v="Data Entry"/>
    <s v="Medium"/>
    <s v="IT"/>
    <s v="EMP_33"/>
    <d v="2024-06-17T05:20:00"/>
    <d v="2024-06-17T06:03:00"/>
    <n v="43"/>
    <n v="43"/>
    <n v="0"/>
    <s v="Level 1"/>
    <n v="1"/>
    <n v="120.37"/>
  </r>
  <r>
    <s v="WF_2137"/>
    <x v="2"/>
    <x v="2136"/>
    <s v="Approval"/>
    <s v="Low"/>
    <s v="HR"/>
    <s v="EMP_129"/>
    <d v="2024-08-04T22:32:00"/>
    <d v="2024-08-05T03:36:00"/>
    <n v="196"/>
    <n v="304"/>
    <n v="1"/>
    <s v="Level 2"/>
    <n v="3"/>
    <n v="424.91"/>
  </r>
  <r>
    <s v="WF_2138"/>
    <x v="2"/>
    <x v="2137"/>
    <s v="Review"/>
    <s v="Medium"/>
    <s v="Finance"/>
    <s v="EMP_35"/>
    <d v="2024-07-14T15:10:00"/>
    <d v="2024-07-14T17:06:00"/>
    <n v="29"/>
    <n v="116"/>
    <n v="1"/>
    <s v="Level 1"/>
    <n v="1"/>
    <n v="350.72"/>
  </r>
  <r>
    <s v="WF_2139"/>
    <x v="2"/>
    <x v="2138"/>
    <s v="Review"/>
    <s v="Medium"/>
    <s v="Operations"/>
    <s v="EMP_82"/>
    <d v="2024-02-08T13:24:00"/>
    <d v="2024-02-08T15:22:00"/>
    <n v="101"/>
    <n v="118"/>
    <n v="1"/>
    <s v="Level 3"/>
    <n v="9"/>
    <n v="240.33"/>
  </r>
  <r>
    <s v="WF_2140"/>
    <x v="0"/>
    <x v="2139"/>
    <s v="Approval"/>
    <s v="High"/>
    <s v="Finance"/>
    <s v="EMP_5"/>
    <d v="2024-02-17T06:49:00"/>
    <d v="2024-02-17T08:40:00"/>
    <n v="112"/>
    <n v="111"/>
    <n v="0"/>
    <s v="Level 3"/>
    <n v="6"/>
    <n v="362.88"/>
  </r>
  <r>
    <s v="WF_2141"/>
    <x v="3"/>
    <x v="2140"/>
    <s v="Validation"/>
    <s v="Medium"/>
    <s v="Customer Service"/>
    <s v="EMP_89"/>
    <d v="2024-06-22T21:16:00"/>
    <d v="2024-06-22T22:34:00"/>
    <n v="28"/>
    <n v="78"/>
    <n v="1"/>
    <s v="Level 3"/>
    <n v="7"/>
    <n v="488.7"/>
  </r>
  <r>
    <s v="WF_2142"/>
    <x v="2"/>
    <x v="2141"/>
    <s v="Validation"/>
    <s v="Medium"/>
    <s v="Customer Service"/>
    <s v="EMP_73"/>
    <d v="2024-11-22T20:45:00"/>
    <d v="2024-11-22T23:54:00"/>
    <n v="143"/>
    <n v="189"/>
    <n v="1"/>
    <s v="Level 1"/>
    <n v="5"/>
    <n v="268.63"/>
  </r>
  <r>
    <s v="WF_2143"/>
    <x v="0"/>
    <x v="2142"/>
    <s v="Approval"/>
    <s v="Critical"/>
    <s v="IT"/>
    <s v="EMP_92"/>
    <d v="2024-10-12T03:41:00"/>
    <d v="2024-10-12T05:16:00"/>
    <n v="93"/>
    <n v="95"/>
    <n v="1"/>
    <s v="Level 3"/>
    <n v="8"/>
    <n v="406.97"/>
  </r>
  <r>
    <s v="WF_2144"/>
    <x v="1"/>
    <x v="2143"/>
    <s v="Review"/>
    <s v="Critical"/>
    <s v="Operations"/>
    <s v="EMP_74"/>
    <d v="2024-06-03T04:14:00"/>
    <d v="2024-06-03T05:01:00"/>
    <n v="41"/>
    <n v="47"/>
    <n v="1"/>
    <s v="Level 2"/>
    <n v="10"/>
    <n v="67.03"/>
  </r>
  <r>
    <s v="WF_2145"/>
    <x v="4"/>
    <x v="2144"/>
    <s v="Validation"/>
    <s v="Medium"/>
    <s v="Finance"/>
    <s v="EMP_141"/>
    <d v="2024-08-09T00:08:00"/>
    <d v="2024-08-09T04:12:00"/>
    <n v="146"/>
    <n v="244"/>
    <n v="1"/>
    <s v="Level 1"/>
    <n v="10"/>
    <n v="230.2"/>
  </r>
  <r>
    <s v="WF_2146"/>
    <x v="2"/>
    <x v="2145"/>
    <s v="Data Entry"/>
    <s v="Medium"/>
    <s v="HR"/>
    <s v="EMP_60"/>
    <d v="2024-10-16T19:36:00"/>
    <d v="2024-10-16T20:11:00"/>
    <n v="13"/>
    <n v="35"/>
    <n v="1"/>
    <s v="Level 3"/>
    <n v="1"/>
    <n v="55.71"/>
  </r>
  <r>
    <s v="WF_2147"/>
    <x v="1"/>
    <x v="2146"/>
    <s v="Data Entry"/>
    <s v="Critical"/>
    <s v="Finance"/>
    <s v="EMP_63"/>
    <d v="2024-01-29T19:14:00"/>
    <d v="2024-01-29T21:47:00"/>
    <n v="100"/>
    <n v="153"/>
    <n v="1"/>
    <s v="Level 3"/>
    <n v="9"/>
    <n v="409.1"/>
  </r>
  <r>
    <s v="WF_2148"/>
    <x v="3"/>
    <x v="2147"/>
    <s v="Review"/>
    <s v="High"/>
    <s v="Operations"/>
    <s v="EMP_67"/>
    <d v="2024-07-07T04:19:00"/>
    <d v="2024-07-07T08:10:00"/>
    <n v="230"/>
    <n v="231"/>
    <n v="1"/>
    <s v="Level 3"/>
    <n v="1"/>
    <n v="348.27"/>
  </r>
  <r>
    <s v="WF_2149"/>
    <x v="3"/>
    <x v="2148"/>
    <s v="Escalation"/>
    <s v="Low"/>
    <s v="Finance"/>
    <s v="EMP_1"/>
    <d v="2024-03-20T09:53:00"/>
    <d v="2024-03-20T11:37:00"/>
    <n v="24"/>
    <n v="104"/>
    <n v="1"/>
    <s v="Level 1"/>
    <n v="8"/>
    <n v="486.72"/>
  </r>
  <r>
    <s v="WF_2150"/>
    <x v="4"/>
    <x v="2149"/>
    <s v="Escalation"/>
    <s v="Critical"/>
    <s v="Finance"/>
    <s v="EMP_16"/>
    <d v="2024-05-25T18:51:00"/>
    <d v="2024-05-25T22:47:00"/>
    <n v="163"/>
    <n v="236"/>
    <n v="1"/>
    <s v="Level 1"/>
    <n v="1"/>
    <n v="147.59"/>
  </r>
  <r>
    <s v="WF_2151"/>
    <x v="4"/>
    <x v="2150"/>
    <s v="Approval"/>
    <s v="Critical"/>
    <s v="Finance"/>
    <s v="EMP_62"/>
    <d v="2024-10-04T15:34:00"/>
    <d v="2024-10-04T17:56:00"/>
    <n v="78"/>
    <n v="142"/>
    <n v="1"/>
    <s v="Level 2"/>
    <n v="10"/>
    <n v="54.53"/>
  </r>
  <r>
    <s v="WF_2152"/>
    <x v="0"/>
    <x v="2151"/>
    <s v="Validation"/>
    <s v="Critical"/>
    <s v="HR"/>
    <s v="EMP_119"/>
    <d v="2024-07-02T03:04:00"/>
    <d v="2024-07-02T07:42:00"/>
    <n v="212"/>
    <n v="278"/>
    <n v="1"/>
    <s v="Level 3"/>
    <n v="5"/>
    <n v="126.04"/>
  </r>
  <r>
    <s v="WF_2153"/>
    <x v="2"/>
    <x v="2152"/>
    <s v="Escalation"/>
    <s v="Medium"/>
    <s v="HR"/>
    <s v="EMP_63"/>
    <d v="2024-03-17T10:09:00"/>
    <d v="2024-03-17T12:33:00"/>
    <n v="29"/>
    <n v="144"/>
    <n v="1"/>
    <s v="Level 2"/>
    <n v="7"/>
    <n v="166.2"/>
  </r>
  <r>
    <s v="WF_2154"/>
    <x v="0"/>
    <x v="2153"/>
    <s v="Data Entry"/>
    <s v="High"/>
    <s v="HR"/>
    <s v="EMP_130"/>
    <d v="2024-11-19T21:44:00"/>
    <d v="2024-11-19T22:01:00"/>
    <n v="14"/>
    <n v="17"/>
    <n v="1"/>
    <s v="Level 2"/>
    <n v="4"/>
    <n v="179.13"/>
  </r>
  <r>
    <s v="WF_2155"/>
    <x v="3"/>
    <x v="2154"/>
    <s v="Validation"/>
    <s v="Low"/>
    <s v="IT"/>
    <s v="EMP_141"/>
    <d v="2024-03-25T07:49:00"/>
    <d v="2024-03-25T11:17:00"/>
    <n v="116"/>
    <n v="208"/>
    <n v="1"/>
    <s v="Level 1"/>
    <n v="6"/>
    <n v="331.28"/>
  </r>
  <r>
    <s v="WF_2156"/>
    <x v="2"/>
    <x v="2155"/>
    <s v="Approval"/>
    <s v="Low"/>
    <s v="Finance"/>
    <s v="EMP_150"/>
    <d v="2024-08-27T16:04:00"/>
    <d v="2024-08-27T18:10:00"/>
    <n v="90"/>
    <n v="126"/>
    <n v="1"/>
    <s v="Level 2"/>
    <n v="8"/>
    <n v="388.41"/>
  </r>
  <r>
    <s v="WF_2157"/>
    <x v="1"/>
    <x v="2156"/>
    <s v="Validation"/>
    <s v="High"/>
    <s v="Finance"/>
    <s v="EMP_26"/>
    <d v="2024-01-10T14:47:00"/>
    <d v="2024-01-10T18:22:00"/>
    <n v="144"/>
    <n v="215"/>
    <n v="1"/>
    <s v="Level 1"/>
    <n v="9"/>
    <n v="91.41"/>
  </r>
  <r>
    <s v="WF_2158"/>
    <x v="3"/>
    <x v="2157"/>
    <s v="Validation"/>
    <s v="Medium"/>
    <s v="HR"/>
    <s v="EMP_106"/>
    <d v="2024-08-12T20:29:00"/>
    <d v="2024-08-12T21:57:00"/>
    <n v="29"/>
    <n v="88"/>
    <n v="1"/>
    <s v="Level 3"/>
    <n v="9"/>
    <n v="216.73"/>
  </r>
  <r>
    <s v="WF_2159"/>
    <x v="4"/>
    <x v="2158"/>
    <s v="Data Entry"/>
    <s v="Critical"/>
    <s v="Customer Service"/>
    <s v="EMP_110"/>
    <d v="2024-03-20T03:18:00"/>
    <d v="2024-03-20T04:57:00"/>
    <n v="69"/>
    <n v="99"/>
    <n v="1"/>
    <s v="Level 2"/>
    <n v="7"/>
    <n v="154.5"/>
  </r>
  <r>
    <s v="WF_2160"/>
    <x v="2"/>
    <x v="2159"/>
    <s v="Validation"/>
    <s v="Critical"/>
    <s v="Operations"/>
    <s v="EMP_1"/>
    <d v="2024-05-22T07:35:00"/>
    <d v="2024-05-22T11:29:00"/>
    <n v="191"/>
    <n v="234"/>
    <n v="1"/>
    <s v="Level 1"/>
    <n v="10"/>
    <n v="93.32"/>
  </r>
  <r>
    <s v="WF_2161"/>
    <x v="1"/>
    <x v="2160"/>
    <s v="Escalation"/>
    <s v="Critical"/>
    <s v="Finance"/>
    <s v="EMP_67"/>
    <d v="2024-04-24T15:30:00"/>
    <d v="2024-04-24T19:43:00"/>
    <n v="141"/>
    <n v="253"/>
    <n v="1"/>
    <s v="Level 2"/>
    <n v="6"/>
    <n v="57.31"/>
  </r>
  <r>
    <s v="WF_2162"/>
    <x v="0"/>
    <x v="2161"/>
    <s v="Data Entry"/>
    <s v="Medium"/>
    <s v="Operations"/>
    <s v="EMP_147"/>
    <d v="2024-09-29T22:33:00"/>
    <d v="2024-09-30T02:20:00"/>
    <n v="154"/>
    <n v="227"/>
    <n v="1"/>
    <s v="Level 1"/>
    <n v="8"/>
    <n v="417.74"/>
  </r>
  <r>
    <s v="WF_2163"/>
    <x v="1"/>
    <x v="2162"/>
    <s v="Data Entry"/>
    <s v="Critical"/>
    <s v="Finance"/>
    <s v="EMP_129"/>
    <d v="2024-11-05T21:15:00"/>
    <d v="2024-11-05T22:29:00"/>
    <n v="72"/>
    <n v="74"/>
    <n v="1"/>
    <s v="Level 3"/>
    <n v="3"/>
    <n v="182.91"/>
  </r>
  <r>
    <s v="WF_2164"/>
    <x v="2"/>
    <x v="2163"/>
    <s v="Approval"/>
    <s v="Low"/>
    <s v="Operations"/>
    <s v="EMP_147"/>
    <d v="2024-08-01T04:07:00"/>
    <d v="2024-08-01T06:10:00"/>
    <n v="69"/>
    <n v="123"/>
    <n v="1"/>
    <s v="Level 2"/>
    <n v="7"/>
    <n v="417.4"/>
  </r>
  <r>
    <s v="WF_2165"/>
    <x v="2"/>
    <x v="2164"/>
    <s v="Data Entry"/>
    <s v="Critical"/>
    <s v="Operations"/>
    <s v="EMP_72"/>
    <d v="2024-10-02T06:15:00"/>
    <d v="2024-10-02T07:28:00"/>
    <n v="64"/>
    <n v="73"/>
    <n v="1"/>
    <s v="Level 3"/>
    <n v="10"/>
    <n v="141.22"/>
  </r>
  <r>
    <s v="WF_2166"/>
    <x v="3"/>
    <x v="2165"/>
    <s v="Review"/>
    <s v="Critical"/>
    <s v="HR"/>
    <s v="EMP_5"/>
    <d v="2024-06-21T08:45:00"/>
    <d v="2024-06-21T12:52:00"/>
    <n v="189"/>
    <n v="247"/>
    <n v="1"/>
    <s v="Level 1"/>
    <n v="4"/>
    <n v="153.11000000000001"/>
  </r>
  <r>
    <s v="WF_2167"/>
    <x v="0"/>
    <x v="2166"/>
    <s v="Data Entry"/>
    <s v="Medium"/>
    <s v="Customer Service"/>
    <s v="EMP_76"/>
    <d v="2024-10-17T22:56:00"/>
    <d v="2024-10-18T01:21:00"/>
    <n v="99"/>
    <n v="145"/>
    <n v="1"/>
    <s v="Level 3"/>
    <n v="5"/>
    <n v="385.66"/>
  </r>
  <r>
    <s v="WF_2168"/>
    <x v="4"/>
    <x v="2167"/>
    <s v="Validation"/>
    <s v="Critical"/>
    <s v="Operations"/>
    <s v="EMP_106"/>
    <d v="2024-12-21T01:43:00"/>
    <d v="2024-12-21T06:32:00"/>
    <n v="198"/>
    <n v="289"/>
    <n v="1"/>
    <s v="Level 1"/>
    <n v="9"/>
    <n v="282.81"/>
  </r>
  <r>
    <s v="WF_2169"/>
    <x v="3"/>
    <x v="2168"/>
    <s v="Data Entry"/>
    <s v="High"/>
    <s v="HR"/>
    <s v="EMP_115"/>
    <d v="2024-09-04T12:17:00"/>
    <d v="2024-09-04T15:43:00"/>
    <n v="143"/>
    <n v="206"/>
    <n v="1"/>
    <s v="Level 1"/>
    <n v="7"/>
    <n v="322.08999999999997"/>
  </r>
  <r>
    <s v="WF_2170"/>
    <x v="1"/>
    <x v="2169"/>
    <s v="Escalation"/>
    <s v="Critical"/>
    <s v="Finance"/>
    <s v="EMP_27"/>
    <d v="2024-02-03T21:57:00"/>
    <d v="2024-02-04T01:29:00"/>
    <n v="172"/>
    <n v="212"/>
    <n v="1"/>
    <s v="Level 1"/>
    <n v="10"/>
    <n v="246.27"/>
  </r>
  <r>
    <s v="WF_2171"/>
    <x v="1"/>
    <x v="2170"/>
    <s v="Validation"/>
    <s v="Medium"/>
    <s v="Customer Service"/>
    <s v="EMP_63"/>
    <d v="2024-09-10T18:55:00"/>
    <d v="2024-09-10T21:50:00"/>
    <n v="108"/>
    <n v="175"/>
    <n v="1"/>
    <s v="Level 1"/>
    <n v="7"/>
    <n v="480.93"/>
  </r>
  <r>
    <s v="WF_2172"/>
    <x v="2"/>
    <x v="2171"/>
    <s v="Data Entry"/>
    <s v="High"/>
    <s v="IT"/>
    <s v="EMP_70"/>
    <d v="2024-11-01T19:08:00"/>
    <d v="2024-11-01T23:56:00"/>
    <n v="238"/>
    <n v="288"/>
    <n v="1"/>
    <s v="Level 2"/>
    <n v="10"/>
    <n v="267.60000000000002"/>
  </r>
  <r>
    <s v="WF_2173"/>
    <x v="2"/>
    <x v="2172"/>
    <s v="Review"/>
    <s v="Medium"/>
    <s v="IT"/>
    <s v="EMP_130"/>
    <d v="2024-07-15T06:21:00"/>
    <d v="2024-07-15T10:04:00"/>
    <n v="202"/>
    <n v="223"/>
    <n v="1"/>
    <s v="Level 3"/>
    <n v="5"/>
    <n v="51.91"/>
  </r>
  <r>
    <s v="WF_2174"/>
    <x v="3"/>
    <x v="2173"/>
    <s v="Approval"/>
    <s v="Critical"/>
    <s v="Customer Service"/>
    <s v="EMP_114"/>
    <d v="2024-08-18T22:58:00"/>
    <d v="2024-08-19T03:59:00"/>
    <n v="212"/>
    <n v="301"/>
    <n v="1"/>
    <s v="Level 2"/>
    <n v="4"/>
    <n v="399.81"/>
  </r>
  <r>
    <s v="WF_2175"/>
    <x v="3"/>
    <x v="2174"/>
    <s v="Data Entry"/>
    <s v="High"/>
    <s v="HR"/>
    <s v="EMP_24"/>
    <d v="2024-07-07T05:13:00"/>
    <d v="2024-07-07T07:37:00"/>
    <n v="108"/>
    <n v="144"/>
    <n v="1"/>
    <s v="Level 2"/>
    <n v="6"/>
    <n v="229.78"/>
  </r>
  <r>
    <s v="WF_2176"/>
    <x v="0"/>
    <x v="2175"/>
    <s v="Data Entry"/>
    <s v="High"/>
    <s v="IT"/>
    <s v="EMP_15"/>
    <d v="2024-03-15T07:55:00"/>
    <d v="2024-03-15T11:42:00"/>
    <n v="186"/>
    <n v="227"/>
    <n v="1"/>
    <s v="Level 1"/>
    <n v="1"/>
    <n v="272.5"/>
  </r>
  <r>
    <s v="WF_2177"/>
    <x v="4"/>
    <x v="2176"/>
    <s v="Review"/>
    <s v="Critical"/>
    <s v="Operations"/>
    <s v="EMP_9"/>
    <d v="2024-11-21T09:57:00"/>
    <d v="2024-11-21T13:29:00"/>
    <n v="110"/>
    <n v="212"/>
    <n v="1"/>
    <s v="Level 1"/>
    <n v="10"/>
    <n v="123.52"/>
  </r>
  <r>
    <s v="WF_2178"/>
    <x v="3"/>
    <x v="2177"/>
    <s v="Escalation"/>
    <s v="Critical"/>
    <s v="IT"/>
    <s v="EMP_26"/>
    <d v="2024-06-17T22:33:00"/>
    <d v="2024-06-18T00:26:00"/>
    <n v="113"/>
    <n v="113"/>
    <n v="0"/>
    <s v="Level 2"/>
    <n v="3"/>
    <n v="327.27999999999997"/>
  </r>
  <r>
    <s v="WF_2179"/>
    <x v="4"/>
    <x v="2178"/>
    <s v="Data Entry"/>
    <s v="Low"/>
    <s v="Customer Service"/>
    <s v="EMP_69"/>
    <d v="2024-01-11T02:29:00"/>
    <d v="2024-01-11T06:33:00"/>
    <n v="154"/>
    <n v="244"/>
    <n v="1"/>
    <s v="Level 1"/>
    <n v="6"/>
    <n v="139.1"/>
  </r>
  <r>
    <s v="WF_2180"/>
    <x v="1"/>
    <x v="2179"/>
    <s v="Escalation"/>
    <s v="Medium"/>
    <s v="Operations"/>
    <s v="EMP_44"/>
    <d v="2024-12-16T07:44:00"/>
    <d v="2024-12-16T10:27:00"/>
    <n v="102"/>
    <n v="163"/>
    <n v="1"/>
    <s v="Level 1"/>
    <n v="9"/>
    <n v="231.62"/>
  </r>
  <r>
    <s v="WF_2181"/>
    <x v="0"/>
    <x v="2180"/>
    <s v="Escalation"/>
    <s v="Low"/>
    <s v="Operations"/>
    <s v="EMP_15"/>
    <d v="2024-01-30T01:34:00"/>
    <d v="2024-01-30T03:44:00"/>
    <n v="123"/>
    <n v="130"/>
    <n v="1"/>
    <s v="Level 2"/>
    <n v="8"/>
    <n v="355.66"/>
  </r>
  <r>
    <s v="WF_2182"/>
    <x v="1"/>
    <x v="2181"/>
    <s v="Data Entry"/>
    <s v="Critical"/>
    <s v="Customer Service"/>
    <s v="EMP_30"/>
    <d v="2024-03-22T00:26:00"/>
    <d v="2024-03-22T02:19:00"/>
    <n v="32"/>
    <n v="113"/>
    <n v="1"/>
    <s v="Level 1"/>
    <n v="6"/>
    <n v="70.22"/>
  </r>
  <r>
    <s v="WF_2183"/>
    <x v="2"/>
    <x v="2182"/>
    <s v="Validation"/>
    <s v="Medium"/>
    <s v="Operations"/>
    <s v="EMP_16"/>
    <d v="2024-07-06T17:22:00"/>
    <d v="2024-07-06T21:07:00"/>
    <n v="202"/>
    <n v="225"/>
    <n v="1"/>
    <s v="Level 2"/>
    <n v="9"/>
    <n v="74.88"/>
  </r>
  <r>
    <s v="WF_2184"/>
    <x v="2"/>
    <x v="2183"/>
    <s v="Escalation"/>
    <s v="Critical"/>
    <s v="IT"/>
    <s v="EMP_26"/>
    <d v="2024-08-08T05:27:00"/>
    <d v="2024-08-08T11:13:00"/>
    <n v="234"/>
    <n v="346"/>
    <n v="1"/>
    <s v="Level 2"/>
    <n v="4"/>
    <n v="478.75"/>
  </r>
  <r>
    <s v="WF_2185"/>
    <x v="4"/>
    <x v="2184"/>
    <s v="Validation"/>
    <s v="Medium"/>
    <s v="IT"/>
    <s v="EMP_89"/>
    <d v="2024-03-29T00:06:00"/>
    <d v="2024-03-29T01:32:00"/>
    <n v="91"/>
    <n v="86"/>
    <n v="0"/>
    <s v="Level 1"/>
    <n v="10"/>
    <n v="373.45"/>
  </r>
  <r>
    <s v="WF_2186"/>
    <x v="2"/>
    <x v="2185"/>
    <s v="Escalation"/>
    <s v="High"/>
    <s v="Operations"/>
    <s v="EMP_20"/>
    <d v="2024-11-02T07:28:00"/>
    <d v="2024-11-02T11:17:00"/>
    <n v="122"/>
    <n v="229"/>
    <n v="1"/>
    <s v="Level 2"/>
    <n v="5"/>
    <n v="353.71"/>
  </r>
  <r>
    <s v="WF_2187"/>
    <x v="2"/>
    <x v="2186"/>
    <s v="Review"/>
    <s v="Low"/>
    <s v="HR"/>
    <s v="EMP_78"/>
    <d v="2024-08-17T03:25:00"/>
    <d v="2024-08-17T04:22:00"/>
    <n v="44"/>
    <n v="57"/>
    <n v="1"/>
    <s v="Level 3"/>
    <n v="2"/>
    <n v="488.23"/>
  </r>
  <r>
    <s v="WF_2188"/>
    <x v="3"/>
    <x v="2187"/>
    <s v="Data Entry"/>
    <s v="Low"/>
    <s v="Customer Service"/>
    <s v="EMP_99"/>
    <d v="2024-07-31T22:53:00"/>
    <d v="2024-08-01T01:10:00"/>
    <n v="78"/>
    <n v="137"/>
    <n v="1"/>
    <s v="Level 1"/>
    <n v="5"/>
    <n v="126.59"/>
  </r>
  <r>
    <s v="WF_2189"/>
    <x v="1"/>
    <x v="2188"/>
    <s v="Escalation"/>
    <s v="Low"/>
    <s v="IT"/>
    <s v="EMP_105"/>
    <d v="2024-12-09T21:55:00"/>
    <d v="2024-12-09T23:42:00"/>
    <n v="92"/>
    <n v="107"/>
    <n v="1"/>
    <s v="Level 1"/>
    <n v="10"/>
    <n v="481.89"/>
  </r>
  <r>
    <s v="WF_2190"/>
    <x v="0"/>
    <x v="2189"/>
    <s v="Validation"/>
    <s v="Low"/>
    <s v="Finance"/>
    <s v="EMP_108"/>
    <d v="2024-02-25T10:40:00"/>
    <d v="2024-02-25T13:00:00"/>
    <n v="124"/>
    <n v="140"/>
    <n v="1"/>
    <s v="Level 2"/>
    <n v="7"/>
    <n v="404.3"/>
  </r>
  <r>
    <s v="WF_2191"/>
    <x v="4"/>
    <x v="2190"/>
    <s v="Review"/>
    <s v="High"/>
    <s v="IT"/>
    <s v="EMP_131"/>
    <d v="2024-11-08T13:29:00"/>
    <d v="2024-11-08T14:51:00"/>
    <n v="80"/>
    <n v="82"/>
    <n v="1"/>
    <s v="Level 2"/>
    <n v="6"/>
    <n v="118.73"/>
  </r>
  <r>
    <s v="WF_2192"/>
    <x v="0"/>
    <x v="2191"/>
    <s v="Data Entry"/>
    <s v="Low"/>
    <s v="Finance"/>
    <s v="EMP_144"/>
    <d v="2024-08-29T02:56:00"/>
    <d v="2024-08-29T05:22:00"/>
    <n v="144"/>
    <n v="146"/>
    <n v="1"/>
    <s v="Level 2"/>
    <n v="5"/>
    <n v="401.69"/>
  </r>
  <r>
    <s v="WF_2193"/>
    <x v="2"/>
    <x v="2192"/>
    <s v="Approval"/>
    <s v="Medium"/>
    <s v="Customer Service"/>
    <s v="EMP_100"/>
    <d v="2024-12-25T16:05:00"/>
    <d v="2024-12-25T17:39:00"/>
    <n v="52"/>
    <n v="94"/>
    <n v="1"/>
    <s v="Level 1"/>
    <n v="4"/>
    <n v="131.61000000000001"/>
  </r>
  <r>
    <s v="WF_2194"/>
    <x v="3"/>
    <x v="2193"/>
    <s v="Validation"/>
    <s v="High"/>
    <s v="Finance"/>
    <s v="EMP_4"/>
    <d v="2024-12-26T08:52:00"/>
    <d v="2024-12-26T14:19:00"/>
    <n v="210"/>
    <n v="327"/>
    <n v="1"/>
    <s v="Level 2"/>
    <n v="8"/>
    <n v="153.30000000000001"/>
  </r>
  <r>
    <s v="WF_2195"/>
    <x v="4"/>
    <x v="2194"/>
    <s v="Review"/>
    <s v="Low"/>
    <s v="Operations"/>
    <s v="EMP_31"/>
    <d v="2024-09-13T11:04:00"/>
    <d v="2024-09-13T15:24:00"/>
    <n v="222"/>
    <n v="260"/>
    <n v="1"/>
    <s v="Level 1"/>
    <n v="7"/>
    <n v="415.76"/>
  </r>
  <r>
    <s v="WF_2196"/>
    <x v="2"/>
    <x v="2195"/>
    <s v="Escalation"/>
    <s v="Critical"/>
    <s v="HR"/>
    <s v="EMP_69"/>
    <d v="2024-02-17T18:50:00"/>
    <d v="2024-02-17T19:52:00"/>
    <n v="40"/>
    <n v="62"/>
    <n v="1"/>
    <s v="Level 1"/>
    <n v="1"/>
    <n v="117.55"/>
  </r>
  <r>
    <s v="WF_2197"/>
    <x v="0"/>
    <x v="2196"/>
    <s v="Data Entry"/>
    <s v="Medium"/>
    <s v="IT"/>
    <s v="EMP_17"/>
    <d v="2024-03-01T06:23:00"/>
    <d v="2024-03-01T10:54:00"/>
    <n v="194"/>
    <n v="271"/>
    <n v="1"/>
    <s v="Level 2"/>
    <n v="2"/>
    <n v="107.72"/>
  </r>
  <r>
    <s v="WF_2198"/>
    <x v="1"/>
    <x v="2197"/>
    <s v="Data Entry"/>
    <s v="High"/>
    <s v="IT"/>
    <s v="EMP_80"/>
    <d v="2024-09-26T03:25:00"/>
    <d v="2024-09-26T06:59:00"/>
    <n v="104"/>
    <n v="214"/>
    <n v="1"/>
    <s v="Level 3"/>
    <n v="8"/>
    <n v="230.21"/>
  </r>
  <r>
    <s v="WF_2199"/>
    <x v="0"/>
    <x v="2198"/>
    <s v="Approval"/>
    <s v="High"/>
    <s v="IT"/>
    <s v="EMP_80"/>
    <d v="2024-11-26T01:04:00"/>
    <d v="2024-11-26T05:18:00"/>
    <n v="153"/>
    <n v="254"/>
    <n v="1"/>
    <s v="Level 1"/>
    <n v="7"/>
    <n v="117.54"/>
  </r>
  <r>
    <s v="WF_2200"/>
    <x v="3"/>
    <x v="2199"/>
    <s v="Validation"/>
    <s v="Low"/>
    <s v="Customer Service"/>
    <s v="EMP_118"/>
    <d v="2024-12-27T21:13:00"/>
    <d v="2024-12-28T01:53:00"/>
    <n v="218"/>
    <n v="280"/>
    <n v="1"/>
    <s v="Level 3"/>
    <n v="8"/>
    <n v="487.94"/>
  </r>
  <r>
    <s v="WF_2201"/>
    <x v="3"/>
    <x v="2200"/>
    <s v="Validation"/>
    <s v="Low"/>
    <s v="IT"/>
    <s v="EMP_120"/>
    <d v="2024-10-12T02:02:00"/>
    <d v="2024-10-12T04:00:00"/>
    <n v="46"/>
    <n v="118"/>
    <n v="1"/>
    <s v="Level 2"/>
    <n v="1"/>
    <n v="445.83"/>
  </r>
  <r>
    <s v="WF_2202"/>
    <x v="3"/>
    <x v="2201"/>
    <s v="Validation"/>
    <s v="Low"/>
    <s v="Customer Service"/>
    <s v="EMP_112"/>
    <d v="2024-12-06T15:01:00"/>
    <d v="2024-12-06T18:22:00"/>
    <n v="193"/>
    <n v="201"/>
    <n v="1"/>
    <s v="Level 1"/>
    <n v="2"/>
    <n v="69.92"/>
  </r>
  <r>
    <s v="WF_2203"/>
    <x v="4"/>
    <x v="2202"/>
    <s v="Escalation"/>
    <s v="Medium"/>
    <s v="HR"/>
    <s v="EMP_75"/>
    <d v="2024-08-08T13:14:00"/>
    <d v="2024-08-08T14:59:00"/>
    <n v="104"/>
    <n v="105"/>
    <n v="1"/>
    <s v="Level 3"/>
    <n v="10"/>
    <n v="303.88"/>
  </r>
  <r>
    <s v="WF_2204"/>
    <x v="4"/>
    <x v="2203"/>
    <s v="Review"/>
    <s v="Low"/>
    <s v="Customer Service"/>
    <s v="EMP_28"/>
    <d v="2024-10-25T19:45:00"/>
    <d v="2024-10-25T22:55:00"/>
    <n v="92"/>
    <n v="190"/>
    <n v="1"/>
    <s v="Level 2"/>
    <n v="8"/>
    <n v="80.98"/>
  </r>
  <r>
    <s v="WF_2205"/>
    <x v="4"/>
    <x v="2204"/>
    <s v="Validation"/>
    <s v="High"/>
    <s v="HR"/>
    <s v="EMP_30"/>
    <d v="2024-08-05T21:57:00"/>
    <d v="2024-08-05T23:33:00"/>
    <n v="81"/>
    <n v="96"/>
    <n v="1"/>
    <s v="Level 3"/>
    <n v="2"/>
    <n v="368.53"/>
  </r>
  <r>
    <s v="WF_2206"/>
    <x v="1"/>
    <x v="2205"/>
    <s v="Review"/>
    <s v="Critical"/>
    <s v="Customer Service"/>
    <s v="EMP_45"/>
    <d v="2024-01-26T04:44:00"/>
    <d v="2024-01-26T07:27:00"/>
    <n v="52"/>
    <n v="163"/>
    <n v="1"/>
    <s v="Level 3"/>
    <n v="8"/>
    <n v="438.08"/>
  </r>
  <r>
    <s v="WF_2207"/>
    <x v="3"/>
    <x v="2206"/>
    <s v="Validation"/>
    <s v="Critical"/>
    <s v="Customer Service"/>
    <s v="EMP_137"/>
    <d v="2024-12-26T07:31:00"/>
    <d v="2024-12-26T09:11:00"/>
    <n v="40"/>
    <n v="100"/>
    <n v="1"/>
    <s v="Level 1"/>
    <n v="10"/>
    <n v="427.55"/>
  </r>
  <r>
    <s v="WF_2208"/>
    <x v="2"/>
    <x v="2207"/>
    <s v="Validation"/>
    <s v="Critical"/>
    <s v="Operations"/>
    <s v="EMP_90"/>
    <d v="2024-04-12T08:23:00"/>
    <d v="2024-04-12T12:25:00"/>
    <n v="233"/>
    <n v="242"/>
    <n v="1"/>
    <s v="Level 2"/>
    <n v="7"/>
    <n v="453.93"/>
  </r>
  <r>
    <s v="WF_2209"/>
    <x v="4"/>
    <x v="2208"/>
    <s v="Review"/>
    <s v="High"/>
    <s v="IT"/>
    <s v="EMP_124"/>
    <d v="2024-09-27T15:11:00"/>
    <d v="2024-09-27T19:34:00"/>
    <n v="185"/>
    <n v="263"/>
    <n v="1"/>
    <s v="Level 2"/>
    <n v="7"/>
    <n v="466.75"/>
  </r>
  <r>
    <s v="WF_2210"/>
    <x v="4"/>
    <x v="2209"/>
    <s v="Escalation"/>
    <s v="Critical"/>
    <s v="Finance"/>
    <s v="EMP_69"/>
    <d v="2024-11-20T16:46:00"/>
    <d v="2024-11-20T17:38:00"/>
    <n v="15"/>
    <n v="52"/>
    <n v="1"/>
    <s v="Level 2"/>
    <n v="9"/>
    <n v="54.71"/>
  </r>
  <r>
    <s v="WF_2211"/>
    <x v="0"/>
    <x v="2210"/>
    <s v="Data Entry"/>
    <s v="Low"/>
    <s v="Customer Service"/>
    <s v="EMP_79"/>
    <d v="2024-02-11T11:37:00"/>
    <d v="2024-02-11T12:18:00"/>
    <n v="11"/>
    <n v="41"/>
    <n v="1"/>
    <s v="Level 3"/>
    <n v="5"/>
    <n v="206.23"/>
  </r>
  <r>
    <s v="WF_2212"/>
    <x v="3"/>
    <x v="2211"/>
    <s v="Validation"/>
    <s v="Medium"/>
    <s v="HR"/>
    <s v="EMP_104"/>
    <d v="2024-04-27T21:48:00"/>
    <d v="2024-04-27T23:27:00"/>
    <n v="69"/>
    <n v="99"/>
    <n v="1"/>
    <s v="Level 3"/>
    <n v="4"/>
    <n v="166.16"/>
  </r>
  <r>
    <s v="WF_2213"/>
    <x v="4"/>
    <x v="2212"/>
    <s v="Review"/>
    <s v="Low"/>
    <s v="Operations"/>
    <s v="EMP_91"/>
    <d v="2024-08-02T11:23:00"/>
    <d v="2024-08-02T14:47:00"/>
    <n v="156"/>
    <n v="204"/>
    <n v="1"/>
    <s v="Level 1"/>
    <n v="2"/>
    <n v="485.65"/>
  </r>
  <r>
    <s v="WF_2214"/>
    <x v="4"/>
    <x v="2213"/>
    <s v="Escalation"/>
    <s v="High"/>
    <s v="HR"/>
    <s v="EMP_66"/>
    <d v="2024-08-19T10:50:00"/>
    <d v="2024-08-19T12:05:00"/>
    <n v="55"/>
    <n v="75"/>
    <n v="1"/>
    <s v="Level 3"/>
    <n v="1"/>
    <n v="53.53"/>
  </r>
  <r>
    <s v="WF_2215"/>
    <x v="4"/>
    <x v="2214"/>
    <s v="Review"/>
    <s v="Critical"/>
    <s v="Operations"/>
    <s v="EMP_108"/>
    <d v="2024-03-09T19:27:00"/>
    <d v="2024-03-09T22:02:00"/>
    <n v="51"/>
    <n v="155"/>
    <n v="1"/>
    <s v="Level 3"/>
    <n v="5"/>
    <n v="209.41"/>
  </r>
  <r>
    <s v="WF_2216"/>
    <x v="1"/>
    <x v="2215"/>
    <s v="Approval"/>
    <s v="Low"/>
    <s v="Finance"/>
    <s v="EMP_67"/>
    <d v="2024-05-18T22:20:00"/>
    <d v="2024-05-18T23:32:00"/>
    <n v="56"/>
    <n v="72"/>
    <n v="1"/>
    <s v="Level 3"/>
    <n v="10"/>
    <n v="105.07"/>
  </r>
  <r>
    <s v="WF_2217"/>
    <x v="2"/>
    <x v="2216"/>
    <s v="Validation"/>
    <s v="Medium"/>
    <s v="Customer Service"/>
    <s v="EMP_67"/>
    <d v="2024-05-12T02:28:00"/>
    <d v="2024-05-12T06:10:00"/>
    <n v="142"/>
    <n v="222"/>
    <n v="1"/>
    <s v="Level 1"/>
    <n v="9"/>
    <n v="132.16999999999999"/>
  </r>
  <r>
    <s v="WF_2218"/>
    <x v="0"/>
    <x v="2217"/>
    <s v="Review"/>
    <s v="Critical"/>
    <s v="Finance"/>
    <s v="EMP_99"/>
    <d v="2024-12-27T11:31:00"/>
    <d v="2024-12-27T13:23:00"/>
    <n v="44"/>
    <n v="112"/>
    <n v="1"/>
    <s v="Level 3"/>
    <n v="6"/>
    <n v="60"/>
  </r>
  <r>
    <s v="WF_2219"/>
    <x v="3"/>
    <x v="2218"/>
    <s v="Validation"/>
    <s v="High"/>
    <s v="Finance"/>
    <s v="EMP_59"/>
    <d v="2024-07-24T18:47:00"/>
    <d v="2024-07-24T22:51:00"/>
    <n v="200"/>
    <n v="244"/>
    <n v="1"/>
    <s v="Level 1"/>
    <n v="10"/>
    <n v="363.95"/>
  </r>
  <r>
    <s v="WF_2220"/>
    <x v="3"/>
    <x v="2219"/>
    <s v="Approval"/>
    <s v="Medium"/>
    <s v="IT"/>
    <s v="EMP_50"/>
    <d v="2024-02-02T10:27:00"/>
    <d v="2024-02-02T13:35:00"/>
    <n v="79"/>
    <n v="188"/>
    <n v="1"/>
    <s v="Level 3"/>
    <n v="3"/>
    <n v="108.09"/>
  </r>
  <r>
    <s v="WF_2221"/>
    <x v="2"/>
    <x v="2220"/>
    <s v="Approval"/>
    <s v="Low"/>
    <s v="Finance"/>
    <s v="EMP_131"/>
    <d v="2024-03-06T11:48:00"/>
    <d v="2024-03-06T15:35:00"/>
    <n v="214"/>
    <n v="227"/>
    <n v="1"/>
    <s v="Level 1"/>
    <n v="9"/>
    <n v="143.02000000000001"/>
  </r>
  <r>
    <s v="WF_2222"/>
    <x v="4"/>
    <x v="2221"/>
    <s v="Validation"/>
    <s v="High"/>
    <s v="Finance"/>
    <s v="EMP_74"/>
    <d v="2024-10-11T13:48:00"/>
    <d v="2024-10-11T15:34:00"/>
    <n v="49"/>
    <n v="106"/>
    <n v="1"/>
    <s v="Level 1"/>
    <n v="8"/>
    <n v="209.25"/>
  </r>
  <r>
    <s v="WF_2223"/>
    <x v="0"/>
    <x v="2222"/>
    <s v="Approval"/>
    <s v="Critical"/>
    <s v="Finance"/>
    <s v="EMP_128"/>
    <d v="2024-10-05T17:48:00"/>
    <d v="2024-10-05T21:06:00"/>
    <n v="178"/>
    <n v="198"/>
    <n v="1"/>
    <s v="Level 3"/>
    <n v="3"/>
    <n v="297.19"/>
  </r>
  <r>
    <s v="WF_2224"/>
    <x v="1"/>
    <x v="2223"/>
    <s v="Approval"/>
    <s v="Medium"/>
    <s v="Customer Service"/>
    <s v="EMP_69"/>
    <d v="2024-12-01T06:58:00"/>
    <d v="2024-12-01T09:13:00"/>
    <n v="26"/>
    <n v="135"/>
    <n v="1"/>
    <s v="Level 2"/>
    <n v="5"/>
    <n v="163.41999999999999"/>
  </r>
  <r>
    <s v="WF_2225"/>
    <x v="0"/>
    <x v="2224"/>
    <s v="Validation"/>
    <s v="Medium"/>
    <s v="HR"/>
    <s v="EMP_150"/>
    <d v="2024-07-25T16:03:00"/>
    <d v="2024-07-25T20:01:00"/>
    <n v="216"/>
    <n v="238"/>
    <n v="1"/>
    <s v="Level 3"/>
    <n v="6"/>
    <n v="319.02999999999997"/>
  </r>
  <r>
    <s v="WF_2226"/>
    <x v="4"/>
    <x v="2225"/>
    <s v="Validation"/>
    <s v="Low"/>
    <s v="Operations"/>
    <s v="EMP_103"/>
    <d v="2024-06-21T04:30:00"/>
    <d v="2024-06-21T07:37:00"/>
    <n v="145"/>
    <n v="187"/>
    <n v="1"/>
    <s v="Level 2"/>
    <n v="7"/>
    <n v="357.94"/>
  </r>
  <r>
    <s v="WF_2227"/>
    <x v="2"/>
    <x v="2226"/>
    <s v="Review"/>
    <s v="High"/>
    <s v="HR"/>
    <s v="EMP_34"/>
    <d v="2024-03-04T01:25:00"/>
    <d v="2024-03-04T03:02:00"/>
    <n v="28"/>
    <n v="97"/>
    <n v="1"/>
    <s v="Level 2"/>
    <n v="1"/>
    <n v="474.66"/>
  </r>
  <r>
    <s v="WF_2228"/>
    <x v="3"/>
    <x v="2227"/>
    <s v="Validation"/>
    <s v="High"/>
    <s v="Customer Service"/>
    <s v="EMP_40"/>
    <d v="2024-07-31T21:22:00"/>
    <d v="2024-08-01T00:10:00"/>
    <n v="76"/>
    <n v="168"/>
    <n v="1"/>
    <s v="Level 3"/>
    <n v="2"/>
    <n v="201.93"/>
  </r>
  <r>
    <s v="WF_2229"/>
    <x v="2"/>
    <x v="2228"/>
    <s v="Data Entry"/>
    <s v="Low"/>
    <s v="Operations"/>
    <s v="EMP_62"/>
    <d v="2024-05-24T23:43:00"/>
    <d v="2024-05-25T00:47:00"/>
    <n v="62"/>
    <n v="64"/>
    <n v="1"/>
    <s v="Level 3"/>
    <n v="8"/>
    <n v="144.58000000000001"/>
  </r>
  <r>
    <s v="WF_2230"/>
    <x v="1"/>
    <x v="2229"/>
    <s v="Review"/>
    <s v="Critical"/>
    <s v="HR"/>
    <s v="EMP_78"/>
    <d v="2024-04-27T22:01:00"/>
    <d v="2024-04-27T22:58:00"/>
    <n v="19"/>
    <n v="57"/>
    <n v="1"/>
    <s v="Level 2"/>
    <n v="3"/>
    <n v="245.2"/>
  </r>
  <r>
    <s v="WF_2231"/>
    <x v="4"/>
    <x v="2230"/>
    <s v="Review"/>
    <s v="Low"/>
    <s v="Operations"/>
    <s v="EMP_54"/>
    <d v="2024-01-25T07:56:00"/>
    <d v="2024-01-25T11:39:00"/>
    <n v="163"/>
    <n v="223"/>
    <n v="1"/>
    <s v="Level 2"/>
    <n v="9"/>
    <n v="371.46"/>
  </r>
  <r>
    <s v="WF_2232"/>
    <x v="1"/>
    <x v="2231"/>
    <s v="Data Entry"/>
    <s v="Critical"/>
    <s v="Operations"/>
    <s v="EMP_150"/>
    <d v="2024-01-05T09:47:00"/>
    <d v="2024-01-05T12:10:00"/>
    <n v="99"/>
    <n v="143"/>
    <n v="1"/>
    <s v="Level 1"/>
    <n v="4"/>
    <n v="239.88"/>
  </r>
  <r>
    <s v="WF_2233"/>
    <x v="3"/>
    <x v="2232"/>
    <s v="Escalation"/>
    <s v="Low"/>
    <s v="Customer Service"/>
    <s v="EMP_70"/>
    <d v="2024-04-16T09:35:00"/>
    <d v="2024-04-16T11:00:00"/>
    <n v="72"/>
    <n v="85"/>
    <n v="1"/>
    <s v="Level 1"/>
    <n v="9"/>
    <n v="311.45999999999998"/>
  </r>
  <r>
    <s v="WF_2234"/>
    <x v="3"/>
    <x v="2233"/>
    <s v="Escalation"/>
    <s v="High"/>
    <s v="Operations"/>
    <s v="EMP_62"/>
    <d v="2024-08-30T04:02:00"/>
    <d v="2024-08-30T05:49:00"/>
    <n v="25"/>
    <n v="107"/>
    <n v="1"/>
    <s v="Level 2"/>
    <n v="1"/>
    <n v="490.66"/>
  </r>
  <r>
    <s v="WF_2235"/>
    <x v="1"/>
    <x v="2234"/>
    <s v="Validation"/>
    <s v="Low"/>
    <s v="HR"/>
    <s v="EMP_42"/>
    <d v="2024-04-27T18:41:00"/>
    <d v="2024-04-27T22:35:00"/>
    <n v="131"/>
    <n v="234"/>
    <n v="1"/>
    <s v="Level 3"/>
    <n v="1"/>
    <n v="454.16"/>
  </r>
  <r>
    <s v="WF_2236"/>
    <x v="0"/>
    <x v="2235"/>
    <s v="Escalation"/>
    <s v="Medium"/>
    <s v="Customer Service"/>
    <s v="EMP_133"/>
    <d v="2024-05-01T10:37:00"/>
    <d v="2024-05-01T12:13:00"/>
    <n v="97"/>
    <n v="96"/>
    <n v="0"/>
    <s v="Level 3"/>
    <n v="3"/>
    <n v="267.29000000000002"/>
  </r>
  <r>
    <s v="WF_2237"/>
    <x v="4"/>
    <x v="2236"/>
    <s v="Validation"/>
    <s v="High"/>
    <s v="Finance"/>
    <s v="EMP_37"/>
    <d v="2024-03-27T09:32:00"/>
    <d v="2024-03-27T13:48:00"/>
    <n v="214"/>
    <n v="256"/>
    <n v="1"/>
    <s v="Level 2"/>
    <n v="9"/>
    <n v="134.83000000000001"/>
  </r>
  <r>
    <s v="WF_2238"/>
    <x v="2"/>
    <x v="2237"/>
    <s v="Validation"/>
    <s v="Medium"/>
    <s v="Operations"/>
    <s v="EMP_113"/>
    <d v="2024-02-06T03:13:00"/>
    <d v="2024-02-06T06:00:00"/>
    <n v="72"/>
    <n v="167"/>
    <n v="1"/>
    <s v="Level 2"/>
    <n v="4"/>
    <n v="62.96"/>
  </r>
  <r>
    <s v="WF_2239"/>
    <x v="0"/>
    <x v="2238"/>
    <s v="Review"/>
    <s v="Critical"/>
    <s v="IT"/>
    <s v="EMP_91"/>
    <d v="2024-09-26T11:08:00"/>
    <d v="2024-09-26T14:25:00"/>
    <n v="201"/>
    <n v="197"/>
    <n v="0"/>
    <s v="Level 1"/>
    <n v="5"/>
    <n v="337.02"/>
  </r>
  <r>
    <s v="WF_2240"/>
    <x v="1"/>
    <x v="2239"/>
    <s v="Validation"/>
    <s v="Low"/>
    <s v="IT"/>
    <s v="EMP_101"/>
    <d v="2024-04-07T01:35:00"/>
    <d v="2024-04-07T07:12:00"/>
    <n v="232"/>
    <n v="337"/>
    <n v="1"/>
    <s v="Level 3"/>
    <n v="7"/>
    <n v="367.79"/>
  </r>
  <r>
    <s v="WF_2241"/>
    <x v="4"/>
    <x v="2240"/>
    <s v="Data Entry"/>
    <s v="High"/>
    <s v="Finance"/>
    <s v="EMP_51"/>
    <d v="2024-11-10T10:05:00"/>
    <d v="2024-11-10T13:25:00"/>
    <n v="129"/>
    <n v="200"/>
    <n v="1"/>
    <s v="Level 3"/>
    <n v="1"/>
    <n v="286.7"/>
  </r>
  <r>
    <s v="WF_2242"/>
    <x v="1"/>
    <x v="2241"/>
    <s v="Review"/>
    <s v="Low"/>
    <s v="IT"/>
    <s v="EMP_141"/>
    <d v="2024-01-14T21:46:00"/>
    <d v="2024-01-15T01:34:00"/>
    <n v="111"/>
    <n v="228"/>
    <n v="1"/>
    <s v="Level 3"/>
    <n v="2"/>
    <n v="184.88"/>
  </r>
  <r>
    <s v="WF_2243"/>
    <x v="0"/>
    <x v="2242"/>
    <s v="Approval"/>
    <s v="Medium"/>
    <s v="HR"/>
    <s v="EMP_87"/>
    <d v="2024-09-17T00:07:00"/>
    <d v="2024-09-17T01:48:00"/>
    <n v="71"/>
    <n v="101"/>
    <n v="1"/>
    <s v="Level 2"/>
    <n v="4"/>
    <n v="322.68"/>
  </r>
  <r>
    <s v="WF_2244"/>
    <x v="1"/>
    <x v="2243"/>
    <s v="Data Entry"/>
    <s v="Medium"/>
    <s v="IT"/>
    <s v="EMP_107"/>
    <d v="2024-10-13T13:06:00"/>
    <d v="2024-10-13T15:24:00"/>
    <n v="95"/>
    <n v="138"/>
    <n v="1"/>
    <s v="Level 2"/>
    <n v="5"/>
    <n v="481.05"/>
  </r>
  <r>
    <s v="WF_2245"/>
    <x v="4"/>
    <x v="2244"/>
    <s v="Validation"/>
    <s v="Medium"/>
    <s v="IT"/>
    <s v="EMP_60"/>
    <d v="2024-08-14T17:41:00"/>
    <d v="2024-08-14T20:06:00"/>
    <n v="70"/>
    <n v="145"/>
    <n v="1"/>
    <s v="Level 1"/>
    <n v="9"/>
    <n v="230.41"/>
  </r>
  <r>
    <s v="WF_2246"/>
    <x v="0"/>
    <x v="2245"/>
    <s v="Escalation"/>
    <s v="Low"/>
    <s v="Operations"/>
    <s v="EMP_120"/>
    <d v="2024-02-11T21:12:00"/>
    <d v="2024-02-12T00:30:00"/>
    <n v="183"/>
    <n v="198"/>
    <n v="1"/>
    <s v="Level 3"/>
    <n v="7"/>
    <n v="229.21"/>
  </r>
  <r>
    <s v="WF_2247"/>
    <x v="3"/>
    <x v="2246"/>
    <s v="Review"/>
    <s v="High"/>
    <s v="HR"/>
    <s v="EMP_127"/>
    <d v="2024-06-27T04:20:00"/>
    <d v="2024-06-27T06:42:00"/>
    <n v="34"/>
    <n v="142"/>
    <n v="1"/>
    <s v="Level 3"/>
    <n v="7"/>
    <n v="140.47999999999999"/>
  </r>
  <r>
    <s v="WF_2248"/>
    <x v="4"/>
    <x v="2247"/>
    <s v="Review"/>
    <s v="Medium"/>
    <s v="Operations"/>
    <s v="EMP_39"/>
    <d v="2024-09-20T00:17:00"/>
    <d v="2024-09-20T04:05:00"/>
    <n v="146"/>
    <n v="228"/>
    <n v="1"/>
    <s v="Level 3"/>
    <n v="4"/>
    <n v="245.99"/>
  </r>
  <r>
    <s v="WF_2249"/>
    <x v="4"/>
    <x v="2248"/>
    <s v="Approval"/>
    <s v="Critical"/>
    <s v="Finance"/>
    <s v="EMP_35"/>
    <d v="2024-12-05T15:43:00"/>
    <d v="2024-12-05T18:14:00"/>
    <n v="80"/>
    <n v="151"/>
    <n v="1"/>
    <s v="Level 2"/>
    <n v="7"/>
    <n v="457.85"/>
  </r>
  <r>
    <s v="WF_2250"/>
    <x v="4"/>
    <x v="2249"/>
    <s v="Review"/>
    <s v="High"/>
    <s v="HR"/>
    <s v="EMP_125"/>
    <d v="2024-08-12T14:53:00"/>
    <d v="2024-08-12T17:58:00"/>
    <n v="127"/>
    <n v="185"/>
    <n v="1"/>
    <s v="Level 1"/>
    <n v="6"/>
    <n v="326.24"/>
  </r>
  <r>
    <s v="WF_2251"/>
    <x v="4"/>
    <x v="2250"/>
    <s v="Validation"/>
    <s v="Critical"/>
    <s v="Finance"/>
    <s v="EMP_120"/>
    <d v="2024-09-17T07:35:00"/>
    <d v="2024-09-17T10:57:00"/>
    <n v="145"/>
    <n v="202"/>
    <n v="1"/>
    <s v="Level 2"/>
    <n v="10"/>
    <n v="362.04"/>
  </r>
  <r>
    <s v="WF_2252"/>
    <x v="2"/>
    <x v="2251"/>
    <s v="Approval"/>
    <s v="Medium"/>
    <s v="Customer Service"/>
    <s v="EMP_15"/>
    <d v="2024-08-29T03:47:00"/>
    <d v="2024-08-29T05:39:00"/>
    <n v="98"/>
    <n v="112"/>
    <n v="1"/>
    <s v="Level 1"/>
    <n v="5"/>
    <n v="408.14"/>
  </r>
  <r>
    <s v="WF_2253"/>
    <x v="1"/>
    <x v="2252"/>
    <s v="Escalation"/>
    <s v="High"/>
    <s v="HR"/>
    <s v="EMP_127"/>
    <d v="2024-02-19T09:57:00"/>
    <d v="2024-02-19T11:37:00"/>
    <n v="25"/>
    <n v="100"/>
    <n v="1"/>
    <s v="Level 3"/>
    <n v="9"/>
    <n v="109.88"/>
  </r>
  <r>
    <s v="WF_2254"/>
    <x v="3"/>
    <x v="2253"/>
    <s v="Approval"/>
    <s v="Critical"/>
    <s v="Finance"/>
    <s v="EMP_82"/>
    <d v="2024-12-11T08:31:00"/>
    <d v="2024-12-11T13:43:00"/>
    <n v="207"/>
    <n v="312"/>
    <n v="1"/>
    <s v="Level 3"/>
    <n v="7"/>
    <n v="315.14"/>
  </r>
  <r>
    <s v="WF_2255"/>
    <x v="4"/>
    <x v="2254"/>
    <s v="Review"/>
    <s v="High"/>
    <s v="Finance"/>
    <s v="EMP_87"/>
    <d v="2024-01-27T19:52:00"/>
    <d v="2024-01-28T00:32:00"/>
    <n v="197"/>
    <n v="280"/>
    <n v="1"/>
    <s v="Level 3"/>
    <n v="6"/>
    <n v="54.71"/>
  </r>
  <r>
    <s v="WF_2256"/>
    <x v="3"/>
    <x v="2255"/>
    <s v="Approval"/>
    <s v="High"/>
    <s v="Finance"/>
    <s v="EMP_111"/>
    <d v="2024-11-12T06:23:00"/>
    <d v="2024-11-12T10:18:00"/>
    <n v="220"/>
    <n v="235"/>
    <n v="1"/>
    <s v="Level 2"/>
    <n v="1"/>
    <n v="50.65"/>
  </r>
  <r>
    <s v="WF_2257"/>
    <x v="4"/>
    <x v="2256"/>
    <s v="Review"/>
    <s v="High"/>
    <s v="IT"/>
    <s v="EMP_78"/>
    <d v="2024-03-03T11:54:00"/>
    <d v="2024-03-03T14:54:00"/>
    <n v="112"/>
    <n v="180"/>
    <n v="1"/>
    <s v="Level 2"/>
    <n v="10"/>
    <n v="79.14"/>
  </r>
  <r>
    <s v="WF_2258"/>
    <x v="2"/>
    <x v="2257"/>
    <s v="Approval"/>
    <s v="Critical"/>
    <s v="IT"/>
    <s v="EMP_78"/>
    <d v="2024-09-14T14:15:00"/>
    <d v="2024-09-14T15:15:00"/>
    <n v="51"/>
    <n v="60"/>
    <n v="1"/>
    <s v="Level 1"/>
    <n v="7"/>
    <n v="421.58"/>
  </r>
  <r>
    <s v="WF_2259"/>
    <x v="3"/>
    <x v="2258"/>
    <s v="Review"/>
    <s v="Medium"/>
    <s v="Operations"/>
    <s v="EMP_145"/>
    <d v="2024-02-11T19:22:00"/>
    <d v="2024-02-11T23:13:00"/>
    <n v="207"/>
    <n v="231"/>
    <n v="1"/>
    <s v="Level 3"/>
    <n v="9"/>
    <n v="355.95"/>
  </r>
  <r>
    <s v="WF_2260"/>
    <x v="2"/>
    <x v="2259"/>
    <s v="Review"/>
    <s v="Medium"/>
    <s v="Operations"/>
    <s v="EMP_144"/>
    <d v="2024-07-26T23:10:00"/>
    <d v="2024-07-27T03:31:00"/>
    <n v="235"/>
    <n v="261"/>
    <n v="1"/>
    <s v="Level 3"/>
    <n v="2"/>
    <n v="493.23"/>
  </r>
  <r>
    <s v="WF_2261"/>
    <x v="4"/>
    <x v="2260"/>
    <s v="Validation"/>
    <s v="Medium"/>
    <s v="HR"/>
    <s v="EMP_106"/>
    <d v="2024-06-19T06:21:00"/>
    <d v="2024-06-19T09:29:00"/>
    <n v="87"/>
    <n v="188"/>
    <n v="1"/>
    <s v="Level 1"/>
    <n v="9"/>
    <n v="354.41"/>
  </r>
  <r>
    <s v="WF_2262"/>
    <x v="0"/>
    <x v="2261"/>
    <s v="Validation"/>
    <s v="Medium"/>
    <s v="IT"/>
    <s v="EMP_28"/>
    <d v="2024-07-23T22:46:00"/>
    <d v="2024-07-24T01:07:00"/>
    <n v="127"/>
    <n v="141"/>
    <n v="1"/>
    <s v="Level 1"/>
    <n v="2"/>
    <n v="263.37"/>
  </r>
  <r>
    <s v="WF_2263"/>
    <x v="2"/>
    <x v="2262"/>
    <s v="Approval"/>
    <s v="Medium"/>
    <s v="Operations"/>
    <s v="EMP_90"/>
    <d v="2024-11-23T01:46:00"/>
    <d v="2024-11-23T04:59:00"/>
    <n v="193"/>
    <n v="193"/>
    <n v="0"/>
    <s v="Level 2"/>
    <n v="2"/>
    <n v="295"/>
  </r>
  <r>
    <s v="WF_2264"/>
    <x v="3"/>
    <x v="2263"/>
    <s v="Review"/>
    <s v="Medium"/>
    <s v="Operations"/>
    <s v="EMP_148"/>
    <d v="2024-03-19T10:47:00"/>
    <d v="2024-03-19T12:28:00"/>
    <n v="30"/>
    <n v="101"/>
    <n v="1"/>
    <s v="Level 3"/>
    <n v="4"/>
    <n v="246.6"/>
  </r>
  <r>
    <s v="WF_2265"/>
    <x v="0"/>
    <x v="2264"/>
    <s v="Approval"/>
    <s v="High"/>
    <s v="Finance"/>
    <s v="EMP_124"/>
    <d v="2024-06-12T06:52:00"/>
    <d v="2024-06-12T08:52:00"/>
    <n v="122"/>
    <n v="120"/>
    <n v="0"/>
    <s v="Level 2"/>
    <n v="3"/>
    <n v="120"/>
  </r>
  <r>
    <s v="WF_2266"/>
    <x v="1"/>
    <x v="2265"/>
    <s v="Validation"/>
    <s v="Low"/>
    <s v="IT"/>
    <s v="EMP_44"/>
    <d v="2024-11-01T16:08:00"/>
    <d v="2024-11-01T21:35:00"/>
    <n v="233"/>
    <n v="327"/>
    <n v="1"/>
    <s v="Level 2"/>
    <n v="3"/>
    <n v="303.42"/>
  </r>
  <r>
    <s v="WF_2267"/>
    <x v="1"/>
    <x v="2266"/>
    <s v="Review"/>
    <s v="High"/>
    <s v="Operations"/>
    <s v="EMP_119"/>
    <d v="2024-11-21T02:43:00"/>
    <d v="2024-11-21T03:47:00"/>
    <n v="40"/>
    <n v="64"/>
    <n v="1"/>
    <s v="Level 1"/>
    <n v="4"/>
    <n v="187.82"/>
  </r>
  <r>
    <s v="WF_2268"/>
    <x v="1"/>
    <x v="2267"/>
    <s v="Validation"/>
    <s v="Low"/>
    <s v="Finance"/>
    <s v="EMP_14"/>
    <d v="2024-09-28T05:15:00"/>
    <d v="2024-09-28T07:51:00"/>
    <n v="76"/>
    <n v="156"/>
    <n v="1"/>
    <s v="Level 2"/>
    <n v="9"/>
    <n v="385.52"/>
  </r>
  <r>
    <s v="WF_2269"/>
    <x v="4"/>
    <x v="2268"/>
    <s v="Validation"/>
    <s v="Critical"/>
    <s v="Finance"/>
    <s v="EMP_75"/>
    <d v="2024-11-11T05:41:00"/>
    <d v="2024-11-11T06:58:00"/>
    <n v="49"/>
    <n v="77"/>
    <n v="1"/>
    <s v="Level 2"/>
    <n v="2"/>
    <n v="270.06"/>
  </r>
  <r>
    <s v="WF_2270"/>
    <x v="4"/>
    <x v="2269"/>
    <s v="Validation"/>
    <s v="Critical"/>
    <s v="Operations"/>
    <s v="EMP_137"/>
    <d v="2024-10-25T04:27:00"/>
    <d v="2024-10-25T07:57:00"/>
    <n v="203"/>
    <n v="210"/>
    <n v="1"/>
    <s v="Level 3"/>
    <n v="10"/>
    <n v="447.13"/>
  </r>
  <r>
    <s v="WF_2271"/>
    <x v="0"/>
    <x v="2270"/>
    <s v="Approval"/>
    <s v="High"/>
    <s v="IT"/>
    <s v="EMP_7"/>
    <d v="2024-08-02T15:22:00"/>
    <d v="2024-08-02T19:01:00"/>
    <n v="101"/>
    <n v="219"/>
    <n v="1"/>
    <s v="Level 3"/>
    <n v="6"/>
    <n v="80.02"/>
  </r>
  <r>
    <s v="WF_2272"/>
    <x v="0"/>
    <x v="2271"/>
    <s v="Review"/>
    <s v="Critical"/>
    <s v="Finance"/>
    <s v="EMP_126"/>
    <d v="2024-04-25T02:59:00"/>
    <d v="2024-04-25T05:20:00"/>
    <n v="91"/>
    <n v="141"/>
    <n v="1"/>
    <s v="Level 2"/>
    <n v="2"/>
    <n v="78.400000000000006"/>
  </r>
  <r>
    <s v="WF_2273"/>
    <x v="3"/>
    <x v="2272"/>
    <s v="Validation"/>
    <s v="High"/>
    <s v="Finance"/>
    <s v="EMP_37"/>
    <d v="2024-07-03T06:48:00"/>
    <d v="2024-07-03T08:34:00"/>
    <n v="106"/>
    <n v="106"/>
    <n v="0"/>
    <s v="Level 2"/>
    <n v="5"/>
    <n v="467.94"/>
  </r>
  <r>
    <s v="WF_2274"/>
    <x v="1"/>
    <x v="2273"/>
    <s v="Validation"/>
    <s v="Low"/>
    <s v="IT"/>
    <s v="EMP_128"/>
    <d v="2024-07-13T03:11:00"/>
    <d v="2024-07-13T05:24:00"/>
    <n v="127"/>
    <n v="133"/>
    <n v="1"/>
    <s v="Level 1"/>
    <n v="4"/>
    <n v="257.41000000000003"/>
  </r>
  <r>
    <s v="WF_2275"/>
    <x v="2"/>
    <x v="2274"/>
    <s v="Validation"/>
    <s v="Critical"/>
    <s v="HR"/>
    <s v="EMP_50"/>
    <d v="2024-03-27T08:11:00"/>
    <d v="2024-03-27T10:33:00"/>
    <n v="131"/>
    <n v="142"/>
    <n v="1"/>
    <s v="Level 3"/>
    <n v="2"/>
    <n v="267.70999999999998"/>
  </r>
  <r>
    <s v="WF_2276"/>
    <x v="3"/>
    <x v="2275"/>
    <s v="Validation"/>
    <s v="Critical"/>
    <s v="HR"/>
    <s v="EMP_139"/>
    <d v="2024-03-11T08:19:00"/>
    <d v="2024-03-11T12:30:00"/>
    <n v="240"/>
    <n v="251"/>
    <n v="1"/>
    <s v="Level 1"/>
    <n v="4"/>
    <n v="239.3"/>
  </r>
  <r>
    <s v="WF_2277"/>
    <x v="3"/>
    <x v="2276"/>
    <s v="Validation"/>
    <s v="Low"/>
    <s v="HR"/>
    <s v="EMP_12"/>
    <d v="2024-12-02T04:25:00"/>
    <d v="2024-12-02T09:22:00"/>
    <n v="232"/>
    <n v="297"/>
    <n v="1"/>
    <s v="Level 2"/>
    <n v="6"/>
    <n v="280.35000000000002"/>
  </r>
  <r>
    <s v="WF_2278"/>
    <x v="0"/>
    <x v="2277"/>
    <s v="Escalation"/>
    <s v="Critical"/>
    <s v="Finance"/>
    <s v="EMP_45"/>
    <d v="2024-04-12T23:12:00"/>
    <d v="2024-04-13T02:58:00"/>
    <n v="227"/>
    <n v="226"/>
    <n v="0"/>
    <s v="Level 1"/>
    <n v="7"/>
    <n v="367.85"/>
  </r>
  <r>
    <s v="WF_2279"/>
    <x v="4"/>
    <x v="2278"/>
    <s v="Validation"/>
    <s v="High"/>
    <s v="Operations"/>
    <s v="EMP_67"/>
    <d v="2024-11-25T16:49:00"/>
    <d v="2024-11-25T18:56:00"/>
    <n v="34"/>
    <n v="127"/>
    <n v="1"/>
    <s v="Level 3"/>
    <n v="9"/>
    <n v="110.44"/>
  </r>
  <r>
    <s v="WF_2280"/>
    <x v="3"/>
    <x v="2279"/>
    <s v="Escalation"/>
    <s v="Medium"/>
    <s v="Customer Service"/>
    <s v="EMP_40"/>
    <d v="2024-10-23T09:36:00"/>
    <d v="2024-10-23T11:40:00"/>
    <n v="121"/>
    <n v="124"/>
    <n v="1"/>
    <s v="Level 1"/>
    <n v="9"/>
    <n v="423.99"/>
  </r>
  <r>
    <s v="WF_2281"/>
    <x v="3"/>
    <x v="2280"/>
    <s v="Validation"/>
    <s v="Critical"/>
    <s v="Finance"/>
    <s v="EMP_122"/>
    <d v="2024-08-29T13:52:00"/>
    <d v="2024-08-29T17:36:00"/>
    <n v="106"/>
    <n v="224"/>
    <n v="1"/>
    <s v="Level 3"/>
    <n v="3"/>
    <n v="295.70999999999998"/>
  </r>
  <r>
    <s v="WF_2282"/>
    <x v="1"/>
    <x v="2281"/>
    <s v="Escalation"/>
    <s v="Medium"/>
    <s v="IT"/>
    <s v="EMP_127"/>
    <d v="2024-10-16T18:47:00"/>
    <d v="2024-10-16T21:41:00"/>
    <n v="90"/>
    <n v="174"/>
    <n v="1"/>
    <s v="Level 2"/>
    <n v="10"/>
    <n v="230.66"/>
  </r>
  <r>
    <s v="WF_2283"/>
    <x v="2"/>
    <x v="2282"/>
    <s v="Data Entry"/>
    <s v="Low"/>
    <s v="Finance"/>
    <s v="EMP_37"/>
    <d v="2024-04-22T11:58:00"/>
    <d v="2024-04-22T16:22:00"/>
    <n v="145"/>
    <n v="264"/>
    <n v="1"/>
    <s v="Level 1"/>
    <n v="10"/>
    <n v="473.77"/>
  </r>
  <r>
    <s v="WF_2284"/>
    <x v="1"/>
    <x v="2283"/>
    <s v="Review"/>
    <s v="Medium"/>
    <s v="Operations"/>
    <s v="EMP_81"/>
    <d v="2024-01-10T01:51:00"/>
    <d v="2024-01-10T03:04:00"/>
    <n v="74"/>
    <n v="73"/>
    <n v="0"/>
    <s v="Level 3"/>
    <n v="6"/>
    <n v="218.93"/>
  </r>
  <r>
    <s v="WF_2285"/>
    <x v="2"/>
    <x v="2284"/>
    <s v="Approval"/>
    <s v="Low"/>
    <s v="Operations"/>
    <s v="EMP_1"/>
    <d v="2024-02-14T05:49:00"/>
    <d v="2024-02-14T08:51:00"/>
    <n v="114"/>
    <n v="182"/>
    <n v="1"/>
    <s v="Level 3"/>
    <n v="7"/>
    <n v="356.1"/>
  </r>
  <r>
    <s v="WF_2286"/>
    <x v="1"/>
    <x v="2285"/>
    <s v="Data Entry"/>
    <s v="High"/>
    <s v="IT"/>
    <s v="EMP_42"/>
    <d v="2024-11-17T10:54:00"/>
    <d v="2024-11-17T12:03:00"/>
    <n v="59"/>
    <n v="69"/>
    <n v="1"/>
    <s v="Level 3"/>
    <n v="2"/>
    <n v="200.31"/>
  </r>
  <r>
    <s v="WF_2287"/>
    <x v="3"/>
    <x v="2286"/>
    <s v="Review"/>
    <s v="Medium"/>
    <s v="Operations"/>
    <s v="EMP_53"/>
    <d v="2024-06-07T13:18:00"/>
    <d v="2024-06-07T15:57:00"/>
    <n v="142"/>
    <n v="159"/>
    <n v="1"/>
    <s v="Level 1"/>
    <n v="7"/>
    <n v="152.08000000000001"/>
  </r>
  <r>
    <s v="WF_2288"/>
    <x v="0"/>
    <x v="2287"/>
    <s v="Review"/>
    <s v="Critical"/>
    <s v="Operations"/>
    <s v="EMP_50"/>
    <d v="2024-04-16T00:34:00"/>
    <d v="2024-04-16T02:52:00"/>
    <n v="33"/>
    <n v="138"/>
    <n v="1"/>
    <s v="Level 1"/>
    <n v="1"/>
    <n v="178.68"/>
  </r>
  <r>
    <s v="WF_2289"/>
    <x v="4"/>
    <x v="2288"/>
    <s v="Approval"/>
    <s v="Medium"/>
    <s v="IT"/>
    <s v="EMP_33"/>
    <d v="2024-07-06T02:16:00"/>
    <d v="2024-07-06T03:59:00"/>
    <n v="40"/>
    <n v="103"/>
    <n v="1"/>
    <s v="Level 2"/>
    <n v="5"/>
    <n v="173.21"/>
  </r>
  <r>
    <s v="WF_2290"/>
    <x v="4"/>
    <x v="2289"/>
    <s v="Approval"/>
    <s v="Low"/>
    <s v="Customer Service"/>
    <s v="EMP_97"/>
    <d v="2024-01-24T15:31:00"/>
    <d v="2024-01-24T18:30:00"/>
    <n v="70"/>
    <n v="179"/>
    <n v="1"/>
    <s v="Level 3"/>
    <n v="1"/>
    <n v="89.16"/>
  </r>
  <r>
    <s v="WF_2291"/>
    <x v="3"/>
    <x v="2290"/>
    <s v="Data Entry"/>
    <s v="Critical"/>
    <s v="HR"/>
    <s v="EMP_54"/>
    <d v="2024-11-23T09:51:00"/>
    <d v="2024-11-23T11:27:00"/>
    <n v="49"/>
    <n v="96"/>
    <n v="1"/>
    <s v="Level 2"/>
    <n v="4"/>
    <n v="415.62"/>
  </r>
  <r>
    <s v="WF_2292"/>
    <x v="2"/>
    <x v="2291"/>
    <s v="Data Entry"/>
    <s v="Low"/>
    <s v="Operations"/>
    <s v="EMP_84"/>
    <d v="2024-10-11T06:45:00"/>
    <d v="2024-10-11T08:20:00"/>
    <n v="34"/>
    <n v="95"/>
    <n v="1"/>
    <s v="Level 2"/>
    <n v="6"/>
    <n v="164.73"/>
  </r>
  <r>
    <s v="WF_2293"/>
    <x v="0"/>
    <x v="2292"/>
    <s v="Data Entry"/>
    <s v="High"/>
    <s v="Operations"/>
    <s v="EMP_114"/>
    <d v="2024-01-31T00:11:00"/>
    <d v="2024-01-31T04:39:00"/>
    <n v="236"/>
    <n v="268"/>
    <n v="1"/>
    <s v="Level 2"/>
    <n v="6"/>
    <n v="482.25"/>
  </r>
  <r>
    <s v="WF_2294"/>
    <x v="4"/>
    <x v="2293"/>
    <s v="Validation"/>
    <s v="High"/>
    <s v="IT"/>
    <s v="EMP_37"/>
    <d v="2024-12-14T03:55:00"/>
    <d v="2024-12-14T08:17:00"/>
    <n v="200"/>
    <n v="262"/>
    <n v="1"/>
    <s v="Level 3"/>
    <n v="3"/>
    <n v="374"/>
  </r>
  <r>
    <s v="WF_2295"/>
    <x v="1"/>
    <x v="2294"/>
    <s v="Review"/>
    <s v="Critical"/>
    <s v="Operations"/>
    <s v="EMP_105"/>
    <d v="2024-02-20T18:29:00"/>
    <d v="2024-02-20T21:52:00"/>
    <n v="138"/>
    <n v="203"/>
    <n v="1"/>
    <s v="Level 1"/>
    <n v="7"/>
    <n v="51.46"/>
  </r>
  <r>
    <s v="WF_2296"/>
    <x v="3"/>
    <x v="2295"/>
    <s v="Review"/>
    <s v="Critical"/>
    <s v="IT"/>
    <s v="EMP_44"/>
    <d v="2024-08-16T03:21:00"/>
    <d v="2024-08-16T05:01:00"/>
    <n v="56"/>
    <n v="100"/>
    <n v="1"/>
    <s v="Level 1"/>
    <n v="4"/>
    <n v="82.22"/>
  </r>
  <r>
    <s v="WF_2297"/>
    <x v="4"/>
    <x v="2296"/>
    <s v="Review"/>
    <s v="Medium"/>
    <s v="IT"/>
    <s v="EMP_3"/>
    <d v="2024-08-13T16:03:00"/>
    <d v="2024-08-13T17:02:00"/>
    <n v="54"/>
    <n v="59"/>
    <n v="1"/>
    <s v="Level 3"/>
    <n v="9"/>
    <n v="261.56"/>
  </r>
  <r>
    <s v="WF_2298"/>
    <x v="1"/>
    <x v="2297"/>
    <s v="Data Entry"/>
    <s v="Low"/>
    <s v="IT"/>
    <s v="EMP_47"/>
    <d v="2024-03-10T23:48:00"/>
    <d v="2024-03-11T03:23:00"/>
    <n v="117"/>
    <n v="215"/>
    <n v="1"/>
    <s v="Level 3"/>
    <n v="10"/>
    <n v="373"/>
  </r>
  <r>
    <s v="WF_2299"/>
    <x v="3"/>
    <x v="2298"/>
    <s v="Approval"/>
    <s v="High"/>
    <s v="Finance"/>
    <s v="EMP_124"/>
    <d v="2024-09-20T10:43:00"/>
    <d v="2024-09-20T12:15:00"/>
    <n v="23"/>
    <n v="92"/>
    <n v="1"/>
    <s v="Level 3"/>
    <n v="7"/>
    <n v="277.31"/>
  </r>
  <r>
    <s v="WF_2300"/>
    <x v="4"/>
    <x v="2299"/>
    <s v="Approval"/>
    <s v="Low"/>
    <s v="HR"/>
    <s v="EMP_70"/>
    <d v="2024-06-29T21:59:00"/>
    <d v="2024-06-30T01:42:00"/>
    <n v="151"/>
    <n v="223"/>
    <n v="1"/>
    <s v="Level 1"/>
    <n v="6"/>
    <n v="423.08"/>
  </r>
  <r>
    <s v="WF_2301"/>
    <x v="0"/>
    <x v="2300"/>
    <s v="Approval"/>
    <s v="Medium"/>
    <s v="Finance"/>
    <s v="EMP_84"/>
    <d v="2024-06-07T11:40:00"/>
    <d v="2024-06-07T13:12:00"/>
    <n v="32"/>
    <n v="92"/>
    <n v="1"/>
    <s v="Level 3"/>
    <n v="6"/>
    <n v="444.41"/>
  </r>
  <r>
    <s v="WF_2302"/>
    <x v="2"/>
    <x v="2301"/>
    <s v="Approval"/>
    <s v="High"/>
    <s v="HR"/>
    <s v="EMP_149"/>
    <d v="2024-05-24T20:22:00"/>
    <d v="2024-05-24T22:09:00"/>
    <n v="62"/>
    <n v="107"/>
    <n v="1"/>
    <s v="Level 2"/>
    <n v="4"/>
    <n v="491.19"/>
  </r>
  <r>
    <s v="WF_2303"/>
    <x v="2"/>
    <x v="2302"/>
    <s v="Validation"/>
    <s v="High"/>
    <s v="Customer Service"/>
    <s v="EMP_35"/>
    <d v="2024-08-17T07:15:00"/>
    <d v="2024-08-17T07:50:00"/>
    <n v="28"/>
    <n v="35"/>
    <n v="1"/>
    <s v="Level 3"/>
    <n v="5"/>
    <n v="208.77"/>
  </r>
  <r>
    <s v="WF_2304"/>
    <x v="4"/>
    <x v="2303"/>
    <s v="Escalation"/>
    <s v="Critical"/>
    <s v="IT"/>
    <s v="EMP_107"/>
    <d v="2024-10-12T23:46:00"/>
    <d v="2024-10-13T03:33:00"/>
    <n v="124"/>
    <n v="227"/>
    <n v="1"/>
    <s v="Level 1"/>
    <n v="10"/>
    <n v="402.98"/>
  </r>
  <r>
    <s v="WF_2305"/>
    <x v="4"/>
    <x v="2304"/>
    <s v="Data Entry"/>
    <s v="High"/>
    <s v="Customer Service"/>
    <s v="EMP_141"/>
    <d v="2024-06-02T10:47:00"/>
    <d v="2024-06-02T14:41:00"/>
    <n v="115"/>
    <n v="234"/>
    <n v="1"/>
    <s v="Level 1"/>
    <n v="8"/>
    <n v="131.32"/>
  </r>
  <r>
    <s v="WF_2306"/>
    <x v="3"/>
    <x v="2305"/>
    <s v="Escalation"/>
    <s v="Critical"/>
    <s v="Operations"/>
    <s v="EMP_39"/>
    <d v="2024-01-27T08:17:00"/>
    <d v="2024-01-27T09:30:00"/>
    <n v="42"/>
    <n v="73"/>
    <n v="1"/>
    <s v="Level 3"/>
    <n v="6"/>
    <n v="484.59"/>
  </r>
  <r>
    <s v="WF_2307"/>
    <x v="4"/>
    <x v="2306"/>
    <s v="Validation"/>
    <s v="Low"/>
    <s v="Customer Service"/>
    <s v="EMP_140"/>
    <d v="2024-06-29T10:50:00"/>
    <d v="2024-06-29T12:52:00"/>
    <n v="118"/>
    <n v="122"/>
    <n v="1"/>
    <s v="Level 3"/>
    <n v="9"/>
    <n v="426.46"/>
  </r>
  <r>
    <s v="WF_2308"/>
    <x v="0"/>
    <x v="2307"/>
    <s v="Data Entry"/>
    <s v="High"/>
    <s v="IT"/>
    <s v="EMP_50"/>
    <d v="2024-10-16T03:50:00"/>
    <d v="2024-10-16T06:55:00"/>
    <n v="124"/>
    <n v="185"/>
    <n v="1"/>
    <s v="Level 1"/>
    <n v="7"/>
    <n v="312.05"/>
  </r>
  <r>
    <s v="WF_2309"/>
    <x v="2"/>
    <x v="2308"/>
    <s v="Review"/>
    <s v="Medium"/>
    <s v="Operations"/>
    <s v="EMP_1"/>
    <d v="2024-08-04T00:34:00"/>
    <d v="2024-08-04T01:58:00"/>
    <n v="22"/>
    <n v="84"/>
    <n v="1"/>
    <s v="Level 2"/>
    <n v="1"/>
    <n v="228.82"/>
  </r>
  <r>
    <s v="WF_2310"/>
    <x v="3"/>
    <x v="2309"/>
    <s v="Escalation"/>
    <s v="Critical"/>
    <s v="Customer Service"/>
    <s v="EMP_39"/>
    <d v="2024-05-18T12:05:00"/>
    <d v="2024-05-18T15:30:00"/>
    <n v="89"/>
    <n v="205"/>
    <n v="1"/>
    <s v="Level 3"/>
    <n v="5"/>
    <n v="429.12"/>
  </r>
  <r>
    <s v="WF_2311"/>
    <x v="0"/>
    <x v="2310"/>
    <s v="Escalation"/>
    <s v="Low"/>
    <s v="Finance"/>
    <s v="EMP_43"/>
    <d v="2024-08-12T12:02:00"/>
    <d v="2024-08-12T13:34:00"/>
    <n v="41"/>
    <n v="92"/>
    <n v="1"/>
    <s v="Level 3"/>
    <n v="4"/>
    <n v="228.6"/>
  </r>
  <r>
    <s v="WF_2312"/>
    <x v="1"/>
    <x v="2311"/>
    <s v="Review"/>
    <s v="Low"/>
    <s v="IT"/>
    <s v="EMP_6"/>
    <d v="2024-04-26T10:05:00"/>
    <d v="2024-04-26T11:41:00"/>
    <n v="19"/>
    <n v="96"/>
    <n v="1"/>
    <s v="Level 1"/>
    <n v="10"/>
    <n v="249.79"/>
  </r>
  <r>
    <s v="WF_2313"/>
    <x v="4"/>
    <x v="2312"/>
    <s v="Escalation"/>
    <s v="Low"/>
    <s v="IT"/>
    <s v="EMP_122"/>
    <d v="2024-09-21T21:21:00"/>
    <d v="2024-09-22T01:09:00"/>
    <n v="114"/>
    <n v="228"/>
    <n v="1"/>
    <s v="Level 3"/>
    <n v="7"/>
    <n v="414.62"/>
  </r>
  <r>
    <s v="WF_2314"/>
    <x v="0"/>
    <x v="2313"/>
    <s v="Data Entry"/>
    <s v="Low"/>
    <s v="IT"/>
    <s v="EMP_94"/>
    <d v="2024-08-28T09:07:00"/>
    <d v="2024-08-28T13:20:00"/>
    <n v="192"/>
    <n v="253"/>
    <n v="1"/>
    <s v="Level 3"/>
    <n v="5"/>
    <n v="175.02"/>
  </r>
  <r>
    <s v="WF_2315"/>
    <x v="4"/>
    <x v="2314"/>
    <s v="Review"/>
    <s v="High"/>
    <s v="Customer Service"/>
    <s v="EMP_139"/>
    <d v="2024-08-11T18:18:00"/>
    <d v="2024-08-11T20:13:00"/>
    <n v="115"/>
    <n v="115"/>
    <n v="0"/>
    <s v="Level 3"/>
    <n v="7"/>
    <n v="209.47"/>
  </r>
  <r>
    <s v="WF_2316"/>
    <x v="4"/>
    <x v="2315"/>
    <s v="Validation"/>
    <s v="Critical"/>
    <s v="IT"/>
    <s v="EMP_32"/>
    <d v="2024-03-26T18:00:00"/>
    <d v="2024-03-26T21:44:00"/>
    <n v="128"/>
    <n v="224"/>
    <n v="1"/>
    <s v="Level 2"/>
    <n v="9"/>
    <n v="335.01"/>
  </r>
  <r>
    <s v="WF_2317"/>
    <x v="2"/>
    <x v="2316"/>
    <s v="Escalation"/>
    <s v="Critical"/>
    <s v="HR"/>
    <s v="EMP_9"/>
    <d v="2024-07-09T10:00:00"/>
    <d v="2024-07-09T14:11:00"/>
    <n v="223"/>
    <n v="251"/>
    <n v="1"/>
    <s v="Level 2"/>
    <n v="2"/>
    <n v="482.97"/>
  </r>
  <r>
    <s v="WF_2318"/>
    <x v="0"/>
    <x v="2317"/>
    <s v="Validation"/>
    <s v="Medium"/>
    <s v="IT"/>
    <s v="EMP_20"/>
    <d v="2024-08-31T22:36:00"/>
    <d v="2024-09-01T02:24:00"/>
    <n v="204"/>
    <n v="228"/>
    <n v="1"/>
    <s v="Level 3"/>
    <n v="9"/>
    <n v="394.86"/>
  </r>
  <r>
    <s v="WF_2319"/>
    <x v="0"/>
    <x v="2318"/>
    <s v="Validation"/>
    <s v="Critical"/>
    <s v="Operations"/>
    <s v="EMP_106"/>
    <d v="2024-01-22T11:07:00"/>
    <d v="2024-01-22T14:00:00"/>
    <n v="79"/>
    <n v="173"/>
    <n v="1"/>
    <s v="Level 2"/>
    <n v="8"/>
    <n v="493.21"/>
  </r>
  <r>
    <s v="WF_2320"/>
    <x v="3"/>
    <x v="2319"/>
    <s v="Data Entry"/>
    <s v="Critical"/>
    <s v="HR"/>
    <s v="EMP_142"/>
    <d v="2024-02-25T03:21:00"/>
    <d v="2024-02-25T08:06:00"/>
    <n v="212"/>
    <n v="285"/>
    <n v="1"/>
    <s v="Level 3"/>
    <n v="8"/>
    <n v="328.87"/>
  </r>
  <r>
    <s v="WF_2321"/>
    <x v="2"/>
    <x v="2320"/>
    <s v="Data Entry"/>
    <s v="Critical"/>
    <s v="Customer Service"/>
    <s v="EMP_110"/>
    <d v="2024-03-18T01:20:00"/>
    <d v="2024-03-18T04:39:00"/>
    <n v="162"/>
    <n v="199"/>
    <n v="1"/>
    <s v="Level 1"/>
    <n v="4"/>
    <n v="268.62"/>
  </r>
  <r>
    <s v="WF_2322"/>
    <x v="4"/>
    <x v="2321"/>
    <s v="Data Entry"/>
    <s v="Low"/>
    <s v="HR"/>
    <s v="EMP_52"/>
    <d v="2024-12-24T11:29:00"/>
    <d v="2024-12-24T13:55:00"/>
    <n v="132"/>
    <n v="146"/>
    <n v="1"/>
    <s v="Level 1"/>
    <n v="4"/>
    <n v="161.47999999999999"/>
  </r>
  <r>
    <s v="WF_2323"/>
    <x v="1"/>
    <x v="2322"/>
    <s v="Validation"/>
    <s v="Low"/>
    <s v="IT"/>
    <s v="EMP_100"/>
    <d v="2024-01-30T15:07:00"/>
    <d v="2024-01-30T16:55:00"/>
    <n v="16"/>
    <n v="108"/>
    <n v="1"/>
    <s v="Level 1"/>
    <n v="7"/>
    <n v="407.59"/>
  </r>
  <r>
    <s v="WF_2324"/>
    <x v="4"/>
    <x v="2323"/>
    <s v="Review"/>
    <s v="Medium"/>
    <s v="IT"/>
    <s v="EMP_88"/>
    <d v="2024-01-16T01:20:00"/>
    <d v="2024-01-16T05:33:00"/>
    <n v="158"/>
    <n v="253"/>
    <n v="1"/>
    <s v="Level 1"/>
    <n v="9"/>
    <n v="320.51"/>
  </r>
  <r>
    <s v="WF_2325"/>
    <x v="1"/>
    <x v="2324"/>
    <s v="Escalation"/>
    <s v="High"/>
    <s v="HR"/>
    <s v="EMP_121"/>
    <d v="2024-04-30T21:21:00"/>
    <d v="2024-05-01T02:04:00"/>
    <n v="232"/>
    <n v="283"/>
    <n v="1"/>
    <s v="Level 2"/>
    <n v="6"/>
    <n v="137.26"/>
  </r>
  <r>
    <s v="WF_2326"/>
    <x v="4"/>
    <x v="2325"/>
    <s v="Approval"/>
    <s v="Medium"/>
    <s v="Finance"/>
    <s v="EMP_106"/>
    <d v="2024-08-17T22:12:00"/>
    <d v="2024-08-18T00:04:00"/>
    <n v="31"/>
    <n v="112"/>
    <n v="1"/>
    <s v="Level 2"/>
    <n v="4"/>
    <n v="462.19"/>
  </r>
  <r>
    <s v="WF_2327"/>
    <x v="2"/>
    <x v="2326"/>
    <s v="Escalation"/>
    <s v="Medium"/>
    <s v="HR"/>
    <s v="EMP_79"/>
    <d v="2024-09-05T17:11:00"/>
    <d v="2024-09-05T21:29:00"/>
    <n v="146"/>
    <n v="258"/>
    <n v="1"/>
    <s v="Level 3"/>
    <n v="8"/>
    <n v="379.38"/>
  </r>
  <r>
    <s v="WF_2328"/>
    <x v="2"/>
    <x v="2327"/>
    <s v="Escalation"/>
    <s v="Critical"/>
    <s v="Finance"/>
    <s v="EMP_57"/>
    <d v="2024-05-31T17:50:00"/>
    <d v="2024-05-31T21:35:00"/>
    <n v="124"/>
    <n v="225"/>
    <n v="1"/>
    <s v="Level 2"/>
    <n v="2"/>
    <n v="212.24"/>
  </r>
  <r>
    <s v="WF_2329"/>
    <x v="3"/>
    <x v="2328"/>
    <s v="Data Entry"/>
    <s v="High"/>
    <s v="Customer Service"/>
    <s v="EMP_92"/>
    <d v="2024-01-05T22:35:00"/>
    <d v="2024-01-06T00:30:00"/>
    <n v="105"/>
    <n v="115"/>
    <n v="1"/>
    <s v="Level 3"/>
    <n v="10"/>
    <n v="139.63"/>
  </r>
  <r>
    <s v="WF_2330"/>
    <x v="3"/>
    <x v="2329"/>
    <s v="Escalation"/>
    <s v="Critical"/>
    <s v="Customer Service"/>
    <s v="EMP_45"/>
    <d v="2024-03-09T09:24:00"/>
    <d v="2024-03-09T11:49:00"/>
    <n v="113"/>
    <n v="145"/>
    <n v="1"/>
    <s v="Level 3"/>
    <n v="7"/>
    <n v="468.53"/>
  </r>
  <r>
    <s v="WF_2331"/>
    <x v="4"/>
    <x v="2330"/>
    <s v="Escalation"/>
    <s v="Medium"/>
    <s v="HR"/>
    <s v="EMP_146"/>
    <d v="2024-03-30T15:05:00"/>
    <d v="2024-03-30T15:57:00"/>
    <n v="23"/>
    <n v="52"/>
    <n v="1"/>
    <s v="Level 1"/>
    <n v="5"/>
    <n v="453.49"/>
  </r>
  <r>
    <s v="WF_2332"/>
    <x v="1"/>
    <x v="2331"/>
    <s v="Approval"/>
    <s v="Critical"/>
    <s v="Finance"/>
    <s v="EMP_41"/>
    <d v="2024-04-13T06:49:00"/>
    <d v="2024-04-13T08:10:00"/>
    <n v="28"/>
    <n v="81"/>
    <n v="1"/>
    <s v="Level 3"/>
    <n v="10"/>
    <n v="261.62"/>
  </r>
  <r>
    <s v="WF_2333"/>
    <x v="1"/>
    <x v="2332"/>
    <s v="Escalation"/>
    <s v="High"/>
    <s v="Finance"/>
    <s v="EMP_21"/>
    <d v="2024-05-29T21:35:00"/>
    <d v="2024-05-30T02:00:00"/>
    <n v="167"/>
    <n v="265"/>
    <n v="1"/>
    <s v="Level 2"/>
    <n v="5"/>
    <n v="257.57"/>
  </r>
  <r>
    <s v="WF_2334"/>
    <x v="2"/>
    <x v="2333"/>
    <s v="Escalation"/>
    <s v="Critical"/>
    <s v="IT"/>
    <s v="EMP_24"/>
    <d v="2024-09-12T04:44:00"/>
    <d v="2024-09-12T07:33:00"/>
    <n v="99"/>
    <n v="169"/>
    <n v="1"/>
    <s v="Level 3"/>
    <n v="8"/>
    <n v="316.76"/>
  </r>
  <r>
    <s v="WF_2335"/>
    <x v="3"/>
    <x v="2334"/>
    <s v="Approval"/>
    <s v="High"/>
    <s v="Finance"/>
    <s v="EMP_136"/>
    <d v="2024-06-23T13:53:00"/>
    <d v="2024-06-23T15:07:00"/>
    <n v="11"/>
    <n v="74"/>
    <n v="1"/>
    <s v="Level 3"/>
    <n v="7"/>
    <n v="318.08"/>
  </r>
  <r>
    <s v="WF_2336"/>
    <x v="4"/>
    <x v="2335"/>
    <s v="Data Entry"/>
    <s v="Medium"/>
    <s v="IT"/>
    <s v="EMP_111"/>
    <d v="2024-04-06T22:01:00"/>
    <d v="2024-04-06T23:51:00"/>
    <n v="23"/>
    <n v="110"/>
    <n v="1"/>
    <s v="Level 3"/>
    <n v="3"/>
    <n v="176.52"/>
  </r>
  <r>
    <s v="WF_2337"/>
    <x v="2"/>
    <x v="2336"/>
    <s v="Data Entry"/>
    <s v="High"/>
    <s v="Customer Service"/>
    <s v="EMP_126"/>
    <d v="2024-10-17T10:38:00"/>
    <d v="2024-10-17T13:22:00"/>
    <n v="156"/>
    <n v="164"/>
    <n v="1"/>
    <s v="Level 1"/>
    <n v="3"/>
    <n v="194.13"/>
  </r>
  <r>
    <s v="WF_2338"/>
    <x v="0"/>
    <x v="2337"/>
    <s v="Escalation"/>
    <s v="High"/>
    <s v="Operations"/>
    <s v="EMP_129"/>
    <d v="2024-09-08T20:05:00"/>
    <d v="2024-09-09T00:39:00"/>
    <n v="223"/>
    <n v="274"/>
    <n v="1"/>
    <s v="Level 1"/>
    <n v="1"/>
    <n v="122.85"/>
  </r>
  <r>
    <s v="WF_2339"/>
    <x v="0"/>
    <x v="2338"/>
    <s v="Validation"/>
    <s v="Low"/>
    <s v="HR"/>
    <s v="EMP_22"/>
    <d v="2024-08-08T06:12:00"/>
    <d v="2024-08-08T08:08:00"/>
    <n v="110"/>
    <n v="116"/>
    <n v="1"/>
    <s v="Level 1"/>
    <n v="2"/>
    <n v="91.11"/>
  </r>
  <r>
    <s v="WF_2340"/>
    <x v="2"/>
    <x v="2339"/>
    <s v="Approval"/>
    <s v="High"/>
    <s v="IT"/>
    <s v="EMP_29"/>
    <d v="2024-03-18T17:24:00"/>
    <d v="2024-03-18T22:42:00"/>
    <n v="219"/>
    <n v="318"/>
    <n v="1"/>
    <s v="Level 3"/>
    <n v="10"/>
    <n v="187.42"/>
  </r>
  <r>
    <s v="WF_2341"/>
    <x v="0"/>
    <x v="2340"/>
    <s v="Escalation"/>
    <s v="Critical"/>
    <s v="Operations"/>
    <s v="EMP_58"/>
    <d v="2024-12-21T20:35:00"/>
    <d v="2024-12-21T22:10:00"/>
    <n v="77"/>
    <n v="95"/>
    <n v="1"/>
    <s v="Level 1"/>
    <n v="5"/>
    <n v="459.25"/>
  </r>
  <r>
    <s v="WF_2342"/>
    <x v="2"/>
    <x v="2341"/>
    <s v="Validation"/>
    <s v="Critical"/>
    <s v="Operations"/>
    <s v="EMP_3"/>
    <d v="2024-11-02T13:19:00"/>
    <d v="2024-11-02T15:50:00"/>
    <n v="88"/>
    <n v="151"/>
    <n v="1"/>
    <s v="Level 1"/>
    <n v="3"/>
    <n v="258.95"/>
  </r>
  <r>
    <s v="WF_2343"/>
    <x v="1"/>
    <x v="2342"/>
    <s v="Approval"/>
    <s v="Critical"/>
    <s v="Finance"/>
    <s v="EMP_77"/>
    <d v="2024-01-09T03:33:00"/>
    <d v="2024-01-09T04:38:00"/>
    <n v="54"/>
    <n v="65"/>
    <n v="1"/>
    <s v="Level 1"/>
    <n v="4"/>
    <n v="299.88"/>
  </r>
  <r>
    <s v="WF_2344"/>
    <x v="4"/>
    <x v="2343"/>
    <s v="Review"/>
    <s v="High"/>
    <s v="IT"/>
    <s v="EMP_76"/>
    <d v="2024-07-08T18:39:00"/>
    <d v="2024-07-08T21:17:00"/>
    <n v="44"/>
    <n v="158"/>
    <n v="1"/>
    <s v="Level 2"/>
    <n v="2"/>
    <n v="341"/>
  </r>
  <r>
    <s v="WF_2345"/>
    <x v="2"/>
    <x v="2344"/>
    <s v="Data Entry"/>
    <s v="High"/>
    <s v="IT"/>
    <s v="EMP_66"/>
    <d v="2024-04-26T13:17:00"/>
    <d v="2024-04-26T14:47:00"/>
    <n v="14"/>
    <n v="90"/>
    <n v="1"/>
    <s v="Level 1"/>
    <n v="7"/>
    <n v="390.03"/>
  </r>
  <r>
    <s v="WF_2346"/>
    <x v="2"/>
    <x v="2345"/>
    <s v="Review"/>
    <s v="Medium"/>
    <s v="HR"/>
    <s v="EMP_134"/>
    <d v="2024-10-14T01:51:00"/>
    <d v="2024-10-14T04:45:00"/>
    <n v="139"/>
    <n v="174"/>
    <n v="1"/>
    <s v="Level 3"/>
    <n v="1"/>
    <n v="357.65"/>
  </r>
  <r>
    <s v="WF_2347"/>
    <x v="3"/>
    <x v="2346"/>
    <s v="Validation"/>
    <s v="Critical"/>
    <s v="HR"/>
    <s v="EMP_139"/>
    <d v="2024-10-09T16:39:00"/>
    <d v="2024-10-09T20:48:00"/>
    <n v="129"/>
    <n v="249"/>
    <n v="1"/>
    <s v="Level 2"/>
    <n v="8"/>
    <n v="251.76"/>
  </r>
  <r>
    <s v="WF_2348"/>
    <x v="0"/>
    <x v="2347"/>
    <s v="Data Entry"/>
    <s v="Low"/>
    <s v="HR"/>
    <s v="EMP_143"/>
    <d v="2024-01-31T10:28:00"/>
    <d v="2024-01-31T12:47:00"/>
    <n v="38"/>
    <n v="139"/>
    <n v="1"/>
    <s v="Level 3"/>
    <n v="3"/>
    <n v="301.63"/>
  </r>
  <r>
    <s v="WF_2349"/>
    <x v="3"/>
    <x v="2348"/>
    <s v="Escalation"/>
    <s v="Medium"/>
    <s v="HR"/>
    <s v="EMP_26"/>
    <d v="2024-10-13T03:48:00"/>
    <d v="2024-10-13T07:01:00"/>
    <n v="174"/>
    <n v="193"/>
    <n v="1"/>
    <s v="Level 1"/>
    <n v="3"/>
    <n v="272.79000000000002"/>
  </r>
  <r>
    <s v="WF_2350"/>
    <x v="2"/>
    <x v="2349"/>
    <s v="Escalation"/>
    <s v="Medium"/>
    <s v="Finance"/>
    <s v="EMP_11"/>
    <d v="2024-09-17T04:13:00"/>
    <d v="2024-09-17T06:29:00"/>
    <n v="34"/>
    <n v="136"/>
    <n v="1"/>
    <s v="Level 1"/>
    <n v="1"/>
    <n v="321.58999999999997"/>
  </r>
  <r>
    <s v="WF_2351"/>
    <x v="3"/>
    <x v="2350"/>
    <s v="Escalation"/>
    <s v="Medium"/>
    <s v="Operations"/>
    <s v="EMP_24"/>
    <d v="2024-11-12T08:30:00"/>
    <d v="2024-11-12T11:39:00"/>
    <n v="118"/>
    <n v="189"/>
    <n v="1"/>
    <s v="Level 1"/>
    <n v="6"/>
    <n v="365.69"/>
  </r>
  <r>
    <s v="WF_2352"/>
    <x v="4"/>
    <x v="2351"/>
    <s v="Escalation"/>
    <s v="High"/>
    <s v="Finance"/>
    <s v="EMP_47"/>
    <d v="2024-05-09T03:23:00"/>
    <d v="2024-05-09T07:57:00"/>
    <n v="198"/>
    <n v="274"/>
    <n v="1"/>
    <s v="Level 3"/>
    <n v="3"/>
    <n v="165.71"/>
  </r>
  <r>
    <s v="WF_2353"/>
    <x v="3"/>
    <x v="2352"/>
    <s v="Data Entry"/>
    <s v="Low"/>
    <s v="Customer Service"/>
    <s v="EMP_35"/>
    <d v="2024-04-23T01:28:00"/>
    <d v="2024-04-23T05:17:00"/>
    <n v="113"/>
    <n v="229"/>
    <n v="1"/>
    <s v="Level 3"/>
    <n v="5"/>
    <n v="61.66"/>
  </r>
  <r>
    <s v="WF_2354"/>
    <x v="1"/>
    <x v="2353"/>
    <s v="Approval"/>
    <s v="High"/>
    <s v="Customer Service"/>
    <s v="EMP_25"/>
    <d v="2024-11-14T01:35:00"/>
    <d v="2024-11-14T05:50:00"/>
    <n v="209"/>
    <n v="255"/>
    <n v="1"/>
    <s v="Level 1"/>
    <n v="8"/>
    <n v="352.79"/>
  </r>
  <r>
    <s v="WF_2355"/>
    <x v="2"/>
    <x v="2354"/>
    <s v="Escalation"/>
    <s v="Critical"/>
    <s v="Operations"/>
    <s v="EMP_29"/>
    <d v="2024-08-25T03:52:00"/>
    <d v="2024-08-25T06:30:00"/>
    <n v="152"/>
    <n v="158"/>
    <n v="1"/>
    <s v="Level 2"/>
    <n v="1"/>
    <n v="106.87"/>
  </r>
  <r>
    <s v="WF_2356"/>
    <x v="1"/>
    <x v="2355"/>
    <s v="Approval"/>
    <s v="High"/>
    <s v="HR"/>
    <s v="EMP_48"/>
    <d v="2024-12-04T12:00:00"/>
    <d v="2024-12-04T14:36:00"/>
    <n v="143"/>
    <n v="156"/>
    <n v="1"/>
    <s v="Level 3"/>
    <n v="9"/>
    <n v="276.63"/>
  </r>
  <r>
    <s v="WF_2357"/>
    <x v="3"/>
    <x v="2356"/>
    <s v="Review"/>
    <s v="Medium"/>
    <s v="Operations"/>
    <s v="EMP_99"/>
    <d v="2024-05-26T02:50:00"/>
    <d v="2024-05-26T06:41:00"/>
    <n v="218"/>
    <n v="231"/>
    <n v="1"/>
    <s v="Level 3"/>
    <n v="8"/>
    <n v="237.53"/>
  </r>
  <r>
    <s v="WF_2358"/>
    <x v="0"/>
    <x v="2357"/>
    <s v="Approval"/>
    <s v="Critical"/>
    <s v="Customer Service"/>
    <s v="EMP_102"/>
    <d v="2024-02-23T07:42:00"/>
    <d v="2024-02-23T09:40:00"/>
    <n v="105"/>
    <n v="118"/>
    <n v="1"/>
    <s v="Level 3"/>
    <n v="3"/>
    <n v="84.72"/>
  </r>
  <r>
    <s v="WF_2359"/>
    <x v="3"/>
    <x v="2358"/>
    <s v="Data Entry"/>
    <s v="Medium"/>
    <s v="Customer Service"/>
    <s v="EMP_43"/>
    <d v="2024-11-12T18:18:00"/>
    <d v="2024-11-12T22:09:00"/>
    <n v="220"/>
    <n v="231"/>
    <n v="1"/>
    <s v="Level 3"/>
    <n v="8"/>
    <n v="109.69"/>
  </r>
  <r>
    <s v="WF_2360"/>
    <x v="0"/>
    <x v="2359"/>
    <s v="Data Entry"/>
    <s v="Low"/>
    <s v="Customer Service"/>
    <s v="EMP_147"/>
    <d v="2024-07-21T00:23:00"/>
    <d v="2024-07-21T05:10:00"/>
    <n v="179"/>
    <n v="287"/>
    <n v="1"/>
    <s v="Level 2"/>
    <n v="4"/>
    <n v="162.79"/>
  </r>
  <r>
    <s v="WF_2361"/>
    <x v="3"/>
    <x v="2360"/>
    <s v="Data Entry"/>
    <s v="Medium"/>
    <s v="Operations"/>
    <s v="EMP_18"/>
    <d v="2024-11-08T10:19:00"/>
    <d v="2024-11-08T15:26:00"/>
    <n v="205"/>
    <n v="307"/>
    <n v="1"/>
    <s v="Level 3"/>
    <n v="9"/>
    <n v="379.91"/>
  </r>
  <r>
    <s v="WF_2362"/>
    <x v="4"/>
    <x v="2361"/>
    <s v="Review"/>
    <s v="Critical"/>
    <s v="HR"/>
    <s v="EMP_26"/>
    <d v="2024-12-10T22:21:00"/>
    <d v="2024-12-11T02:54:00"/>
    <n v="157"/>
    <n v="273"/>
    <n v="1"/>
    <s v="Level 3"/>
    <n v="5"/>
    <n v="173.65"/>
  </r>
  <r>
    <s v="WF_2363"/>
    <x v="0"/>
    <x v="2362"/>
    <s v="Review"/>
    <s v="High"/>
    <s v="HR"/>
    <s v="EMP_89"/>
    <d v="2024-06-17T00:04:00"/>
    <d v="2024-06-17T05:12:00"/>
    <n v="235"/>
    <n v="308"/>
    <n v="1"/>
    <s v="Level 2"/>
    <n v="4"/>
    <n v="139.15"/>
  </r>
  <r>
    <s v="WF_2364"/>
    <x v="3"/>
    <x v="2363"/>
    <s v="Approval"/>
    <s v="Critical"/>
    <s v="Operations"/>
    <s v="EMP_88"/>
    <d v="2024-01-01T15:03:00"/>
    <d v="2024-01-01T16:25:00"/>
    <n v="72"/>
    <n v="82"/>
    <n v="1"/>
    <s v="Level 1"/>
    <n v="3"/>
    <n v="284.06"/>
  </r>
  <r>
    <s v="WF_2365"/>
    <x v="0"/>
    <x v="2364"/>
    <s v="Escalation"/>
    <s v="Low"/>
    <s v="IT"/>
    <s v="EMP_54"/>
    <d v="2024-09-22T17:32:00"/>
    <d v="2024-09-22T20:00:00"/>
    <n v="34"/>
    <n v="148"/>
    <n v="1"/>
    <s v="Level 3"/>
    <n v="1"/>
    <n v="240.54"/>
  </r>
  <r>
    <s v="WF_2366"/>
    <x v="1"/>
    <x v="2365"/>
    <s v="Approval"/>
    <s v="High"/>
    <s v="Customer Service"/>
    <s v="EMP_90"/>
    <d v="2024-08-02T03:40:00"/>
    <d v="2024-08-02T08:39:00"/>
    <n v="226"/>
    <n v="299"/>
    <n v="1"/>
    <s v="Level 2"/>
    <n v="5"/>
    <n v="195.16"/>
  </r>
  <r>
    <s v="WF_2367"/>
    <x v="0"/>
    <x v="2366"/>
    <s v="Review"/>
    <s v="Medium"/>
    <s v="IT"/>
    <s v="EMP_18"/>
    <d v="2024-07-15T11:07:00"/>
    <d v="2024-07-15T14:29:00"/>
    <n v="178"/>
    <n v="202"/>
    <n v="1"/>
    <s v="Level 2"/>
    <n v="4"/>
    <n v="240.41"/>
  </r>
  <r>
    <s v="WF_2368"/>
    <x v="1"/>
    <x v="2367"/>
    <s v="Data Entry"/>
    <s v="High"/>
    <s v="Finance"/>
    <s v="EMP_15"/>
    <d v="2024-09-07T02:34:00"/>
    <d v="2024-09-07T03:59:00"/>
    <n v="30"/>
    <n v="85"/>
    <n v="1"/>
    <s v="Level 3"/>
    <n v="5"/>
    <n v="248.29"/>
  </r>
  <r>
    <s v="WF_2369"/>
    <x v="3"/>
    <x v="2368"/>
    <s v="Validation"/>
    <s v="Low"/>
    <s v="Finance"/>
    <s v="EMP_24"/>
    <d v="2024-12-19T11:59:00"/>
    <d v="2024-12-19T16:56:00"/>
    <n v="221"/>
    <n v="297"/>
    <n v="1"/>
    <s v="Level 3"/>
    <n v="4"/>
    <n v="239.31"/>
  </r>
  <r>
    <s v="WF_2370"/>
    <x v="2"/>
    <x v="2369"/>
    <s v="Validation"/>
    <s v="Critical"/>
    <s v="HR"/>
    <s v="EMP_78"/>
    <d v="2024-09-14T14:32:00"/>
    <d v="2024-09-14T18:02:00"/>
    <n v="202"/>
    <n v="210"/>
    <n v="1"/>
    <s v="Level 2"/>
    <n v="1"/>
    <n v="219.49"/>
  </r>
  <r>
    <s v="WF_2371"/>
    <x v="0"/>
    <x v="2370"/>
    <s v="Review"/>
    <s v="Critical"/>
    <s v="Operations"/>
    <s v="EMP_57"/>
    <d v="2024-06-14T17:02:00"/>
    <d v="2024-06-14T18:54:00"/>
    <n v="36"/>
    <n v="112"/>
    <n v="1"/>
    <s v="Level 1"/>
    <n v="5"/>
    <n v="435.9"/>
  </r>
  <r>
    <s v="WF_2372"/>
    <x v="4"/>
    <x v="2371"/>
    <s v="Data Entry"/>
    <s v="Critical"/>
    <s v="Customer Service"/>
    <s v="EMP_142"/>
    <d v="2024-01-14T22:46:00"/>
    <d v="2024-01-15T01:22:00"/>
    <n v="77"/>
    <n v="156"/>
    <n v="1"/>
    <s v="Level 3"/>
    <n v="1"/>
    <n v="207.83"/>
  </r>
  <r>
    <s v="WF_2373"/>
    <x v="1"/>
    <x v="2372"/>
    <s v="Escalation"/>
    <s v="Medium"/>
    <s v="Operations"/>
    <s v="EMP_72"/>
    <d v="2024-01-31T11:13:00"/>
    <d v="2024-01-31T12:17:00"/>
    <n v="67"/>
    <n v="64"/>
    <n v="0"/>
    <s v="Level 3"/>
    <n v="6"/>
    <n v="497.07"/>
  </r>
  <r>
    <s v="WF_2374"/>
    <x v="1"/>
    <x v="2373"/>
    <s v="Escalation"/>
    <s v="Medium"/>
    <s v="Finance"/>
    <s v="EMP_77"/>
    <d v="2024-10-01T09:51:00"/>
    <d v="2024-10-01T11:35:00"/>
    <n v="40"/>
    <n v="104"/>
    <n v="1"/>
    <s v="Level 3"/>
    <n v="6"/>
    <n v="50.32"/>
  </r>
  <r>
    <s v="WF_2375"/>
    <x v="0"/>
    <x v="2374"/>
    <s v="Approval"/>
    <s v="Low"/>
    <s v="Customer Service"/>
    <s v="EMP_65"/>
    <d v="2024-10-25T22:23:00"/>
    <d v="2024-10-26T01:47:00"/>
    <n v="131"/>
    <n v="204"/>
    <n v="1"/>
    <s v="Level 1"/>
    <n v="9"/>
    <n v="156"/>
  </r>
  <r>
    <s v="WF_2376"/>
    <x v="4"/>
    <x v="2375"/>
    <s v="Validation"/>
    <s v="Low"/>
    <s v="HR"/>
    <s v="EMP_114"/>
    <d v="2024-06-14T20:36:00"/>
    <d v="2024-06-15T01:07:00"/>
    <n v="232"/>
    <n v="271"/>
    <n v="1"/>
    <s v="Level 1"/>
    <n v="7"/>
    <n v="360.57"/>
  </r>
  <r>
    <s v="WF_2377"/>
    <x v="3"/>
    <x v="2376"/>
    <s v="Escalation"/>
    <s v="Medium"/>
    <s v="Finance"/>
    <s v="EMP_46"/>
    <d v="2024-08-31T04:33:00"/>
    <d v="2024-08-31T07:45:00"/>
    <n v="122"/>
    <n v="192"/>
    <n v="1"/>
    <s v="Level 3"/>
    <n v="2"/>
    <n v="50.95"/>
  </r>
  <r>
    <s v="WF_2378"/>
    <x v="1"/>
    <x v="2377"/>
    <s v="Escalation"/>
    <s v="High"/>
    <s v="Operations"/>
    <s v="EMP_139"/>
    <d v="2024-01-11T15:02:00"/>
    <d v="2024-01-11T17:31:00"/>
    <n v="52"/>
    <n v="149"/>
    <n v="1"/>
    <s v="Level 1"/>
    <n v="6"/>
    <n v="494.55"/>
  </r>
  <r>
    <s v="WF_2379"/>
    <x v="3"/>
    <x v="2378"/>
    <s v="Data Entry"/>
    <s v="Critical"/>
    <s v="Finance"/>
    <s v="EMP_26"/>
    <d v="2024-09-12T07:47:00"/>
    <d v="2024-09-12T10:56:00"/>
    <n v="102"/>
    <n v="189"/>
    <n v="1"/>
    <s v="Level 2"/>
    <n v="8"/>
    <n v="51.71"/>
  </r>
  <r>
    <s v="WF_2380"/>
    <x v="0"/>
    <x v="2379"/>
    <s v="Approval"/>
    <s v="High"/>
    <s v="Operations"/>
    <s v="EMP_105"/>
    <d v="2024-03-02T10:36:00"/>
    <d v="2024-03-02T15:09:00"/>
    <n v="165"/>
    <n v="273"/>
    <n v="1"/>
    <s v="Level 2"/>
    <n v="6"/>
    <n v="362.43"/>
  </r>
  <r>
    <s v="WF_2381"/>
    <x v="1"/>
    <x v="2380"/>
    <s v="Approval"/>
    <s v="Critical"/>
    <s v="Finance"/>
    <s v="EMP_92"/>
    <d v="2024-02-13T06:35:00"/>
    <d v="2024-02-13T07:32:00"/>
    <n v="59"/>
    <n v="57"/>
    <n v="0"/>
    <s v="Level 3"/>
    <n v="6"/>
    <n v="89.72"/>
  </r>
  <r>
    <s v="WF_2382"/>
    <x v="1"/>
    <x v="2381"/>
    <s v="Approval"/>
    <s v="Critical"/>
    <s v="Customer Service"/>
    <s v="EMP_60"/>
    <d v="2024-01-17T22:36:00"/>
    <d v="2024-01-18T01:31:00"/>
    <n v="60"/>
    <n v="175"/>
    <n v="1"/>
    <s v="Level 1"/>
    <n v="4"/>
    <n v="277.64999999999998"/>
  </r>
  <r>
    <s v="WF_2383"/>
    <x v="3"/>
    <x v="2382"/>
    <s v="Data Entry"/>
    <s v="Critical"/>
    <s v="IT"/>
    <s v="EMP_42"/>
    <d v="2024-06-22T01:28:00"/>
    <d v="2024-06-22T03:23:00"/>
    <n v="65"/>
    <n v="115"/>
    <n v="1"/>
    <s v="Level 2"/>
    <n v="1"/>
    <n v="116.11"/>
  </r>
  <r>
    <s v="WF_2384"/>
    <x v="1"/>
    <x v="2383"/>
    <s v="Validation"/>
    <s v="Critical"/>
    <s v="Operations"/>
    <s v="EMP_141"/>
    <d v="2024-10-31T16:54:00"/>
    <d v="2024-10-31T20:27:00"/>
    <n v="117"/>
    <n v="213"/>
    <n v="1"/>
    <s v="Level 2"/>
    <n v="9"/>
    <n v="140.53"/>
  </r>
  <r>
    <s v="WF_2385"/>
    <x v="4"/>
    <x v="2384"/>
    <s v="Validation"/>
    <s v="Medium"/>
    <s v="Customer Service"/>
    <s v="EMP_96"/>
    <d v="2024-10-13T12:28:00"/>
    <d v="2024-10-13T16:05:00"/>
    <n v="219"/>
    <n v="217"/>
    <n v="0"/>
    <s v="Level 2"/>
    <n v="4"/>
    <n v="269.85000000000002"/>
  </r>
  <r>
    <s v="WF_2386"/>
    <x v="0"/>
    <x v="2385"/>
    <s v="Review"/>
    <s v="Medium"/>
    <s v="Customer Service"/>
    <s v="EMP_120"/>
    <d v="2024-11-02T05:43:00"/>
    <d v="2024-11-02T10:07:00"/>
    <n v="201"/>
    <n v="264"/>
    <n v="1"/>
    <s v="Level 2"/>
    <n v="7"/>
    <n v="157.9"/>
  </r>
  <r>
    <s v="WF_2387"/>
    <x v="2"/>
    <x v="2386"/>
    <s v="Validation"/>
    <s v="Critical"/>
    <s v="Finance"/>
    <s v="EMP_44"/>
    <d v="2024-06-15T17:53:00"/>
    <d v="2024-06-15T22:13:00"/>
    <n v="186"/>
    <n v="260"/>
    <n v="1"/>
    <s v="Level 3"/>
    <n v="2"/>
    <n v="469.27"/>
  </r>
  <r>
    <s v="WF_2388"/>
    <x v="0"/>
    <x v="2387"/>
    <s v="Validation"/>
    <s v="Low"/>
    <s v="Finance"/>
    <s v="EMP_74"/>
    <d v="2024-01-01T03:23:00"/>
    <d v="2024-01-01T05:26:00"/>
    <n v="112"/>
    <n v="123"/>
    <n v="1"/>
    <s v="Level 2"/>
    <n v="8"/>
    <n v="124.53"/>
  </r>
  <r>
    <s v="WF_2389"/>
    <x v="1"/>
    <x v="2388"/>
    <s v="Escalation"/>
    <s v="Critical"/>
    <s v="HR"/>
    <s v="EMP_109"/>
    <d v="2024-02-29T13:04:00"/>
    <d v="2024-02-29T14:03:00"/>
    <n v="51"/>
    <n v="59"/>
    <n v="1"/>
    <s v="Level 2"/>
    <n v="1"/>
    <n v="63.21"/>
  </r>
  <r>
    <s v="WF_2390"/>
    <x v="3"/>
    <x v="2389"/>
    <s v="Data Entry"/>
    <s v="Critical"/>
    <s v="Customer Service"/>
    <s v="EMP_147"/>
    <d v="2024-01-08T21:18:00"/>
    <d v="2024-01-09T00:23:00"/>
    <n v="136"/>
    <n v="185"/>
    <n v="1"/>
    <s v="Level 1"/>
    <n v="3"/>
    <n v="484.85"/>
  </r>
  <r>
    <s v="WF_2391"/>
    <x v="4"/>
    <x v="2390"/>
    <s v="Escalation"/>
    <s v="Low"/>
    <s v="IT"/>
    <s v="EMP_17"/>
    <d v="2024-02-08T08:11:00"/>
    <d v="2024-02-08T10:53:00"/>
    <n v="103"/>
    <n v="162"/>
    <n v="1"/>
    <s v="Level 3"/>
    <n v="2"/>
    <n v="136.41"/>
  </r>
  <r>
    <s v="WF_2392"/>
    <x v="1"/>
    <x v="2391"/>
    <s v="Data Entry"/>
    <s v="Medium"/>
    <s v="HR"/>
    <s v="EMP_113"/>
    <d v="2024-11-18T13:02:00"/>
    <d v="2024-11-18T15:23:00"/>
    <n v="112"/>
    <n v="141"/>
    <n v="1"/>
    <s v="Level 2"/>
    <n v="2"/>
    <n v="392.14"/>
  </r>
  <r>
    <s v="WF_2393"/>
    <x v="3"/>
    <x v="2392"/>
    <s v="Data Entry"/>
    <s v="Medium"/>
    <s v="Customer Service"/>
    <s v="EMP_55"/>
    <d v="2024-02-06T21:08:00"/>
    <d v="2024-02-07T02:22:00"/>
    <n v="220"/>
    <n v="314"/>
    <n v="1"/>
    <s v="Level 3"/>
    <n v="2"/>
    <n v="52.85"/>
  </r>
  <r>
    <s v="WF_2394"/>
    <x v="0"/>
    <x v="2393"/>
    <s v="Approval"/>
    <s v="Medium"/>
    <s v="Customer Service"/>
    <s v="EMP_39"/>
    <d v="2024-12-06T13:54:00"/>
    <d v="2024-12-06T18:36:00"/>
    <n v="183"/>
    <n v="282"/>
    <n v="1"/>
    <s v="Level 2"/>
    <n v="4"/>
    <n v="342.56"/>
  </r>
  <r>
    <s v="WF_2395"/>
    <x v="0"/>
    <x v="2394"/>
    <s v="Escalation"/>
    <s v="Medium"/>
    <s v="HR"/>
    <s v="EMP_6"/>
    <d v="2024-01-15T17:18:00"/>
    <d v="2024-01-15T19:37:00"/>
    <n v="74"/>
    <n v="139"/>
    <n v="1"/>
    <s v="Level 1"/>
    <n v="3"/>
    <n v="106.58"/>
  </r>
  <r>
    <s v="WF_2396"/>
    <x v="0"/>
    <x v="2395"/>
    <s v="Validation"/>
    <s v="Medium"/>
    <s v="IT"/>
    <s v="EMP_132"/>
    <d v="2024-12-21T05:13:00"/>
    <d v="2024-12-21T10:31:00"/>
    <n v="222"/>
    <n v="318"/>
    <n v="1"/>
    <s v="Level 1"/>
    <n v="1"/>
    <n v="243.21"/>
  </r>
  <r>
    <s v="WF_2397"/>
    <x v="1"/>
    <x v="2396"/>
    <s v="Escalation"/>
    <s v="Medium"/>
    <s v="Operations"/>
    <s v="EMP_36"/>
    <d v="2024-12-18T16:01:00"/>
    <d v="2024-12-18T19:40:00"/>
    <n v="107"/>
    <n v="219"/>
    <n v="1"/>
    <s v="Level 3"/>
    <n v="9"/>
    <n v="362.58"/>
  </r>
  <r>
    <s v="WF_2398"/>
    <x v="1"/>
    <x v="2397"/>
    <s v="Validation"/>
    <s v="Medium"/>
    <s v="Operations"/>
    <s v="EMP_85"/>
    <d v="2024-11-18T23:56:00"/>
    <d v="2024-11-19T02:48:00"/>
    <n v="156"/>
    <n v="172"/>
    <n v="1"/>
    <s v="Level 2"/>
    <n v="5"/>
    <n v="451.97"/>
  </r>
  <r>
    <s v="WF_2399"/>
    <x v="1"/>
    <x v="2398"/>
    <s v="Escalation"/>
    <s v="Low"/>
    <s v="Finance"/>
    <s v="EMP_24"/>
    <d v="2024-07-19T13:56:00"/>
    <d v="2024-07-19T15:23:00"/>
    <n v="62"/>
    <n v="87"/>
    <n v="1"/>
    <s v="Level 3"/>
    <n v="2"/>
    <n v="197.63"/>
  </r>
  <r>
    <s v="WF_2400"/>
    <x v="1"/>
    <x v="2399"/>
    <s v="Data Entry"/>
    <s v="High"/>
    <s v="HR"/>
    <s v="EMP_130"/>
    <d v="2024-04-20T13:01:00"/>
    <d v="2024-04-20T18:00:00"/>
    <n v="221"/>
    <n v="299"/>
    <n v="1"/>
    <s v="Level 2"/>
    <n v="7"/>
    <n v="180.05"/>
  </r>
  <r>
    <s v="WF_2401"/>
    <x v="1"/>
    <x v="2400"/>
    <s v="Escalation"/>
    <s v="Critical"/>
    <s v="Operations"/>
    <s v="EMP_118"/>
    <d v="2024-12-26T13:07:00"/>
    <d v="2024-12-26T17:12:00"/>
    <n v="223"/>
    <n v="245"/>
    <n v="1"/>
    <s v="Level 1"/>
    <n v="4"/>
    <n v="165.54"/>
  </r>
  <r>
    <s v="WF_2402"/>
    <x v="0"/>
    <x v="2401"/>
    <s v="Escalation"/>
    <s v="Low"/>
    <s v="Operations"/>
    <s v="EMP_9"/>
    <d v="2024-07-23T12:18:00"/>
    <d v="2024-07-23T16:09:00"/>
    <n v="160"/>
    <n v="231"/>
    <n v="1"/>
    <s v="Level 2"/>
    <n v="9"/>
    <n v="58.32"/>
  </r>
  <r>
    <s v="WF_2403"/>
    <x v="2"/>
    <x v="2402"/>
    <s v="Approval"/>
    <s v="Critical"/>
    <s v="Finance"/>
    <s v="EMP_147"/>
    <d v="2024-09-11T15:41:00"/>
    <d v="2024-09-11T18:30:00"/>
    <n v="136"/>
    <n v="169"/>
    <n v="1"/>
    <s v="Level 3"/>
    <n v="3"/>
    <n v="137.93"/>
  </r>
  <r>
    <s v="WF_2404"/>
    <x v="3"/>
    <x v="2403"/>
    <s v="Review"/>
    <s v="High"/>
    <s v="Customer Service"/>
    <s v="EMP_35"/>
    <d v="2024-04-27T23:53:00"/>
    <d v="2024-04-28T01:23:00"/>
    <n v="39"/>
    <n v="90"/>
    <n v="1"/>
    <s v="Level 2"/>
    <n v="6"/>
    <n v="333.67"/>
  </r>
  <r>
    <s v="WF_2405"/>
    <x v="2"/>
    <x v="2404"/>
    <s v="Review"/>
    <s v="Critical"/>
    <s v="Finance"/>
    <s v="EMP_44"/>
    <d v="2024-10-02T14:07:00"/>
    <d v="2024-10-02T17:13:00"/>
    <n v="69"/>
    <n v="186"/>
    <n v="1"/>
    <s v="Level 3"/>
    <n v="2"/>
    <n v="272.85000000000002"/>
  </r>
  <r>
    <s v="WF_2406"/>
    <x v="4"/>
    <x v="2405"/>
    <s v="Data Entry"/>
    <s v="Low"/>
    <s v="IT"/>
    <s v="EMP_68"/>
    <d v="2024-08-15T17:49:00"/>
    <d v="2024-08-15T20:49:00"/>
    <n v="111"/>
    <n v="180"/>
    <n v="1"/>
    <s v="Level 3"/>
    <n v="3"/>
    <n v="270.43"/>
  </r>
  <r>
    <s v="WF_2407"/>
    <x v="0"/>
    <x v="2406"/>
    <s v="Validation"/>
    <s v="Critical"/>
    <s v="IT"/>
    <s v="EMP_42"/>
    <d v="2024-04-06T22:17:00"/>
    <d v="2024-04-07T01:48:00"/>
    <n v="105"/>
    <n v="211"/>
    <n v="1"/>
    <s v="Level 3"/>
    <n v="3"/>
    <n v="335.84"/>
  </r>
  <r>
    <s v="WF_2408"/>
    <x v="4"/>
    <x v="2407"/>
    <s v="Data Entry"/>
    <s v="High"/>
    <s v="IT"/>
    <s v="EMP_83"/>
    <d v="2024-04-18T19:17:00"/>
    <d v="2024-04-19T00:51:00"/>
    <n v="220"/>
    <n v="334"/>
    <n v="1"/>
    <s v="Level 3"/>
    <n v="9"/>
    <n v="337.09"/>
  </r>
  <r>
    <s v="WF_2409"/>
    <x v="1"/>
    <x v="2408"/>
    <s v="Validation"/>
    <s v="Critical"/>
    <s v="Finance"/>
    <s v="EMP_130"/>
    <d v="2024-07-09T17:51:00"/>
    <d v="2024-07-09T20:58:00"/>
    <n v="139"/>
    <n v="187"/>
    <n v="1"/>
    <s v="Level 3"/>
    <n v="7"/>
    <n v="489.28"/>
  </r>
  <r>
    <s v="WF_2410"/>
    <x v="2"/>
    <x v="2409"/>
    <s v="Validation"/>
    <s v="Medium"/>
    <s v="Operations"/>
    <s v="EMP_149"/>
    <d v="2024-10-19T21:50:00"/>
    <d v="2024-10-20T01:40:00"/>
    <n v="136"/>
    <n v="230"/>
    <n v="1"/>
    <s v="Level 1"/>
    <n v="8"/>
    <n v="481.44"/>
  </r>
  <r>
    <s v="WF_2411"/>
    <x v="3"/>
    <x v="2410"/>
    <s v="Data Entry"/>
    <s v="High"/>
    <s v="HR"/>
    <s v="EMP_127"/>
    <d v="2024-04-22T00:30:00"/>
    <d v="2024-04-22T02:07:00"/>
    <n v="52"/>
    <n v="97"/>
    <n v="1"/>
    <s v="Level 2"/>
    <n v="4"/>
    <n v="440.85"/>
  </r>
  <r>
    <s v="WF_2412"/>
    <x v="0"/>
    <x v="2411"/>
    <s v="Data Entry"/>
    <s v="Medium"/>
    <s v="Customer Service"/>
    <s v="EMP_88"/>
    <d v="2024-11-19T06:52:00"/>
    <d v="2024-11-19T08:38:00"/>
    <n v="91"/>
    <n v="106"/>
    <n v="1"/>
    <s v="Level 2"/>
    <n v="3"/>
    <n v="411.2"/>
  </r>
  <r>
    <s v="WF_2413"/>
    <x v="3"/>
    <x v="2412"/>
    <s v="Review"/>
    <s v="Low"/>
    <s v="Finance"/>
    <s v="EMP_5"/>
    <d v="2024-09-11T19:57:00"/>
    <d v="2024-09-12T01:03:00"/>
    <n v="226"/>
    <n v="306"/>
    <n v="1"/>
    <s v="Level 1"/>
    <n v="6"/>
    <n v="261.2"/>
  </r>
  <r>
    <s v="WF_2414"/>
    <x v="1"/>
    <x v="2413"/>
    <s v="Review"/>
    <s v="Medium"/>
    <s v="HR"/>
    <s v="EMP_134"/>
    <d v="2024-06-30T17:25:00"/>
    <d v="2024-06-30T22:43:00"/>
    <n v="224"/>
    <n v="318"/>
    <n v="1"/>
    <s v="Level 2"/>
    <n v="3"/>
    <n v="418.32"/>
  </r>
  <r>
    <s v="WF_2415"/>
    <x v="1"/>
    <x v="2414"/>
    <s v="Escalation"/>
    <s v="Critical"/>
    <s v="IT"/>
    <s v="EMP_95"/>
    <d v="2024-04-18T16:06:00"/>
    <d v="2024-04-18T20:16:00"/>
    <n v="135"/>
    <n v="250"/>
    <n v="1"/>
    <s v="Level 2"/>
    <n v="6"/>
    <n v="462.71"/>
  </r>
  <r>
    <s v="WF_2416"/>
    <x v="4"/>
    <x v="2415"/>
    <s v="Data Entry"/>
    <s v="High"/>
    <s v="Finance"/>
    <s v="EMP_150"/>
    <d v="2024-10-05T10:25:00"/>
    <d v="2024-10-05T13:33:00"/>
    <n v="156"/>
    <n v="188"/>
    <n v="1"/>
    <s v="Level 2"/>
    <n v="3"/>
    <n v="363.73"/>
  </r>
  <r>
    <s v="WF_2417"/>
    <x v="0"/>
    <x v="2416"/>
    <s v="Approval"/>
    <s v="Medium"/>
    <s v="HR"/>
    <s v="EMP_134"/>
    <d v="2024-09-09T10:40:00"/>
    <d v="2024-09-09T13:23:00"/>
    <n v="84"/>
    <n v="163"/>
    <n v="1"/>
    <s v="Level 2"/>
    <n v="1"/>
    <n v="286.62"/>
  </r>
  <r>
    <s v="WF_2418"/>
    <x v="2"/>
    <x v="2417"/>
    <s v="Approval"/>
    <s v="Low"/>
    <s v="IT"/>
    <s v="EMP_27"/>
    <d v="2024-10-24T13:10:00"/>
    <d v="2024-10-24T16:08:00"/>
    <n v="171"/>
    <n v="178"/>
    <n v="1"/>
    <s v="Level 1"/>
    <n v="10"/>
    <n v="360.38"/>
  </r>
  <r>
    <s v="WF_2419"/>
    <x v="4"/>
    <x v="2418"/>
    <s v="Escalation"/>
    <s v="Low"/>
    <s v="HR"/>
    <s v="EMP_35"/>
    <d v="2024-04-09T10:09:00"/>
    <d v="2024-04-09T13:26:00"/>
    <n v="184"/>
    <n v="197"/>
    <n v="1"/>
    <s v="Level 3"/>
    <n v="10"/>
    <n v="377.54"/>
  </r>
  <r>
    <s v="WF_2420"/>
    <x v="3"/>
    <x v="2419"/>
    <s v="Approval"/>
    <s v="Critical"/>
    <s v="HR"/>
    <s v="EMP_126"/>
    <d v="2024-01-13T03:07:00"/>
    <d v="2024-01-13T05:27:00"/>
    <n v="127"/>
    <n v="140"/>
    <n v="1"/>
    <s v="Level 2"/>
    <n v="9"/>
    <n v="279.62"/>
  </r>
  <r>
    <s v="WF_2421"/>
    <x v="0"/>
    <x v="2420"/>
    <s v="Data Entry"/>
    <s v="Critical"/>
    <s v="Customer Service"/>
    <s v="EMP_60"/>
    <d v="2024-07-30T22:37:00"/>
    <d v="2024-07-31T02:21:00"/>
    <n v="114"/>
    <n v="224"/>
    <n v="1"/>
    <s v="Level 2"/>
    <n v="10"/>
    <n v="486.64"/>
  </r>
  <r>
    <s v="WF_2422"/>
    <x v="2"/>
    <x v="2421"/>
    <s v="Escalation"/>
    <s v="Medium"/>
    <s v="Finance"/>
    <s v="EMP_9"/>
    <d v="2024-06-27T11:59:00"/>
    <d v="2024-06-27T13:01:00"/>
    <n v="27"/>
    <n v="62"/>
    <n v="1"/>
    <s v="Level 3"/>
    <n v="4"/>
    <n v="123.5"/>
  </r>
  <r>
    <s v="WF_2423"/>
    <x v="2"/>
    <x v="2422"/>
    <s v="Review"/>
    <s v="Medium"/>
    <s v="HR"/>
    <s v="EMP_131"/>
    <d v="2024-12-21T08:50:00"/>
    <d v="2024-12-21T14:23:00"/>
    <n v="223"/>
    <n v="333"/>
    <n v="1"/>
    <s v="Level 1"/>
    <n v="8"/>
    <n v="59.92"/>
  </r>
  <r>
    <s v="WF_2424"/>
    <x v="0"/>
    <x v="2423"/>
    <s v="Review"/>
    <s v="Low"/>
    <s v="Finance"/>
    <s v="EMP_83"/>
    <d v="2024-08-06T08:31:00"/>
    <d v="2024-08-06T11:59:00"/>
    <n v="134"/>
    <n v="208"/>
    <n v="1"/>
    <s v="Level 2"/>
    <n v="9"/>
    <n v="137.96"/>
  </r>
  <r>
    <s v="WF_2425"/>
    <x v="1"/>
    <x v="2424"/>
    <s v="Review"/>
    <s v="Low"/>
    <s v="Finance"/>
    <s v="EMP_131"/>
    <d v="2024-04-20T11:41:00"/>
    <d v="2024-04-20T15:55:00"/>
    <n v="157"/>
    <n v="254"/>
    <n v="1"/>
    <s v="Level 2"/>
    <n v="3"/>
    <n v="452.55"/>
  </r>
  <r>
    <s v="WF_2426"/>
    <x v="1"/>
    <x v="2425"/>
    <s v="Escalation"/>
    <s v="Low"/>
    <s v="Operations"/>
    <s v="EMP_77"/>
    <d v="2024-07-03T09:03:00"/>
    <d v="2024-07-03T12:37:00"/>
    <n v="206"/>
    <n v="214"/>
    <n v="1"/>
    <s v="Level 1"/>
    <n v="6"/>
    <n v="241.59"/>
  </r>
  <r>
    <s v="WF_2427"/>
    <x v="2"/>
    <x v="2426"/>
    <s v="Data Entry"/>
    <s v="High"/>
    <s v="Operations"/>
    <s v="EMP_115"/>
    <d v="2024-09-23T00:28:00"/>
    <d v="2024-09-23T02:35:00"/>
    <n v="43"/>
    <n v="127"/>
    <n v="1"/>
    <s v="Level 3"/>
    <n v="1"/>
    <n v="455.06"/>
  </r>
  <r>
    <s v="WF_2428"/>
    <x v="0"/>
    <x v="2427"/>
    <s v="Review"/>
    <s v="High"/>
    <s v="HR"/>
    <s v="EMP_47"/>
    <d v="2024-11-18T09:15:00"/>
    <d v="2024-11-18T12:02:00"/>
    <n v="158"/>
    <n v="167"/>
    <n v="1"/>
    <s v="Level 1"/>
    <n v="7"/>
    <n v="196.93"/>
  </r>
  <r>
    <s v="WF_2429"/>
    <x v="4"/>
    <x v="2428"/>
    <s v="Validation"/>
    <s v="Critical"/>
    <s v="Finance"/>
    <s v="EMP_35"/>
    <d v="2024-06-11T22:56:00"/>
    <d v="2024-06-12T04:30:00"/>
    <n v="229"/>
    <n v="334"/>
    <n v="1"/>
    <s v="Level 3"/>
    <n v="5"/>
    <n v="220.48"/>
  </r>
  <r>
    <s v="WF_2430"/>
    <x v="1"/>
    <x v="2429"/>
    <s v="Validation"/>
    <s v="High"/>
    <s v="Customer Service"/>
    <s v="EMP_56"/>
    <d v="2024-09-08T16:37:00"/>
    <d v="2024-09-08T20:30:00"/>
    <n v="178"/>
    <n v="233"/>
    <n v="1"/>
    <s v="Level 3"/>
    <n v="6"/>
    <n v="389.28"/>
  </r>
  <r>
    <s v="WF_2431"/>
    <x v="2"/>
    <x v="2430"/>
    <s v="Escalation"/>
    <s v="Low"/>
    <s v="Operations"/>
    <s v="EMP_80"/>
    <d v="2024-10-24T07:16:00"/>
    <d v="2024-10-24T10:14:00"/>
    <n v="84"/>
    <n v="178"/>
    <n v="1"/>
    <s v="Level 1"/>
    <n v="8"/>
    <n v="206.05"/>
  </r>
  <r>
    <s v="WF_2432"/>
    <x v="1"/>
    <x v="2431"/>
    <s v="Escalation"/>
    <s v="High"/>
    <s v="IT"/>
    <s v="EMP_7"/>
    <d v="2024-07-04T03:00:00"/>
    <d v="2024-07-04T06:43:00"/>
    <n v="220"/>
    <n v="223"/>
    <n v="1"/>
    <s v="Level 3"/>
    <n v="8"/>
    <n v="293.45999999999998"/>
  </r>
  <r>
    <s v="WF_2433"/>
    <x v="3"/>
    <x v="2432"/>
    <s v="Data Entry"/>
    <s v="Critical"/>
    <s v="HR"/>
    <s v="EMP_20"/>
    <d v="2024-01-22T16:14:00"/>
    <d v="2024-01-22T18:13:00"/>
    <n v="111"/>
    <n v="119"/>
    <n v="1"/>
    <s v="Level 3"/>
    <n v="3"/>
    <n v="279.23"/>
  </r>
  <r>
    <s v="WF_2434"/>
    <x v="2"/>
    <x v="2433"/>
    <s v="Validation"/>
    <s v="Low"/>
    <s v="IT"/>
    <s v="EMP_17"/>
    <d v="2024-01-28T10:57:00"/>
    <d v="2024-01-28T15:55:00"/>
    <n v="207"/>
    <n v="298"/>
    <n v="1"/>
    <s v="Level 2"/>
    <n v="10"/>
    <n v="299"/>
  </r>
  <r>
    <s v="WF_2435"/>
    <x v="3"/>
    <x v="2434"/>
    <s v="Approval"/>
    <s v="Critical"/>
    <s v="IT"/>
    <s v="EMP_103"/>
    <d v="2024-02-13T21:00:00"/>
    <d v="2024-02-14T01:30:00"/>
    <n v="156"/>
    <n v="270"/>
    <n v="1"/>
    <s v="Level 3"/>
    <n v="6"/>
    <n v="334.71"/>
  </r>
  <r>
    <s v="WF_2436"/>
    <x v="3"/>
    <x v="2435"/>
    <s v="Review"/>
    <s v="Medium"/>
    <s v="HR"/>
    <s v="EMP_11"/>
    <d v="2024-03-11T13:39:00"/>
    <d v="2024-03-11T17:59:00"/>
    <n v="159"/>
    <n v="260"/>
    <n v="1"/>
    <s v="Level 2"/>
    <n v="5"/>
    <n v="66.819999999999993"/>
  </r>
  <r>
    <s v="WF_2437"/>
    <x v="2"/>
    <x v="2436"/>
    <s v="Review"/>
    <s v="Low"/>
    <s v="HR"/>
    <s v="EMP_124"/>
    <d v="2024-08-03T16:21:00"/>
    <d v="2024-08-03T21:18:00"/>
    <n v="181"/>
    <n v="297"/>
    <n v="1"/>
    <s v="Level 2"/>
    <n v="9"/>
    <n v="325.45999999999998"/>
  </r>
  <r>
    <s v="WF_2438"/>
    <x v="2"/>
    <x v="2437"/>
    <s v="Validation"/>
    <s v="Critical"/>
    <s v="Operations"/>
    <s v="EMP_137"/>
    <d v="2024-11-29T15:22:00"/>
    <d v="2024-11-29T17:39:00"/>
    <n v="116"/>
    <n v="137"/>
    <n v="1"/>
    <s v="Level 2"/>
    <n v="9"/>
    <n v="268.94"/>
  </r>
  <r>
    <s v="WF_2439"/>
    <x v="4"/>
    <x v="2438"/>
    <s v="Validation"/>
    <s v="Critical"/>
    <s v="HR"/>
    <s v="EMP_19"/>
    <d v="2024-01-10T08:51:00"/>
    <d v="2024-01-10T11:21:00"/>
    <n v="48"/>
    <n v="150"/>
    <n v="1"/>
    <s v="Level 1"/>
    <n v="5"/>
    <n v="454.01"/>
  </r>
  <r>
    <s v="WF_2440"/>
    <x v="2"/>
    <x v="2439"/>
    <s v="Validation"/>
    <s v="Critical"/>
    <s v="Finance"/>
    <s v="EMP_95"/>
    <d v="2024-09-21T15:29:00"/>
    <d v="2024-09-21T19:06:00"/>
    <n v="209"/>
    <n v="217"/>
    <n v="1"/>
    <s v="Level 3"/>
    <n v="9"/>
    <n v="311.35000000000002"/>
  </r>
  <r>
    <s v="WF_2441"/>
    <x v="0"/>
    <x v="2440"/>
    <s v="Validation"/>
    <s v="Critical"/>
    <s v="HR"/>
    <s v="EMP_148"/>
    <d v="2024-04-10T10:03:00"/>
    <d v="2024-04-10T11:49:00"/>
    <n v="110"/>
    <n v="106"/>
    <n v="0"/>
    <s v="Level 2"/>
    <n v="3"/>
    <n v="300.13"/>
  </r>
  <r>
    <s v="WF_2442"/>
    <x v="1"/>
    <x v="2441"/>
    <s v="Approval"/>
    <s v="High"/>
    <s v="HR"/>
    <s v="EMP_135"/>
    <d v="2024-05-03T09:23:00"/>
    <d v="2024-05-03T12:06:00"/>
    <n v="168"/>
    <n v="163"/>
    <n v="0"/>
    <s v="Level 2"/>
    <n v="3"/>
    <n v="209.58"/>
  </r>
  <r>
    <s v="WF_2443"/>
    <x v="2"/>
    <x v="2442"/>
    <s v="Approval"/>
    <s v="High"/>
    <s v="Operations"/>
    <s v="EMP_41"/>
    <d v="2024-06-24T01:08:00"/>
    <d v="2024-06-24T01:49:00"/>
    <n v="18"/>
    <n v="41"/>
    <n v="1"/>
    <s v="Level 2"/>
    <n v="7"/>
    <n v="402.27"/>
  </r>
  <r>
    <s v="WF_2444"/>
    <x v="1"/>
    <x v="2443"/>
    <s v="Escalation"/>
    <s v="Critical"/>
    <s v="Customer Service"/>
    <s v="EMP_100"/>
    <d v="2024-04-30T10:06:00"/>
    <d v="2024-04-30T11:26:00"/>
    <n v="41"/>
    <n v="80"/>
    <n v="1"/>
    <s v="Level 3"/>
    <n v="8"/>
    <n v="385.19"/>
  </r>
  <r>
    <s v="WF_2445"/>
    <x v="1"/>
    <x v="2444"/>
    <s v="Data Entry"/>
    <s v="Low"/>
    <s v="Customer Service"/>
    <s v="EMP_71"/>
    <d v="2024-06-22T04:18:00"/>
    <d v="2024-06-22T05:03:00"/>
    <n v="42"/>
    <n v="45"/>
    <n v="1"/>
    <s v="Level 1"/>
    <n v="9"/>
    <n v="355.78"/>
  </r>
  <r>
    <s v="WF_2446"/>
    <x v="4"/>
    <x v="2445"/>
    <s v="Escalation"/>
    <s v="High"/>
    <s v="HR"/>
    <s v="EMP_43"/>
    <d v="2024-06-22T08:44:00"/>
    <d v="2024-06-22T09:12:00"/>
    <n v="26"/>
    <n v="28"/>
    <n v="1"/>
    <s v="Level 3"/>
    <n v="4"/>
    <n v="379.08"/>
  </r>
  <r>
    <s v="WF_2447"/>
    <x v="1"/>
    <x v="2446"/>
    <s v="Review"/>
    <s v="Medium"/>
    <s v="Operations"/>
    <s v="EMP_101"/>
    <d v="2024-07-16T03:41:00"/>
    <d v="2024-07-16T07:53:00"/>
    <n v="226"/>
    <n v="252"/>
    <n v="1"/>
    <s v="Level 2"/>
    <n v="6"/>
    <n v="281.19"/>
  </r>
  <r>
    <s v="WF_2448"/>
    <x v="3"/>
    <x v="2447"/>
    <s v="Data Entry"/>
    <s v="Low"/>
    <s v="HR"/>
    <s v="EMP_52"/>
    <d v="2024-05-28T07:05:00"/>
    <d v="2024-05-28T11:56:00"/>
    <n v="211"/>
    <n v="291"/>
    <n v="1"/>
    <s v="Level 1"/>
    <n v="8"/>
    <n v="435.03"/>
  </r>
  <r>
    <s v="WF_2449"/>
    <x v="0"/>
    <x v="2448"/>
    <s v="Data Entry"/>
    <s v="Low"/>
    <s v="Customer Service"/>
    <s v="EMP_9"/>
    <d v="2024-02-26T15:15:00"/>
    <d v="2024-02-26T19:57:00"/>
    <n v="228"/>
    <n v="282"/>
    <n v="1"/>
    <s v="Level 2"/>
    <n v="7"/>
    <n v="128.79"/>
  </r>
  <r>
    <s v="WF_2450"/>
    <x v="1"/>
    <x v="2449"/>
    <s v="Data Entry"/>
    <s v="High"/>
    <s v="IT"/>
    <s v="EMP_17"/>
    <d v="2024-10-24T15:30:00"/>
    <d v="2024-10-24T18:36:00"/>
    <n v="68"/>
    <n v="186"/>
    <n v="1"/>
    <s v="Level 3"/>
    <n v="1"/>
    <n v="112.92"/>
  </r>
  <r>
    <s v="WF_2451"/>
    <x v="2"/>
    <x v="2450"/>
    <s v="Validation"/>
    <s v="Medium"/>
    <s v="HR"/>
    <s v="EMP_67"/>
    <d v="2024-08-28T21:40:00"/>
    <d v="2024-08-29T01:19:00"/>
    <n v="124"/>
    <n v="219"/>
    <n v="1"/>
    <s v="Level 3"/>
    <n v="6"/>
    <n v="494.56"/>
  </r>
  <r>
    <s v="WF_2452"/>
    <x v="3"/>
    <x v="2451"/>
    <s v="Validation"/>
    <s v="Low"/>
    <s v="Finance"/>
    <s v="EMP_110"/>
    <d v="2024-09-08T14:29:00"/>
    <d v="2024-09-08T18:23:00"/>
    <n v="179"/>
    <n v="234"/>
    <n v="1"/>
    <s v="Level 1"/>
    <n v="8"/>
    <n v="189.43"/>
  </r>
  <r>
    <s v="WF_2453"/>
    <x v="3"/>
    <x v="2452"/>
    <s v="Data Entry"/>
    <s v="High"/>
    <s v="Finance"/>
    <s v="EMP_37"/>
    <d v="2024-11-13T02:55:00"/>
    <d v="2024-11-13T08:15:00"/>
    <n v="209"/>
    <n v="320"/>
    <n v="1"/>
    <s v="Level 2"/>
    <n v="3"/>
    <n v="96.71"/>
  </r>
  <r>
    <s v="WF_2454"/>
    <x v="1"/>
    <x v="2453"/>
    <s v="Validation"/>
    <s v="Medium"/>
    <s v="HR"/>
    <s v="EMP_111"/>
    <d v="2024-05-25T08:41:00"/>
    <d v="2024-05-25T13:42:00"/>
    <n v="225"/>
    <n v="301"/>
    <n v="1"/>
    <s v="Level 2"/>
    <n v="4"/>
    <n v="466.41"/>
  </r>
  <r>
    <s v="WF_2455"/>
    <x v="4"/>
    <x v="2454"/>
    <s v="Escalation"/>
    <s v="Medium"/>
    <s v="IT"/>
    <s v="EMP_61"/>
    <d v="2024-06-01T00:57:00"/>
    <d v="2024-06-01T03:22:00"/>
    <n v="73"/>
    <n v="145"/>
    <n v="1"/>
    <s v="Level 3"/>
    <n v="7"/>
    <n v="66.14"/>
  </r>
  <r>
    <s v="WF_2456"/>
    <x v="0"/>
    <x v="2455"/>
    <s v="Approval"/>
    <s v="Medium"/>
    <s v="Operations"/>
    <s v="EMP_92"/>
    <d v="2024-08-28T02:57:00"/>
    <d v="2024-08-28T04:55:00"/>
    <n v="102"/>
    <n v="118"/>
    <n v="1"/>
    <s v="Level 2"/>
    <n v="4"/>
    <n v="147.28"/>
  </r>
  <r>
    <s v="WF_2457"/>
    <x v="4"/>
    <x v="2456"/>
    <s v="Review"/>
    <s v="Low"/>
    <s v="Finance"/>
    <s v="EMP_3"/>
    <d v="2024-11-08T16:45:00"/>
    <d v="2024-11-08T19:54:00"/>
    <n v="91"/>
    <n v="189"/>
    <n v="1"/>
    <s v="Level 3"/>
    <n v="1"/>
    <n v="194.22"/>
  </r>
  <r>
    <s v="WF_2458"/>
    <x v="4"/>
    <x v="2457"/>
    <s v="Approval"/>
    <s v="High"/>
    <s v="IT"/>
    <s v="EMP_119"/>
    <d v="2024-03-23T20:02:00"/>
    <d v="2024-03-24T01:12:00"/>
    <n v="224"/>
    <n v="310"/>
    <n v="1"/>
    <s v="Level 1"/>
    <n v="10"/>
    <n v="223.12"/>
  </r>
  <r>
    <s v="WF_2459"/>
    <x v="3"/>
    <x v="2458"/>
    <s v="Data Entry"/>
    <s v="High"/>
    <s v="Finance"/>
    <s v="EMP_90"/>
    <d v="2024-05-21T05:09:00"/>
    <d v="2024-05-21T07:15:00"/>
    <n v="83"/>
    <n v="126"/>
    <n v="1"/>
    <s v="Level 1"/>
    <n v="5"/>
    <n v="159.41"/>
  </r>
  <r>
    <s v="WF_2460"/>
    <x v="2"/>
    <x v="2459"/>
    <s v="Escalation"/>
    <s v="Low"/>
    <s v="IT"/>
    <s v="EMP_108"/>
    <d v="2024-02-18T09:57:00"/>
    <d v="2024-02-18T13:59:00"/>
    <n v="139"/>
    <n v="242"/>
    <n v="1"/>
    <s v="Level 3"/>
    <n v="3"/>
    <n v="210.84"/>
  </r>
  <r>
    <s v="WF_2461"/>
    <x v="2"/>
    <x v="2460"/>
    <s v="Approval"/>
    <s v="High"/>
    <s v="IT"/>
    <s v="EMP_43"/>
    <d v="2024-11-23T08:27:00"/>
    <d v="2024-11-23T12:00:00"/>
    <n v="140"/>
    <n v="213"/>
    <n v="1"/>
    <s v="Level 1"/>
    <n v="6"/>
    <n v="249.5"/>
  </r>
  <r>
    <s v="WF_2462"/>
    <x v="0"/>
    <x v="2461"/>
    <s v="Escalation"/>
    <s v="High"/>
    <s v="IT"/>
    <s v="EMP_13"/>
    <d v="2024-03-24T16:44:00"/>
    <d v="2024-03-24T20:54:00"/>
    <n v="140"/>
    <n v="250"/>
    <n v="1"/>
    <s v="Level 2"/>
    <n v="7"/>
    <n v="291.73"/>
  </r>
  <r>
    <s v="WF_2463"/>
    <x v="3"/>
    <x v="2462"/>
    <s v="Data Entry"/>
    <s v="Low"/>
    <s v="Customer Service"/>
    <s v="EMP_54"/>
    <d v="2024-04-22T12:18:00"/>
    <d v="2024-04-22T14:49:00"/>
    <n v="73"/>
    <n v="151"/>
    <n v="1"/>
    <s v="Level 3"/>
    <n v="3"/>
    <n v="285.32"/>
  </r>
  <r>
    <s v="WF_2464"/>
    <x v="2"/>
    <x v="2463"/>
    <s v="Validation"/>
    <s v="Critical"/>
    <s v="IT"/>
    <s v="EMP_89"/>
    <d v="2024-02-17T01:54:00"/>
    <d v="2024-02-17T04:40:00"/>
    <n v="159"/>
    <n v="166"/>
    <n v="1"/>
    <s v="Level 3"/>
    <n v="9"/>
    <n v="310.43"/>
  </r>
  <r>
    <s v="WF_2465"/>
    <x v="4"/>
    <x v="2464"/>
    <s v="Data Entry"/>
    <s v="Low"/>
    <s v="HR"/>
    <s v="EMP_130"/>
    <d v="2024-09-07T13:29:00"/>
    <d v="2024-09-07T17:12:00"/>
    <n v="207"/>
    <n v="223"/>
    <n v="1"/>
    <s v="Level 2"/>
    <n v="1"/>
    <n v="251.88"/>
  </r>
  <r>
    <s v="WF_2466"/>
    <x v="0"/>
    <x v="2465"/>
    <s v="Data Entry"/>
    <s v="High"/>
    <s v="Operations"/>
    <s v="EMP_58"/>
    <d v="2024-01-01T05:33:00"/>
    <d v="2024-01-01T08:58:00"/>
    <n v="112"/>
    <n v="205"/>
    <n v="1"/>
    <s v="Level 2"/>
    <n v="4"/>
    <n v="302.47000000000003"/>
  </r>
  <r>
    <s v="WF_2467"/>
    <x v="1"/>
    <x v="2466"/>
    <s v="Data Entry"/>
    <s v="Low"/>
    <s v="IT"/>
    <s v="EMP_28"/>
    <d v="2024-07-19T15:29:00"/>
    <d v="2024-07-19T16:22:00"/>
    <n v="33"/>
    <n v="53"/>
    <n v="1"/>
    <s v="Level 2"/>
    <n v="8"/>
    <n v="369.76"/>
  </r>
  <r>
    <s v="WF_2468"/>
    <x v="3"/>
    <x v="2467"/>
    <s v="Approval"/>
    <s v="Medium"/>
    <s v="Operations"/>
    <s v="EMP_83"/>
    <d v="2024-09-21T11:58:00"/>
    <d v="2024-09-21T15:44:00"/>
    <n v="119"/>
    <n v="226"/>
    <n v="1"/>
    <s v="Level 3"/>
    <n v="8"/>
    <n v="69.72"/>
  </r>
  <r>
    <s v="WF_2469"/>
    <x v="1"/>
    <x v="2468"/>
    <s v="Escalation"/>
    <s v="Critical"/>
    <s v="Customer Service"/>
    <s v="EMP_73"/>
    <d v="2024-01-10T17:41:00"/>
    <d v="2024-01-10T19:16:00"/>
    <n v="80"/>
    <n v="95"/>
    <n v="1"/>
    <s v="Level 2"/>
    <n v="9"/>
    <n v="172.08"/>
  </r>
  <r>
    <s v="WF_2470"/>
    <x v="2"/>
    <x v="2469"/>
    <s v="Escalation"/>
    <s v="Medium"/>
    <s v="Customer Service"/>
    <s v="EMP_57"/>
    <d v="2024-12-11T00:39:00"/>
    <d v="2024-12-11T01:23:00"/>
    <n v="30"/>
    <n v="44"/>
    <n v="1"/>
    <s v="Level 2"/>
    <n v="10"/>
    <n v="466.67"/>
  </r>
  <r>
    <s v="WF_2471"/>
    <x v="0"/>
    <x v="2470"/>
    <s v="Review"/>
    <s v="Low"/>
    <s v="Customer Service"/>
    <s v="EMP_118"/>
    <d v="2024-03-12T20:00:00"/>
    <d v="2024-03-13T00:50:00"/>
    <n v="220"/>
    <n v="290"/>
    <n v="1"/>
    <s v="Level 1"/>
    <n v="7"/>
    <n v="430.08"/>
  </r>
  <r>
    <s v="WF_2472"/>
    <x v="0"/>
    <x v="2471"/>
    <s v="Approval"/>
    <s v="High"/>
    <s v="HR"/>
    <s v="EMP_101"/>
    <d v="2024-01-13T17:28:00"/>
    <d v="2024-01-13T21:59:00"/>
    <n v="173"/>
    <n v="271"/>
    <n v="1"/>
    <s v="Level 2"/>
    <n v="7"/>
    <n v="135.05000000000001"/>
  </r>
  <r>
    <s v="WF_2473"/>
    <x v="2"/>
    <x v="2472"/>
    <s v="Approval"/>
    <s v="Low"/>
    <s v="Operations"/>
    <s v="EMP_76"/>
    <d v="2024-02-20T23:12:00"/>
    <d v="2024-02-21T01:15:00"/>
    <n v="113"/>
    <n v="123"/>
    <n v="1"/>
    <s v="Level 3"/>
    <n v="9"/>
    <n v="385.35"/>
  </r>
  <r>
    <s v="WF_2474"/>
    <x v="1"/>
    <x v="2473"/>
    <s v="Escalation"/>
    <s v="Critical"/>
    <s v="IT"/>
    <s v="EMP_46"/>
    <d v="2024-05-18T19:46:00"/>
    <d v="2024-05-18T22:45:00"/>
    <n v="184"/>
    <n v="179"/>
    <n v="0"/>
    <s v="Level 3"/>
    <n v="4"/>
    <n v="210.66"/>
  </r>
  <r>
    <s v="WF_2475"/>
    <x v="0"/>
    <x v="2474"/>
    <s v="Escalation"/>
    <s v="Low"/>
    <s v="Operations"/>
    <s v="EMP_55"/>
    <d v="2024-05-18T02:45:00"/>
    <d v="2024-05-18T07:58:00"/>
    <n v="224"/>
    <n v="313"/>
    <n v="1"/>
    <s v="Level 2"/>
    <n v="7"/>
    <n v="68.540000000000006"/>
  </r>
  <r>
    <s v="WF_2476"/>
    <x v="0"/>
    <x v="2475"/>
    <s v="Escalation"/>
    <s v="High"/>
    <s v="Finance"/>
    <s v="EMP_79"/>
    <d v="2024-03-28T23:13:00"/>
    <d v="2024-03-29T01:41:00"/>
    <n v="71"/>
    <n v="148"/>
    <n v="1"/>
    <s v="Level 3"/>
    <n v="2"/>
    <n v="233.12"/>
  </r>
  <r>
    <s v="WF_2477"/>
    <x v="1"/>
    <x v="2476"/>
    <s v="Approval"/>
    <s v="Medium"/>
    <s v="Customer Service"/>
    <s v="EMP_66"/>
    <d v="2024-01-30T12:03:00"/>
    <d v="2024-01-30T15:49:00"/>
    <n v="214"/>
    <n v="226"/>
    <n v="1"/>
    <s v="Level 3"/>
    <n v="1"/>
    <n v="204.34"/>
  </r>
  <r>
    <s v="WF_2478"/>
    <x v="2"/>
    <x v="2477"/>
    <s v="Escalation"/>
    <s v="High"/>
    <s v="Operations"/>
    <s v="EMP_106"/>
    <d v="2024-07-13T05:50:00"/>
    <d v="2024-07-13T07:14:00"/>
    <n v="60"/>
    <n v="84"/>
    <n v="1"/>
    <s v="Level 3"/>
    <n v="1"/>
    <n v="353.05"/>
  </r>
  <r>
    <s v="WF_2479"/>
    <x v="0"/>
    <x v="2478"/>
    <s v="Validation"/>
    <s v="Low"/>
    <s v="HR"/>
    <s v="EMP_1"/>
    <d v="2024-09-28T04:49:00"/>
    <d v="2024-09-28T10:37:00"/>
    <n v="239"/>
    <n v="348"/>
    <n v="1"/>
    <s v="Level 2"/>
    <n v="8"/>
    <n v="322.91000000000003"/>
  </r>
  <r>
    <s v="WF_2480"/>
    <x v="0"/>
    <x v="2479"/>
    <s v="Review"/>
    <s v="Medium"/>
    <s v="IT"/>
    <s v="EMP_150"/>
    <d v="2024-09-01T00:25:00"/>
    <d v="2024-09-01T03:58:00"/>
    <n v="95"/>
    <n v="213"/>
    <n v="1"/>
    <s v="Level 1"/>
    <n v="5"/>
    <n v="357.55"/>
  </r>
  <r>
    <s v="WF_2481"/>
    <x v="1"/>
    <x v="2480"/>
    <s v="Review"/>
    <s v="High"/>
    <s v="Customer Service"/>
    <s v="EMP_128"/>
    <d v="2024-03-06T19:43:00"/>
    <d v="2024-03-07T00:04:00"/>
    <n v="206"/>
    <n v="261"/>
    <n v="1"/>
    <s v="Level 1"/>
    <n v="5"/>
    <n v="335.37"/>
  </r>
  <r>
    <s v="WF_2482"/>
    <x v="1"/>
    <x v="2481"/>
    <s v="Escalation"/>
    <s v="Medium"/>
    <s v="Finance"/>
    <s v="EMP_40"/>
    <d v="2024-11-01T06:51:00"/>
    <d v="2024-11-01T10:55:00"/>
    <n v="211"/>
    <n v="244"/>
    <n v="1"/>
    <s v="Level 3"/>
    <n v="9"/>
    <n v="166.41"/>
  </r>
  <r>
    <s v="WF_2483"/>
    <x v="1"/>
    <x v="2482"/>
    <s v="Escalation"/>
    <s v="Medium"/>
    <s v="Customer Service"/>
    <s v="EMP_44"/>
    <d v="2024-01-04T03:16:00"/>
    <d v="2024-01-04T05:46:00"/>
    <n v="130"/>
    <n v="150"/>
    <n v="1"/>
    <s v="Level 2"/>
    <n v="7"/>
    <n v="167.83"/>
  </r>
  <r>
    <s v="WF_2484"/>
    <x v="1"/>
    <x v="2483"/>
    <s v="Approval"/>
    <s v="Medium"/>
    <s v="HR"/>
    <s v="EMP_103"/>
    <d v="2024-12-19T23:17:00"/>
    <d v="2024-12-20T03:20:00"/>
    <n v="148"/>
    <n v="243"/>
    <n v="1"/>
    <s v="Level 1"/>
    <n v="5"/>
    <n v="59.95"/>
  </r>
  <r>
    <s v="WF_2485"/>
    <x v="1"/>
    <x v="2484"/>
    <s v="Escalation"/>
    <s v="Low"/>
    <s v="IT"/>
    <s v="EMP_41"/>
    <d v="2024-08-16T09:01:00"/>
    <d v="2024-08-16T12:47:00"/>
    <n v="131"/>
    <n v="226"/>
    <n v="1"/>
    <s v="Level 1"/>
    <n v="10"/>
    <n v="92.53"/>
  </r>
  <r>
    <s v="WF_2486"/>
    <x v="3"/>
    <x v="2485"/>
    <s v="Escalation"/>
    <s v="High"/>
    <s v="Finance"/>
    <s v="EMP_126"/>
    <d v="2024-01-14T09:45:00"/>
    <d v="2024-01-14T13:53:00"/>
    <n v="224"/>
    <n v="248"/>
    <n v="1"/>
    <s v="Level 1"/>
    <n v="4"/>
    <n v="344.1"/>
  </r>
  <r>
    <s v="WF_2487"/>
    <x v="4"/>
    <x v="2486"/>
    <s v="Approval"/>
    <s v="Critical"/>
    <s v="Finance"/>
    <s v="EMP_79"/>
    <d v="2024-11-10T22:49:00"/>
    <d v="2024-11-11T00:51:00"/>
    <n v="45"/>
    <n v="122"/>
    <n v="1"/>
    <s v="Level 2"/>
    <n v="5"/>
    <n v="298.33"/>
  </r>
  <r>
    <s v="WF_2488"/>
    <x v="3"/>
    <x v="2487"/>
    <s v="Escalation"/>
    <s v="High"/>
    <s v="Customer Service"/>
    <s v="EMP_41"/>
    <d v="2024-07-16T06:26:00"/>
    <d v="2024-07-16T07:58:00"/>
    <n v="48"/>
    <n v="92"/>
    <n v="1"/>
    <s v="Level 1"/>
    <n v="6"/>
    <n v="91.67"/>
  </r>
  <r>
    <s v="WF_2489"/>
    <x v="3"/>
    <x v="2488"/>
    <s v="Escalation"/>
    <s v="Medium"/>
    <s v="Finance"/>
    <s v="EMP_47"/>
    <d v="2024-02-25T00:21:00"/>
    <d v="2024-02-25T04:43:00"/>
    <n v="186"/>
    <n v="262"/>
    <n v="1"/>
    <s v="Level 2"/>
    <n v="3"/>
    <n v="245"/>
  </r>
  <r>
    <s v="WF_2490"/>
    <x v="3"/>
    <x v="2489"/>
    <s v="Review"/>
    <s v="High"/>
    <s v="Operations"/>
    <s v="EMP_62"/>
    <d v="2024-01-14T04:06:00"/>
    <d v="2024-01-14T07:21:00"/>
    <n v="128"/>
    <n v="195"/>
    <n v="1"/>
    <s v="Level 1"/>
    <n v="10"/>
    <n v="473.13"/>
  </r>
  <r>
    <s v="WF_2491"/>
    <x v="1"/>
    <x v="2490"/>
    <s v="Escalation"/>
    <s v="Critical"/>
    <s v="IT"/>
    <s v="EMP_100"/>
    <d v="2024-09-15T17:00:00"/>
    <d v="2024-09-15T19:08:00"/>
    <n v="38"/>
    <n v="128"/>
    <n v="1"/>
    <s v="Level 2"/>
    <n v="8"/>
    <n v="110.51"/>
  </r>
  <r>
    <s v="WF_2492"/>
    <x v="3"/>
    <x v="2491"/>
    <s v="Validation"/>
    <s v="Medium"/>
    <s v="HR"/>
    <s v="EMP_33"/>
    <d v="2024-02-18T16:06:00"/>
    <d v="2024-02-18T19:19:00"/>
    <n v="133"/>
    <n v="193"/>
    <n v="1"/>
    <s v="Level 1"/>
    <n v="7"/>
    <n v="132.4"/>
  </r>
  <r>
    <s v="WF_2493"/>
    <x v="1"/>
    <x v="2492"/>
    <s v="Escalation"/>
    <s v="High"/>
    <s v="HR"/>
    <s v="EMP_96"/>
    <d v="2024-04-14T00:57:00"/>
    <d v="2024-04-14T02:46:00"/>
    <n v="29"/>
    <n v="109"/>
    <n v="1"/>
    <s v="Level 1"/>
    <n v="10"/>
    <n v="406.57"/>
  </r>
  <r>
    <s v="WF_2494"/>
    <x v="0"/>
    <x v="2493"/>
    <s v="Approval"/>
    <s v="Critical"/>
    <s v="Finance"/>
    <s v="EMP_145"/>
    <d v="2024-12-13T15:55:00"/>
    <d v="2024-12-13T19:17:00"/>
    <n v="93"/>
    <n v="202"/>
    <n v="1"/>
    <s v="Level 3"/>
    <n v="9"/>
    <n v="56.92"/>
  </r>
  <r>
    <s v="WF_2495"/>
    <x v="0"/>
    <x v="2494"/>
    <s v="Validation"/>
    <s v="Low"/>
    <s v="Finance"/>
    <s v="EMP_122"/>
    <d v="2024-01-23T09:38:00"/>
    <d v="2024-01-23T10:55:00"/>
    <n v="21"/>
    <n v="77"/>
    <n v="1"/>
    <s v="Level 3"/>
    <n v="2"/>
    <n v="221.98"/>
  </r>
  <r>
    <s v="WF_2496"/>
    <x v="1"/>
    <x v="2495"/>
    <s v="Approval"/>
    <s v="Critical"/>
    <s v="Customer Service"/>
    <s v="EMP_14"/>
    <d v="2024-01-29T09:48:00"/>
    <d v="2024-01-29T10:58:00"/>
    <n v="33"/>
    <n v="70"/>
    <n v="1"/>
    <s v="Level 3"/>
    <n v="8"/>
    <n v="143.87"/>
  </r>
  <r>
    <s v="WF_2497"/>
    <x v="1"/>
    <x v="2496"/>
    <s v="Review"/>
    <s v="Critical"/>
    <s v="IT"/>
    <s v="EMP_27"/>
    <d v="2024-04-30T05:47:00"/>
    <d v="2024-04-30T10:00:00"/>
    <n v="227"/>
    <n v="253"/>
    <n v="1"/>
    <s v="Level 2"/>
    <n v="10"/>
    <n v="335.42"/>
  </r>
  <r>
    <s v="WF_2498"/>
    <x v="4"/>
    <x v="2497"/>
    <s v="Approval"/>
    <s v="High"/>
    <s v="IT"/>
    <s v="EMP_123"/>
    <d v="2024-03-25T10:02:00"/>
    <d v="2024-03-25T14:26:00"/>
    <n v="167"/>
    <n v="264"/>
    <n v="1"/>
    <s v="Level 2"/>
    <n v="4"/>
    <n v="451.91"/>
  </r>
  <r>
    <s v="WF_2499"/>
    <x v="0"/>
    <x v="2498"/>
    <s v="Validation"/>
    <s v="High"/>
    <s v="IT"/>
    <s v="EMP_12"/>
    <d v="2024-07-12T09:03:00"/>
    <d v="2024-07-12T12:57:00"/>
    <n v="169"/>
    <n v="234"/>
    <n v="1"/>
    <s v="Level 1"/>
    <n v="7"/>
    <n v="334.07"/>
  </r>
  <r>
    <s v="WF_2500"/>
    <x v="4"/>
    <x v="2499"/>
    <s v="Data Entry"/>
    <s v="Medium"/>
    <s v="Finance"/>
    <s v="EMP_63"/>
    <d v="2024-02-02T01:40:00"/>
    <d v="2024-02-02T03:16:00"/>
    <n v="89"/>
    <n v="96"/>
    <n v="1"/>
    <s v="Level 3"/>
    <n v="7"/>
    <n v="274.8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x v="0"/>
    <x v="0"/>
    <s v="EMP_128"/>
    <d v="2024-01-25T04:47:00"/>
    <d v="2024-01-25T08:33:00"/>
    <n v="208"/>
    <n v="226"/>
    <n v="1"/>
    <x v="0"/>
    <x v="0"/>
    <n v="155.16999999999999"/>
    <n v="18"/>
    <n v="0.92035398230088494"/>
    <s v="Inefficient"/>
    <s v="Very Long"/>
    <s v="Minor Delay"/>
  </r>
  <r>
    <x v="1"/>
    <x v="1"/>
    <x v="1"/>
    <x v="1"/>
    <x v="0"/>
    <x v="1"/>
    <s v="EMP_35"/>
    <d v="2024-05-24T02:57:00"/>
    <d v="2024-05-24T06:19:00"/>
    <n v="194"/>
    <n v="202"/>
    <n v="1"/>
    <x v="1"/>
    <x v="1"/>
    <n v="231.54"/>
    <n v="8"/>
    <n v="0.96039603960396036"/>
    <s v="Inefficient"/>
    <s v="Very Long"/>
    <s v="Minor Delay"/>
  </r>
  <r>
    <x v="2"/>
    <x v="2"/>
    <x v="2"/>
    <x v="0"/>
    <x v="1"/>
    <x v="2"/>
    <s v="EMP_88"/>
    <d v="2024-03-22T03:34:00"/>
    <d v="2024-03-22T08:51:00"/>
    <n v="214"/>
    <n v="317"/>
    <n v="1"/>
    <x v="0"/>
    <x v="2"/>
    <n v="280.95"/>
    <n v="103"/>
    <n v="0.67507886435331232"/>
    <s v="Inefficient"/>
    <s v="Very Long"/>
    <s v="Major Delay"/>
  </r>
  <r>
    <x v="3"/>
    <x v="0"/>
    <x v="3"/>
    <x v="0"/>
    <x v="2"/>
    <x v="3"/>
    <s v="EMP_133"/>
    <d v="2024-06-10T10:37:00"/>
    <d v="2024-06-10T13:36:00"/>
    <n v="176"/>
    <n v="179"/>
    <n v="1"/>
    <x v="2"/>
    <x v="0"/>
    <n v="413.74"/>
    <n v="3"/>
    <n v="0.98324022346368711"/>
    <s v="Inefficient"/>
    <s v="Very Long"/>
    <s v="Minor Delay"/>
  </r>
  <r>
    <x v="4"/>
    <x v="0"/>
    <x v="4"/>
    <x v="2"/>
    <x v="2"/>
    <x v="2"/>
    <s v="EMP_80"/>
    <d v="2024-07-02T11:38:00"/>
    <d v="2024-07-02T15:36:00"/>
    <n v="197"/>
    <n v="238"/>
    <n v="1"/>
    <x v="2"/>
    <x v="3"/>
    <n v="152.30000000000001"/>
    <n v="41"/>
    <n v="0.82773109243697474"/>
    <s v="Inefficient"/>
    <s v="Very Long"/>
    <s v="Major Delay"/>
  </r>
  <r>
    <x v="5"/>
    <x v="0"/>
    <x v="5"/>
    <x v="3"/>
    <x v="0"/>
    <x v="3"/>
    <s v="EMP_61"/>
    <d v="2024-05-23T11:14:00"/>
    <d v="2024-05-23T15:01:00"/>
    <n v="199"/>
    <n v="227"/>
    <n v="1"/>
    <x v="1"/>
    <x v="1"/>
    <n v="160.06"/>
    <n v="28"/>
    <n v="0.87665198237885467"/>
    <s v="Inefficient"/>
    <s v="Very Long"/>
    <s v="Minor Delay"/>
  </r>
  <r>
    <x v="6"/>
    <x v="3"/>
    <x v="6"/>
    <x v="2"/>
    <x v="2"/>
    <x v="0"/>
    <s v="EMP_55"/>
    <d v="2024-06-27T21:21:00"/>
    <d v="2024-06-27T23:14:00"/>
    <n v="84"/>
    <n v="113"/>
    <n v="1"/>
    <x v="2"/>
    <x v="4"/>
    <n v="440.88"/>
    <n v="29"/>
    <n v="0.74336283185840712"/>
    <s v="Inefficient"/>
    <s v="Long"/>
    <s v="Minor Delay"/>
  </r>
  <r>
    <x v="7"/>
    <x v="3"/>
    <x v="7"/>
    <x v="4"/>
    <x v="0"/>
    <x v="4"/>
    <s v="EMP_42"/>
    <d v="2024-08-13T07:44:00"/>
    <d v="2024-08-13T11:45:00"/>
    <n v="204"/>
    <n v="241"/>
    <n v="1"/>
    <x v="0"/>
    <x v="5"/>
    <n v="406.61"/>
    <n v="37"/>
    <n v="0.84647302904564314"/>
    <s v="Inefficient"/>
    <s v="Very Long"/>
    <s v="Major Delay"/>
  </r>
  <r>
    <x v="8"/>
    <x v="3"/>
    <x v="8"/>
    <x v="2"/>
    <x v="0"/>
    <x v="0"/>
    <s v="EMP_21"/>
    <d v="2024-12-27T21:26:00"/>
    <d v="2024-12-28T00:22:00"/>
    <n v="59"/>
    <n v="176"/>
    <n v="1"/>
    <x v="2"/>
    <x v="6"/>
    <n v="180.92"/>
    <n v="117"/>
    <n v="0.33522727272727271"/>
    <s v="Inefficient"/>
    <s v="Very Long"/>
    <s v="Major Delay"/>
  </r>
  <r>
    <x v="9"/>
    <x v="4"/>
    <x v="9"/>
    <x v="1"/>
    <x v="1"/>
    <x v="3"/>
    <s v="EMP_2"/>
    <d v="2024-06-17T01:14:00"/>
    <d v="2024-06-17T02:37:00"/>
    <n v="23"/>
    <n v="83"/>
    <n v="1"/>
    <x v="2"/>
    <x v="0"/>
    <n v="313.08999999999997"/>
    <n v="60"/>
    <n v="0.27710843373493976"/>
    <s v="Inefficient"/>
    <s v="Long"/>
    <s v="Major Delay"/>
  </r>
  <r>
    <x v="10"/>
    <x v="0"/>
    <x v="10"/>
    <x v="1"/>
    <x v="2"/>
    <x v="2"/>
    <s v="EMP_140"/>
    <d v="2024-07-15T01:41:00"/>
    <d v="2024-07-15T05:45:00"/>
    <n v="235"/>
    <n v="244"/>
    <n v="1"/>
    <x v="1"/>
    <x v="7"/>
    <n v="290.33999999999997"/>
    <n v="9"/>
    <n v="0.96311475409836067"/>
    <s v="Inefficient"/>
    <s v="Very Long"/>
    <s v="Minor Delay"/>
  </r>
  <r>
    <x v="11"/>
    <x v="1"/>
    <x v="11"/>
    <x v="1"/>
    <x v="2"/>
    <x v="2"/>
    <s v="EMP_133"/>
    <d v="2024-04-19T21:58:00"/>
    <d v="2024-04-20T00:48:00"/>
    <n v="167"/>
    <n v="170"/>
    <n v="1"/>
    <x v="0"/>
    <x v="3"/>
    <n v="428.89"/>
    <n v="3"/>
    <n v="0.98235294117647054"/>
    <s v="Inefficient"/>
    <s v="Very Long"/>
    <s v="Minor Delay"/>
  </r>
  <r>
    <x v="12"/>
    <x v="4"/>
    <x v="12"/>
    <x v="2"/>
    <x v="2"/>
    <x v="1"/>
    <s v="EMP_22"/>
    <d v="2024-03-19T08:52:00"/>
    <d v="2024-03-19T10:57:00"/>
    <n v="103"/>
    <n v="125"/>
    <n v="1"/>
    <x v="0"/>
    <x v="1"/>
    <n v="386.51"/>
    <n v="22"/>
    <n v="0.82399999999999995"/>
    <s v="Inefficient"/>
    <s v="Very Long"/>
    <s v="Minor Delay"/>
  </r>
  <r>
    <x v="13"/>
    <x v="1"/>
    <x v="13"/>
    <x v="2"/>
    <x v="0"/>
    <x v="1"/>
    <s v="EMP_102"/>
    <d v="2024-03-29T03:06:00"/>
    <d v="2024-03-29T08:52:00"/>
    <n v="229"/>
    <n v="346"/>
    <n v="1"/>
    <x v="1"/>
    <x v="3"/>
    <n v="138.07"/>
    <n v="117"/>
    <n v="0.66184971098265899"/>
    <s v="Inefficient"/>
    <s v="Very Long"/>
    <s v="Major Delay"/>
  </r>
  <r>
    <x v="14"/>
    <x v="3"/>
    <x v="14"/>
    <x v="2"/>
    <x v="2"/>
    <x v="3"/>
    <s v="EMP_51"/>
    <d v="2024-12-04T21:57:00"/>
    <d v="2024-12-05T01:18:00"/>
    <n v="133"/>
    <n v="201"/>
    <n v="1"/>
    <x v="0"/>
    <x v="8"/>
    <n v="144.80000000000001"/>
    <n v="68"/>
    <n v="0.6616915422885572"/>
    <s v="Inefficient"/>
    <s v="Very Long"/>
    <s v="Major Delay"/>
  </r>
  <r>
    <x v="15"/>
    <x v="2"/>
    <x v="15"/>
    <x v="0"/>
    <x v="1"/>
    <x v="4"/>
    <s v="EMP_143"/>
    <d v="2024-10-22T00:16:00"/>
    <d v="2024-10-22T02:35:00"/>
    <n v="65"/>
    <n v="139"/>
    <n v="1"/>
    <x v="1"/>
    <x v="5"/>
    <n v="487.35"/>
    <n v="74"/>
    <n v="0.46762589928057552"/>
    <s v="Inefficient"/>
    <s v="Very Long"/>
    <s v="Major Delay"/>
  </r>
  <r>
    <x v="16"/>
    <x v="3"/>
    <x v="16"/>
    <x v="2"/>
    <x v="3"/>
    <x v="3"/>
    <s v="EMP_88"/>
    <d v="2024-12-27T07:57:00"/>
    <d v="2024-12-27T10:06:00"/>
    <n v="81"/>
    <n v="129"/>
    <n v="1"/>
    <x v="1"/>
    <x v="5"/>
    <n v="192.46"/>
    <n v="48"/>
    <n v="0.62790697674418605"/>
    <s v="Inefficient"/>
    <s v="Very Long"/>
    <s v="Major Delay"/>
  </r>
  <r>
    <x v="17"/>
    <x v="2"/>
    <x v="17"/>
    <x v="1"/>
    <x v="1"/>
    <x v="3"/>
    <s v="EMP_59"/>
    <d v="2024-08-23T13:17:00"/>
    <d v="2024-08-23T15:46:00"/>
    <n v="105"/>
    <n v="149"/>
    <n v="1"/>
    <x v="0"/>
    <x v="7"/>
    <n v="427.43"/>
    <n v="44"/>
    <n v="0.70469798657718119"/>
    <s v="Inefficient"/>
    <s v="Very Long"/>
    <s v="Major Delay"/>
  </r>
  <r>
    <x v="18"/>
    <x v="1"/>
    <x v="18"/>
    <x v="3"/>
    <x v="2"/>
    <x v="0"/>
    <s v="EMP_120"/>
    <d v="2024-01-15T13:57:00"/>
    <d v="2024-01-15T14:32:00"/>
    <n v="24"/>
    <n v="35"/>
    <n v="1"/>
    <x v="1"/>
    <x v="4"/>
    <n v="273.64999999999998"/>
    <n v="11"/>
    <n v="0.68571428571428572"/>
    <s v="Inefficient"/>
    <s v="Medium"/>
    <s v="Minor Delay"/>
  </r>
  <r>
    <x v="19"/>
    <x v="3"/>
    <x v="19"/>
    <x v="0"/>
    <x v="0"/>
    <x v="1"/>
    <s v="EMP_108"/>
    <d v="2024-12-05T02:37:00"/>
    <d v="2024-12-05T05:26:00"/>
    <n v="160"/>
    <n v="169"/>
    <n v="1"/>
    <x v="1"/>
    <x v="1"/>
    <n v="109.32"/>
    <n v="9"/>
    <n v="0.94674556213017746"/>
    <s v="Inefficient"/>
    <s v="Very Long"/>
    <s v="Minor Delay"/>
  </r>
  <r>
    <x v="20"/>
    <x v="2"/>
    <x v="20"/>
    <x v="0"/>
    <x v="2"/>
    <x v="4"/>
    <s v="EMP_114"/>
    <d v="2024-03-06T14:06:00"/>
    <d v="2024-03-06T19:24:00"/>
    <n v="233"/>
    <n v="318"/>
    <n v="1"/>
    <x v="1"/>
    <x v="1"/>
    <n v="335.36"/>
    <n v="85"/>
    <n v="0.73270440251572322"/>
    <s v="Inefficient"/>
    <s v="Very Long"/>
    <s v="Major Delay"/>
  </r>
  <r>
    <x v="21"/>
    <x v="0"/>
    <x v="21"/>
    <x v="4"/>
    <x v="1"/>
    <x v="4"/>
    <s v="EMP_58"/>
    <d v="2024-03-02T22:25:00"/>
    <d v="2024-03-03T04:07:00"/>
    <n v="236"/>
    <n v="342"/>
    <n v="1"/>
    <x v="2"/>
    <x v="8"/>
    <n v="245.28"/>
    <n v="106"/>
    <n v="0.6900584795321637"/>
    <s v="Inefficient"/>
    <s v="Very Long"/>
    <s v="Major Delay"/>
  </r>
  <r>
    <x v="22"/>
    <x v="2"/>
    <x v="22"/>
    <x v="1"/>
    <x v="3"/>
    <x v="0"/>
    <s v="EMP_30"/>
    <d v="2024-04-26T14:39:00"/>
    <d v="2024-04-26T18:00:00"/>
    <n v="94"/>
    <n v="201"/>
    <n v="1"/>
    <x v="2"/>
    <x v="4"/>
    <n v="237.15"/>
    <n v="107"/>
    <n v="0.46766169154228854"/>
    <s v="Inefficient"/>
    <s v="Very Long"/>
    <s v="Major Delay"/>
  </r>
  <r>
    <x v="23"/>
    <x v="0"/>
    <x v="23"/>
    <x v="3"/>
    <x v="0"/>
    <x v="4"/>
    <s v="EMP_80"/>
    <d v="2024-04-21T14:27:00"/>
    <d v="2024-04-21T18:40:00"/>
    <n v="206"/>
    <n v="253"/>
    <n v="1"/>
    <x v="2"/>
    <x v="1"/>
    <n v="469.47"/>
    <n v="47"/>
    <n v="0.81422924901185767"/>
    <s v="Inefficient"/>
    <s v="Very Long"/>
    <s v="Major Delay"/>
  </r>
  <r>
    <x v="24"/>
    <x v="3"/>
    <x v="24"/>
    <x v="3"/>
    <x v="3"/>
    <x v="1"/>
    <s v="EMP_1"/>
    <d v="2024-04-11T19:55:00"/>
    <d v="2024-04-11T22:16:00"/>
    <n v="25"/>
    <n v="141"/>
    <n v="1"/>
    <x v="0"/>
    <x v="5"/>
    <n v="196.04"/>
    <n v="116"/>
    <n v="0.1773049645390071"/>
    <s v="Inefficient"/>
    <s v="Very Long"/>
    <s v="Major Delay"/>
  </r>
  <r>
    <x v="25"/>
    <x v="1"/>
    <x v="25"/>
    <x v="0"/>
    <x v="2"/>
    <x v="3"/>
    <s v="EMP_56"/>
    <d v="2024-08-29T06:53:00"/>
    <d v="2024-08-29T09:47:00"/>
    <n v="62"/>
    <n v="174"/>
    <n v="1"/>
    <x v="2"/>
    <x v="1"/>
    <n v="202.24"/>
    <n v="112"/>
    <n v="0.35632183908045978"/>
    <s v="Inefficient"/>
    <s v="Very Long"/>
    <s v="Major Delay"/>
  </r>
  <r>
    <x v="26"/>
    <x v="2"/>
    <x v="26"/>
    <x v="0"/>
    <x v="0"/>
    <x v="4"/>
    <s v="EMP_9"/>
    <d v="2024-05-07T19:33:00"/>
    <d v="2024-05-08T00:44:00"/>
    <n v="200"/>
    <n v="311"/>
    <n v="1"/>
    <x v="1"/>
    <x v="9"/>
    <n v="53.42"/>
    <n v="111"/>
    <n v="0.64308681672025725"/>
    <s v="Inefficient"/>
    <s v="Very Long"/>
    <s v="Major Delay"/>
  </r>
  <r>
    <x v="27"/>
    <x v="2"/>
    <x v="27"/>
    <x v="0"/>
    <x v="1"/>
    <x v="2"/>
    <s v="EMP_92"/>
    <d v="2024-11-13T23:49:00"/>
    <d v="2024-11-14T00:44:00"/>
    <n v="28"/>
    <n v="55"/>
    <n v="1"/>
    <x v="1"/>
    <x v="2"/>
    <n v="341.32"/>
    <n v="27"/>
    <n v="0.50909090909090904"/>
    <s v="Inefficient"/>
    <s v="Medium"/>
    <s v="Minor Delay"/>
  </r>
  <r>
    <x v="28"/>
    <x v="2"/>
    <x v="28"/>
    <x v="1"/>
    <x v="1"/>
    <x v="1"/>
    <s v="EMP_18"/>
    <d v="2024-04-29T20:22:00"/>
    <d v="2024-04-29T22:02:00"/>
    <n v="73"/>
    <n v="100"/>
    <n v="1"/>
    <x v="0"/>
    <x v="3"/>
    <n v="355.81"/>
    <n v="27"/>
    <n v="0.73"/>
    <s v="Inefficient"/>
    <s v="Long"/>
    <s v="Minor Delay"/>
  </r>
  <r>
    <x v="29"/>
    <x v="4"/>
    <x v="29"/>
    <x v="0"/>
    <x v="0"/>
    <x v="1"/>
    <s v="EMP_86"/>
    <d v="2024-02-07T10:46:00"/>
    <d v="2024-02-07T16:22:00"/>
    <n v="236"/>
    <n v="336"/>
    <n v="1"/>
    <x v="2"/>
    <x v="9"/>
    <n v="334.2"/>
    <n v="100"/>
    <n v="0.70238095238095233"/>
    <s v="Inefficient"/>
    <s v="Very Long"/>
    <s v="Major Delay"/>
  </r>
  <r>
    <x v="30"/>
    <x v="2"/>
    <x v="30"/>
    <x v="3"/>
    <x v="0"/>
    <x v="0"/>
    <s v="EMP_110"/>
    <d v="2024-09-01T00:46:00"/>
    <d v="2024-09-01T04:08:00"/>
    <n v="88"/>
    <n v="202"/>
    <n v="1"/>
    <x v="1"/>
    <x v="9"/>
    <n v="285.27"/>
    <n v="114"/>
    <n v="0.43564356435643564"/>
    <s v="Inefficient"/>
    <s v="Very Long"/>
    <s v="Major Delay"/>
  </r>
  <r>
    <x v="31"/>
    <x v="2"/>
    <x v="31"/>
    <x v="0"/>
    <x v="1"/>
    <x v="1"/>
    <s v="EMP_44"/>
    <d v="2024-05-13T10:34:00"/>
    <d v="2024-05-13T13:49:00"/>
    <n v="161"/>
    <n v="195"/>
    <n v="1"/>
    <x v="2"/>
    <x v="8"/>
    <n v="98.6"/>
    <n v="34"/>
    <n v="0.82564102564102559"/>
    <s v="Inefficient"/>
    <s v="Very Long"/>
    <s v="Major Delay"/>
  </r>
  <r>
    <x v="32"/>
    <x v="3"/>
    <x v="32"/>
    <x v="2"/>
    <x v="3"/>
    <x v="1"/>
    <s v="EMP_107"/>
    <d v="2024-11-11T00:00:00"/>
    <d v="2024-11-11T04:00:00"/>
    <n v="211"/>
    <n v="240"/>
    <n v="1"/>
    <x v="0"/>
    <x v="3"/>
    <n v="181.64"/>
    <n v="29"/>
    <n v="0.87916666666666665"/>
    <s v="Inefficient"/>
    <s v="Very Long"/>
    <s v="Minor Delay"/>
  </r>
  <r>
    <x v="33"/>
    <x v="1"/>
    <x v="33"/>
    <x v="0"/>
    <x v="0"/>
    <x v="0"/>
    <s v="EMP_21"/>
    <d v="2024-07-25T15:38:00"/>
    <d v="2024-07-25T18:35:00"/>
    <n v="131"/>
    <n v="177"/>
    <n v="1"/>
    <x v="0"/>
    <x v="7"/>
    <n v="270.29000000000002"/>
    <n v="46"/>
    <n v="0.74011299435028244"/>
    <s v="Inefficient"/>
    <s v="Very Long"/>
    <s v="Major Delay"/>
  </r>
  <r>
    <x v="34"/>
    <x v="1"/>
    <x v="34"/>
    <x v="3"/>
    <x v="0"/>
    <x v="3"/>
    <s v="EMP_91"/>
    <d v="2024-09-10T00:50:00"/>
    <d v="2024-09-10T02:01:00"/>
    <n v="63"/>
    <n v="71"/>
    <n v="1"/>
    <x v="1"/>
    <x v="1"/>
    <n v="384.66"/>
    <n v="8"/>
    <n v="0.88732394366197187"/>
    <s v="Inefficient"/>
    <s v="Long"/>
    <s v="Minor Delay"/>
  </r>
  <r>
    <x v="35"/>
    <x v="2"/>
    <x v="35"/>
    <x v="2"/>
    <x v="1"/>
    <x v="4"/>
    <s v="EMP_26"/>
    <d v="2024-09-23T16:04:00"/>
    <d v="2024-09-23T19:02:00"/>
    <n v="163"/>
    <n v="178"/>
    <n v="1"/>
    <x v="0"/>
    <x v="4"/>
    <n v="194.45"/>
    <n v="15"/>
    <n v="0.9157303370786517"/>
    <s v="Inefficient"/>
    <s v="Very Long"/>
    <s v="Minor Delay"/>
  </r>
  <r>
    <x v="36"/>
    <x v="2"/>
    <x v="36"/>
    <x v="4"/>
    <x v="0"/>
    <x v="3"/>
    <s v="EMP_87"/>
    <d v="2024-11-20T19:28:00"/>
    <d v="2024-11-20T21:05:00"/>
    <n v="86"/>
    <n v="97"/>
    <n v="1"/>
    <x v="2"/>
    <x v="5"/>
    <n v="94.41"/>
    <n v="11"/>
    <n v="0.88659793814432986"/>
    <s v="Inefficient"/>
    <s v="Long"/>
    <s v="Minor Delay"/>
  </r>
  <r>
    <x v="37"/>
    <x v="1"/>
    <x v="37"/>
    <x v="3"/>
    <x v="1"/>
    <x v="4"/>
    <s v="EMP_147"/>
    <d v="2024-08-25T06:42:00"/>
    <d v="2024-08-25T11:01:00"/>
    <n v="229"/>
    <n v="259"/>
    <n v="1"/>
    <x v="2"/>
    <x v="6"/>
    <n v="159.5"/>
    <n v="30"/>
    <n v="0.88416988416988418"/>
    <s v="Inefficient"/>
    <s v="Very Long"/>
    <s v="Minor Delay"/>
  </r>
  <r>
    <x v="38"/>
    <x v="2"/>
    <x v="38"/>
    <x v="3"/>
    <x v="0"/>
    <x v="2"/>
    <s v="EMP_90"/>
    <d v="2024-02-18T16:12:00"/>
    <d v="2024-02-18T19:19:00"/>
    <n v="108"/>
    <n v="187"/>
    <n v="1"/>
    <x v="1"/>
    <x v="8"/>
    <n v="376.48"/>
    <n v="79"/>
    <n v="0.57754010695187163"/>
    <s v="Inefficient"/>
    <s v="Very Long"/>
    <s v="Major Delay"/>
  </r>
  <r>
    <x v="39"/>
    <x v="3"/>
    <x v="39"/>
    <x v="3"/>
    <x v="2"/>
    <x v="0"/>
    <s v="EMP_5"/>
    <d v="2024-01-25T17:32:00"/>
    <d v="2024-01-25T20:09:00"/>
    <n v="154"/>
    <n v="157"/>
    <n v="1"/>
    <x v="1"/>
    <x v="5"/>
    <n v="388.34"/>
    <n v="3"/>
    <n v="0.98089171974522293"/>
    <s v="Inefficient"/>
    <s v="Very Long"/>
    <s v="Minor Delay"/>
  </r>
  <r>
    <x v="40"/>
    <x v="3"/>
    <x v="40"/>
    <x v="2"/>
    <x v="1"/>
    <x v="2"/>
    <s v="EMP_131"/>
    <d v="2024-11-28T01:01:00"/>
    <d v="2024-11-28T04:35:00"/>
    <n v="201"/>
    <n v="214"/>
    <n v="1"/>
    <x v="0"/>
    <x v="1"/>
    <n v="291.08"/>
    <n v="13"/>
    <n v="0.93925233644859818"/>
    <s v="Inefficient"/>
    <s v="Very Long"/>
    <s v="Minor Delay"/>
  </r>
  <r>
    <x v="41"/>
    <x v="0"/>
    <x v="41"/>
    <x v="3"/>
    <x v="1"/>
    <x v="1"/>
    <s v="EMP_138"/>
    <d v="2024-01-17T17:00:00"/>
    <d v="2024-01-17T20:46:00"/>
    <n v="161"/>
    <n v="226"/>
    <n v="1"/>
    <x v="2"/>
    <x v="9"/>
    <n v="439.36"/>
    <n v="65"/>
    <n v="0.71238938053097345"/>
    <s v="Inefficient"/>
    <s v="Very Long"/>
    <s v="Major Delay"/>
  </r>
  <r>
    <x v="42"/>
    <x v="2"/>
    <x v="42"/>
    <x v="2"/>
    <x v="2"/>
    <x v="0"/>
    <s v="EMP_77"/>
    <d v="2024-04-24T05:47:00"/>
    <d v="2024-04-24T08:05:00"/>
    <n v="111"/>
    <n v="138"/>
    <n v="1"/>
    <x v="0"/>
    <x v="6"/>
    <n v="333.11"/>
    <n v="27"/>
    <n v="0.80434782608695654"/>
    <s v="Inefficient"/>
    <s v="Very Long"/>
    <s v="Minor Delay"/>
  </r>
  <r>
    <x v="43"/>
    <x v="2"/>
    <x v="43"/>
    <x v="3"/>
    <x v="3"/>
    <x v="2"/>
    <s v="EMP_7"/>
    <d v="2024-06-22T19:43:00"/>
    <d v="2024-06-23T00:02:00"/>
    <n v="210"/>
    <n v="259"/>
    <n v="1"/>
    <x v="0"/>
    <x v="1"/>
    <n v="474.62"/>
    <n v="49"/>
    <n v="0.81081081081081086"/>
    <s v="Inefficient"/>
    <s v="Very Long"/>
    <s v="Major Delay"/>
  </r>
  <r>
    <x v="44"/>
    <x v="4"/>
    <x v="44"/>
    <x v="0"/>
    <x v="0"/>
    <x v="2"/>
    <s v="EMP_16"/>
    <d v="2024-06-20T23:55:00"/>
    <d v="2024-06-21T01:55:00"/>
    <n v="62"/>
    <n v="120"/>
    <n v="1"/>
    <x v="0"/>
    <x v="2"/>
    <n v="173.69"/>
    <n v="58"/>
    <n v="0.51666666666666672"/>
    <s v="Inefficient"/>
    <s v="Very Long"/>
    <s v="Major Delay"/>
  </r>
  <r>
    <x v="45"/>
    <x v="4"/>
    <x v="45"/>
    <x v="1"/>
    <x v="0"/>
    <x v="2"/>
    <s v="EMP_28"/>
    <d v="2024-11-25T06:34:00"/>
    <d v="2024-11-25T08:09:00"/>
    <n v="82"/>
    <n v="95"/>
    <n v="1"/>
    <x v="0"/>
    <x v="1"/>
    <n v="170.79"/>
    <n v="13"/>
    <n v="0.86315789473684212"/>
    <s v="Inefficient"/>
    <s v="Long"/>
    <s v="Minor Delay"/>
  </r>
  <r>
    <x v="46"/>
    <x v="1"/>
    <x v="46"/>
    <x v="3"/>
    <x v="1"/>
    <x v="4"/>
    <s v="EMP_94"/>
    <d v="2024-01-09T00:32:00"/>
    <d v="2024-01-09T02:56:00"/>
    <n v="76"/>
    <n v="144"/>
    <n v="1"/>
    <x v="0"/>
    <x v="4"/>
    <n v="482.99"/>
    <n v="68"/>
    <n v="0.52777777777777779"/>
    <s v="Inefficient"/>
    <s v="Very Long"/>
    <s v="Major Delay"/>
  </r>
  <r>
    <x v="47"/>
    <x v="2"/>
    <x v="47"/>
    <x v="3"/>
    <x v="0"/>
    <x v="4"/>
    <s v="EMP_55"/>
    <d v="2024-06-03T04:05:00"/>
    <d v="2024-06-03T09:32:00"/>
    <n v="228"/>
    <n v="327"/>
    <n v="1"/>
    <x v="1"/>
    <x v="3"/>
    <n v="205.93"/>
    <n v="99"/>
    <n v="0.69724770642201839"/>
    <s v="Inefficient"/>
    <s v="Very Long"/>
    <s v="Major Delay"/>
  </r>
  <r>
    <x v="48"/>
    <x v="1"/>
    <x v="48"/>
    <x v="2"/>
    <x v="3"/>
    <x v="4"/>
    <s v="EMP_86"/>
    <d v="2024-06-24T12:33:00"/>
    <d v="2024-06-24T15:14:00"/>
    <n v="83"/>
    <n v="161"/>
    <n v="1"/>
    <x v="0"/>
    <x v="0"/>
    <n v="197.84"/>
    <n v="78"/>
    <n v="0.51552795031055898"/>
    <s v="Inefficient"/>
    <s v="Very Long"/>
    <s v="Major Delay"/>
  </r>
  <r>
    <x v="49"/>
    <x v="0"/>
    <x v="49"/>
    <x v="0"/>
    <x v="1"/>
    <x v="4"/>
    <s v="EMP_16"/>
    <d v="2024-07-13T01:19:00"/>
    <d v="2024-07-13T05:24:00"/>
    <n v="195"/>
    <n v="245"/>
    <n v="1"/>
    <x v="1"/>
    <x v="4"/>
    <n v="252.59"/>
    <n v="50"/>
    <n v="0.79591836734693877"/>
    <s v="Inefficient"/>
    <s v="Very Long"/>
    <s v="Major Delay"/>
  </r>
  <r>
    <x v="50"/>
    <x v="4"/>
    <x v="50"/>
    <x v="1"/>
    <x v="1"/>
    <x v="4"/>
    <s v="EMP_53"/>
    <d v="2024-08-07T02:35:00"/>
    <d v="2024-08-07T04:36:00"/>
    <n v="52"/>
    <n v="121"/>
    <n v="1"/>
    <x v="2"/>
    <x v="0"/>
    <n v="122.07"/>
    <n v="69"/>
    <n v="0.42975206611570249"/>
    <s v="Inefficient"/>
    <s v="Very Long"/>
    <s v="Major Delay"/>
  </r>
  <r>
    <x v="51"/>
    <x v="3"/>
    <x v="51"/>
    <x v="1"/>
    <x v="3"/>
    <x v="1"/>
    <s v="EMP_121"/>
    <d v="2024-03-11T13:03:00"/>
    <d v="2024-03-11T15:29:00"/>
    <n v="48"/>
    <n v="146"/>
    <n v="1"/>
    <x v="2"/>
    <x v="6"/>
    <n v="54.31"/>
    <n v="98"/>
    <n v="0.32876712328767121"/>
    <s v="Inefficient"/>
    <s v="Very Long"/>
    <s v="Major Delay"/>
  </r>
  <r>
    <x v="52"/>
    <x v="3"/>
    <x v="52"/>
    <x v="1"/>
    <x v="2"/>
    <x v="3"/>
    <s v="EMP_118"/>
    <d v="2024-07-09T07:25:00"/>
    <d v="2024-07-09T10:21:00"/>
    <n v="174"/>
    <n v="176"/>
    <n v="1"/>
    <x v="0"/>
    <x v="2"/>
    <n v="322.24"/>
    <n v="2"/>
    <n v="0.98863636363636365"/>
    <s v="Inefficient"/>
    <s v="Very Long"/>
    <s v="Minor Delay"/>
  </r>
  <r>
    <x v="53"/>
    <x v="0"/>
    <x v="53"/>
    <x v="0"/>
    <x v="1"/>
    <x v="4"/>
    <s v="EMP_146"/>
    <d v="2024-08-12T15:37:00"/>
    <d v="2024-08-12T17:47:00"/>
    <n v="67"/>
    <n v="130"/>
    <n v="1"/>
    <x v="0"/>
    <x v="6"/>
    <n v="448.59"/>
    <n v="63"/>
    <n v="0.51538461538461533"/>
    <s v="Inefficient"/>
    <s v="Very Long"/>
    <s v="Major Delay"/>
  </r>
  <r>
    <x v="54"/>
    <x v="0"/>
    <x v="54"/>
    <x v="3"/>
    <x v="0"/>
    <x v="1"/>
    <s v="EMP_125"/>
    <d v="2024-03-24T12:22:00"/>
    <d v="2024-03-24T16:13:00"/>
    <n v="183"/>
    <n v="231"/>
    <n v="1"/>
    <x v="2"/>
    <x v="0"/>
    <n v="51.05"/>
    <n v="48"/>
    <n v="0.79220779220779225"/>
    <s v="Inefficient"/>
    <s v="Very Long"/>
    <s v="Major Delay"/>
  </r>
  <r>
    <x v="55"/>
    <x v="4"/>
    <x v="55"/>
    <x v="2"/>
    <x v="3"/>
    <x v="1"/>
    <s v="EMP_28"/>
    <d v="2024-11-25T11:00:00"/>
    <d v="2024-11-25T13:23:00"/>
    <n v="71"/>
    <n v="143"/>
    <n v="1"/>
    <x v="0"/>
    <x v="0"/>
    <n v="116.5"/>
    <n v="72"/>
    <n v="0.49650349650349651"/>
    <s v="Inefficient"/>
    <s v="Very Long"/>
    <s v="Major Delay"/>
  </r>
  <r>
    <x v="56"/>
    <x v="0"/>
    <x v="56"/>
    <x v="3"/>
    <x v="1"/>
    <x v="3"/>
    <s v="EMP_91"/>
    <d v="2024-03-04T20:40:00"/>
    <d v="2024-03-04T21:26:00"/>
    <n v="42"/>
    <n v="46"/>
    <n v="1"/>
    <x v="0"/>
    <x v="2"/>
    <n v="148.44"/>
    <n v="4"/>
    <n v="0.91304347826086951"/>
    <s v="Inefficient"/>
    <s v="Medium"/>
    <s v="Minor Delay"/>
  </r>
  <r>
    <x v="57"/>
    <x v="2"/>
    <x v="57"/>
    <x v="4"/>
    <x v="3"/>
    <x v="0"/>
    <s v="EMP_68"/>
    <d v="2024-09-03T10:46:00"/>
    <d v="2024-09-03T11:29:00"/>
    <n v="40"/>
    <n v="43"/>
    <n v="1"/>
    <x v="2"/>
    <x v="5"/>
    <n v="258.24"/>
    <n v="3"/>
    <n v="0.93023255813953487"/>
    <s v="Inefficient"/>
    <s v="Medium"/>
    <s v="Minor Delay"/>
  </r>
  <r>
    <x v="58"/>
    <x v="1"/>
    <x v="58"/>
    <x v="1"/>
    <x v="0"/>
    <x v="1"/>
    <s v="EMP_106"/>
    <d v="2024-02-08T01:36:00"/>
    <d v="2024-02-08T03:51:00"/>
    <n v="70"/>
    <n v="135"/>
    <n v="1"/>
    <x v="2"/>
    <x v="6"/>
    <n v="202.6"/>
    <n v="65"/>
    <n v="0.51851851851851849"/>
    <s v="Inefficient"/>
    <s v="Very Long"/>
    <s v="Major Delay"/>
  </r>
  <r>
    <x v="59"/>
    <x v="1"/>
    <x v="59"/>
    <x v="4"/>
    <x v="3"/>
    <x v="4"/>
    <s v="EMP_45"/>
    <d v="2024-06-11T00:35:00"/>
    <d v="2024-06-11T04:17:00"/>
    <n v="187"/>
    <n v="222"/>
    <n v="1"/>
    <x v="2"/>
    <x v="7"/>
    <n v="60.36"/>
    <n v="35"/>
    <n v="0.84234234234234229"/>
    <s v="Inefficient"/>
    <s v="Very Long"/>
    <s v="Major Delay"/>
  </r>
  <r>
    <x v="60"/>
    <x v="2"/>
    <x v="60"/>
    <x v="0"/>
    <x v="1"/>
    <x v="4"/>
    <s v="EMP_101"/>
    <d v="2024-06-19T16:23:00"/>
    <d v="2024-06-19T20:05:00"/>
    <n v="207"/>
    <n v="222"/>
    <n v="1"/>
    <x v="0"/>
    <x v="1"/>
    <n v="441.27"/>
    <n v="15"/>
    <n v="0.93243243243243246"/>
    <s v="Inefficient"/>
    <s v="Very Long"/>
    <s v="Minor Delay"/>
  </r>
  <r>
    <x v="61"/>
    <x v="1"/>
    <x v="61"/>
    <x v="0"/>
    <x v="1"/>
    <x v="3"/>
    <s v="EMP_105"/>
    <d v="2024-07-20T17:05:00"/>
    <d v="2024-07-20T18:54:00"/>
    <n v="88"/>
    <n v="109"/>
    <n v="1"/>
    <x v="1"/>
    <x v="7"/>
    <n v="464.98"/>
    <n v="21"/>
    <n v="0.80733944954128445"/>
    <s v="Inefficient"/>
    <s v="Long"/>
    <s v="Minor Delay"/>
  </r>
  <r>
    <x v="62"/>
    <x v="4"/>
    <x v="62"/>
    <x v="2"/>
    <x v="2"/>
    <x v="1"/>
    <s v="EMP_58"/>
    <d v="2024-05-19T01:43:00"/>
    <d v="2024-05-19T06:30:00"/>
    <n v="192"/>
    <n v="287"/>
    <n v="1"/>
    <x v="2"/>
    <x v="8"/>
    <n v="269.70999999999998"/>
    <n v="95"/>
    <n v="0.66898954703832758"/>
    <s v="Inefficient"/>
    <s v="Very Long"/>
    <s v="Major Delay"/>
  </r>
  <r>
    <x v="63"/>
    <x v="3"/>
    <x v="63"/>
    <x v="1"/>
    <x v="3"/>
    <x v="4"/>
    <s v="EMP_30"/>
    <d v="2024-01-06T00:27:00"/>
    <d v="2024-01-06T02:08:00"/>
    <n v="22"/>
    <n v="101"/>
    <n v="1"/>
    <x v="0"/>
    <x v="9"/>
    <n v="497.43"/>
    <n v="79"/>
    <n v="0.21782178217821782"/>
    <s v="Inefficient"/>
    <s v="Long"/>
    <s v="Major Delay"/>
  </r>
  <r>
    <x v="64"/>
    <x v="1"/>
    <x v="64"/>
    <x v="1"/>
    <x v="2"/>
    <x v="0"/>
    <s v="EMP_146"/>
    <d v="2024-03-19T23:08:00"/>
    <d v="2024-03-20T01:23:00"/>
    <n v="68"/>
    <n v="135"/>
    <n v="1"/>
    <x v="1"/>
    <x v="7"/>
    <n v="269.23"/>
    <n v="67"/>
    <n v="0.50370370370370365"/>
    <s v="Inefficient"/>
    <s v="Very Long"/>
    <s v="Major Delay"/>
  </r>
  <r>
    <x v="65"/>
    <x v="0"/>
    <x v="65"/>
    <x v="3"/>
    <x v="2"/>
    <x v="2"/>
    <s v="EMP_75"/>
    <d v="2024-08-28T01:24:00"/>
    <d v="2024-08-28T04:50:00"/>
    <n v="180"/>
    <n v="206"/>
    <n v="1"/>
    <x v="0"/>
    <x v="8"/>
    <n v="250.3"/>
    <n v="26"/>
    <n v="0.87378640776699024"/>
    <s v="Inefficient"/>
    <s v="Very Long"/>
    <s v="Minor Delay"/>
  </r>
  <r>
    <x v="66"/>
    <x v="1"/>
    <x v="66"/>
    <x v="2"/>
    <x v="0"/>
    <x v="0"/>
    <s v="EMP_20"/>
    <d v="2024-10-06T22:31:00"/>
    <d v="2024-10-07T01:31:00"/>
    <n v="184"/>
    <n v="180"/>
    <n v="0"/>
    <x v="1"/>
    <x v="7"/>
    <n v="235.12"/>
    <n v="-4"/>
    <n v="1.0222222222222221"/>
    <s v="Efficient"/>
    <s v="Very Long"/>
    <s v="On Time"/>
  </r>
  <r>
    <x v="67"/>
    <x v="1"/>
    <x v="67"/>
    <x v="4"/>
    <x v="2"/>
    <x v="4"/>
    <s v="EMP_67"/>
    <d v="2024-11-04T19:01:00"/>
    <d v="2024-11-04T20:14:00"/>
    <n v="70"/>
    <n v="73"/>
    <n v="1"/>
    <x v="2"/>
    <x v="6"/>
    <n v="180.6"/>
    <n v="3"/>
    <n v="0.95890410958904104"/>
    <s v="Inefficient"/>
    <s v="Long"/>
    <s v="Minor Delay"/>
  </r>
  <r>
    <x v="68"/>
    <x v="2"/>
    <x v="68"/>
    <x v="0"/>
    <x v="2"/>
    <x v="0"/>
    <s v="EMP_124"/>
    <d v="2024-11-17T02:52:00"/>
    <d v="2024-11-17T07:21:00"/>
    <n v="210"/>
    <n v="269"/>
    <n v="1"/>
    <x v="2"/>
    <x v="7"/>
    <n v="309.64"/>
    <n v="59"/>
    <n v="0.7806691449814126"/>
    <s v="Inefficient"/>
    <s v="Very Long"/>
    <s v="Major Delay"/>
  </r>
  <r>
    <x v="69"/>
    <x v="4"/>
    <x v="69"/>
    <x v="1"/>
    <x v="2"/>
    <x v="2"/>
    <s v="EMP_135"/>
    <d v="2024-08-28T15:01:00"/>
    <d v="2024-08-28T17:22:00"/>
    <n v="114"/>
    <n v="141"/>
    <n v="1"/>
    <x v="1"/>
    <x v="6"/>
    <n v="164.67"/>
    <n v="27"/>
    <n v="0.80851063829787229"/>
    <s v="Inefficient"/>
    <s v="Very Long"/>
    <s v="Minor Delay"/>
  </r>
  <r>
    <x v="70"/>
    <x v="4"/>
    <x v="70"/>
    <x v="0"/>
    <x v="1"/>
    <x v="1"/>
    <s v="EMP_76"/>
    <d v="2024-01-03T00:39:00"/>
    <d v="2024-01-03T05:15:00"/>
    <n v="174"/>
    <n v="276"/>
    <n v="1"/>
    <x v="2"/>
    <x v="6"/>
    <n v="488.9"/>
    <n v="102"/>
    <n v="0.63043478260869568"/>
    <s v="Inefficient"/>
    <s v="Very Long"/>
    <s v="Major Delay"/>
  </r>
  <r>
    <x v="71"/>
    <x v="3"/>
    <x v="71"/>
    <x v="4"/>
    <x v="1"/>
    <x v="4"/>
    <s v="EMP_27"/>
    <d v="2024-02-16T12:15:00"/>
    <d v="2024-02-16T14:10:00"/>
    <n v="109"/>
    <n v="115"/>
    <n v="1"/>
    <x v="1"/>
    <x v="0"/>
    <n v="473.42"/>
    <n v="6"/>
    <n v="0.94782608695652171"/>
    <s v="Inefficient"/>
    <s v="Long"/>
    <s v="Minor Delay"/>
  </r>
  <r>
    <x v="72"/>
    <x v="0"/>
    <x v="72"/>
    <x v="1"/>
    <x v="0"/>
    <x v="0"/>
    <s v="EMP_9"/>
    <d v="2024-09-01T08:02:00"/>
    <d v="2024-09-01T09:49:00"/>
    <n v="99"/>
    <n v="107"/>
    <n v="1"/>
    <x v="0"/>
    <x v="1"/>
    <n v="366.29"/>
    <n v="8"/>
    <n v="0.92523364485981308"/>
    <s v="Inefficient"/>
    <s v="Long"/>
    <s v="Minor Delay"/>
  </r>
  <r>
    <x v="73"/>
    <x v="2"/>
    <x v="73"/>
    <x v="0"/>
    <x v="1"/>
    <x v="4"/>
    <s v="EMP_26"/>
    <d v="2024-01-08T11:40:00"/>
    <d v="2024-01-08T12:12:00"/>
    <n v="21"/>
    <n v="32"/>
    <n v="1"/>
    <x v="1"/>
    <x v="3"/>
    <n v="380.23"/>
    <n v="11"/>
    <n v="0.65625"/>
    <s v="Inefficient"/>
    <s v="Medium"/>
    <s v="Minor Delay"/>
  </r>
  <r>
    <x v="74"/>
    <x v="1"/>
    <x v="74"/>
    <x v="0"/>
    <x v="0"/>
    <x v="1"/>
    <s v="EMP_27"/>
    <d v="2024-04-02T13:56:00"/>
    <d v="2024-04-02T16:13:00"/>
    <n v="65"/>
    <n v="137"/>
    <n v="1"/>
    <x v="1"/>
    <x v="1"/>
    <n v="336.77"/>
    <n v="72"/>
    <n v="0.47445255474452552"/>
    <s v="Inefficient"/>
    <s v="Very Long"/>
    <s v="Major Delay"/>
  </r>
  <r>
    <x v="75"/>
    <x v="0"/>
    <x v="75"/>
    <x v="4"/>
    <x v="0"/>
    <x v="0"/>
    <s v="EMP_135"/>
    <d v="2024-03-08T07:07:00"/>
    <d v="2024-03-08T12:02:00"/>
    <n v="177"/>
    <n v="295"/>
    <n v="1"/>
    <x v="1"/>
    <x v="0"/>
    <n v="54.3"/>
    <n v="118"/>
    <n v="0.6"/>
    <s v="Inefficient"/>
    <s v="Very Long"/>
    <s v="Major Delay"/>
  </r>
  <r>
    <x v="76"/>
    <x v="1"/>
    <x v="76"/>
    <x v="2"/>
    <x v="2"/>
    <x v="0"/>
    <s v="EMP_71"/>
    <d v="2024-10-01T14:15:00"/>
    <d v="2024-10-01T15:42:00"/>
    <n v="86"/>
    <n v="87"/>
    <n v="1"/>
    <x v="2"/>
    <x v="7"/>
    <n v="365.36"/>
    <n v="1"/>
    <n v="0.9885057471264368"/>
    <s v="Inefficient"/>
    <s v="Long"/>
    <s v="Minor Delay"/>
  </r>
  <r>
    <x v="77"/>
    <x v="0"/>
    <x v="77"/>
    <x v="1"/>
    <x v="0"/>
    <x v="2"/>
    <s v="EMP_8"/>
    <d v="2024-03-09T06:19:00"/>
    <d v="2024-03-09T09:02:00"/>
    <n v="88"/>
    <n v="163"/>
    <n v="1"/>
    <x v="2"/>
    <x v="9"/>
    <n v="321.79000000000002"/>
    <n v="75"/>
    <n v="0.53987730061349692"/>
    <s v="Inefficient"/>
    <s v="Very Long"/>
    <s v="Major Delay"/>
  </r>
  <r>
    <x v="78"/>
    <x v="3"/>
    <x v="78"/>
    <x v="0"/>
    <x v="1"/>
    <x v="0"/>
    <s v="EMP_28"/>
    <d v="2024-06-05T06:05:00"/>
    <d v="2024-06-05T08:24:00"/>
    <n v="139"/>
    <n v="139"/>
    <n v="0"/>
    <x v="1"/>
    <x v="6"/>
    <n v="299.98"/>
    <n v="0"/>
    <n v="1"/>
    <s v="On Target"/>
    <s v="Very Long"/>
    <s v="On Time"/>
  </r>
  <r>
    <x v="79"/>
    <x v="4"/>
    <x v="79"/>
    <x v="4"/>
    <x v="3"/>
    <x v="2"/>
    <s v="EMP_63"/>
    <d v="2024-10-30T21:47:00"/>
    <d v="2024-10-30T23:03:00"/>
    <n v="17"/>
    <n v="76"/>
    <n v="1"/>
    <x v="0"/>
    <x v="4"/>
    <n v="286.49"/>
    <n v="59"/>
    <n v="0.22368421052631579"/>
    <s v="Inefficient"/>
    <s v="Long"/>
    <s v="Major Delay"/>
  </r>
  <r>
    <x v="80"/>
    <x v="2"/>
    <x v="80"/>
    <x v="1"/>
    <x v="2"/>
    <x v="3"/>
    <s v="EMP_38"/>
    <d v="2024-01-26T11:14:00"/>
    <d v="2024-01-26T14:52:00"/>
    <n v="105"/>
    <n v="218"/>
    <n v="1"/>
    <x v="1"/>
    <x v="7"/>
    <n v="393.35"/>
    <n v="113"/>
    <n v="0.48165137614678899"/>
    <s v="Inefficient"/>
    <s v="Very Long"/>
    <s v="Major Delay"/>
  </r>
  <r>
    <x v="81"/>
    <x v="2"/>
    <x v="81"/>
    <x v="0"/>
    <x v="0"/>
    <x v="3"/>
    <s v="EMP_78"/>
    <d v="2024-01-04T15:44:00"/>
    <d v="2024-01-04T15:56:00"/>
    <n v="15"/>
    <n v="12"/>
    <n v="0"/>
    <x v="0"/>
    <x v="5"/>
    <n v="415.23"/>
    <n v="-3"/>
    <n v="1.25"/>
    <s v="Efficient"/>
    <s v="Short"/>
    <s v="On Time"/>
  </r>
  <r>
    <x v="82"/>
    <x v="0"/>
    <x v="82"/>
    <x v="4"/>
    <x v="0"/>
    <x v="0"/>
    <s v="EMP_129"/>
    <d v="2024-06-05T15:39:00"/>
    <d v="2024-06-05T17:04:00"/>
    <n v="77"/>
    <n v="85"/>
    <n v="1"/>
    <x v="2"/>
    <x v="0"/>
    <n v="124.2"/>
    <n v="8"/>
    <n v="0.90588235294117647"/>
    <s v="Inefficient"/>
    <s v="Long"/>
    <s v="Minor Delay"/>
  </r>
  <r>
    <x v="83"/>
    <x v="0"/>
    <x v="83"/>
    <x v="2"/>
    <x v="1"/>
    <x v="1"/>
    <s v="EMP_59"/>
    <d v="2024-12-13T15:36:00"/>
    <d v="2024-12-13T17:42:00"/>
    <n v="78"/>
    <n v="126"/>
    <n v="1"/>
    <x v="0"/>
    <x v="6"/>
    <n v="421.04"/>
    <n v="48"/>
    <n v="0.61904761904761907"/>
    <s v="Inefficient"/>
    <s v="Very Long"/>
    <s v="Major Delay"/>
  </r>
  <r>
    <x v="84"/>
    <x v="0"/>
    <x v="84"/>
    <x v="0"/>
    <x v="0"/>
    <x v="0"/>
    <s v="EMP_143"/>
    <d v="2024-05-30T22:00:00"/>
    <d v="2024-05-31T00:50:00"/>
    <n v="124"/>
    <n v="170"/>
    <n v="1"/>
    <x v="2"/>
    <x v="7"/>
    <n v="130.94"/>
    <n v="46"/>
    <n v="0.72941176470588232"/>
    <s v="Inefficient"/>
    <s v="Very Long"/>
    <s v="Major Delay"/>
  </r>
  <r>
    <x v="85"/>
    <x v="2"/>
    <x v="85"/>
    <x v="1"/>
    <x v="1"/>
    <x v="4"/>
    <s v="EMP_88"/>
    <d v="2024-03-05T21:43:00"/>
    <d v="2024-03-06T03:10:00"/>
    <n v="225"/>
    <n v="327"/>
    <n v="1"/>
    <x v="1"/>
    <x v="7"/>
    <n v="283.08999999999997"/>
    <n v="102"/>
    <n v="0.68807339449541283"/>
    <s v="Inefficient"/>
    <s v="Very Long"/>
    <s v="Major Delay"/>
  </r>
  <r>
    <x v="86"/>
    <x v="4"/>
    <x v="86"/>
    <x v="3"/>
    <x v="1"/>
    <x v="2"/>
    <s v="EMP_28"/>
    <d v="2024-09-08T16:12:00"/>
    <d v="2024-09-08T19:30:00"/>
    <n v="124"/>
    <n v="198"/>
    <n v="1"/>
    <x v="2"/>
    <x v="0"/>
    <n v="83.88"/>
    <n v="74"/>
    <n v="0.6262626262626263"/>
    <s v="Inefficient"/>
    <s v="Very Long"/>
    <s v="Major Delay"/>
  </r>
  <r>
    <x v="87"/>
    <x v="4"/>
    <x v="87"/>
    <x v="3"/>
    <x v="0"/>
    <x v="4"/>
    <s v="EMP_27"/>
    <d v="2024-02-17T18:01:00"/>
    <d v="2024-02-17T19:39:00"/>
    <n v="85"/>
    <n v="98"/>
    <n v="1"/>
    <x v="2"/>
    <x v="0"/>
    <n v="225.67"/>
    <n v="13"/>
    <n v="0.86734693877551017"/>
    <s v="Inefficient"/>
    <s v="Long"/>
    <s v="Minor Delay"/>
  </r>
  <r>
    <x v="88"/>
    <x v="1"/>
    <x v="88"/>
    <x v="2"/>
    <x v="2"/>
    <x v="1"/>
    <s v="EMP_121"/>
    <d v="2024-03-13T20:11:00"/>
    <d v="2024-03-13T23:40:00"/>
    <n v="181"/>
    <n v="209"/>
    <n v="1"/>
    <x v="2"/>
    <x v="2"/>
    <n v="172.21"/>
    <n v="28"/>
    <n v="0.86602870813397126"/>
    <s v="Inefficient"/>
    <s v="Very Long"/>
    <s v="Minor Delay"/>
  </r>
  <r>
    <x v="89"/>
    <x v="0"/>
    <x v="89"/>
    <x v="1"/>
    <x v="3"/>
    <x v="3"/>
    <s v="EMP_136"/>
    <d v="2024-12-18T13:22:00"/>
    <d v="2024-12-18T15:12:00"/>
    <n v="113"/>
    <n v="110"/>
    <n v="0"/>
    <x v="2"/>
    <x v="4"/>
    <n v="364.89"/>
    <n v="-3"/>
    <n v="1.0272727272727273"/>
    <s v="Efficient"/>
    <s v="Long"/>
    <s v="On Time"/>
  </r>
  <r>
    <x v="90"/>
    <x v="1"/>
    <x v="90"/>
    <x v="0"/>
    <x v="1"/>
    <x v="3"/>
    <s v="EMP_124"/>
    <d v="2024-05-06T15:32:00"/>
    <d v="2024-05-06T16:35:00"/>
    <n v="36"/>
    <n v="63"/>
    <n v="1"/>
    <x v="2"/>
    <x v="7"/>
    <n v="177.53"/>
    <n v="27"/>
    <n v="0.5714285714285714"/>
    <s v="Inefficient"/>
    <s v="Long"/>
    <s v="Minor Delay"/>
  </r>
  <r>
    <x v="91"/>
    <x v="3"/>
    <x v="91"/>
    <x v="4"/>
    <x v="1"/>
    <x v="0"/>
    <s v="EMP_134"/>
    <d v="2024-07-07T07:17:00"/>
    <d v="2024-07-07T12:13:00"/>
    <n v="221"/>
    <n v="296"/>
    <n v="1"/>
    <x v="1"/>
    <x v="2"/>
    <n v="260.11"/>
    <n v="75"/>
    <n v="0.7466216216216216"/>
    <s v="Inefficient"/>
    <s v="Very Long"/>
    <s v="Major Delay"/>
  </r>
  <r>
    <x v="92"/>
    <x v="4"/>
    <x v="92"/>
    <x v="2"/>
    <x v="2"/>
    <x v="0"/>
    <s v="EMP_26"/>
    <d v="2024-11-15T03:48:00"/>
    <d v="2024-11-15T07:13:00"/>
    <n v="177"/>
    <n v="205"/>
    <n v="1"/>
    <x v="0"/>
    <x v="9"/>
    <n v="481.12"/>
    <n v="28"/>
    <n v="0.86341463414634145"/>
    <s v="Inefficient"/>
    <s v="Very Long"/>
    <s v="Minor Delay"/>
  </r>
  <r>
    <x v="93"/>
    <x v="2"/>
    <x v="93"/>
    <x v="1"/>
    <x v="2"/>
    <x v="2"/>
    <s v="EMP_83"/>
    <d v="2024-09-20T17:49:00"/>
    <d v="2024-09-20T19:38:00"/>
    <n v="17"/>
    <n v="109"/>
    <n v="1"/>
    <x v="0"/>
    <x v="1"/>
    <n v="65.099999999999994"/>
    <n v="92"/>
    <n v="0.15596330275229359"/>
    <s v="Inefficient"/>
    <s v="Long"/>
    <s v="Major Delay"/>
  </r>
  <r>
    <x v="94"/>
    <x v="3"/>
    <x v="94"/>
    <x v="1"/>
    <x v="0"/>
    <x v="0"/>
    <s v="EMP_137"/>
    <d v="2024-04-10T17:49:00"/>
    <d v="2024-04-10T22:18:00"/>
    <n v="184"/>
    <n v="269"/>
    <n v="1"/>
    <x v="0"/>
    <x v="7"/>
    <n v="209.72"/>
    <n v="85"/>
    <n v="0.68401486988847582"/>
    <s v="Inefficient"/>
    <s v="Very Long"/>
    <s v="Major Delay"/>
  </r>
  <r>
    <x v="95"/>
    <x v="1"/>
    <x v="95"/>
    <x v="2"/>
    <x v="1"/>
    <x v="1"/>
    <s v="EMP_112"/>
    <d v="2024-10-22T11:10:00"/>
    <d v="2024-10-22T12:43:00"/>
    <n v="77"/>
    <n v="93"/>
    <n v="1"/>
    <x v="2"/>
    <x v="0"/>
    <n v="130.12"/>
    <n v="16"/>
    <n v="0.82795698924731187"/>
    <s v="Inefficient"/>
    <s v="Long"/>
    <s v="Minor Delay"/>
  </r>
  <r>
    <x v="96"/>
    <x v="3"/>
    <x v="96"/>
    <x v="0"/>
    <x v="2"/>
    <x v="0"/>
    <s v="EMP_143"/>
    <d v="2024-01-21T15:02:00"/>
    <d v="2024-01-21T16:30:00"/>
    <n v="30"/>
    <n v="88"/>
    <n v="1"/>
    <x v="2"/>
    <x v="1"/>
    <n v="174.12"/>
    <n v="58"/>
    <n v="0.34090909090909088"/>
    <s v="Inefficient"/>
    <s v="Long"/>
    <s v="Major Delay"/>
  </r>
  <r>
    <x v="97"/>
    <x v="4"/>
    <x v="97"/>
    <x v="3"/>
    <x v="1"/>
    <x v="4"/>
    <s v="EMP_26"/>
    <d v="2024-05-23T12:42:00"/>
    <d v="2024-05-23T16:13:00"/>
    <n v="161"/>
    <n v="211"/>
    <n v="1"/>
    <x v="1"/>
    <x v="2"/>
    <n v="411.13"/>
    <n v="50"/>
    <n v="0.76303317535545023"/>
    <s v="Inefficient"/>
    <s v="Very Long"/>
    <s v="Major Delay"/>
  </r>
  <r>
    <x v="98"/>
    <x v="2"/>
    <x v="98"/>
    <x v="3"/>
    <x v="1"/>
    <x v="2"/>
    <s v="EMP_143"/>
    <d v="2024-03-29T22:10:00"/>
    <d v="2024-03-30T01:01:00"/>
    <n v="77"/>
    <n v="171"/>
    <n v="1"/>
    <x v="1"/>
    <x v="4"/>
    <n v="113.26"/>
    <n v="94"/>
    <n v="0.45029239766081869"/>
    <s v="Inefficient"/>
    <s v="Very Long"/>
    <s v="Major Delay"/>
  </r>
  <r>
    <x v="99"/>
    <x v="3"/>
    <x v="99"/>
    <x v="2"/>
    <x v="2"/>
    <x v="3"/>
    <s v="EMP_64"/>
    <d v="2024-11-17T05:34:00"/>
    <d v="2024-11-17T11:16:00"/>
    <n v="235"/>
    <n v="342"/>
    <n v="1"/>
    <x v="1"/>
    <x v="3"/>
    <n v="161.09"/>
    <n v="107"/>
    <n v="0.6871345029239766"/>
    <s v="Inefficient"/>
    <s v="Very Long"/>
    <s v="Major Delay"/>
  </r>
  <r>
    <x v="100"/>
    <x v="2"/>
    <x v="100"/>
    <x v="0"/>
    <x v="3"/>
    <x v="4"/>
    <s v="EMP_15"/>
    <d v="2024-06-09T01:21:00"/>
    <d v="2024-06-09T05:11:00"/>
    <n v="152"/>
    <n v="230"/>
    <n v="1"/>
    <x v="2"/>
    <x v="1"/>
    <n v="375.96"/>
    <n v="78"/>
    <n v="0.66086956521739126"/>
    <s v="Inefficient"/>
    <s v="Very Long"/>
    <s v="Major Delay"/>
  </r>
  <r>
    <x v="101"/>
    <x v="1"/>
    <x v="101"/>
    <x v="1"/>
    <x v="2"/>
    <x v="0"/>
    <s v="EMP_38"/>
    <d v="2024-06-16T06:07:00"/>
    <d v="2024-06-16T09:19:00"/>
    <n v="161"/>
    <n v="192"/>
    <n v="1"/>
    <x v="0"/>
    <x v="3"/>
    <n v="431.74"/>
    <n v="31"/>
    <n v="0.83854166666666663"/>
    <s v="Inefficient"/>
    <s v="Very Long"/>
    <s v="Major Delay"/>
  </r>
  <r>
    <x v="102"/>
    <x v="0"/>
    <x v="102"/>
    <x v="4"/>
    <x v="0"/>
    <x v="0"/>
    <s v="EMP_37"/>
    <d v="2024-01-28T05:17:00"/>
    <d v="2024-01-28T09:58:00"/>
    <n v="176"/>
    <n v="281"/>
    <n v="1"/>
    <x v="0"/>
    <x v="6"/>
    <n v="492.06"/>
    <n v="105"/>
    <n v="0.62633451957295372"/>
    <s v="Inefficient"/>
    <s v="Very Long"/>
    <s v="Major Delay"/>
  </r>
  <r>
    <x v="103"/>
    <x v="2"/>
    <x v="103"/>
    <x v="1"/>
    <x v="0"/>
    <x v="0"/>
    <s v="EMP_53"/>
    <d v="2024-08-09T03:32:00"/>
    <d v="2024-08-09T04:44:00"/>
    <n v="40"/>
    <n v="72"/>
    <n v="1"/>
    <x v="0"/>
    <x v="4"/>
    <n v="104.17"/>
    <n v="32"/>
    <n v="0.55555555555555558"/>
    <s v="Inefficient"/>
    <s v="Long"/>
    <s v="Major Delay"/>
  </r>
  <r>
    <x v="104"/>
    <x v="0"/>
    <x v="104"/>
    <x v="0"/>
    <x v="1"/>
    <x v="4"/>
    <s v="EMP_127"/>
    <d v="2024-04-20T20:13:00"/>
    <d v="2024-04-20T22:58:00"/>
    <n v="98"/>
    <n v="165"/>
    <n v="1"/>
    <x v="0"/>
    <x v="7"/>
    <n v="418.01"/>
    <n v="67"/>
    <n v="0.59393939393939399"/>
    <s v="Inefficient"/>
    <s v="Very Long"/>
    <s v="Major Delay"/>
  </r>
  <r>
    <x v="105"/>
    <x v="2"/>
    <x v="105"/>
    <x v="1"/>
    <x v="0"/>
    <x v="3"/>
    <s v="EMP_124"/>
    <d v="2024-07-06T18:31:00"/>
    <d v="2024-07-06T22:09:00"/>
    <n v="213"/>
    <n v="218"/>
    <n v="1"/>
    <x v="2"/>
    <x v="1"/>
    <n v="275.48"/>
    <n v="5"/>
    <n v="0.97706422018348627"/>
    <s v="Inefficient"/>
    <s v="Very Long"/>
    <s v="Minor Delay"/>
  </r>
  <r>
    <x v="106"/>
    <x v="2"/>
    <x v="106"/>
    <x v="3"/>
    <x v="0"/>
    <x v="3"/>
    <s v="EMP_38"/>
    <d v="2024-01-27T02:52:00"/>
    <d v="2024-01-27T04:33:00"/>
    <n v="97"/>
    <n v="101"/>
    <n v="1"/>
    <x v="1"/>
    <x v="3"/>
    <n v="138.36000000000001"/>
    <n v="4"/>
    <n v="0.96039603960396036"/>
    <s v="Inefficient"/>
    <s v="Long"/>
    <s v="Minor Delay"/>
  </r>
  <r>
    <x v="107"/>
    <x v="4"/>
    <x v="107"/>
    <x v="2"/>
    <x v="1"/>
    <x v="4"/>
    <s v="EMP_80"/>
    <d v="2024-05-27T12:21:00"/>
    <d v="2024-05-27T14:11:00"/>
    <n v="50"/>
    <n v="110"/>
    <n v="1"/>
    <x v="0"/>
    <x v="7"/>
    <n v="211.4"/>
    <n v="60"/>
    <n v="0.45454545454545453"/>
    <s v="Inefficient"/>
    <s v="Long"/>
    <s v="Major Delay"/>
  </r>
  <r>
    <x v="108"/>
    <x v="3"/>
    <x v="108"/>
    <x v="1"/>
    <x v="1"/>
    <x v="0"/>
    <s v="EMP_10"/>
    <d v="2024-03-23T18:18:00"/>
    <d v="2024-03-23T23:32:00"/>
    <n v="216"/>
    <n v="314"/>
    <n v="1"/>
    <x v="2"/>
    <x v="2"/>
    <n v="361.12"/>
    <n v="98"/>
    <n v="0.68789808917197448"/>
    <s v="Inefficient"/>
    <s v="Very Long"/>
    <s v="Major Delay"/>
  </r>
  <r>
    <x v="109"/>
    <x v="1"/>
    <x v="109"/>
    <x v="0"/>
    <x v="0"/>
    <x v="3"/>
    <s v="EMP_78"/>
    <d v="2024-10-23T09:27:00"/>
    <d v="2024-10-23T12:49:00"/>
    <n v="136"/>
    <n v="202"/>
    <n v="1"/>
    <x v="1"/>
    <x v="4"/>
    <n v="155.22"/>
    <n v="66"/>
    <n v="0.67326732673267331"/>
    <s v="Inefficient"/>
    <s v="Very Long"/>
    <s v="Major Delay"/>
  </r>
  <r>
    <x v="110"/>
    <x v="2"/>
    <x v="110"/>
    <x v="3"/>
    <x v="3"/>
    <x v="0"/>
    <s v="EMP_11"/>
    <d v="2024-06-30T00:42:00"/>
    <d v="2024-06-30T03:25:00"/>
    <n v="50"/>
    <n v="163"/>
    <n v="1"/>
    <x v="0"/>
    <x v="7"/>
    <n v="387.75"/>
    <n v="113"/>
    <n v="0.30674846625766872"/>
    <s v="Inefficient"/>
    <s v="Very Long"/>
    <s v="Major Delay"/>
  </r>
  <r>
    <x v="111"/>
    <x v="0"/>
    <x v="111"/>
    <x v="1"/>
    <x v="0"/>
    <x v="1"/>
    <s v="EMP_99"/>
    <d v="2024-12-01T22:48:00"/>
    <d v="2024-12-01T23:37:00"/>
    <n v="13"/>
    <n v="49"/>
    <n v="1"/>
    <x v="1"/>
    <x v="3"/>
    <n v="234.36"/>
    <n v="36"/>
    <n v="0.26530612244897961"/>
    <s v="Inefficient"/>
    <s v="Medium"/>
    <s v="Major Delay"/>
  </r>
  <r>
    <x v="112"/>
    <x v="1"/>
    <x v="112"/>
    <x v="4"/>
    <x v="2"/>
    <x v="1"/>
    <s v="EMP_90"/>
    <d v="2024-11-18T02:09:00"/>
    <d v="2024-11-18T06:33:00"/>
    <n v="207"/>
    <n v="264"/>
    <n v="1"/>
    <x v="2"/>
    <x v="4"/>
    <n v="378.4"/>
    <n v="57"/>
    <n v="0.78409090909090906"/>
    <s v="Inefficient"/>
    <s v="Very Long"/>
    <s v="Major Delay"/>
  </r>
  <r>
    <x v="113"/>
    <x v="3"/>
    <x v="113"/>
    <x v="3"/>
    <x v="2"/>
    <x v="3"/>
    <s v="EMP_73"/>
    <d v="2024-01-11T03:12:00"/>
    <d v="2024-01-11T07:28:00"/>
    <n v="206"/>
    <n v="256"/>
    <n v="1"/>
    <x v="0"/>
    <x v="8"/>
    <n v="404.91"/>
    <n v="50"/>
    <n v="0.8046875"/>
    <s v="Inefficient"/>
    <s v="Very Long"/>
    <s v="Major Delay"/>
  </r>
  <r>
    <x v="114"/>
    <x v="1"/>
    <x v="114"/>
    <x v="0"/>
    <x v="0"/>
    <x v="4"/>
    <s v="EMP_129"/>
    <d v="2024-11-21T07:51:00"/>
    <d v="2024-11-21T10:09:00"/>
    <n v="93"/>
    <n v="138"/>
    <n v="1"/>
    <x v="0"/>
    <x v="5"/>
    <n v="424.76"/>
    <n v="45"/>
    <n v="0.67391304347826086"/>
    <s v="Inefficient"/>
    <s v="Very Long"/>
    <s v="Major Delay"/>
  </r>
  <r>
    <x v="115"/>
    <x v="4"/>
    <x v="115"/>
    <x v="2"/>
    <x v="2"/>
    <x v="0"/>
    <s v="EMP_11"/>
    <d v="2024-04-04T00:23:00"/>
    <d v="2024-04-04T04:56:00"/>
    <n v="156"/>
    <n v="273"/>
    <n v="1"/>
    <x v="2"/>
    <x v="4"/>
    <n v="63.64"/>
    <n v="117"/>
    <n v="0.5714285714285714"/>
    <s v="Inefficient"/>
    <s v="Very Long"/>
    <s v="Major Delay"/>
  </r>
  <r>
    <x v="116"/>
    <x v="0"/>
    <x v="116"/>
    <x v="2"/>
    <x v="0"/>
    <x v="4"/>
    <s v="EMP_146"/>
    <d v="2024-03-09T01:48:00"/>
    <d v="2024-03-09T05:09:00"/>
    <n v="117"/>
    <n v="201"/>
    <n v="1"/>
    <x v="1"/>
    <x v="0"/>
    <n v="145.69"/>
    <n v="84"/>
    <n v="0.58208955223880599"/>
    <s v="Inefficient"/>
    <s v="Very Long"/>
    <s v="Major Delay"/>
  </r>
  <r>
    <x v="117"/>
    <x v="1"/>
    <x v="117"/>
    <x v="2"/>
    <x v="0"/>
    <x v="2"/>
    <s v="EMP_44"/>
    <d v="2024-02-17T00:08:00"/>
    <d v="2024-02-17T04:34:00"/>
    <n v="192"/>
    <n v="266"/>
    <n v="1"/>
    <x v="0"/>
    <x v="8"/>
    <n v="282.42"/>
    <n v="74"/>
    <n v="0.72180451127819545"/>
    <s v="Inefficient"/>
    <s v="Very Long"/>
    <s v="Major Delay"/>
  </r>
  <r>
    <x v="118"/>
    <x v="3"/>
    <x v="118"/>
    <x v="2"/>
    <x v="3"/>
    <x v="0"/>
    <s v="EMP_4"/>
    <d v="2024-10-12T12:41:00"/>
    <d v="2024-10-12T15:58:00"/>
    <n v="114"/>
    <n v="197"/>
    <n v="1"/>
    <x v="1"/>
    <x v="9"/>
    <n v="147.5"/>
    <n v="83"/>
    <n v="0.57868020304568524"/>
    <s v="Inefficient"/>
    <s v="Very Long"/>
    <s v="Major Delay"/>
  </r>
  <r>
    <x v="119"/>
    <x v="3"/>
    <x v="119"/>
    <x v="2"/>
    <x v="2"/>
    <x v="0"/>
    <s v="EMP_35"/>
    <d v="2024-02-03T00:16:00"/>
    <d v="2024-02-03T04:26:00"/>
    <n v="143"/>
    <n v="250"/>
    <n v="1"/>
    <x v="0"/>
    <x v="4"/>
    <n v="310.88"/>
    <n v="107"/>
    <n v="0.57199999999999995"/>
    <s v="Inefficient"/>
    <s v="Very Long"/>
    <s v="Major Delay"/>
  </r>
  <r>
    <x v="120"/>
    <x v="2"/>
    <x v="120"/>
    <x v="3"/>
    <x v="3"/>
    <x v="2"/>
    <s v="EMP_17"/>
    <d v="2024-05-17T20:13:00"/>
    <d v="2024-05-18T00:02:00"/>
    <n v="117"/>
    <n v="229"/>
    <n v="1"/>
    <x v="0"/>
    <x v="9"/>
    <n v="351.16"/>
    <n v="112"/>
    <n v="0.51091703056768556"/>
    <s v="Inefficient"/>
    <s v="Very Long"/>
    <s v="Major Delay"/>
  </r>
  <r>
    <x v="121"/>
    <x v="3"/>
    <x v="121"/>
    <x v="3"/>
    <x v="3"/>
    <x v="3"/>
    <s v="EMP_92"/>
    <d v="2024-05-03T23:58:00"/>
    <d v="2024-05-04T04:50:00"/>
    <n v="227"/>
    <n v="292"/>
    <n v="1"/>
    <x v="2"/>
    <x v="3"/>
    <n v="72.95"/>
    <n v="65"/>
    <n v="0.7773972602739726"/>
    <s v="Inefficient"/>
    <s v="Very Long"/>
    <s v="Major Delay"/>
  </r>
  <r>
    <x v="122"/>
    <x v="3"/>
    <x v="122"/>
    <x v="0"/>
    <x v="3"/>
    <x v="3"/>
    <s v="EMP_34"/>
    <d v="2024-11-03T06:24:00"/>
    <d v="2024-11-03T10:26:00"/>
    <n v="132"/>
    <n v="242"/>
    <n v="1"/>
    <x v="2"/>
    <x v="2"/>
    <n v="489.88"/>
    <n v="110"/>
    <n v="0.54545454545454541"/>
    <s v="Inefficient"/>
    <s v="Very Long"/>
    <s v="Major Delay"/>
  </r>
  <r>
    <x v="123"/>
    <x v="3"/>
    <x v="123"/>
    <x v="2"/>
    <x v="3"/>
    <x v="3"/>
    <s v="EMP_1"/>
    <d v="2024-03-03T06:57:00"/>
    <d v="2024-03-03T09:18:00"/>
    <n v="55"/>
    <n v="141"/>
    <n v="1"/>
    <x v="0"/>
    <x v="0"/>
    <n v="479.95"/>
    <n v="86"/>
    <n v="0.39007092198581561"/>
    <s v="Inefficient"/>
    <s v="Very Long"/>
    <s v="Major Delay"/>
  </r>
  <r>
    <x v="124"/>
    <x v="4"/>
    <x v="124"/>
    <x v="2"/>
    <x v="1"/>
    <x v="1"/>
    <s v="EMP_59"/>
    <d v="2024-01-03T03:15:00"/>
    <d v="2024-01-03T08:00:00"/>
    <n v="237"/>
    <n v="285"/>
    <n v="1"/>
    <x v="0"/>
    <x v="9"/>
    <n v="367.89"/>
    <n v="48"/>
    <n v="0.83157894736842108"/>
    <s v="Inefficient"/>
    <s v="Very Long"/>
    <s v="Major Delay"/>
  </r>
  <r>
    <x v="125"/>
    <x v="4"/>
    <x v="125"/>
    <x v="0"/>
    <x v="1"/>
    <x v="4"/>
    <s v="EMP_141"/>
    <d v="2024-01-15T22:02:00"/>
    <d v="2024-01-16T02:15:00"/>
    <n v="174"/>
    <n v="253"/>
    <n v="1"/>
    <x v="1"/>
    <x v="4"/>
    <n v="467.99"/>
    <n v="79"/>
    <n v="0.68774703557312256"/>
    <s v="Inefficient"/>
    <s v="Very Long"/>
    <s v="Major Delay"/>
  </r>
  <r>
    <x v="126"/>
    <x v="1"/>
    <x v="126"/>
    <x v="1"/>
    <x v="2"/>
    <x v="2"/>
    <s v="EMP_147"/>
    <d v="2024-11-19T18:38:00"/>
    <d v="2024-11-19T22:30:00"/>
    <n v="233"/>
    <n v="232"/>
    <n v="0"/>
    <x v="2"/>
    <x v="3"/>
    <n v="443.42"/>
    <n v="-1"/>
    <n v="1.0043103448275863"/>
    <s v="Efficient"/>
    <s v="Very Long"/>
    <s v="On Time"/>
  </r>
  <r>
    <x v="127"/>
    <x v="1"/>
    <x v="127"/>
    <x v="4"/>
    <x v="1"/>
    <x v="4"/>
    <s v="EMP_145"/>
    <d v="2024-06-27T18:02:00"/>
    <d v="2024-06-27T20:42:00"/>
    <n v="65"/>
    <n v="160"/>
    <n v="1"/>
    <x v="0"/>
    <x v="1"/>
    <n v="180.84"/>
    <n v="95"/>
    <n v="0.40625"/>
    <s v="Inefficient"/>
    <s v="Very Long"/>
    <s v="Major Delay"/>
  </r>
  <r>
    <x v="128"/>
    <x v="0"/>
    <x v="128"/>
    <x v="1"/>
    <x v="0"/>
    <x v="2"/>
    <s v="EMP_106"/>
    <d v="2024-07-14T10:21:00"/>
    <d v="2024-07-14T12:09:00"/>
    <n v="93"/>
    <n v="108"/>
    <n v="1"/>
    <x v="2"/>
    <x v="1"/>
    <n v="76.06"/>
    <n v="15"/>
    <n v="0.86111111111111116"/>
    <s v="Inefficient"/>
    <s v="Long"/>
    <s v="Minor Delay"/>
  </r>
  <r>
    <x v="129"/>
    <x v="2"/>
    <x v="129"/>
    <x v="0"/>
    <x v="3"/>
    <x v="4"/>
    <s v="EMP_88"/>
    <d v="2024-11-06T14:24:00"/>
    <d v="2024-11-06T18:01:00"/>
    <n v="157"/>
    <n v="217"/>
    <n v="1"/>
    <x v="1"/>
    <x v="1"/>
    <n v="484.96"/>
    <n v="60"/>
    <n v="0.72350230414746541"/>
    <s v="Inefficient"/>
    <s v="Very Long"/>
    <s v="Major Delay"/>
  </r>
  <r>
    <x v="130"/>
    <x v="2"/>
    <x v="130"/>
    <x v="3"/>
    <x v="2"/>
    <x v="1"/>
    <s v="EMP_29"/>
    <d v="2024-05-09T10:20:00"/>
    <d v="2024-05-09T13:16:00"/>
    <n v="178"/>
    <n v="176"/>
    <n v="0"/>
    <x v="1"/>
    <x v="3"/>
    <n v="269.91000000000003"/>
    <n v="-2"/>
    <n v="1.0113636363636365"/>
    <s v="Efficient"/>
    <s v="Very Long"/>
    <s v="On Time"/>
  </r>
  <r>
    <x v="131"/>
    <x v="2"/>
    <x v="131"/>
    <x v="0"/>
    <x v="0"/>
    <x v="4"/>
    <s v="EMP_141"/>
    <d v="2024-09-15T03:13:00"/>
    <d v="2024-09-15T05:19:00"/>
    <n v="97"/>
    <n v="126"/>
    <n v="1"/>
    <x v="2"/>
    <x v="5"/>
    <n v="319.45"/>
    <n v="29"/>
    <n v="0.76984126984126988"/>
    <s v="Inefficient"/>
    <s v="Very Long"/>
    <s v="Minor Delay"/>
  </r>
  <r>
    <x v="132"/>
    <x v="1"/>
    <x v="132"/>
    <x v="2"/>
    <x v="2"/>
    <x v="4"/>
    <s v="EMP_36"/>
    <d v="2024-07-19T11:13:00"/>
    <d v="2024-07-19T12:36:00"/>
    <n v="72"/>
    <n v="83"/>
    <n v="1"/>
    <x v="1"/>
    <x v="4"/>
    <n v="410.05"/>
    <n v="11"/>
    <n v="0.86746987951807231"/>
    <s v="Inefficient"/>
    <s v="Long"/>
    <s v="Minor Delay"/>
  </r>
  <r>
    <x v="133"/>
    <x v="2"/>
    <x v="133"/>
    <x v="4"/>
    <x v="1"/>
    <x v="1"/>
    <s v="EMP_36"/>
    <d v="2024-04-12T11:16:00"/>
    <d v="2024-04-12T14:37:00"/>
    <n v="116"/>
    <n v="201"/>
    <n v="1"/>
    <x v="0"/>
    <x v="2"/>
    <n v="400.61"/>
    <n v="85"/>
    <n v="0.57711442786069655"/>
    <s v="Inefficient"/>
    <s v="Very Long"/>
    <s v="Major Delay"/>
  </r>
  <r>
    <x v="134"/>
    <x v="4"/>
    <x v="134"/>
    <x v="3"/>
    <x v="3"/>
    <x v="1"/>
    <s v="EMP_4"/>
    <d v="2024-11-12T08:55:00"/>
    <d v="2024-11-12T11:57:00"/>
    <n v="73"/>
    <n v="182"/>
    <n v="1"/>
    <x v="2"/>
    <x v="8"/>
    <n v="358.97"/>
    <n v="109"/>
    <n v="0.40109890109890112"/>
    <s v="Inefficient"/>
    <s v="Very Long"/>
    <s v="Major Delay"/>
  </r>
  <r>
    <x v="135"/>
    <x v="3"/>
    <x v="135"/>
    <x v="4"/>
    <x v="2"/>
    <x v="4"/>
    <s v="EMP_61"/>
    <d v="2024-03-02T22:08:00"/>
    <d v="2024-03-03T00:58:00"/>
    <n v="127"/>
    <n v="170"/>
    <n v="1"/>
    <x v="0"/>
    <x v="3"/>
    <n v="58.7"/>
    <n v="43"/>
    <n v="0.74705882352941178"/>
    <s v="Inefficient"/>
    <s v="Very Long"/>
    <s v="Major Delay"/>
  </r>
  <r>
    <x v="136"/>
    <x v="3"/>
    <x v="136"/>
    <x v="3"/>
    <x v="2"/>
    <x v="0"/>
    <s v="EMP_47"/>
    <d v="2024-04-03T08:31:00"/>
    <d v="2024-04-03T11:17:00"/>
    <n v="148"/>
    <n v="166"/>
    <n v="1"/>
    <x v="2"/>
    <x v="8"/>
    <n v="219.67"/>
    <n v="18"/>
    <n v="0.89156626506024095"/>
    <s v="Inefficient"/>
    <s v="Very Long"/>
    <s v="Minor Delay"/>
  </r>
  <r>
    <x v="137"/>
    <x v="1"/>
    <x v="137"/>
    <x v="4"/>
    <x v="0"/>
    <x v="4"/>
    <s v="EMP_94"/>
    <d v="2024-08-14T03:54:00"/>
    <d v="2024-08-14T07:02:00"/>
    <n v="104"/>
    <n v="188"/>
    <n v="1"/>
    <x v="1"/>
    <x v="5"/>
    <n v="100.05"/>
    <n v="84"/>
    <n v="0.55319148936170215"/>
    <s v="Inefficient"/>
    <s v="Very Long"/>
    <s v="Major Delay"/>
  </r>
  <r>
    <x v="138"/>
    <x v="2"/>
    <x v="138"/>
    <x v="2"/>
    <x v="1"/>
    <x v="4"/>
    <s v="EMP_113"/>
    <d v="2024-11-01T22:38:00"/>
    <d v="2024-11-02T01:58:00"/>
    <n v="141"/>
    <n v="200"/>
    <n v="1"/>
    <x v="0"/>
    <x v="9"/>
    <n v="195.12"/>
    <n v="59"/>
    <n v="0.70499999999999996"/>
    <s v="Inefficient"/>
    <s v="Very Long"/>
    <s v="Major Delay"/>
  </r>
  <r>
    <x v="139"/>
    <x v="0"/>
    <x v="139"/>
    <x v="2"/>
    <x v="3"/>
    <x v="0"/>
    <s v="EMP_21"/>
    <d v="2024-07-23T08:47:00"/>
    <d v="2024-07-23T13:27:00"/>
    <n v="226"/>
    <n v="280"/>
    <n v="1"/>
    <x v="2"/>
    <x v="4"/>
    <n v="347.58"/>
    <n v="54"/>
    <n v="0.80714285714285716"/>
    <s v="Inefficient"/>
    <s v="Very Long"/>
    <s v="Major Delay"/>
  </r>
  <r>
    <x v="140"/>
    <x v="2"/>
    <x v="140"/>
    <x v="2"/>
    <x v="3"/>
    <x v="2"/>
    <s v="EMP_72"/>
    <d v="2024-02-07T03:14:00"/>
    <d v="2024-02-07T07:04:00"/>
    <n v="150"/>
    <n v="230"/>
    <n v="1"/>
    <x v="2"/>
    <x v="2"/>
    <n v="413.26"/>
    <n v="80"/>
    <n v="0.65217391304347827"/>
    <s v="Inefficient"/>
    <s v="Very Long"/>
    <s v="Major Delay"/>
  </r>
  <r>
    <x v="141"/>
    <x v="0"/>
    <x v="141"/>
    <x v="2"/>
    <x v="0"/>
    <x v="0"/>
    <s v="EMP_62"/>
    <d v="2024-09-03T04:57:00"/>
    <d v="2024-09-03T06:12:00"/>
    <n v="10"/>
    <n v="75"/>
    <n v="1"/>
    <x v="0"/>
    <x v="4"/>
    <n v="366.55"/>
    <n v="65"/>
    <n v="0.13333333333333333"/>
    <s v="Inefficient"/>
    <s v="Long"/>
    <s v="Major Delay"/>
  </r>
  <r>
    <x v="142"/>
    <x v="4"/>
    <x v="142"/>
    <x v="0"/>
    <x v="3"/>
    <x v="2"/>
    <s v="EMP_72"/>
    <d v="2024-10-08T04:26:00"/>
    <d v="2024-10-08T08:30:00"/>
    <n v="172"/>
    <n v="244"/>
    <n v="1"/>
    <x v="1"/>
    <x v="3"/>
    <n v="85.77"/>
    <n v="72"/>
    <n v="0.70491803278688525"/>
    <s v="Inefficient"/>
    <s v="Very Long"/>
    <s v="Major Delay"/>
  </r>
  <r>
    <x v="143"/>
    <x v="4"/>
    <x v="143"/>
    <x v="0"/>
    <x v="0"/>
    <x v="2"/>
    <s v="EMP_13"/>
    <d v="2024-10-12T18:38:00"/>
    <d v="2024-10-12T22:47:00"/>
    <n v="155"/>
    <n v="249"/>
    <n v="1"/>
    <x v="1"/>
    <x v="9"/>
    <n v="430.32"/>
    <n v="94"/>
    <n v="0.6224899598393574"/>
    <s v="Inefficient"/>
    <s v="Very Long"/>
    <s v="Major Delay"/>
  </r>
  <r>
    <x v="144"/>
    <x v="4"/>
    <x v="144"/>
    <x v="1"/>
    <x v="1"/>
    <x v="4"/>
    <s v="EMP_95"/>
    <d v="2024-06-12T13:41:00"/>
    <d v="2024-06-12T15:00:00"/>
    <n v="84"/>
    <n v="79"/>
    <n v="0"/>
    <x v="2"/>
    <x v="6"/>
    <n v="118.78"/>
    <n v="-5"/>
    <n v="1.0632911392405062"/>
    <s v="Efficient"/>
    <s v="Long"/>
    <s v="On Time"/>
  </r>
  <r>
    <x v="145"/>
    <x v="2"/>
    <x v="145"/>
    <x v="0"/>
    <x v="0"/>
    <x v="1"/>
    <s v="EMP_38"/>
    <d v="2024-05-07T20:27:00"/>
    <d v="2024-05-08T02:19:00"/>
    <n v="236"/>
    <n v="352"/>
    <n v="1"/>
    <x v="0"/>
    <x v="4"/>
    <n v="115.31"/>
    <n v="116"/>
    <n v="0.67045454545454541"/>
    <s v="Inefficient"/>
    <s v="Very Long"/>
    <s v="Major Delay"/>
  </r>
  <r>
    <x v="146"/>
    <x v="2"/>
    <x v="146"/>
    <x v="4"/>
    <x v="3"/>
    <x v="3"/>
    <s v="EMP_102"/>
    <d v="2024-01-18T14:03:00"/>
    <d v="2024-01-18T17:50:00"/>
    <n v="179"/>
    <n v="227"/>
    <n v="1"/>
    <x v="0"/>
    <x v="6"/>
    <n v="295.18"/>
    <n v="48"/>
    <n v="0.78854625550660795"/>
    <s v="Inefficient"/>
    <s v="Very Long"/>
    <s v="Major Delay"/>
  </r>
  <r>
    <x v="147"/>
    <x v="0"/>
    <x v="147"/>
    <x v="4"/>
    <x v="2"/>
    <x v="2"/>
    <s v="EMP_118"/>
    <d v="2024-10-10T15:49:00"/>
    <d v="2024-10-10T20:25:00"/>
    <n v="188"/>
    <n v="276"/>
    <n v="1"/>
    <x v="2"/>
    <x v="5"/>
    <n v="221.35"/>
    <n v="88"/>
    <n v="0.6811594202898551"/>
    <s v="Inefficient"/>
    <s v="Very Long"/>
    <s v="Major Delay"/>
  </r>
  <r>
    <x v="148"/>
    <x v="0"/>
    <x v="148"/>
    <x v="0"/>
    <x v="0"/>
    <x v="2"/>
    <s v="EMP_117"/>
    <d v="2024-06-24T07:05:00"/>
    <d v="2024-06-24T11:11:00"/>
    <n v="174"/>
    <n v="246"/>
    <n v="1"/>
    <x v="1"/>
    <x v="9"/>
    <n v="80.099999999999994"/>
    <n v="72"/>
    <n v="0.70731707317073167"/>
    <s v="Inefficient"/>
    <s v="Very Long"/>
    <s v="Major Delay"/>
  </r>
  <r>
    <x v="149"/>
    <x v="2"/>
    <x v="149"/>
    <x v="0"/>
    <x v="0"/>
    <x v="4"/>
    <s v="EMP_74"/>
    <d v="2024-04-08T21:58:00"/>
    <d v="2024-04-08T23:48:00"/>
    <n v="53"/>
    <n v="110"/>
    <n v="1"/>
    <x v="0"/>
    <x v="3"/>
    <n v="471.22"/>
    <n v="57"/>
    <n v="0.48181818181818181"/>
    <s v="Inefficient"/>
    <s v="Long"/>
    <s v="Major Delay"/>
  </r>
  <r>
    <x v="150"/>
    <x v="4"/>
    <x v="150"/>
    <x v="2"/>
    <x v="3"/>
    <x v="2"/>
    <s v="EMP_20"/>
    <d v="2024-12-13T18:56:00"/>
    <d v="2024-12-13T23:31:00"/>
    <n v="157"/>
    <n v="275"/>
    <n v="1"/>
    <x v="2"/>
    <x v="0"/>
    <n v="298.23"/>
    <n v="118"/>
    <n v="0.57090909090909092"/>
    <s v="Inefficient"/>
    <s v="Very Long"/>
    <s v="Major Delay"/>
  </r>
  <r>
    <x v="151"/>
    <x v="2"/>
    <x v="151"/>
    <x v="0"/>
    <x v="0"/>
    <x v="2"/>
    <s v="EMP_73"/>
    <d v="2024-01-01T03:46:00"/>
    <d v="2024-01-01T06:43:00"/>
    <n v="163"/>
    <n v="177"/>
    <n v="1"/>
    <x v="2"/>
    <x v="4"/>
    <n v="293.52"/>
    <n v="14"/>
    <n v="0.92090395480225984"/>
    <s v="Inefficient"/>
    <s v="Very Long"/>
    <s v="Minor Delay"/>
  </r>
  <r>
    <x v="152"/>
    <x v="1"/>
    <x v="152"/>
    <x v="3"/>
    <x v="3"/>
    <x v="2"/>
    <s v="EMP_133"/>
    <d v="2024-09-16T15:49:00"/>
    <d v="2024-09-16T18:05:00"/>
    <n v="82"/>
    <n v="136"/>
    <n v="1"/>
    <x v="1"/>
    <x v="3"/>
    <n v="205.91"/>
    <n v="54"/>
    <n v="0.6029411764705882"/>
    <s v="Inefficient"/>
    <s v="Very Long"/>
    <s v="Major Delay"/>
  </r>
  <r>
    <x v="153"/>
    <x v="0"/>
    <x v="153"/>
    <x v="4"/>
    <x v="1"/>
    <x v="3"/>
    <s v="EMP_16"/>
    <d v="2024-08-19T07:44:00"/>
    <d v="2024-08-19T12:19:00"/>
    <n v="156"/>
    <n v="275"/>
    <n v="1"/>
    <x v="1"/>
    <x v="2"/>
    <n v="326.32"/>
    <n v="119"/>
    <n v="0.56727272727272726"/>
    <s v="Inefficient"/>
    <s v="Very Long"/>
    <s v="Major Delay"/>
  </r>
  <r>
    <x v="154"/>
    <x v="0"/>
    <x v="154"/>
    <x v="3"/>
    <x v="0"/>
    <x v="1"/>
    <s v="EMP_9"/>
    <d v="2024-06-26T21:47:00"/>
    <d v="2024-06-27T02:18:00"/>
    <n v="235"/>
    <n v="271"/>
    <n v="1"/>
    <x v="0"/>
    <x v="2"/>
    <n v="328.17"/>
    <n v="36"/>
    <n v="0.86715867158671589"/>
    <s v="Inefficient"/>
    <s v="Very Long"/>
    <s v="Major Delay"/>
  </r>
  <r>
    <x v="155"/>
    <x v="1"/>
    <x v="155"/>
    <x v="0"/>
    <x v="0"/>
    <x v="4"/>
    <s v="EMP_26"/>
    <d v="2024-07-07T14:47:00"/>
    <d v="2024-07-07T20:10:00"/>
    <n v="206"/>
    <n v="323"/>
    <n v="1"/>
    <x v="0"/>
    <x v="6"/>
    <n v="282.45999999999998"/>
    <n v="117"/>
    <n v="0.63777089783281737"/>
    <s v="Inefficient"/>
    <s v="Very Long"/>
    <s v="Major Delay"/>
  </r>
  <r>
    <x v="156"/>
    <x v="3"/>
    <x v="156"/>
    <x v="2"/>
    <x v="0"/>
    <x v="1"/>
    <s v="EMP_54"/>
    <d v="2024-02-02T17:28:00"/>
    <d v="2024-02-02T20:27:00"/>
    <n v="143"/>
    <n v="179"/>
    <n v="1"/>
    <x v="0"/>
    <x v="3"/>
    <n v="79.540000000000006"/>
    <n v="36"/>
    <n v="0.7988826815642458"/>
    <s v="Inefficient"/>
    <s v="Very Long"/>
    <s v="Major Delay"/>
  </r>
  <r>
    <x v="157"/>
    <x v="1"/>
    <x v="157"/>
    <x v="0"/>
    <x v="0"/>
    <x v="1"/>
    <s v="EMP_5"/>
    <d v="2024-03-21T18:28:00"/>
    <d v="2024-03-21T20:31:00"/>
    <n v="27"/>
    <n v="123"/>
    <n v="1"/>
    <x v="1"/>
    <x v="6"/>
    <n v="364.1"/>
    <n v="96"/>
    <n v="0.21951219512195122"/>
    <s v="Inefficient"/>
    <s v="Very Long"/>
    <s v="Major Delay"/>
  </r>
  <r>
    <x v="158"/>
    <x v="3"/>
    <x v="158"/>
    <x v="1"/>
    <x v="0"/>
    <x v="2"/>
    <s v="EMP_16"/>
    <d v="2024-03-15T07:44:00"/>
    <d v="2024-03-15T11:45:00"/>
    <n v="123"/>
    <n v="241"/>
    <n v="1"/>
    <x v="1"/>
    <x v="6"/>
    <n v="119.18"/>
    <n v="118"/>
    <n v="0.51037344398340245"/>
    <s v="Inefficient"/>
    <s v="Very Long"/>
    <s v="Major Delay"/>
  </r>
  <r>
    <x v="159"/>
    <x v="0"/>
    <x v="159"/>
    <x v="4"/>
    <x v="3"/>
    <x v="3"/>
    <s v="EMP_54"/>
    <d v="2024-02-17T19:37:00"/>
    <d v="2024-02-17T23:58:00"/>
    <n v="213"/>
    <n v="261"/>
    <n v="1"/>
    <x v="1"/>
    <x v="6"/>
    <n v="57.55"/>
    <n v="48"/>
    <n v="0.81609195402298851"/>
    <s v="Inefficient"/>
    <s v="Very Long"/>
    <s v="Major Delay"/>
  </r>
  <r>
    <x v="160"/>
    <x v="0"/>
    <x v="160"/>
    <x v="4"/>
    <x v="0"/>
    <x v="3"/>
    <s v="EMP_101"/>
    <d v="2024-02-01T05:22:00"/>
    <d v="2024-02-01T07:37:00"/>
    <n v="64"/>
    <n v="135"/>
    <n v="1"/>
    <x v="2"/>
    <x v="9"/>
    <n v="444.4"/>
    <n v="71"/>
    <n v="0.47407407407407409"/>
    <s v="Inefficient"/>
    <s v="Very Long"/>
    <s v="Major Delay"/>
  </r>
  <r>
    <x v="161"/>
    <x v="3"/>
    <x v="161"/>
    <x v="4"/>
    <x v="1"/>
    <x v="0"/>
    <s v="EMP_109"/>
    <d v="2024-06-05T19:22:00"/>
    <d v="2024-06-06T00:00:00"/>
    <n v="162"/>
    <n v="278"/>
    <n v="1"/>
    <x v="1"/>
    <x v="9"/>
    <n v="273.51"/>
    <n v="116"/>
    <n v="0.58273381294964033"/>
    <s v="Inefficient"/>
    <s v="Very Long"/>
    <s v="Major Delay"/>
  </r>
  <r>
    <x v="162"/>
    <x v="4"/>
    <x v="162"/>
    <x v="4"/>
    <x v="0"/>
    <x v="3"/>
    <s v="EMP_81"/>
    <d v="2024-02-25T23:24:00"/>
    <d v="2024-02-26T00:25:00"/>
    <n v="48"/>
    <n v="61"/>
    <n v="1"/>
    <x v="1"/>
    <x v="0"/>
    <n v="55.58"/>
    <n v="13"/>
    <n v="0.78688524590163933"/>
    <s v="Inefficient"/>
    <s v="Long"/>
    <s v="Minor Delay"/>
  </r>
  <r>
    <x v="163"/>
    <x v="4"/>
    <x v="163"/>
    <x v="3"/>
    <x v="0"/>
    <x v="0"/>
    <s v="EMP_69"/>
    <d v="2024-10-11T01:19:00"/>
    <d v="2024-10-11T02:18:00"/>
    <n v="17"/>
    <n v="59"/>
    <n v="1"/>
    <x v="2"/>
    <x v="9"/>
    <n v="371.13"/>
    <n v="42"/>
    <n v="0.28813559322033899"/>
    <s v="Inefficient"/>
    <s v="Medium"/>
    <s v="Major Delay"/>
  </r>
  <r>
    <x v="164"/>
    <x v="4"/>
    <x v="164"/>
    <x v="2"/>
    <x v="3"/>
    <x v="0"/>
    <s v="EMP_132"/>
    <d v="2024-06-15T19:32:00"/>
    <d v="2024-06-15T22:07:00"/>
    <n v="108"/>
    <n v="155"/>
    <n v="1"/>
    <x v="2"/>
    <x v="0"/>
    <n v="288.11"/>
    <n v="47"/>
    <n v="0.6967741935483871"/>
    <s v="Inefficient"/>
    <s v="Very Long"/>
    <s v="Major Delay"/>
  </r>
  <r>
    <x v="165"/>
    <x v="0"/>
    <x v="165"/>
    <x v="2"/>
    <x v="3"/>
    <x v="2"/>
    <s v="EMP_106"/>
    <d v="2024-03-11T01:56:00"/>
    <d v="2024-03-11T06:25:00"/>
    <n v="201"/>
    <n v="269"/>
    <n v="1"/>
    <x v="1"/>
    <x v="3"/>
    <n v="329.26"/>
    <n v="68"/>
    <n v="0.74721189591078063"/>
    <s v="Inefficient"/>
    <s v="Very Long"/>
    <s v="Major Delay"/>
  </r>
  <r>
    <x v="166"/>
    <x v="1"/>
    <x v="166"/>
    <x v="4"/>
    <x v="1"/>
    <x v="0"/>
    <s v="EMP_25"/>
    <d v="2024-01-16T18:45:00"/>
    <d v="2024-01-16T21:31:00"/>
    <n v="141"/>
    <n v="166"/>
    <n v="1"/>
    <x v="1"/>
    <x v="3"/>
    <n v="481.28"/>
    <n v="25"/>
    <n v="0.8493975903614458"/>
    <s v="Inefficient"/>
    <s v="Very Long"/>
    <s v="Minor Delay"/>
  </r>
  <r>
    <x v="167"/>
    <x v="3"/>
    <x v="167"/>
    <x v="3"/>
    <x v="1"/>
    <x v="1"/>
    <s v="EMP_122"/>
    <d v="2024-10-31T11:56:00"/>
    <d v="2024-10-31T13:39:00"/>
    <n v="95"/>
    <n v="103"/>
    <n v="1"/>
    <x v="1"/>
    <x v="5"/>
    <n v="495.69"/>
    <n v="8"/>
    <n v="0.92233009708737868"/>
    <s v="Inefficient"/>
    <s v="Long"/>
    <s v="Minor Delay"/>
  </r>
  <r>
    <x v="168"/>
    <x v="1"/>
    <x v="168"/>
    <x v="2"/>
    <x v="1"/>
    <x v="1"/>
    <s v="EMP_139"/>
    <d v="2024-04-18T16:24:00"/>
    <d v="2024-04-18T18:58:00"/>
    <n v="159"/>
    <n v="154"/>
    <n v="0"/>
    <x v="2"/>
    <x v="2"/>
    <n v="285.58"/>
    <n v="-5"/>
    <n v="1.0324675324675325"/>
    <s v="Efficient"/>
    <s v="Very Long"/>
    <s v="On Time"/>
  </r>
  <r>
    <x v="169"/>
    <x v="4"/>
    <x v="169"/>
    <x v="3"/>
    <x v="3"/>
    <x v="3"/>
    <s v="EMP_22"/>
    <d v="2024-05-29T01:24:00"/>
    <d v="2024-05-29T07:13:00"/>
    <n v="238"/>
    <n v="349"/>
    <n v="1"/>
    <x v="1"/>
    <x v="9"/>
    <n v="177.94"/>
    <n v="111"/>
    <n v="0.68194842406876788"/>
    <s v="Inefficient"/>
    <s v="Very Long"/>
    <s v="Major Delay"/>
  </r>
  <r>
    <x v="170"/>
    <x v="4"/>
    <x v="170"/>
    <x v="2"/>
    <x v="0"/>
    <x v="2"/>
    <s v="EMP_108"/>
    <d v="2024-04-05T16:13:00"/>
    <d v="2024-04-05T19:35:00"/>
    <n v="117"/>
    <n v="202"/>
    <n v="1"/>
    <x v="1"/>
    <x v="0"/>
    <n v="188.28"/>
    <n v="85"/>
    <n v="0.57920792079207917"/>
    <s v="Inefficient"/>
    <s v="Very Long"/>
    <s v="Major Delay"/>
  </r>
  <r>
    <x v="171"/>
    <x v="4"/>
    <x v="171"/>
    <x v="3"/>
    <x v="2"/>
    <x v="1"/>
    <s v="EMP_83"/>
    <d v="2024-09-12T12:17:00"/>
    <d v="2024-09-12T13:50:00"/>
    <n v="75"/>
    <n v="93"/>
    <n v="1"/>
    <x v="2"/>
    <x v="2"/>
    <n v="314.64"/>
    <n v="18"/>
    <n v="0.80645161290322576"/>
    <s v="Inefficient"/>
    <s v="Long"/>
    <s v="Minor Delay"/>
  </r>
  <r>
    <x v="172"/>
    <x v="4"/>
    <x v="172"/>
    <x v="4"/>
    <x v="1"/>
    <x v="3"/>
    <s v="EMP_126"/>
    <d v="2024-12-10T12:20:00"/>
    <d v="2024-12-10T14:28:00"/>
    <n v="61"/>
    <n v="128"/>
    <n v="1"/>
    <x v="2"/>
    <x v="6"/>
    <n v="403.15"/>
    <n v="67"/>
    <n v="0.4765625"/>
    <s v="Inefficient"/>
    <s v="Very Long"/>
    <s v="Major Delay"/>
  </r>
  <r>
    <x v="173"/>
    <x v="3"/>
    <x v="173"/>
    <x v="0"/>
    <x v="1"/>
    <x v="4"/>
    <s v="EMP_108"/>
    <d v="2024-10-08T23:34:00"/>
    <d v="2024-10-09T03:42:00"/>
    <n v="155"/>
    <n v="248"/>
    <n v="1"/>
    <x v="1"/>
    <x v="2"/>
    <n v="87.14"/>
    <n v="93"/>
    <n v="0.625"/>
    <s v="Inefficient"/>
    <s v="Very Long"/>
    <s v="Major Delay"/>
  </r>
  <r>
    <x v="174"/>
    <x v="4"/>
    <x v="174"/>
    <x v="0"/>
    <x v="1"/>
    <x v="3"/>
    <s v="EMP_110"/>
    <d v="2024-03-23T22:15:00"/>
    <d v="2024-03-23T22:42:00"/>
    <n v="29"/>
    <n v="27"/>
    <n v="0"/>
    <x v="2"/>
    <x v="8"/>
    <n v="80.58"/>
    <n v="-2"/>
    <n v="1.0740740740740742"/>
    <s v="Efficient"/>
    <s v="Short"/>
    <s v="On Time"/>
  </r>
  <r>
    <x v="175"/>
    <x v="1"/>
    <x v="175"/>
    <x v="1"/>
    <x v="3"/>
    <x v="1"/>
    <s v="EMP_138"/>
    <d v="2024-09-22T06:41:00"/>
    <d v="2024-09-22T11:08:00"/>
    <n v="151"/>
    <n v="267"/>
    <n v="1"/>
    <x v="1"/>
    <x v="5"/>
    <n v="285.13"/>
    <n v="116"/>
    <n v="0.56554307116104874"/>
    <s v="Inefficient"/>
    <s v="Very Long"/>
    <s v="Major Delay"/>
  </r>
  <r>
    <x v="176"/>
    <x v="0"/>
    <x v="176"/>
    <x v="0"/>
    <x v="0"/>
    <x v="4"/>
    <s v="EMP_44"/>
    <d v="2024-05-19T15:08:00"/>
    <d v="2024-05-19T16:22:00"/>
    <n v="55"/>
    <n v="74"/>
    <n v="1"/>
    <x v="1"/>
    <x v="7"/>
    <n v="189.56"/>
    <n v="19"/>
    <n v="0.7432432432432432"/>
    <s v="Inefficient"/>
    <s v="Long"/>
    <s v="Minor Delay"/>
  </r>
  <r>
    <x v="177"/>
    <x v="0"/>
    <x v="177"/>
    <x v="3"/>
    <x v="2"/>
    <x v="4"/>
    <s v="EMP_29"/>
    <d v="2024-10-03T06:12:00"/>
    <d v="2024-10-03T06:39:00"/>
    <n v="21"/>
    <n v="27"/>
    <n v="1"/>
    <x v="0"/>
    <x v="0"/>
    <n v="189.85"/>
    <n v="6"/>
    <n v="0.77777777777777779"/>
    <s v="Inefficient"/>
    <s v="Short"/>
    <s v="Minor Delay"/>
  </r>
  <r>
    <x v="178"/>
    <x v="0"/>
    <x v="178"/>
    <x v="4"/>
    <x v="3"/>
    <x v="3"/>
    <s v="EMP_71"/>
    <d v="2024-03-18T21:18:00"/>
    <d v="2024-03-19T01:43:00"/>
    <n v="197"/>
    <n v="265"/>
    <n v="1"/>
    <x v="0"/>
    <x v="0"/>
    <n v="479.16"/>
    <n v="68"/>
    <n v="0.74339622641509429"/>
    <s v="Inefficient"/>
    <s v="Very Long"/>
    <s v="Major Delay"/>
  </r>
  <r>
    <x v="179"/>
    <x v="4"/>
    <x v="179"/>
    <x v="4"/>
    <x v="2"/>
    <x v="2"/>
    <s v="EMP_97"/>
    <d v="2024-09-09T06:13:00"/>
    <d v="2024-09-09T10:13:00"/>
    <n v="213"/>
    <n v="240"/>
    <n v="1"/>
    <x v="1"/>
    <x v="9"/>
    <n v="124.97"/>
    <n v="27"/>
    <n v="0.88749999999999996"/>
    <s v="Inefficient"/>
    <s v="Very Long"/>
    <s v="Minor Delay"/>
  </r>
  <r>
    <x v="180"/>
    <x v="3"/>
    <x v="180"/>
    <x v="0"/>
    <x v="3"/>
    <x v="0"/>
    <s v="EMP_10"/>
    <d v="2024-10-23T15:55:00"/>
    <d v="2024-10-23T19:10:00"/>
    <n v="105"/>
    <n v="195"/>
    <n v="1"/>
    <x v="2"/>
    <x v="1"/>
    <n v="105.18"/>
    <n v="90"/>
    <n v="0.53846153846153844"/>
    <s v="Inefficient"/>
    <s v="Very Long"/>
    <s v="Major Delay"/>
  </r>
  <r>
    <x v="181"/>
    <x v="1"/>
    <x v="181"/>
    <x v="4"/>
    <x v="0"/>
    <x v="0"/>
    <s v="EMP_3"/>
    <d v="2024-07-25T02:48:00"/>
    <d v="2024-07-25T06:28:00"/>
    <n v="127"/>
    <n v="220"/>
    <n v="1"/>
    <x v="0"/>
    <x v="8"/>
    <n v="279.64"/>
    <n v="93"/>
    <n v="0.57727272727272727"/>
    <s v="Inefficient"/>
    <s v="Very Long"/>
    <s v="Major Delay"/>
  </r>
  <r>
    <x v="182"/>
    <x v="4"/>
    <x v="182"/>
    <x v="2"/>
    <x v="0"/>
    <x v="2"/>
    <s v="EMP_122"/>
    <d v="2024-07-05T21:11:00"/>
    <d v="2024-07-05T23:34:00"/>
    <n v="125"/>
    <n v="143"/>
    <n v="1"/>
    <x v="2"/>
    <x v="9"/>
    <n v="157.05000000000001"/>
    <n v="18"/>
    <n v="0.87412587412587417"/>
    <s v="Inefficient"/>
    <s v="Very Long"/>
    <s v="Minor Delay"/>
  </r>
  <r>
    <x v="183"/>
    <x v="4"/>
    <x v="183"/>
    <x v="2"/>
    <x v="2"/>
    <x v="1"/>
    <s v="EMP_28"/>
    <d v="2024-02-01T22:16:00"/>
    <d v="2024-02-02T02:05:00"/>
    <n v="119"/>
    <n v="229"/>
    <n v="1"/>
    <x v="1"/>
    <x v="9"/>
    <n v="58.47"/>
    <n v="110"/>
    <n v="0.51965065502183405"/>
    <s v="Inefficient"/>
    <s v="Very Long"/>
    <s v="Major Delay"/>
  </r>
  <r>
    <x v="184"/>
    <x v="4"/>
    <x v="184"/>
    <x v="1"/>
    <x v="0"/>
    <x v="4"/>
    <s v="EMP_43"/>
    <d v="2024-08-23T07:01:00"/>
    <d v="2024-08-23T09:29:00"/>
    <n v="153"/>
    <n v="148"/>
    <n v="0"/>
    <x v="1"/>
    <x v="7"/>
    <n v="442.49"/>
    <n v="-5"/>
    <n v="1.0337837837837838"/>
    <s v="Efficient"/>
    <s v="Very Long"/>
    <s v="On Time"/>
  </r>
  <r>
    <x v="185"/>
    <x v="0"/>
    <x v="185"/>
    <x v="1"/>
    <x v="1"/>
    <x v="2"/>
    <s v="EMP_38"/>
    <d v="2024-12-05T03:01:00"/>
    <d v="2024-12-05T05:33:00"/>
    <n v="112"/>
    <n v="152"/>
    <n v="1"/>
    <x v="1"/>
    <x v="8"/>
    <n v="235"/>
    <n v="40"/>
    <n v="0.73684210526315785"/>
    <s v="Inefficient"/>
    <s v="Very Long"/>
    <s v="Major Delay"/>
  </r>
  <r>
    <x v="186"/>
    <x v="4"/>
    <x v="186"/>
    <x v="3"/>
    <x v="2"/>
    <x v="2"/>
    <s v="EMP_77"/>
    <d v="2024-01-17T07:35:00"/>
    <d v="2024-01-17T12:11:00"/>
    <n v="178"/>
    <n v="276"/>
    <n v="1"/>
    <x v="1"/>
    <x v="4"/>
    <n v="423.58"/>
    <n v="98"/>
    <n v="0.64492753623188404"/>
    <s v="Inefficient"/>
    <s v="Very Long"/>
    <s v="Major Delay"/>
  </r>
  <r>
    <x v="187"/>
    <x v="2"/>
    <x v="187"/>
    <x v="4"/>
    <x v="0"/>
    <x v="2"/>
    <s v="EMP_26"/>
    <d v="2024-01-27T00:17:00"/>
    <d v="2024-01-27T01:49:00"/>
    <n v="55"/>
    <n v="92"/>
    <n v="1"/>
    <x v="0"/>
    <x v="5"/>
    <n v="303.55"/>
    <n v="37"/>
    <n v="0.59782608695652173"/>
    <s v="Inefficient"/>
    <s v="Long"/>
    <s v="Major Delay"/>
  </r>
  <r>
    <x v="188"/>
    <x v="3"/>
    <x v="188"/>
    <x v="3"/>
    <x v="3"/>
    <x v="4"/>
    <s v="EMP_39"/>
    <d v="2024-08-20T20:00:00"/>
    <d v="2024-08-21T00:05:00"/>
    <n v="230"/>
    <n v="245"/>
    <n v="1"/>
    <x v="1"/>
    <x v="3"/>
    <n v="495.34"/>
    <n v="15"/>
    <n v="0.93877551020408168"/>
    <s v="Inefficient"/>
    <s v="Very Long"/>
    <s v="Minor Delay"/>
  </r>
  <r>
    <x v="189"/>
    <x v="1"/>
    <x v="189"/>
    <x v="4"/>
    <x v="1"/>
    <x v="1"/>
    <s v="EMP_117"/>
    <d v="2024-06-16T05:55:00"/>
    <d v="2024-06-16T08:56:00"/>
    <n v="90"/>
    <n v="181"/>
    <n v="1"/>
    <x v="1"/>
    <x v="4"/>
    <n v="467.42"/>
    <n v="91"/>
    <n v="0.49723756906077349"/>
    <s v="Inefficient"/>
    <s v="Very Long"/>
    <s v="Major Delay"/>
  </r>
  <r>
    <x v="190"/>
    <x v="2"/>
    <x v="190"/>
    <x v="3"/>
    <x v="2"/>
    <x v="1"/>
    <s v="EMP_14"/>
    <d v="2024-05-05T11:40:00"/>
    <d v="2024-05-05T14:22:00"/>
    <n v="124"/>
    <n v="162"/>
    <n v="1"/>
    <x v="1"/>
    <x v="4"/>
    <n v="253.48"/>
    <n v="38"/>
    <n v="0.76543209876543206"/>
    <s v="Inefficient"/>
    <s v="Very Long"/>
    <s v="Major Delay"/>
  </r>
  <r>
    <x v="191"/>
    <x v="2"/>
    <x v="191"/>
    <x v="0"/>
    <x v="1"/>
    <x v="0"/>
    <s v="EMP_25"/>
    <d v="2024-02-03T21:55:00"/>
    <d v="2024-02-03T23:03:00"/>
    <n v="28"/>
    <n v="68"/>
    <n v="1"/>
    <x v="0"/>
    <x v="3"/>
    <n v="487.61"/>
    <n v="40"/>
    <n v="0.41176470588235292"/>
    <s v="Inefficient"/>
    <s v="Long"/>
    <s v="Major Delay"/>
  </r>
  <r>
    <x v="192"/>
    <x v="1"/>
    <x v="192"/>
    <x v="2"/>
    <x v="2"/>
    <x v="3"/>
    <s v="EMP_86"/>
    <d v="2024-09-09T15:31:00"/>
    <d v="2024-09-09T18:13:00"/>
    <n v="50"/>
    <n v="162"/>
    <n v="1"/>
    <x v="0"/>
    <x v="8"/>
    <n v="241.08"/>
    <n v="112"/>
    <n v="0.30864197530864196"/>
    <s v="Inefficient"/>
    <s v="Very Long"/>
    <s v="Major Delay"/>
  </r>
  <r>
    <x v="193"/>
    <x v="2"/>
    <x v="193"/>
    <x v="1"/>
    <x v="2"/>
    <x v="1"/>
    <s v="EMP_16"/>
    <d v="2024-06-26T02:45:00"/>
    <d v="2024-06-26T06:17:00"/>
    <n v="151"/>
    <n v="212"/>
    <n v="1"/>
    <x v="2"/>
    <x v="0"/>
    <n v="241.78"/>
    <n v="61"/>
    <n v="0.71226415094339623"/>
    <s v="Inefficient"/>
    <s v="Very Long"/>
    <s v="Major Delay"/>
  </r>
  <r>
    <x v="194"/>
    <x v="3"/>
    <x v="194"/>
    <x v="0"/>
    <x v="3"/>
    <x v="1"/>
    <s v="EMP_37"/>
    <d v="2024-09-24T08:17:00"/>
    <d v="2024-09-24T10:30:00"/>
    <n v="86"/>
    <n v="133"/>
    <n v="1"/>
    <x v="1"/>
    <x v="5"/>
    <n v="421.88"/>
    <n v="47"/>
    <n v="0.64661654135338342"/>
    <s v="Inefficient"/>
    <s v="Very Long"/>
    <s v="Major Delay"/>
  </r>
  <r>
    <x v="195"/>
    <x v="0"/>
    <x v="195"/>
    <x v="0"/>
    <x v="0"/>
    <x v="2"/>
    <s v="EMP_136"/>
    <d v="2024-07-31T04:46:00"/>
    <d v="2024-07-31T07:36:00"/>
    <n v="59"/>
    <n v="170"/>
    <n v="1"/>
    <x v="0"/>
    <x v="9"/>
    <n v="273.55"/>
    <n v="111"/>
    <n v="0.34705882352941175"/>
    <s v="Inefficient"/>
    <s v="Very Long"/>
    <s v="Major Delay"/>
  </r>
  <r>
    <x v="196"/>
    <x v="3"/>
    <x v="196"/>
    <x v="0"/>
    <x v="3"/>
    <x v="4"/>
    <s v="EMP_142"/>
    <d v="2024-06-14T15:20:00"/>
    <d v="2024-06-14T17:28:00"/>
    <n v="50"/>
    <n v="128"/>
    <n v="1"/>
    <x v="2"/>
    <x v="4"/>
    <n v="440.56"/>
    <n v="78"/>
    <n v="0.390625"/>
    <s v="Inefficient"/>
    <s v="Very Long"/>
    <s v="Major Delay"/>
  </r>
  <r>
    <x v="197"/>
    <x v="1"/>
    <x v="197"/>
    <x v="4"/>
    <x v="1"/>
    <x v="0"/>
    <s v="EMP_58"/>
    <d v="2024-05-12T09:57:00"/>
    <d v="2024-05-12T12:57:00"/>
    <n v="126"/>
    <n v="180"/>
    <n v="1"/>
    <x v="2"/>
    <x v="7"/>
    <n v="216.35"/>
    <n v="54"/>
    <n v="0.7"/>
    <s v="Inefficient"/>
    <s v="Very Long"/>
    <s v="Major Delay"/>
  </r>
  <r>
    <x v="198"/>
    <x v="1"/>
    <x v="198"/>
    <x v="2"/>
    <x v="1"/>
    <x v="3"/>
    <s v="EMP_124"/>
    <d v="2024-06-25T04:54:00"/>
    <d v="2024-06-25T07:40:00"/>
    <n v="148"/>
    <n v="166"/>
    <n v="1"/>
    <x v="2"/>
    <x v="4"/>
    <n v="148.25"/>
    <n v="18"/>
    <n v="0.89156626506024095"/>
    <s v="Inefficient"/>
    <s v="Very Long"/>
    <s v="Minor Delay"/>
  </r>
  <r>
    <x v="199"/>
    <x v="0"/>
    <x v="199"/>
    <x v="4"/>
    <x v="0"/>
    <x v="1"/>
    <s v="EMP_31"/>
    <d v="2024-09-14T18:07:00"/>
    <d v="2024-09-14T22:49:00"/>
    <n v="177"/>
    <n v="282"/>
    <n v="1"/>
    <x v="1"/>
    <x v="8"/>
    <n v="448.45"/>
    <n v="105"/>
    <n v="0.62765957446808507"/>
    <s v="Inefficient"/>
    <s v="Very Long"/>
    <s v="Major Delay"/>
  </r>
  <r>
    <x v="200"/>
    <x v="1"/>
    <x v="200"/>
    <x v="3"/>
    <x v="3"/>
    <x v="1"/>
    <s v="EMP_142"/>
    <d v="2024-09-06T03:46:00"/>
    <d v="2024-09-06T07:58:00"/>
    <n v="164"/>
    <n v="252"/>
    <n v="1"/>
    <x v="2"/>
    <x v="8"/>
    <n v="238.71"/>
    <n v="88"/>
    <n v="0.65079365079365081"/>
    <s v="Inefficient"/>
    <s v="Very Long"/>
    <s v="Major Delay"/>
  </r>
  <r>
    <x v="201"/>
    <x v="3"/>
    <x v="201"/>
    <x v="1"/>
    <x v="1"/>
    <x v="1"/>
    <s v="EMP_5"/>
    <d v="2024-04-06T19:59:00"/>
    <d v="2024-04-06T22:08:00"/>
    <n v="112"/>
    <n v="129"/>
    <n v="1"/>
    <x v="2"/>
    <x v="9"/>
    <n v="66.680000000000007"/>
    <n v="17"/>
    <n v="0.86821705426356588"/>
    <s v="Inefficient"/>
    <s v="Very Long"/>
    <s v="Minor Delay"/>
  </r>
  <r>
    <x v="202"/>
    <x v="4"/>
    <x v="202"/>
    <x v="3"/>
    <x v="0"/>
    <x v="3"/>
    <s v="EMP_58"/>
    <d v="2024-01-10T19:26:00"/>
    <d v="2024-01-10T21:09:00"/>
    <n v="56"/>
    <n v="103"/>
    <n v="1"/>
    <x v="1"/>
    <x v="6"/>
    <n v="375.19"/>
    <n v="47"/>
    <n v="0.5436893203883495"/>
    <s v="Inefficient"/>
    <s v="Long"/>
    <s v="Major Delay"/>
  </r>
  <r>
    <x v="203"/>
    <x v="4"/>
    <x v="203"/>
    <x v="0"/>
    <x v="0"/>
    <x v="3"/>
    <s v="EMP_36"/>
    <d v="2024-01-29T23:01:00"/>
    <d v="2024-01-30T02:11:00"/>
    <n v="134"/>
    <n v="190"/>
    <n v="1"/>
    <x v="1"/>
    <x v="8"/>
    <n v="470.49"/>
    <n v="56"/>
    <n v="0.70526315789473681"/>
    <s v="Inefficient"/>
    <s v="Very Long"/>
    <s v="Major Delay"/>
  </r>
  <r>
    <x v="204"/>
    <x v="0"/>
    <x v="204"/>
    <x v="4"/>
    <x v="3"/>
    <x v="1"/>
    <s v="EMP_97"/>
    <d v="2024-08-05T19:11:00"/>
    <d v="2024-08-05T23:31:00"/>
    <n v="155"/>
    <n v="260"/>
    <n v="1"/>
    <x v="0"/>
    <x v="3"/>
    <n v="111.02"/>
    <n v="105"/>
    <n v="0.59615384615384615"/>
    <s v="Inefficient"/>
    <s v="Very Long"/>
    <s v="Major Delay"/>
  </r>
  <r>
    <x v="205"/>
    <x v="3"/>
    <x v="205"/>
    <x v="2"/>
    <x v="0"/>
    <x v="3"/>
    <s v="EMP_147"/>
    <d v="2024-09-07T14:31:00"/>
    <d v="2024-09-07T15:38:00"/>
    <n v="18"/>
    <n v="67"/>
    <n v="1"/>
    <x v="0"/>
    <x v="9"/>
    <n v="155.9"/>
    <n v="49"/>
    <n v="0.26865671641791045"/>
    <s v="Inefficient"/>
    <s v="Long"/>
    <s v="Major Delay"/>
  </r>
  <r>
    <x v="206"/>
    <x v="0"/>
    <x v="206"/>
    <x v="1"/>
    <x v="3"/>
    <x v="1"/>
    <s v="EMP_142"/>
    <d v="2024-07-25T04:33:00"/>
    <d v="2024-07-25T06:53:00"/>
    <n v="58"/>
    <n v="140"/>
    <n v="1"/>
    <x v="2"/>
    <x v="2"/>
    <n v="136.52000000000001"/>
    <n v="82"/>
    <n v="0.41428571428571431"/>
    <s v="Inefficient"/>
    <s v="Very Long"/>
    <s v="Major Delay"/>
  </r>
  <r>
    <x v="207"/>
    <x v="0"/>
    <x v="207"/>
    <x v="0"/>
    <x v="0"/>
    <x v="1"/>
    <s v="EMP_67"/>
    <d v="2024-09-23T01:29:00"/>
    <d v="2024-09-23T05:26:00"/>
    <n v="131"/>
    <n v="237"/>
    <n v="1"/>
    <x v="1"/>
    <x v="4"/>
    <n v="85.44"/>
    <n v="106"/>
    <n v="0.5527426160337553"/>
    <s v="Inefficient"/>
    <s v="Very Long"/>
    <s v="Major Delay"/>
  </r>
  <r>
    <x v="208"/>
    <x v="2"/>
    <x v="208"/>
    <x v="3"/>
    <x v="0"/>
    <x v="0"/>
    <s v="EMP_30"/>
    <d v="2024-07-12T10:10:00"/>
    <d v="2024-07-12T14:06:00"/>
    <n v="232"/>
    <n v="236"/>
    <n v="1"/>
    <x v="0"/>
    <x v="0"/>
    <n v="280.93"/>
    <n v="4"/>
    <n v="0.98305084745762716"/>
    <s v="Inefficient"/>
    <s v="Very Long"/>
    <s v="Minor Delay"/>
  </r>
  <r>
    <x v="209"/>
    <x v="0"/>
    <x v="209"/>
    <x v="2"/>
    <x v="1"/>
    <x v="0"/>
    <s v="EMP_94"/>
    <d v="2024-05-12T18:13:00"/>
    <d v="2024-05-12T20:21:00"/>
    <n v="114"/>
    <n v="128"/>
    <n v="1"/>
    <x v="2"/>
    <x v="0"/>
    <n v="256.35000000000002"/>
    <n v="14"/>
    <n v="0.890625"/>
    <s v="Inefficient"/>
    <s v="Very Long"/>
    <s v="Minor Delay"/>
  </r>
  <r>
    <x v="210"/>
    <x v="0"/>
    <x v="210"/>
    <x v="1"/>
    <x v="2"/>
    <x v="0"/>
    <s v="EMP_26"/>
    <d v="2024-07-11T13:47:00"/>
    <d v="2024-07-11T15:50:00"/>
    <n v="10"/>
    <n v="123"/>
    <n v="1"/>
    <x v="2"/>
    <x v="9"/>
    <n v="476.33"/>
    <n v="113"/>
    <n v="8.1300813008130079E-2"/>
    <s v="Inefficient"/>
    <s v="Very Long"/>
    <s v="Major Delay"/>
  </r>
  <r>
    <x v="211"/>
    <x v="1"/>
    <x v="211"/>
    <x v="0"/>
    <x v="3"/>
    <x v="3"/>
    <s v="EMP_56"/>
    <d v="2024-09-21T08:04:00"/>
    <d v="2024-09-21T11:05:00"/>
    <n v="89"/>
    <n v="181"/>
    <n v="1"/>
    <x v="0"/>
    <x v="5"/>
    <n v="235.85"/>
    <n v="92"/>
    <n v="0.49171270718232046"/>
    <s v="Inefficient"/>
    <s v="Very Long"/>
    <s v="Major Delay"/>
  </r>
  <r>
    <x v="212"/>
    <x v="0"/>
    <x v="212"/>
    <x v="3"/>
    <x v="0"/>
    <x v="1"/>
    <s v="EMP_11"/>
    <d v="2024-11-14T09:13:00"/>
    <d v="2024-11-14T14:15:00"/>
    <n v="218"/>
    <n v="302"/>
    <n v="1"/>
    <x v="0"/>
    <x v="6"/>
    <n v="84.79"/>
    <n v="84"/>
    <n v="0.72185430463576161"/>
    <s v="Inefficient"/>
    <s v="Very Long"/>
    <s v="Major Delay"/>
  </r>
  <r>
    <x v="213"/>
    <x v="3"/>
    <x v="213"/>
    <x v="4"/>
    <x v="0"/>
    <x v="1"/>
    <s v="EMP_139"/>
    <d v="2024-08-29T03:04:00"/>
    <d v="2024-08-29T04:43:00"/>
    <n v="81"/>
    <n v="99"/>
    <n v="1"/>
    <x v="1"/>
    <x v="5"/>
    <n v="415.19"/>
    <n v="18"/>
    <n v="0.81818181818181823"/>
    <s v="Inefficient"/>
    <s v="Long"/>
    <s v="Minor Delay"/>
  </r>
  <r>
    <x v="214"/>
    <x v="3"/>
    <x v="214"/>
    <x v="0"/>
    <x v="0"/>
    <x v="3"/>
    <s v="EMP_52"/>
    <d v="2024-02-12T02:54:00"/>
    <d v="2024-02-12T06:05:00"/>
    <n v="88"/>
    <n v="191"/>
    <n v="1"/>
    <x v="1"/>
    <x v="2"/>
    <n v="58.59"/>
    <n v="103"/>
    <n v="0.4607329842931937"/>
    <s v="Inefficient"/>
    <s v="Very Long"/>
    <s v="Major Delay"/>
  </r>
  <r>
    <x v="215"/>
    <x v="3"/>
    <x v="215"/>
    <x v="0"/>
    <x v="0"/>
    <x v="4"/>
    <s v="EMP_86"/>
    <d v="2024-04-05T05:48:00"/>
    <d v="2024-04-05T10:02:00"/>
    <n v="186"/>
    <n v="254"/>
    <n v="1"/>
    <x v="1"/>
    <x v="4"/>
    <n v="161.52000000000001"/>
    <n v="68"/>
    <n v="0.73228346456692917"/>
    <s v="Inefficient"/>
    <s v="Very Long"/>
    <s v="Major Delay"/>
  </r>
  <r>
    <x v="216"/>
    <x v="1"/>
    <x v="216"/>
    <x v="3"/>
    <x v="2"/>
    <x v="2"/>
    <s v="EMP_109"/>
    <d v="2024-05-22T15:19:00"/>
    <d v="2024-05-22T16:21:00"/>
    <n v="56"/>
    <n v="62"/>
    <n v="1"/>
    <x v="2"/>
    <x v="9"/>
    <n v="347.6"/>
    <n v="6"/>
    <n v="0.90322580645161288"/>
    <s v="Inefficient"/>
    <s v="Long"/>
    <s v="Minor Delay"/>
  </r>
  <r>
    <x v="217"/>
    <x v="1"/>
    <x v="217"/>
    <x v="2"/>
    <x v="2"/>
    <x v="4"/>
    <s v="EMP_39"/>
    <d v="2024-12-07T23:52:00"/>
    <d v="2024-12-08T02:16:00"/>
    <n v="122"/>
    <n v="144"/>
    <n v="1"/>
    <x v="1"/>
    <x v="4"/>
    <n v="184.99"/>
    <n v="22"/>
    <n v="0.84722222222222221"/>
    <s v="Inefficient"/>
    <s v="Very Long"/>
    <s v="Minor Delay"/>
  </r>
  <r>
    <x v="218"/>
    <x v="3"/>
    <x v="218"/>
    <x v="2"/>
    <x v="0"/>
    <x v="4"/>
    <s v="EMP_76"/>
    <d v="2024-10-06T08:31:00"/>
    <d v="2024-10-06T11:07:00"/>
    <n v="65"/>
    <n v="156"/>
    <n v="1"/>
    <x v="0"/>
    <x v="9"/>
    <n v="195.6"/>
    <n v="91"/>
    <n v="0.41666666666666669"/>
    <s v="Inefficient"/>
    <s v="Very Long"/>
    <s v="Major Delay"/>
  </r>
  <r>
    <x v="219"/>
    <x v="3"/>
    <x v="219"/>
    <x v="0"/>
    <x v="3"/>
    <x v="4"/>
    <s v="EMP_92"/>
    <d v="2024-04-29T12:05:00"/>
    <d v="2024-04-29T15:08:00"/>
    <n v="112"/>
    <n v="183"/>
    <n v="1"/>
    <x v="1"/>
    <x v="4"/>
    <n v="387.51"/>
    <n v="71"/>
    <n v="0.61202185792349728"/>
    <s v="Inefficient"/>
    <s v="Very Long"/>
    <s v="Major Delay"/>
  </r>
  <r>
    <x v="220"/>
    <x v="4"/>
    <x v="220"/>
    <x v="0"/>
    <x v="0"/>
    <x v="4"/>
    <s v="EMP_137"/>
    <d v="2024-07-04T16:39:00"/>
    <d v="2024-07-04T19:14:00"/>
    <n v="157"/>
    <n v="155"/>
    <n v="0"/>
    <x v="2"/>
    <x v="4"/>
    <n v="358.87"/>
    <n v="-2"/>
    <n v="1.0129032258064516"/>
    <s v="Efficient"/>
    <s v="Very Long"/>
    <s v="On Time"/>
  </r>
  <r>
    <x v="221"/>
    <x v="2"/>
    <x v="221"/>
    <x v="2"/>
    <x v="0"/>
    <x v="3"/>
    <s v="EMP_4"/>
    <d v="2024-04-26T02:46:00"/>
    <d v="2024-04-26T04:50:00"/>
    <n v="128"/>
    <n v="124"/>
    <n v="0"/>
    <x v="2"/>
    <x v="0"/>
    <n v="308.68"/>
    <n v="-4"/>
    <n v="1.032258064516129"/>
    <s v="Efficient"/>
    <s v="Very Long"/>
    <s v="On Time"/>
  </r>
  <r>
    <x v="222"/>
    <x v="1"/>
    <x v="222"/>
    <x v="4"/>
    <x v="2"/>
    <x v="0"/>
    <s v="EMP_46"/>
    <d v="2024-01-29T01:14:00"/>
    <d v="2024-01-29T03:21:00"/>
    <n v="13"/>
    <n v="127"/>
    <n v="1"/>
    <x v="1"/>
    <x v="7"/>
    <n v="497.37"/>
    <n v="114"/>
    <n v="0.10236220472440945"/>
    <s v="Inefficient"/>
    <s v="Very Long"/>
    <s v="Major Delay"/>
  </r>
  <r>
    <x v="223"/>
    <x v="4"/>
    <x v="223"/>
    <x v="1"/>
    <x v="1"/>
    <x v="4"/>
    <s v="EMP_67"/>
    <d v="2024-08-12T23:10:00"/>
    <d v="2024-08-13T01:31:00"/>
    <n v="35"/>
    <n v="141"/>
    <n v="1"/>
    <x v="0"/>
    <x v="5"/>
    <n v="56.41"/>
    <n v="106"/>
    <n v="0.24822695035460993"/>
    <s v="Inefficient"/>
    <s v="Very Long"/>
    <s v="Major Delay"/>
  </r>
  <r>
    <x v="224"/>
    <x v="1"/>
    <x v="224"/>
    <x v="4"/>
    <x v="2"/>
    <x v="4"/>
    <s v="EMP_130"/>
    <d v="2024-05-22T07:30:00"/>
    <d v="2024-05-22T12:15:00"/>
    <n v="187"/>
    <n v="285"/>
    <n v="1"/>
    <x v="2"/>
    <x v="7"/>
    <n v="417.75"/>
    <n v="98"/>
    <n v="0.65614035087719302"/>
    <s v="Inefficient"/>
    <s v="Very Long"/>
    <s v="Major Delay"/>
  </r>
  <r>
    <x v="225"/>
    <x v="1"/>
    <x v="225"/>
    <x v="1"/>
    <x v="3"/>
    <x v="3"/>
    <s v="EMP_96"/>
    <d v="2024-04-12T00:55:00"/>
    <d v="2024-04-12T03:55:00"/>
    <n v="166"/>
    <n v="180"/>
    <n v="1"/>
    <x v="0"/>
    <x v="4"/>
    <n v="241.19"/>
    <n v="14"/>
    <n v="0.92222222222222228"/>
    <s v="Inefficient"/>
    <s v="Very Long"/>
    <s v="Minor Delay"/>
  </r>
  <r>
    <x v="226"/>
    <x v="1"/>
    <x v="226"/>
    <x v="2"/>
    <x v="0"/>
    <x v="2"/>
    <s v="EMP_107"/>
    <d v="2024-06-03T06:37:00"/>
    <d v="2024-06-03T09:29:00"/>
    <n v="56"/>
    <n v="172"/>
    <n v="1"/>
    <x v="2"/>
    <x v="1"/>
    <n v="262.04000000000002"/>
    <n v="116"/>
    <n v="0.32558139534883723"/>
    <s v="Inefficient"/>
    <s v="Very Long"/>
    <s v="Major Delay"/>
  </r>
  <r>
    <x v="227"/>
    <x v="1"/>
    <x v="227"/>
    <x v="1"/>
    <x v="0"/>
    <x v="2"/>
    <s v="EMP_147"/>
    <d v="2024-06-07T18:30:00"/>
    <d v="2024-06-07T21:36:00"/>
    <n v="157"/>
    <n v="186"/>
    <n v="1"/>
    <x v="0"/>
    <x v="3"/>
    <n v="456.17"/>
    <n v="29"/>
    <n v="0.84408602150537637"/>
    <s v="Inefficient"/>
    <s v="Very Long"/>
    <s v="Minor Delay"/>
  </r>
  <r>
    <x v="228"/>
    <x v="2"/>
    <x v="228"/>
    <x v="2"/>
    <x v="3"/>
    <x v="2"/>
    <s v="EMP_68"/>
    <d v="2024-12-18T03:54:00"/>
    <d v="2024-12-18T06:39:00"/>
    <n v="64"/>
    <n v="165"/>
    <n v="1"/>
    <x v="1"/>
    <x v="3"/>
    <n v="466.9"/>
    <n v="101"/>
    <n v="0.38787878787878788"/>
    <s v="Inefficient"/>
    <s v="Very Long"/>
    <s v="Major Delay"/>
  </r>
  <r>
    <x v="229"/>
    <x v="2"/>
    <x v="229"/>
    <x v="1"/>
    <x v="2"/>
    <x v="2"/>
    <s v="EMP_4"/>
    <d v="2024-03-25T19:33:00"/>
    <d v="2024-03-25T22:41:00"/>
    <n v="157"/>
    <n v="188"/>
    <n v="1"/>
    <x v="0"/>
    <x v="7"/>
    <n v="188.88"/>
    <n v="31"/>
    <n v="0.83510638297872342"/>
    <s v="Inefficient"/>
    <s v="Very Long"/>
    <s v="Major Delay"/>
  </r>
  <r>
    <x v="230"/>
    <x v="0"/>
    <x v="230"/>
    <x v="3"/>
    <x v="1"/>
    <x v="1"/>
    <s v="EMP_138"/>
    <d v="2024-01-14T08:00:00"/>
    <d v="2024-01-14T13:11:00"/>
    <n v="228"/>
    <n v="311"/>
    <n v="1"/>
    <x v="0"/>
    <x v="8"/>
    <n v="412.75"/>
    <n v="83"/>
    <n v="0.73311897106109325"/>
    <s v="Inefficient"/>
    <s v="Very Long"/>
    <s v="Major Delay"/>
  </r>
  <r>
    <x v="231"/>
    <x v="3"/>
    <x v="231"/>
    <x v="0"/>
    <x v="2"/>
    <x v="4"/>
    <s v="EMP_93"/>
    <d v="2024-08-04T23:14:00"/>
    <d v="2024-08-05T01:45:00"/>
    <n v="67"/>
    <n v="151"/>
    <n v="1"/>
    <x v="2"/>
    <x v="1"/>
    <n v="130.94999999999999"/>
    <n v="84"/>
    <n v="0.44370860927152317"/>
    <s v="Inefficient"/>
    <s v="Very Long"/>
    <s v="Major Delay"/>
  </r>
  <r>
    <x v="232"/>
    <x v="3"/>
    <x v="232"/>
    <x v="4"/>
    <x v="1"/>
    <x v="2"/>
    <s v="EMP_63"/>
    <d v="2024-02-15T13:20:00"/>
    <d v="2024-02-15T17:20:00"/>
    <n v="163"/>
    <n v="240"/>
    <n v="1"/>
    <x v="2"/>
    <x v="6"/>
    <n v="427.52"/>
    <n v="77"/>
    <n v="0.6791666666666667"/>
    <s v="Inefficient"/>
    <s v="Very Long"/>
    <s v="Major Delay"/>
  </r>
  <r>
    <x v="233"/>
    <x v="3"/>
    <x v="233"/>
    <x v="2"/>
    <x v="0"/>
    <x v="4"/>
    <s v="EMP_113"/>
    <d v="2024-04-02T07:55:00"/>
    <d v="2024-04-02T12:40:00"/>
    <n v="207"/>
    <n v="285"/>
    <n v="1"/>
    <x v="0"/>
    <x v="5"/>
    <n v="89.47"/>
    <n v="78"/>
    <n v="0.72631578947368425"/>
    <s v="Inefficient"/>
    <s v="Very Long"/>
    <s v="Major Delay"/>
  </r>
  <r>
    <x v="234"/>
    <x v="0"/>
    <x v="234"/>
    <x v="3"/>
    <x v="0"/>
    <x v="4"/>
    <s v="EMP_23"/>
    <d v="2024-06-17T16:50:00"/>
    <d v="2024-06-17T19:33:00"/>
    <n v="118"/>
    <n v="163"/>
    <n v="1"/>
    <x v="1"/>
    <x v="8"/>
    <n v="267.75"/>
    <n v="45"/>
    <n v="0.7239263803680982"/>
    <s v="Inefficient"/>
    <s v="Very Long"/>
    <s v="Major Delay"/>
  </r>
  <r>
    <x v="235"/>
    <x v="3"/>
    <x v="235"/>
    <x v="3"/>
    <x v="0"/>
    <x v="2"/>
    <s v="EMP_87"/>
    <d v="2024-08-19T12:59:00"/>
    <d v="2024-08-19T17:35:00"/>
    <n v="157"/>
    <n v="276"/>
    <n v="1"/>
    <x v="2"/>
    <x v="9"/>
    <n v="183.41"/>
    <n v="119"/>
    <n v="0.5688405797101449"/>
    <s v="Inefficient"/>
    <s v="Very Long"/>
    <s v="Major Delay"/>
  </r>
  <r>
    <x v="236"/>
    <x v="2"/>
    <x v="236"/>
    <x v="1"/>
    <x v="1"/>
    <x v="3"/>
    <s v="EMP_13"/>
    <d v="2024-07-20T00:07:00"/>
    <d v="2024-07-20T03:37:00"/>
    <n v="153"/>
    <n v="210"/>
    <n v="1"/>
    <x v="0"/>
    <x v="8"/>
    <n v="386.66"/>
    <n v="57"/>
    <n v="0.72857142857142854"/>
    <s v="Inefficient"/>
    <s v="Very Long"/>
    <s v="Major Delay"/>
  </r>
  <r>
    <x v="237"/>
    <x v="0"/>
    <x v="237"/>
    <x v="1"/>
    <x v="0"/>
    <x v="4"/>
    <s v="EMP_124"/>
    <d v="2024-12-16T20:37:00"/>
    <d v="2024-12-16T22:47:00"/>
    <n v="122"/>
    <n v="130"/>
    <n v="1"/>
    <x v="1"/>
    <x v="6"/>
    <n v="213.76"/>
    <n v="8"/>
    <n v="0.93846153846153846"/>
    <s v="Inefficient"/>
    <s v="Very Long"/>
    <s v="Minor Delay"/>
  </r>
  <r>
    <x v="238"/>
    <x v="2"/>
    <x v="238"/>
    <x v="4"/>
    <x v="2"/>
    <x v="0"/>
    <s v="EMP_98"/>
    <d v="2024-08-19T22:07:00"/>
    <d v="2024-08-20T00:15:00"/>
    <n v="108"/>
    <n v="128"/>
    <n v="1"/>
    <x v="1"/>
    <x v="1"/>
    <n v="280.94"/>
    <n v="20"/>
    <n v="0.84375"/>
    <s v="Inefficient"/>
    <s v="Very Long"/>
    <s v="Minor Delay"/>
  </r>
  <r>
    <x v="239"/>
    <x v="0"/>
    <x v="239"/>
    <x v="4"/>
    <x v="0"/>
    <x v="2"/>
    <s v="EMP_56"/>
    <d v="2024-03-11T01:47:00"/>
    <d v="2024-03-11T03:19:00"/>
    <n v="97"/>
    <n v="92"/>
    <n v="0"/>
    <x v="0"/>
    <x v="6"/>
    <n v="70.17"/>
    <n v="-5"/>
    <n v="1.0543478260869565"/>
    <s v="Efficient"/>
    <s v="Long"/>
    <s v="On Time"/>
  </r>
  <r>
    <x v="240"/>
    <x v="0"/>
    <x v="240"/>
    <x v="1"/>
    <x v="0"/>
    <x v="2"/>
    <s v="EMP_18"/>
    <d v="2024-09-27T22:58:00"/>
    <d v="2024-09-28T01:26:00"/>
    <n v="40"/>
    <n v="148"/>
    <n v="1"/>
    <x v="1"/>
    <x v="3"/>
    <n v="439.1"/>
    <n v="108"/>
    <n v="0.27027027027027029"/>
    <s v="Inefficient"/>
    <s v="Very Long"/>
    <s v="Major Delay"/>
  </r>
  <r>
    <x v="241"/>
    <x v="4"/>
    <x v="241"/>
    <x v="3"/>
    <x v="1"/>
    <x v="3"/>
    <s v="EMP_8"/>
    <d v="2024-06-03T09:25:00"/>
    <d v="2024-06-03T14:00:00"/>
    <n v="216"/>
    <n v="275"/>
    <n v="1"/>
    <x v="1"/>
    <x v="7"/>
    <n v="283.27999999999997"/>
    <n v="59"/>
    <n v="0.78545454545454541"/>
    <s v="Inefficient"/>
    <s v="Very Long"/>
    <s v="Major Delay"/>
  </r>
  <r>
    <x v="242"/>
    <x v="3"/>
    <x v="242"/>
    <x v="3"/>
    <x v="1"/>
    <x v="2"/>
    <s v="EMP_24"/>
    <d v="2024-05-21T01:02:00"/>
    <d v="2024-05-21T06:16:00"/>
    <n v="206"/>
    <n v="314"/>
    <n v="1"/>
    <x v="0"/>
    <x v="7"/>
    <n v="322.16000000000003"/>
    <n v="108"/>
    <n v="0.6560509554140127"/>
    <s v="Inefficient"/>
    <s v="Very Long"/>
    <s v="Major Delay"/>
  </r>
  <r>
    <x v="243"/>
    <x v="0"/>
    <x v="243"/>
    <x v="1"/>
    <x v="3"/>
    <x v="0"/>
    <s v="EMP_24"/>
    <d v="2024-07-09T13:16:00"/>
    <d v="2024-07-09T17:09:00"/>
    <n v="138"/>
    <n v="233"/>
    <n v="1"/>
    <x v="0"/>
    <x v="2"/>
    <n v="287.24"/>
    <n v="95"/>
    <n v="0.59227467811158796"/>
    <s v="Inefficient"/>
    <s v="Very Long"/>
    <s v="Major Delay"/>
  </r>
  <r>
    <x v="244"/>
    <x v="4"/>
    <x v="244"/>
    <x v="0"/>
    <x v="0"/>
    <x v="1"/>
    <s v="EMP_34"/>
    <d v="2024-05-03T14:00:00"/>
    <d v="2024-05-03T17:21:00"/>
    <n v="138"/>
    <n v="201"/>
    <n v="1"/>
    <x v="1"/>
    <x v="3"/>
    <n v="81.63"/>
    <n v="63"/>
    <n v="0.68656716417910446"/>
    <s v="Inefficient"/>
    <s v="Very Long"/>
    <s v="Major Delay"/>
  </r>
  <r>
    <x v="245"/>
    <x v="3"/>
    <x v="245"/>
    <x v="1"/>
    <x v="2"/>
    <x v="2"/>
    <s v="EMP_70"/>
    <d v="2024-07-13T05:05:00"/>
    <d v="2024-07-13T09:38:00"/>
    <n v="176"/>
    <n v="273"/>
    <n v="1"/>
    <x v="2"/>
    <x v="8"/>
    <n v="387.59"/>
    <n v="97"/>
    <n v="0.64468864468864473"/>
    <s v="Inefficient"/>
    <s v="Very Long"/>
    <s v="Major Delay"/>
  </r>
  <r>
    <x v="246"/>
    <x v="3"/>
    <x v="246"/>
    <x v="1"/>
    <x v="1"/>
    <x v="1"/>
    <s v="EMP_100"/>
    <d v="2024-10-01T11:31:00"/>
    <d v="2024-10-01T15:39:00"/>
    <n v="176"/>
    <n v="248"/>
    <n v="1"/>
    <x v="2"/>
    <x v="5"/>
    <n v="405.81"/>
    <n v="72"/>
    <n v="0.70967741935483875"/>
    <s v="Inefficient"/>
    <s v="Very Long"/>
    <s v="Major Delay"/>
  </r>
  <r>
    <x v="247"/>
    <x v="3"/>
    <x v="247"/>
    <x v="0"/>
    <x v="1"/>
    <x v="3"/>
    <s v="EMP_25"/>
    <d v="2024-01-21T01:16:00"/>
    <d v="2024-01-21T04:58:00"/>
    <n v="114"/>
    <n v="222"/>
    <n v="1"/>
    <x v="0"/>
    <x v="4"/>
    <n v="297.48"/>
    <n v="108"/>
    <n v="0.51351351351351349"/>
    <s v="Inefficient"/>
    <s v="Very Long"/>
    <s v="Major Delay"/>
  </r>
  <r>
    <x v="248"/>
    <x v="0"/>
    <x v="248"/>
    <x v="0"/>
    <x v="3"/>
    <x v="1"/>
    <s v="EMP_133"/>
    <d v="2024-11-01T06:05:00"/>
    <d v="2024-11-01T09:18:00"/>
    <n v="148"/>
    <n v="193"/>
    <n v="1"/>
    <x v="2"/>
    <x v="0"/>
    <n v="419"/>
    <n v="45"/>
    <n v="0.76683937823834192"/>
    <s v="Inefficient"/>
    <s v="Very Long"/>
    <s v="Major Delay"/>
  </r>
  <r>
    <x v="249"/>
    <x v="0"/>
    <x v="249"/>
    <x v="0"/>
    <x v="0"/>
    <x v="2"/>
    <s v="EMP_39"/>
    <d v="2024-07-28T07:56:00"/>
    <d v="2024-07-28T08:19:00"/>
    <n v="24"/>
    <n v="23"/>
    <n v="0"/>
    <x v="0"/>
    <x v="6"/>
    <n v="53.22"/>
    <n v="-1"/>
    <n v="1.0434782608695652"/>
    <s v="Efficient"/>
    <s v="Short"/>
    <s v="On Time"/>
  </r>
  <r>
    <x v="250"/>
    <x v="2"/>
    <x v="250"/>
    <x v="2"/>
    <x v="3"/>
    <x v="3"/>
    <s v="EMP_126"/>
    <d v="2024-08-29T20:11:00"/>
    <d v="2024-08-29T22:49:00"/>
    <n v="146"/>
    <n v="158"/>
    <n v="1"/>
    <x v="2"/>
    <x v="2"/>
    <n v="459.52"/>
    <n v="12"/>
    <n v="0.92405063291139244"/>
    <s v="Inefficient"/>
    <s v="Very Long"/>
    <s v="Minor Delay"/>
  </r>
  <r>
    <x v="251"/>
    <x v="0"/>
    <x v="251"/>
    <x v="2"/>
    <x v="3"/>
    <x v="0"/>
    <s v="EMP_87"/>
    <d v="2024-03-13T00:06:00"/>
    <d v="2024-03-13T03:52:00"/>
    <n v="154"/>
    <n v="226"/>
    <n v="1"/>
    <x v="2"/>
    <x v="5"/>
    <n v="65.099999999999994"/>
    <n v="72"/>
    <n v="0.68141592920353977"/>
    <s v="Inefficient"/>
    <s v="Very Long"/>
    <s v="Major Delay"/>
  </r>
  <r>
    <x v="252"/>
    <x v="3"/>
    <x v="252"/>
    <x v="1"/>
    <x v="3"/>
    <x v="3"/>
    <s v="EMP_135"/>
    <d v="2024-06-10T12:41:00"/>
    <d v="2024-06-10T14:12:00"/>
    <n v="24"/>
    <n v="91"/>
    <n v="1"/>
    <x v="1"/>
    <x v="7"/>
    <n v="379.48"/>
    <n v="67"/>
    <n v="0.26373626373626374"/>
    <s v="Inefficient"/>
    <s v="Long"/>
    <s v="Major Delay"/>
  </r>
  <r>
    <x v="253"/>
    <x v="4"/>
    <x v="253"/>
    <x v="0"/>
    <x v="1"/>
    <x v="1"/>
    <s v="EMP_93"/>
    <d v="2024-01-26T14:51:00"/>
    <d v="2024-01-26T17:42:00"/>
    <n v="114"/>
    <n v="171"/>
    <n v="1"/>
    <x v="2"/>
    <x v="8"/>
    <n v="299.58"/>
    <n v="57"/>
    <n v="0.66666666666666663"/>
    <s v="Inefficient"/>
    <s v="Very Long"/>
    <s v="Major Delay"/>
  </r>
  <r>
    <x v="254"/>
    <x v="1"/>
    <x v="254"/>
    <x v="1"/>
    <x v="0"/>
    <x v="2"/>
    <s v="EMP_113"/>
    <d v="2024-07-12T06:20:00"/>
    <d v="2024-07-12T07:32:00"/>
    <n v="28"/>
    <n v="72"/>
    <n v="1"/>
    <x v="0"/>
    <x v="8"/>
    <n v="373.71"/>
    <n v="44"/>
    <n v="0.3888888888888889"/>
    <s v="Inefficient"/>
    <s v="Long"/>
    <s v="Major Delay"/>
  </r>
  <r>
    <x v="255"/>
    <x v="4"/>
    <x v="255"/>
    <x v="0"/>
    <x v="2"/>
    <x v="3"/>
    <s v="EMP_82"/>
    <d v="2024-09-23T00:30:00"/>
    <d v="2024-09-23T03:43:00"/>
    <n v="115"/>
    <n v="193"/>
    <n v="1"/>
    <x v="1"/>
    <x v="2"/>
    <n v="447.27"/>
    <n v="78"/>
    <n v="0.59585492227979275"/>
    <s v="Inefficient"/>
    <s v="Very Long"/>
    <s v="Major Delay"/>
  </r>
  <r>
    <x v="256"/>
    <x v="3"/>
    <x v="256"/>
    <x v="1"/>
    <x v="3"/>
    <x v="1"/>
    <s v="EMP_4"/>
    <d v="2024-01-02T06:16:00"/>
    <d v="2024-01-02T07:56:00"/>
    <n v="53"/>
    <n v="100"/>
    <n v="1"/>
    <x v="0"/>
    <x v="9"/>
    <n v="227.94"/>
    <n v="47"/>
    <n v="0.53"/>
    <s v="Inefficient"/>
    <s v="Long"/>
    <s v="Major Delay"/>
  </r>
  <r>
    <x v="257"/>
    <x v="2"/>
    <x v="257"/>
    <x v="3"/>
    <x v="1"/>
    <x v="4"/>
    <s v="EMP_133"/>
    <d v="2024-01-19T11:06:00"/>
    <d v="2024-01-19T11:16:00"/>
    <n v="11"/>
    <n v="10"/>
    <n v="0"/>
    <x v="1"/>
    <x v="8"/>
    <n v="496.1"/>
    <n v="-1"/>
    <n v="1.1000000000000001"/>
    <s v="Efficient"/>
    <s v="Short"/>
    <s v="On Time"/>
  </r>
  <r>
    <x v="258"/>
    <x v="4"/>
    <x v="258"/>
    <x v="3"/>
    <x v="2"/>
    <x v="4"/>
    <s v="EMP_84"/>
    <d v="2024-04-28T03:39:00"/>
    <d v="2024-04-28T05:22:00"/>
    <n v="74"/>
    <n v="103"/>
    <n v="1"/>
    <x v="1"/>
    <x v="3"/>
    <n v="312.01"/>
    <n v="29"/>
    <n v="0.71844660194174759"/>
    <s v="Inefficient"/>
    <s v="Long"/>
    <s v="Minor Delay"/>
  </r>
  <r>
    <x v="259"/>
    <x v="1"/>
    <x v="259"/>
    <x v="1"/>
    <x v="2"/>
    <x v="4"/>
    <s v="EMP_64"/>
    <d v="2024-07-27T20:48:00"/>
    <d v="2024-07-28T00:29:00"/>
    <n v="178"/>
    <n v="221"/>
    <n v="1"/>
    <x v="1"/>
    <x v="5"/>
    <n v="345.99"/>
    <n v="43"/>
    <n v="0.80542986425339369"/>
    <s v="Inefficient"/>
    <s v="Very Long"/>
    <s v="Major Delay"/>
  </r>
  <r>
    <x v="260"/>
    <x v="2"/>
    <x v="260"/>
    <x v="2"/>
    <x v="3"/>
    <x v="2"/>
    <s v="EMP_150"/>
    <d v="2024-09-01T06:57:00"/>
    <d v="2024-09-01T10:21:00"/>
    <n v="110"/>
    <n v="204"/>
    <n v="1"/>
    <x v="2"/>
    <x v="7"/>
    <n v="457.84"/>
    <n v="94"/>
    <n v="0.53921568627450978"/>
    <s v="Inefficient"/>
    <s v="Very Long"/>
    <s v="Major Delay"/>
  </r>
  <r>
    <x v="261"/>
    <x v="2"/>
    <x v="261"/>
    <x v="3"/>
    <x v="0"/>
    <x v="3"/>
    <s v="EMP_40"/>
    <d v="2024-11-28T12:49:00"/>
    <d v="2024-11-28T15:56:00"/>
    <n v="131"/>
    <n v="187"/>
    <n v="1"/>
    <x v="2"/>
    <x v="5"/>
    <n v="171.18"/>
    <n v="56"/>
    <n v="0.70053475935828879"/>
    <s v="Inefficient"/>
    <s v="Very Long"/>
    <s v="Major Delay"/>
  </r>
  <r>
    <x v="262"/>
    <x v="3"/>
    <x v="262"/>
    <x v="4"/>
    <x v="1"/>
    <x v="4"/>
    <s v="EMP_18"/>
    <d v="2024-04-15T09:59:00"/>
    <d v="2024-04-15T13:04:00"/>
    <n v="147"/>
    <n v="185"/>
    <n v="1"/>
    <x v="0"/>
    <x v="1"/>
    <n v="387.03"/>
    <n v="38"/>
    <n v="0.79459459459459458"/>
    <s v="Inefficient"/>
    <s v="Very Long"/>
    <s v="Major Delay"/>
  </r>
  <r>
    <x v="263"/>
    <x v="2"/>
    <x v="263"/>
    <x v="3"/>
    <x v="3"/>
    <x v="2"/>
    <s v="EMP_4"/>
    <d v="2024-11-09T22:21:00"/>
    <d v="2024-11-10T00:26:00"/>
    <n v="24"/>
    <n v="125"/>
    <n v="1"/>
    <x v="2"/>
    <x v="7"/>
    <n v="225.57"/>
    <n v="101"/>
    <n v="0.192"/>
    <s v="Inefficient"/>
    <s v="Very Long"/>
    <s v="Major Delay"/>
  </r>
  <r>
    <x v="264"/>
    <x v="3"/>
    <x v="264"/>
    <x v="4"/>
    <x v="0"/>
    <x v="4"/>
    <s v="EMP_115"/>
    <d v="2024-05-16T21:46:00"/>
    <d v="2024-05-16T23:08:00"/>
    <n v="31"/>
    <n v="82"/>
    <n v="1"/>
    <x v="1"/>
    <x v="6"/>
    <n v="104.31"/>
    <n v="51"/>
    <n v="0.37804878048780488"/>
    <s v="Inefficient"/>
    <s v="Long"/>
    <s v="Major Delay"/>
  </r>
  <r>
    <x v="265"/>
    <x v="3"/>
    <x v="265"/>
    <x v="4"/>
    <x v="0"/>
    <x v="1"/>
    <s v="EMP_37"/>
    <d v="2024-04-04T10:27:00"/>
    <d v="2024-04-04T16:21:00"/>
    <n v="236"/>
    <n v="354"/>
    <n v="1"/>
    <x v="1"/>
    <x v="0"/>
    <n v="416.86"/>
    <n v="118"/>
    <n v="0.66666666666666663"/>
    <s v="Inefficient"/>
    <s v="Very Long"/>
    <s v="Major Delay"/>
  </r>
  <r>
    <x v="266"/>
    <x v="2"/>
    <x v="266"/>
    <x v="1"/>
    <x v="0"/>
    <x v="1"/>
    <s v="EMP_99"/>
    <d v="2024-04-27T02:24:00"/>
    <d v="2024-04-27T07:35:00"/>
    <n v="222"/>
    <n v="311"/>
    <n v="1"/>
    <x v="1"/>
    <x v="6"/>
    <n v="236.46"/>
    <n v="89"/>
    <n v="0.7138263665594855"/>
    <s v="Inefficient"/>
    <s v="Very Long"/>
    <s v="Major Delay"/>
  </r>
  <r>
    <x v="267"/>
    <x v="3"/>
    <x v="267"/>
    <x v="3"/>
    <x v="0"/>
    <x v="3"/>
    <s v="EMP_125"/>
    <d v="2024-03-18T04:55:00"/>
    <d v="2024-03-18T06:06:00"/>
    <n v="33"/>
    <n v="71"/>
    <n v="1"/>
    <x v="2"/>
    <x v="5"/>
    <n v="393.13"/>
    <n v="38"/>
    <n v="0.46478873239436619"/>
    <s v="Inefficient"/>
    <s v="Long"/>
    <s v="Major Delay"/>
  </r>
  <r>
    <x v="268"/>
    <x v="3"/>
    <x v="268"/>
    <x v="2"/>
    <x v="1"/>
    <x v="1"/>
    <s v="EMP_60"/>
    <d v="2024-07-25T00:01:00"/>
    <d v="2024-07-25T02:32:00"/>
    <n v="132"/>
    <n v="151"/>
    <n v="1"/>
    <x v="0"/>
    <x v="9"/>
    <n v="227.97"/>
    <n v="19"/>
    <n v="0.8741721854304636"/>
    <s v="Inefficient"/>
    <s v="Very Long"/>
    <s v="Minor Delay"/>
  </r>
  <r>
    <x v="269"/>
    <x v="2"/>
    <x v="269"/>
    <x v="2"/>
    <x v="0"/>
    <x v="2"/>
    <s v="EMP_137"/>
    <d v="2024-05-29T17:26:00"/>
    <d v="2024-05-29T22:22:00"/>
    <n v="222"/>
    <n v="296"/>
    <n v="1"/>
    <x v="0"/>
    <x v="5"/>
    <n v="371.48"/>
    <n v="74"/>
    <n v="0.75"/>
    <s v="Inefficient"/>
    <s v="Very Long"/>
    <s v="Major Delay"/>
  </r>
  <r>
    <x v="270"/>
    <x v="3"/>
    <x v="270"/>
    <x v="0"/>
    <x v="0"/>
    <x v="0"/>
    <s v="EMP_1"/>
    <d v="2024-11-27T05:39:00"/>
    <d v="2024-11-27T09:58:00"/>
    <n v="203"/>
    <n v="259"/>
    <n v="1"/>
    <x v="0"/>
    <x v="6"/>
    <n v="125.05"/>
    <n v="56"/>
    <n v="0.78378378378378377"/>
    <s v="Inefficient"/>
    <s v="Very Long"/>
    <s v="Major Delay"/>
  </r>
  <r>
    <x v="271"/>
    <x v="4"/>
    <x v="271"/>
    <x v="3"/>
    <x v="1"/>
    <x v="2"/>
    <s v="EMP_44"/>
    <d v="2024-03-27T16:06:00"/>
    <d v="2024-03-27T18:57:00"/>
    <n v="168"/>
    <n v="171"/>
    <n v="1"/>
    <x v="2"/>
    <x v="8"/>
    <n v="367.23"/>
    <n v="3"/>
    <n v="0.98245614035087714"/>
    <s v="Inefficient"/>
    <s v="Very Long"/>
    <s v="Minor Delay"/>
  </r>
  <r>
    <x v="272"/>
    <x v="0"/>
    <x v="272"/>
    <x v="4"/>
    <x v="1"/>
    <x v="3"/>
    <s v="EMP_101"/>
    <d v="2024-11-29T05:19:00"/>
    <d v="2024-11-29T10:43:00"/>
    <n v="215"/>
    <n v="324"/>
    <n v="1"/>
    <x v="2"/>
    <x v="8"/>
    <n v="156.22999999999999"/>
    <n v="109"/>
    <n v="0.6635802469135802"/>
    <s v="Inefficient"/>
    <s v="Very Long"/>
    <s v="Major Delay"/>
  </r>
  <r>
    <x v="273"/>
    <x v="4"/>
    <x v="273"/>
    <x v="0"/>
    <x v="0"/>
    <x v="3"/>
    <s v="EMP_64"/>
    <d v="2024-09-21T01:49:00"/>
    <d v="2024-09-21T04:01:00"/>
    <n v="137"/>
    <n v="132"/>
    <n v="0"/>
    <x v="0"/>
    <x v="0"/>
    <n v="267.16000000000003"/>
    <n v="-5"/>
    <n v="1.0378787878787878"/>
    <s v="Efficient"/>
    <s v="Very Long"/>
    <s v="On Time"/>
  </r>
  <r>
    <x v="274"/>
    <x v="0"/>
    <x v="274"/>
    <x v="3"/>
    <x v="1"/>
    <x v="0"/>
    <s v="EMP_29"/>
    <d v="2024-03-16T06:28:00"/>
    <d v="2024-03-16T10:18:00"/>
    <n v="136"/>
    <n v="230"/>
    <n v="1"/>
    <x v="0"/>
    <x v="6"/>
    <n v="331.39"/>
    <n v="94"/>
    <n v="0.59130434782608698"/>
    <s v="Inefficient"/>
    <s v="Very Long"/>
    <s v="Major Delay"/>
  </r>
  <r>
    <x v="275"/>
    <x v="3"/>
    <x v="275"/>
    <x v="0"/>
    <x v="0"/>
    <x v="1"/>
    <s v="EMP_25"/>
    <d v="2024-05-03T17:25:00"/>
    <d v="2024-05-03T19:31:00"/>
    <n v="17"/>
    <n v="126"/>
    <n v="1"/>
    <x v="0"/>
    <x v="5"/>
    <n v="145.96"/>
    <n v="109"/>
    <n v="0.13492063492063491"/>
    <s v="Inefficient"/>
    <s v="Very Long"/>
    <s v="Major Delay"/>
  </r>
  <r>
    <x v="276"/>
    <x v="4"/>
    <x v="276"/>
    <x v="1"/>
    <x v="0"/>
    <x v="2"/>
    <s v="EMP_53"/>
    <d v="2024-11-24T05:14:00"/>
    <d v="2024-11-24T09:12:00"/>
    <n v="229"/>
    <n v="238"/>
    <n v="1"/>
    <x v="1"/>
    <x v="2"/>
    <n v="168.09"/>
    <n v="9"/>
    <n v="0.96218487394957986"/>
    <s v="Inefficient"/>
    <s v="Very Long"/>
    <s v="Minor Delay"/>
  </r>
  <r>
    <x v="277"/>
    <x v="4"/>
    <x v="277"/>
    <x v="3"/>
    <x v="1"/>
    <x v="2"/>
    <s v="EMP_11"/>
    <d v="2024-01-13T20:21:00"/>
    <d v="2024-01-14T00:50:00"/>
    <n v="193"/>
    <n v="269"/>
    <n v="1"/>
    <x v="1"/>
    <x v="5"/>
    <n v="321.02"/>
    <n v="76"/>
    <n v="0.71747211895910779"/>
    <s v="Inefficient"/>
    <s v="Very Long"/>
    <s v="Major Delay"/>
  </r>
  <r>
    <x v="278"/>
    <x v="3"/>
    <x v="278"/>
    <x v="4"/>
    <x v="3"/>
    <x v="3"/>
    <s v="EMP_122"/>
    <d v="2024-11-26T05:18:00"/>
    <d v="2024-11-26T09:35:00"/>
    <n v="159"/>
    <n v="257"/>
    <n v="1"/>
    <x v="1"/>
    <x v="8"/>
    <n v="262.70999999999998"/>
    <n v="98"/>
    <n v="0.61867704280155644"/>
    <s v="Inefficient"/>
    <s v="Very Long"/>
    <s v="Major Delay"/>
  </r>
  <r>
    <x v="279"/>
    <x v="0"/>
    <x v="279"/>
    <x v="1"/>
    <x v="2"/>
    <x v="4"/>
    <s v="EMP_11"/>
    <d v="2024-07-18T00:42:00"/>
    <d v="2024-07-18T02:02:00"/>
    <n v="57"/>
    <n v="80"/>
    <n v="1"/>
    <x v="1"/>
    <x v="2"/>
    <n v="454.03"/>
    <n v="23"/>
    <n v="0.71250000000000002"/>
    <s v="Inefficient"/>
    <s v="Long"/>
    <s v="Minor Delay"/>
  </r>
  <r>
    <x v="280"/>
    <x v="4"/>
    <x v="280"/>
    <x v="1"/>
    <x v="0"/>
    <x v="0"/>
    <s v="EMP_11"/>
    <d v="2024-05-07T22:58:00"/>
    <d v="2024-05-08T00:31:00"/>
    <n v="23"/>
    <n v="93"/>
    <n v="1"/>
    <x v="2"/>
    <x v="0"/>
    <n v="333.48"/>
    <n v="70"/>
    <n v="0.24731182795698925"/>
    <s v="Inefficient"/>
    <s v="Long"/>
    <s v="Major Delay"/>
  </r>
  <r>
    <x v="281"/>
    <x v="1"/>
    <x v="281"/>
    <x v="1"/>
    <x v="3"/>
    <x v="4"/>
    <s v="EMP_59"/>
    <d v="2024-01-08T23:37:00"/>
    <d v="2024-01-09T03:03:00"/>
    <n v="190"/>
    <n v="206"/>
    <n v="1"/>
    <x v="0"/>
    <x v="0"/>
    <n v="143.80000000000001"/>
    <n v="16"/>
    <n v="0.92233009708737868"/>
    <s v="Inefficient"/>
    <s v="Very Long"/>
    <s v="Minor Delay"/>
  </r>
  <r>
    <x v="282"/>
    <x v="3"/>
    <x v="282"/>
    <x v="2"/>
    <x v="3"/>
    <x v="0"/>
    <s v="EMP_16"/>
    <d v="2024-09-26T20:08:00"/>
    <d v="2024-09-26T21:32:00"/>
    <n v="70"/>
    <n v="84"/>
    <n v="1"/>
    <x v="1"/>
    <x v="8"/>
    <n v="432.35"/>
    <n v="14"/>
    <n v="0.83333333333333337"/>
    <s v="Inefficient"/>
    <s v="Long"/>
    <s v="Minor Delay"/>
  </r>
  <r>
    <x v="283"/>
    <x v="0"/>
    <x v="283"/>
    <x v="4"/>
    <x v="0"/>
    <x v="0"/>
    <s v="EMP_146"/>
    <d v="2024-11-16T13:51:00"/>
    <d v="2024-11-16T18:32:00"/>
    <n v="198"/>
    <n v="281"/>
    <n v="1"/>
    <x v="1"/>
    <x v="1"/>
    <n v="212.34"/>
    <n v="83"/>
    <n v="0.70462633451957291"/>
    <s v="Inefficient"/>
    <s v="Very Long"/>
    <s v="Major Delay"/>
  </r>
  <r>
    <x v="284"/>
    <x v="2"/>
    <x v="284"/>
    <x v="0"/>
    <x v="3"/>
    <x v="2"/>
    <s v="EMP_112"/>
    <d v="2024-04-18T14:18:00"/>
    <d v="2024-04-18T18:40:00"/>
    <n v="216"/>
    <n v="262"/>
    <n v="1"/>
    <x v="0"/>
    <x v="1"/>
    <n v="437.73"/>
    <n v="46"/>
    <n v="0.82442748091603058"/>
    <s v="Inefficient"/>
    <s v="Very Long"/>
    <s v="Major Delay"/>
  </r>
  <r>
    <x v="285"/>
    <x v="0"/>
    <x v="285"/>
    <x v="1"/>
    <x v="1"/>
    <x v="3"/>
    <s v="EMP_114"/>
    <d v="2024-08-05T02:26:00"/>
    <d v="2024-08-05T07:05:00"/>
    <n v="217"/>
    <n v="279"/>
    <n v="1"/>
    <x v="2"/>
    <x v="3"/>
    <n v="395.67"/>
    <n v="62"/>
    <n v="0.77777777777777779"/>
    <s v="Inefficient"/>
    <s v="Very Long"/>
    <s v="Major Delay"/>
  </r>
  <r>
    <x v="286"/>
    <x v="2"/>
    <x v="286"/>
    <x v="1"/>
    <x v="2"/>
    <x v="1"/>
    <s v="EMP_40"/>
    <d v="2024-07-24T16:20:00"/>
    <d v="2024-07-24T17:26:00"/>
    <n v="20"/>
    <n v="66"/>
    <n v="1"/>
    <x v="1"/>
    <x v="2"/>
    <n v="61.81"/>
    <n v="46"/>
    <n v="0.30303030303030304"/>
    <s v="Inefficient"/>
    <s v="Long"/>
    <s v="Major Delay"/>
  </r>
  <r>
    <x v="287"/>
    <x v="3"/>
    <x v="287"/>
    <x v="1"/>
    <x v="3"/>
    <x v="0"/>
    <s v="EMP_75"/>
    <d v="2024-04-04T12:28:00"/>
    <d v="2024-04-04T18:23:00"/>
    <n v="237"/>
    <n v="355"/>
    <n v="1"/>
    <x v="1"/>
    <x v="1"/>
    <n v="380.3"/>
    <n v="118"/>
    <n v="0.6676056338028169"/>
    <s v="Inefficient"/>
    <s v="Very Long"/>
    <s v="Major Delay"/>
  </r>
  <r>
    <x v="288"/>
    <x v="4"/>
    <x v="288"/>
    <x v="3"/>
    <x v="1"/>
    <x v="3"/>
    <s v="EMP_40"/>
    <d v="2024-03-14T05:05:00"/>
    <d v="2024-03-14T06:54:00"/>
    <n v="114"/>
    <n v="109"/>
    <n v="0"/>
    <x v="0"/>
    <x v="9"/>
    <n v="484.13"/>
    <n v="-5"/>
    <n v="1.0458715596330275"/>
    <s v="Efficient"/>
    <s v="Long"/>
    <s v="On Time"/>
  </r>
  <r>
    <x v="289"/>
    <x v="1"/>
    <x v="289"/>
    <x v="0"/>
    <x v="3"/>
    <x v="2"/>
    <s v="EMP_42"/>
    <d v="2024-03-09T02:23:00"/>
    <d v="2024-03-09T05:57:00"/>
    <n v="195"/>
    <n v="214"/>
    <n v="1"/>
    <x v="2"/>
    <x v="0"/>
    <n v="441.5"/>
    <n v="19"/>
    <n v="0.91121495327102808"/>
    <s v="Inefficient"/>
    <s v="Very Long"/>
    <s v="Minor Delay"/>
  </r>
  <r>
    <x v="290"/>
    <x v="1"/>
    <x v="290"/>
    <x v="2"/>
    <x v="2"/>
    <x v="2"/>
    <s v="EMP_56"/>
    <d v="2024-02-06T14:08:00"/>
    <d v="2024-02-06T17:04:00"/>
    <n v="103"/>
    <n v="176"/>
    <n v="1"/>
    <x v="0"/>
    <x v="2"/>
    <n v="267.27"/>
    <n v="73"/>
    <n v="0.58522727272727271"/>
    <s v="Inefficient"/>
    <s v="Very Long"/>
    <s v="Major Delay"/>
  </r>
  <r>
    <x v="291"/>
    <x v="4"/>
    <x v="291"/>
    <x v="3"/>
    <x v="0"/>
    <x v="1"/>
    <s v="EMP_76"/>
    <d v="2024-11-11T06:40:00"/>
    <d v="2024-11-11T08:51:00"/>
    <n v="72"/>
    <n v="131"/>
    <n v="1"/>
    <x v="1"/>
    <x v="6"/>
    <n v="154.49"/>
    <n v="59"/>
    <n v="0.54961832061068705"/>
    <s v="Inefficient"/>
    <s v="Very Long"/>
    <s v="Major Delay"/>
  </r>
  <r>
    <x v="292"/>
    <x v="4"/>
    <x v="292"/>
    <x v="3"/>
    <x v="1"/>
    <x v="3"/>
    <s v="EMP_65"/>
    <d v="2024-03-18T17:50:00"/>
    <d v="2024-03-18T23:21:00"/>
    <n v="236"/>
    <n v="331"/>
    <n v="1"/>
    <x v="2"/>
    <x v="1"/>
    <n v="300.10000000000002"/>
    <n v="95"/>
    <n v="0.71299093655589119"/>
    <s v="Inefficient"/>
    <s v="Very Long"/>
    <s v="Major Delay"/>
  </r>
  <r>
    <x v="293"/>
    <x v="1"/>
    <x v="293"/>
    <x v="2"/>
    <x v="2"/>
    <x v="0"/>
    <s v="EMP_10"/>
    <d v="2024-05-21T11:59:00"/>
    <d v="2024-05-21T14:28:00"/>
    <n v="118"/>
    <n v="149"/>
    <n v="1"/>
    <x v="2"/>
    <x v="9"/>
    <n v="464.1"/>
    <n v="31"/>
    <n v="0.79194630872483218"/>
    <s v="Inefficient"/>
    <s v="Very Long"/>
    <s v="Major Delay"/>
  </r>
  <r>
    <x v="294"/>
    <x v="0"/>
    <x v="294"/>
    <x v="1"/>
    <x v="3"/>
    <x v="2"/>
    <s v="EMP_119"/>
    <d v="2024-03-21T09:25:00"/>
    <d v="2024-03-21T11:33:00"/>
    <n v="20"/>
    <n v="128"/>
    <n v="1"/>
    <x v="1"/>
    <x v="6"/>
    <n v="464.47"/>
    <n v="108"/>
    <n v="0.15625"/>
    <s v="Inefficient"/>
    <s v="Very Long"/>
    <s v="Major Delay"/>
  </r>
  <r>
    <x v="295"/>
    <x v="3"/>
    <x v="295"/>
    <x v="0"/>
    <x v="3"/>
    <x v="1"/>
    <s v="EMP_56"/>
    <d v="2024-03-07T04:10:00"/>
    <d v="2024-03-07T07:59:00"/>
    <n v="229"/>
    <n v="229"/>
    <n v="0"/>
    <x v="2"/>
    <x v="8"/>
    <n v="254.78"/>
    <n v="0"/>
    <n v="1"/>
    <s v="On Target"/>
    <s v="Very Long"/>
    <s v="On Time"/>
  </r>
  <r>
    <x v="296"/>
    <x v="3"/>
    <x v="296"/>
    <x v="0"/>
    <x v="3"/>
    <x v="1"/>
    <s v="EMP_69"/>
    <d v="2024-04-02T01:58:00"/>
    <d v="2024-04-02T02:47:00"/>
    <n v="51"/>
    <n v="49"/>
    <n v="0"/>
    <x v="1"/>
    <x v="7"/>
    <n v="419.24"/>
    <n v="-2"/>
    <n v="1.0408163265306123"/>
    <s v="Efficient"/>
    <s v="Medium"/>
    <s v="On Time"/>
  </r>
  <r>
    <x v="297"/>
    <x v="1"/>
    <x v="297"/>
    <x v="3"/>
    <x v="2"/>
    <x v="1"/>
    <s v="EMP_139"/>
    <d v="2024-05-12T13:41:00"/>
    <d v="2024-05-12T15:41:00"/>
    <n v="73"/>
    <n v="120"/>
    <n v="1"/>
    <x v="2"/>
    <x v="1"/>
    <n v="249.11"/>
    <n v="47"/>
    <n v="0.60833333333333328"/>
    <s v="Inefficient"/>
    <s v="Very Long"/>
    <s v="Major Delay"/>
  </r>
  <r>
    <x v="298"/>
    <x v="1"/>
    <x v="298"/>
    <x v="4"/>
    <x v="2"/>
    <x v="0"/>
    <s v="EMP_140"/>
    <d v="2024-06-05T04:52:00"/>
    <d v="2024-06-05T06:39:00"/>
    <n v="106"/>
    <n v="107"/>
    <n v="1"/>
    <x v="0"/>
    <x v="0"/>
    <n v="298.56"/>
    <n v="1"/>
    <n v="0.99065420560747663"/>
    <s v="Inefficient"/>
    <s v="Long"/>
    <s v="Minor Delay"/>
  </r>
  <r>
    <x v="299"/>
    <x v="4"/>
    <x v="299"/>
    <x v="3"/>
    <x v="1"/>
    <x v="3"/>
    <s v="EMP_70"/>
    <d v="2024-12-16T19:22:00"/>
    <d v="2024-12-16T21:31:00"/>
    <n v="120"/>
    <n v="129"/>
    <n v="1"/>
    <x v="0"/>
    <x v="6"/>
    <n v="455.72"/>
    <n v="9"/>
    <n v="0.93023255813953487"/>
    <s v="Inefficient"/>
    <s v="Very Long"/>
    <s v="Minor Delay"/>
  </r>
  <r>
    <x v="300"/>
    <x v="2"/>
    <x v="300"/>
    <x v="0"/>
    <x v="2"/>
    <x v="3"/>
    <s v="EMP_118"/>
    <d v="2024-05-07T15:25:00"/>
    <d v="2024-05-07T19:04:00"/>
    <n v="100"/>
    <n v="219"/>
    <n v="1"/>
    <x v="2"/>
    <x v="8"/>
    <n v="251.29"/>
    <n v="119"/>
    <n v="0.45662100456621002"/>
    <s v="Inefficient"/>
    <s v="Very Long"/>
    <s v="Major Delay"/>
  </r>
  <r>
    <x v="301"/>
    <x v="1"/>
    <x v="301"/>
    <x v="3"/>
    <x v="3"/>
    <x v="2"/>
    <s v="EMP_4"/>
    <d v="2024-12-14T16:45:00"/>
    <d v="2024-12-14T20:48:00"/>
    <n v="189"/>
    <n v="243"/>
    <n v="1"/>
    <x v="1"/>
    <x v="3"/>
    <n v="473.82"/>
    <n v="54"/>
    <n v="0.77777777777777779"/>
    <s v="Inefficient"/>
    <s v="Very Long"/>
    <s v="Major Delay"/>
  </r>
  <r>
    <x v="302"/>
    <x v="2"/>
    <x v="302"/>
    <x v="3"/>
    <x v="3"/>
    <x v="2"/>
    <s v="EMP_16"/>
    <d v="2024-04-25T17:20:00"/>
    <d v="2024-04-25T21:16:00"/>
    <n v="194"/>
    <n v="236"/>
    <n v="1"/>
    <x v="2"/>
    <x v="9"/>
    <n v="255.6"/>
    <n v="42"/>
    <n v="0.82203389830508478"/>
    <s v="Inefficient"/>
    <s v="Very Long"/>
    <s v="Major Delay"/>
  </r>
  <r>
    <x v="303"/>
    <x v="3"/>
    <x v="303"/>
    <x v="0"/>
    <x v="2"/>
    <x v="3"/>
    <s v="EMP_84"/>
    <d v="2024-02-26T16:07:00"/>
    <d v="2024-02-26T20:23:00"/>
    <n v="159"/>
    <n v="256"/>
    <n v="1"/>
    <x v="0"/>
    <x v="0"/>
    <n v="368.13"/>
    <n v="97"/>
    <n v="0.62109375"/>
    <s v="Inefficient"/>
    <s v="Very Long"/>
    <s v="Major Delay"/>
  </r>
  <r>
    <x v="304"/>
    <x v="3"/>
    <x v="304"/>
    <x v="0"/>
    <x v="1"/>
    <x v="3"/>
    <s v="EMP_120"/>
    <d v="2024-09-24T17:55:00"/>
    <d v="2024-09-24T20:18:00"/>
    <n v="104"/>
    <n v="143"/>
    <n v="1"/>
    <x v="0"/>
    <x v="7"/>
    <n v="134.16999999999999"/>
    <n v="39"/>
    <n v="0.72727272727272729"/>
    <s v="Inefficient"/>
    <s v="Very Long"/>
    <s v="Major Delay"/>
  </r>
  <r>
    <x v="305"/>
    <x v="4"/>
    <x v="305"/>
    <x v="2"/>
    <x v="2"/>
    <x v="4"/>
    <s v="EMP_66"/>
    <d v="2024-06-23T17:58:00"/>
    <d v="2024-06-23T20:22:00"/>
    <n v="87"/>
    <n v="144"/>
    <n v="1"/>
    <x v="2"/>
    <x v="5"/>
    <n v="382.21"/>
    <n v="57"/>
    <n v="0.60416666666666663"/>
    <s v="Inefficient"/>
    <s v="Very Long"/>
    <s v="Major Delay"/>
  </r>
  <r>
    <x v="306"/>
    <x v="0"/>
    <x v="306"/>
    <x v="2"/>
    <x v="2"/>
    <x v="2"/>
    <s v="EMP_150"/>
    <d v="2024-03-29T12:20:00"/>
    <d v="2024-03-29T16:19:00"/>
    <n v="135"/>
    <n v="239"/>
    <n v="1"/>
    <x v="2"/>
    <x v="3"/>
    <n v="378.49"/>
    <n v="104"/>
    <n v="0.56485355648535562"/>
    <s v="Inefficient"/>
    <s v="Very Long"/>
    <s v="Major Delay"/>
  </r>
  <r>
    <x v="307"/>
    <x v="4"/>
    <x v="307"/>
    <x v="4"/>
    <x v="1"/>
    <x v="3"/>
    <s v="EMP_104"/>
    <d v="2024-11-24T07:51:00"/>
    <d v="2024-11-24T11:22:00"/>
    <n v="150"/>
    <n v="211"/>
    <n v="1"/>
    <x v="2"/>
    <x v="2"/>
    <n v="441.9"/>
    <n v="61"/>
    <n v="0.7109004739336493"/>
    <s v="Inefficient"/>
    <s v="Very Long"/>
    <s v="Major Delay"/>
  </r>
  <r>
    <x v="308"/>
    <x v="3"/>
    <x v="308"/>
    <x v="3"/>
    <x v="2"/>
    <x v="3"/>
    <s v="EMP_33"/>
    <d v="2024-01-05T00:13:00"/>
    <d v="2024-01-05T04:47:00"/>
    <n v="175"/>
    <n v="274"/>
    <n v="1"/>
    <x v="2"/>
    <x v="2"/>
    <n v="482.26"/>
    <n v="99"/>
    <n v="0.63868613138686137"/>
    <s v="Inefficient"/>
    <s v="Very Long"/>
    <s v="Major Delay"/>
  </r>
  <r>
    <x v="309"/>
    <x v="3"/>
    <x v="309"/>
    <x v="3"/>
    <x v="1"/>
    <x v="0"/>
    <s v="EMP_109"/>
    <d v="2024-03-16T14:45:00"/>
    <d v="2024-03-16T15:19:00"/>
    <n v="28"/>
    <n v="34"/>
    <n v="1"/>
    <x v="0"/>
    <x v="1"/>
    <n v="197.88"/>
    <n v="6"/>
    <n v="0.82352941176470584"/>
    <s v="Inefficient"/>
    <s v="Medium"/>
    <s v="Minor Delay"/>
  </r>
  <r>
    <x v="310"/>
    <x v="0"/>
    <x v="310"/>
    <x v="2"/>
    <x v="3"/>
    <x v="3"/>
    <s v="EMP_51"/>
    <d v="2024-09-19T12:12:00"/>
    <d v="2024-09-19T16:25:00"/>
    <n v="161"/>
    <n v="253"/>
    <n v="1"/>
    <x v="2"/>
    <x v="6"/>
    <n v="60.24"/>
    <n v="92"/>
    <n v="0.63636363636363635"/>
    <s v="Inefficient"/>
    <s v="Very Long"/>
    <s v="Major Delay"/>
  </r>
  <r>
    <x v="311"/>
    <x v="3"/>
    <x v="311"/>
    <x v="1"/>
    <x v="1"/>
    <x v="1"/>
    <s v="EMP_97"/>
    <d v="2024-06-26T13:13:00"/>
    <d v="2024-06-26T17:18:00"/>
    <n v="188"/>
    <n v="245"/>
    <n v="1"/>
    <x v="2"/>
    <x v="9"/>
    <n v="486.83"/>
    <n v="57"/>
    <n v="0.76734693877551019"/>
    <s v="Inefficient"/>
    <s v="Very Long"/>
    <s v="Major Delay"/>
  </r>
  <r>
    <x v="312"/>
    <x v="1"/>
    <x v="312"/>
    <x v="0"/>
    <x v="0"/>
    <x v="0"/>
    <s v="EMP_108"/>
    <d v="2024-08-18T19:12:00"/>
    <d v="2024-08-18T22:20:00"/>
    <n v="104"/>
    <n v="188"/>
    <n v="1"/>
    <x v="2"/>
    <x v="4"/>
    <n v="288.10000000000002"/>
    <n v="84"/>
    <n v="0.55319148936170215"/>
    <s v="Inefficient"/>
    <s v="Very Long"/>
    <s v="Major Delay"/>
  </r>
  <r>
    <x v="313"/>
    <x v="4"/>
    <x v="313"/>
    <x v="4"/>
    <x v="2"/>
    <x v="0"/>
    <s v="EMP_17"/>
    <d v="2024-12-02T10:47:00"/>
    <d v="2024-12-02T13:27:00"/>
    <n v="83"/>
    <n v="160"/>
    <n v="1"/>
    <x v="2"/>
    <x v="0"/>
    <n v="128.43"/>
    <n v="77"/>
    <n v="0.51875000000000004"/>
    <s v="Inefficient"/>
    <s v="Very Long"/>
    <s v="Major Delay"/>
  </r>
  <r>
    <x v="314"/>
    <x v="1"/>
    <x v="314"/>
    <x v="4"/>
    <x v="1"/>
    <x v="1"/>
    <s v="EMP_21"/>
    <d v="2024-06-26T07:24:00"/>
    <d v="2024-06-26T07:39:00"/>
    <n v="20"/>
    <n v="15"/>
    <n v="0"/>
    <x v="0"/>
    <x v="5"/>
    <n v="263.05"/>
    <n v="-5"/>
    <n v="1.3333333333333333"/>
    <s v="Efficient"/>
    <s v="Short"/>
    <s v="On Time"/>
  </r>
  <r>
    <x v="315"/>
    <x v="3"/>
    <x v="315"/>
    <x v="3"/>
    <x v="3"/>
    <x v="0"/>
    <s v="EMP_137"/>
    <d v="2024-04-05T12:14:00"/>
    <d v="2024-04-05T14:24:00"/>
    <n v="106"/>
    <n v="130"/>
    <n v="1"/>
    <x v="0"/>
    <x v="4"/>
    <n v="476.64"/>
    <n v="24"/>
    <n v="0.81538461538461537"/>
    <s v="Inefficient"/>
    <s v="Very Long"/>
    <s v="Minor Delay"/>
  </r>
  <r>
    <x v="316"/>
    <x v="3"/>
    <x v="316"/>
    <x v="2"/>
    <x v="2"/>
    <x v="1"/>
    <s v="EMP_147"/>
    <d v="2024-11-15T08:41:00"/>
    <d v="2024-11-15T14:13:00"/>
    <n v="233"/>
    <n v="332"/>
    <n v="1"/>
    <x v="2"/>
    <x v="4"/>
    <n v="256.93"/>
    <n v="99"/>
    <n v="0.70180722891566261"/>
    <s v="Inefficient"/>
    <s v="Very Long"/>
    <s v="Major Delay"/>
  </r>
  <r>
    <x v="317"/>
    <x v="4"/>
    <x v="317"/>
    <x v="1"/>
    <x v="1"/>
    <x v="0"/>
    <s v="EMP_105"/>
    <d v="2024-06-12T00:11:00"/>
    <d v="2024-06-12T03:43:00"/>
    <n v="211"/>
    <n v="212"/>
    <n v="1"/>
    <x v="1"/>
    <x v="3"/>
    <n v="134.96"/>
    <n v="1"/>
    <n v="0.99528301886792447"/>
    <s v="Inefficient"/>
    <s v="Very Long"/>
    <s v="Minor Delay"/>
  </r>
  <r>
    <x v="318"/>
    <x v="1"/>
    <x v="318"/>
    <x v="4"/>
    <x v="2"/>
    <x v="4"/>
    <s v="EMP_13"/>
    <d v="2024-12-30T23:03:00"/>
    <d v="2024-12-31T00:02:00"/>
    <n v="45"/>
    <n v="59"/>
    <n v="1"/>
    <x v="0"/>
    <x v="0"/>
    <n v="372.72"/>
    <n v="14"/>
    <n v="0.76271186440677963"/>
    <s v="Inefficient"/>
    <s v="Medium"/>
    <s v="Minor Delay"/>
  </r>
  <r>
    <x v="319"/>
    <x v="1"/>
    <x v="319"/>
    <x v="1"/>
    <x v="2"/>
    <x v="4"/>
    <s v="EMP_104"/>
    <d v="2024-12-26T21:09:00"/>
    <d v="2024-12-27T00:07:00"/>
    <n v="158"/>
    <n v="178"/>
    <n v="1"/>
    <x v="1"/>
    <x v="3"/>
    <n v="331.05"/>
    <n v="20"/>
    <n v="0.88764044943820219"/>
    <s v="Inefficient"/>
    <s v="Very Long"/>
    <s v="Minor Delay"/>
  </r>
  <r>
    <x v="320"/>
    <x v="4"/>
    <x v="320"/>
    <x v="4"/>
    <x v="0"/>
    <x v="4"/>
    <s v="EMP_149"/>
    <d v="2024-07-03T23:51:00"/>
    <d v="2024-07-04T04:46:00"/>
    <n v="224"/>
    <n v="295"/>
    <n v="1"/>
    <x v="1"/>
    <x v="7"/>
    <n v="319.94"/>
    <n v="71"/>
    <n v="0.7593220338983051"/>
    <s v="Inefficient"/>
    <s v="Very Long"/>
    <s v="Major Delay"/>
  </r>
  <r>
    <x v="321"/>
    <x v="2"/>
    <x v="321"/>
    <x v="3"/>
    <x v="2"/>
    <x v="3"/>
    <s v="EMP_65"/>
    <d v="2024-11-13T07:41:00"/>
    <d v="2024-11-13T12:29:00"/>
    <n v="207"/>
    <n v="288"/>
    <n v="1"/>
    <x v="1"/>
    <x v="6"/>
    <n v="87.99"/>
    <n v="81"/>
    <n v="0.71875"/>
    <s v="Inefficient"/>
    <s v="Very Long"/>
    <s v="Major Delay"/>
  </r>
  <r>
    <x v="322"/>
    <x v="1"/>
    <x v="322"/>
    <x v="0"/>
    <x v="1"/>
    <x v="4"/>
    <s v="EMP_46"/>
    <d v="2024-07-16T09:37:00"/>
    <d v="2024-07-16T14:07:00"/>
    <n v="167"/>
    <n v="270"/>
    <n v="1"/>
    <x v="2"/>
    <x v="5"/>
    <n v="62.85"/>
    <n v="103"/>
    <n v="0.61851851851851847"/>
    <s v="Inefficient"/>
    <s v="Very Long"/>
    <s v="Major Delay"/>
  </r>
  <r>
    <x v="323"/>
    <x v="4"/>
    <x v="323"/>
    <x v="0"/>
    <x v="2"/>
    <x v="1"/>
    <s v="EMP_12"/>
    <d v="2024-11-12T04:43:00"/>
    <d v="2024-11-12T06:17:00"/>
    <n v="62"/>
    <n v="94"/>
    <n v="1"/>
    <x v="2"/>
    <x v="0"/>
    <n v="426.8"/>
    <n v="32"/>
    <n v="0.65957446808510634"/>
    <s v="Inefficient"/>
    <s v="Long"/>
    <s v="Major Delay"/>
  </r>
  <r>
    <x v="324"/>
    <x v="2"/>
    <x v="324"/>
    <x v="2"/>
    <x v="3"/>
    <x v="4"/>
    <s v="EMP_30"/>
    <d v="2024-01-11T11:38:00"/>
    <d v="2024-01-11T13:50:00"/>
    <n v="126"/>
    <n v="132"/>
    <n v="1"/>
    <x v="0"/>
    <x v="0"/>
    <n v="130.21"/>
    <n v="6"/>
    <n v="0.95454545454545459"/>
    <s v="Inefficient"/>
    <s v="Very Long"/>
    <s v="Minor Delay"/>
  </r>
  <r>
    <x v="325"/>
    <x v="4"/>
    <x v="325"/>
    <x v="0"/>
    <x v="0"/>
    <x v="4"/>
    <s v="EMP_28"/>
    <d v="2024-05-31T13:45:00"/>
    <d v="2024-05-31T14:36:00"/>
    <n v="53"/>
    <n v="51"/>
    <n v="0"/>
    <x v="0"/>
    <x v="2"/>
    <n v="365.34"/>
    <n v="-2"/>
    <n v="1.0392156862745099"/>
    <s v="Efficient"/>
    <s v="Medium"/>
    <s v="On Time"/>
  </r>
  <r>
    <x v="326"/>
    <x v="3"/>
    <x v="326"/>
    <x v="2"/>
    <x v="1"/>
    <x v="2"/>
    <s v="EMP_76"/>
    <d v="2024-04-30T15:30:00"/>
    <d v="2024-04-30T18:30:00"/>
    <n v="75"/>
    <n v="180"/>
    <n v="1"/>
    <x v="2"/>
    <x v="6"/>
    <n v="197.29"/>
    <n v="105"/>
    <n v="0.41666666666666669"/>
    <s v="Inefficient"/>
    <s v="Very Long"/>
    <s v="Major Delay"/>
  </r>
  <r>
    <x v="327"/>
    <x v="1"/>
    <x v="327"/>
    <x v="1"/>
    <x v="3"/>
    <x v="1"/>
    <s v="EMP_24"/>
    <d v="2024-08-12T18:04:00"/>
    <d v="2024-08-12T19:49:00"/>
    <n v="59"/>
    <n v="105"/>
    <n v="1"/>
    <x v="1"/>
    <x v="0"/>
    <n v="478.04"/>
    <n v="46"/>
    <n v="0.56190476190476191"/>
    <s v="Inefficient"/>
    <s v="Long"/>
    <s v="Major Delay"/>
  </r>
  <r>
    <x v="328"/>
    <x v="3"/>
    <x v="328"/>
    <x v="3"/>
    <x v="0"/>
    <x v="1"/>
    <s v="EMP_90"/>
    <d v="2024-05-27T14:28:00"/>
    <d v="2024-05-27T16:23:00"/>
    <n v="94"/>
    <n v="115"/>
    <n v="1"/>
    <x v="0"/>
    <x v="7"/>
    <n v="494.16"/>
    <n v="21"/>
    <n v="0.81739130434782614"/>
    <s v="Inefficient"/>
    <s v="Long"/>
    <s v="Minor Delay"/>
  </r>
  <r>
    <x v="329"/>
    <x v="0"/>
    <x v="329"/>
    <x v="4"/>
    <x v="1"/>
    <x v="4"/>
    <s v="EMP_112"/>
    <d v="2024-05-17T07:22:00"/>
    <d v="2024-05-17T10:40:00"/>
    <n v="131"/>
    <n v="198"/>
    <n v="1"/>
    <x v="2"/>
    <x v="4"/>
    <n v="127.69"/>
    <n v="67"/>
    <n v="0.66161616161616166"/>
    <s v="Inefficient"/>
    <s v="Very Long"/>
    <s v="Major Delay"/>
  </r>
  <r>
    <x v="330"/>
    <x v="0"/>
    <x v="330"/>
    <x v="0"/>
    <x v="1"/>
    <x v="0"/>
    <s v="EMP_118"/>
    <d v="2024-09-13T21:21:00"/>
    <d v="2024-09-14T00:58:00"/>
    <n v="173"/>
    <n v="217"/>
    <n v="1"/>
    <x v="0"/>
    <x v="4"/>
    <n v="353.68"/>
    <n v="44"/>
    <n v="0.79723502304147464"/>
    <s v="Inefficient"/>
    <s v="Very Long"/>
    <s v="Major Delay"/>
  </r>
  <r>
    <x v="331"/>
    <x v="2"/>
    <x v="331"/>
    <x v="2"/>
    <x v="0"/>
    <x v="2"/>
    <s v="EMP_13"/>
    <d v="2024-11-06T02:16:00"/>
    <d v="2024-11-06T06:04:00"/>
    <n v="228"/>
    <n v="228"/>
    <n v="0"/>
    <x v="1"/>
    <x v="9"/>
    <n v="253.29"/>
    <n v="0"/>
    <n v="1"/>
    <s v="On Target"/>
    <s v="Very Long"/>
    <s v="On Time"/>
  </r>
  <r>
    <x v="332"/>
    <x v="0"/>
    <x v="332"/>
    <x v="3"/>
    <x v="0"/>
    <x v="4"/>
    <s v="EMP_74"/>
    <d v="2024-08-27T13:16:00"/>
    <d v="2024-08-27T16:45:00"/>
    <n v="121"/>
    <n v="209"/>
    <n v="1"/>
    <x v="2"/>
    <x v="9"/>
    <n v="394.46"/>
    <n v="88"/>
    <n v="0.57894736842105265"/>
    <s v="Inefficient"/>
    <s v="Very Long"/>
    <s v="Major Delay"/>
  </r>
  <r>
    <x v="333"/>
    <x v="1"/>
    <x v="333"/>
    <x v="1"/>
    <x v="3"/>
    <x v="3"/>
    <s v="EMP_28"/>
    <d v="2024-04-08T10:42:00"/>
    <d v="2024-04-08T13:52:00"/>
    <n v="74"/>
    <n v="190"/>
    <n v="1"/>
    <x v="0"/>
    <x v="6"/>
    <n v="378.69"/>
    <n v="116"/>
    <n v="0.38947368421052631"/>
    <s v="Inefficient"/>
    <s v="Very Long"/>
    <s v="Major Delay"/>
  </r>
  <r>
    <x v="334"/>
    <x v="4"/>
    <x v="334"/>
    <x v="0"/>
    <x v="1"/>
    <x v="4"/>
    <s v="EMP_104"/>
    <d v="2024-01-29T14:04:00"/>
    <d v="2024-01-29T17:06:00"/>
    <n v="185"/>
    <n v="182"/>
    <n v="0"/>
    <x v="2"/>
    <x v="7"/>
    <n v="258.99"/>
    <n v="-3"/>
    <n v="1.0164835164835164"/>
    <s v="Efficient"/>
    <s v="Very Long"/>
    <s v="On Time"/>
  </r>
  <r>
    <x v="335"/>
    <x v="2"/>
    <x v="335"/>
    <x v="1"/>
    <x v="2"/>
    <x v="1"/>
    <s v="EMP_41"/>
    <d v="2024-03-20T13:11:00"/>
    <d v="2024-03-20T15:25:00"/>
    <n v="111"/>
    <n v="134"/>
    <n v="1"/>
    <x v="0"/>
    <x v="2"/>
    <n v="325.7"/>
    <n v="23"/>
    <n v="0.82835820895522383"/>
    <s v="Inefficient"/>
    <s v="Very Long"/>
    <s v="Minor Delay"/>
  </r>
  <r>
    <x v="336"/>
    <x v="1"/>
    <x v="336"/>
    <x v="1"/>
    <x v="2"/>
    <x v="0"/>
    <s v="EMP_64"/>
    <d v="2024-11-17T18:26:00"/>
    <d v="2024-11-17T21:49:00"/>
    <n v="137"/>
    <n v="203"/>
    <n v="1"/>
    <x v="1"/>
    <x v="1"/>
    <n v="113.07"/>
    <n v="66"/>
    <n v="0.67487684729064035"/>
    <s v="Inefficient"/>
    <s v="Very Long"/>
    <s v="Major Delay"/>
  </r>
  <r>
    <x v="337"/>
    <x v="1"/>
    <x v="337"/>
    <x v="3"/>
    <x v="3"/>
    <x v="3"/>
    <s v="EMP_93"/>
    <d v="2024-10-06T05:40:00"/>
    <d v="2024-10-06T09:03:00"/>
    <n v="196"/>
    <n v="203"/>
    <n v="1"/>
    <x v="2"/>
    <x v="8"/>
    <n v="138.86000000000001"/>
    <n v="7"/>
    <n v="0.96551724137931039"/>
    <s v="Inefficient"/>
    <s v="Very Long"/>
    <s v="Minor Delay"/>
  </r>
  <r>
    <x v="338"/>
    <x v="4"/>
    <x v="338"/>
    <x v="1"/>
    <x v="2"/>
    <x v="4"/>
    <s v="EMP_132"/>
    <d v="2024-09-22T06:09:00"/>
    <d v="2024-09-22T09:55:00"/>
    <n v="221"/>
    <n v="226"/>
    <n v="1"/>
    <x v="0"/>
    <x v="2"/>
    <n v="495.86"/>
    <n v="5"/>
    <n v="0.97787610619469023"/>
    <s v="Inefficient"/>
    <s v="Very Long"/>
    <s v="Minor Delay"/>
  </r>
  <r>
    <x v="339"/>
    <x v="2"/>
    <x v="339"/>
    <x v="2"/>
    <x v="1"/>
    <x v="3"/>
    <s v="EMP_72"/>
    <d v="2024-11-29T08:11:00"/>
    <d v="2024-11-29T10:00:00"/>
    <n v="25"/>
    <n v="109"/>
    <n v="1"/>
    <x v="2"/>
    <x v="6"/>
    <n v="56.95"/>
    <n v="84"/>
    <n v="0.22935779816513763"/>
    <s v="Inefficient"/>
    <s v="Long"/>
    <s v="Major Delay"/>
  </r>
  <r>
    <x v="340"/>
    <x v="0"/>
    <x v="340"/>
    <x v="4"/>
    <x v="2"/>
    <x v="4"/>
    <s v="EMP_50"/>
    <d v="2024-08-21T19:38:00"/>
    <d v="2024-08-21T23:50:00"/>
    <n v="139"/>
    <n v="252"/>
    <n v="1"/>
    <x v="2"/>
    <x v="0"/>
    <n v="132.63999999999999"/>
    <n v="113"/>
    <n v="0.55158730158730163"/>
    <s v="Inefficient"/>
    <s v="Very Long"/>
    <s v="Major Delay"/>
  </r>
  <r>
    <x v="341"/>
    <x v="4"/>
    <x v="341"/>
    <x v="4"/>
    <x v="0"/>
    <x v="1"/>
    <s v="EMP_80"/>
    <d v="2024-11-28T15:32:00"/>
    <d v="2024-11-28T19:38:00"/>
    <n v="171"/>
    <n v="246"/>
    <n v="1"/>
    <x v="0"/>
    <x v="8"/>
    <n v="467"/>
    <n v="75"/>
    <n v="0.69512195121951215"/>
    <s v="Inefficient"/>
    <s v="Very Long"/>
    <s v="Major Delay"/>
  </r>
  <r>
    <x v="342"/>
    <x v="1"/>
    <x v="342"/>
    <x v="4"/>
    <x v="3"/>
    <x v="1"/>
    <s v="EMP_18"/>
    <d v="2024-06-25T20:50:00"/>
    <d v="2024-06-26T00:01:00"/>
    <n v="194"/>
    <n v="191"/>
    <n v="0"/>
    <x v="1"/>
    <x v="9"/>
    <n v="240.6"/>
    <n v="-3"/>
    <n v="1.0157068062827226"/>
    <s v="Efficient"/>
    <s v="Very Long"/>
    <s v="On Time"/>
  </r>
  <r>
    <x v="343"/>
    <x v="3"/>
    <x v="343"/>
    <x v="2"/>
    <x v="1"/>
    <x v="0"/>
    <s v="EMP_13"/>
    <d v="2024-11-12T17:25:00"/>
    <d v="2024-11-12T18:30:00"/>
    <n v="21"/>
    <n v="65"/>
    <n v="1"/>
    <x v="2"/>
    <x v="9"/>
    <n v="261.39999999999998"/>
    <n v="44"/>
    <n v="0.32307692307692309"/>
    <s v="Inefficient"/>
    <s v="Long"/>
    <s v="Major Delay"/>
  </r>
  <r>
    <x v="344"/>
    <x v="2"/>
    <x v="344"/>
    <x v="2"/>
    <x v="2"/>
    <x v="1"/>
    <s v="EMP_47"/>
    <d v="2024-07-25T23:45:00"/>
    <d v="2024-07-26T02:56:00"/>
    <n v="115"/>
    <n v="191"/>
    <n v="1"/>
    <x v="1"/>
    <x v="1"/>
    <n v="319.36"/>
    <n v="76"/>
    <n v="0.60209424083769636"/>
    <s v="Inefficient"/>
    <s v="Very Long"/>
    <s v="Major Delay"/>
  </r>
  <r>
    <x v="345"/>
    <x v="3"/>
    <x v="345"/>
    <x v="3"/>
    <x v="0"/>
    <x v="0"/>
    <s v="EMP_93"/>
    <d v="2024-10-13T23:18:00"/>
    <d v="2024-10-14T02:52:00"/>
    <n v="167"/>
    <n v="214"/>
    <n v="1"/>
    <x v="0"/>
    <x v="0"/>
    <n v="429.25"/>
    <n v="47"/>
    <n v="0.78037383177570097"/>
    <s v="Inefficient"/>
    <s v="Very Long"/>
    <s v="Major Delay"/>
  </r>
  <r>
    <x v="346"/>
    <x v="4"/>
    <x v="346"/>
    <x v="2"/>
    <x v="1"/>
    <x v="3"/>
    <s v="EMP_110"/>
    <d v="2024-08-14T23:39:00"/>
    <d v="2024-08-15T03:21:00"/>
    <n v="192"/>
    <n v="222"/>
    <n v="1"/>
    <x v="2"/>
    <x v="6"/>
    <n v="253.2"/>
    <n v="30"/>
    <n v="0.86486486486486491"/>
    <s v="Inefficient"/>
    <s v="Very Long"/>
    <s v="Minor Delay"/>
  </r>
  <r>
    <x v="347"/>
    <x v="3"/>
    <x v="347"/>
    <x v="1"/>
    <x v="3"/>
    <x v="0"/>
    <s v="EMP_77"/>
    <d v="2024-03-15T21:20:00"/>
    <d v="2024-03-15T23:26:00"/>
    <n v="57"/>
    <n v="126"/>
    <n v="1"/>
    <x v="0"/>
    <x v="0"/>
    <n v="173.45"/>
    <n v="69"/>
    <n v="0.45238095238095238"/>
    <s v="Inefficient"/>
    <s v="Very Long"/>
    <s v="Major Delay"/>
  </r>
  <r>
    <x v="348"/>
    <x v="1"/>
    <x v="348"/>
    <x v="1"/>
    <x v="2"/>
    <x v="4"/>
    <s v="EMP_69"/>
    <d v="2024-12-03T16:55:00"/>
    <d v="2024-12-03T21:06:00"/>
    <n v="218"/>
    <n v="251"/>
    <n v="1"/>
    <x v="0"/>
    <x v="9"/>
    <n v="90.28"/>
    <n v="33"/>
    <n v="0.86852589641434264"/>
    <s v="Inefficient"/>
    <s v="Very Long"/>
    <s v="Major Delay"/>
  </r>
  <r>
    <x v="349"/>
    <x v="3"/>
    <x v="349"/>
    <x v="0"/>
    <x v="0"/>
    <x v="1"/>
    <s v="EMP_77"/>
    <d v="2024-04-21T11:14:00"/>
    <d v="2024-04-21T15:16:00"/>
    <n v="209"/>
    <n v="242"/>
    <n v="1"/>
    <x v="0"/>
    <x v="2"/>
    <n v="230.69"/>
    <n v="33"/>
    <n v="0.86363636363636365"/>
    <s v="Inefficient"/>
    <s v="Very Long"/>
    <s v="Major Delay"/>
  </r>
  <r>
    <x v="350"/>
    <x v="0"/>
    <x v="350"/>
    <x v="0"/>
    <x v="2"/>
    <x v="2"/>
    <s v="EMP_72"/>
    <d v="2024-11-29T21:50:00"/>
    <d v="2024-11-30T00:09:00"/>
    <n v="128"/>
    <n v="139"/>
    <n v="1"/>
    <x v="1"/>
    <x v="4"/>
    <n v="479.53"/>
    <n v="11"/>
    <n v="0.92086330935251803"/>
    <s v="Inefficient"/>
    <s v="Very Long"/>
    <s v="Minor Delay"/>
  </r>
  <r>
    <x v="351"/>
    <x v="2"/>
    <x v="351"/>
    <x v="4"/>
    <x v="3"/>
    <x v="3"/>
    <s v="EMP_25"/>
    <d v="2024-09-10T13:51:00"/>
    <d v="2024-09-10T19:08:00"/>
    <n v="224"/>
    <n v="317"/>
    <n v="1"/>
    <x v="0"/>
    <x v="8"/>
    <n v="344.55"/>
    <n v="93"/>
    <n v="0.70662460567823349"/>
    <s v="Inefficient"/>
    <s v="Very Long"/>
    <s v="Major Delay"/>
  </r>
  <r>
    <x v="352"/>
    <x v="0"/>
    <x v="352"/>
    <x v="4"/>
    <x v="3"/>
    <x v="3"/>
    <s v="EMP_40"/>
    <d v="2024-01-15T17:15:00"/>
    <d v="2024-01-15T21:52:00"/>
    <n v="200"/>
    <n v="277"/>
    <n v="1"/>
    <x v="1"/>
    <x v="6"/>
    <n v="99.92"/>
    <n v="77"/>
    <n v="0.72202166064981954"/>
    <s v="Inefficient"/>
    <s v="Very Long"/>
    <s v="Major Delay"/>
  </r>
  <r>
    <x v="353"/>
    <x v="3"/>
    <x v="353"/>
    <x v="0"/>
    <x v="0"/>
    <x v="2"/>
    <s v="EMP_55"/>
    <d v="2024-12-15T06:30:00"/>
    <d v="2024-12-15T09:33:00"/>
    <n v="93"/>
    <n v="183"/>
    <n v="1"/>
    <x v="1"/>
    <x v="2"/>
    <n v="455.49"/>
    <n v="90"/>
    <n v="0.50819672131147542"/>
    <s v="Inefficient"/>
    <s v="Very Long"/>
    <s v="Major Delay"/>
  </r>
  <r>
    <x v="354"/>
    <x v="2"/>
    <x v="354"/>
    <x v="4"/>
    <x v="0"/>
    <x v="4"/>
    <s v="EMP_15"/>
    <d v="2024-06-19T19:15:00"/>
    <d v="2024-06-20T00:17:00"/>
    <n v="219"/>
    <n v="302"/>
    <n v="1"/>
    <x v="0"/>
    <x v="3"/>
    <n v="384.66"/>
    <n v="83"/>
    <n v="0.72516556291390732"/>
    <s v="Inefficient"/>
    <s v="Very Long"/>
    <s v="Major Delay"/>
  </r>
  <r>
    <x v="355"/>
    <x v="0"/>
    <x v="355"/>
    <x v="4"/>
    <x v="0"/>
    <x v="4"/>
    <s v="EMP_147"/>
    <d v="2024-01-26T11:28:00"/>
    <d v="2024-01-26T12:52:00"/>
    <n v="77"/>
    <n v="84"/>
    <n v="1"/>
    <x v="1"/>
    <x v="6"/>
    <n v="55.51"/>
    <n v="7"/>
    <n v="0.91666666666666663"/>
    <s v="Inefficient"/>
    <s v="Long"/>
    <s v="Minor Delay"/>
  </r>
  <r>
    <x v="356"/>
    <x v="2"/>
    <x v="356"/>
    <x v="4"/>
    <x v="1"/>
    <x v="0"/>
    <s v="EMP_50"/>
    <d v="2024-03-25T13:17:00"/>
    <d v="2024-03-25T17:59:00"/>
    <n v="238"/>
    <n v="282"/>
    <n v="1"/>
    <x v="1"/>
    <x v="1"/>
    <n v="358.33"/>
    <n v="44"/>
    <n v="0.84397163120567376"/>
    <s v="Inefficient"/>
    <s v="Very Long"/>
    <s v="Major Delay"/>
  </r>
  <r>
    <x v="357"/>
    <x v="0"/>
    <x v="357"/>
    <x v="3"/>
    <x v="1"/>
    <x v="4"/>
    <s v="EMP_132"/>
    <d v="2024-11-03T03:49:00"/>
    <d v="2024-11-03T06:36:00"/>
    <n v="97"/>
    <n v="167"/>
    <n v="1"/>
    <x v="2"/>
    <x v="6"/>
    <n v="108.14"/>
    <n v="70"/>
    <n v="0.58083832335329344"/>
    <s v="Inefficient"/>
    <s v="Very Long"/>
    <s v="Major Delay"/>
  </r>
  <r>
    <x v="358"/>
    <x v="4"/>
    <x v="358"/>
    <x v="0"/>
    <x v="0"/>
    <x v="1"/>
    <s v="EMP_43"/>
    <d v="2024-07-16T22:17:00"/>
    <d v="2024-07-17T02:05:00"/>
    <n v="152"/>
    <n v="228"/>
    <n v="1"/>
    <x v="1"/>
    <x v="6"/>
    <n v="129.86000000000001"/>
    <n v="76"/>
    <n v="0.66666666666666663"/>
    <s v="Inefficient"/>
    <s v="Very Long"/>
    <s v="Major Delay"/>
  </r>
  <r>
    <x v="359"/>
    <x v="0"/>
    <x v="359"/>
    <x v="3"/>
    <x v="0"/>
    <x v="1"/>
    <s v="EMP_58"/>
    <d v="2024-07-18T10:04:00"/>
    <d v="2024-07-18T14:47:00"/>
    <n v="212"/>
    <n v="283"/>
    <n v="1"/>
    <x v="2"/>
    <x v="6"/>
    <n v="451.49"/>
    <n v="71"/>
    <n v="0.74911660777385158"/>
    <s v="Inefficient"/>
    <s v="Very Long"/>
    <s v="Major Delay"/>
  </r>
  <r>
    <x v="360"/>
    <x v="4"/>
    <x v="360"/>
    <x v="4"/>
    <x v="3"/>
    <x v="3"/>
    <s v="EMP_49"/>
    <d v="2024-10-16T22:09:00"/>
    <d v="2024-10-16T23:55:00"/>
    <n v="13"/>
    <n v="106"/>
    <n v="1"/>
    <x v="1"/>
    <x v="3"/>
    <n v="398.06"/>
    <n v="93"/>
    <n v="0.12264150943396226"/>
    <s v="Inefficient"/>
    <s v="Long"/>
    <s v="Major Delay"/>
  </r>
  <r>
    <x v="361"/>
    <x v="0"/>
    <x v="361"/>
    <x v="0"/>
    <x v="3"/>
    <x v="4"/>
    <s v="EMP_48"/>
    <d v="2024-02-22T18:15:00"/>
    <d v="2024-02-22T21:30:00"/>
    <n v="153"/>
    <n v="195"/>
    <n v="1"/>
    <x v="1"/>
    <x v="7"/>
    <n v="99.03"/>
    <n v="42"/>
    <n v="0.7846153846153846"/>
    <s v="Inefficient"/>
    <s v="Very Long"/>
    <s v="Major Delay"/>
  </r>
  <r>
    <x v="362"/>
    <x v="0"/>
    <x v="362"/>
    <x v="0"/>
    <x v="0"/>
    <x v="2"/>
    <s v="EMP_136"/>
    <d v="2024-11-04T07:34:00"/>
    <d v="2024-11-04T10:37:00"/>
    <n v="169"/>
    <n v="183"/>
    <n v="1"/>
    <x v="0"/>
    <x v="1"/>
    <n v="440.03"/>
    <n v="14"/>
    <n v="0.92349726775956287"/>
    <s v="Inefficient"/>
    <s v="Very Long"/>
    <s v="Minor Delay"/>
  </r>
  <r>
    <x v="363"/>
    <x v="1"/>
    <x v="363"/>
    <x v="3"/>
    <x v="0"/>
    <x v="0"/>
    <s v="EMP_82"/>
    <d v="2024-01-05T08:18:00"/>
    <d v="2024-01-05T13:11:00"/>
    <n v="194"/>
    <n v="293"/>
    <n v="1"/>
    <x v="0"/>
    <x v="9"/>
    <n v="340.72"/>
    <n v="99"/>
    <n v="0.66211604095563137"/>
    <s v="Inefficient"/>
    <s v="Very Long"/>
    <s v="Major Delay"/>
  </r>
  <r>
    <x v="364"/>
    <x v="0"/>
    <x v="364"/>
    <x v="4"/>
    <x v="1"/>
    <x v="2"/>
    <s v="EMP_17"/>
    <d v="2024-04-10T09:41:00"/>
    <d v="2024-04-10T12:59:00"/>
    <n v="141"/>
    <n v="198"/>
    <n v="1"/>
    <x v="0"/>
    <x v="0"/>
    <n v="234.14"/>
    <n v="57"/>
    <n v="0.71212121212121215"/>
    <s v="Inefficient"/>
    <s v="Very Long"/>
    <s v="Major Delay"/>
  </r>
  <r>
    <x v="365"/>
    <x v="2"/>
    <x v="365"/>
    <x v="2"/>
    <x v="0"/>
    <x v="0"/>
    <s v="EMP_56"/>
    <d v="2024-10-28T20:13:00"/>
    <d v="2024-10-28T21:58:00"/>
    <n v="77"/>
    <n v="105"/>
    <n v="1"/>
    <x v="0"/>
    <x v="7"/>
    <n v="82.7"/>
    <n v="28"/>
    <n v="0.73333333333333328"/>
    <s v="Inefficient"/>
    <s v="Long"/>
    <s v="Minor Delay"/>
  </r>
  <r>
    <x v="366"/>
    <x v="1"/>
    <x v="366"/>
    <x v="3"/>
    <x v="3"/>
    <x v="3"/>
    <s v="EMP_88"/>
    <d v="2024-11-16T13:21:00"/>
    <d v="2024-11-16T17:49:00"/>
    <n v="228"/>
    <n v="268"/>
    <n v="1"/>
    <x v="0"/>
    <x v="9"/>
    <n v="343.92"/>
    <n v="40"/>
    <n v="0.85074626865671643"/>
    <s v="Inefficient"/>
    <s v="Very Long"/>
    <s v="Major Delay"/>
  </r>
  <r>
    <x v="367"/>
    <x v="3"/>
    <x v="367"/>
    <x v="1"/>
    <x v="2"/>
    <x v="1"/>
    <s v="EMP_24"/>
    <d v="2024-02-03T09:13:00"/>
    <d v="2024-02-03T13:17:00"/>
    <n v="220"/>
    <n v="244"/>
    <n v="1"/>
    <x v="2"/>
    <x v="1"/>
    <n v="119.22"/>
    <n v="24"/>
    <n v="0.90163934426229508"/>
    <s v="Inefficient"/>
    <s v="Very Long"/>
    <s v="Minor Delay"/>
  </r>
  <r>
    <x v="368"/>
    <x v="4"/>
    <x v="368"/>
    <x v="2"/>
    <x v="3"/>
    <x v="2"/>
    <s v="EMP_16"/>
    <d v="2024-05-30T15:40:00"/>
    <d v="2024-05-30T19:39:00"/>
    <n v="197"/>
    <n v="239"/>
    <n v="1"/>
    <x v="0"/>
    <x v="7"/>
    <n v="385.36"/>
    <n v="42"/>
    <n v="0.82426778242677823"/>
    <s v="Inefficient"/>
    <s v="Very Long"/>
    <s v="Major Delay"/>
  </r>
  <r>
    <x v="369"/>
    <x v="1"/>
    <x v="369"/>
    <x v="3"/>
    <x v="1"/>
    <x v="3"/>
    <s v="EMP_28"/>
    <d v="2024-09-15T02:37:00"/>
    <d v="2024-09-15T04:15:00"/>
    <n v="52"/>
    <n v="98"/>
    <n v="1"/>
    <x v="0"/>
    <x v="6"/>
    <n v="52.77"/>
    <n v="46"/>
    <n v="0.53061224489795922"/>
    <s v="Inefficient"/>
    <s v="Long"/>
    <s v="Major Delay"/>
  </r>
  <r>
    <x v="370"/>
    <x v="0"/>
    <x v="370"/>
    <x v="1"/>
    <x v="2"/>
    <x v="3"/>
    <s v="EMP_89"/>
    <d v="2024-05-05T00:25:00"/>
    <d v="2024-05-05T04:26:00"/>
    <n v="180"/>
    <n v="241"/>
    <n v="1"/>
    <x v="2"/>
    <x v="4"/>
    <n v="212.97"/>
    <n v="61"/>
    <n v="0.74688796680497926"/>
    <s v="Inefficient"/>
    <s v="Very Long"/>
    <s v="Major Delay"/>
  </r>
  <r>
    <x v="371"/>
    <x v="1"/>
    <x v="371"/>
    <x v="2"/>
    <x v="0"/>
    <x v="2"/>
    <s v="EMP_37"/>
    <d v="2024-02-07T15:38:00"/>
    <d v="2024-02-07T18:19:00"/>
    <n v="117"/>
    <n v="161"/>
    <n v="1"/>
    <x v="0"/>
    <x v="9"/>
    <n v="185.41"/>
    <n v="44"/>
    <n v="0.72670807453416153"/>
    <s v="Inefficient"/>
    <s v="Very Long"/>
    <s v="Major Delay"/>
  </r>
  <r>
    <x v="372"/>
    <x v="0"/>
    <x v="372"/>
    <x v="2"/>
    <x v="1"/>
    <x v="4"/>
    <s v="EMP_24"/>
    <d v="2024-02-11T18:00:00"/>
    <d v="2024-02-11T19:23:00"/>
    <n v="47"/>
    <n v="83"/>
    <n v="1"/>
    <x v="1"/>
    <x v="1"/>
    <n v="354.78"/>
    <n v="36"/>
    <n v="0.5662650602409639"/>
    <s v="Inefficient"/>
    <s v="Long"/>
    <s v="Major Delay"/>
  </r>
  <r>
    <x v="373"/>
    <x v="1"/>
    <x v="373"/>
    <x v="2"/>
    <x v="3"/>
    <x v="2"/>
    <s v="EMP_89"/>
    <d v="2024-02-16T04:59:00"/>
    <d v="2024-02-16T10:32:00"/>
    <n v="234"/>
    <n v="333"/>
    <n v="1"/>
    <x v="1"/>
    <x v="0"/>
    <n v="270.88"/>
    <n v="99"/>
    <n v="0.70270270270270274"/>
    <s v="Inefficient"/>
    <s v="Very Long"/>
    <s v="Major Delay"/>
  </r>
  <r>
    <x v="374"/>
    <x v="0"/>
    <x v="374"/>
    <x v="1"/>
    <x v="1"/>
    <x v="3"/>
    <s v="EMP_126"/>
    <d v="2024-06-19T04:02:00"/>
    <d v="2024-06-19T08:16:00"/>
    <n v="176"/>
    <n v="254"/>
    <n v="1"/>
    <x v="0"/>
    <x v="6"/>
    <n v="215.19"/>
    <n v="78"/>
    <n v="0.69291338582677164"/>
    <s v="Inefficient"/>
    <s v="Very Long"/>
    <s v="Major Delay"/>
  </r>
  <r>
    <x v="375"/>
    <x v="0"/>
    <x v="375"/>
    <x v="1"/>
    <x v="0"/>
    <x v="2"/>
    <s v="EMP_50"/>
    <d v="2024-12-08T10:45:00"/>
    <d v="2024-12-08T13:25:00"/>
    <n v="74"/>
    <n v="160"/>
    <n v="1"/>
    <x v="0"/>
    <x v="9"/>
    <n v="398.96"/>
    <n v="86"/>
    <n v="0.46250000000000002"/>
    <s v="Inefficient"/>
    <s v="Very Long"/>
    <s v="Major Delay"/>
  </r>
  <r>
    <x v="376"/>
    <x v="3"/>
    <x v="376"/>
    <x v="0"/>
    <x v="1"/>
    <x v="3"/>
    <s v="EMP_28"/>
    <d v="2024-05-26T12:02:00"/>
    <d v="2024-05-26T16:04:00"/>
    <n v="211"/>
    <n v="242"/>
    <n v="1"/>
    <x v="2"/>
    <x v="5"/>
    <n v="478.13"/>
    <n v="31"/>
    <n v="0.87190082644628097"/>
    <s v="Inefficient"/>
    <s v="Very Long"/>
    <s v="Major Delay"/>
  </r>
  <r>
    <x v="377"/>
    <x v="2"/>
    <x v="377"/>
    <x v="4"/>
    <x v="0"/>
    <x v="0"/>
    <s v="EMP_61"/>
    <d v="2024-02-21T13:23:00"/>
    <d v="2024-02-21T15:02:00"/>
    <n v="101"/>
    <n v="99"/>
    <n v="0"/>
    <x v="0"/>
    <x v="7"/>
    <n v="129.22999999999999"/>
    <n v="-2"/>
    <n v="1.0202020202020201"/>
    <s v="Efficient"/>
    <s v="Long"/>
    <s v="On Time"/>
  </r>
  <r>
    <x v="378"/>
    <x v="0"/>
    <x v="378"/>
    <x v="4"/>
    <x v="1"/>
    <x v="4"/>
    <s v="EMP_145"/>
    <d v="2024-08-09T09:55:00"/>
    <d v="2024-08-09T10:17:00"/>
    <n v="12"/>
    <n v="22"/>
    <n v="1"/>
    <x v="1"/>
    <x v="0"/>
    <n v="431.8"/>
    <n v="10"/>
    <n v="0.54545454545454541"/>
    <s v="Inefficient"/>
    <s v="Short"/>
    <s v="Minor Delay"/>
  </r>
  <r>
    <x v="379"/>
    <x v="2"/>
    <x v="379"/>
    <x v="3"/>
    <x v="2"/>
    <x v="3"/>
    <s v="EMP_101"/>
    <d v="2024-08-11T05:28:00"/>
    <d v="2024-08-11T07:36:00"/>
    <n v="88"/>
    <n v="128"/>
    <n v="1"/>
    <x v="2"/>
    <x v="8"/>
    <n v="118.51"/>
    <n v="40"/>
    <n v="0.6875"/>
    <s v="Inefficient"/>
    <s v="Very Long"/>
    <s v="Major Delay"/>
  </r>
  <r>
    <x v="380"/>
    <x v="0"/>
    <x v="380"/>
    <x v="0"/>
    <x v="3"/>
    <x v="4"/>
    <s v="EMP_18"/>
    <d v="2024-12-22T10:36:00"/>
    <d v="2024-12-22T14:57:00"/>
    <n v="235"/>
    <n v="261"/>
    <n v="1"/>
    <x v="0"/>
    <x v="5"/>
    <n v="116.52"/>
    <n v="26"/>
    <n v="0.90038314176245215"/>
    <s v="Inefficient"/>
    <s v="Very Long"/>
    <s v="Minor Delay"/>
  </r>
  <r>
    <x v="381"/>
    <x v="1"/>
    <x v="381"/>
    <x v="3"/>
    <x v="3"/>
    <x v="4"/>
    <s v="EMP_108"/>
    <d v="2024-02-18T15:35:00"/>
    <d v="2024-02-18T17:53:00"/>
    <n v="133"/>
    <n v="138"/>
    <n v="1"/>
    <x v="0"/>
    <x v="2"/>
    <n v="264.39"/>
    <n v="5"/>
    <n v="0.96376811594202894"/>
    <s v="Inefficient"/>
    <s v="Very Long"/>
    <s v="Minor Delay"/>
  </r>
  <r>
    <x v="382"/>
    <x v="0"/>
    <x v="382"/>
    <x v="2"/>
    <x v="1"/>
    <x v="1"/>
    <s v="EMP_35"/>
    <d v="2024-02-15T10:28:00"/>
    <d v="2024-02-15T12:12:00"/>
    <n v="70"/>
    <n v="104"/>
    <n v="1"/>
    <x v="2"/>
    <x v="0"/>
    <n v="233.89"/>
    <n v="34"/>
    <n v="0.67307692307692313"/>
    <s v="Inefficient"/>
    <s v="Long"/>
    <s v="Major Delay"/>
  </r>
  <r>
    <x v="383"/>
    <x v="2"/>
    <x v="383"/>
    <x v="4"/>
    <x v="2"/>
    <x v="4"/>
    <s v="EMP_22"/>
    <d v="2024-02-07T11:52:00"/>
    <d v="2024-02-07T16:38:00"/>
    <n v="192"/>
    <n v="286"/>
    <n v="1"/>
    <x v="1"/>
    <x v="7"/>
    <n v="165.96"/>
    <n v="94"/>
    <n v="0.67132867132867136"/>
    <s v="Inefficient"/>
    <s v="Very Long"/>
    <s v="Major Delay"/>
  </r>
  <r>
    <x v="384"/>
    <x v="2"/>
    <x v="384"/>
    <x v="4"/>
    <x v="3"/>
    <x v="3"/>
    <s v="EMP_15"/>
    <d v="2024-01-31T09:56:00"/>
    <d v="2024-01-31T14:24:00"/>
    <n v="201"/>
    <n v="268"/>
    <n v="1"/>
    <x v="2"/>
    <x v="5"/>
    <n v="286.62"/>
    <n v="67"/>
    <n v="0.75"/>
    <s v="Inefficient"/>
    <s v="Very Long"/>
    <s v="Major Delay"/>
  </r>
  <r>
    <x v="385"/>
    <x v="4"/>
    <x v="385"/>
    <x v="2"/>
    <x v="1"/>
    <x v="0"/>
    <s v="EMP_18"/>
    <d v="2024-12-02T02:37:00"/>
    <d v="2024-12-02T06:28:00"/>
    <n v="222"/>
    <n v="231"/>
    <n v="1"/>
    <x v="1"/>
    <x v="9"/>
    <n v="219.35"/>
    <n v="9"/>
    <n v="0.96103896103896103"/>
    <s v="Inefficient"/>
    <s v="Very Long"/>
    <s v="Minor Delay"/>
  </r>
  <r>
    <x v="386"/>
    <x v="3"/>
    <x v="386"/>
    <x v="0"/>
    <x v="3"/>
    <x v="1"/>
    <s v="EMP_137"/>
    <d v="2024-03-16T00:45:00"/>
    <d v="2024-03-16T04:42:00"/>
    <n v="208"/>
    <n v="237"/>
    <n v="1"/>
    <x v="1"/>
    <x v="7"/>
    <n v="437.83"/>
    <n v="29"/>
    <n v="0.87763713080168781"/>
    <s v="Inefficient"/>
    <s v="Very Long"/>
    <s v="Minor Delay"/>
  </r>
  <r>
    <x v="387"/>
    <x v="4"/>
    <x v="387"/>
    <x v="1"/>
    <x v="1"/>
    <x v="1"/>
    <s v="EMP_44"/>
    <d v="2024-08-09T02:33:00"/>
    <d v="2024-08-09T06:18:00"/>
    <n v="190"/>
    <n v="225"/>
    <n v="1"/>
    <x v="0"/>
    <x v="0"/>
    <n v="305.02"/>
    <n v="35"/>
    <n v="0.84444444444444444"/>
    <s v="Inefficient"/>
    <s v="Very Long"/>
    <s v="Major Delay"/>
  </r>
  <r>
    <x v="388"/>
    <x v="2"/>
    <x v="388"/>
    <x v="3"/>
    <x v="0"/>
    <x v="1"/>
    <s v="EMP_13"/>
    <d v="2024-04-02T18:19:00"/>
    <d v="2024-04-02T23:19:00"/>
    <n v="192"/>
    <n v="300"/>
    <n v="1"/>
    <x v="2"/>
    <x v="3"/>
    <n v="114.58"/>
    <n v="108"/>
    <n v="0.64"/>
    <s v="Inefficient"/>
    <s v="Very Long"/>
    <s v="Major Delay"/>
  </r>
  <r>
    <x v="389"/>
    <x v="1"/>
    <x v="389"/>
    <x v="2"/>
    <x v="3"/>
    <x v="2"/>
    <s v="EMP_40"/>
    <d v="2024-11-26T00:29:00"/>
    <d v="2024-11-26T03:33:00"/>
    <n v="97"/>
    <n v="184"/>
    <n v="1"/>
    <x v="1"/>
    <x v="6"/>
    <n v="113.79"/>
    <n v="87"/>
    <n v="0.52717391304347827"/>
    <s v="Inefficient"/>
    <s v="Very Long"/>
    <s v="Major Delay"/>
  </r>
  <r>
    <x v="390"/>
    <x v="0"/>
    <x v="390"/>
    <x v="3"/>
    <x v="1"/>
    <x v="1"/>
    <s v="EMP_87"/>
    <d v="2024-06-04T20:28:00"/>
    <d v="2024-06-04T22:33:00"/>
    <n v="60"/>
    <n v="125"/>
    <n v="1"/>
    <x v="0"/>
    <x v="5"/>
    <n v="455.54"/>
    <n v="65"/>
    <n v="0.48"/>
    <s v="Inefficient"/>
    <s v="Very Long"/>
    <s v="Major Delay"/>
  </r>
  <r>
    <x v="391"/>
    <x v="4"/>
    <x v="391"/>
    <x v="2"/>
    <x v="3"/>
    <x v="2"/>
    <s v="EMP_7"/>
    <d v="2024-03-01T11:30:00"/>
    <d v="2024-03-01T11:52:00"/>
    <n v="14"/>
    <n v="22"/>
    <n v="1"/>
    <x v="2"/>
    <x v="0"/>
    <n v="387.98"/>
    <n v="8"/>
    <n v="0.63636363636363635"/>
    <s v="Inefficient"/>
    <s v="Short"/>
    <s v="Minor Delay"/>
  </r>
  <r>
    <x v="392"/>
    <x v="0"/>
    <x v="392"/>
    <x v="0"/>
    <x v="3"/>
    <x v="1"/>
    <s v="EMP_132"/>
    <d v="2024-03-03T16:23:00"/>
    <d v="2024-03-03T18:51:00"/>
    <n v="68"/>
    <n v="148"/>
    <n v="1"/>
    <x v="2"/>
    <x v="1"/>
    <n v="289.06"/>
    <n v="80"/>
    <n v="0.45945945945945948"/>
    <s v="Inefficient"/>
    <s v="Very Long"/>
    <s v="Major Delay"/>
  </r>
  <r>
    <x v="393"/>
    <x v="2"/>
    <x v="393"/>
    <x v="3"/>
    <x v="1"/>
    <x v="0"/>
    <s v="EMP_45"/>
    <d v="2024-07-07T02:36:00"/>
    <d v="2024-07-07T06:03:00"/>
    <n v="151"/>
    <n v="207"/>
    <n v="1"/>
    <x v="0"/>
    <x v="4"/>
    <n v="472.74"/>
    <n v="56"/>
    <n v="0.72946859903381644"/>
    <s v="Inefficient"/>
    <s v="Very Long"/>
    <s v="Major Delay"/>
  </r>
  <r>
    <x v="394"/>
    <x v="3"/>
    <x v="394"/>
    <x v="1"/>
    <x v="2"/>
    <x v="0"/>
    <s v="EMP_60"/>
    <d v="2024-02-12T07:45:00"/>
    <d v="2024-02-12T09:44:00"/>
    <n v="13"/>
    <n v="119"/>
    <n v="1"/>
    <x v="2"/>
    <x v="2"/>
    <n v="188.32"/>
    <n v="106"/>
    <n v="0.1092436974789916"/>
    <s v="Inefficient"/>
    <s v="Long"/>
    <s v="Major Delay"/>
  </r>
  <r>
    <x v="395"/>
    <x v="4"/>
    <x v="395"/>
    <x v="4"/>
    <x v="1"/>
    <x v="4"/>
    <s v="EMP_56"/>
    <d v="2024-05-27T09:39:00"/>
    <d v="2024-05-27T12:37:00"/>
    <n v="172"/>
    <n v="178"/>
    <n v="1"/>
    <x v="0"/>
    <x v="9"/>
    <n v="205.62"/>
    <n v="6"/>
    <n v="0.9662921348314607"/>
    <s v="Inefficient"/>
    <s v="Very Long"/>
    <s v="Minor Delay"/>
  </r>
  <r>
    <x v="396"/>
    <x v="2"/>
    <x v="396"/>
    <x v="4"/>
    <x v="3"/>
    <x v="0"/>
    <s v="EMP_138"/>
    <d v="2024-09-27T18:15:00"/>
    <d v="2024-09-27T21:27:00"/>
    <n v="135"/>
    <n v="192"/>
    <n v="1"/>
    <x v="2"/>
    <x v="5"/>
    <n v="75.400000000000006"/>
    <n v="57"/>
    <n v="0.703125"/>
    <s v="Inefficient"/>
    <s v="Very Long"/>
    <s v="Major Delay"/>
  </r>
  <r>
    <x v="397"/>
    <x v="2"/>
    <x v="397"/>
    <x v="4"/>
    <x v="2"/>
    <x v="2"/>
    <s v="EMP_113"/>
    <d v="2024-03-14T14:05:00"/>
    <d v="2024-03-14T15:05:00"/>
    <n v="23"/>
    <n v="60"/>
    <n v="1"/>
    <x v="2"/>
    <x v="2"/>
    <n v="404.27"/>
    <n v="37"/>
    <n v="0.38333333333333336"/>
    <s v="Inefficient"/>
    <s v="Long"/>
    <s v="Major Delay"/>
  </r>
  <r>
    <x v="398"/>
    <x v="2"/>
    <x v="398"/>
    <x v="4"/>
    <x v="3"/>
    <x v="0"/>
    <s v="EMP_13"/>
    <d v="2024-03-08T23:07:00"/>
    <d v="2024-03-09T03:31:00"/>
    <n v="195"/>
    <n v="264"/>
    <n v="1"/>
    <x v="1"/>
    <x v="3"/>
    <n v="181.11"/>
    <n v="69"/>
    <n v="0.73863636363636365"/>
    <s v="Inefficient"/>
    <s v="Very Long"/>
    <s v="Major Delay"/>
  </r>
  <r>
    <x v="399"/>
    <x v="3"/>
    <x v="399"/>
    <x v="4"/>
    <x v="1"/>
    <x v="4"/>
    <s v="EMP_118"/>
    <d v="2024-09-26T14:41:00"/>
    <d v="2024-09-26T20:10:00"/>
    <n v="237"/>
    <n v="329"/>
    <n v="1"/>
    <x v="2"/>
    <x v="0"/>
    <n v="225.72"/>
    <n v="92"/>
    <n v="0.72036474164133735"/>
    <s v="Inefficient"/>
    <s v="Very Long"/>
    <s v="Major Delay"/>
  </r>
  <r>
    <x v="400"/>
    <x v="1"/>
    <x v="400"/>
    <x v="1"/>
    <x v="2"/>
    <x v="2"/>
    <s v="EMP_82"/>
    <d v="2024-08-01T20:47:00"/>
    <d v="2024-08-02T00:19:00"/>
    <n v="99"/>
    <n v="212"/>
    <n v="1"/>
    <x v="2"/>
    <x v="8"/>
    <n v="276.36"/>
    <n v="113"/>
    <n v="0.46698113207547171"/>
    <s v="Inefficient"/>
    <s v="Very Long"/>
    <s v="Major Delay"/>
  </r>
  <r>
    <x v="401"/>
    <x v="0"/>
    <x v="401"/>
    <x v="3"/>
    <x v="1"/>
    <x v="4"/>
    <s v="EMP_56"/>
    <d v="2024-04-26T19:10:00"/>
    <d v="2024-04-26T20:17:00"/>
    <n v="46"/>
    <n v="67"/>
    <n v="1"/>
    <x v="2"/>
    <x v="6"/>
    <n v="237.14"/>
    <n v="21"/>
    <n v="0.68656716417910446"/>
    <s v="Inefficient"/>
    <s v="Long"/>
    <s v="Minor Delay"/>
  </r>
  <r>
    <x v="402"/>
    <x v="0"/>
    <x v="402"/>
    <x v="3"/>
    <x v="2"/>
    <x v="0"/>
    <s v="EMP_56"/>
    <d v="2024-01-08T13:48:00"/>
    <d v="2024-01-08T19:01:00"/>
    <n v="203"/>
    <n v="313"/>
    <n v="1"/>
    <x v="1"/>
    <x v="1"/>
    <n v="267.86"/>
    <n v="110"/>
    <n v="0.6485623003194888"/>
    <s v="Inefficient"/>
    <s v="Very Long"/>
    <s v="Major Delay"/>
  </r>
  <r>
    <x v="403"/>
    <x v="0"/>
    <x v="403"/>
    <x v="0"/>
    <x v="0"/>
    <x v="2"/>
    <s v="EMP_148"/>
    <d v="2024-11-02T06:49:00"/>
    <d v="2024-11-02T09:14:00"/>
    <n v="49"/>
    <n v="145"/>
    <n v="1"/>
    <x v="0"/>
    <x v="0"/>
    <n v="224.65"/>
    <n v="96"/>
    <n v="0.33793103448275863"/>
    <s v="Inefficient"/>
    <s v="Very Long"/>
    <s v="Major Delay"/>
  </r>
  <r>
    <x v="404"/>
    <x v="2"/>
    <x v="404"/>
    <x v="2"/>
    <x v="3"/>
    <x v="2"/>
    <s v="EMP_54"/>
    <d v="2024-02-04T08:28:00"/>
    <d v="2024-02-04T10:15:00"/>
    <n v="32"/>
    <n v="107"/>
    <n v="1"/>
    <x v="1"/>
    <x v="5"/>
    <n v="403.12"/>
    <n v="75"/>
    <n v="0.29906542056074764"/>
    <s v="Inefficient"/>
    <s v="Long"/>
    <s v="Major Delay"/>
  </r>
  <r>
    <x v="405"/>
    <x v="0"/>
    <x v="405"/>
    <x v="3"/>
    <x v="3"/>
    <x v="2"/>
    <s v="EMP_32"/>
    <d v="2024-01-14T14:02:00"/>
    <d v="2024-01-14T17:02:00"/>
    <n v="125"/>
    <n v="180"/>
    <n v="1"/>
    <x v="0"/>
    <x v="5"/>
    <n v="138.25"/>
    <n v="55"/>
    <n v="0.69444444444444442"/>
    <s v="Inefficient"/>
    <s v="Very Long"/>
    <s v="Major Delay"/>
  </r>
  <r>
    <x v="406"/>
    <x v="4"/>
    <x v="406"/>
    <x v="2"/>
    <x v="3"/>
    <x v="0"/>
    <s v="EMP_25"/>
    <d v="2024-10-06T15:23:00"/>
    <d v="2024-10-06T19:23:00"/>
    <n v="146"/>
    <n v="240"/>
    <n v="1"/>
    <x v="2"/>
    <x v="0"/>
    <n v="297.13"/>
    <n v="94"/>
    <n v="0.60833333333333328"/>
    <s v="Inefficient"/>
    <s v="Very Long"/>
    <s v="Major Delay"/>
  </r>
  <r>
    <x v="407"/>
    <x v="1"/>
    <x v="407"/>
    <x v="4"/>
    <x v="3"/>
    <x v="2"/>
    <s v="EMP_34"/>
    <d v="2024-08-24T14:17:00"/>
    <d v="2024-08-24T14:57:00"/>
    <n v="23"/>
    <n v="40"/>
    <n v="1"/>
    <x v="1"/>
    <x v="3"/>
    <n v="495.92"/>
    <n v="17"/>
    <n v="0.57499999999999996"/>
    <s v="Inefficient"/>
    <s v="Medium"/>
    <s v="Minor Delay"/>
  </r>
  <r>
    <x v="408"/>
    <x v="3"/>
    <x v="408"/>
    <x v="0"/>
    <x v="3"/>
    <x v="4"/>
    <s v="EMP_21"/>
    <d v="2024-12-23T19:30:00"/>
    <d v="2024-12-23T22:30:00"/>
    <n v="174"/>
    <n v="180"/>
    <n v="1"/>
    <x v="1"/>
    <x v="8"/>
    <n v="483.15"/>
    <n v="6"/>
    <n v="0.96666666666666667"/>
    <s v="Inefficient"/>
    <s v="Very Long"/>
    <s v="Minor Delay"/>
  </r>
  <r>
    <x v="409"/>
    <x v="3"/>
    <x v="409"/>
    <x v="0"/>
    <x v="2"/>
    <x v="0"/>
    <s v="EMP_139"/>
    <d v="2024-09-29T12:05:00"/>
    <d v="2024-09-29T12:56:00"/>
    <n v="46"/>
    <n v="51"/>
    <n v="1"/>
    <x v="2"/>
    <x v="3"/>
    <n v="80.25"/>
    <n v="5"/>
    <n v="0.90196078431372551"/>
    <s v="Inefficient"/>
    <s v="Medium"/>
    <s v="Minor Delay"/>
  </r>
  <r>
    <x v="410"/>
    <x v="1"/>
    <x v="410"/>
    <x v="0"/>
    <x v="0"/>
    <x v="4"/>
    <s v="EMP_103"/>
    <d v="2024-01-06T15:38:00"/>
    <d v="2024-01-06T17:47:00"/>
    <n v="39"/>
    <n v="129"/>
    <n v="1"/>
    <x v="2"/>
    <x v="7"/>
    <n v="304.20999999999998"/>
    <n v="90"/>
    <n v="0.30232558139534882"/>
    <s v="Inefficient"/>
    <s v="Very Long"/>
    <s v="Major Delay"/>
  </r>
  <r>
    <x v="411"/>
    <x v="1"/>
    <x v="411"/>
    <x v="2"/>
    <x v="1"/>
    <x v="4"/>
    <s v="EMP_74"/>
    <d v="2024-09-25T11:13:00"/>
    <d v="2024-09-25T13:34:00"/>
    <n v="141"/>
    <n v="141"/>
    <n v="0"/>
    <x v="2"/>
    <x v="0"/>
    <n v="268.32"/>
    <n v="0"/>
    <n v="1"/>
    <s v="On Target"/>
    <s v="Very Long"/>
    <s v="On Time"/>
  </r>
  <r>
    <x v="412"/>
    <x v="3"/>
    <x v="412"/>
    <x v="2"/>
    <x v="0"/>
    <x v="1"/>
    <s v="EMP_20"/>
    <d v="2024-04-02T10:38:00"/>
    <d v="2024-04-02T12:35:00"/>
    <n v="113"/>
    <n v="117"/>
    <n v="1"/>
    <x v="1"/>
    <x v="1"/>
    <n v="86.41"/>
    <n v="4"/>
    <n v="0.96581196581196582"/>
    <s v="Inefficient"/>
    <s v="Long"/>
    <s v="Minor Delay"/>
  </r>
  <r>
    <x v="413"/>
    <x v="3"/>
    <x v="413"/>
    <x v="3"/>
    <x v="2"/>
    <x v="2"/>
    <s v="EMP_86"/>
    <d v="2024-01-03T19:43:00"/>
    <d v="2024-01-03T23:11:00"/>
    <n v="156"/>
    <n v="208"/>
    <n v="1"/>
    <x v="1"/>
    <x v="9"/>
    <n v="230.29"/>
    <n v="52"/>
    <n v="0.75"/>
    <s v="Inefficient"/>
    <s v="Very Long"/>
    <s v="Major Delay"/>
  </r>
  <r>
    <x v="414"/>
    <x v="2"/>
    <x v="414"/>
    <x v="4"/>
    <x v="0"/>
    <x v="4"/>
    <s v="EMP_140"/>
    <d v="2024-11-02T20:42:00"/>
    <d v="2024-11-02T23:19:00"/>
    <n v="155"/>
    <n v="157"/>
    <n v="1"/>
    <x v="2"/>
    <x v="4"/>
    <n v="262.92"/>
    <n v="2"/>
    <n v="0.98726114649681529"/>
    <s v="Inefficient"/>
    <s v="Very Long"/>
    <s v="Minor Delay"/>
  </r>
  <r>
    <x v="415"/>
    <x v="3"/>
    <x v="415"/>
    <x v="4"/>
    <x v="0"/>
    <x v="1"/>
    <s v="EMP_28"/>
    <d v="2024-07-30T11:51:00"/>
    <d v="2024-07-30T15:06:00"/>
    <n v="86"/>
    <n v="195"/>
    <n v="1"/>
    <x v="2"/>
    <x v="3"/>
    <n v="256.70999999999998"/>
    <n v="109"/>
    <n v="0.44102564102564101"/>
    <s v="Inefficient"/>
    <s v="Very Long"/>
    <s v="Major Delay"/>
  </r>
  <r>
    <x v="416"/>
    <x v="1"/>
    <x v="416"/>
    <x v="2"/>
    <x v="1"/>
    <x v="0"/>
    <s v="EMP_72"/>
    <d v="2024-02-29T00:54:00"/>
    <d v="2024-02-29T01:39:00"/>
    <n v="22"/>
    <n v="45"/>
    <n v="1"/>
    <x v="1"/>
    <x v="1"/>
    <n v="178.14"/>
    <n v="23"/>
    <n v="0.48888888888888887"/>
    <s v="Inefficient"/>
    <s v="Medium"/>
    <s v="Minor Delay"/>
  </r>
  <r>
    <x v="417"/>
    <x v="4"/>
    <x v="417"/>
    <x v="1"/>
    <x v="1"/>
    <x v="2"/>
    <s v="EMP_54"/>
    <d v="2024-06-16T02:30:00"/>
    <d v="2024-06-16T04:48:00"/>
    <n v="54"/>
    <n v="138"/>
    <n v="1"/>
    <x v="0"/>
    <x v="7"/>
    <n v="418.2"/>
    <n v="84"/>
    <n v="0.39130434782608697"/>
    <s v="Inefficient"/>
    <s v="Very Long"/>
    <s v="Major Delay"/>
  </r>
  <r>
    <x v="418"/>
    <x v="3"/>
    <x v="418"/>
    <x v="0"/>
    <x v="0"/>
    <x v="1"/>
    <s v="EMP_95"/>
    <d v="2024-07-21T10:21:00"/>
    <d v="2024-07-21T15:17:00"/>
    <n v="189"/>
    <n v="296"/>
    <n v="1"/>
    <x v="2"/>
    <x v="1"/>
    <n v="158.52000000000001"/>
    <n v="107"/>
    <n v="0.63851351351351349"/>
    <s v="Inefficient"/>
    <s v="Very Long"/>
    <s v="Major Delay"/>
  </r>
  <r>
    <x v="419"/>
    <x v="0"/>
    <x v="419"/>
    <x v="1"/>
    <x v="0"/>
    <x v="2"/>
    <s v="EMP_124"/>
    <d v="2024-05-31T16:55:00"/>
    <d v="2024-05-31T17:52:00"/>
    <n v="38"/>
    <n v="57"/>
    <n v="1"/>
    <x v="0"/>
    <x v="1"/>
    <n v="369.91"/>
    <n v="19"/>
    <n v="0.66666666666666663"/>
    <s v="Inefficient"/>
    <s v="Medium"/>
    <s v="Minor Delay"/>
  </r>
  <r>
    <x v="420"/>
    <x v="4"/>
    <x v="420"/>
    <x v="3"/>
    <x v="2"/>
    <x v="2"/>
    <s v="EMP_133"/>
    <d v="2024-12-30T17:34:00"/>
    <d v="2024-12-30T21:40:00"/>
    <n v="202"/>
    <n v="246"/>
    <n v="1"/>
    <x v="1"/>
    <x v="8"/>
    <n v="183.63"/>
    <n v="44"/>
    <n v="0.82113821138211385"/>
    <s v="Inefficient"/>
    <s v="Very Long"/>
    <s v="Major Delay"/>
  </r>
  <r>
    <x v="421"/>
    <x v="4"/>
    <x v="421"/>
    <x v="1"/>
    <x v="0"/>
    <x v="4"/>
    <s v="EMP_42"/>
    <d v="2024-05-12T07:54:00"/>
    <d v="2024-05-12T12:28:00"/>
    <n v="216"/>
    <n v="274"/>
    <n v="1"/>
    <x v="1"/>
    <x v="3"/>
    <n v="254.03"/>
    <n v="58"/>
    <n v="0.78832116788321172"/>
    <s v="Inefficient"/>
    <s v="Very Long"/>
    <s v="Major Delay"/>
  </r>
  <r>
    <x v="422"/>
    <x v="4"/>
    <x v="422"/>
    <x v="3"/>
    <x v="0"/>
    <x v="0"/>
    <s v="EMP_1"/>
    <d v="2024-08-04T21:39:00"/>
    <d v="2024-08-05T01:26:00"/>
    <n v="224"/>
    <n v="227"/>
    <n v="1"/>
    <x v="2"/>
    <x v="7"/>
    <n v="153.77000000000001"/>
    <n v="3"/>
    <n v="0.986784140969163"/>
    <s v="Inefficient"/>
    <s v="Very Long"/>
    <s v="Minor Delay"/>
  </r>
  <r>
    <x v="423"/>
    <x v="3"/>
    <x v="423"/>
    <x v="2"/>
    <x v="3"/>
    <x v="3"/>
    <s v="EMP_104"/>
    <d v="2024-02-19T05:09:00"/>
    <d v="2024-02-19T07:16:00"/>
    <n v="123"/>
    <n v="127"/>
    <n v="1"/>
    <x v="1"/>
    <x v="2"/>
    <n v="303.58999999999997"/>
    <n v="4"/>
    <n v="0.96850393700787396"/>
    <s v="Inefficient"/>
    <s v="Very Long"/>
    <s v="Minor Delay"/>
  </r>
  <r>
    <x v="424"/>
    <x v="0"/>
    <x v="424"/>
    <x v="0"/>
    <x v="0"/>
    <x v="1"/>
    <s v="EMP_86"/>
    <d v="2024-10-29T10:29:00"/>
    <d v="2024-10-29T13:20:00"/>
    <n v="122"/>
    <n v="171"/>
    <n v="1"/>
    <x v="2"/>
    <x v="2"/>
    <n v="339.29"/>
    <n v="49"/>
    <n v="0.71345029239766078"/>
    <s v="Inefficient"/>
    <s v="Very Long"/>
    <s v="Major Delay"/>
  </r>
  <r>
    <x v="425"/>
    <x v="2"/>
    <x v="425"/>
    <x v="3"/>
    <x v="3"/>
    <x v="1"/>
    <s v="EMP_111"/>
    <d v="2024-11-08T13:16:00"/>
    <d v="2024-11-08T15:52:00"/>
    <n v="86"/>
    <n v="156"/>
    <n v="1"/>
    <x v="1"/>
    <x v="7"/>
    <n v="245.38"/>
    <n v="70"/>
    <n v="0.55128205128205132"/>
    <s v="Inefficient"/>
    <s v="Very Long"/>
    <s v="Major Delay"/>
  </r>
  <r>
    <x v="426"/>
    <x v="3"/>
    <x v="426"/>
    <x v="0"/>
    <x v="0"/>
    <x v="3"/>
    <s v="EMP_46"/>
    <d v="2024-03-10T16:34:00"/>
    <d v="2024-03-10T20:34:00"/>
    <n v="172"/>
    <n v="240"/>
    <n v="1"/>
    <x v="1"/>
    <x v="7"/>
    <n v="402.25"/>
    <n v="68"/>
    <n v="0.71666666666666667"/>
    <s v="Inefficient"/>
    <s v="Very Long"/>
    <s v="Major Delay"/>
  </r>
  <r>
    <x v="427"/>
    <x v="4"/>
    <x v="427"/>
    <x v="4"/>
    <x v="0"/>
    <x v="3"/>
    <s v="EMP_61"/>
    <d v="2024-01-22T17:49:00"/>
    <d v="2024-01-22T23:01:00"/>
    <n v="236"/>
    <n v="312"/>
    <n v="1"/>
    <x v="0"/>
    <x v="1"/>
    <n v="474.7"/>
    <n v="76"/>
    <n v="0.75641025641025639"/>
    <s v="Inefficient"/>
    <s v="Very Long"/>
    <s v="Major Delay"/>
  </r>
  <r>
    <x v="428"/>
    <x v="1"/>
    <x v="428"/>
    <x v="2"/>
    <x v="0"/>
    <x v="3"/>
    <s v="EMP_93"/>
    <d v="2024-12-16T17:10:00"/>
    <d v="2024-12-16T21:15:00"/>
    <n v="162"/>
    <n v="245"/>
    <n v="1"/>
    <x v="2"/>
    <x v="4"/>
    <n v="65.45"/>
    <n v="83"/>
    <n v="0.66122448979591841"/>
    <s v="Inefficient"/>
    <s v="Very Long"/>
    <s v="Major Delay"/>
  </r>
  <r>
    <x v="429"/>
    <x v="4"/>
    <x v="429"/>
    <x v="3"/>
    <x v="1"/>
    <x v="3"/>
    <s v="EMP_99"/>
    <d v="2024-04-08T15:59:00"/>
    <d v="2024-04-08T18:47:00"/>
    <n v="127"/>
    <n v="168"/>
    <n v="1"/>
    <x v="1"/>
    <x v="5"/>
    <n v="198.72"/>
    <n v="41"/>
    <n v="0.75595238095238093"/>
    <s v="Inefficient"/>
    <s v="Very Long"/>
    <s v="Major Delay"/>
  </r>
  <r>
    <x v="430"/>
    <x v="4"/>
    <x v="430"/>
    <x v="4"/>
    <x v="3"/>
    <x v="1"/>
    <s v="EMP_45"/>
    <d v="2024-08-27T14:07:00"/>
    <d v="2024-08-27T15:57:00"/>
    <n v="87"/>
    <n v="110"/>
    <n v="1"/>
    <x v="1"/>
    <x v="7"/>
    <n v="136.12"/>
    <n v="23"/>
    <n v="0.79090909090909089"/>
    <s v="Inefficient"/>
    <s v="Long"/>
    <s v="Minor Delay"/>
  </r>
  <r>
    <x v="431"/>
    <x v="0"/>
    <x v="431"/>
    <x v="2"/>
    <x v="1"/>
    <x v="3"/>
    <s v="EMP_56"/>
    <d v="2024-05-02T20:41:00"/>
    <d v="2024-05-02T22:00:00"/>
    <n v="59"/>
    <n v="79"/>
    <n v="1"/>
    <x v="2"/>
    <x v="9"/>
    <n v="153.02000000000001"/>
    <n v="20"/>
    <n v="0.74683544303797467"/>
    <s v="Inefficient"/>
    <s v="Long"/>
    <s v="Minor Delay"/>
  </r>
  <r>
    <x v="432"/>
    <x v="3"/>
    <x v="432"/>
    <x v="0"/>
    <x v="2"/>
    <x v="2"/>
    <s v="EMP_106"/>
    <d v="2024-06-07T13:20:00"/>
    <d v="2024-06-07T14:55:00"/>
    <n v="62"/>
    <n v="95"/>
    <n v="1"/>
    <x v="1"/>
    <x v="4"/>
    <n v="219.02"/>
    <n v="33"/>
    <n v="0.65263157894736845"/>
    <s v="Inefficient"/>
    <s v="Long"/>
    <s v="Major Delay"/>
  </r>
  <r>
    <x v="433"/>
    <x v="2"/>
    <x v="433"/>
    <x v="1"/>
    <x v="3"/>
    <x v="0"/>
    <s v="EMP_142"/>
    <d v="2024-11-29T12:24:00"/>
    <d v="2024-11-29T15:51:00"/>
    <n v="189"/>
    <n v="207"/>
    <n v="1"/>
    <x v="2"/>
    <x v="2"/>
    <n v="138.52000000000001"/>
    <n v="18"/>
    <n v="0.91304347826086951"/>
    <s v="Inefficient"/>
    <s v="Very Long"/>
    <s v="Minor Delay"/>
  </r>
  <r>
    <x v="434"/>
    <x v="1"/>
    <x v="434"/>
    <x v="3"/>
    <x v="1"/>
    <x v="3"/>
    <s v="EMP_143"/>
    <d v="2024-11-05T14:20:00"/>
    <d v="2024-11-05T14:46:00"/>
    <n v="22"/>
    <n v="26"/>
    <n v="1"/>
    <x v="0"/>
    <x v="8"/>
    <n v="160.63999999999999"/>
    <n v="4"/>
    <n v="0.84615384615384615"/>
    <s v="Inefficient"/>
    <s v="Short"/>
    <s v="Minor Delay"/>
  </r>
  <r>
    <x v="435"/>
    <x v="0"/>
    <x v="435"/>
    <x v="3"/>
    <x v="3"/>
    <x v="1"/>
    <s v="EMP_65"/>
    <d v="2024-06-03T10:02:00"/>
    <d v="2024-06-03T10:45:00"/>
    <n v="27"/>
    <n v="43"/>
    <n v="1"/>
    <x v="0"/>
    <x v="7"/>
    <n v="309.49"/>
    <n v="16"/>
    <n v="0.62790697674418605"/>
    <s v="Inefficient"/>
    <s v="Medium"/>
    <s v="Minor Delay"/>
  </r>
  <r>
    <x v="436"/>
    <x v="4"/>
    <x v="436"/>
    <x v="0"/>
    <x v="0"/>
    <x v="3"/>
    <s v="EMP_70"/>
    <d v="2024-03-15T15:33:00"/>
    <d v="2024-03-15T19:07:00"/>
    <n v="110"/>
    <n v="214"/>
    <n v="1"/>
    <x v="1"/>
    <x v="8"/>
    <n v="96.97"/>
    <n v="104"/>
    <n v="0.51401869158878499"/>
    <s v="Inefficient"/>
    <s v="Very Long"/>
    <s v="Major Delay"/>
  </r>
  <r>
    <x v="437"/>
    <x v="3"/>
    <x v="437"/>
    <x v="3"/>
    <x v="1"/>
    <x v="3"/>
    <s v="EMP_46"/>
    <d v="2024-09-02T22:51:00"/>
    <d v="2024-09-03T03:41:00"/>
    <n v="199"/>
    <n v="290"/>
    <n v="1"/>
    <x v="0"/>
    <x v="2"/>
    <n v="461.53"/>
    <n v="91"/>
    <n v="0.68620689655172418"/>
    <s v="Inefficient"/>
    <s v="Very Long"/>
    <s v="Major Delay"/>
  </r>
  <r>
    <x v="438"/>
    <x v="4"/>
    <x v="438"/>
    <x v="2"/>
    <x v="0"/>
    <x v="4"/>
    <s v="EMP_99"/>
    <d v="2024-02-05T15:17:00"/>
    <d v="2024-02-05T18:28:00"/>
    <n v="72"/>
    <n v="191"/>
    <n v="1"/>
    <x v="0"/>
    <x v="6"/>
    <n v="240.5"/>
    <n v="119"/>
    <n v="0.37696335078534032"/>
    <s v="Inefficient"/>
    <s v="Very Long"/>
    <s v="Major Delay"/>
  </r>
  <r>
    <x v="439"/>
    <x v="3"/>
    <x v="439"/>
    <x v="0"/>
    <x v="3"/>
    <x v="3"/>
    <s v="EMP_114"/>
    <d v="2024-01-30T17:07:00"/>
    <d v="2024-01-30T21:25:00"/>
    <n v="186"/>
    <n v="258"/>
    <n v="1"/>
    <x v="0"/>
    <x v="7"/>
    <n v="429.74"/>
    <n v="72"/>
    <n v="0.72093023255813948"/>
    <s v="Inefficient"/>
    <s v="Very Long"/>
    <s v="Major Delay"/>
  </r>
  <r>
    <x v="440"/>
    <x v="0"/>
    <x v="440"/>
    <x v="0"/>
    <x v="1"/>
    <x v="3"/>
    <s v="EMP_84"/>
    <d v="2024-03-01T06:18:00"/>
    <d v="2024-03-01T08:17:00"/>
    <n v="18"/>
    <n v="119"/>
    <n v="1"/>
    <x v="1"/>
    <x v="5"/>
    <n v="382.92"/>
    <n v="101"/>
    <n v="0.15126050420168066"/>
    <s v="Inefficient"/>
    <s v="Long"/>
    <s v="Major Delay"/>
  </r>
  <r>
    <x v="441"/>
    <x v="4"/>
    <x v="441"/>
    <x v="1"/>
    <x v="1"/>
    <x v="3"/>
    <s v="EMP_102"/>
    <d v="2024-03-01T18:17:00"/>
    <d v="2024-03-01T19:18:00"/>
    <n v="25"/>
    <n v="61"/>
    <n v="1"/>
    <x v="1"/>
    <x v="5"/>
    <n v="263.99"/>
    <n v="36"/>
    <n v="0.4098360655737705"/>
    <s v="Inefficient"/>
    <s v="Long"/>
    <s v="Major Delay"/>
  </r>
  <r>
    <x v="442"/>
    <x v="0"/>
    <x v="442"/>
    <x v="3"/>
    <x v="0"/>
    <x v="0"/>
    <s v="EMP_95"/>
    <d v="2024-06-21T05:19:00"/>
    <d v="2024-06-21T06:37:00"/>
    <n v="63"/>
    <n v="78"/>
    <n v="1"/>
    <x v="0"/>
    <x v="5"/>
    <n v="375.84"/>
    <n v="15"/>
    <n v="0.80769230769230771"/>
    <s v="Inefficient"/>
    <s v="Long"/>
    <s v="Minor Delay"/>
  </r>
  <r>
    <x v="443"/>
    <x v="2"/>
    <x v="443"/>
    <x v="1"/>
    <x v="2"/>
    <x v="0"/>
    <s v="EMP_127"/>
    <d v="2024-01-19T15:24:00"/>
    <d v="2024-01-19T17:06:00"/>
    <n v="49"/>
    <n v="102"/>
    <n v="1"/>
    <x v="2"/>
    <x v="2"/>
    <n v="289.25"/>
    <n v="53"/>
    <n v="0.48039215686274511"/>
    <s v="Inefficient"/>
    <s v="Long"/>
    <s v="Major Delay"/>
  </r>
  <r>
    <x v="444"/>
    <x v="4"/>
    <x v="444"/>
    <x v="3"/>
    <x v="0"/>
    <x v="3"/>
    <s v="EMP_42"/>
    <d v="2024-11-02T10:00:00"/>
    <d v="2024-11-02T14:11:00"/>
    <n v="173"/>
    <n v="251"/>
    <n v="1"/>
    <x v="2"/>
    <x v="5"/>
    <n v="212.31"/>
    <n v="78"/>
    <n v="0.68924302788844627"/>
    <s v="Inefficient"/>
    <s v="Very Long"/>
    <s v="Major Delay"/>
  </r>
  <r>
    <x v="445"/>
    <x v="2"/>
    <x v="445"/>
    <x v="3"/>
    <x v="1"/>
    <x v="0"/>
    <s v="EMP_140"/>
    <d v="2024-06-25T02:06:00"/>
    <d v="2024-06-25T05:15:00"/>
    <n v="117"/>
    <n v="189"/>
    <n v="1"/>
    <x v="0"/>
    <x v="1"/>
    <n v="275.77999999999997"/>
    <n v="72"/>
    <n v="0.61904761904761907"/>
    <s v="Inefficient"/>
    <s v="Very Long"/>
    <s v="Major Delay"/>
  </r>
  <r>
    <x v="446"/>
    <x v="0"/>
    <x v="446"/>
    <x v="1"/>
    <x v="1"/>
    <x v="2"/>
    <s v="EMP_59"/>
    <d v="2024-11-12T11:10:00"/>
    <d v="2024-11-12T13:26:00"/>
    <n v="137"/>
    <n v="136"/>
    <n v="0"/>
    <x v="2"/>
    <x v="4"/>
    <n v="249.96"/>
    <n v="-1"/>
    <n v="1.0073529411764706"/>
    <s v="Efficient"/>
    <s v="Very Long"/>
    <s v="On Time"/>
  </r>
  <r>
    <x v="447"/>
    <x v="3"/>
    <x v="447"/>
    <x v="2"/>
    <x v="2"/>
    <x v="2"/>
    <s v="EMP_28"/>
    <d v="2024-09-25T16:32:00"/>
    <d v="2024-09-25T18:36:00"/>
    <n v="98"/>
    <n v="124"/>
    <n v="1"/>
    <x v="0"/>
    <x v="1"/>
    <n v="438.4"/>
    <n v="26"/>
    <n v="0.79032258064516125"/>
    <s v="Inefficient"/>
    <s v="Very Long"/>
    <s v="Minor Delay"/>
  </r>
  <r>
    <x v="448"/>
    <x v="3"/>
    <x v="448"/>
    <x v="1"/>
    <x v="2"/>
    <x v="4"/>
    <s v="EMP_137"/>
    <d v="2024-10-30T17:58:00"/>
    <d v="2024-10-30T20:29:00"/>
    <n v="101"/>
    <n v="151"/>
    <n v="1"/>
    <x v="1"/>
    <x v="8"/>
    <n v="383.86"/>
    <n v="50"/>
    <n v="0.66887417218543044"/>
    <s v="Inefficient"/>
    <s v="Very Long"/>
    <s v="Major Delay"/>
  </r>
  <r>
    <x v="449"/>
    <x v="1"/>
    <x v="449"/>
    <x v="1"/>
    <x v="2"/>
    <x v="1"/>
    <s v="EMP_80"/>
    <d v="2024-01-09T00:56:00"/>
    <d v="2024-01-09T06:01:00"/>
    <n v="217"/>
    <n v="305"/>
    <n v="1"/>
    <x v="0"/>
    <x v="8"/>
    <n v="67.510000000000005"/>
    <n v="88"/>
    <n v="0.71147540983606561"/>
    <s v="Inefficient"/>
    <s v="Very Long"/>
    <s v="Major Delay"/>
  </r>
  <r>
    <x v="450"/>
    <x v="1"/>
    <x v="450"/>
    <x v="3"/>
    <x v="2"/>
    <x v="1"/>
    <s v="EMP_134"/>
    <d v="2024-11-20T23:27:00"/>
    <d v="2024-11-21T02:46:00"/>
    <n v="149"/>
    <n v="199"/>
    <n v="1"/>
    <x v="2"/>
    <x v="0"/>
    <n v="255.07"/>
    <n v="50"/>
    <n v="0.74874371859296485"/>
    <s v="Inefficient"/>
    <s v="Very Long"/>
    <s v="Major Delay"/>
  </r>
  <r>
    <x v="451"/>
    <x v="1"/>
    <x v="451"/>
    <x v="0"/>
    <x v="1"/>
    <x v="4"/>
    <s v="EMP_98"/>
    <d v="2024-12-30T14:20:00"/>
    <d v="2024-12-30T16:35:00"/>
    <n v="68"/>
    <n v="135"/>
    <n v="1"/>
    <x v="0"/>
    <x v="8"/>
    <n v="288.37"/>
    <n v="67"/>
    <n v="0.50370370370370365"/>
    <s v="Inefficient"/>
    <s v="Very Long"/>
    <s v="Major Delay"/>
  </r>
  <r>
    <x v="452"/>
    <x v="2"/>
    <x v="452"/>
    <x v="3"/>
    <x v="2"/>
    <x v="4"/>
    <s v="EMP_54"/>
    <d v="2024-10-09T23:48:00"/>
    <d v="2024-10-10T01:22:00"/>
    <n v="25"/>
    <n v="94"/>
    <n v="1"/>
    <x v="0"/>
    <x v="5"/>
    <n v="282.18"/>
    <n v="69"/>
    <n v="0.26595744680851063"/>
    <s v="Inefficient"/>
    <s v="Long"/>
    <s v="Major Delay"/>
  </r>
  <r>
    <x v="453"/>
    <x v="4"/>
    <x v="453"/>
    <x v="0"/>
    <x v="0"/>
    <x v="4"/>
    <s v="EMP_127"/>
    <d v="2024-01-05T21:32:00"/>
    <d v="2024-01-06T01:47:00"/>
    <n v="141"/>
    <n v="255"/>
    <n v="1"/>
    <x v="2"/>
    <x v="3"/>
    <n v="436.54"/>
    <n v="114"/>
    <n v="0.55294117647058827"/>
    <s v="Inefficient"/>
    <s v="Very Long"/>
    <s v="Major Delay"/>
  </r>
  <r>
    <x v="454"/>
    <x v="2"/>
    <x v="454"/>
    <x v="0"/>
    <x v="3"/>
    <x v="0"/>
    <s v="EMP_96"/>
    <d v="2024-09-30T16:10:00"/>
    <d v="2024-09-30T20:05:00"/>
    <n v="184"/>
    <n v="235"/>
    <n v="1"/>
    <x v="0"/>
    <x v="6"/>
    <n v="374.34"/>
    <n v="51"/>
    <n v="0.78297872340425534"/>
    <s v="Inefficient"/>
    <s v="Very Long"/>
    <s v="Major Delay"/>
  </r>
  <r>
    <x v="455"/>
    <x v="0"/>
    <x v="455"/>
    <x v="4"/>
    <x v="3"/>
    <x v="0"/>
    <s v="EMP_147"/>
    <d v="2024-11-09T11:34:00"/>
    <d v="2024-11-09T15:23:00"/>
    <n v="182"/>
    <n v="229"/>
    <n v="1"/>
    <x v="0"/>
    <x v="7"/>
    <n v="287.49"/>
    <n v="47"/>
    <n v="0.79475982532751088"/>
    <s v="Inefficient"/>
    <s v="Very Long"/>
    <s v="Major Delay"/>
  </r>
  <r>
    <x v="456"/>
    <x v="4"/>
    <x v="456"/>
    <x v="0"/>
    <x v="3"/>
    <x v="1"/>
    <s v="EMP_32"/>
    <d v="2024-12-08T19:14:00"/>
    <d v="2024-12-08T22:05:00"/>
    <n v="152"/>
    <n v="171"/>
    <n v="1"/>
    <x v="0"/>
    <x v="7"/>
    <n v="160.22"/>
    <n v="19"/>
    <n v="0.88888888888888884"/>
    <s v="Inefficient"/>
    <s v="Very Long"/>
    <s v="Minor Delay"/>
  </r>
  <r>
    <x v="457"/>
    <x v="2"/>
    <x v="457"/>
    <x v="2"/>
    <x v="2"/>
    <x v="3"/>
    <s v="EMP_14"/>
    <d v="2024-06-13T09:21:00"/>
    <d v="2024-06-13T13:42:00"/>
    <n v="214"/>
    <n v="261"/>
    <n v="1"/>
    <x v="1"/>
    <x v="8"/>
    <n v="238.88"/>
    <n v="47"/>
    <n v="0.81992337164750961"/>
    <s v="Inefficient"/>
    <s v="Very Long"/>
    <s v="Major Delay"/>
  </r>
  <r>
    <x v="458"/>
    <x v="4"/>
    <x v="458"/>
    <x v="0"/>
    <x v="3"/>
    <x v="0"/>
    <s v="EMP_27"/>
    <d v="2024-03-18T06:29:00"/>
    <d v="2024-03-18T08:35:00"/>
    <n v="45"/>
    <n v="126"/>
    <n v="1"/>
    <x v="0"/>
    <x v="3"/>
    <n v="125.33"/>
    <n v="81"/>
    <n v="0.35714285714285715"/>
    <s v="Inefficient"/>
    <s v="Very Long"/>
    <s v="Major Delay"/>
  </r>
  <r>
    <x v="459"/>
    <x v="4"/>
    <x v="459"/>
    <x v="1"/>
    <x v="3"/>
    <x v="4"/>
    <s v="EMP_11"/>
    <d v="2024-05-28T01:17:00"/>
    <d v="2024-05-28T05:18:00"/>
    <n v="156"/>
    <n v="241"/>
    <n v="1"/>
    <x v="2"/>
    <x v="3"/>
    <n v="368.83"/>
    <n v="85"/>
    <n v="0.64730290456431538"/>
    <s v="Inefficient"/>
    <s v="Very Long"/>
    <s v="Major Delay"/>
  </r>
  <r>
    <x v="460"/>
    <x v="4"/>
    <x v="460"/>
    <x v="4"/>
    <x v="0"/>
    <x v="1"/>
    <s v="EMP_150"/>
    <d v="2024-08-15T19:54:00"/>
    <d v="2024-08-15T22:59:00"/>
    <n v="142"/>
    <n v="185"/>
    <n v="1"/>
    <x v="2"/>
    <x v="9"/>
    <n v="341.62"/>
    <n v="43"/>
    <n v="0.76756756756756761"/>
    <s v="Inefficient"/>
    <s v="Very Long"/>
    <s v="Major Delay"/>
  </r>
  <r>
    <x v="461"/>
    <x v="1"/>
    <x v="461"/>
    <x v="1"/>
    <x v="3"/>
    <x v="2"/>
    <s v="EMP_92"/>
    <d v="2024-10-03T09:29:00"/>
    <d v="2024-10-03T10:56:00"/>
    <n v="45"/>
    <n v="87"/>
    <n v="1"/>
    <x v="0"/>
    <x v="0"/>
    <n v="135.22"/>
    <n v="42"/>
    <n v="0.51724137931034486"/>
    <s v="Inefficient"/>
    <s v="Long"/>
    <s v="Major Delay"/>
  </r>
  <r>
    <x v="462"/>
    <x v="4"/>
    <x v="462"/>
    <x v="0"/>
    <x v="1"/>
    <x v="0"/>
    <s v="EMP_25"/>
    <d v="2024-10-28T21:30:00"/>
    <d v="2024-10-29T01:33:00"/>
    <n v="128"/>
    <n v="243"/>
    <n v="1"/>
    <x v="1"/>
    <x v="0"/>
    <n v="100.96"/>
    <n v="115"/>
    <n v="0.52674897119341568"/>
    <s v="Inefficient"/>
    <s v="Very Long"/>
    <s v="Major Delay"/>
  </r>
  <r>
    <x v="463"/>
    <x v="0"/>
    <x v="463"/>
    <x v="2"/>
    <x v="0"/>
    <x v="3"/>
    <s v="EMP_28"/>
    <d v="2024-08-13T12:47:00"/>
    <d v="2024-08-13T16:43:00"/>
    <n v="119"/>
    <n v="236"/>
    <n v="1"/>
    <x v="1"/>
    <x v="2"/>
    <n v="323.33999999999997"/>
    <n v="117"/>
    <n v="0.50423728813559321"/>
    <s v="Inefficient"/>
    <s v="Very Long"/>
    <s v="Major Delay"/>
  </r>
  <r>
    <x v="464"/>
    <x v="0"/>
    <x v="464"/>
    <x v="1"/>
    <x v="1"/>
    <x v="0"/>
    <s v="EMP_135"/>
    <d v="2024-06-23T01:37:00"/>
    <d v="2024-06-23T04:08:00"/>
    <n v="106"/>
    <n v="151"/>
    <n v="1"/>
    <x v="1"/>
    <x v="5"/>
    <n v="313.77999999999997"/>
    <n v="45"/>
    <n v="0.70198675496688745"/>
    <s v="Inefficient"/>
    <s v="Very Long"/>
    <s v="Major Delay"/>
  </r>
  <r>
    <x v="465"/>
    <x v="0"/>
    <x v="465"/>
    <x v="4"/>
    <x v="3"/>
    <x v="3"/>
    <s v="EMP_98"/>
    <d v="2024-09-22T01:46:00"/>
    <d v="2024-09-22T05:09:00"/>
    <n v="129"/>
    <n v="203"/>
    <n v="1"/>
    <x v="0"/>
    <x v="8"/>
    <n v="201.19"/>
    <n v="74"/>
    <n v="0.6354679802955665"/>
    <s v="Inefficient"/>
    <s v="Very Long"/>
    <s v="Major Delay"/>
  </r>
  <r>
    <x v="466"/>
    <x v="3"/>
    <x v="466"/>
    <x v="4"/>
    <x v="2"/>
    <x v="1"/>
    <s v="EMP_10"/>
    <d v="2024-05-08T21:29:00"/>
    <d v="2024-05-08T23:08:00"/>
    <n v="23"/>
    <n v="99"/>
    <n v="1"/>
    <x v="2"/>
    <x v="0"/>
    <n v="401.79"/>
    <n v="76"/>
    <n v="0.23232323232323232"/>
    <s v="Inefficient"/>
    <s v="Long"/>
    <s v="Major Delay"/>
  </r>
  <r>
    <x v="467"/>
    <x v="3"/>
    <x v="467"/>
    <x v="3"/>
    <x v="0"/>
    <x v="4"/>
    <s v="EMP_101"/>
    <d v="2024-02-02T06:07:00"/>
    <d v="2024-02-02T06:37:00"/>
    <n v="15"/>
    <n v="30"/>
    <n v="1"/>
    <x v="2"/>
    <x v="1"/>
    <n v="211.68"/>
    <n v="15"/>
    <n v="0.5"/>
    <s v="Inefficient"/>
    <s v="Medium"/>
    <s v="Minor Delay"/>
  </r>
  <r>
    <x v="468"/>
    <x v="1"/>
    <x v="468"/>
    <x v="1"/>
    <x v="2"/>
    <x v="1"/>
    <s v="EMP_130"/>
    <d v="2024-04-24T10:47:00"/>
    <d v="2024-04-24T14:15:00"/>
    <n v="133"/>
    <n v="208"/>
    <n v="1"/>
    <x v="0"/>
    <x v="5"/>
    <n v="252.3"/>
    <n v="75"/>
    <n v="0.63942307692307687"/>
    <s v="Inefficient"/>
    <s v="Very Long"/>
    <s v="Major Delay"/>
  </r>
  <r>
    <x v="469"/>
    <x v="0"/>
    <x v="469"/>
    <x v="2"/>
    <x v="1"/>
    <x v="3"/>
    <s v="EMP_39"/>
    <d v="2024-10-14T04:17:00"/>
    <d v="2024-10-14T08:15:00"/>
    <n v="139"/>
    <n v="238"/>
    <n v="1"/>
    <x v="2"/>
    <x v="7"/>
    <n v="383.64"/>
    <n v="99"/>
    <n v="0.58403361344537819"/>
    <s v="Inefficient"/>
    <s v="Very Long"/>
    <s v="Major Delay"/>
  </r>
  <r>
    <x v="470"/>
    <x v="3"/>
    <x v="470"/>
    <x v="2"/>
    <x v="3"/>
    <x v="0"/>
    <s v="EMP_32"/>
    <d v="2024-10-28T10:44:00"/>
    <d v="2024-10-28T12:23:00"/>
    <n v="18"/>
    <n v="99"/>
    <n v="1"/>
    <x v="2"/>
    <x v="4"/>
    <n v="497.26"/>
    <n v="81"/>
    <n v="0.18181818181818182"/>
    <s v="Inefficient"/>
    <s v="Long"/>
    <s v="Major Delay"/>
  </r>
  <r>
    <x v="471"/>
    <x v="3"/>
    <x v="471"/>
    <x v="4"/>
    <x v="3"/>
    <x v="2"/>
    <s v="EMP_4"/>
    <d v="2024-10-18T07:42:00"/>
    <d v="2024-10-18T10:06:00"/>
    <n v="135"/>
    <n v="144"/>
    <n v="1"/>
    <x v="1"/>
    <x v="0"/>
    <n v="204.75"/>
    <n v="9"/>
    <n v="0.9375"/>
    <s v="Inefficient"/>
    <s v="Very Long"/>
    <s v="Minor Delay"/>
  </r>
  <r>
    <x v="472"/>
    <x v="0"/>
    <x v="472"/>
    <x v="2"/>
    <x v="1"/>
    <x v="0"/>
    <s v="EMP_6"/>
    <d v="2024-02-15T12:21:00"/>
    <d v="2024-02-15T13:49:00"/>
    <n v="89"/>
    <n v="88"/>
    <n v="0"/>
    <x v="0"/>
    <x v="1"/>
    <n v="220.73"/>
    <n v="-1"/>
    <n v="1.0113636363636365"/>
    <s v="Efficient"/>
    <s v="Long"/>
    <s v="On Time"/>
  </r>
  <r>
    <x v="473"/>
    <x v="1"/>
    <x v="473"/>
    <x v="4"/>
    <x v="2"/>
    <x v="4"/>
    <s v="EMP_48"/>
    <d v="2024-02-18T21:36:00"/>
    <d v="2024-02-19T02:59:00"/>
    <n v="217"/>
    <n v="323"/>
    <n v="1"/>
    <x v="0"/>
    <x v="6"/>
    <n v="141.46"/>
    <n v="106"/>
    <n v="0.67182662538699689"/>
    <s v="Inefficient"/>
    <s v="Very Long"/>
    <s v="Major Delay"/>
  </r>
  <r>
    <x v="474"/>
    <x v="4"/>
    <x v="474"/>
    <x v="3"/>
    <x v="1"/>
    <x v="3"/>
    <s v="EMP_145"/>
    <d v="2024-03-08T12:14:00"/>
    <d v="2024-03-08T14:58:00"/>
    <n v="83"/>
    <n v="164"/>
    <n v="1"/>
    <x v="2"/>
    <x v="5"/>
    <n v="213.78"/>
    <n v="81"/>
    <n v="0.50609756097560976"/>
    <s v="Inefficient"/>
    <s v="Very Long"/>
    <s v="Major Delay"/>
  </r>
  <r>
    <x v="475"/>
    <x v="2"/>
    <x v="475"/>
    <x v="1"/>
    <x v="0"/>
    <x v="4"/>
    <s v="EMP_3"/>
    <d v="2024-05-25T01:15:00"/>
    <d v="2024-05-25T04:23:00"/>
    <n v="172"/>
    <n v="188"/>
    <n v="1"/>
    <x v="1"/>
    <x v="3"/>
    <n v="214.28"/>
    <n v="16"/>
    <n v="0.91489361702127658"/>
    <s v="Inefficient"/>
    <s v="Very Long"/>
    <s v="Minor Delay"/>
  </r>
  <r>
    <x v="476"/>
    <x v="1"/>
    <x v="476"/>
    <x v="0"/>
    <x v="0"/>
    <x v="0"/>
    <s v="EMP_99"/>
    <d v="2024-04-25T06:40:00"/>
    <d v="2024-04-25T10:39:00"/>
    <n v="193"/>
    <n v="239"/>
    <n v="1"/>
    <x v="0"/>
    <x v="4"/>
    <n v="320.95"/>
    <n v="46"/>
    <n v="0.80753138075313813"/>
    <s v="Inefficient"/>
    <s v="Very Long"/>
    <s v="Major Delay"/>
  </r>
  <r>
    <x v="477"/>
    <x v="4"/>
    <x v="477"/>
    <x v="4"/>
    <x v="1"/>
    <x v="2"/>
    <s v="EMP_96"/>
    <d v="2024-11-04T04:54:00"/>
    <d v="2024-11-04T06:08:00"/>
    <n v="28"/>
    <n v="74"/>
    <n v="1"/>
    <x v="1"/>
    <x v="1"/>
    <n v="183.01"/>
    <n v="46"/>
    <n v="0.3783783783783784"/>
    <s v="Inefficient"/>
    <s v="Long"/>
    <s v="Major Delay"/>
  </r>
  <r>
    <x v="478"/>
    <x v="0"/>
    <x v="478"/>
    <x v="2"/>
    <x v="2"/>
    <x v="4"/>
    <s v="EMP_67"/>
    <d v="2024-11-17T11:33:00"/>
    <d v="2024-11-17T15:57:00"/>
    <n v="212"/>
    <n v="264"/>
    <n v="1"/>
    <x v="2"/>
    <x v="3"/>
    <n v="458.83"/>
    <n v="52"/>
    <n v="0.80303030303030298"/>
    <s v="Inefficient"/>
    <s v="Very Long"/>
    <s v="Major Delay"/>
  </r>
  <r>
    <x v="479"/>
    <x v="3"/>
    <x v="479"/>
    <x v="1"/>
    <x v="2"/>
    <x v="4"/>
    <s v="EMP_10"/>
    <d v="2024-11-26T19:38:00"/>
    <d v="2024-11-26T23:17:00"/>
    <n v="155"/>
    <n v="219"/>
    <n v="1"/>
    <x v="0"/>
    <x v="6"/>
    <n v="179.64"/>
    <n v="64"/>
    <n v="0.70776255707762559"/>
    <s v="Inefficient"/>
    <s v="Very Long"/>
    <s v="Major Delay"/>
  </r>
  <r>
    <x v="480"/>
    <x v="2"/>
    <x v="480"/>
    <x v="4"/>
    <x v="2"/>
    <x v="1"/>
    <s v="EMP_143"/>
    <d v="2024-08-20T16:43:00"/>
    <d v="2024-08-20T21:02:00"/>
    <n v="193"/>
    <n v="259"/>
    <n v="1"/>
    <x v="2"/>
    <x v="2"/>
    <n v="129.25"/>
    <n v="66"/>
    <n v="0.74517374517374513"/>
    <s v="Inefficient"/>
    <s v="Very Long"/>
    <s v="Major Delay"/>
  </r>
  <r>
    <x v="481"/>
    <x v="0"/>
    <x v="481"/>
    <x v="4"/>
    <x v="0"/>
    <x v="0"/>
    <s v="EMP_61"/>
    <d v="2024-04-25T01:20:00"/>
    <d v="2024-04-25T03:12:00"/>
    <n v="77"/>
    <n v="112"/>
    <n v="1"/>
    <x v="0"/>
    <x v="2"/>
    <n v="369.62"/>
    <n v="35"/>
    <n v="0.6875"/>
    <s v="Inefficient"/>
    <s v="Long"/>
    <s v="Major Delay"/>
  </r>
  <r>
    <x v="482"/>
    <x v="0"/>
    <x v="482"/>
    <x v="2"/>
    <x v="3"/>
    <x v="1"/>
    <s v="EMP_52"/>
    <d v="2024-08-11T05:07:00"/>
    <d v="2024-08-11T08:41:00"/>
    <n v="169"/>
    <n v="214"/>
    <n v="1"/>
    <x v="0"/>
    <x v="1"/>
    <n v="93.43"/>
    <n v="45"/>
    <n v="0.78971962616822433"/>
    <s v="Inefficient"/>
    <s v="Very Long"/>
    <s v="Major Delay"/>
  </r>
  <r>
    <x v="483"/>
    <x v="2"/>
    <x v="483"/>
    <x v="0"/>
    <x v="3"/>
    <x v="1"/>
    <s v="EMP_75"/>
    <d v="2024-11-26T09:38:00"/>
    <d v="2024-11-26T12:56:00"/>
    <n v="147"/>
    <n v="198"/>
    <n v="1"/>
    <x v="2"/>
    <x v="9"/>
    <n v="409.73"/>
    <n v="51"/>
    <n v="0.74242424242424243"/>
    <s v="Inefficient"/>
    <s v="Very Long"/>
    <s v="Major Delay"/>
  </r>
  <r>
    <x v="484"/>
    <x v="3"/>
    <x v="484"/>
    <x v="3"/>
    <x v="1"/>
    <x v="0"/>
    <s v="EMP_60"/>
    <d v="2024-05-20T01:36:00"/>
    <d v="2024-05-20T03:48:00"/>
    <n v="112"/>
    <n v="132"/>
    <n v="1"/>
    <x v="0"/>
    <x v="0"/>
    <n v="170.78"/>
    <n v="20"/>
    <n v="0.84848484848484851"/>
    <s v="Inefficient"/>
    <s v="Very Long"/>
    <s v="Minor Delay"/>
  </r>
  <r>
    <x v="485"/>
    <x v="2"/>
    <x v="485"/>
    <x v="2"/>
    <x v="3"/>
    <x v="2"/>
    <s v="EMP_71"/>
    <d v="2024-05-06T18:24:00"/>
    <d v="2024-05-06T20:22:00"/>
    <n v="110"/>
    <n v="118"/>
    <n v="1"/>
    <x v="0"/>
    <x v="6"/>
    <n v="495.7"/>
    <n v="8"/>
    <n v="0.93220338983050843"/>
    <s v="Inefficient"/>
    <s v="Long"/>
    <s v="Minor Delay"/>
  </r>
  <r>
    <x v="486"/>
    <x v="4"/>
    <x v="486"/>
    <x v="3"/>
    <x v="0"/>
    <x v="4"/>
    <s v="EMP_102"/>
    <d v="2024-01-14T19:37:00"/>
    <d v="2024-01-14T21:59:00"/>
    <n v="113"/>
    <n v="142"/>
    <n v="1"/>
    <x v="2"/>
    <x v="6"/>
    <n v="368.55"/>
    <n v="29"/>
    <n v="0.79577464788732399"/>
    <s v="Inefficient"/>
    <s v="Very Long"/>
    <s v="Minor Delay"/>
  </r>
  <r>
    <x v="487"/>
    <x v="1"/>
    <x v="487"/>
    <x v="1"/>
    <x v="2"/>
    <x v="0"/>
    <s v="EMP_24"/>
    <d v="2024-02-17T01:54:00"/>
    <d v="2024-02-17T03:55:00"/>
    <n v="78"/>
    <n v="121"/>
    <n v="1"/>
    <x v="1"/>
    <x v="6"/>
    <n v="75.03"/>
    <n v="43"/>
    <n v="0.64462809917355368"/>
    <s v="Inefficient"/>
    <s v="Very Long"/>
    <s v="Major Delay"/>
  </r>
  <r>
    <x v="488"/>
    <x v="1"/>
    <x v="488"/>
    <x v="0"/>
    <x v="0"/>
    <x v="0"/>
    <s v="EMP_73"/>
    <d v="2024-01-13T07:02:00"/>
    <d v="2024-01-13T09:26:00"/>
    <n v="93"/>
    <n v="144"/>
    <n v="1"/>
    <x v="1"/>
    <x v="7"/>
    <n v="100.36"/>
    <n v="51"/>
    <n v="0.64583333333333337"/>
    <s v="Inefficient"/>
    <s v="Very Long"/>
    <s v="Major Delay"/>
  </r>
  <r>
    <x v="489"/>
    <x v="2"/>
    <x v="489"/>
    <x v="3"/>
    <x v="3"/>
    <x v="2"/>
    <s v="EMP_42"/>
    <d v="2024-03-02T00:13:00"/>
    <d v="2024-03-02T02:04:00"/>
    <n v="41"/>
    <n v="111"/>
    <n v="1"/>
    <x v="1"/>
    <x v="8"/>
    <n v="226.61"/>
    <n v="70"/>
    <n v="0.36936936936936937"/>
    <s v="Inefficient"/>
    <s v="Long"/>
    <s v="Major Delay"/>
  </r>
  <r>
    <x v="490"/>
    <x v="2"/>
    <x v="490"/>
    <x v="4"/>
    <x v="0"/>
    <x v="1"/>
    <s v="EMP_23"/>
    <d v="2024-10-15T05:57:00"/>
    <d v="2024-10-15T08:18:00"/>
    <n v="127"/>
    <n v="141"/>
    <n v="1"/>
    <x v="0"/>
    <x v="9"/>
    <n v="196.09"/>
    <n v="14"/>
    <n v="0.900709219858156"/>
    <s v="Inefficient"/>
    <s v="Very Long"/>
    <s v="Minor Delay"/>
  </r>
  <r>
    <x v="491"/>
    <x v="1"/>
    <x v="491"/>
    <x v="2"/>
    <x v="2"/>
    <x v="3"/>
    <s v="EMP_30"/>
    <d v="2024-11-20T01:53:00"/>
    <d v="2024-11-20T03:58:00"/>
    <n v="25"/>
    <n v="125"/>
    <n v="1"/>
    <x v="1"/>
    <x v="6"/>
    <n v="72.7"/>
    <n v="100"/>
    <n v="0.2"/>
    <s v="Inefficient"/>
    <s v="Very Long"/>
    <s v="Major Delay"/>
  </r>
  <r>
    <x v="492"/>
    <x v="0"/>
    <x v="492"/>
    <x v="0"/>
    <x v="0"/>
    <x v="1"/>
    <s v="EMP_77"/>
    <d v="2024-04-09T18:35:00"/>
    <d v="2024-04-09T21:30:00"/>
    <n v="119"/>
    <n v="175"/>
    <n v="1"/>
    <x v="1"/>
    <x v="5"/>
    <n v="275.02"/>
    <n v="56"/>
    <n v="0.68"/>
    <s v="Inefficient"/>
    <s v="Very Long"/>
    <s v="Major Delay"/>
  </r>
  <r>
    <x v="493"/>
    <x v="2"/>
    <x v="493"/>
    <x v="0"/>
    <x v="2"/>
    <x v="2"/>
    <s v="EMP_89"/>
    <d v="2024-01-03T03:30:00"/>
    <d v="2024-01-03T08:20:00"/>
    <n v="203"/>
    <n v="290"/>
    <n v="1"/>
    <x v="1"/>
    <x v="4"/>
    <n v="255.62"/>
    <n v="87"/>
    <n v="0.7"/>
    <s v="Inefficient"/>
    <s v="Very Long"/>
    <s v="Major Delay"/>
  </r>
  <r>
    <x v="494"/>
    <x v="1"/>
    <x v="494"/>
    <x v="4"/>
    <x v="3"/>
    <x v="3"/>
    <s v="EMP_66"/>
    <d v="2024-11-22T09:31:00"/>
    <d v="2024-11-22T13:44:00"/>
    <n v="195"/>
    <n v="253"/>
    <n v="1"/>
    <x v="2"/>
    <x v="7"/>
    <n v="259.60000000000002"/>
    <n v="58"/>
    <n v="0.77075098814229248"/>
    <s v="Inefficient"/>
    <s v="Very Long"/>
    <s v="Major Delay"/>
  </r>
  <r>
    <x v="495"/>
    <x v="2"/>
    <x v="495"/>
    <x v="0"/>
    <x v="0"/>
    <x v="0"/>
    <s v="EMP_144"/>
    <d v="2024-04-16T05:52:00"/>
    <d v="2024-04-16T09:45:00"/>
    <n v="166"/>
    <n v="233"/>
    <n v="1"/>
    <x v="0"/>
    <x v="5"/>
    <n v="94.22"/>
    <n v="67"/>
    <n v="0.71244635193133043"/>
    <s v="Inefficient"/>
    <s v="Very Long"/>
    <s v="Major Delay"/>
  </r>
  <r>
    <x v="496"/>
    <x v="1"/>
    <x v="496"/>
    <x v="2"/>
    <x v="2"/>
    <x v="1"/>
    <s v="EMP_140"/>
    <d v="2024-05-13T13:56:00"/>
    <d v="2024-05-13T17:27:00"/>
    <n v="149"/>
    <n v="211"/>
    <n v="1"/>
    <x v="2"/>
    <x v="5"/>
    <n v="240.63"/>
    <n v="62"/>
    <n v="0.70616113744075826"/>
    <s v="Inefficient"/>
    <s v="Very Long"/>
    <s v="Major Delay"/>
  </r>
  <r>
    <x v="497"/>
    <x v="2"/>
    <x v="497"/>
    <x v="0"/>
    <x v="1"/>
    <x v="2"/>
    <s v="EMP_127"/>
    <d v="2024-10-10T01:41:00"/>
    <d v="2024-10-10T04:14:00"/>
    <n v="47"/>
    <n v="153"/>
    <n v="1"/>
    <x v="0"/>
    <x v="3"/>
    <n v="451.74"/>
    <n v="106"/>
    <n v="0.30718954248366015"/>
    <s v="Inefficient"/>
    <s v="Very Long"/>
    <s v="Major Delay"/>
  </r>
  <r>
    <x v="498"/>
    <x v="0"/>
    <x v="498"/>
    <x v="3"/>
    <x v="3"/>
    <x v="3"/>
    <s v="EMP_13"/>
    <d v="2024-03-19T06:12:00"/>
    <d v="2024-03-19T10:09:00"/>
    <n v="166"/>
    <n v="237"/>
    <n v="1"/>
    <x v="0"/>
    <x v="4"/>
    <n v="291.98"/>
    <n v="71"/>
    <n v="0.70042194092827004"/>
    <s v="Inefficient"/>
    <s v="Very Long"/>
    <s v="Major Delay"/>
  </r>
  <r>
    <x v="499"/>
    <x v="2"/>
    <x v="499"/>
    <x v="0"/>
    <x v="3"/>
    <x v="0"/>
    <s v="EMP_113"/>
    <d v="2024-08-25T07:13:00"/>
    <d v="2024-08-25T09:09:00"/>
    <n v="24"/>
    <n v="116"/>
    <n v="1"/>
    <x v="0"/>
    <x v="1"/>
    <n v="224.66"/>
    <n v="92"/>
    <n v="0.20689655172413793"/>
    <s v="Inefficient"/>
    <s v="Long"/>
    <s v="Major Delay"/>
  </r>
  <r>
    <x v="500"/>
    <x v="4"/>
    <x v="500"/>
    <x v="0"/>
    <x v="0"/>
    <x v="2"/>
    <s v="EMP_122"/>
    <d v="2024-07-13T08:56:00"/>
    <d v="2024-07-13T12:55:00"/>
    <n v="144"/>
    <n v="239"/>
    <n v="1"/>
    <x v="1"/>
    <x v="1"/>
    <n v="135.38"/>
    <n v="95"/>
    <n v="0.60251046025104604"/>
    <s v="Inefficient"/>
    <s v="Very Long"/>
    <s v="Major Delay"/>
  </r>
  <r>
    <x v="501"/>
    <x v="1"/>
    <x v="501"/>
    <x v="1"/>
    <x v="0"/>
    <x v="0"/>
    <s v="EMP_59"/>
    <d v="2024-06-14T06:27:00"/>
    <d v="2024-06-14T08:47:00"/>
    <n v="69"/>
    <n v="140"/>
    <n v="1"/>
    <x v="1"/>
    <x v="7"/>
    <n v="72.040000000000006"/>
    <n v="71"/>
    <n v="0.49285714285714288"/>
    <s v="Inefficient"/>
    <s v="Very Long"/>
    <s v="Major Delay"/>
  </r>
  <r>
    <x v="502"/>
    <x v="2"/>
    <x v="502"/>
    <x v="1"/>
    <x v="3"/>
    <x v="2"/>
    <s v="EMP_116"/>
    <d v="2024-08-02T20:59:00"/>
    <d v="2024-08-02T22:21:00"/>
    <n v="30"/>
    <n v="82"/>
    <n v="1"/>
    <x v="0"/>
    <x v="6"/>
    <n v="246.07"/>
    <n v="52"/>
    <n v="0.36585365853658536"/>
    <s v="Inefficient"/>
    <s v="Long"/>
    <s v="Major Delay"/>
  </r>
  <r>
    <x v="503"/>
    <x v="4"/>
    <x v="503"/>
    <x v="2"/>
    <x v="2"/>
    <x v="0"/>
    <s v="EMP_5"/>
    <d v="2024-08-22T12:11:00"/>
    <d v="2024-08-22T18:03:00"/>
    <n v="240"/>
    <n v="352"/>
    <n v="1"/>
    <x v="2"/>
    <x v="0"/>
    <n v="119.7"/>
    <n v="112"/>
    <n v="0.68181818181818177"/>
    <s v="Inefficient"/>
    <s v="Very Long"/>
    <s v="Major Delay"/>
  </r>
  <r>
    <x v="504"/>
    <x v="0"/>
    <x v="504"/>
    <x v="4"/>
    <x v="0"/>
    <x v="2"/>
    <s v="EMP_30"/>
    <d v="2024-05-05T03:29:00"/>
    <d v="2024-05-05T04:05:00"/>
    <n v="17"/>
    <n v="36"/>
    <n v="1"/>
    <x v="0"/>
    <x v="8"/>
    <n v="480.35"/>
    <n v="19"/>
    <n v="0.47222222222222221"/>
    <s v="Inefficient"/>
    <s v="Medium"/>
    <s v="Minor Delay"/>
  </r>
  <r>
    <x v="505"/>
    <x v="2"/>
    <x v="505"/>
    <x v="4"/>
    <x v="0"/>
    <x v="1"/>
    <s v="EMP_120"/>
    <d v="2024-05-04T10:44:00"/>
    <d v="2024-05-04T13:40:00"/>
    <n v="127"/>
    <n v="176"/>
    <n v="1"/>
    <x v="1"/>
    <x v="2"/>
    <n v="148.57"/>
    <n v="49"/>
    <n v="0.72159090909090906"/>
    <s v="Inefficient"/>
    <s v="Very Long"/>
    <s v="Major Delay"/>
  </r>
  <r>
    <x v="506"/>
    <x v="3"/>
    <x v="506"/>
    <x v="3"/>
    <x v="2"/>
    <x v="3"/>
    <s v="EMP_96"/>
    <d v="2024-06-05T18:10:00"/>
    <d v="2024-06-05T19:13:00"/>
    <n v="20"/>
    <n v="63"/>
    <n v="1"/>
    <x v="0"/>
    <x v="8"/>
    <n v="456.41"/>
    <n v="43"/>
    <n v="0.31746031746031744"/>
    <s v="Inefficient"/>
    <s v="Long"/>
    <s v="Major Delay"/>
  </r>
  <r>
    <x v="507"/>
    <x v="1"/>
    <x v="507"/>
    <x v="4"/>
    <x v="1"/>
    <x v="2"/>
    <s v="EMP_62"/>
    <d v="2024-12-28T17:09:00"/>
    <d v="2024-12-28T20:16:00"/>
    <n v="159"/>
    <n v="187"/>
    <n v="1"/>
    <x v="1"/>
    <x v="5"/>
    <n v="79.77"/>
    <n v="28"/>
    <n v="0.85026737967914434"/>
    <s v="Inefficient"/>
    <s v="Very Long"/>
    <s v="Minor Delay"/>
  </r>
  <r>
    <x v="508"/>
    <x v="0"/>
    <x v="508"/>
    <x v="0"/>
    <x v="1"/>
    <x v="2"/>
    <s v="EMP_142"/>
    <d v="2024-12-17T20:37:00"/>
    <d v="2024-12-18T00:34:00"/>
    <n v="161"/>
    <n v="237"/>
    <n v="1"/>
    <x v="2"/>
    <x v="3"/>
    <n v="322.93"/>
    <n v="76"/>
    <n v="0.67932489451476796"/>
    <s v="Inefficient"/>
    <s v="Very Long"/>
    <s v="Major Delay"/>
  </r>
  <r>
    <x v="509"/>
    <x v="3"/>
    <x v="509"/>
    <x v="2"/>
    <x v="1"/>
    <x v="3"/>
    <s v="EMP_61"/>
    <d v="2024-07-04T20:19:00"/>
    <d v="2024-07-04T22:36:00"/>
    <n v="56"/>
    <n v="137"/>
    <n v="1"/>
    <x v="0"/>
    <x v="8"/>
    <n v="488.56"/>
    <n v="81"/>
    <n v="0.40875912408759124"/>
    <s v="Inefficient"/>
    <s v="Very Long"/>
    <s v="Major Delay"/>
  </r>
  <r>
    <x v="510"/>
    <x v="4"/>
    <x v="510"/>
    <x v="3"/>
    <x v="3"/>
    <x v="1"/>
    <s v="EMP_43"/>
    <d v="2024-03-30T11:16:00"/>
    <d v="2024-03-30T12:02:00"/>
    <n v="10"/>
    <n v="46"/>
    <n v="1"/>
    <x v="0"/>
    <x v="1"/>
    <n v="341.36"/>
    <n v="36"/>
    <n v="0.21739130434782608"/>
    <s v="Inefficient"/>
    <s v="Medium"/>
    <s v="Major Delay"/>
  </r>
  <r>
    <x v="511"/>
    <x v="3"/>
    <x v="511"/>
    <x v="2"/>
    <x v="1"/>
    <x v="3"/>
    <s v="EMP_67"/>
    <d v="2024-06-10T16:32:00"/>
    <d v="2024-06-10T18:53:00"/>
    <n v="41"/>
    <n v="141"/>
    <n v="1"/>
    <x v="2"/>
    <x v="3"/>
    <n v="424.79"/>
    <n v="100"/>
    <n v="0.29078014184397161"/>
    <s v="Inefficient"/>
    <s v="Very Long"/>
    <s v="Major Delay"/>
  </r>
  <r>
    <x v="512"/>
    <x v="2"/>
    <x v="512"/>
    <x v="1"/>
    <x v="3"/>
    <x v="0"/>
    <s v="EMP_98"/>
    <d v="2024-02-16T05:06:00"/>
    <d v="2024-02-16T08:37:00"/>
    <n v="114"/>
    <n v="211"/>
    <n v="1"/>
    <x v="0"/>
    <x v="0"/>
    <n v="119.7"/>
    <n v="97"/>
    <n v="0.54028436018957349"/>
    <s v="Inefficient"/>
    <s v="Very Long"/>
    <s v="Major Delay"/>
  </r>
  <r>
    <x v="513"/>
    <x v="1"/>
    <x v="513"/>
    <x v="0"/>
    <x v="1"/>
    <x v="3"/>
    <s v="EMP_89"/>
    <d v="2024-03-27T09:44:00"/>
    <d v="2024-03-27T14:06:00"/>
    <n v="208"/>
    <n v="262"/>
    <n v="1"/>
    <x v="0"/>
    <x v="9"/>
    <n v="495.25"/>
    <n v="54"/>
    <n v="0.79389312977099236"/>
    <s v="Inefficient"/>
    <s v="Very Long"/>
    <s v="Major Delay"/>
  </r>
  <r>
    <x v="514"/>
    <x v="4"/>
    <x v="514"/>
    <x v="2"/>
    <x v="3"/>
    <x v="2"/>
    <s v="EMP_115"/>
    <d v="2024-08-24T02:10:00"/>
    <d v="2024-08-24T05:03:00"/>
    <n v="58"/>
    <n v="173"/>
    <n v="1"/>
    <x v="1"/>
    <x v="5"/>
    <n v="191.18"/>
    <n v="115"/>
    <n v="0.33526011560693642"/>
    <s v="Inefficient"/>
    <s v="Very Long"/>
    <s v="Major Delay"/>
  </r>
  <r>
    <x v="515"/>
    <x v="0"/>
    <x v="515"/>
    <x v="3"/>
    <x v="0"/>
    <x v="2"/>
    <s v="EMP_20"/>
    <d v="2024-09-29T06:31:00"/>
    <d v="2024-09-29T10:07:00"/>
    <n v="118"/>
    <n v="216"/>
    <n v="1"/>
    <x v="1"/>
    <x v="5"/>
    <n v="85.41"/>
    <n v="98"/>
    <n v="0.54629629629629628"/>
    <s v="Inefficient"/>
    <s v="Very Long"/>
    <s v="Major Delay"/>
  </r>
  <r>
    <x v="516"/>
    <x v="3"/>
    <x v="516"/>
    <x v="1"/>
    <x v="0"/>
    <x v="1"/>
    <s v="EMP_87"/>
    <d v="2024-01-04T12:39:00"/>
    <d v="2024-01-04T15:38:00"/>
    <n v="151"/>
    <n v="179"/>
    <n v="1"/>
    <x v="1"/>
    <x v="0"/>
    <n v="196.8"/>
    <n v="28"/>
    <n v="0.84357541899441346"/>
    <s v="Inefficient"/>
    <s v="Very Long"/>
    <s v="Minor Delay"/>
  </r>
  <r>
    <x v="517"/>
    <x v="3"/>
    <x v="517"/>
    <x v="1"/>
    <x v="2"/>
    <x v="2"/>
    <s v="EMP_58"/>
    <d v="2024-03-31T14:40:00"/>
    <d v="2024-03-31T17:11:00"/>
    <n v="141"/>
    <n v="151"/>
    <n v="1"/>
    <x v="2"/>
    <x v="4"/>
    <n v="217.28"/>
    <n v="10"/>
    <n v="0.93377483443708609"/>
    <s v="Inefficient"/>
    <s v="Very Long"/>
    <s v="Minor Delay"/>
  </r>
  <r>
    <x v="518"/>
    <x v="1"/>
    <x v="518"/>
    <x v="2"/>
    <x v="0"/>
    <x v="1"/>
    <s v="EMP_115"/>
    <d v="2024-02-19T18:40:00"/>
    <d v="2024-02-19T23:16:00"/>
    <n v="235"/>
    <n v="276"/>
    <n v="1"/>
    <x v="0"/>
    <x v="3"/>
    <n v="468.28"/>
    <n v="41"/>
    <n v="0.85144927536231885"/>
    <s v="Inefficient"/>
    <s v="Very Long"/>
    <s v="Major Delay"/>
  </r>
  <r>
    <x v="519"/>
    <x v="0"/>
    <x v="519"/>
    <x v="1"/>
    <x v="2"/>
    <x v="0"/>
    <s v="EMP_119"/>
    <d v="2024-11-24T14:28:00"/>
    <d v="2024-11-24T19:06:00"/>
    <n v="182"/>
    <n v="278"/>
    <n v="1"/>
    <x v="1"/>
    <x v="7"/>
    <n v="154.77000000000001"/>
    <n v="96"/>
    <n v="0.65467625899280579"/>
    <s v="Inefficient"/>
    <s v="Very Long"/>
    <s v="Major Delay"/>
  </r>
  <r>
    <x v="520"/>
    <x v="3"/>
    <x v="520"/>
    <x v="3"/>
    <x v="2"/>
    <x v="0"/>
    <s v="EMP_51"/>
    <d v="2024-07-18T03:42:00"/>
    <d v="2024-07-18T08:04:00"/>
    <n v="168"/>
    <n v="262"/>
    <n v="1"/>
    <x v="1"/>
    <x v="4"/>
    <n v="336.6"/>
    <n v="94"/>
    <n v="0.64122137404580148"/>
    <s v="Inefficient"/>
    <s v="Very Long"/>
    <s v="Major Delay"/>
  </r>
  <r>
    <x v="521"/>
    <x v="3"/>
    <x v="521"/>
    <x v="2"/>
    <x v="1"/>
    <x v="4"/>
    <s v="EMP_56"/>
    <d v="2024-07-04T22:14:00"/>
    <d v="2024-07-05T02:24:00"/>
    <n v="163"/>
    <n v="250"/>
    <n v="1"/>
    <x v="1"/>
    <x v="6"/>
    <n v="273.79000000000002"/>
    <n v="87"/>
    <n v="0.65200000000000002"/>
    <s v="Inefficient"/>
    <s v="Very Long"/>
    <s v="Major Delay"/>
  </r>
  <r>
    <x v="522"/>
    <x v="3"/>
    <x v="522"/>
    <x v="1"/>
    <x v="1"/>
    <x v="4"/>
    <s v="EMP_95"/>
    <d v="2024-05-13T19:05:00"/>
    <d v="2024-05-13T22:41:00"/>
    <n v="130"/>
    <n v="216"/>
    <n v="1"/>
    <x v="0"/>
    <x v="0"/>
    <n v="466.61"/>
    <n v="86"/>
    <n v="0.60185185185185186"/>
    <s v="Inefficient"/>
    <s v="Very Long"/>
    <s v="Major Delay"/>
  </r>
  <r>
    <x v="523"/>
    <x v="4"/>
    <x v="523"/>
    <x v="3"/>
    <x v="3"/>
    <x v="4"/>
    <s v="EMP_102"/>
    <d v="2024-04-11T00:43:00"/>
    <d v="2024-04-11T03:51:00"/>
    <n v="74"/>
    <n v="188"/>
    <n v="1"/>
    <x v="0"/>
    <x v="7"/>
    <n v="302.58"/>
    <n v="114"/>
    <n v="0.39361702127659576"/>
    <s v="Inefficient"/>
    <s v="Very Long"/>
    <s v="Major Delay"/>
  </r>
  <r>
    <x v="524"/>
    <x v="3"/>
    <x v="524"/>
    <x v="3"/>
    <x v="0"/>
    <x v="2"/>
    <s v="EMP_65"/>
    <d v="2024-06-03T02:08:00"/>
    <d v="2024-06-03T05:58:00"/>
    <n v="203"/>
    <n v="230"/>
    <n v="1"/>
    <x v="2"/>
    <x v="2"/>
    <n v="98.09"/>
    <n v="27"/>
    <n v="0.88260869565217392"/>
    <s v="Inefficient"/>
    <s v="Very Long"/>
    <s v="Minor Delay"/>
  </r>
  <r>
    <x v="525"/>
    <x v="3"/>
    <x v="525"/>
    <x v="0"/>
    <x v="0"/>
    <x v="1"/>
    <s v="EMP_91"/>
    <d v="2024-03-22T21:14:00"/>
    <d v="2024-03-22T22:17:00"/>
    <n v="49"/>
    <n v="63"/>
    <n v="1"/>
    <x v="2"/>
    <x v="2"/>
    <n v="169.87"/>
    <n v="14"/>
    <n v="0.77777777777777779"/>
    <s v="Inefficient"/>
    <s v="Long"/>
    <s v="Minor Delay"/>
  </r>
  <r>
    <x v="526"/>
    <x v="3"/>
    <x v="526"/>
    <x v="0"/>
    <x v="2"/>
    <x v="1"/>
    <s v="EMP_59"/>
    <d v="2024-06-01T18:51:00"/>
    <d v="2024-06-01T22:25:00"/>
    <n v="161"/>
    <n v="214"/>
    <n v="1"/>
    <x v="2"/>
    <x v="6"/>
    <n v="488.03"/>
    <n v="53"/>
    <n v="0.75233644859813087"/>
    <s v="Inefficient"/>
    <s v="Very Long"/>
    <s v="Major Delay"/>
  </r>
  <r>
    <x v="527"/>
    <x v="3"/>
    <x v="527"/>
    <x v="2"/>
    <x v="2"/>
    <x v="3"/>
    <s v="EMP_15"/>
    <d v="2024-08-12T19:13:00"/>
    <d v="2024-08-12T20:40:00"/>
    <n v="53"/>
    <n v="87"/>
    <n v="1"/>
    <x v="1"/>
    <x v="2"/>
    <n v="289.11"/>
    <n v="34"/>
    <n v="0.60919540229885061"/>
    <s v="Inefficient"/>
    <s v="Long"/>
    <s v="Major Delay"/>
  </r>
  <r>
    <x v="528"/>
    <x v="4"/>
    <x v="528"/>
    <x v="3"/>
    <x v="3"/>
    <x v="1"/>
    <s v="EMP_134"/>
    <d v="2024-03-05T13:00:00"/>
    <d v="2024-03-05T14:22:00"/>
    <n v="35"/>
    <n v="82"/>
    <n v="1"/>
    <x v="2"/>
    <x v="4"/>
    <n v="264.89"/>
    <n v="47"/>
    <n v="0.42682926829268292"/>
    <s v="Inefficient"/>
    <s v="Long"/>
    <s v="Major Delay"/>
  </r>
  <r>
    <x v="529"/>
    <x v="2"/>
    <x v="529"/>
    <x v="0"/>
    <x v="1"/>
    <x v="3"/>
    <s v="EMP_95"/>
    <d v="2024-08-06T10:54:00"/>
    <d v="2024-08-06T15:39:00"/>
    <n v="200"/>
    <n v="285"/>
    <n v="1"/>
    <x v="0"/>
    <x v="6"/>
    <n v="491.36"/>
    <n v="85"/>
    <n v="0.70175438596491224"/>
    <s v="Inefficient"/>
    <s v="Very Long"/>
    <s v="Major Delay"/>
  </r>
  <r>
    <x v="530"/>
    <x v="3"/>
    <x v="530"/>
    <x v="4"/>
    <x v="2"/>
    <x v="0"/>
    <s v="EMP_49"/>
    <d v="2024-05-19T10:49:00"/>
    <d v="2024-05-19T15:35:00"/>
    <n v="239"/>
    <n v="286"/>
    <n v="1"/>
    <x v="2"/>
    <x v="6"/>
    <n v="124.33"/>
    <n v="47"/>
    <n v="0.83566433566433562"/>
    <s v="Inefficient"/>
    <s v="Very Long"/>
    <s v="Major Delay"/>
  </r>
  <r>
    <x v="531"/>
    <x v="2"/>
    <x v="531"/>
    <x v="3"/>
    <x v="2"/>
    <x v="2"/>
    <s v="EMP_95"/>
    <d v="2024-11-20T01:39:00"/>
    <d v="2024-11-20T03:34:00"/>
    <n v="116"/>
    <n v="115"/>
    <n v="0"/>
    <x v="1"/>
    <x v="4"/>
    <n v="125.52"/>
    <n v="-1"/>
    <n v="1.008695652173913"/>
    <s v="Efficient"/>
    <s v="Long"/>
    <s v="On Time"/>
  </r>
  <r>
    <x v="532"/>
    <x v="1"/>
    <x v="532"/>
    <x v="1"/>
    <x v="2"/>
    <x v="0"/>
    <s v="EMP_34"/>
    <d v="2024-08-09T10:06:00"/>
    <d v="2024-08-09T13:23:00"/>
    <n v="145"/>
    <n v="197"/>
    <n v="1"/>
    <x v="0"/>
    <x v="8"/>
    <n v="455.07"/>
    <n v="52"/>
    <n v="0.73604060913705582"/>
    <s v="Inefficient"/>
    <s v="Very Long"/>
    <s v="Major Delay"/>
  </r>
  <r>
    <x v="533"/>
    <x v="0"/>
    <x v="533"/>
    <x v="3"/>
    <x v="2"/>
    <x v="4"/>
    <s v="EMP_92"/>
    <d v="2024-10-16T00:09:00"/>
    <d v="2024-10-16T02:54:00"/>
    <n v="164"/>
    <n v="165"/>
    <n v="1"/>
    <x v="0"/>
    <x v="1"/>
    <n v="385.91"/>
    <n v="1"/>
    <n v="0.9939393939393939"/>
    <s v="Inefficient"/>
    <s v="Very Long"/>
    <s v="Minor Delay"/>
  </r>
  <r>
    <x v="534"/>
    <x v="2"/>
    <x v="534"/>
    <x v="0"/>
    <x v="0"/>
    <x v="2"/>
    <s v="EMP_30"/>
    <d v="2024-10-14T23:20:00"/>
    <d v="2024-10-15T03:39:00"/>
    <n v="157"/>
    <n v="259"/>
    <n v="1"/>
    <x v="1"/>
    <x v="0"/>
    <n v="82.44"/>
    <n v="102"/>
    <n v="0.60617760617760619"/>
    <s v="Inefficient"/>
    <s v="Very Long"/>
    <s v="Major Delay"/>
  </r>
  <r>
    <x v="535"/>
    <x v="1"/>
    <x v="535"/>
    <x v="4"/>
    <x v="0"/>
    <x v="0"/>
    <s v="EMP_95"/>
    <d v="2024-04-20T20:40:00"/>
    <d v="2024-04-21T01:39:00"/>
    <n v="226"/>
    <n v="299"/>
    <n v="1"/>
    <x v="1"/>
    <x v="5"/>
    <n v="161.32"/>
    <n v="73"/>
    <n v="0.7558528428093646"/>
    <s v="Inefficient"/>
    <s v="Very Long"/>
    <s v="Major Delay"/>
  </r>
  <r>
    <x v="536"/>
    <x v="3"/>
    <x v="536"/>
    <x v="4"/>
    <x v="0"/>
    <x v="3"/>
    <s v="EMP_103"/>
    <d v="2024-03-17T05:04:00"/>
    <d v="2024-03-17T08:10:00"/>
    <n v="189"/>
    <n v="186"/>
    <n v="0"/>
    <x v="0"/>
    <x v="2"/>
    <n v="437.47"/>
    <n v="-3"/>
    <n v="1.0161290322580645"/>
    <s v="Efficient"/>
    <s v="Very Long"/>
    <s v="On Time"/>
  </r>
  <r>
    <x v="537"/>
    <x v="2"/>
    <x v="537"/>
    <x v="3"/>
    <x v="1"/>
    <x v="0"/>
    <s v="EMP_150"/>
    <d v="2024-06-08T18:17:00"/>
    <d v="2024-06-08T19:56:00"/>
    <n v="14"/>
    <n v="99"/>
    <n v="1"/>
    <x v="0"/>
    <x v="7"/>
    <n v="340.33"/>
    <n v="85"/>
    <n v="0.14141414141414141"/>
    <s v="Inefficient"/>
    <s v="Long"/>
    <s v="Major Delay"/>
  </r>
  <r>
    <x v="538"/>
    <x v="3"/>
    <x v="538"/>
    <x v="1"/>
    <x v="0"/>
    <x v="2"/>
    <s v="EMP_87"/>
    <d v="2024-01-24T09:45:00"/>
    <d v="2024-01-24T12:56:00"/>
    <n v="169"/>
    <n v="191"/>
    <n v="1"/>
    <x v="1"/>
    <x v="7"/>
    <n v="319.04000000000002"/>
    <n v="22"/>
    <n v="0.88481675392670156"/>
    <s v="Inefficient"/>
    <s v="Very Long"/>
    <s v="Minor Delay"/>
  </r>
  <r>
    <x v="539"/>
    <x v="4"/>
    <x v="539"/>
    <x v="1"/>
    <x v="0"/>
    <x v="1"/>
    <s v="EMP_2"/>
    <d v="2024-11-09T02:31:00"/>
    <d v="2024-11-09T03:04:00"/>
    <n v="25"/>
    <n v="33"/>
    <n v="1"/>
    <x v="1"/>
    <x v="7"/>
    <n v="136.33000000000001"/>
    <n v="8"/>
    <n v="0.75757575757575757"/>
    <s v="Inefficient"/>
    <s v="Medium"/>
    <s v="Minor Delay"/>
  </r>
  <r>
    <x v="540"/>
    <x v="1"/>
    <x v="540"/>
    <x v="1"/>
    <x v="3"/>
    <x v="3"/>
    <s v="EMP_112"/>
    <d v="2024-12-16T10:47:00"/>
    <d v="2024-12-16T13:48:00"/>
    <n v="131"/>
    <n v="181"/>
    <n v="1"/>
    <x v="0"/>
    <x v="0"/>
    <n v="348.38"/>
    <n v="50"/>
    <n v="0.72375690607734811"/>
    <s v="Inefficient"/>
    <s v="Very Long"/>
    <s v="Major Delay"/>
  </r>
  <r>
    <x v="541"/>
    <x v="2"/>
    <x v="541"/>
    <x v="0"/>
    <x v="0"/>
    <x v="2"/>
    <s v="EMP_6"/>
    <d v="2024-12-11T16:21:00"/>
    <d v="2024-12-11T21:04:00"/>
    <n v="214"/>
    <n v="283"/>
    <n v="1"/>
    <x v="0"/>
    <x v="4"/>
    <n v="493.36"/>
    <n v="69"/>
    <n v="0.75618374558303891"/>
    <s v="Inefficient"/>
    <s v="Very Long"/>
    <s v="Major Delay"/>
  </r>
  <r>
    <x v="542"/>
    <x v="2"/>
    <x v="542"/>
    <x v="4"/>
    <x v="3"/>
    <x v="2"/>
    <s v="EMP_81"/>
    <d v="2024-10-13T02:28:00"/>
    <d v="2024-10-13T04:00:00"/>
    <n v="62"/>
    <n v="92"/>
    <n v="1"/>
    <x v="1"/>
    <x v="2"/>
    <n v="209.19"/>
    <n v="30"/>
    <n v="0.67391304347826086"/>
    <s v="Inefficient"/>
    <s v="Long"/>
    <s v="Minor Delay"/>
  </r>
  <r>
    <x v="543"/>
    <x v="4"/>
    <x v="543"/>
    <x v="0"/>
    <x v="1"/>
    <x v="3"/>
    <s v="EMP_20"/>
    <d v="2024-01-13T07:12:00"/>
    <d v="2024-01-13T11:01:00"/>
    <n v="167"/>
    <n v="229"/>
    <n v="1"/>
    <x v="1"/>
    <x v="8"/>
    <n v="254.16"/>
    <n v="62"/>
    <n v="0.72925764192139741"/>
    <s v="Inefficient"/>
    <s v="Very Long"/>
    <s v="Major Delay"/>
  </r>
  <r>
    <x v="544"/>
    <x v="2"/>
    <x v="544"/>
    <x v="1"/>
    <x v="0"/>
    <x v="0"/>
    <s v="EMP_26"/>
    <d v="2024-07-08T13:31:00"/>
    <d v="2024-07-08T18:45:00"/>
    <n v="200"/>
    <n v="314"/>
    <n v="1"/>
    <x v="1"/>
    <x v="7"/>
    <n v="221.68"/>
    <n v="114"/>
    <n v="0.63694267515923564"/>
    <s v="Inefficient"/>
    <s v="Very Long"/>
    <s v="Major Delay"/>
  </r>
  <r>
    <x v="545"/>
    <x v="4"/>
    <x v="545"/>
    <x v="1"/>
    <x v="1"/>
    <x v="1"/>
    <s v="EMP_41"/>
    <d v="2024-11-20T21:30:00"/>
    <d v="2024-11-21T00:53:00"/>
    <n v="84"/>
    <n v="203"/>
    <n v="1"/>
    <x v="1"/>
    <x v="3"/>
    <n v="315.68"/>
    <n v="119"/>
    <n v="0.41379310344827586"/>
    <s v="Inefficient"/>
    <s v="Very Long"/>
    <s v="Major Delay"/>
  </r>
  <r>
    <x v="546"/>
    <x v="3"/>
    <x v="546"/>
    <x v="0"/>
    <x v="3"/>
    <x v="2"/>
    <s v="EMP_6"/>
    <d v="2024-06-30T01:09:00"/>
    <d v="2024-06-30T04:25:00"/>
    <n v="130"/>
    <n v="196"/>
    <n v="1"/>
    <x v="2"/>
    <x v="8"/>
    <n v="151.75"/>
    <n v="66"/>
    <n v="0.66326530612244894"/>
    <s v="Inefficient"/>
    <s v="Very Long"/>
    <s v="Major Delay"/>
  </r>
  <r>
    <x v="547"/>
    <x v="3"/>
    <x v="547"/>
    <x v="4"/>
    <x v="1"/>
    <x v="3"/>
    <s v="EMP_123"/>
    <d v="2024-11-27T05:31:00"/>
    <d v="2024-11-27T07:09:00"/>
    <n v="29"/>
    <n v="98"/>
    <n v="1"/>
    <x v="0"/>
    <x v="7"/>
    <n v="141.12"/>
    <n v="69"/>
    <n v="0.29591836734693877"/>
    <s v="Inefficient"/>
    <s v="Long"/>
    <s v="Major Delay"/>
  </r>
  <r>
    <x v="548"/>
    <x v="4"/>
    <x v="548"/>
    <x v="2"/>
    <x v="2"/>
    <x v="1"/>
    <s v="EMP_65"/>
    <d v="2024-04-14T11:57:00"/>
    <d v="2024-04-14T17:01:00"/>
    <n v="186"/>
    <n v="304"/>
    <n v="1"/>
    <x v="1"/>
    <x v="2"/>
    <n v="380.25"/>
    <n v="118"/>
    <n v="0.61184210526315785"/>
    <s v="Inefficient"/>
    <s v="Very Long"/>
    <s v="Major Delay"/>
  </r>
  <r>
    <x v="549"/>
    <x v="1"/>
    <x v="549"/>
    <x v="2"/>
    <x v="1"/>
    <x v="0"/>
    <s v="EMP_130"/>
    <d v="2024-07-16T04:14:00"/>
    <d v="2024-07-16T05:14:00"/>
    <n v="46"/>
    <n v="60"/>
    <n v="1"/>
    <x v="0"/>
    <x v="0"/>
    <n v="233.59"/>
    <n v="14"/>
    <n v="0.76666666666666672"/>
    <s v="Inefficient"/>
    <s v="Long"/>
    <s v="Minor Delay"/>
  </r>
  <r>
    <x v="550"/>
    <x v="3"/>
    <x v="550"/>
    <x v="4"/>
    <x v="1"/>
    <x v="1"/>
    <s v="EMP_30"/>
    <d v="2024-08-04T17:22:00"/>
    <d v="2024-08-04T18:16:00"/>
    <n v="39"/>
    <n v="54"/>
    <n v="1"/>
    <x v="0"/>
    <x v="2"/>
    <n v="406.78"/>
    <n v="15"/>
    <n v="0.72222222222222221"/>
    <s v="Inefficient"/>
    <s v="Medium"/>
    <s v="Minor Delay"/>
  </r>
  <r>
    <x v="551"/>
    <x v="3"/>
    <x v="551"/>
    <x v="4"/>
    <x v="2"/>
    <x v="0"/>
    <s v="EMP_131"/>
    <d v="2024-07-23T23:11:00"/>
    <d v="2024-07-24T02:55:00"/>
    <n v="142"/>
    <n v="224"/>
    <n v="1"/>
    <x v="0"/>
    <x v="5"/>
    <n v="158.01"/>
    <n v="82"/>
    <n v="0.6339285714285714"/>
    <s v="Inefficient"/>
    <s v="Very Long"/>
    <s v="Major Delay"/>
  </r>
  <r>
    <x v="552"/>
    <x v="1"/>
    <x v="552"/>
    <x v="0"/>
    <x v="2"/>
    <x v="4"/>
    <s v="EMP_42"/>
    <d v="2024-09-26T23:17:00"/>
    <d v="2024-09-26T23:57:00"/>
    <n v="32"/>
    <n v="40"/>
    <n v="1"/>
    <x v="1"/>
    <x v="5"/>
    <n v="497.08"/>
    <n v="8"/>
    <n v="0.8"/>
    <s v="Inefficient"/>
    <s v="Medium"/>
    <s v="Minor Delay"/>
  </r>
  <r>
    <x v="553"/>
    <x v="1"/>
    <x v="553"/>
    <x v="1"/>
    <x v="3"/>
    <x v="3"/>
    <s v="EMP_25"/>
    <d v="2024-08-15T05:16:00"/>
    <d v="2024-08-15T06:55:00"/>
    <n v="37"/>
    <n v="99"/>
    <n v="1"/>
    <x v="1"/>
    <x v="2"/>
    <n v="469.32"/>
    <n v="62"/>
    <n v="0.37373737373737376"/>
    <s v="Inefficient"/>
    <s v="Long"/>
    <s v="Major Delay"/>
  </r>
  <r>
    <x v="554"/>
    <x v="3"/>
    <x v="554"/>
    <x v="1"/>
    <x v="1"/>
    <x v="2"/>
    <s v="EMP_86"/>
    <d v="2024-02-06T08:58:00"/>
    <d v="2024-02-06T10:28:00"/>
    <n v="46"/>
    <n v="90"/>
    <n v="1"/>
    <x v="2"/>
    <x v="6"/>
    <n v="224.29"/>
    <n v="44"/>
    <n v="0.51111111111111107"/>
    <s v="Inefficient"/>
    <s v="Long"/>
    <s v="Major Delay"/>
  </r>
  <r>
    <x v="555"/>
    <x v="0"/>
    <x v="555"/>
    <x v="3"/>
    <x v="1"/>
    <x v="0"/>
    <s v="EMP_87"/>
    <d v="2024-08-30T05:58:00"/>
    <d v="2024-08-30T10:05:00"/>
    <n v="184"/>
    <n v="247"/>
    <n v="1"/>
    <x v="0"/>
    <x v="2"/>
    <n v="163.63999999999999"/>
    <n v="63"/>
    <n v="0.74493927125506076"/>
    <s v="Inefficient"/>
    <s v="Very Long"/>
    <s v="Major Delay"/>
  </r>
  <r>
    <x v="556"/>
    <x v="0"/>
    <x v="556"/>
    <x v="4"/>
    <x v="0"/>
    <x v="2"/>
    <s v="EMP_97"/>
    <d v="2024-02-21T18:01:00"/>
    <d v="2024-02-21T23:43:00"/>
    <n v="232"/>
    <n v="342"/>
    <n v="1"/>
    <x v="0"/>
    <x v="1"/>
    <n v="95.83"/>
    <n v="110"/>
    <n v="0.67836257309941517"/>
    <s v="Inefficient"/>
    <s v="Very Long"/>
    <s v="Major Delay"/>
  </r>
  <r>
    <x v="557"/>
    <x v="1"/>
    <x v="557"/>
    <x v="3"/>
    <x v="2"/>
    <x v="4"/>
    <s v="EMP_118"/>
    <d v="2024-04-24T18:36:00"/>
    <d v="2024-04-24T23:11:00"/>
    <n v="225"/>
    <n v="275"/>
    <n v="1"/>
    <x v="1"/>
    <x v="5"/>
    <n v="474.91"/>
    <n v="50"/>
    <n v="0.81818181818181823"/>
    <s v="Inefficient"/>
    <s v="Very Long"/>
    <s v="Major Delay"/>
  </r>
  <r>
    <x v="558"/>
    <x v="2"/>
    <x v="558"/>
    <x v="3"/>
    <x v="3"/>
    <x v="2"/>
    <s v="EMP_119"/>
    <d v="2024-08-21T23:32:00"/>
    <d v="2024-08-22T03:02:00"/>
    <n v="90"/>
    <n v="210"/>
    <n v="1"/>
    <x v="2"/>
    <x v="4"/>
    <n v="487.57"/>
    <n v="120"/>
    <n v="0.42857142857142855"/>
    <s v="Inefficient"/>
    <s v="Very Long"/>
    <s v="Major Delay"/>
  </r>
  <r>
    <x v="559"/>
    <x v="4"/>
    <x v="559"/>
    <x v="2"/>
    <x v="0"/>
    <x v="1"/>
    <s v="EMP_117"/>
    <d v="2024-05-30T09:22:00"/>
    <d v="2024-05-30T13:09:00"/>
    <n v="210"/>
    <n v="227"/>
    <n v="1"/>
    <x v="0"/>
    <x v="1"/>
    <n v="386.32"/>
    <n v="17"/>
    <n v="0.92511013215859028"/>
    <s v="Inefficient"/>
    <s v="Very Long"/>
    <s v="Minor Delay"/>
  </r>
  <r>
    <x v="560"/>
    <x v="0"/>
    <x v="560"/>
    <x v="2"/>
    <x v="2"/>
    <x v="2"/>
    <s v="EMP_23"/>
    <d v="2024-03-08T05:17:00"/>
    <d v="2024-03-08T09:54:00"/>
    <n v="219"/>
    <n v="277"/>
    <n v="1"/>
    <x v="1"/>
    <x v="0"/>
    <n v="289.35000000000002"/>
    <n v="58"/>
    <n v="0.79061371841155237"/>
    <s v="Inefficient"/>
    <s v="Very Long"/>
    <s v="Major Delay"/>
  </r>
  <r>
    <x v="561"/>
    <x v="3"/>
    <x v="561"/>
    <x v="1"/>
    <x v="2"/>
    <x v="1"/>
    <s v="EMP_71"/>
    <d v="2024-10-24T15:42:00"/>
    <d v="2024-10-24T18:33:00"/>
    <n v="163"/>
    <n v="171"/>
    <n v="1"/>
    <x v="2"/>
    <x v="6"/>
    <n v="84.55"/>
    <n v="8"/>
    <n v="0.95321637426900585"/>
    <s v="Inefficient"/>
    <s v="Very Long"/>
    <s v="Minor Delay"/>
  </r>
  <r>
    <x v="562"/>
    <x v="1"/>
    <x v="562"/>
    <x v="3"/>
    <x v="3"/>
    <x v="3"/>
    <s v="EMP_14"/>
    <d v="2024-09-15T15:44:00"/>
    <d v="2024-09-15T16:10:00"/>
    <n v="25"/>
    <n v="26"/>
    <n v="1"/>
    <x v="2"/>
    <x v="5"/>
    <n v="201.43"/>
    <n v="1"/>
    <n v="0.96153846153846156"/>
    <s v="Inefficient"/>
    <s v="Short"/>
    <s v="Minor Delay"/>
  </r>
  <r>
    <x v="563"/>
    <x v="4"/>
    <x v="563"/>
    <x v="0"/>
    <x v="1"/>
    <x v="1"/>
    <s v="EMP_67"/>
    <d v="2024-09-23T08:00:00"/>
    <d v="2024-09-23T09:52:00"/>
    <n v="85"/>
    <n v="112"/>
    <n v="1"/>
    <x v="0"/>
    <x v="5"/>
    <n v="417.24"/>
    <n v="27"/>
    <n v="0.7589285714285714"/>
    <s v="Inefficient"/>
    <s v="Long"/>
    <s v="Minor Delay"/>
  </r>
  <r>
    <x v="564"/>
    <x v="2"/>
    <x v="564"/>
    <x v="3"/>
    <x v="3"/>
    <x v="1"/>
    <s v="EMP_13"/>
    <d v="2024-01-20T03:18:00"/>
    <d v="2024-01-20T07:44:00"/>
    <n v="196"/>
    <n v="266"/>
    <n v="1"/>
    <x v="1"/>
    <x v="6"/>
    <n v="250.89"/>
    <n v="70"/>
    <n v="0.73684210526315785"/>
    <s v="Inefficient"/>
    <s v="Very Long"/>
    <s v="Major Delay"/>
  </r>
  <r>
    <x v="565"/>
    <x v="2"/>
    <x v="565"/>
    <x v="4"/>
    <x v="3"/>
    <x v="1"/>
    <s v="EMP_106"/>
    <d v="2024-11-19T23:45:00"/>
    <d v="2024-11-20T02:24:00"/>
    <n v="138"/>
    <n v="159"/>
    <n v="1"/>
    <x v="0"/>
    <x v="9"/>
    <n v="312.23"/>
    <n v="21"/>
    <n v="0.86792452830188682"/>
    <s v="Inefficient"/>
    <s v="Very Long"/>
    <s v="Minor Delay"/>
  </r>
  <r>
    <x v="566"/>
    <x v="3"/>
    <x v="566"/>
    <x v="2"/>
    <x v="0"/>
    <x v="3"/>
    <s v="EMP_135"/>
    <d v="2024-03-05T09:31:00"/>
    <d v="2024-03-05T10:21:00"/>
    <n v="52"/>
    <n v="50"/>
    <n v="0"/>
    <x v="1"/>
    <x v="9"/>
    <n v="142.15"/>
    <n v="-2"/>
    <n v="1.04"/>
    <s v="Efficient"/>
    <s v="Medium"/>
    <s v="On Time"/>
  </r>
  <r>
    <x v="567"/>
    <x v="0"/>
    <x v="567"/>
    <x v="2"/>
    <x v="3"/>
    <x v="3"/>
    <s v="EMP_5"/>
    <d v="2024-12-08T02:06:00"/>
    <d v="2024-12-08T05:30:00"/>
    <n v="115"/>
    <n v="204"/>
    <n v="1"/>
    <x v="2"/>
    <x v="6"/>
    <n v="374.8"/>
    <n v="89"/>
    <n v="0.56372549019607843"/>
    <s v="Inefficient"/>
    <s v="Very Long"/>
    <s v="Major Delay"/>
  </r>
  <r>
    <x v="568"/>
    <x v="0"/>
    <x v="568"/>
    <x v="3"/>
    <x v="3"/>
    <x v="2"/>
    <s v="EMP_95"/>
    <d v="2024-06-13T03:17:00"/>
    <d v="2024-06-13T07:25:00"/>
    <n v="137"/>
    <n v="248"/>
    <n v="1"/>
    <x v="1"/>
    <x v="9"/>
    <n v="443.2"/>
    <n v="111"/>
    <n v="0.55241935483870963"/>
    <s v="Inefficient"/>
    <s v="Very Long"/>
    <s v="Major Delay"/>
  </r>
  <r>
    <x v="569"/>
    <x v="2"/>
    <x v="569"/>
    <x v="1"/>
    <x v="2"/>
    <x v="3"/>
    <s v="EMP_32"/>
    <d v="2024-03-16T15:02:00"/>
    <d v="2024-03-16T18:58:00"/>
    <n v="236"/>
    <n v="236"/>
    <n v="0"/>
    <x v="1"/>
    <x v="6"/>
    <n v="275.24"/>
    <n v="0"/>
    <n v="1"/>
    <s v="On Target"/>
    <s v="Very Long"/>
    <s v="On Time"/>
  </r>
  <r>
    <x v="570"/>
    <x v="3"/>
    <x v="570"/>
    <x v="1"/>
    <x v="1"/>
    <x v="0"/>
    <s v="EMP_103"/>
    <d v="2024-05-29T13:06:00"/>
    <d v="2024-05-29T18:17:00"/>
    <n v="207"/>
    <n v="311"/>
    <n v="1"/>
    <x v="1"/>
    <x v="0"/>
    <n v="406.84"/>
    <n v="104"/>
    <n v="0.66559485530546625"/>
    <s v="Inefficient"/>
    <s v="Very Long"/>
    <s v="Major Delay"/>
  </r>
  <r>
    <x v="571"/>
    <x v="1"/>
    <x v="571"/>
    <x v="2"/>
    <x v="0"/>
    <x v="4"/>
    <s v="EMP_117"/>
    <d v="2024-03-04T01:42:00"/>
    <d v="2024-03-04T03:12:00"/>
    <n v="61"/>
    <n v="90"/>
    <n v="1"/>
    <x v="2"/>
    <x v="2"/>
    <n v="306.74"/>
    <n v="29"/>
    <n v="0.67777777777777781"/>
    <s v="Inefficient"/>
    <s v="Long"/>
    <s v="Minor Delay"/>
  </r>
  <r>
    <x v="572"/>
    <x v="2"/>
    <x v="572"/>
    <x v="4"/>
    <x v="3"/>
    <x v="2"/>
    <s v="EMP_93"/>
    <d v="2024-12-21T20:57:00"/>
    <d v="2024-12-22T01:08:00"/>
    <n v="218"/>
    <n v="251"/>
    <n v="1"/>
    <x v="0"/>
    <x v="6"/>
    <n v="89.47"/>
    <n v="33"/>
    <n v="0.86852589641434264"/>
    <s v="Inefficient"/>
    <s v="Very Long"/>
    <s v="Major Delay"/>
  </r>
  <r>
    <x v="573"/>
    <x v="2"/>
    <x v="573"/>
    <x v="0"/>
    <x v="1"/>
    <x v="1"/>
    <s v="EMP_137"/>
    <d v="2024-07-06T17:22:00"/>
    <d v="2024-07-06T20:35:00"/>
    <n v="117"/>
    <n v="193"/>
    <n v="1"/>
    <x v="0"/>
    <x v="2"/>
    <n v="200.29"/>
    <n v="76"/>
    <n v="0.60621761658031093"/>
    <s v="Inefficient"/>
    <s v="Very Long"/>
    <s v="Major Delay"/>
  </r>
  <r>
    <x v="574"/>
    <x v="1"/>
    <x v="574"/>
    <x v="3"/>
    <x v="1"/>
    <x v="0"/>
    <s v="EMP_36"/>
    <d v="2024-04-06T21:53:00"/>
    <d v="2024-04-07T00:44:00"/>
    <n v="53"/>
    <n v="171"/>
    <n v="1"/>
    <x v="1"/>
    <x v="7"/>
    <n v="423.19"/>
    <n v="118"/>
    <n v="0.30994152046783624"/>
    <s v="Inefficient"/>
    <s v="Very Long"/>
    <s v="Major Delay"/>
  </r>
  <r>
    <x v="575"/>
    <x v="4"/>
    <x v="575"/>
    <x v="4"/>
    <x v="1"/>
    <x v="0"/>
    <s v="EMP_73"/>
    <d v="2024-06-06T04:04:00"/>
    <d v="2024-06-06T08:19:00"/>
    <n v="162"/>
    <n v="255"/>
    <n v="1"/>
    <x v="2"/>
    <x v="5"/>
    <n v="428.62"/>
    <n v="93"/>
    <n v="0.63529411764705879"/>
    <s v="Inefficient"/>
    <s v="Very Long"/>
    <s v="Major Delay"/>
  </r>
  <r>
    <x v="576"/>
    <x v="4"/>
    <x v="576"/>
    <x v="3"/>
    <x v="0"/>
    <x v="3"/>
    <s v="EMP_42"/>
    <d v="2024-12-24T07:49:00"/>
    <d v="2024-12-24T13:07:00"/>
    <n v="199"/>
    <n v="318"/>
    <n v="1"/>
    <x v="1"/>
    <x v="2"/>
    <n v="392.57"/>
    <n v="119"/>
    <n v="0.62578616352201255"/>
    <s v="Inefficient"/>
    <s v="Very Long"/>
    <s v="Major Delay"/>
  </r>
  <r>
    <x v="577"/>
    <x v="0"/>
    <x v="577"/>
    <x v="3"/>
    <x v="3"/>
    <x v="0"/>
    <s v="EMP_113"/>
    <d v="2024-10-15T08:40:00"/>
    <d v="2024-10-15T10:39:00"/>
    <n v="112"/>
    <n v="119"/>
    <n v="1"/>
    <x v="0"/>
    <x v="1"/>
    <n v="381.42"/>
    <n v="7"/>
    <n v="0.94117647058823528"/>
    <s v="Inefficient"/>
    <s v="Long"/>
    <s v="Minor Delay"/>
  </r>
  <r>
    <x v="578"/>
    <x v="2"/>
    <x v="578"/>
    <x v="0"/>
    <x v="3"/>
    <x v="4"/>
    <s v="EMP_17"/>
    <d v="2024-11-21T17:11:00"/>
    <d v="2024-11-21T18:51:00"/>
    <n v="14"/>
    <n v="100"/>
    <n v="1"/>
    <x v="0"/>
    <x v="8"/>
    <n v="262.89999999999998"/>
    <n v="86"/>
    <n v="0.14000000000000001"/>
    <s v="Inefficient"/>
    <s v="Long"/>
    <s v="Major Delay"/>
  </r>
  <r>
    <x v="579"/>
    <x v="4"/>
    <x v="579"/>
    <x v="3"/>
    <x v="2"/>
    <x v="1"/>
    <s v="EMP_20"/>
    <d v="2024-09-30T08:57:00"/>
    <d v="2024-09-30T10:33:00"/>
    <n v="15"/>
    <n v="96"/>
    <n v="1"/>
    <x v="2"/>
    <x v="9"/>
    <n v="222.89"/>
    <n v="81"/>
    <n v="0.15625"/>
    <s v="Inefficient"/>
    <s v="Long"/>
    <s v="Major Delay"/>
  </r>
  <r>
    <x v="580"/>
    <x v="3"/>
    <x v="580"/>
    <x v="2"/>
    <x v="2"/>
    <x v="2"/>
    <s v="EMP_67"/>
    <d v="2024-10-18T11:02:00"/>
    <d v="2024-10-18T13:06:00"/>
    <n v="40"/>
    <n v="124"/>
    <n v="1"/>
    <x v="1"/>
    <x v="8"/>
    <n v="477.26"/>
    <n v="84"/>
    <n v="0.32258064516129031"/>
    <s v="Inefficient"/>
    <s v="Very Long"/>
    <s v="Major Delay"/>
  </r>
  <r>
    <x v="581"/>
    <x v="0"/>
    <x v="581"/>
    <x v="3"/>
    <x v="1"/>
    <x v="1"/>
    <s v="EMP_60"/>
    <d v="2024-07-12T20:37:00"/>
    <d v="2024-07-12T21:04:00"/>
    <n v="20"/>
    <n v="27"/>
    <n v="1"/>
    <x v="1"/>
    <x v="2"/>
    <n v="81.680000000000007"/>
    <n v="7"/>
    <n v="0.7407407407407407"/>
    <s v="Inefficient"/>
    <s v="Short"/>
    <s v="Minor Delay"/>
  </r>
  <r>
    <x v="582"/>
    <x v="0"/>
    <x v="582"/>
    <x v="2"/>
    <x v="0"/>
    <x v="3"/>
    <s v="EMP_76"/>
    <d v="2024-06-04T01:02:00"/>
    <d v="2024-06-04T04:03:00"/>
    <n v="170"/>
    <n v="181"/>
    <n v="1"/>
    <x v="2"/>
    <x v="2"/>
    <n v="330.56"/>
    <n v="11"/>
    <n v="0.93922651933701662"/>
    <s v="Inefficient"/>
    <s v="Very Long"/>
    <s v="Minor Delay"/>
  </r>
  <r>
    <x v="583"/>
    <x v="0"/>
    <x v="583"/>
    <x v="1"/>
    <x v="1"/>
    <x v="1"/>
    <s v="EMP_5"/>
    <d v="2024-10-02T20:45:00"/>
    <d v="2024-10-03T00:22:00"/>
    <n v="161"/>
    <n v="217"/>
    <n v="1"/>
    <x v="1"/>
    <x v="1"/>
    <n v="171.15"/>
    <n v="56"/>
    <n v="0.74193548387096775"/>
    <s v="Inefficient"/>
    <s v="Very Long"/>
    <s v="Major Delay"/>
  </r>
  <r>
    <x v="584"/>
    <x v="4"/>
    <x v="584"/>
    <x v="3"/>
    <x v="1"/>
    <x v="1"/>
    <s v="EMP_111"/>
    <d v="2024-05-04T15:47:00"/>
    <d v="2024-05-04T19:51:00"/>
    <n v="220"/>
    <n v="244"/>
    <n v="1"/>
    <x v="1"/>
    <x v="7"/>
    <n v="355.13"/>
    <n v="24"/>
    <n v="0.90163934426229508"/>
    <s v="Inefficient"/>
    <s v="Very Long"/>
    <s v="Minor Delay"/>
  </r>
  <r>
    <x v="585"/>
    <x v="4"/>
    <x v="585"/>
    <x v="2"/>
    <x v="1"/>
    <x v="4"/>
    <s v="EMP_72"/>
    <d v="2024-05-16T18:13:00"/>
    <d v="2024-05-16T19:33:00"/>
    <n v="17"/>
    <n v="80"/>
    <n v="1"/>
    <x v="2"/>
    <x v="9"/>
    <n v="362.08"/>
    <n v="63"/>
    <n v="0.21249999999999999"/>
    <s v="Inefficient"/>
    <s v="Long"/>
    <s v="Major Delay"/>
  </r>
  <r>
    <x v="586"/>
    <x v="0"/>
    <x v="586"/>
    <x v="2"/>
    <x v="0"/>
    <x v="2"/>
    <s v="EMP_28"/>
    <d v="2024-07-15T17:55:00"/>
    <d v="2024-07-15T22:23:00"/>
    <n v="156"/>
    <n v="268"/>
    <n v="1"/>
    <x v="2"/>
    <x v="7"/>
    <n v="82.4"/>
    <n v="112"/>
    <n v="0.58208955223880599"/>
    <s v="Inefficient"/>
    <s v="Very Long"/>
    <s v="Major Delay"/>
  </r>
  <r>
    <x v="587"/>
    <x v="0"/>
    <x v="587"/>
    <x v="0"/>
    <x v="0"/>
    <x v="2"/>
    <s v="EMP_47"/>
    <d v="2024-02-22T19:24:00"/>
    <d v="2024-02-22T21:43:00"/>
    <n v="34"/>
    <n v="139"/>
    <n v="1"/>
    <x v="2"/>
    <x v="3"/>
    <n v="266.87"/>
    <n v="105"/>
    <n v="0.2446043165467626"/>
    <s v="Inefficient"/>
    <s v="Very Long"/>
    <s v="Major Delay"/>
  </r>
  <r>
    <x v="588"/>
    <x v="0"/>
    <x v="588"/>
    <x v="3"/>
    <x v="1"/>
    <x v="0"/>
    <s v="EMP_33"/>
    <d v="2024-11-25T15:26:00"/>
    <d v="2024-11-25T17:42:00"/>
    <n v="135"/>
    <n v="136"/>
    <n v="1"/>
    <x v="1"/>
    <x v="2"/>
    <n v="231.55"/>
    <n v="1"/>
    <n v="0.99264705882352944"/>
    <s v="Inefficient"/>
    <s v="Very Long"/>
    <s v="Minor Delay"/>
  </r>
  <r>
    <x v="589"/>
    <x v="4"/>
    <x v="589"/>
    <x v="1"/>
    <x v="3"/>
    <x v="1"/>
    <s v="EMP_25"/>
    <d v="2024-07-31T05:39:00"/>
    <d v="2024-07-31T07:34:00"/>
    <n v="70"/>
    <n v="115"/>
    <n v="1"/>
    <x v="2"/>
    <x v="3"/>
    <n v="290.88"/>
    <n v="45"/>
    <n v="0.60869565217391308"/>
    <s v="Inefficient"/>
    <s v="Long"/>
    <s v="Major Delay"/>
  </r>
  <r>
    <x v="590"/>
    <x v="1"/>
    <x v="590"/>
    <x v="1"/>
    <x v="2"/>
    <x v="1"/>
    <s v="EMP_128"/>
    <d v="2024-10-28T01:42:00"/>
    <d v="2024-10-28T06:55:00"/>
    <n v="208"/>
    <n v="313"/>
    <n v="1"/>
    <x v="1"/>
    <x v="6"/>
    <n v="497.59"/>
    <n v="105"/>
    <n v="0.66453674121405748"/>
    <s v="Inefficient"/>
    <s v="Very Long"/>
    <s v="Major Delay"/>
  </r>
  <r>
    <x v="591"/>
    <x v="1"/>
    <x v="591"/>
    <x v="3"/>
    <x v="0"/>
    <x v="2"/>
    <s v="EMP_132"/>
    <d v="2024-09-13T20:32:00"/>
    <d v="2024-09-13T23:05:00"/>
    <n v="117"/>
    <n v="153"/>
    <n v="1"/>
    <x v="1"/>
    <x v="4"/>
    <n v="375.13"/>
    <n v="36"/>
    <n v="0.76470588235294112"/>
    <s v="Inefficient"/>
    <s v="Very Long"/>
    <s v="Major Delay"/>
  </r>
  <r>
    <x v="592"/>
    <x v="1"/>
    <x v="592"/>
    <x v="4"/>
    <x v="0"/>
    <x v="4"/>
    <s v="EMP_25"/>
    <d v="2024-02-01T04:03:00"/>
    <d v="2024-02-01T07:45:00"/>
    <n v="117"/>
    <n v="222"/>
    <n v="1"/>
    <x v="1"/>
    <x v="9"/>
    <n v="290.39"/>
    <n v="105"/>
    <n v="0.52702702702702697"/>
    <s v="Inefficient"/>
    <s v="Very Long"/>
    <s v="Major Delay"/>
  </r>
  <r>
    <x v="593"/>
    <x v="0"/>
    <x v="593"/>
    <x v="1"/>
    <x v="0"/>
    <x v="2"/>
    <s v="EMP_8"/>
    <d v="2024-02-19T21:31:00"/>
    <d v="2024-02-20T01:13:00"/>
    <n v="212"/>
    <n v="222"/>
    <n v="1"/>
    <x v="1"/>
    <x v="2"/>
    <n v="461.85"/>
    <n v="10"/>
    <n v="0.95495495495495497"/>
    <s v="Inefficient"/>
    <s v="Very Long"/>
    <s v="Minor Delay"/>
  </r>
  <r>
    <x v="594"/>
    <x v="0"/>
    <x v="594"/>
    <x v="0"/>
    <x v="0"/>
    <x v="4"/>
    <s v="EMP_66"/>
    <d v="2024-06-28T11:38:00"/>
    <d v="2024-06-28T13:44:00"/>
    <n v="59"/>
    <n v="126"/>
    <n v="1"/>
    <x v="0"/>
    <x v="4"/>
    <n v="216.76"/>
    <n v="67"/>
    <n v="0.46825396825396826"/>
    <s v="Inefficient"/>
    <s v="Very Long"/>
    <s v="Major Delay"/>
  </r>
  <r>
    <x v="595"/>
    <x v="2"/>
    <x v="595"/>
    <x v="4"/>
    <x v="0"/>
    <x v="0"/>
    <s v="EMP_8"/>
    <d v="2024-01-29T13:46:00"/>
    <d v="2024-01-29T14:17:00"/>
    <n v="21"/>
    <n v="31"/>
    <n v="1"/>
    <x v="1"/>
    <x v="1"/>
    <n v="253.72"/>
    <n v="10"/>
    <n v="0.67741935483870963"/>
    <s v="Inefficient"/>
    <s v="Medium"/>
    <s v="Minor Delay"/>
  </r>
  <r>
    <x v="596"/>
    <x v="4"/>
    <x v="596"/>
    <x v="1"/>
    <x v="0"/>
    <x v="3"/>
    <s v="EMP_33"/>
    <d v="2024-03-17T16:21:00"/>
    <d v="2024-03-17T19:34:00"/>
    <n v="132"/>
    <n v="193"/>
    <n v="1"/>
    <x v="0"/>
    <x v="1"/>
    <n v="301.41000000000003"/>
    <n v="61"/>
    <n v="0.68393782383419688"/>
    <s v="Inefficient"/>
    <s v="Very Long"/>
    <s v="Major Delay"/>
  </r>
  <r>
    <x v="597"/>
    <x v="1"/>
    <x v="597"/>
    <x v="0"/>
    <x v="1"/>
    <x v="0"/>
    <s v="EMP_18"/>
    <d v="2024-11-21T02:13:00"/>
    <d v="2024-11-21T07:19:00"/>
    <n v="239"/>
    <n v="306"/>
    <n v="1"/>
    <x v="0"/>
    <x v="5"/>
    <n v="54.07"/>
    <n v="67"/>
    <n v="0.78104575163398693"/>
    <s v="Inefficient"/>
    <s v="Very Long"/>
    <s v="Major Delay"/>
  </r>
  <r>
    <x v="598"/>
    <x v="1"/>
    <x v="598"/>
    <x v="4"/>
    <x v="2"/>
    <x v="2"/>
    <s v="EMP_115"/>
    <d v="2024-06-28T00:29:00"/>
    <d v="2024-06-28T01:02:00"/>
    <n v="13"/>
    <n v="33"/>
    <n v="1"/>
    <x v="2"/>
    <x v="8"/>
    <n v="499.71"/>
    <n v="20"/>
    <n v="0.39393939393939392"/>
    <s v="Inefficient"/>
    <s v="Medium"/>
    <s v="Minor Delay"/>
  </r>
  <r>
    <x v="599"/>
    <x v="4"/>
    <x v="599"/>
    <x v="3"/>
    <x v="2"/>
    <x v="2"/>
    <s v="EMP_116"/>
    <d v="2024-11-13T04:35:00"/>
    <d v="2024-11-13T08:52:00"/>
    <n v="229"/>
    <n v="257"/>
    <n v="1"/>
    <x v="0"/>
    <x v="2"/>
    <n v="405.75"/>
    <n v="28"/>
    <n v="0.8910505836575876"/>
    <s v="Inefficient"/>
    <s v="Very Long"/>
    <s v="Minor Delay"/>
  </r>
  <r>
    <x v="600"/>
    <x v="1"/>
    <x v="600"/>
    <x v="1"/>
    <x v="0"/>
    <x v="0"/>
    <s v="EMP_36"/>
    <d v="2024-07-15T14:34:00"/>
    <d v="2024-07-15T18:35:00"/>
    <n v="136"/>
    <n v="241"/>
    <n v="1"/>
    <x v="2"/>
    <x v="0"/>
    <n v="296.29000000000002"/>
    <n v="105"/>
    <n v="0.56431535269709543"/>
    <s v="Inefficient"/>
    <s v="Very Long"/>
    <s v="Major Delay"/>
  </r>
  <r>
    <x v="601"/>
    <x v="2"/>
    <x v="601"/>
    <x v="1"/>
    <x v="2"/>
    <x v="4"/>
    <s v="EMP_56"/>
    <d v="2024-06-25T21:03:00"/>
    <d v="2024-06-25T21:35:00"/>
    <n v="29"/>
    <n v="32"/>
    <n v="1"/>
    <x v="1"/>
    <x v="0"/>
    <n v="75.239999999999995"/>
    <n v="3"/>
    <n v="0.90625"/>
    <s v="Inefficient"/>
    <s v="Medium"/>
    <s v="Minor Delay"/>
  </r>
  <r>
    <x v="602"/>
    <x v="4"/>
    <x v="602"/>
    <x v="4"/>
    <x v="3"/>
    <x v="2"/>
    <s v="EMP_83"/>
    <d v="2024-08-03T23:03:00"/>
    <d v="2024-08-04T01:16:00"/>
    <n v="100"/>
    <n v="133"/>
    <n v="1"/>
    <x v="1"/>
    <x v="6"/>
    <n v="257.22000000000003"/>
    <n v="33"/>
    <n v="0.75187969924812026"/>
    <s v="Inefficient"/>
    <s v="Very Long"/>
    <s v="Major Delay"/>
  </r>
  <r>
    <x v="603"/>
    <x v="4"/>
    <x v="603"/>
    <x v="4"/>
    <x v="1"/>
    <x v="0"/>
    <s v="EMP_28"/>
    <d v="2024-06-24T17:19:00"/>
    <d v="2024-06-24T20:33:00"/>
    <n v="89"/>
    <n v="194"/>
    <n v="1"/>
    <x v="0"/>
    <x v="2"/>
    <n v="224.65"/>
    <n v="105"/>
    <n v="0.45876288659793812"/>
    <s v="Inefficient"/>
    <s v="Very Long"/>
    <s v="Major Delay"/>
  </r>
  <r>
    <x v="604"/>
    <x v="0"/>
    <x v="604"/>
    <x v="2"/>
    <x v="2"/>
    <x v="4"/>
    <s v="EMP_68"/>
    <d v="2024-05-15T10:42:00"/>
    <d v="2024-05-15T15:05:00"/>
    <n v="180"/>
    <n v="263"/>
    <n v="1"/>
    <x v="0"/>
    <x v="8"/>
    <n v="373.11"/>
    <n v="83"/>
    <n v="0.68441064638783267"/>
    <s v="Inefficient"/>
    <s v="Very Long"/>
    <s v="Major Delay"/>
  </r>
  <r>
    <x v="605"/>
    <x v="1"/>
    <x v="605"/>
    <x v="0"/>
    <x v="1"/>
    <x v="1"/>
    <s v="EMP_90"/>
    <d v="2024-10-01T14:53:00"/>
    <d v="2024-10-01T17:11:00"/>
    <n v="59"/>
    <n v="138"/>
    <n v="1"/>
    <x v="1"/>
    <x v="5"/>
    <n v="285.63"/>
    <n v="79"/>
    <n v="0.42753623188405798"/>
    <s v="Inefficient"/>
    <s v="Very Long"/>
    <s v="Major Delay"/>
  </r>
  <r>
    <x v="606"/>
    <x v="1"/>
    <x v="606"/>
    <x v="3"/>
    <x v="3"/>
    <x v="2"/>
    <s v="EMP_114"/>
    <d v="2024-11-03T23:17:00"/>
    <d v="2024-11-04T01:26:00"/>
    <n v="34"/>
    <n v="129"/>
    <n v="1"/>
    <x v="1"/>
    <x v="4"/>
    <n v="481.7"/>
    <n v="95"/>
    <n v="0.26356589147286824"/>
    <s v="Inefficient"/>
    <s v="Very Long"/>
    <s v="Major Delay"/>
  </r>
  <r>
    <x v="607"/>
    <x v="2"/>
    <x v="607"/>
    <x v="4"/>
    <x v="0"/>
    <x v="2"/>
    <s v="EMP_122"/>
    <d v="2024-03-22T11:27:00"/>
    <d v="2024-03-22T13:56:00"/>
    <n v="74"/>
    <n v="149"/>
    <n v="1"/>
    <x v="0"/>
    <x v="8"/>
    <n v="345.59"/>
    <n v="75"/>
    <n v="0.49664429530201343"/>
    <s v="Inefficient"/>
    <s v="Very Long"/>
    <s v="Major Delay"/>
  </r>
  <r>
    <x v="608"/>
    <x v="3"/>
    <x v="608"/>
    <x v="3"/>
    <x v="3"/>
    <x v="4"/>
    <s v="EMP_29"/>
    <d v="2024-10-26T15:51:00"/>
    <d v="2024-10-26T18:21:00"/>
    <n v="34"/>
    <n v="150"/>
    <n v="1"/>
    <x v="1"/>
    <x v="3"/>
    <n v="149.74"/>
    <n v="116"/>
    <n v="0.22666666666666666"/>
    <s v="Inefficient"/>
    <s v="Very Long"/>
    <s v="Major Delay"/>
  </r>
  <r>
    <x v="609"/>
    <x v="0"/>
    <x v="609"/>
    <x v="2"/>
    <x v="3"/>
    <x v="1"/>
    <s v="EMP_29"/>
    <d v="2024-12-23T18:46:00"/>
    <d v="2024-12-23T21:48:00"/>
    <n v="130"/>
    <n v="182"/>
    <n v="1"/>
    <x v="0"/>
    <x v="1"/>
    <n v="234.96"/>
    <n v="52"/>
    <n v="0.7142857142857143"/>
    <s v="Inefficient"/>
    <s v="Very Long"/>
    <s v="Major Delay"/>
  </r>
  <r>
    <x v="610"/>
    <x v="3"/>
    <x v="610"/>
    <x v="4"/>
    <x v="0"/>
    <x v="1"/>
    <s v="EMP_94"/>
    <d v="2024-10-07T06:34:00"/>
    <d v="2024-10-07T07:55:00"/>
    <n v="54"/>
    <n v="81"/>
    <n v="1"/>
    <x v="0"/>
    <x v="3"/>
    <n v="256.47000000000003"/>
    <n v="27"/>
    <n v="0.66666666666666663"/>
    <s v="Inefficient"/>
    <s v="Long"/>
    <s v="Minor Delay"/>
  </r>
  <r>
    <x v="611"/>
    <x v="2"/>
    <x v="611"/>
    <x v="1"/>
    <x v="2"/>
    <x v="3"/>
    <s v="EMP_87"/>
    <d v="2024-08-22T19:38:00"/>
    <d v="2024-08-22T21:15:00"/>
    <n v="12"/>
    <n v="97"/>
    <n v="1"/>
    <x v="2"/>
    <x v="9"/>
    <n v="301.06"/>
    <n v="85"/>
    <n v="0.12371134020618557"/>
    <s v="Inefficient"/>
    <s v="Long"/>
    <s v="Major Delay"/>
  </r>
  <r>
    <x v="612"/>
    <x v="4"/>
    <x v="612"/>
    <x v="1"/>
    <x v="2"/>
    <x v="4"/>
    <s v="EMP_13"/>
    <d v="2024-03-08T22:48:00"/>
    <d v="2024-03-09T03:18:00"/>
    <n v="181"/>
    <n v="270"/>
    <n v="1"/>
    <x v="2"/>
    <x v="6"/>
    <n v="107.09"/>
    <n v="89"/>
    <n v="0.67037037037037039"/>
    <s v="Inefficient"/>
    <s v="Very Long"/>
    <s v="Major Delay"/>
  </r>
  <r>
    <x v="613"/>
    <x v="1"/>
    <x v="613"/>
    <x v="0"/>
    <x v="2"/>
    <x v="0"/>
    <s v="EMP_74"/>
    <d v="2024-09-25T17:51:00"/>
    <d v="2024-09-25T22:10:00"/>
    <n v="187"/>
    <n v="259"/>
    <n v="1"/>
    <x v="2"/>
    <x v="0"/>
    <n v="268.55"/>
    <n v="72"/>
    <n v="0.72200772200772201"/>
    <s v="Inefficient"/>
    <s v="Very Long"/>
    <s v="Major Delay"/>
  </r>
  <r>
    <x v="614"/>
    <x v="0"/>
    <x v="614"/>
    <x v="4"/>
    <x v="1"/>
    <x v="1"/>
    <s v="EMP_79"/>
    <d v="2024-07-03T16:50:00"/>
    <d v="2024-07-03T19:19:00"/>
    <n v="83"/>
    <n v="149"/>
    <n v="1"/>
    <x v="2"/>
    <x v="8"/>
    <n v="332.56"/>
    <n v="66"/>
    <n v="0.55704697986577179"/>
    <s v="Inefficient"/>
    <s v="Very Long"/>
    <s v="Major Delay"/>
  </r>
  <r>
    <x v="615"/>
    <x v="0"/>
    <x v="615"/>
    <x v="1"/>
    <x v="2"/>
    <x v="1"/>
    <s v="EMP_12"/>
    <d v="2024-03-20T06:27:00"/>
    <d v="2024-03-20T11:21:00"/>
    <n v="175"/>
    <n v="294"/>
    <n v="1"/>
    <x v="1"/>
    <x v="0"/>
    <n v="336"/>
    <n v="119"/>
    <n v="0.59523809523809523"/>
    <s v="Inefficient"/>
    <s v="Very Long"/>
    <s v="Major Delay"/>
  </r>
  <r>
    <x v="616"/>
    <x v="1"/>
    <x v="616"/>
    <x v="1"/>
    <x v="0"/>
    <x v="0"/>
    <s v="EMP_118"/>
    <d v="2024-09-12T00:24:00"/>
    <d v="2024-09-12T01:15:00"/>
    <n v="20"/>
    <n v="51"/>
    <n v="1"/>
    <x v="0"/>
    <x v="3"/>
    <n v="436.97"/>
    <n v="31"/>
    <n v="0.39215686274509803"/>
    <s v="Inefficient"/>
    <s v="Medium"/>
    <s v="Major Delay"/>
  </r>
  <r>
    <x v="617"/>
    <x v="4"/>
    <x v="617"/>
    <x v="2"/>
    <x v="0"/>
    <x v="2"/>
    <s v="EMP_117"/>
    <d v="2024-08-26T22:31:00"/>
    <d v="2024-08-27T01:32:00"/>
    <n v="179"/>
    <n v="181"/>
    <n v="1"/>
    <x v="2"/>
    <x v="8"/>
    <n v="361.75"/>
    <n v="2"/>
    <n v="0.98895027624309395"/>
    <s v="Inefficient"/>
    <s v="Very Long"/>
    <s v="Minor Delay"/>
  </r>
  <r>
    <x v="618"/>
    <x v="1"/>
    <x v="618"/>
    <x v="1"/>
    <x v="0"/>
    <x v="0"/>
    <s v="EMP_44"/>
    <d v="2024-01-12T12:57:00"/>
    <d v="2024-01-12T17:16:00"/>
    <n v="193"/>
    <n v="259"/>
    <n v="1"/>
    <x v="2"/>
    <x v="5"/>
    <n v="314.60000000000002"/>
    <n v="66"/>
    <n v="0.74517374517374513"/>
    <s v="Inefficient"/>
    <s v="Very Long"/>
    <s v="Major Delay"/>
  </r>
  <r>
    <x v="619"/>
    <x v="2"/>
    <x v="619"/>
    <x v="4"/>
    <x v="3"/>
    <x v="4"/>
    <s v="EMP_118"/>
    <d v="2024-12-30T23:07:00"/>
    <d v="2024-12-31T02:04:00"/>
    <n v="169"/>
    <n v="177"/>
    <n v="1"/>
    <x v="0"/>
    <x v="9"/>
    <n v="370.21"/>
    <n v="8"/>
    <n v="0.95480225988700562"/>
    <s v="Inefficient"/>
    <s v="Very Long"/>
    <s v="Minor Delay"/>
  </r>
  <r>
    <x v="620"/>
    <x v="4"/>
    <x v="620"/>
    <x v="1"/>
    <x v="2"/>
    <x v="2"/>
    <s v="EMP_48"/>
    <d v="2024-12-06T14:52:00"/>
    <d v="2024-12-06T17:08:00"/>
    <n v="54"/>
    <n v="136"/>
    <n v="1"/>
    <x v="2"/>
    <x v="1"/>
    <n v="404.9"/>
    <n v="82"/>
    <n v="0.39705882352941174"/>
    <s v="Inefficient"/>
    <s v="Very Long"/>
    <s v="Major Delay"/>
  </r>
  <r>
    <x v="621"/>
    <x v="0"/>
    <x v="621"/>
    <x v="0"/>
    <x v="3"/>
    <x v="2"/>
    <s v="EMP_39"/>
    <d v="2024-04-07T03:34:00"/>
    <d v="2024-04-07T07:42:00"/>
    <n v="230"/>
    <n v="248"/>
    <n v="1"/>
    <x v="1"/>
    <x v="5"/>
    <n v="406.59"/>
    <n v="18"/>
    <n v="0.92741935483870963"/>
    <s v="Inefficient"/>
    <s v="Very Long"/>
    <s v="Minor Delay"/>
  </r>
  <r>
    <x v="622"/>
    <x v="2"/>
    <x v="622"/>
    <x v="3"/>
    <x v="2"/>
    <x v="2"/>
    <s v="EMP_133"/>
    <d v="2024-01-18T17:36:00"/>
    <d v="2024-01-18T19:47:00"/>
    <n v="81"/>
    <n v="131"/>
    <n v="1"/>
    <x v="0"/>
    <x v="4"/>
    <n v="161.94"/>
    <n v="50"/>
    <n v="0.61832061068702293"/>
    <s v="Inefficient"/>
    <s v="Very Long"/>
    <s v="Major Delay"/>
  </r>
  <r>
    <x v="623"/>
    <x v="4"/>
    <x v="623"/>
    <x v="0"/>
    <x v="0"/>
    <x v="4"/>
    <s v="EMP_18"/>
    <d v="2024-11-15T00:25:00"/>
    <d v="2024-11-15T03:21:00"/>
    <n v="139"/>
    <n v="176"/>
    <n v="1"/>
    <x v="1"/>
    <x v="1"/>
    <n v="498.56"/>
    <n v="37"/>
    <n v="0.78977272727272729"/>
    <s v="Inefficient"/>
    <s v="Very Long"/>
    <s v="Major Delay"/>
  </r>
  <r>
    <x v="624"/>
    <x v="0"/>
    <x v="624"/>
    <x v="0"/>
    <x v="2"/>
    <x v="1"/>
    <s v="EMP_118"/>
    <d v="2024-06-27T05:57:00"/>
    <d v="2024-06-27T08:31:00"/>
    <n v="132"/>
    <n v="154"/>
    <n v="1"/>
    <x v="1"/>
    <x v="4"/>
    <n v="482.59"/>
    <n v="22"/>
    <n v="0.8571428571428571"/>
    <s v="Inefficient"/>
    <s v="Very Long"/>
    <s v="Minor Delay"/>
  </r>
  <r>
    <x v="625"/>
    <x v="1"/>
    <x v="625"/>
    <x v="1"/>
    <x v="0"/>
    <x v="0"/>
    <s v="EMP_4"/>
    <d v="2024-05-01T21:15:00"/>
    <d v="2024-05-02T01:22:00"/>
    <n v="183"/>
    <n v="247"/>
    <n v="1"/>
    <x v="1"/>
    <x v="4"/>
    <n v="94.13"/>
    <n v="64"/>
    <n v="0.74089068825910931"/>
    <s v="Inefficient"/>
    <s v="Very Long"/>
    <s v="Major Delay"/>
  </r>
  <r>
    <x v="626"/>
    <x v="0"/>
    <x v="626"/>
    <x v="4"/>
    <x v="3"/>
    <x v="0"/>
    <s v="EMP_46"/>
    <d v="2024-04-29T15:07:00"/>
    <d v="2024-04-29T19:43:00"/>
    <n v="157"/>
    <n v="276"/>
    <n v="1"/>
    <x v="0"/>
    <x v="9"/>
    <n v="73.06"/>
    <n v="119"/>
    <n v="0.5688405797101449"/>
    <s v="Inefficient"/>
    <s v="Very Long"/>
    <s v="Major Delay"/>
  </r>
  <r>
    <x v="627"/>
    <x v="2"/>
    <x v="627"/>
    <x v="4"/>
    <x v="3"/>
    <x v="2"/>
    <s v="EMP_144"/>
    <d v="2024-10-22T13:41:00"/>
    <d v="2024-10-22T16:13:00"/>
    <n v="119"/>
    <n v="152"/>
    <n v="1"/>
    <x v="1"/>
    <x v="8"/>
    <n v="103.72"/>
    <n v="33"/>
    <n v="0.78289473684210531"/>
    <s v="Inefficient"/>
    <s v="Very Long"/>
    <s v="Major Delay"/>
  </r>
  <r>
    <x v="628"/>
    <x v="4"/>
    <x v="628"/>
    <x v="4"/>
    <x v="0"/>
    <x v="3"/>
    <s v="EMP_64"/>
    <d v="2024-01-16T14:22:00"/>
    <d v="2024-01-16T18:10:00"/>
    <n v="114"/>
    <n v="228"/>
    <n v="1"/>
    <x v="1"/>
    <x v="5"/>
    <n v="437.11"/>
    <n v="114"/>
    <n v="0.5"/>
    <s v="Inefficient"/>
    <s v="Very Long"/>
    <s v="Major Delay"/>
  </r>
  <r>
    <x v="629"/>
    <x v="3"/>
    <x v="629"/>
    <x v="0"/>
    <x v="3"/>
    <x v="2"/>
    <s v="EMP_1"/>
    <d v="2024-01-16T13:31:00"/>
    <d v="2024-01-16T17:07:00"/>
    <n v="140"/>
    <n v="216"/>
    <n v="1"/>
    <x v="1"/>
    <x v="6"/>
    <n v="418.17"/>
    <n v="76"/>
    <n v="0.64814814814814814"/>
    <s v="Inefficient"/>
    <s v="Very Long"/>
    <s v="Major Delay"/>
  </r>
  <r>
    <x v="630"/>
    <x v="4"/>
    <x v="630"/>
    <x v="3"/>
    <x v="2"/>
    <x v="1"/>
    <s v="EMP_24"/>
    <d v="2024-07-27T11:35:00"/>
    <d v="2024-07-27T13:18:00"/>
    <n v="101"/>
    <n v="103"/>
    <n v="1"/>
    <x v="1"/>
    <x v="4"/>
    <n v="278.19"/>
    <n v="2"/>
    <n v="0.98058252427184467"/>
    <s v="Inefficient"/>
    <s v="Long"/>
    <s v="Minor Delay"/>
  </r>
  <r>
    <x v="631"/>
    <x v="4"/>
    <x v="631"/>
    <x v="0"/>
    <x v="2"/>
    <x v="2"/>
    <s v="EMP_102"/>
    <d v="2024-03-24T14:47:00"/>
    <d v="2024-03-24T15:39:00"/>
    <n v="54"/>
    <n v="52"/>
    <n v="0"/>
    <x v="2"/>
    <x v="2"/>
    <n v="262.43"/>
    <n v="-2"/>
    <n v="1.0384615384615385"/>
    <s v="Efficient"/>
    <s v="Medium"/>
    <s v="On Time"/>
  </r>
  <r>
    <x v="632"/>
    <x v="4"/>
    <x v="632"/>
    <x v="2"/>
    <x v="2"/>
    <x v="3"/>
    <s v="EMP_144"/>
    <d v="2024-01-03T04:28:00"/>
    <d v="2024-01-03T05:25:00"/>
    <n v="31"/>
    <n v="57"/>
    <n v="1"/>
    <x v="1"/>
    <x v="1"/>
    <n v="448.71"/>
    <n v="26"/>
    <n v="0.54385964912280704"/>
    <s v="Inefficient"/>
    <s v="Medium"/>
    <s v="Minor Delay"/>
  </r>
  <r>
    <x v="633"/>
    <x v="3"/>
    <x v="633"/>
    <x v="3"/>
    <x v="0"/>
    <x v="4"/>
    <s v="EMP_38"/>
    <d v="2024-06-17T18:12:00"/>
    <d v="2024-06-17T19:11:00"/>
    <n v="24"/>
    <n v="59"/>
    <n v="1"/>
    <x v="2"/>
    <x v="1"/>
    <n v="442.2"/>
    <n v="35"/>
    <n v="0.40677966101694918"/>
    <s v="Inefficient"/>
    <s v="Medium"/>
    <s v="Major Delay"/>
  </r>
  <r>
    <x v="634"/>
    <x v="3"/>
    <x v="634"/>
    <x v="2"/>
    <x v="1"/>
    <x v="3"/>
    <s v="EMP_98"/>
    <d v="2024-01-31T04:49:00"/>
    <d v="2024-01-31T06:40:00"/>
    <n v="44"/>
    <n v="111"/>
    <n v="1"/>
    <x v="1"/>
    <x v="5"/>
    <n v="387.95"/>
    <n v="67"/>
    <n v="0.3963963963963964"/>
    <s v="Inefficient"/>
    <s v="Long"/>
    <s v="Major Delay"/>
  </r>
  <r>
    <x v="635"/>
    <x v="0"/>
    <x v="635"/>
    <x v="3"/>
    <x v="3"/>
    <x v="0"/>
    <s v="EMP_96"/>
    <d v="2024-12-18T03:59:00"/>
    <d v="2024-12-18T05:42:00"/>
    <n v="41"/>
    <n v="103"/>
    <n v="1"/>
    <x v="0"/>
    <x v="1"/>
    <n v="494.65"/>
    <n v="62"/>
    <n v="0.39805825242718446"/>
    <s v="Inefficient"/>
    <s v="Long"/>
    <s v="Major Delay"/>
  </r>
  <r>
    <x v="636"/>
    <x v="0"/>
    <x v="636"/>
    <x v="3"/>
    <x v="3"/>
    <x v="0"/>
    <s v="EMP_56"/>
    <d v="2024-04-09T00:05:00"/>
    <d v="2024-04-09T02:16:00"/>
    <n v="99"/>
    <n v="131"/>
    <n v="1"/>
    <x v="2"/>
    <x v="6"/>
    <n v="336.02"/>
    <n v="32"/>
    <n v="0.75572519083969469"/>
    <s v="Inefficient"/>
    <s v="Very Long"/>
    <s v="Major Delay"/>
  </r>
  <r>
    <x v="637"/>
    <x v="1"/>
    <x v="637"/>
    <x v="3"/>
    <x v="1"/>
    <x v="1"/>
    <s v="EMP_123"/>
    <d v="2024-03-25T17:38:00"/>
    <d v="2024-03-25T19:45:00"/>
    <n v="97"/>
    <n v="127"/>
    <n v="1"/>
    <x v="0"/>
    <x v="1"/>
    <n v="423.88"/>
    <n v="30"/>
    <n v="0.76377952755905509"/>
    <s v="Inefficient"/>
    <s v="Very Long"/>
    <s v="Minor Delay"/>
  </r>
  <r>
    <x v="638"/>
    <x v="3"/>
    <x v="638"/>
    <x v="3"/>
    <x v="1"/>
    <x v="3"/>
    <s v="EMP_9"/>
    <d v="2024-06-09T16:50:00"/>
    <d v="2024-06-09T20:34:00"/>
    <n v="124"/>
    <n v="224"/>
    <n v="1"/>
    <x v="0"/>
    <x v="6"/>
    <n v="187.86"/>
    <n v="100"/>
    <n v="0.5535714285714286"/>
    <s v="Inefficient"/>
    <s v="Very Long"/>
    <s v="Major Delay"/>
  </r>
  <r>
    <x v="639"/>
    <x v="3"/>
    <x v="639"/>
    <x v="4"/>
    <x v="0"/>
    <x v="0"/>
    <s v="EMP_123"/>
    <d v="2024-03-06T07:29:00"/>
    <d v="2024-03-06T11:42:00"/>
    <n v="191"/>
    <n v="253"/>
    <n v="1"/>
    <x v="0"/>
    <x v="9"/>
    <n v="215.96"/>
    <n v="62"/>
    <n v="0.75494071146245056"/>
    <s v="Inefficient"/>
    <s v="Very Long"/>
    <s v="Major Delay"/>
  </r>
  <r>
    <x v="640"/>
    <x v="2"/>
    <x v="640"/>
    <x v="1"/>
    <x v="3"/>
    <x v="2"/>
    <s v="EMP_109"/>
    <d v="2024-01-01T11:59:00"/>
    <d v="2024-01-01T15:23:00"/>
    <n v="160"/>
    <n v="204"/>
    <n v="1"/>
    <x v="0"/>
    <x v="4"/>
    <n v="467.96"/>
    <n v="44"/>
    <n v="0.78431372549019607"/>
    <s v="Inefficient"/>
    <s v="Very Long"/>
    <s v="Major Delay"/>
  </r>
  <r>
    <x v="641"/>
    <x v="4"/>
    <x v="641"/>
    <x v="3"/>
    <x v="0"/>
    <x v="3"/>
    <s v="EMP_28"/>
    <d v="2024-04-04T10:34:00"/>
    <d v="2024-04-04T15:47:00"/>
    <n v="228"/>
    <n v="313"/>
    <n v="1"/>
    <x v="2"/>
    <x v="5"/>
    <n v="238.15"/>
    <n v="85"/>
    <n v="0.72843450479233229"/>
    <s v="Inefficient"/>
    <s v="Very Long"/>
    <s v="Major Delay"/>
  </r>
  <r>
    <x v="642"/>
    <x v="2"/>
    <x v="642"/>
    <x v="0"/>
    <x v="2"/>
    <x v="0"/>
    <s v="EMP_80"/>
    <d v="2024-04-09T18:37:00"/>
    <d v="2024-04-09T21:24:00"/>
    <n v="86"/>
    <n v="167"/>
    <n v="1"/>
    <x v="2"/>
    <x v="3"/>
    <n v="413.53"/>
    <n v="81"/>
    <n v="0.51497005988023947"/>
    <s v="Inefficient"/>
    <s v="Very Long"/>
    <s v="Major Delay"/>
  </r>
  <r>
    <x v="643"/>
    <x v="3"/>
    <x v="643"/>
    <x v="2"/>
    <x v="2"/>
    <x v="2"/>
    <s v="EMP_87"/>
    <d v="2024-07-12T21:46:00"/>
    <d v="2024-07-12T23:41:00"/>
    <n v="85"/>
    <n v="115"/>
    <n v="1"/>
    <x v="2"/>
    <x v="2"/>
    <n v="121.36"/>
    <n v="30"/>
    <n v="0.73913043478260865"/>
    <s v="Inefficient"/>
    <s v="Long"/>
    <s v="Minor Delay"/>
  </r>
  <r>
    <x v="644"/>
    <x v="1"/>
    <x v="644"/>
    <x v="1"/>
    <x v="3"/>
    <x v="2"/>
    <s v="EMP_96"/>
    <d v="2024-12-29T02:45:00"/>
    <d v="2024-12-29T03:54:00"/>
    <n v="63"/>
    <n v="69"/>
    <n v="1"/>
    <x v="1"/>
    <x v="4"/>
    <n v="79.069999999999993"/>
    <n v="6"/>
    <n v="0.91304347826086951"/>
    <s v="Inefficient"/>
    <s v="Long"/>
    <s v="Minor Delay"/>
  </r>
  <r>
    <x v="645"/>
    <x v="3"/>
    <x v="645"/>
    <x v="2"/>
    <x v="1"/>
    <x v="0"/>
    <s v="EMP_101"/>
    <d v="2024-12-27T21:51:00"/>
    <d v="2024-12-27T22:55:00"/>
    <n v="43"/>
    <n v="64"/>
    <n v="1"/>
    <x v="0"/>
    <x v="7"/>
    <n v="407.64"/>
    <n v="21"/>
    <n v="0.671875"/>
    <s v="Inefficient"/>
    <s v="Long"/>
    <s v="Minor Delay"/>
  </r>
  <r>
    <x v="646"/>
    <x v="4"/>
    <x v="646"/>
    <x v="4"/>
    <x v="0"/>
    <x v="2"/>
    <s v="EMP_137"/>
    <d v="2024-03-18T21:20:00"/>
    <d v="2024-03-18T23:59:00"/>
    <n v="85"/>
    <n v="159"/>
    <n v="1"/>
    <x v="0"/>
    <x v="5"/>
    <n v="119.19"/>
    <n v="74"/>
    <n v="0.53459119496855345"/>
    <s v="Inefficient"/>
    <s v="Very Long"/>
    <s v="Major Delay"/>
  </r>
  <r>
    <x v="647"/>
    <x v="1"/>
    <x v="647"/>
    <x v="0"/>
    <x v="3"/>
    <x v="3"/>
    <s v="EMP_28"/>
    <d v="2024-05-03T08:57:00"/>
    <d v="2024-05-03T13:28:00"/>
    <n v="226"/>
    <n v="271"/>
    <n v="1"/>
    <x v="0"/>
    <x v="1"/>
    <n v="371.95"/>
    <n v="45"/>
    <n v="0.83394833948339486"/>
    <s v="Inefficient"/>
    <s v="Very Long"/>
    <s v="Major Delay"/>
  </r>
  <r>
    <x v="648"/>
    <x v="4"/>
    <x v="648"/>
    <x v="1"/>
    <x v="1"/>
    <x v="3"/>
    <s v="EMP_112"/>
    <d v="2024-05-06T03:40:00"/>
    <d v="2024-05-06T07:11:00"/>
    <n v="167"/>
    <n v="211"/>
    <n v="1"/>
    <x v="1"/>
    <x v="9"/>
    <n v="188.94"/>
    <n v="44"/>
    <n v="0.79146919431279616"/>
    <s v="Inefficient"/>
    <s v="Very Long"/>
    <s v="Major Delay"/>
  </r>
  <r>
    <x v="649"/>
    <x v="1"/>
    <x v="649"/>
    <x v="1"/>
    <x v="0"/>
    <x v="3"/>
    <s v="EMP_3"/>
    <d v="2024-03-14T16:53:00"/>
    <d v="2024-03-14T20:20:00"/>
    <n v="153"/>
    <n v="207"/>
    <n v="1"/>
    <x v="1"/>
    <x v="4"/>
    <n v="300.58999999999997"/>
    <n v="54"/>
    <n v="0.73913043478260865"/>
    <s v="Inefficient"/>
    <s v="Very Long"/>
    <s v="Major Delay"/>
  </r>
  <r>
    <x v="650"/>
    <x v="1"/>
    <x v="650"/>
    <x v="0"/>
    <x v="1"/>
    <x v="1"/>
    <s v="EMP_149"/>
    <d v="2024-03-18T06:40:00"/>
    <d v="2024-03-18T11:22:00"/>
    <n v="225"/>
    <n v="282"/>
    <n v="1"/>
    <x v="0"/>
    <x v="3"/>
    <n v="233.45"/>
    <n v="57"/>
    <n v="0.7978723404255319"/>
    <s v="Inefficient"/>
    <s v="Very Long"/>
    <s v="Major Delay"/>
  </r>
  <r>
    <x v="651"/>
    <x v="2"/>
    <x v="651"/>
    <x v="1"/>
    <x v="0"/>
    <x v="1"/>
    <s v="EMP_4"/>
    <d v="2024-05-03T17:38:00"/>
    <d v="2024-05-03T19:57:00"/>
    <n v="31"/>
    <n v="139"/>
    <n v="1"/>
    <x v="0"/>
    <x v="4"/>
    <n v="210.83"/>
    <n v="108"/>
    <n v="0.22302158273381295"/>
    <s v="Inefficient"/>
    <s v="Very Long"/>
    <s v="Major Delay"/>
  </r>
  <r>
    <x v="652"/>
    <x v="3"/>
    <x v="652"/>
    <x v="0"/>
    <x v="0"/>
    <x v="4"/>
    <s v="EMP_41"/>
    <d v="2024-03-20T12:58:00"/>
    <d v="2024-03-20T16:27:00"/>
    <n v="100"/>
    <n v="209"/>
    <n v="1"/>
    <x v="1"/>
    <x v="8"/>
    <n v="337.12"/>
    <n v="109"/>
    <n v="0.4784688995215311"/>
    <s v="Inefficient"/>
    <s v="Very Long"/>
    <s v="Major Delay"/>
  </r>
  <r>
    <x v="653"/>
    <x v="2"/>
    <x v="653"/>
    <x v="1"/>
    <x v="2"/>
    <x v="2"/>
    <s v="EMP_16"/>
    <d v="2024-10-14T16:45:00"/>
    <d v="2024-10-14T21:12:00"/>
    <n v="222"/>
    <n v="267"/>
    <n v="1"/>
    <x v="2"/>
    <x v="6"/>
    <n v="73.53"/>
    <n v="45"/>
    <n v="0.8314606741573034"/>
    <s v="Inefficient"/>
    <s v="Very Long"/>
    <s v="Major Delay"/>
  </r>
  <r>
    <x v="654"/>
    <x v="1"/>
    <x v="654"/>
    <x v="2"/>
    <x v="1"/>
    <x v="2"/>
    <s v="EMP_3"/>
    <d v="2024-02-23T22:32:00"/>
    <d v="2024-02-24T02:05:00"/>
    <n v="142"/>
    <n v="213"/>
    <n v="1"/>
    <x v="1"/>
    <x v="9"/>
    <n v="397.4"/>
    <n v="71"/>
    <n v="0.66666666666666663"/>
    <s v="Inefficient"/>
    <s v="Very Long"/>
    <s v="Major Delay"/>
  </r>
  <r>
    <x v="655"/>
    <x v="1"/>
    <x v="655"/>
    <x v="3"/>
    <x v="2"/>
    <x v="3"/>
    <s v="EMP_126"/>
    <d v="2024-02-12T12:36:00"/>
    <d v="2024-02-12T17:58:00"/>
    <n v="238"/>
    <n v="322"/>
    <n v="1"/>
    <x v="2"/>
    <x v="3"/>
    <n v="286.08"/>
    <n v="84"/>
    <n v="0.73913043478260865"/>
    <s v="Inefficient"/>
    <s v="Very Long"/>
    <s v="Major Delay"/>
  </r>
  <r>
    <x v="656"/>
    <x v="4"/>
    <x v="656"/>
    <x v="0"/>
    <x v="1"/>
    <x v="3"/>
    <s v="EMP_80"/>
    <d v="2024-02-22T09:22:00"/>
    <d v="2024-02-22T15:09:00"/>
    <n v="238"/>
    <n v="347"/>
    <n v="1"/>
    <x v="2"/>
    <x v="5"/>
    <n v="358.24"/>
    <n v="109"/>
    <n v="0.6858789625360231"/>
    <s v="Inefficient"/>
    <s v="Very Long"/>
    <s v="Major Delay"/>
  </r>
  <r>
    <x v="657"/>
    <x v="4"/>
    <x v="657"/>
    <x v="1"/>
    <x v="1"/>
    <x v="1"/>
    <s v="EMP_27"/>
    <d v="2024-09-01T20:46:00"/>
    <d v="2024-09-01T23:18:00"/>
    <n v="65"/>
    <n v="152"/>
    <n v="1"/>
    <x v="2"/>
    <x v="8"/>
    <n v="130.33000000000001"/>
    <n v="87"/>
    <n v="0.42763157894736842"/>
    <s v="Inefficient"/>
    <s v="Very Long"/>
    <s v="Major Delay"/>
  </r>
  <r>
    <x v="658"/>
    <x v="4"/>
    <x v="658"/>
    <x v="1"/>
    <x v="0"/>
    <x v="2"/>
    <s v="EMP_37"/>
    <d v="2024-09-12T03:39:00"/>
    <d v="2024-09-12T06:12:00"/>
    <n v="56"/>
    <n v="153"/>
    <n v="1"/>
    <x v="1"/>
    <x v="6"/>
    <n v="125.86"/>
    <n v="97"/>
    <n v="0.36601307189542481"/>
    <s v="Inefficient"/>
    <s v="Very Long"/>
    <s v="Major Delay"/>
  </r>
  <r>
    <x v="659"/>
    <x v="2"/>
    <x v="659"/>
    <x v="1"/>
    <x v="2"/>
    <x v="1"/>
    <s v="EMP_134"/>
    <d v="2024-07-17T23:26:00"/>
    <d v="2024-07-18T01:57:00"/>
    <n v="111"/>
    <n v="151"/>
    <n v="1"/>
    <x v="1"/>
    <x v="4"/>
    <n v="347.12"/>
    <n v="40"/>
    <n v="0.73509933774834435"/>
    <s v="Inefficient"/>
    <s v="Very Long"/>
    <s v="Major Delay"/>
  </r>
  <r>
    <x v="660"/>
    <x v="2"/>
    <x v="660"/>
    <x v="3"/>
    <x v="3"/>
    <x v="3"/>
    <s v="EMP_9"/>
    <d v="2024-07-23T14:46:00"/>
    <d v="2024-07-23T16:18:00"/>
    <n v="40"/>
    <n v="92"/>
    <n v="1"/>
    <x v="0"/>
    <x v="5"/>
    <n v="212.27"/>
    <n v="52"/>
    <n v="0.43478260869565216"/>
    <s v="Inefficient"/>
    <s v="Long"/>
    <s v="Major Delay"/>
  </r>
  <r>
    <x v="661"/>
    <x v="1"/>
    <x v="661"/>
    <x v="3"/>
    <x v="3"/>
    <x v="4"/>
    <s v="EMP_118"/>
    <d v="2024-08-06T11:48:00"/>
    <d v="2024-08-06T14:59:00"/>
    <n v="106"/>
    <n v="191"/>
    <n v="1"/>
    <x v="1"/>
    <x v="8"/>
    <n v="319.32"/>
    <n v="85"/>
    <n v="0.55497382198952883"/>
    <s v="Inefficient"/>
    <s v="Very Long"/>
    <s v="Major Delay"/>
  </r>
  <r>
    <x v="662"/>
    <x v="2"/>
    <x v="662"/>
    <x v="3"/>
    <x v="0"/>
    <x v="1"/>
    <s v="EMP_99"/>
    <d v="2024-03-31T14:21:00"/>
    <d v="2024-03-31T18:03:00"/>
    <n v="114"/>
    <n v="222"/>
    <n v="1"/>
    <x v="0"/>
    <x v="8"/>
    <n v="385.16"/>
    <n v="108"/>
    <n v="0.51351351351351349"/>
    <s v="Inefficient"/>
    <s v="Very Long"/>
    <s v="Major Delay"/>
  </r>
  <r>
    <x v="663"/>
    <x v="2"/>
    <x v="663"/>
    <x v="0"/>
    <x v="3"/>
    <x v="3"/>
    <s v="EMP_26"/>
    <d v="2024-05-19T14:27:00"/>
    <d v="2024-05-19T17:39:00"/>
    <n v="137"/>
    <n v="192"/>
    <n v="1"/>
    <x v="2"/>
    <x v="0"/>
    <n v="288.06"/>
    <n v="55"/>
    <n v="0.71354166666666663"/>
    <s v="Inefficient"/>
    <s v="Very Long"/>
    <s v="Major Delay"/>
  </r>
  <r>
    <x v="664"/>
    <x v="1"/>
    <x v="664"/>
    <x v="2"/>
    <x v="0"/>
    <x v="1"/>
    <s v="EMP_79"/>
    <d v="2024-03-02T01:46:00"/>
    <d v="2024-03-02T03:59:00"/>
    <n v="120"/>
    <n v="133"/>
    <n v="1"/>
    <x v="2"/>
    <x v="4"/>
    <n v="326.52"/>
    <n v="13"/>
    <n v="0.90225563909774431"/>
    <s v="Inefficient"/>
    <s v="Very Long"/>
    <s v="Minor Delay"/>
  </r>
  <r>
    <x v="665"/>
    <x v="3"/>
    <x v="665"/>
    <x v="4"/>
    <x v="2"/>
    <x v="1"/>
    <s v="EMP_36"/>
    <d v="2024-06-05T00:28:00"/>
    <d v="2024-06-05T01:40:00"/>
    <n v="75"/>
    <n v="72"/>
    <n v="0"/>
    <x v="0"/>
    <x v="6"/>
    <n v="491.62"/>
    <n v="-3"/>
    <n v="1.0416666666666667"/>
    <s v="Efficient"/>
    <s v="Long"/>
    <s v="On Time"/>
  </r>
  <r>
    <x v="666"/>
    <x v="1"/>
    <x v="666"/>
    <x v="4"/>
    <x v="2"/>
    <x v="4"/>
    <s v="EMP_90"/>
    <d v="2024-01-14T00:58:00"/>
    <d v="2024-01-14T03:17:00"/>
    <n v="116"/>
    <n v="139"/>
    <n v="1"/>
    <x v="1"/>
    <x v="7"/>
    <n v="280.77999999999997"/>
    <n v="23"/>
    <n v="0.83453237410071945"/>
    <s v="Inefficient"/>
    <s v="Very Long"/>
    <s v="Minor Delay"/>
  </r>
  <r>
    <x v="667"/>
    <x v="3"/>
    <x v="667"/>
    <x v="3"/>
    <x v="1"/>
    <x v="0"/>
    <s v="EMP_61"/>
    <d v="2024-12-02T08:28:00"/>
    <d v="2024-12-02T10:34:00"/>
    <n v="129"/>
    <n v="126"/>
    <n v="0"/>
    <x v="1"/>
    <x v="7"/>
    <n v="73.47"/>
    <n v="-3"/>
    <n v="1.0238095238095237"/>
    <s v="Efficient"/>
    <s v="Very Long"/>
    <s v="On Time"/>
  </r>
  <r>
    <x v="668"/>
    <x v="0"/>
    <x v="668"/>
    <x v="0"/>
    <x v="3"/>
    <x v="1"/>
    <s v="EMP_13"/>
    <d v="2024-04-02T05:58:00"/>
    <d v="2024-04-02T08:01:00"/>
    <n v="81"/>
    <n v="123"/>
    <n v="1"/>
    <x v="0"/>
    <x v="4"/>
    <n v="399.35"/>
    <n v="42"/>
    <n v="0.65853658536585369"/>
    <s v="Inefficient"/>
    <s v="Very Long"/>
    <s v="Major Delay"/>
  </r>
  <r>
    <x v="669"/>
    <x v="0"/>
    <x v="669"/>
    <x v="2"/>
    <x v="3"/>
    <x v="4"/>
    <s v="EMP_3"/>
    <d v="2024-07-28T03:52:00"/>
    <d v="2024-07-28T08:25:00"/>
    <n v="197"/>
    <n v="273"/>
    <n v="1"/>
    <x v="2"/>
    <x v="5"/>
    <n v="310.38"/>
    <n v="76"/>
    <n v="0.7216117216117216"/>
    <s v="Inefficient"/>
    <s v="Very Long"/>
    <s v="Major Delay"/>
  </r>
  <r>
    <x v="670"/>
    <x v="1"/>
    <x v="670"/>
    <x v="4"/>
    <x v="2"/>
    <x v="1"/>
    <s v="EMP_2"/>
    <d v="2024-11-08T14:51:00"/>
    <d v="2024-11-08T18:45:00"/>
    <n v="167"/>
    <n v="234"/>
    <n v="1"/>
    <x v="2"/>
    <x v="0"/>
    <n v="124.89"/>
    <n v="67"/>
    <n v="0.71367521367521369"/>
    <s v="Inefficient"/>
    <s v="Very Long"/>
    <s v="Major Delay"/>
  </r>
  <r>
    <x v="671"/>
    <x v="3"/>
    <x v="671"/>
    <x v="0"/>
    <x v="1"/>
    <x v="0"/>
    <s v="EMP_59"/>
    <d v="2024-12-27T13:00:00"/>
    <d v="2024-12-27T15:28:00"/>
    <n v="71"/>
    <n v="148"/>
    <n v="1"/>
    <x v="1"/>
    <x v="9"/>
    <n v="206.84"/>
    <n v="77"/>
    <n v="0.47972972972972971"/>
    <s v="Inefficient"/>
    <s v="Very Long"/>
    <s v="Major Delay"/>
  </r>
  <r>
    <x v="672"/>
    <x v="2"/>
    <x v="672"/>
    <x v="4"/>
    <x v="0"/>
    <x v="0"/>
    <s v="EMP_92"/>
    <d v="2024-10-20T02:00:00"/>
    <d v="2024-10-20T04:05:00"/>
    <n v="113"/>
    <n v="125"/>
    <n v="1"/>
    <x v="1"/>
    <x v="1"/>
    <n v="54.97"/>
    <n v="12"/>
    <n v="0.90400000000000003"/>
    <s v="Inefficient"/>
    <s v="Very Long"/>
    <s v="Minor Delay"/>
  </r>
  <r>
    <x v="673"/>
    <x v="0"/>
    <x v="673"/>
    <x v="1"/>
    <x v="2"/>
    <x v="4"/>
    <s v="EMP_80"/>
    <d v="2024-10-01T23:14:00"/>
    <d v="2024-10-02T02:42:00"/>
    <n v="88"/>
    <n v="208"/>
    <n v="1"/>
    <x v="0"/>
    <x v="6"/>
    <n v="124.16"/>
    <n v="120"/>
    <n v="0.42307692307692307"/>
    <s v="Inefficient"/>
    <s v="Very Long"/>
    <s v="Major Delay"/>
  </r>
  <r>
    <x v="674"/>
    <x v="3"/>
    <x v="674"/>
    <x v="1"/>
    <x v="0"/>
    <x v="0"/>
    <s v="EMP_11"/>
    <d v="2024-03-22T22:29:00"/>
    <d v="2024-03-23T02:03:00"/>
    <n v="170"/>
    <n v="214"/>
    <n v="1"/>
    <x v="2"/>
    <x v="4"/>
    <n v="356.49"/>
    <n v="44"/>
    <n v="0.79439252336448596"/>
    <s v="Inefficient"/>
    <s v="Very Long"/>
    <s v="Major Delay"/>
  </r>
  <r>
    <x v="675"/>
    <x v="3"/>
    <x v="675"/>
    <x v="0"/>
    <x v="3"/>
    <x v="3"/>
    <s v="EMP_74"/>
    <d v="2024-12-17T08:31:00"/>
    <d v="2024-12-17T13:20:00"/>
    <n v="207"/>
    <n v="289"/>
    <n v="1"/>
    <x v="2"/>
    <x v="3"/>
    <n v="143.81"/>
    <n v="82"/>
    <n v="0.7162629757785467"/>
    <s v="Inefficient"/>
    <s v="Very Long"/>
    <s v="Major Delay"/>
  </r>
  <r>
    <x v="676"/>
    <x v="2"/>
    <x v="676"/>
    <x v="2"/>
    <x v="2"/>
    <x v="2"/>
    <s v="EMP_72"/>
    <d v="2024-12-22T08:55:00"/>
    <d v="2024-12-22T11:22:00"/>
    <n v="40"/>
    <n v="147"/>
    <n v="1"/>
    <x v="0"/>
    <x v="9"/>
    <n v="211.54"/>
    <n v="107"/>
    <n v="0.27210884353741499"/>
    <s v="Inefficient"/>
    <s v="Very Long"/>
    <s v="Major Delay"/>
  </r>
  <r>
    <x v="677"/>
    <x v="1"/>
    <x v="677"/>
    <x v="0"/>
    <x v="2"/>
    <x v="4"/>
    <s v="EMP_135"/>
    <d v="2024-10-16T05:07:00"/>
    <d v="2024-10-16T06:02:00"/>
    <n v="17"/>
    <n v="55"/>
    <n v="1"/>
    <x v="2"/>
    <x v="3"/>
    <n v="423.82"/>
    <n v="38"/>
    <n v="0.30909090909090908"/>
    <s v="Inefficient"/>
    <s v="Medium"/>
    <s v="Major Delay"/>
  </r>
  <r>
    <x v="678"/>
    <x v="3"/>
    <x v="678"/>
    <x v="4"/>
    <x v="3"/>
    <x v="2"/>
    <s v="EMP_8"/>
    <d v="2024-03-09T02:11:00"/>
    <d v="2024-03-09T03:58:00"/>
    <n v="57"/>
    <n v="107"/>
    <n v="1"/>
    <x v="1"/>
    <x v="2"/>
    <n v="303.29000000000002"/>
    <n v="50"/>
    <n v="0.53271028037383172"/>
    <s v="Inefficient"/>
    <s v="Long"/>
    <s v="Major Delay"/>
  </r>
  <r>
    <x v="679"/>
    <x v="4"/>
    <x v="679"/>
    <x v="3"/>
    <x v="3"/>
    <x v="0"/>
    <s v="EMP_105"/>
    <d v="2024-09-09T07:27:00"/>
    <d v="2024-09-09T09:44:00"/>
    <n v="141"/>
    <n v="137"/>
    <n v="0"/>
    <x v="0"/>
    <x v="4"/>
    <n v="470.21"/>
    <n v="-4"/>
    <n v="1.0291970802919708"/>
    <s v="Efficient"/>
    <s v="Very Long"/>
    <s v="On Time"/>
  </r>
  <r>
    <x v="680"/>
    <x v="0"/>
    <x v="680"/>
    <x v="1"/>
    <x v="3"/>
    <x v="2"/>
    <s v="EMP_8"/>
    <d v="2024-06-05T00:16:00"/>
    <d v="2024-06-05T03:31:00"/>
    <n v="175"/>
    <n v="195"/>
    <n v="1"/>
    <x v="1"/>
    <x v="2"/>
    <n v="495.62"/>
    <n v="20"/>
    <n v="0.89743589743589747"/>
    <s v="Inefficient"/>
    <s v="Very Long"/>
    <s v="Minor Delay"/>
  </r>
  <r>
    <x v="681"/>
    <x v="0"/>
    <x v="681"/>
    <x v="3"/>
    <x v="0"/>
    <x v="0"/>
    <s v="EMP_50"/>
    <d v="2024-04-09T00:33:00"/>
    <d v="2024-04-09T04:42:00"/>
    <n v="198"/>
    <n v="249"/>
    <n v="1"/>
    <x v="2"/>
    <x v="0"/>
    <n v="395.3"/>
    <n v="51"/>
    <n v="0.79518072289156627"/>
    <s v="Inefficient"/>
    <s v="Very Long"/>
    <s v="Major Delay"/>
  </r>
  <r>
    <x v="682"/>
    <x v="0"/>
    <x v="682"/>
    <x v="4"/>
    <x v="1"/>
    <x v="4"/>
    <s v="EMP_129"/>
    <d v="2024-06-29T18:39:00"/>
    <d v="2024-06-29T20:41:00"/>
    <n v="117"/>
    <n v="122"/>
    <n v="1"/>
    <x v="1"/>
    <x v="6"/>
    <n v="230.42"/>
    <n v="5"/>
    <n v="0.95901639344262291"/>
    <s v="Inefficient"/>
    <s v="Very Long"/>
    <s v="Minor Delay"/>
  </r>
  <r>
    <x v="683"/>
    <x v="4"/>
    <x v="683"/>
    <x v="3"/>
    <x v="0"/>
    <x v="1"/>
    <s v="EMP_62"/>
    <d v="2024-02-08T03:41:00"/>
    <d v="2024-02-08T05:42:00"/>
    <n v="46"/>
    <n v="121"/>
    <n v="1"/>
    <x v="1"/>
    <x v="7"/>
    <n v="188.33"/>
    <n v="75"/>
    <n v="0.38016528925619836"/>
    <s v="Inefficient"/>
    <s v="Very Long"/>
    <s v="Major Delay"/>
  </r>
  <r>
    <x v="684"/>
    <x v="1"/>
    <x v="684"/>
    <x v="1"/>
    <x v="1"/>
    <x v="4"/>
    <s v="EMP_11"/>
    <d v="2024-10-28T09:35:00"/>
    <d v="2024-10-28T10:36:00"/>
    <n v="46"/>
    <n v="61"/>
    <n v="1"/>
    <x v="2"/>
    <x v="6"/>
    <n v="153.16999999999999"/>
    <n v="15"/>
    <n v="0.75409836065573765"/>
    <s v="Inefficient"/>
    <s v="Long"/>
    <s v="Minor Delay"/>
  </r>
  <r>
    <x v="685"/>
    <x v="0"/>
    <x v="685"/>
    <x v="4"/>
    <x v="3"/>
    <x v="4"/>
    <s v="EMP_100"/>
    <d v="2024-06-30T08:21:00"/>
    <d v="2024-06-30T12:04:00"/>
    <n v="178"/>
    <n v="223"/>
    <n v="1"/>
    <x v="0"/>
    <x v="0"/>
    <n v="275"/>
    <n v="45"/>
    <n v="0.7982062780269058"/>
    <s v="Inefficient"/>
    <s v="Very Long"/>
    <s v="Major Delay"/>
  </r>
  <r>
    <x v="686"/>
    <x v="3"/>
    <x v="686"/>
    <x v="2"/>
    <x v="3"/>
    <x v="2"/>
    <s v="EMP_115"/>
    <d v="2024-09-07T10:35:00"/>
    <d v="2024-09-07T14:50:00"/>
    <n v="196"/>
    <n v="255"/>
    <n v="1"/>
    <x v="2"/>
    <x v="8"/>
    <n v="148.05000000000001"/>
    <n v="59"/>
    <n v="0.7686274509803922"/>
    <s v="Inefficient"/>
    <s v="Very Long"/>
    <s v="Major Delay"/>
  </r>
  <r>
    <x v="687"/>
    <x v="4"/>
    <x v="687"/>
    <x v="0"/>
    <x v="1"/>
    <x v="1"/>
    <s v="EMP_79"/>
    <d v="2024-10-16T22:07:00"/>
    <d v="2024-10-17T01:38:00"/>
    <n v="211"/>
    <n v="211"/>
    <n v="0"/>
    <x v="0"/>
    <x v="7"/>
    <n v="484.52"/>
    <n v="0"/>
    <n v="1"/>
    <s v="On Target"/>
    <s v="Very Long"/>
    <s v="On Time"/>
  </r>
  <r>
    <x v="688"/>
    <x v="0"/>
    <x v="688"/>
    <x v="2"/>
    <x v="1"/>
    <x v="4"/>
    <s v="EMP_70"/>
    <d v="2024-08-09T02:36:00"/>
    <d v="2024-08-09T05:13:00"/>
    <n v="59"/>
    <n v="157"/>
    <n v="1"/>
    <x v="0"/>
    <x v="4"/>
    <n v="87.43"/>
    <n v="98"/>
    <n v="0.37579617834394907"/>
    <s v="Inefficient"/>
    <s v="Very Long"/>
    <s v="Major Delay"/>
  </r>
  <r>
    <x v="689"/>
    <x v="0"/>
    <x v="689"/>
    <x v="1"/>
    <x v="3"/>
    <x v="2"/>
    <s v="EMP_148"/>
    <d v="2024-05-21T15:03:00"/>
    <d v="2024-05-21T18:32:00"/>
    <n v="197"/>
    <n v="209"/>
    <n v="1"/>
    <x v="1"/>
    <x v="4"/>
    <n v="56.42"/>
    <n v="12"/>
    <n v="0.9425837320574163"/>
    <s v="Inefficient"/>
    <s v="Very Long"/>
    <s v="Minor Delay"/>
  </r>
  <r>
    <x v="690"/>
    <x v="3"/>
    <x v="690"/>
    <x v="1"/>
    <x v="2"/>
    <x v="1"/>
    <s v="EMP_125"/>
    <d v="2024-01-30T01:38:00"/>
    <d v="2024-01-30T03:49:00"/>
    <n v="135"/>
    <n v="131"/>
    <n v="0"/>
    <x v="2"/>
    <x v="2"/>
    <n v="253.36"/>
    <n v="-4"/>
    <n v="1.0305343511450382"/>
    <s v="Efficient"/>
    <s v="Very Long"/>
    <s v="On Time"/>
  </r>
  <r>
    <x v="691"/>
    <x v="2"/>
    <x v="691"/>
    <x v="3"/>
    <x v="0"/>
    <x v="4"/>
    <s v="EMP_13"/>
    <d v="2024-06-23T00:19:00"/>
    <d v="2024-06-23T05:28:00"/>
    <n v="202"/>
    <n v="309"/>
    <n v="1"/>
    <x v="2"/>
    <x v="0"/>
    <n v="164.19"/>
    <n v="107"/>
    <n v="0.65372168284789645"/>
    <s v="Inefficient"/>
    <s v="Very Long"/>
    <s v="Major Delay"/>
  </r>
  <r>
    <x v="692"/>
    <x v="1"/>
    <x v="692"/>
    <x v="4"/>
    <x v="2"/>
    <x v="2"/>
    <s v="EMP_8"/>
    <d v="2024-05-16T23:30:00"/>
    <d v="2024-05-17T03:29:00"/>
    <n v="202"/>
    <n v="239"/>
    <n v="1"/>
    <x v="2"/>
    <x v="5"/>
    <n v="382.99"/>
    <n v="37"/>
    <n v="0.84518828451882844"/>
    <s v="Inefficient"/>
    <s v="Very Long"/>
    <s v="Major Delay"/>
  </r>
  <r>
    <x v="693"/>
    <x v="4"/>
    <x v="693"/>
    <x v="0"/>
    <x v="0"/>
    <x v="1"/>
    <s v="EMP_3"/>
    <d v="2024-03-18T02:32:00"/>
    <d v="2024-03-18T04:08:00"/>
    <n v="101"/>
    <n v="96"/>
    <n v="0"/>
    <x v="0"/>
    <x v="0"/>
    <n v="478.95"/>
    <n v="-5"/>
    <n v="1.0520833333333333"/>
    <s v="Efficient"/>
    <s v="Long"/>
    <s v="On Time"/>
  </r>
  <r>
    <x v="694"/>
    <x v="3"/>
    <x v="694"/>
    <x v="2"/>
    <x v="1"/>
    <x v="4"/>
    <s v="EMP_106"/>
    <d v="2024-07-01T22:23:00"/>
    <d v="2024-07-02T00:38:00"/>
    <n v="38"/>
    <n v="135"/>
    <n v="1"/>
    <x v="1"/>
    <x v="8"/>
    <n v="490.61"/>
    <n v="97"/>
    <n v="0.2814814814814815"/>
    <s v="Inefficient"/>
    <s v="Very Long"/>
    <s v="Major Delay"/>
  </r>
  <r>
    <x v="695"/>
    <x v="4"/>
    <x v="695"/>
    <x v="4"/>
    <x v="3"/>
    <x v="3"/>
    <s v="EMP_7"/>
    <d v="2024-08-05T00:17:00"/>
    <d v="2024-08-05T03:34:00"/>
    <n v="132"/>
    <n v="197"/>
    <n v="1"/>
    <x v="0"/>
    <x v="9"/>
    <n v="64.150000000000006"/>
    <n v="65"/>
    <n v="0.67005076142131981"/>
    <s v="Inefficient"/>
    <s v="Very Long"/>
    <s v="Major Delay"/>
  </r>
  <r>
    <x v="696"/>
    <x v="1"/>
    <x v="696"/>
    <x v="3"/>
    <x v="3"/>
    <x v="3"/>
    <s v="EMP_70"/>
    <d v="2024-05-16T03:37:00"/>
    <d v="2024-05-16T06:24:00"/>
    <n v="158"/>
    <n v="167"/>
    <n v="1"/>
    <x v="2"/>
    <x v="4"/>
    <n v="410.08"/>
    <n v="9"/>
    <n v="0.94610778443113774"/>
    <s v="Inefficient"/>
    <s v="Very Long"/>
    <s v="Minor Delay"/>
  </r>
  <r>
    <x v="697"/>
    <x v="2"/>
    <x v="697"/>
    <x v="1"/>
    <x v="3"/>
    <x v="0"/>
    <s v="EMP_128"/>
    <d v="2024-07-17T21:34:00"/>
    <d v="2024-07-18T02:14:00"/>
    <n v="207"/>
    <n v="280"/>
    <n v="1"/>
    <x v="0"/>
    <x v="0"/>
    <n v="362.76"/>
    <n v="73"/>
    <n v="0.73928571428571432"/>
    <s v="Inefficient"/>
    <s v="Very Long"/>
    <s v="Major Delay"/>
  </r>
  <r>
    <x v="698"/>
    <x v="0"/>
    <x v="698"/>
    <x v="4"/>
    <x v="0"/>
    <x v="0"/>
    <s v="EMP_59"/>
    <d v="2024-06-14T20:00:00"/>
    <d v="2024-06-14T23:25:00"/>
    <n v="177"/>
    <n v="205"/>
    <n v="1"/>
    <x v="0"/>
    <x v="6"/>
    <n v="435.28"/>
    <n v="28"/>
    <n v="0.86341463414634145"/>
    <s v="Inefficient"/>
    <s v="Very Long"/>
    <s v="Minor Delay"/>
  </r>
  <r>
    <x v="699"/>
    <x v="2"/>
    <x v="699"/>
    <x v="2"/>
    <x v="1"/>
    <x v="1"/>
    <s v="EMP_91"/>
    <d v="2024-12-13T10:41:00"/>
    <d v="2024-12-13T12:20:00"/>
    <n v="16"/>
    <n v="99"/>
    <n v="1"/>
    <x v="0"/>
    <x v="0"/>
    <n v="449.43"/>
    <n v="83"/>
    <n v="0.16161616161616163"/>
    <s v="Inefficient"/>
    <s v="Long"/>
    <s v="Major Delay"/>
  </r>
  <r>
    <x v="700"/>
    <x v="2"/>
    <x v="700"/>
    <x v="1"/>
    <x v="0"/>
    <x v="2"/>
    <s v="EMP_41"/>
    <d v="2024-02-01T03:39:00"/>
    <d v="2024-02-01T05:05:00"/>
    <n v="67"/>
    <n v="86"/>
    <n v="1"/>
    <x v="0"/>
    <x v="3"/>
    <n v="87.58"/>
    <n v="19"/>
    <n v="0.77906976744186052"/>
    <s v="Inefficient"/>
    <s v="Long"/>
    <s v="Minor Delay"/>
  </r>
  <r>
    <x v="701"/>
    <x v="0"/>
    <x v="701"/>
    <x v="3"/>
    <x v="0"/>
    <x v="1"/>
    <s v="EMP_115"/>
    <d v="2024-01-31T14:50:00"/>
    <d v="2024-01-31T19:30:00"/>
    <n v="217"/>
    <n v="280"/>
    <n v="1"/>
    <x v="2"/>
    <x v="0"/>
    <n v="230.08"/>
    <n v="63"/>
    <n v="0.77500000000000002"/>
    <s v="Inefficient"/>
    <s v="Very Long"/>
    <s v="Major Delay"/>
  </r>
  <r>
    <x v="702"/>
    <x v="1"/>
    <x v="702"/>
    <x v="4"/>
    <x v="2"/>
    <x v="4"/>
    <s v="EMP_9"/>
    <d v="2024-03-17T13:16:00"/>
    <d v="2024-03-17T13:53:00"/>
    <n v="14"/>
    <n v="37"/>
    <n v="1"/>
    <x v="1"/>
    <x v="9"/>
    <n v="114.14"/>
    <n v="23"/>
    <n v="0.3783783783783784"/>
    <s v="Inefficient"/>
    <s v="Medium"/>
    <s v="Minor Delay"/>
  </r>
  <r>
    <x v="703"/>
    <x v="0"/>
    <x v="703"/>
    <x v="0"/>
    <x v="0"/>
    <x v="1"/>
    <s v="EMP_130"/>
    <d v="2024-05-26T04:00:00"/>
    <d v="2024-05-26T08:39:00"/>
    <n v="222"/>
    <n v="279"/>
    <n v="1"/>
    <x v="1"/>
    <x v="1"/>
    <n v="178.42"/>
    <n v="57"/>
    <n v="0.79569892473118276"/>
    <s v="Inefficient"/>
    <s v="Very Long"/>
    <s v="Major Delay"/>
  </r>
  <r>
    <x v="704"/>
    <x v="0"/>
    <x v="704"/>
    <x v="3"/>
    <x v="0"/>
    <x v="2"/>
    <s v="EMP_119"/>
    <d v="2024-08-11T03:54:00"/>
    <d v="2024-08-11T06:06:00"/>
    <n v="75"/>
    <n v="132"/>
    <n v="1"/>
    <x v="0"/>
    <x v="7"/>
    <n v="375.2"/>
    <n v="57"/>
    <n v="0.56818181818181823"/>
    <s v="Inefficient"/>
    <s v="Very Long"/>
    <s v="Major Delay"/>
  </r>
  <r>
    <x v="705"/>
    <x v="0"/>
    <x v="705"/>
    <x v="1"/>
    <x v="3"/>
    <x v="3"/>
    <s v="EMP_62"/>
    <d v="2024-05-18T16:13:00"/>
    <d v="2024-05-18T19:31:00"/>
    <n v="121"/>
    <n v="198"/>
    <n v="1"/>
    <x v="0"/>
    <x v="2"/>
    <n v="254.86"/>
    <n v="77"/>
    <n v="0.61111111111111116"/>
    <s v="Inefficient"/>
    <s v="Very Long"/>
    <s v="Major Delay"/>
  </r>
  <r>
    <x v="706"/>
    <x v="4"/>
    <x v="706"/>
    <x v="1"/>
    <x v="3"/>
    <x v="4"/>
    <s v="EMP_58"/>
    <d v="2024-12-17T01:14:00"/>
    <d v="2024-12-17T03:56:00"/>
    <n v="162"/>
    <n v="162"/>
    <n v="0"/>
    <x v="2"/>
    <x v="3"/>
    <n v="53.94"/>
    <n v="0"/>
    <n v="1"/>
    <s v="On Target"/>
    <s v="Very Long"/>
    <s v="On Time"/>
  </r>
  <r>
    <x v="707"/>
    <x v="3"/>
    <x v="707"/>
    <x v="4"/>
    <x v="1"/>
    <x v="0"/>
    <s v="EMP_124"/>
    <d v="2024-01-21T05:38:00"/>
    <d v="2024-01-21T08:39:00"/>
    <n v="184"/>
    <n v="181"/>
    <n v="0"/>
    <x v="2"/>
    <x v="2"/>
    <n v="299.5"/>
    <n v="-3"/>
    <n v="1.0165745856353592"/>
    <s v="Efficient"/>
    <s v="Very Long"/>
    <s v="On Time"/>
  </r>
  <r>
    <x v="708"/>
    <x v="0"/>
    <x v="708"/>
    <x v="0"/>
    <x v="2"/>
    <x v="4"/>
    <s v="EMP_71"/>
    <d v="2024-01-05T09:37:00"/>
    <d v="2024-01-05T13:22:00"/>
    <n v="212"/>
    <n v="225"/>
    <n v="1"/>
    <x v="2"/>
    <x v="9"/>
    <n v="329.41"/>
    <n v="13"/>
    <n v="0.94222222222222218"/>
    <s v="Inefficient"/>
    <s v="Very Long"/>
    <s v="Minor Delay"/>
  </r>
  <r>
    <x v="709"/>
    <x v="1"/>
    <x v="709"/>
    <x v="1"/>
    <x v="3"/>
    <x v="2"/>
    <s v="EMP_36"/>
    <d v="2024-07-01T03:19:00"/>
    <d v="2024-07-01T07:17:00"/>
    <n v="195"/>
    <n v="238"/>
    <n v="1"/>
    <x v="0"/>
    <x v="2"/>
    <n v="369.91"/>
    <n v="43"/>
    <n v="0.81932773109243695"/>
    <s v="Inefficient"/>
    <s v="Very Long"/>
    <s v="Major Delay"/>
  </r>
  <r>
    <x v="710"/>
    <x v="2"/>
    <x v="710"/>
    <x v="3"/>
    <x v="0"/>
    <x v="3"/>
    <s v="EMP_25"/>
    <d v="2024-04-28T14:54:00"/>
    <d v="2024-04-28T16:29:00"/>
    <n v="17"/>
    <n v="95"/>
    <n v="1"/>
    <x v="1"/>
    <x v="8"/>
    <n v="298.86"/>
    <n v="78"/>
    <n v="0.17894736842105263"/>
    <s v="Inefficient"/>
    <s v="Long"/>
    <s v="Major Delay"/>
  </r>
  <r>
    <x v="711"/>
    <x v="1"/>
    <x v="711"/>
    <x v="3"/>
    <x v="1"/>
    <x v="2"/>
    <s v="EMP_54"/>
    <d v="2024-04-24T06:11:00"/>
    <d v="2024-04-24T09:35:00"/>
    <n v="187"/>
    <n v="204"/>
    <n v="1"/>
    <x v="1"/>
    <x v="8"/>
    <n v="318.04000000000002"/>
    <n v="17"/>
    <n v="0.91666666666666663"/>
    <s v="Inefficient"/>
    <s v="Very Long"/>
    <s v="Minor Delay"/>
  </r>
  <r>
    <x v="712"/>
    <x v="2"/>
    <x v="712"/>
    <x v="3"/>
    <x v="0"/>
    <x v="2"/>
    <s v="EMP_35"/>
    <d v="2024-01-18T03:48:00"/>
    <d v="2024-01-18T08:57:00"/>
    <n v="202"/>
    <n v="309"/>
    <n v="1"/>
    <x v="0"/>
    <x v="0"/>
    <n v="361.75"/>
    <n v="107"/>
    <n v="0.65372168284789645"/>
    <s v="Inefficient"/>
    <s v="Very Long"/>
    <s v="Major Delay"/>
  </r>
  <r>
    <x v="713"/>
    <x v="4"/>
    <x v="713"/>
    <x v="1"/>
    <x v="1"/>
    <x v="0"/>
    <s v="EMP_106"/>
    <d v="2024-09-15T15:14:00"/>
    <d v="2024-09-15T18:44:00"/>
    <n v="101"/>
    <n v="210"/>
    <n v="1"/>
    <x v="0"/>
    <x v="8"/>
    <n v="282.02999999999997"/>
    <n v="109"/>
    <n v="0.48095238095238096"/>
    <s v="Inefficient"/>
    <s v="Very Long"/>
    <s v="Major Delay"/>
  </r>
  <r>
    <x v="714"/>
    <x v="4"/>
    <x v="714"/>
    <x v="2"/>
    <x v="0"/>
    <x v="0"/>
    <s v="EMP_16"/>
    <d v="2024-06-04T13:47:00"/>
    <d v="2024-06-04T14:57:00"/>
    <n v="37"/>
    <n v="70"/>
    <n v="1"/>
    <x v="1"/>
    <x v="6"/>
    <n v="223.59"/>
    <n v="33"/>
    <n v="0.52857142857142858"/>
    <s v="Inefficient"/>
    <s v="Long"/>
    <s v="Major Delay"/>
  </r>
  <r>
    <x v="715"/>
    <x v="2"/>
    <x v="715"/>
    <x v="2"/>
    <x v="2"/>
    <x v="3"/>
    <s v="EMP_136"/>
    <d v="2024-06-10T08:21:00"/>
    <d v="2024-06-10T11:42:00"/>
    <n v="163"/>
    <n v="201"/>
    <n v="1"/>
    <x v="2"/>
    <x v="8"/>
    <n v="199.58"/>
    <n v="38"/>
    <n v="0.81094527363184077"/>
    <s v="Inefficient"/>
    <s v="Very Long"/>
    <s v="Major Delay"/>
  </r>
  <r>
    <x v="716"/>
    <x v="2"/>
    <x v="716"/>
    <x v="2"/>
    <x v="1"/>
    <x v="2"/>
    <s v="EMP_23"/>
    <d v="2024-11-01T14:28:00"/>
    <d v="2024-11-01T18:53:00"/>
    <n v="155"/>
    <n v="265"/>
    <n v="1"/>
    <x v="0"/>
    <x v="3"/>
    <n v="317.87"/>
    <n v="110"/>
    <n v="0.58490566037735847"/>
    <s v="Inefficient"/>
    <s v="Very Long"/>
    <s v="Major Delay"/>
  </r>
  <r>
    <x v="717"/>
    <x v="2"/>
    <x v="717"/>
    <x v="0"/>
    <x v="1"/>
    <x v="3"/>
    <s v="EMP_23"/>
    <d v="2024-04-17T02:57:00"/>
    <d v="2024-04-17T05:21:00"/>
    <n v="61"/>
    <n v="144"/>
    <n v="1"/>
    <x v="2"/>
    <x v="3"/>
    <n v="321.08"/>
    <n v="83"/>
    <n v="0.4236111111111111"/>
    <s v="Inefficient"/>
    <s v="Very Long"/>
    <s v="Major Delay"/>
  </r>
  <r>
    <x v="718"/>
    <x v="3"/>
    <x v="718"/>
    <x v="0"/>
    <x v="0"/>
    <x v="0"/>
    <s v="EMP_57"/>
    <d v="2024-02-17T15:23:00"/>
    <d v="2024-02-17T20:03:00"/>
    <n v="187"/>
    <n v="280"/>
    <n v="1"/>
    <x v="1"/>
    <x v="7"/>
    <n v="184.46"/>
    <n v="93"/>
    <n v="0.66785714285714282"/>
    <s v="Inefficient"/>
    <s v="Very Long"/>
    <s v="Major Delay"/>
  </r>
  <r>
    <x v="719"/>
    <x v="1"/>
    <x v="719"/>
    <x v="0"/>
    <x v="0"/>
    <x v="3"/>
    <s v="EMP_12"/>
    <d v="2024-10-30T10:03:00"/>
    <d v="2024-10-30T12:14:00"/>
    <n v="69"/>
    <n v="131"/>
    <n v="1"/>
    <x v="1"/>
    <x v="5"/>
    <n v="58.81"/>
    <n v="62"/>
    <n v="0.52671755725190839"/>
    <s v="Inefficient"/>
    <s v="Very Long"/>
    <s v="Major Delay"/>
  </r>
  <r>
    <x v="720"/>
    <x v="3"/>
    <x v="720"/>
    <x v="0"/>
    <x v="3"/>
    <x v="3"/>
    <s v="EMP_143"/>
    <d v="2024-11-28T09:56:00"/>
    <d v="2024-11-28T13:00:00"/>
    <n v="149"/>
    <n v="184"/>
    <n v="1"/>
    <x v="0"/>
    <x v="6"/>
    <n v="496.44"/>
    <n v="35"/>
    <n v="0.80978260869565222"/>
    <s v="Inefficient"/>
    <s v="Very Long"/>
    <s v="Major Delay"/>
  </r>
  <r>
    <x v="721"/>
    <x v="0"/>
    <x v="721"/>
    <x v="4"/>
    <x v="3"/>
    <x v="0"/>
    <s v="EMP_141"/>
    <d v="2024-05-01T22:29:00"/>
    <d v="2024-05-02T01:59:00"/>
    <n v="145"/>
    <n v="210"/>
    <n v="1"/>
    <x v="1"/>
    <x v="2"/>
    <n v="85.59"/>
    <n v="65"/>
    <n v="0.69047619047619047"/>
    <s v="Inefficient"/>
    <s v="Very Long"/>
    <s v="Major Delay"/>
  </r>
  <r>
    <x v="722"/>
    <x v="2"/>
    <x v="722"/>
    <x v="3"/>
    <x v="3"/>
    <x v="2"/>
    <s v="EMP_125"/>
    <d v="2024-09-23T16:44:00"/>
    <d v="2024-09-23T19:18:00"/>
    <n v="63"/>
    <n v="154"/>
    <n v="1"/>
    <x v="2"/>
    <x v="2"/>
    <n v="63.18"/>
    <n v="91"/>
    <n v="0.40909090909090912"/>
    <s v="Inefficient"/>
    <s v="Very Long"/>
    <s v="Major Delay"/>
  </r>
  <r>
    <x v="723"/>
    <x v="4"/>
    <x v="723"/>
    <x v="1"/>
    <x v="2"/>
    <x v="1"/>
    <s v="EMP_121"/>
    <d v="2024-09-30T07:30:00"/>
    <d v="2024-09-30T11:16:00"/>
    <n v="183"/>
    <n v="226"/>
    <n v="1"/>
    <x v="1"/>
    <x v="3"/>
    <n v="445.41"/>
    <n v="43"/>
    <n v="0.80973451327433632"/>
    <s v="Inefficient"/>
    <s v="Very Long"/>
    <s v="Major Delay"/>
  </r>
  <r>
    <x v="724"/>
    <x v="0"/>
    <x v="724"/>
    <x v="1"/>
    <x v="3"/>
    <x v="1"/>
    <s v="EMP_108"/>
    <d v="2024-06-13T19:49:00"/>
    <d v="2024-06-13T20:32:00"/>
    <n v="18"/>
    <n v="43"/>
    <n v="1"/>
    <x v="0"/>
    <x v="5"/>
    <n v="484.16"/>
    <n v="25"/>
    <n v="0.41860465116279072"/>
    <s v="Inefficient"/>
    <s v="Medium"/>
    <s v="Minor Delay"/>
  </r>
  <r>
    <x v="725"/>
    <x v="2"/>
    <x v="725"/>
    <x v="2"/>
    <x v="1"/>
    <x v="1"/>
    <s v="EMP_110"/>
    <d v="2024-12-26T21:03:00"/>
    <d v="2024-12-26T23:30:00"/>
    <n v="108"/>
    <n v="147"/>
    <n v="1"/>
    <x v="2"/>
    <x v="4"/>
    <n v="158.05000000000001"/>
    <n v="39"/>
    <n v="0.73469387755102045"/>
    <s v="Inefficient"/>
    <s v="Very Long"/>
    <s v="Major Delay"/>
  </r>
  <r>
    <x v="726"/>
    <x v="2"/>
    <x v="726"/>
    <x v="2"/>
    <x v="1"/>
    <x v="1"/>
    <s v="EMP_38"/>
    <d v="2024-10-05T06:10:00"/>
    <d v="2024-10-05T08:54:00"/>
    <n v="48"/>
    <n v="164"/>
    <n v="1"/>
    <x v="2"/>
    <x v="3"/>
    <n v="371.05"/>
    <n v="116"/>
    <n v="0.29268292682926828"/>
    <s v="Inefficient"/>
    <s v="Very Long"/>
    <s v="Major Delay"/>
  </r>
  <r>
    <x v="727"/>
    <x v="3"/>
    <x v="727"/>
    <x v="0"/>
    <x v="1"/>
    <x v="2"/>
    <s v="EMP_88"/>
    <d v="2024-03-03T14:48:00"/>
    <d v="2024-03-03T18:06:00"/>
    <n v="196"/>
    <n v="198"/>
    <n v="1"/>
    <x v="1"/>
    <x v="5"/>
    <n v="125.34"/>
    <n v="2"/>
    <n v="0.98989898989898994"/>
    <s v="Inefficient"/>
    <s v="Very Long"/>
    <s v="Minor Delay"/>
  </r>
  <r>
    <x v="728"/>
    <x v="4"/>
    <x v="728"/>
    <x v="4"/>
    <x v="1"/>
    <x v="1"/>
    <s v="EMP_111"/>
    <d v="2024-09-25T02:50:00"/>
    <d v="2024-09-25T05:04:00"/>
    <n v="20"/>
    <n v="134"/>
    <n v="1"/>
    <x v="0"/>
    <x v="5"/>
    <n v="162.06"/>
    <n v="114"/>
    <n v="0.14925373134328357"/>
    <s v="Inefficient"/>
    <s v="Very Long"/>
    <s v="Major Delay"/>
  </r>
  <r>
    <x v="729"/>
    <x v="1"/>
    <x v="729"/>
    <x v="3"/>
    <x v="2"/>
    <x v="4"/>
    <s v="EMP_118"/>
    <d v="2024-03-18T10:23:00"/>
    <d v="2024-03-18T12:52:00"/>
    <n v="102"/>
    <n v="149"/>
    <n v="1"/>
    <x v="0"/>
    <x v="5"/>
    <n v="390.98"/>
    <n v="47"/>
    <n v="0.68456375838926176"/>
    <s v="Inefficient"/>
    <s v="Very Long"/>
    <s v="Major Delay"/>
  </r>
  <r>
    <x v="730"/>
    <x v="1"/>
    <x v="730"/>
    <x v="3"/>
    <x v="2"/>
    <x v="2"/>
    <s v="EMP_105"/>
    <d v="2024-09-12T13:57:00"/>
    <d v="2024-09-12T14:54:00"/>
    <n v="22"/>
    <n v="57"/>
    <n v="1"/>
    <x v="2"/>
    <x v="9"/>
    <n v="471.83"/>
    <n v="35"/>
    <n v="0.38596491228070173"/>
    <s v="Inefficient"/>
    <s v="Medium"/>
    <s v="Major Delay"/>
  </r>
  <r>
    <x v="731"/>
    <x v="3"/>
    <x v="731"/>
    <x v="1"/>
    <x v="2"/>
    <x v="3"/>
    <s v="EMP_138"/>
    <d v="2024-02-10T22:33:00"/>
    <d v="2024-02-11T00:24:00"/>
    <n v="34"/>
    <n v="111"/>
    <n v="1"/>
    <x v="2"/>
    <x v="4"/>
    <n v="154.53"/>
    <n v="77"/>
    <n v="0.30630630630630629"/>
    <s v="Inefficient"/>
    <s v="Long"/>
    <s v="Major Delay"/>
  </r>
  <r>
    <x v="732"/>
    <x v="2"/>
    <x v="732"/>
    <x v="1"/>
    <x v="0"/>
    <x v="0"/>
    <s v="EMP_146"/>
    <d v="2024-11-25T23:56:00"/>
    <d v="2024-11-26T04:11:00"/>
    <n v="204"/>
    <n v="255"/>
    <n v="1"/>
    <x v="2"/>
    <x v="1"/>
    <n v="250.12"/>
    <n v="51"/>
    <n v="0.8"/>
    <s v="Inefficient"/>
    <s v="Very Long"/>
    <s v="Major Delay"/>
  </r>
  <r>
    <x v="733"/>
    <x v="2"/>
    <x v="733"/>
    <x v="3"/>
    <x v="2"/>
    <x v="0"/>
    <s v="EMP_68"/>
    <d v="2024-04-13T01:42:00"/>
    <d v="2024-04-13T04:15:00"/>
    <n v="132"/>
    <n v="153"/>
    <n v="1"/>
    <x v="0"/>
    <x v="8"/>
    <n v="414.56"/>
    <n v="21"/>
    <n v="0.86274509803921573"/>
    <s v="Inefficient"/>
    <s v="Very Long"/>
    <s v="Minor Delay"/>
  </r>
  <r>
    <x v="734"/>
    <x v="1"/>
    <x v="734"/>
    <x v="4"/>
    <x v="3"/>
    <x v="0"/>
    <s v="EMP_50"/>
    <d v="2024-09-30T18:50:00"/>
    <d v="2024-09-30T19:29:00"/>
    <n v="32"/>
    <n v="39"/>
    <n v="1"/>
    <x v="0"/>
    <x v="3"/>
    <n v="304.83999999999997"/>
    <n v="7"/>
    <n v="0.82051282051282048"/>
    <s v="Inefficient"/>
    <s v="Medium"/>
    <s v="Minor Delay"/>
  </r>
  <r>
    <x v="735"/>
    <x v="4"/>
    <x v="735"/>
    <x v="4"/>
    <x v="3"/>
    <x v="4"/>
    <s v="EMP_22"/>
    <d v="2024-04-24T00:59:00"/>
    <d v="2024-04-24T06:54:00"/>
    <n v="237"/>
    <n v="355"/>
    <n v="1"/>
    <x v="2"/>
    <x v="9"/>
    <n v="321.06"/>
    <n v="118"/>
    <n v="0.6676056338028169"/>
    <s v="Inefficient"/>
    <s v="Very Long"/>
    <s v="Major Delay"/>
  </r>
  <r>
    <x v="736"/>
    <x v="3"/>
    <x v="736"/>
    <x v="4"/>
    <x v="0"/>
    <x v="2"/>
    <s v="EMP_10"/>
    <d v="2024-08-11T06:52:00"/>
    <d v="2024-08-11T08:52:00"/>
    <n v="14"/>
    <n v="120"/>
    <n v="1"/>
    <x v="2"/>
    <x v="0"/>
    <n v="50.68"/>
    <n v="106"/>
    <n v="0.11666666666666667"/>
    <s v="Inefficient"/>
    <s v="Very Long"/>
    <s v="Major Delay"/>
  </r>
  <r>
    <x v="737"/>
    <x v="4"/>
    <x v="737"/>
    <x v="1"/>
    <x v="1"/>
    <x v="4"/>
    <s v="EMP_52"/>
    <d v="2024-06-25T22:12:00"/>
    <d v="2024-06-26T00:06:00"/>
    <n v="24"/>
    <n v="114"/>
    <n v="1"/>
    <x v="1"/>
    <x v="4"/>
    <n v="225.47"/>
    <n v="90"/>
    <n v="0.21052631578947367"/>
    <s v="Inefficient"/>
    <s v="Long"/>
    <s v="Major Delay"/>
  </r>
  <r>
    <x v="738"/>
    <x v="1"/>
    <x v="738"/>
    <x v="4"/>
    <x v="2"/>
    <x v="2"/>
    <s v="EMP_49"/>
    <d v="2024-05-25T14:12:00"/>
    <d v="2024-05-25T18:11:00"/>
    <n v="202"/>
    <n v="239"/>
    <n v="1"/>
    <x v="1"/>
    <x v="4"/>
    <n v="236.14"/>
    <n v="37"/>
    <n v="0.84518828451882844"/>
    <s v="Inefficient"/>
    <s v="Very Long"/>
    <s v="Major Delay"/>
  </r>
  <r>
    <x v="739"/>
    <x v="3"/>
    <x v="739"/>
    <x v="0"/>
    <x v="0"/>
    <x v="0"/>
    <s v="EMP_43"/>
    <d v="2024-03-11T02:28:00"/>
    <d v="2024-03-11T04:57:00"/>
    <n v="70"/>
    <n v="149"/>
    <n v="1"/>
    <x v="1"/>
    <x v="1"/>
    <n v="287.17"/>
    <n v="79"/>
    <n v="0.46979865771812079"/>
    <s v="Inefficient"/>
    <s v="Very Long"/>
    <s v="Major Delay"/>
  </r>
  <r>
    <x v="740"/>
    <x v="3"/>
    <x v="740"/>
    <x v="3"/>
    <x v="0"/>
    <x v="1"/>
    <s v="EMP_138"/>
    <d v="2024-02-28T13:49:00"/>
    <d v="2024-02-28T17:43:00"/>
    <n v="115"/>
    <n v="234"/>
    <n v="1"/>
    <x v="1"/>
    <x v="0"/>
    <n v="385.01"/>
    <n v="119"/>
    <n v="0.49145299145299143"/>
    <s v="Inefficient"/>
    <s v="Very Long"/>
    <s v="Major Delay"/>
  </r>
  <r>
    <x v="741"/>
    <x v="0"/>
    <x v="741"/>
    <x v="1"/>
    <x v="0"/>
    <x v="3"/>
    <s v="EMP_126"/>
    <d v="2024-12-08T03:35:00"/>
    <d v="2024-12-08T08:17:00"/>
    <n v="169"/>
    <n v="282"/>
    <n v="1"/>
    <x v="0"/>
    <x v="7"/>
    <n v="302.12"/>
    <n v="113"/>
    <n v="0.599290780141844"/>
    <s v="Inefficient"/>
    <s v="Very Long"/>
    <s v="Major Delay"/>
  </r>
  <r>
    <x v="742"/>
    <x v="2"/>
    <x v="742"/>
    <x v="3"/>
    <x v="1"/>
    <x v="4"/>
    <s v="EMP_73"/>
    <d v="2024-06-22T17:02:00"/>
    <d v="2024-06-22T20:33:00"/>
    <n v="185"/>
    <n v="211"/>
    <n v="1"/>
    <x v="0"/>
    <x v="3"/>
    <n v="195.17"/>
    <n v="26"/>
    <n v="0.87677725118483407"/>
    <s v="Inefficient"/>
    <s v="Very Long"/>
    <s v="Minor Delay"/>
  </r>
  <r>
    <x v="743"/>
    <x v="1"/>
    <x v="743"/>
    <x v="4"/>
    <x v="1"/>
    <x v="4"/>
    <s v="EMP_8"/>
    <d v="2024-11-09T17:49:00"/>
    <d v="2024-11-09T19:02:00"/>
    <n v="49"/>
    <n v="73"/>
    <n v="1"/>
    <x v="0"/>
    <x v="0"/>
    <n v="453.9"/>
    <n v="24"/>
    <n v="0.67123287671232879"/>
    <s v="Inefficient"/>
    <s v="Long"/>
    <s v="Minor Delay"/>
  </r>
  <r>
    <x v="744"/>
    <x v="4"/>
    <x v="744"/>
    <x v="1"/>
    <x v="2"/>
    <x v="0"/>
    <s v="EMP_97"/>
    <d v="2024-05-25T23:10:00"/>
    <d v="2024-05-26T03:49:00"/>
    <n v="169"/>
    <n v="279"/>
    <n v="1"/>
    <x v="2"/>
    <x v="7"/>
    <n v="422.61"/>
    <n v="110"/>
    <n v="0.60573476702508966"/>
    <s v="Inefficient"/>
    <s v="Very Long"/>
    <s v="Major Delay"/>
  </r>
  <r>
    <x v="745"/>
    <x v="3"/>
    <x v="745"/>
    <x v="1"/>
    <x v="2"/>
    <x v="3"/>
    <s v="EMP_57"/>
    <d v="2024-05-01T07:42:00"/>
    <d v="2024-05-01T11:07:00"/>
    <n v="206"/>
    <n v="205"/>
    <n v="0"/>
    <x v="2"/>
    <x v="7"/>
    <n v="205.95"/>
    <n v="-1"/>
    <n v="1.0048780487804878"/>
    <s v="Efficient"/>
    <s v="Very Long"/>
    <s v="On Time"/>
  </r>
  <r>
    <x v="746"/>
    <x v="3"/>
    <x v="746"/>
    <x v="4"/>
    <x v="1"/>
    <x v="0"/>
    <s v="EMP_45"/>
    <d v="2024-11-29T16:54:00"/>
    <d v="2024-11-29T18:39:00"/>
    <n v="19"/>
    <n v="105"/>
    <n v="1"/>
    <x v="2"/>
    <x v="1"/>
    <n v="341.21"/>
    <n v="86"/>
    <n v="0.18095238095238095"/>
    <s v="Inefficient"/>
    <s v="Long"/>
    <s v="Major Delay"/>
  </r>
  <r>
    <x v="747"/>
    <x v="3"/>
    <x v="747"/>
    <x v="1"/>
    <x v="3"/>
    <x v="0"/>
    <s v="EMP_3"/>
    <d v="2024-06-09T00:07:00"/>
    <d v="2024-06-09T02:29:00"/>
    <n v="130"/>
    <n v="142"/>
    <n v="1"/>
    <x v="1"/>
    <x v="5"/>
    <n v="271.77"/>
    <n v="12"/>
    <n v="0.91549295774647887"/>
    <s v="Inefficient"/>
    <s v="Very Long"/>
    <s v="Minor Delay"/>
  </r>
  <r>
    <x v="748"/>
    <x v="0"/>
    <x v="748"/>
    <x v="4"/>
    <x v="3"/>
    <x v="1"/>
    <s v="EMP_106"/>
    <d v="2024-11-14T06:08:00"/>
    <d v="2024-11-14T06:56:00"/>
    <n v="50"/>
    <n v="48"/>
    <n v="0"/>
    <x v="1"/>
    <x v="8"/>
    <n v="311.14999999999998"/>
    <n v="-2"/>
    <n v="1.0416666666666667"/>
    <s v="Efficient"/>
    <s v="Medium"/>
    <s v="On Time"/>
  </r>
  <r>
    <x v="749"/>
    <x v="4"/>
    <x v="749"/>
    <x v="2"/>
    <x v="1"/>
    <x v="4"/>
    <s v="EMP_115"/>
    <d v="2024-06-15T08:17:00"/>
    <d v="2024-06-15T10:44:00"/>
    <n v="91"/>
    <n v="147"/>
    <n v="1"/>
    <x v="2"/>
    <x v="1"/>
    <n v="256.27"/>
    <n v="56"/>
    <n v="0.61904761904761907"/>
    <s v="Inefficient"/>
    <s v="Very Long"/>
    <s v="Major Delay"/>
  </r>
  <r>
    <x v="750"/>
    <x v="0"/>
    <x v="750"/>
    <x v="2"/>
    <x v="1"/>
    <x v="2"/>
    <s v="EMP_77"/>
    <d v="2024-10-30T09:14:00"/>
    <d v="2024-10-30T12:16:00"/>
    <n v="106"/>
    <n v="182"/>
    <n v="1"/>
    <x v="1"/>
    <x v="9"/>
    <n v="51.04"/>
    <n v="76"/>
    <n v="0.58241758241758246"/>
    <s v="Inefficient"/>
    <s v="Very Long"/>
    <s v="Major Delay"/>
  </r>
  <r>
    <x v="751"/>
    <x v="3"/>
    <x v="751"/>
    <x v="1"/>
    <x v="0"/>
    <x v="2"/>
    <s v="EMP_69"/>
    <d v="2024-08-08T13:01:00"/>
    <d v="2024-08-08T17:35:00"/>
    <n v="215"/>
    <n v="274"/>
    <n v="1"/>
    <x v="1"/>
    <x v="7"/>
    <n v="410.84"/>
    <n v="59"/>
    <n v="0.78467153284671531"/>
    <s v="Inefficient"/>
    <s v="Very Long"/>
    <s v="Major Delay"/>
  </r>
  <r>
    <x v="752"/>
    <x v="4"/>
    <x v="752"/>
    <x v="0"/>
    <x v="0"/>
    <x v="0"/>
    <s v="EMP_73"/>
    <d v="2024-11-29T22:28:00"/>
    <d v="2024-11-30T01:10:00"/>
    <n v="83"/>
    <n v="162"/>
    <n v="1"/>
    <x v="2"/>
    <x v="0"/>
    <n v="426.6"/>
    <n v="79"/>
    <n v="0.51234567901234573"/>
    <s v="Inefficient"/>
    <s v="Very Long"/>
    <s v="Major Delay"/>
  </r>
  <r>
    <x v="753"/>
    <x v="2"/>
    <x v="753"/>
    <x v="2"/>
    <x v="2"/>
    <x v="3"/>
    <s v="EMP_71"/>
    <d v="2024-01-05T08:07:00"/>
    <d v="2024-01-05T12:22:00"/>
    <n v="153"/>
    <n v="255"/>
    <n v="1"/>
    <x v="1"/>
    <x v="3"/>
    <n v="263.2"/>
    <n v="102"/>
    <n v="0.6"/>
    <s v="Inefficient"/>
    <s v="Very Long"/>
    <s v="Major Delay"/>
  </r>
  <r>
    <x v="754"/>
    <x v="4"/>
    <x v="754"/>
    <x v="3"/>
    <x v="0"/>
    <x v="2"/>
    <s v="EMP_64"/>
    <d v="2024-06-05T13:38:00"/>
    <d v="2024-06-05T15:51:00"/>
    <n v="78"/>
    <n v="133"/>
    <n v="1"/>
    <x v="1"/>
    <x v="9"/>
    <n v="247.27"/>
    <n v="55"/>
    <n v="0.5864661654135338"/>
    <s v="Inefficient"/>
    <s v="Very Long"/>
    <s v="Major Delay"/>
  </r>
  <r>
    <x v="755"/>
    <x v="4"/>
    <x v="755"/>
    <x v="0"/>
    <x v="0"/>
    <x v="3"/>
    <s v="EMP_61"/>
    <d v="2024-04-28T05:48:00"/>
    <d v="2024-04-28T10:31:00"/>
    <n v="219"/>
    <n v="283"/>
    <n v="1"/>
    <x v="1"/>
    <x v="7"/>
    <n v="130.35"/>
    <n v="64"/>
    <n v="0.77385159010600701"/>
    <s v="Inefficient"/>
    <s v="Very Long"/>
    <s v="Major Delay"/>
  </r>
  <r>
    <x v="756"/>
    <x v="3"/>
    <x v="756"/>
    <x v="3"/>
    <x v="1"/>
    <x v="4"/>
    <s v="EMP_113"/>
    <d v="2024-05-21T00:09:00"/>
    <d v="2024-05-21T04:42:00"/>
    <n v="203"/>
    <n v="273"/>
    <n v="1"/>
    <x v="2"/>
    <x v="5"/>
    <n v="410.06"/>
    <n v="70"/>
    <n v="0.74358974358974361"/>
    <s v="Inefficient"/>
    <s v="Very Long"/>
    <s v="Major Delay"/>
  </r>
  <r>
    <x v="757"/>
    <x v="1"/>
    <x v="757"/>
    <x v="0"/>
    <x v="0"/>
    <x v="3"/>
    <s v="EMP_58"/>
    <d v="2024-08-04T09:27:00"/>
    <d v="2024-08-04T14:01:00"/>
    <n v="158"/>
    <n v="274"/>
    <n v="1"/>
    <x v="0"/>
    <x v="0"/>
    <n v="497.73"/>
    <n v="116"/>
    <n v="0.57664233576642332"/>
    <s v="Inefficient"/>
    <s v="Very Long"/>
    <s v="Major Delay"/>
  </r>
  <r>
    <x v="758"/>
    <x v="2"/>
    <x v="758"/>
    <x v="0"/>
    <x v="3"/>
    <x v="1"/>
    <s v="EMP_104"/>
    <d v="2024-09-21T18:33:00"/>
    <d v="2024-09-21T22:09:00"/>
    <n v="135"/>
    <n v="216"/>
    <n v="1"/>
    <x v="0"/>
    <x v="2"/>
    <n v="486.92"/>
    <n v="81"/>
    <n v="0.625"/>
    <s v="Inefficient"/>
    <s v="Very Long"/>
    <s v="Major Delay"/>
  </r>
  <r>
    <x v="759"/>
    <x v="2"/>
    <x v="759"/>
    <x v="0"/>
    <x v="3"/>
    <x v="1"/>
    <s v="EMP_3"/>
    <d v="2024-12-04T11:50:00"/>
    <d v="2024-12-04T14:27:00"/>
    <n v="91"/>
    <n v="157"/>
    <n v="1"/>
    <x v="1"/>
    <x v="2"/>
    <n v="207.67"/>
    <n v="66"/>
    <n v="0.57961783439490444"/>
    <s v="Inefficient"/>
    <s v="Very Long"/>
    <s v="Major Delay"/>
  </r>
  <r>
    <x v="760"/>
    <x v="0"/>
    <x v="760"/>
    <x v="0"/>
    <x v="0"/>
    <x v="1"/>
    <s v="EMP_84"/>
    <d v="2024-01-29T17:26:00"/>
    <d v="2024-01-29T19:28:00"/>
    <n v="54"/>
    <n v="122"/>
    <n v="1"/>
    <x v="1"/>
    <x v="1"/>
    <n v="387.2"/>
    <n v="68"/>
    <n v="0.44262295081967212"/>
    <s v="Inefficient"/>
    <s v="Very Long"/>
    <s v="Major Delay"/>
  </r>
  <r>
    <x v="761"/>
    <x v="3"/>
    <x v="761"/>
    <x v="1"/>
    <x v="3"/>
    <x v="2"/>
    <s v="EMP_79"/>
    <d v="2024-05-07T09:05:00"/>
    <d v="2024-05-07T14:20:00"/>
    <n v="196"/>
    <n v="315"/>
    <n v="1"/>
    <x v="1"/>
    <x v="3"/>
    <n v="329.82"/>
    <n v="119"/>
    <n v="0.62222222222222223"/>
    <s v="Inefficient"/>
    <s v="Very Long"/>
    <s v="Major Delay"/>
  </r>
  <r>
    <x v="762"/>
    <x v="0"/>
    <x v="762"/>
    <x v="3"/>
    <x v="0"/>
    <x v="4"/>
    <s v="EMP_34"/>
    <d v="2024-09-15T13:29:00"/>
    <d v="2024-09-15T15:33:00"/>
    <n v="48"/>
    <n v="124"/>
    <n v="1"/>
    <x v="2"/>
    <x v="0"/>
    <n v="306.83999999999997"/>
    <n v="76"/>
    <n v="0.38709677419354838"/>
    <s v="Inefficient"/>
    <s v="Very Long"/>
    <s v="Major Delay"/>
  </r>
  <r>
    <x v="763"/>
    <x v="3"/>
    <x v="763"/>
    <x v="2"/>
    <x v="1"/>
    <x v="2"/>
    <s v="EMP_97"/>
    <d v="2024-12-11T22:24:00"/>
    <d v="2024-12-12T01:10:00"/>
    <n v="79"/>
    <n v="166"/>
    <n v="1"/>
    <x v="2"/>
    <x v="9"/>
    <n v="159.24"/>
    <n v="87"/>
    <n v="0.4759036144578313"/>
    <s v="Inefficient"/>
    <s v="Very Long"/>
    <s v="Major Delay"/>
  </r>
  <r>
    <x v="764"/>
    <x v="3"/>
    <x v="764"/>
    <x v="2"/>
    <x v="0"/>
    <x v="1"/>
    <s v="EMP_4"/>
    <d v="2024-07-16T05:47:00"/>
    <d v="2024-07-16T08:43:00"/>
    <n v="137"/>
    <n v="176"/>
    <n v="1"/>
    <x v="1"/>
    <x v="6"/>
    <n v="262.45999999999998"/>
    <n v="39"/>
    <n v="0.77840909090909094"/>
    <s v="Inefficient"/>
    <s v="Very Long"/>
    <s v="Major Delay"/>
  </r>
  <r>
    <x v="765"/>
    <x v="1"/>
    <x v="765"/>
    <x v="2"/>
    <x v="0"/>
    <x v="0"/>
    <s v="EMP_144"/>
    <d v="2024-07-07T10:19:00"/>
    <d v="2024-07-07T13:01:00"/>
    <n v="47"/>
    <n v="162"/>
    <n v="1"/>
    <x v="0"/>
    <x v="9"/>
    <n v="428.51"/>
    <n v="115"/>
    <n v="0.29012345679012347"/>
    <s v="Inefficient"/>
    <s v="Very Long"/>
    <s v="Major Delay"/>
  </r>
  <r>
    <x v="766"/>
    <x v="4"/>
    <x v="766"/>
    <x v="1"/>
    <x v="3"/>
    <x v="2"/>
    <s v="EMP_85"/>
    <d v="2024-01-22T22:13:00"/>
    <d v="2024-01-23T00:39:00"/>
    <n v="102"/>
    <n v="146"/>
    <n v="1"/>
    <x v="2"/>
    <x v="3"/>
    <n v="365.44"/>
    <n v="44"/>
    <n v="0.69863013698630139"/>
    <s v="Inefficient"/>
    <s v="Very Long"/>
    <s v="Major Delay"/>
  </r>
  <r>
    <x v="767"/>
    <x v="3"/>
    <x v="767"/>
    <x v="4"/>
    <x v="1"/>
    <x v="4"/>
    <s v="EMP_1"/>
    <d v="2024-12-22T20:40:00"/>
    <d v="2024-12-22T22:43:00"/>
    <n v="35"/>
    <n v="123"/>
    <n v="1"/>
    <x v="2"/>
    <x v="4"/>
    <n v="82.67"/>
    <n v="88"/>
    <n v="0.28455284552845528"/>
    <s v="Inefficient"/>
    <s v="Very Long"/>
    <s v="Major Delay"/>
  </r>
  <r>
    <x v="768"/>
    <x v="2"/>
    <x v="768"/>
    <x v="2"/>
    <x v="0"/>
    <x v="2"/>
    <s v="EMP_65"/>
    <d v="2024-07-09T16:40:00"/>
    <d v="2024-07-09T20:34:00"/>
    <n v="116"/>
    <n v="234"/>
    <n v="1"/>
    <x v="1"/>
    <x v="0"/>
    <n v="135.1"/>
    <n v="118"/>
    <n v="0.49572649572649574"/>
    <s v="Inefficient"/>
    <s v="Very Long"/>
    <s v="Major Delay"/>
  </r>
  <r>
    <x v="769"/>
    <x v="0"/>
    <x v="769"/>
    <x v="3"/>
    <x v="0"/>
    <x v="0"/>
    <s v="EMP_105"/>
    <d v="2024-06-24T19:12:00"/>
    <d v="2024-06-24T21:10:00"/>
    <n v="72"/>
    <n v="118"/>
    <n v="1"/>
    <x v="0"/>
    <x v="2"/>
    <n v="199.01"/>
    <n v="46"/>
    <n v="0.61016949152542377"/>
    <s v="Inefficient"/>
    <s v="Long"/>
    <s v="Major Delay"/>
  </r>
  <r>
    <x v="770"/>
    <x v="0"/>
    <x v="770"/>
    <x v="0"/>
    <x v="0"/>
    <x v="4"/>
    <s v="EMP_8"/>
    <d v="2024-11-27T13:10:00"/>
    <d v="2024-11-27T15:53:00"/>
    <n v="127"/>
    <n v="163"/>
    <n v="1"/>
    <x v="2"/>
    <x v="6"/>
    <n v="63.64"/>
    <n v="36"/>
    <n v="0.77914110429447858"/>
    <s v="Inefficient"/>
    <s v="Very Long"/>
    <s v="Major Delay"/>
  </r>
  <r>
    <x v="771"/>
    <x v="4"/>
    <x v="771"/>
    <x v="2"/>
    <x v="3"/>
    <x v="1"/>
    <s v="EMP_19"/>
    <d v="2024-05-16T13:23:00"/>
    <d v="2024-05-16T15:54:00"/>
    <n v="68"/>
    <n v="151"/>
    <n v="1"/>
    <x v="2"/>
    <x v="1"/>
    <n v="197.41"/>
    <n v="83"/>
    <n v="0.45033112582781459"/>
    <s v="Inefficient"/>
    <s v="Very Long"/>
    <s v="Major Delay"/>
  </r>
  <r>
    <x v="772"/>
    <x v="0"/>
    <x v="772"/>
    <x v="3"/>
    <x v="2"/>
    <x v="0"/>
    <s v="EMP_35"/>
    <d v="2024-09-17T00:35:00"/>
    <d v="2024-09-17T05:44:00"/>
    <n v="214"/>
    <n v="309"/>
    <n v="1"/>
    <x v="2"/>
    <x v="5"/>
    <n v="203.92"/>
    <n v="95"/>
    <n v="0.69255663430420711"/>
    <s v="Inefficient"/>
    <s v="Very Long"/>
    <s v="Major Delay"/>
  </r>
  <r>
    <x v="773"/>
    <x v="1"/>
    <x v="773"/>
    <x v="1"/>
    <x v="1"/>
    <x v="1"/>
    <s v="EMP_144"/>
    <d v="2024-01-09T00:15:00"/>
    <d v="2024-01-09T02:18:00"/>
    <n v="97"/>
    <n v="123"/>
    <n v="1"/>
    <x v="0"/>
    <x v="5"/>
    <n v="206.23"/>
    <n v="26"/>
    <n v="0.78861788617886175"/>
    <s v="Inefficient"/>
    <s v="Very Long"/>
    <s v="Minor Delay"/>
  </r>
  <r>
    <x v="774"/>
    <x v="1"/>
    <x v="774"/>
    <x v="4"/>
    <x v="1"/>
    <x v="4"/>
    <s v="EMP_45"/>
    <d v="2024-04-13T07:27:00"/>
    <d v="2024-04-13T12:00:00"/>
    <n v="200"/>
    <n v="273"/>
    <n v="1"/>
    <x v="0"/>
    <x v="8"/>
    <n v="172.93"/>
    <n v="73"/>
    <n v="0.73260073260073255"/>
    <s v="Inefficient"/>
    <s v="Very Long"/>
    <s v="Major Delay"/>
  </r>
  <r>
    <x v="775"/>
    <x v="3"/>
    <x v="775"/>
    <x v="0"/>
    <x v="1"/>
    <x v="3"/>
    <s v="EMP_101"/>
    <d v="2024-02-11T04:30:00"/>
    <d v="2024-02-11T07:10:00"/>
    <n v="153"/>
    <n v="160"/>
    <n v="1"/>
    <x v="0"/>
    <x v="7"/>
    <n v="373.17"/>
    <n v="7"/>
    <n v="0.95625000000000004"/>
    <s v="Inefficient"/>
    <s v="Very Long"/>
    <s v="Minor Delay"/>
  </r>
  <r>
    <x v="776"/>
    <x v="3"/>
    <x v="776"/>
    <x v="1"/>
    <x v="0"/>
    <x v="0"/>
    <s v="EMP_87"/>
    <d v="2024-11-29T11:26:00"/>
    <d v="2024-11-29T12:25:00"/>
    <n v="14"/>
    <n v="59"/>
    <n v="1"/>
    <x v="2"/>
    <x v="2"/>
    <n v="361.19"/>
    <n v="45"/>
    <n v="0.23728813559322035"/>
    <s v="Inefficient"/>
    <s v="Medium"/>
    <s v="Major Delay"/>
  </r>
  <r>
    <x v="777"/>
    <x v="4"/>
    <x v="777"/>
    <x v="0"/>
    <x v="3"/>
    <x v="2"/>
    <s v="EMP_24"/>
    <d v="2024-07-31T08:48:00"/>
    <d v="2024-07-31T10:58:00"/>
    <n v="106"/>
    <n v="130"/>
    <n v="1"/>
    <x v="0"/>
    <x v="5"/>
    <n v="311.33"/>
    <n v="24"/>
    <n v="0.81538461538461537"/>
    <s v="Inefficient"/>
    <s v="Very Long"/>
    <s v="Minor Delay"/>
  </r>
  <r>
    <x v="778"/>
    <x v="0"/>
    <x v="778"/>
    <x v="3"/>
    <x v="1"/>
    <x v="4"/>
    <s v="EMP_39"/>
    <d v="2024-05-26T10:59:00"/>
    <d v="2024-05-26T13:15:00"/>
    <n v="79"/>
    <n v="136"/>
    <n v="1"/>
    <x v="2"/>
    <x v="9"/>
    <n v="426.71"/>
    <n v="57"/>
    <n v="0.58088235294117652"/>
    <s v="Inefficient"/>
    <s v="Very Long"/>
    <s v="Major Delay"/>
  </r>
  <r>
    <x v="779"/>
    <x v="0"/>
    <x v="779"/>
    <x v="1"/>
    <x v="3"/>
    <x v="3"/>
    <s v="EMP_129"/>
    <d v="2024-07-16T23:15:00"/>
    <d v="2024-07-17T00:22:00"/>
    <n v="53"/>
    <n v="67"/>
    <n v="1"/>
    <x v="1"/>
    <x v="8"/>
    <n v="219.74"/>
    <n v="14"/>
    <n v="0.79104477611940294"/>
    <s v="Inefficient"/>
    <s v="Long"/>
    <s v="Minor Delay"/>
  </r>
  <r>
    <x v="780"/>
    <x v="3"/>
    <x v="780"/>
    <x v="3"/>
    <x v="1"/>
    <x v="3"/>
    <s v="EMP_115"/>
    <d v="2024-06-20T06:35:00"/>
    <d v="2024-06-20T08:49:00"/>
    <n v="89"/>
    <n v="134"/>
    <n v="1"/>
    <x v="0"/>
    <x v="8"/>
    <n v="268.62"/>
    <n v="45"/>
    <n v="0.66417910447761197"/>
    <s v="Inefficient"/>
    <s v="Very Long"/>
    <s v="Major Delay"/>
  </r>
  <r>
    <x v="781"/>
    <x v="1"/>
    <x v="781"/>
    <x v="1"/>
    <x v="0"/>
    <x v="0"/>
    <s v="EMP_84"/>
    <d v="2024-03-31T21:39:00"/>
    <d v="2024-04-01T01:14:00"/>
    <n v="198"/>
    <n v="215"/>
    <n v="1"/>
    <x v="2"/>
    <x v="7"/>
    <n v="218.45"/>
    <n v="17"/>
    <n v="0.92093023255813955"/>
    <s v="Inefficient"/>
    <s v="Very Long"/>
    <s v="Minor Delay"/>
  </r>
  <r>
    <x v="782"/>
    <x v="3"/>
    <x v="782"/>
    <x v="2"/>
    <x v="2"/>
    <x v="3"/>
    <s v="EMP_66"/>
    <d v="2024-09-25T16:04:00"/>
    <d v="2024-09-25T20:29:00"/>
    <n v="174"/>
    <n v="265"/>
    <n v="1"/>
    <x v="2"/>
    <x v="0"/>
    <n v="200.36"/>
    <n v="91"/>
    <n v="0.65660377358490563"/>
    <s v="Inefficient"/>
    <s v="Very Long"/>
    <s v="Major Delay"/>
  </r>
  <r>
    <x v="783"/>
    <x v="0"/>
    <x v="783"/>
    <x v="2"/>
    <x v="1"/>
    <x v="3"/>
    <s v="EMP_95"/>
    <d v="2024-06-08T07:01:00"/>
    <d v="2024-06-08T09:30:00"/>
    <n v="46"/>
    <n v="149"/>
    <n v="1"/>
    <x v="1"/>
    <x v="0"/>
    <n v="214.12"/>
    <n v="103"/>
    <n v="0.3087248322147651"/>
    <s v="Inefficient"/>
    <s v="Very Long"/>
    <s v="Major Delay"/>
  </r>
  <r>
    <x v="784"/>
    <x v="3"/>
    <x v="784"/>
    <x v="1"/>
    <x v="1"/>
    <x v="1"/>
    <s v="EMP_44"/>
    <d v="2024-10-02T06:42:00"/>
    <d v="2024-10-02T10:28:00"/>
    <n v="217"/>
    <n v="226"/>
    <n v="1"/>
    <x v="0"/>
    <x v="3"/>
    <n v="380.15"/>
    <n v="9"/>
    <n v="0.96017699115044253"/>
    <s v="Inefficient"/>
    <s v="Very Long"/>
    <s v="Minor Delay"/>
  </r>
  <r>
    <x v="785"/>
    <x v="4"/>
    <x v="785"/>
    <x v="1"/>
    <x v="0"/>
    <x v="4"/>
    <s v="EMP_143"/>
    <d v="2024-09-17T12:01:00"/>
    <d v="2024-09-17T16:31:00"/>
    <n v="232"/>
    <n v="270"/>
    <n v="1"/>
    <x v="0"/>
    <x v="2"/>
    <n v="312.81"/>
    <n v="38"/>
    <n v="0.85925925925925928"/>
    <s v="Inefficient"/>
    <s v="Very Long"/>
    <s v="Major Delay"/>
  </r>
  <r>
    <x v="786"/>
    <x v="2"/>
    <x v="786"/>
    <x v="1"/>
    <x v="1"/>
    <x v="0"/>
    <s v="EMP_123"/>
    <d v="2024-07-10T14:18:00"/>
    <d v="2024-07-10T19:05:00"/>
    <n v="181"/>
    <n v="287"/>
    <n v="1"/>
    <x v="0"/>
    <x v="0"/>
    <n v="79.489999999999995"/>
    <n v="106"/>
    <n v="0.63066202090592338"/>
    <s v="Inefficient"/>
    <s v="Very Long"/>
    <s v="Major Delay"/>
  </r>
  <r>
    <x v="787"/>
    <x v="4"/>
    <x v="787"/>
    <x v="2"/>
    <x v="3"/>
    <x v="2"/>
    <s v="EMP_80"/>
    <d v="2024-08-27T22:28:00"/>
    <d v="2024-08-28T01:23:00"/>
    <n v="160"/>
    <n v="175"/>
    <n v="1"/>
    <x v="0"/>
    <x v="1"/>
    <n v="454.35"/>
    <n v="15"/>
    <n v="0.91428571428571426"/>
    <s v="Inefficient"/>
    <s v="Very Long"/>
    <s v="Minor Delay"/>
  </r>
  <r>
    <x v="788"/>
    <x v="1"/>
    <x v="788"/>
    <x v="3"/>
    <x v="3"/>
    <x v="4"/>
    <s v="EMP_146"/>
    <d v="2024-12-06T15:39:00"/>
    <d v="2024-12-06T20:58:00"/>
    <n v="232"/>
    <n v="319"/>
    <n v="1"/>
    <x v="2"/>
    <x v="2"/>
    <n v="415.87"/>
    <n v="87"/>
    <n v="0.72727272727272729"/>
    <s v="Inefficient"/>
    <s v="Very Long"/>
    <s v="Major Delay"/>
  </r>
  <r>
    <x v="789"/>
    <x v="0"/>
    <x v="789"/>
    <x v="0"/>
    <x v="2"/>
    <x v="4"/>
    <s v="EMP_78"/>
    <d v="2024-08-07T03:08:00"/>
    <d v="2024-08-07T05:29:00"/>
    <n v="85"/>
    <n v="141"/>
    <n v="1"/>
    <x v="2"/>
    <x v="5"/>
    <n v="431.5"/>
    <n v="56"/>
    <n v="0.6028368794326241"/>
    <s v="Inefficient"/>
    <s v="Very Long"/>
    <s v="Major Delay"/>
  </r>
  <r>
    <x v="790"/>
    <x v="2"/>
    <x v="790"/>
    <x v="1"/>
    <x v="2"/>
    <x v="3"/>
    <s v="EMP_84"/>
    <d v="2024-02-17T07:16:00"/>
    <d v="2024-02-17T09:35:00"/>
    <n v="96"/>
    <n v="139"/>
    <n v="1"/>
    <x v="0"/>
    <x v="4"/>
    <n v="100.11"/>
    <n v="43"/>
    <n v="0.69064748201438853"/>
    <s v="Inefficient"/>
    <s v="Very Long"/>
    <s v="Major Delay"/>
  </r>
  <r>
    <x v="791"/>
    <x v="1"/>
    <x v="791"/>
    <x v="1"/>
    <x v="2"/>
    <x v="4"/>
    <s v="EMP_109"/>
    <d v="2024-07-23T13:42:00"/>
    <d v="2024-07-23T15:19:00"/>
    <n v="48"/>
    <n v="97"/>
    <n v="1"/>
    <x v="0"/>
    <x v="5"/>
    <n v="80.66"/>
    <n v="49"/>
    <n v="0.49484536082474229"/>
    <s v="Inefficient"/>
    <s v="Long"/>
    <s v="Major Delay"/>
  </r>
  <r>
    <x v="792"/>
    <x v="0"/>
    <x v="792"/>
    <x v="1"/>
    <x v="1"/>
    <x v="0"/>
    <s v="EMP_70"/>
    <d v="2024-01-15T15:20:00"/>
    <d v="2024-01-15T19:44:00"/>
    <n v="202"/>
    <n v="264"/>
    <n v="1"/>
    <x v="0"/>
    <x v="1"/>
    <n v="392.43"/>
    <n v="62"/>
    <n v="0.76515151515151514"/>
    <s v="Inefficient"/>
    <s v="Very Long"/>
    <s v="Major Delay"/>
  </r>
  <r>
    <x v="793"/>
    <x v="4"/>
    <x v="793"/>
    <x v="3"/>
    <x v="0"/>
    <x v="1"/>
    <s v="EMP_98"/>
    <d v="2024-11-27T07:49:00"/>
    <d v="2024-11-27T11:45:00"/>
    <n v="218"/>
    <n v="236"/>
    <n v="1"/>
    <x v="1"/>
    <x v="5"/>
    <n v="186.36"/>
    <n v="18"/>
    <n v="0.92372881355932202"/>
    <s v="Inefficient"/>
    <s v="Very Long"/>
    <s v="Minor Delay"/>
  </r>
  <r>
    <x v="794"/>
    <x v="4"/>
    <x v="794"/>
    <x v="0"/>
    <x v="3"/>
    <x v="1"/>
    <s v="EMP_59"/>
    <d v="2024-08-12T01:50:00"/>
    <d v="2024-08-12T06:17:00"/>
    <n v="182"/>
    <n v="267"/>
    <n v="1"/>
    <x v="1"/>
    <x v="6"/>
    <n v="244.55"/>
    <n v="85"/>
    <n v="0.68164794007490637"/>
    <s v="Inefficient"/>
    <s v="Very Long"/>
    <s v="Major Delay"/>
  </r>
  <r>
    <x v="795"/>
    <x v="0"/>
    <x v="795"/>
    <x v="3"/>
    <x v="2"/>
    <x v="0"/>
    <s v="EMP_76"/>
    <d v="2024-11-10T16:38:00"/>
    <d v="2024-11-10T21:56:00"/>
    <n v="201"/>
    <n v="318"/>
    <n v="1"/>
    <x v="1"/>
    <x v="8"/>
    <n v="280.13"/>
    <n v="117"/>
    <n v="0.63207547169811318"/>
    <s v="Inefficient"/>
    <s v="Very Long"/>
    <s v="Major Delay"/>
  </r>
  <r>
    <x v="796"/>
    <x v="1"/>
    <x v="796"/>
    <x v="3"/>
    <x v="2"/>
    <x v="0"/>
    <s v="EMP_134"/>
    <d v="2024-09-21T12:25:00"/>
    <d v="2024-09-21T16:14:00"/>
    <n v="169"/>
    <n v="229"/>
    <n v="1"/>
    <x v="2"/>
    <x v="6"/>
    <n v="199.78"/>
    <n v="60"/>
    <n v="0.73799126637554591"/>
    <s v="Inefficient"/>
    <s v="Very Long"/>
    <s v="Major Delay"/>
  </r>
  <r>
    <x v="797"/>
    <x v="1"/>
    <x v="797"/>
    <x v="0"/>
    <x v="2"/>
    <x v="0"/>
    <s v="EMP_32"/>
    <d v="2024-05-04T13:18:00"/>
    <d v="2024-05-04T15:21:00"/>
    <n v="85"/>
    <n v="123"/>
    <n v="1"/>
    <x v="0"/>
    <x v="8"/>
    <n v="313.49"/>
    <n v="38"/>
    <n v="0.69105691056910568"/>
    <s v="Inefficient"/>
    <s v="Very Long"/>
    <s v="Major Delay"/>
  </r>
  <r>
    <x v="798"/>
    <x v="4"/>
    <x v="798"/>
    <x v="4"/>
    <x v="0"/>
    <x v="3"/>
    <s v="EMP_31"/>
    <d v="2024-11-28T23:29:00"/>
    <d v="2024-11-29T01:17:00"/>
    <n v="15"/>
    <n v="108"/>
    <n v="1"/>
    <x v="0"/>
    <x v="2"/>
    <n v="165.33"/>
    <n v="93"/>
    <n v="0.1388888888888889"/>
    <s v="Inefficient"/>
    <s v="Long"/>
    <s v="Major Delay"/>
  </r>
  <r>
    <x v="799"/>
    <x v="0"/>
    <x v="799"/>
    <x v="4"/>
    <x v="0"/>
    <x v="4"/>
    <s v="EMP_90"/>
    <d v="2024-01-01T07:12:00"/>
    <d v="2024-01-01T13:00:00"/>
    <n v="240"/>
    <n v="348"/>
    <n v="1"/>
    <x v="0"/>
    <x v="2"/>
    <n v="162.59"/>
    <n v="108"/>
    <n v="0.68965517241379315"/>
    <s v="Inefficient"/>
    <s v="Very Long"/>
    <s v="Major Delay"/>
  </r>
  <r>
    <x v="800"/>
    <x v="4"/>
    <x v="800"/>
    <x v="3"/>
    <x v="1"/>
    <x v="4"/>
    <s v="EMP_129"/>
    <d v="2024-12-26T01:28:00"/>
    <d v="2024-12-26T05:36:00"/>
    <n v="198"/>
    <n v="248"/>
    <n v="1"/>
    <x v="0"/>
    <x v="5"/>
    <n v="491.98"/>
    <n v="50"/>
    <n v="0.79838709677419351"/>
    <s v="Inefficient"/>
    <s v="Very Long"/>
    <s v="Major Delay"/>
  </r>
  <r>
    <x v="801"/>
    <x v="2"/>
    <x v="801"/>
    <x v="2"/>
    <x v="3"/>
    <x v="3"/>
    <s v="EMP_97"/>
    <d v="2024-02-18T18:21:00"/>
    <d v="2024-02-18T20:01:00"/>
    <n v="60"/>
    <n v="100"/>
    <n v="1"/>
    <x v="2"/>
    <x v="2"/>
    <n v="84.51"/>
    <n v="40"/>
    <n v="0.6"/>
    <s v="Inefficient"/>
    <s v="Long"/>
    <s v="Major Delay"/>
  </r>
  <r>
    <x v="802"/>
    <x v="1"/>
    <x v="802"/>
    <x v="4"/>
    <x v="3"/>
    <x v="1"/>
    <s v="EMP_75"/>
    <d v="2024-03-20T05:42:00"/>
    <d v="2024-03-20T08:50:00"/>
    <n v="166"/>
    <n v="188"/>
    <n v="1"/>
    <x v="0"/>
    <x v="9"/>
    <n v="138.13999999999999"/>
    <n v="22"/>
    <n v="0.88297872340425532"/>
    <s v="Inefficient"/>
    <s v="Very Long"/>
    <s v="Minor Delay"/>
  </r>
  <r>
    <x v="803"/>
    <x v="0"/>
    <x v="803"/>
    <x v="4"/>
    <x v="2"/>
    <x v="4"/>
    <s v="EMP_47"/>
    <d v="2024-08-06T05:55:00"/>
    <d v="2024-08-06T07:39:00"/>
    <n v="43"/>
    <n v="104"/>
    <n v="1"/>
    <x v="1"/>
    <x v="0"/>
    <n v="194.84"/>
    <n v="61"/>
    <n v="0.41346153846153844"/>
    <s v="Inefficient"/>
    <s v="Long"/>
    <s v="Major Delay"/>
  </r>
  <r>
    <x v="804"/>
    <x v="3"/>
    <x v="804"/>
    <x v="0"/>
    <x v="0"/>
    <x v="3"/>
    <s v="EMP_34"/>
    <d v="2024-08-11T01:50:00"/>
    <d v="2024-08-11T05:14:00"/>
    <n v="95"/>
    <n v="204"/>
    <n v="1"/>
    <x v="2"/>
    <x v="9"/>
    <n v="111.77"/>
    <n v="109"/>
    <n v="0.46568627450980393"/>
    <s v="Inefficient"/>
    <s v="Very Long"/>
    <s v="Major Delay"/>
  </r>
  <r>
    <x v="805"/>
    <x v="3"/>
    <x v="805"/>
    <x v="3"/>
    <x v="2"/>
    <x v="3"/>
    <s v="EMP_115"/>
    <d v="2024-11-19T07:47:00"/>
    <d v="2024-11-19T12:11:00"/>
    <n v="152"/>
    <n v="264"/>
    <n v="1"/>
    <x v="1"/>
    <x v="1"/>
    <n v="236.89"/>
    <n v="112"/>
    <n v="0.5757575757575758"/>
    <s v="Inefficient"/>
    <s v="Very Long"/>
    <s v="Major Delay"/>
  </r>
  <r>
    <x v="806"/>
    <x v="1"/>
    <x v="806"/>
    <x v="0"/>
    <x v="2"/>
    <x v="2"/>
    <s v="EMP_49"/>
    <d v="2024-03-28T05:23:00"/>
    <d v="2024-03-28T08:19:00"/>
    <n v="63"/>
    <n v="176"/>
    <n v="1"/>
    <x v="1"/>
    <x v="8"/>
    <n v="333.15"/>
    <n v="113"/>
    <n v="0.35795454545454547"/>
    <s v="Inefficient"/>
    <s v="Very Long"/>
    <s v="Major Delay"/>
  </r>
  <r>
    <x v="807"/>
    <x v="2"/>
    <x v="807"/>
    <x v="3"/>
    <x v="0"/>
    <x v="1"/>
    <s v="EMP_131"/>
    <d v="2024-01-30T10:48:00"/>
    <d v="2024-01-30T14:01:00"/>
    <n v="165"/>
    <n v="193"/>
    <n v="1"/>
    <x v="0"/>
    <x v="4"/>
    <n v="80.3"/>
    <n v="28"/>
    <n v="0.85492227979274615"/>
    <s v="Inefficient"/>
    <s v="Very Long"/>
    <s v="Minor Delay"/>
  </r>
  <r>
    <x v="808"/>
    <x v="4"/>
    <x v="808"/>
    <x v="1"/>
    <x v="3"/>
    <x v="3"/>
    <s v="EMP_102"/>
    <d v="2024-12-07T06:31:00"/>
    <d v="2024-12-07T07:23:00"/>
    <n v="48"/>
    <n v="52"/>
    <n v="1"/>
    <x v="0"/>
    <x v="3"/>
    <n v="289.19"/>
    <n v="4"/>
    <n v="0.92307692307692313"/>
    <s v="Inefficient"/>
    <s v="Medium"/>
    <s v="Minor Delay"/>
  </r>
  <r>
    <x v="809"/>
    <x v="3"/>
    <x v="809"/>
    <x v="3"/>
    <x v="3"/>
    <x v="4"/>
    <s v="EMP_114"/>
    <d v="2024-10-19T12:29:00"/>
    <d v="2024-10-19T13:14:00"/>
    <n v="21"/>
    <n v="45"/>
    <n v="1"/>
    <x v="2"/>
    <x v="9"/>
    <n v="341.25"/>
    <n v="24"/>
    <n v="0.46666666666666667"/>
    <s v="Inefficient"/>
    <s v="Medium"/>
    <s v="Minor Delay"/>
  </r>
  <r>
    <x v="810"/>
    <x v="4"/>
    <x v="810"/>
    <x v="3"/>
    <x v="0"/>
    <x v="3"/>
    <s v="EMP_73"/>
    <d v="2024-07-04T19:45:00"/>
    <d v="2024-07-04T23:14:00"/>
    <n v="129"/>
    <n v="209"/>
    <n v="1"/>
    <x v="2"/>
    <x v="2"/>
    <n v="213.19"/>
    <n v="80"/>
    <n v="0.61722488038277512"/>
    <s v="Inefficient"/>
    <s v="Very Long"/>
    <s v="Major Delay"/>
  </r>
  <r>
    <x v="811"/>
    <x v="2"/>
    <x v="811"/>
    <x v="4"/>
    <x v="3"/>
    <x v="3"/>
    <s v="EMP_93"/>
    <d v="2024-04-26T04:45:00"/>
    <d v="2024-04-26T09:30:00"/>
    <n v="169"/>
    <n v="285"/>
    <n v="1"/>
    <x v="2"/>
    <x v="5"/>
    <n v="491.57"/>
    <n v="116"/>
    <n v="0.59298245614035083"/>
    <s v="Inefficient"/>
    <s v="Very Long"/>
    <s v="Major Delay"/>
  </r>
  <r>
    <x v="812"/>
    <x v="0"/>
    <x v="812"/>
    <x v="2"/>
    <x v="0"/>
    <x v="1"/>
    <s v="EMP_13"/>
    <d v="2024-08-21T21:21:00"/>
    <d v="2024-08-22T03:01:00"/>
    <n v="223"/>
    <n v="340"/>
    <n v="1"/>
    <x v="1"/>
    <x v="4"/>
    <n v="218.21"/>
    <n v="117"/>
    <n v="0.65588235294117647"/>
    <s v="Inefficient"/>
    <s v="Very Long"/>
    <s v="Major Delay"/>
  </r>
  <r>
    <x v="813"/>
    <x v="4"/>
    <x v="813"/>
    <x v="4"/>
    <x v="2"/>
    <x v="1"/>
    <s v="EMP_138"/>
    <d v="2024-03-21T07:29:00"/>
    <d v="2024-03-21T11:09:00"/>
    <n v="190"/>
    <n v="220"/>
    <n v="1"/>
    <x v="2"/>
    <x v="0"/>
    <n v="315.82"/>
    <n v="30"/>
    <n v="0.86363636363636365"/>
    <s v="Inefficient"/>
    <s v="Very Long"/>
    <s v="Minor Delay"/>
  </r>
  <r>
    <x v="814"/>
    <x v="3"/>
    <x v="814"/>
    <x v="2"/>
    <x v="0"/>
    <x v="0"/>
    <s v="EMP_113"/>
    <d v="2024-11-14T18:48:00"/>
    <d v="2024-11-14T22:24:00"/>
    <n v="165"/>
    <n v="216"/>
    <n v="1"/>
    <x v="1"/>
    <x v="5"/>
    <n v="130.16999999999999"/>
    <n v="51"/>
    <n v="0.76388888888888884"/>
    <s v="Inefficient"/>
    <s v="Very Long"/>
    <s v="Major Delay"/>
  </r>
  <r>
    <x v="815"/>
    <x v="2"/>
    <x v="815"/>
    <x v="4"/>
    <x v="1"/>
    <x v="3"/>
    <s v="EMP_38"/>
    <d v="2024-05-24T23:39:00"/>
    <d v="2024-05-25T02:36:00"/>
    <n v="143"/>
    <n v="177"/>
    <n v="1"/>
    <x v="1"/>
    <x v="6"/>
    <n v="200.3"/>
    <n v="34"/>
    <n v="0.80790960451977401"/>
    <s v="Inefficient"/>
    <s v="Very Long"/>
    <s v="Major Delay"/>
  </r>
  <r>
    <x v="816"/>
    <x v="0"/>
    <x v="816"/>
    <x v="0"/>
    <x v="1"/>
    <x v="3"/>
    <s v="EMP_44"/>
    <d v="2024-07-06T21:00:00"/>
    <d v="2024-07-07T00:32:00"/>
    <n v="158"/>
    <n v="212"/>
    <n v="1"/>
    <x v="2"/>
    <x v="6"/>
    <n v="237.15"/>
    <n v="54"/>
    <n v="0.74528301886792447"/>
    <s v="Inefficient"/>
    <s v="Very Long"/>
    <s v="Major Delay"/>
  </r>
  <r>
    <x v="817"/>
    <x v="3"/>
    <x v="817"/>
    <x v="3"/>
    <x v="3"/>
    <x v="4"/>
    <s v="EMP_53"/>
    <d v="2024-10-31T01:33:00"/>
    <d v="2024-10-31T03:50:00"/>
    <n v="65"/>
    <n v="137"/>
    <n v="1"/>
    <x v="1"/>
    <x v="2"/>
    <n v="97.3"/>
    <n v="72"/>
    <n v="0.47445255474452552"/>
    <s v="Inefficient"/>
    <s v="Very Long"/>
    <s v="Major Delay"/>
  </r>
  <r>
    <x v="818"/>
    <x v="2"/>
    <x v="818"/>
    <x v="3"/>
    <x v="1"/>
    <x v="0"/>
    <s v="EMP_140"/>
    <d v="2024-09-11T14:51:00"/>
    <d v="2024-09-11T19:09:00"/>
    <n v="204"/>
    <n v="258"/>
    <n v="1"/>
    <x v="1"/>
    <x v="1"/>
    <n v="405.99"/>
    <n v="54"/>
    <n v="0.79069767441860461"/>
    <s v="Inefficient"/>
    <s v="Very Long"/>
    <s v="Major Delay"/>
  </r>
  <r>
    <x v="819"/>
    <x v="2"/>
    <x v="819"/>
    <x v="3"/>
    <x v="0"/>
    <x v="3"/>
    <s v="EMP_20"/>
    <d v="2024-08-29T17:00:00"/>
    <d v="2024-08-29T21:27:00"/>
    <n v="168"/>
    <n v="267"/>
    <n v="1"/>
    <x v="1"/>
    <x v="9"/>
    <n v="184.5"/>
    <n v="99"/>
    <n v="0.6292134831460674"/>
    <s v="Inefficient"/>
    <s v="Very Long"/>
    <s v="Major Delay"/>
  </r>
  <r>
    <x v="820"/>
    <x v="0"/>
    <x v="820"/>
    <x v="0"/>
    <x v="2"/>
    <x v="4"/>
    <s v="EMP_36"/>
    <d v="2024-11-27T21:20:00"/>
    <d v="2024-11-28T01:49:00"/>
    <n v="170"/>
    <n v="269"/>
    <n v="1"/>
    <x v="2"/>
    <x v="1"/>
    <n v="280.02"/>
    <n v="99"/>
    <n v="0.63197026022304836"/>
    <s v="Inefficient"/>
    <s v="Very Long"/>
    <s v="Major Delay"/>
  </r>
  <r>
    <x v="821"/>
    <x v="4"/>
    <x v="821"/>
    <x v="0"/>
    <x v="1"/>
    <x v="0"/>
    <s v="EMP_102"/>
    <d v="2024-07-29T07:05:00"/>
    <d v="2024-07-29T11:50:00"/>
    <n v="179"/>
    <n v="285"/>
    <n v="1"/>
    <x v="2"/>
    <x v="7"/>
    <n v="93.87"/>
    <n v="106"/>
    <n v="0.62807017543859645"/>
    <s v="Inefficient"/>
    <s v="Very Long"/>
    <s v="Major Delay"/>
  </r>
  <r>
    <x v="822"/>
    <x v="2"/>
    <x v="822"/>
    <x v="2"/>
    <x v="2"/>
    <x v="0"/>
    <s v="EMP_95"/>
    <d v="2024-12-18T01:03:00"/>
    <d v="2024-12-18T04:59:00"/>
    <n v="140"/>
    <n v="236"/>
    <n v="1"/>
    <x v="0"/>
    <x v="3"/>
    <n v="87"/>
    <n v="96"/>
    <n v="0.59322033898305082"/>
    <s v="Inefficient"/>
    <s v="Very Long"/>
    <s v="Major Delay"/>
  </r>
  <r>
    <x v="823"/>
    <x v="2"/>
    <x v="823"/>
    <x v="0"/>
    <x v="3"/>
    <x v="3"/>
    <s v="EMP_144"/>
    <d v="2024-06-07T20:06:00"/>
    <d v="2024-06-07T22:10:00"/>
    <n v="112"/>
    <n v="124"/>
    <n v="1"/>
    <x v="1"/>
    <x v="2"/>
    <n v="281.7"/>
    <n v="12"/>
    <n v="0.90322580645161288"/>
    <s v="Inefficient"/>
    <s v="Very Long"/>
    <s v="Minor Delay"/>
  </r>
  <r>
    <x v="824"/>
    <x v="1"/>
    <x v="824"/>
    <x v="4"/>
    <x v="3"/>
    <x v="3"/>
    <s v="EMP_125"/>
    <d v="2024-04-19T10:00:00"/>
    <d v="2024-04-19T12:56:00"/>
    <n v="155"/>
    <n v="176"/>
    <n v="1"/>
    <x v="2"/>
    <x v="7"/>
    <n v="73.66"/>
    <n v="21"/>
    <n v="0.88068181818181823"/>
    <s v="Inefficient"/>
    <s v="Very Long"/>
    <s v="Minor Delay"/>
  </r>
  <r>
    <x v="825"/>
    <x v="0"/>
    <x v="825"/>
    <x v="2"/>
    <x v="3"/>
    <x v="2"/>
    <s v="EMP_8"/>
    <d v="2024-03-10T19:45:00"/>
    <d v="2024-03-10T21:40:00"/>
    <n v="96"/>
    <n v="115"/>
    <n v="1"/>
    <x v="1"/>
    <x v="7"/>
    <n v="102.95"/>
    <n v="19"/>
    <n v="0.83478260869565213"/>
    <s v="Inefficient"/>
    <s v="Long"/>
    <s v="Minor Delay"/>
  </r>
  <r>
    <x v="826"/>
    <x v="3"/>
    <x v="826"/>
    <x v="2"/>
    <x v="3"/>
    <x v="3"/>
    <s v="EMP_115"/>
    <d v="2024-11-14T11:52:00"/>
    <d v="2024-11-14T13:35:00"/>
    <n v="21"/>
    <n v="103"/>
    <n v="1"/>
    <x v="0"/>
    <x v="6"/>
    <n v="490.35"/>
    <n v="82"/>
    <n v="0.20388349514563106"/>
    <s v="Inefficient"/>
    <s v="Long"/>
    <s v="Major Delay"/>
  </r>
  <r>
    <x v="827"/>
    <x v="0"/>
    <x v="827"/>
    <x v="2"/>
    <x v="2"/>
    <x v="0"/>
    <s v="EMP_94"/>
    <d v="2024-12-11T09:27:00"/>
    <d v="2024-12-11T11:06:00"/>
    <n v="93"/>
    <n v="99"/>
    <n v="1"/>
    <x v="1"/>
    <x v="4"/>
    <n v="50.79"/>
    <n v="6"/>
    <n v="0.93939393939393945"/>
    <s v="Inefficient"/>
    <s v="Long"/>
    <s v="Minor Delay"/>
  </r>
  <r>
    <x v="828"/>
    <x v="2"/>
    <x v="828"/>
    <x v="4"/>
    <x v="1"/>
    <x v="4"/>
    <s v="EMP_128"/>
    <d v="2024-12-03T17:21:00"/>
    <d v="2024-12-03T21:02:00"/>
    <n v="185"/>
    <n v="221"/>
    <n v="1"/>
    <x v="0"/>
    <x v="2"/>
    <n v="403.34"/>
    <n v="36"/>
    <n v="0.83710407239819007"/>
    <s v="Inefficient"/>
    <s v="Very Long"/>
    <s v="Major Delay"/>
  </r>
  <r>
    <x v="829"/>
    <x v="1"/>
    <x v="829"/>
    <x v="2"/>
    <x v="0"/>
    <x v="0"/>
    <s v="EMP_71"/>
    <d v="2024-06-16T17:38:00"/>
    <d v="2024-06-16T19:39:00"/>
    <n v="75"/>
    <n v="121"/>
    <n v="1"/>
    <x v="0"/>
    <x v="6"/>
    <n v="159.58000000000001"/>
    <n v="46"/>
    <n v="0.6198347107438017"/>
    <s v="Inefficient"/>
    <s v="Very Long"/>
    <s v="Major Delay"/>
  </r>
  <r>
    <x v="830"/>
    <x v="4"/>
    <x v="830"/>
    <x v="1"/>
    <x v="0"/>
    <x v="2"/>
    <s v="EMP_135"/>
    <d v="2024-12-18T23:11:00"/>
    <d v="2024-12-19T02:10:00"/>
    <n v="81"/>
    <n v="179"/>
    <n v="1"/>
    <x v="2"/>
    <x v="7"/>
    <n v="121.82"/>
    <n v="98"/>
    <n v="0.45251396648044695"/>
    <s v="Inefficient"/>
    <s v="Very Long"/>
    <s v="Major Delay"/>
  </r>
  <r>
    <x v="831"/>
    <x v="4"/>
    <x v="831"/>
    <x v="2"/>
    <x v="2"/>
    <x v="2"/>
    <s v="EMP_2"/>
    <d v="2024-12-04T19:19:00"/>
    <d v="2024-12-04T21:51:00"/>
    <n v="120"/>
    <n v="152"/>
    <n v="1"/>
    <x v="0"/>
    <x v="5"/>
    <n v="372.24"/>
    <n v="32"/>
    <n v="0.78947368421052633"/>
    <s v="Inefficient"/>
    <s v="Very Long"/>
    <s v="Major Delay"/>
  </r>
  <r>
    <x v="832"/>
    <x v="4"/>
    <x v="832"/>
    <x v="0"/>
    <x v="0"/>
    <x v="1"/>
    <s v="EMP_83"/>
    <d v="2024-05-08T00:24:00"/>
    <d v="2024-05-08T01:23:00"/>
    <n v="42"/>
    <n v="59"/>
    <n v="1"/>
    <x v="1"/>
    <x v="5"/>
    <n v="178.8"/>
    <n v="17"/>
    <n v="0.71186440677966101"/>
    <s v="Inefficient"/>
    <s v="Medium"/>
    <s v="Minor Delay"/>
  </r>
  <r>
    <x v="833"/>
    <x v="0"/>
    <x v="833"/>
    <x v="4"/>
    <x v="2"/>
    <x v="1"/>
    <s v="EMP_7"/>
    <d v="2024-12-05T15:09:00"/>
    <d v="2024-12-05T19:13:00"/>
    <n v="185"/>
    <n v="244"/>
    <n v="1"/>
    <x v="2"/>
    <x v="4"/>
    <n v="90.78"/>
    <n v="59"/>
    <n v="0.75819672131147542"/>
    <s v="Inefficient"/>
    <s v="Very Long"/>
    <s v="Major Delay"/>
  </r>
  <r>
    <x v="834"/>
    <x v="3"/>
    <x v="834"/>
    <x v="3"/>
    <x v="0"/>
    <x v="2"/>
    <s v="EMP_105"/>
    <d v="2024-04-06T18:09:00"/>
    <d v="2024-04-06T19:41:00"/>
    <n v="89"/>
    <n v="92"/>
    <n v="1"/>
    <x v="1"/>
    <x v="3"/>
    <n v="223.34"/>
    <n v="3"/>
    <n v="0.96739130434782605"/>
    <s v="Inefficient"/>
    <s v="Long"/>
    <s v="Minor Delay"/>
  </r>
  <r>
    <x v="835"/>
    <x v="0"/>
    <x v="835"/>
    <x v="4"/>
    <x v="2"/>
    <x v="1"/>
    <s v="EMP_85"/>
    <d v="2024-08-30T11:04:00"/>
    <d v="2024-08-30T15:00:00"/>
    <n v="182"/>
    <n v="236"/>
    <n v="1"/>
    <x v="2"/>
    <x v="5"/>
    <n v="360.01"/>
    <n v="54"/>
    <n v="0.77118644067796616"/>
    <s v="Inefficient"/>
    <s v="Very Long"/>
    <s v="Major Delay"/>
  </r>
  <r>
    <x v="836"/>
    <x v="4"/>
    <x v="836"/>
    <x v="0"/>
    <x v="3"/>
    <x v="2"/>
    <s v="EMP_94"/>
    <d v="2024-09-14T22:22:00"/>
    <d v="2024-09-15T02:02:00"/>
    <n v="116"/>
    <n v="220"/>
    <n v="1"/>
    <x v="1"/>
    <x v="4"/>
    <n v="343.4"/>
    <n v="104"/>
    <n v="0.52727272727272723"/>
    <s v="Inefficient"/>
    <s v="Very Long"/>
    <s v="Major Delay"/>
  </r>
  <r>
    <x v="837"/>
    <x v="4"/>
    <x v="837"/>
    <x v="4"/>
    <x v="1"/>
    <x v="1"/>
    <s v="EMP_79"/>
    <d v="2024-09-12T05:02:00"/>
    <d v="2024-09-12T09:19:00"/>
    <n v="156"/>
    <n v="257"/>
    <n v="1"/>
    <x v="0"/>
    <x v="9"/>
    <n v="89.39"/>
    <n v="101"/>
    <n v="0.60700389105058361"/>
    <s v="Inefficient"/>
    <s v="Very Long"/>
    <s v="Major Delay"/>
  </r>
  <r>
    <x v="838"/>
    <x v="2"/>
    <x v="838"/>
    <x v="2"/>
    <x v="0"/>
    <x v="3"/>
    <s v="EMP_78"/>
    <d v="2024-07-13T19:48:00"/>
    <d v="2024-07-13T20:44:00"/>
    <n v="32"/>
    <n v="56"/>
    <n v="1"/>
    <x v="1"/>
    <x v="2"/>
    <n v="123.36"/>
    <n v="24"/>
    <n v="0.5714285714285714"/>
    <s v="Inefficient"/>
    <s v="Medium"/>
    <s v="Minor Delay"/>
  </r>
  <r>
    <x v="839"/>
    <x v="1"/>
    <x v="839"/>
    <x v="4"/>
    <x v="0"/>
    <x v="1"/>
    <s v="EMP_135"/>
    <d v="2024-09-12T00:43:00"/>
    <d v="2024-09-12T04:12:00"/>
    <n v="152"/>
    <n v="209"/>
    <n v="1"/>
    <x v="0"/>
    <x v="8"/>
    <n v="333.07"/>
    <n v="57"/>
    <n v="0.72727272727272729"/>
    <s v="Inefficient"/>
    <s v="Very Long"/>
    <s v="Major Delay"/>
  </r>
  <r>
    <x v="840"/>
    <x v="4"/>
    <x v="840"/>
    <x v="0"/>
    <x v="1"/>
    <x v="1"/>
    <s v="EMP_74"/>
    <d v="2024-08-25T05:16:00"/>
    <d v="2024-08-25T09:08:00"/>
    <n v="172"/>
    <n v="232"/>
    <n v="1"/>
    <x v="1"/>
    <x v="7"/>
    <n v="150"/>
    <n v="60"/>
    <n v="0.74137931034482762"/>
    <s v="Inefficient"/>
    <s v="Very Long"/>
    <s v="Major Delay"/>
  </r>
  <r>
    <x v="841"/>
    <x v="3"/>
    <x v="841"/>
    <x v="4"/>
    <x v="3"/>
    <x v="2"/>
    <s v="EMP_109"/>
    <d v="2024-04-26T19:49:00"/>
    <d v="2024-04-26T21:03:00"/>
    <n v="63"/>
    <n v="74"/>
    <n v="1"/>
    <x v="1"/>
    <x v="4"/>
    <n v="69.63"/>
    <n v="11"/>
    <n v="0.85135135135135132"/>
    <s v="Inefficient"/>
    <s v="Long"/>
    <s v="Minor Delay"/>
  </r>
  <r>
    <x v="842"/>
    <x v="1"/>
    <x v="842"/>
    <x v="1"/>
    <x v="0"/>
    <x v="4"/>
    <s v="EMP_58"/>
    <d v="2024-01-31T05:44:00"/>
    <d v="2024-01-31T07:51:00"/>
    <n v="99"/>
    <n v="127"/>
    <n v="1"/>
    <x v="2"/>
    <x v="2"/>
    <n v="167.28"/>
    <n v="28"/>
    <n v="0.77952755905511806"/>
    <s v="Inefficient"/>
    <s v="Very Long"/>
    <s v="Minor Delay"/>
  </r>
  <r>
    <x v="843"/>
    <x v="4"/>
    <x v="843"/>
    <x v="2"/>
    <x v="0"/>
    <x v="4"/>
    <s v="EMP_134"/>
    <d v="2024-02-06T05:26:00"/>
    <d v="2024-02-06T09:11:00"/>
    <n v="116"/>
    <n v="225"/>
    <n v="1"/>
    <x v="0"/>
    <x v="8"/>
    <n v="93.24"/>
    <n v="109"/>
    <n v="0.51555555555555554"/>
    <s v="Inefficient"/>
    <s v="Very Long"/>
    <s v="Major Delay"/>
  </r>
  <r>
    <x v="844"/>
    <x v="1"/>
    <x v="844"/>
    <x v="2"/>
    <x v="3"/>
    <x v="0"/>
    <s v="EMP_3"/>
    <d v="2024-03-22T12:51:00"/>
    <d v="2024-03-22T14:41:00"/>
    <n v="64"/>
    <n v="110"/>
    <n v="1"/>
    <x v="2"/>
    <x v="1"/>
    <n v="151.99"/>
    <n v="46"/>
    <n v="0.58181818181818179"/>
    <s v="Inefficient"/>
    <s v="Long"/>
    <s v="Major Delay"/>
  </r>
  <r>
    <x v="845"/>
    <x v="1"/>
    <x v="845"/>
    <x v="4"/>
    <x v="1"/>
    <x v="2"/>
    <s v="EMP_80"/>
    <d v="2024-10-03T18:04:00"/>
    <d v="2024-10-03T22:22:00"/>
    <n v="151"/>
    <n v="258"/>
    <n v="1"/>
    <x v="2"/>
    <x v="3"/>
    <n v="403.29"/>
    <n v="107"/>
    <n v="0.5852713178294574"/>
    <s v="Inefficient"/>
    <s v="Very Long"/>
    <s v="Major Delay"/>
  </r>
  <r>
    <x v="846"/>
    <x v="3"/>
    <x v="846"/>
    <x v="4"/>
    <x v="2"/>
    <x v="3"/>
    <s v="EMP_16"/>
    <d v="2024-09-18T15:22:00"/>
    <d v="2024-09-18T20:31:00"/>
    <n v="236"/>
    <n v="309"/>
    <n v="1"/>
    <x v="2"/>
    <x v="6"/>
    <n v="299.01"/>
    <n v="73"/>
    <n v="0.7637540453074434"/>
    <s v="Inefficient"/>
    <s v="Very Long"/>
    <s v="Major Delay"/>
  </r>
  <r>
    <x v="847"/>
    <x v="3"/>
    <x v="847"/>
    <x v="0"/>
    <x v="3"/>
    <x v="2"/>
    <s v="EMP_47"/>
    <d v="2024-11-03T04:39:00"/>
    <d v="2024-11-03T07:52:00"/>
    <n v="101"/>
    <n v="193"/>
    <n v="1"/>
    <x v="0"/>
    <x v="4"/>
    <n v="399.8"/>
    <n v="92"/>
    <n v="0.52331606217616577"/>
    <s v="Inefficient"/>
    <s v="Very Long"/>
    <s v="Major Delay"/>
  </r>
  <r>
    <x v="848"/>
    <x v="0"/>
    <x v="848"/>
    <x v="1"/>
    <x v="1"/>
    <x v="2"/>
    <s v="EMP_17"/>
    <d v="2024-10-08T04:36:00"/>
    <d v="2024-10-08T08:12:00"/>
    <n v="186"/>
    <n v="216"/>
    <n v="1"/>
    <x v="0"/>
    <x v="3"/>
    <n v="90.77"/>
    <n v="30"/>
    <n v="0.86111111111111116"/>
    <s v="Inefficient"/>
    <s v="Very Long"/>
    <s v="Minor Delay"/>
  </r>
  <r>
    <x v="849"/>
    <x v="4"/>
    <x v="849"/>
    <x v="4"/>
    <x v="2"/>
    <x v="0"/>
    <s v="EMP_12"/>
    <d v="2024-06-21T18:56:00"/>
    <d v="2024-06-21T21:50:00"/>
    <n v="114"/>
    <n v="174"/>
    <n v="1"/>
    <x v="1"/>
    <x v="4"/>
    <n v="148.62"/>
    <n v="60"/>
    <n v="0.65517241379310343"/>
    <s v="Inefficient"/>
    <s v="Very Long"/>
    <s v="Major Delay"/>
  </r>
  <r>
    <x v="850"/>
    <x v="3"/>
    <x v="850"/>
    <x v="1"/>
    <x v="3"/>
    <x v="1"/>
    <s v="EMP_64"/>
    <d v="2024-09-25T17:30:00"/>
    <d v="2024-09-25T21:12:00"/>
    <n v="126"/>
    <n v="222"/>
    <n v="1"/>
    <x v="1"/>
    <x v="3"/>
    <n v="154.78"/>
    <n v="96"/>
    <n v="0.56756756756756754"/>
    <s v="Inefficient"/>
    <s v="Very Long"/>
    <s v="Major Delay"/>
  </r>
  <r>
    <x v="851"/>
    <x v="3"/>
    <x v="851"/>
    <x v="1"/>
    <x v="1"/>
    <x v="3"/>
    <s v="EMP_91"/>
    <d v="2024-07-15T22:18:00"/>
    <d v="2024-07-15T23:49:00"/>
    <n v="77"/>
    <n v="91"/>
    <n v="1"/>
    <x v="0"/>
    <x v="4"/>
    <n v="374.51"/>
    <n v="14"/>
    <n v="0.84615384615384615"/>
    <s v="Inefficient"/>
    <s v="Long"/>
    <s v="Minor Delay"/>
  </r>
  <r>
    <x v="852"/>
    <x v="3"/>
    <x v="852"/>
    <x v="3"/>
    <x v="0"/>
    <x v="1"/>
    <s v="EMP_87"/>
    <d v="2024-08-13T00:53:00"/>
    <d v="2024-08-13T04:35:00"/>
    <n v="195"/>
    <n v="222"/>
    <n v="1"/>
    <x v="1"/>
    <x v="5"/>
    <n v="342.9"/>
    <n v="27"/>
    <n v="0.8783783783783784"/>
    <s v="Inefficient"/>
    <s v="Very Long"/>
    <s v="Minor Delay"/>
  </r>
  <r>
    <x v="853"/>
    <x v="1"/>
    <x v="853"/>
    <x v="3"/>
    <x v="1"/>
    <x v="3"/>
    <s v="EMP_132"/>
    <d v="2024-07-29T15:14:00"/>
    <d v="2024-07-29T18:15:00"/>
    <n v="180"/>
    <n v="181"/>
    <n v="1"/>
    <x v="0"/>
    <x v="6"/>
    <n v="453.15"/>
    <n v="1"/>
    <n v="0.99447513812154698"/>
    <s v="Inefficient"/>
    <s v="Very Long"/>
    <s v="Minor Delay"/>
  </r>
  <r>
    <x v="854"/>
    <x v="2"/>
    <x v="854"/>
    <x v="3"/>
    <x v="2"/>
    <x v="0"/>
    <s v="EMP_142"/>
    <d v="2024-02-15T06:58:00"/>
    <d v="2024-02-15T11:34:00"/>
    <n v="217"/>
    <n v="276"/>
    <n v="1"/>
    <x v="2"/>
    <x v="6"/>
    <n v="151.43"/>
    <n v="59"/>
    <n v="0.78623188405797106"/>
    <s v="Inefficient"/>
    <s v="Very Long"/>
    <s v="Major Delay"/>
  </r>
  <r>
    <x v="855"/>
    <x v="3"/>
    <x v="855"/>
    <x v="4"/>
    <x v="1"/>
    <x v="1"/>
    <s v="EMP_53"/>
    <d v="2024-06-11T06:17:00"/>
    <d v="2024-06-11T09:21:00"/>
    <n v="76"/>
    <n v="184"/>
    <n v="1"/>
    <x v="1"/>
    <x v="7"/>
    <n v="223.5"/>
    <n v="108"/>
    <n v="0.41304347826086957"/>
    <s v="Inefficient"/>
    <s v="Very Long"/>
    <s v="Major Delay"/>
  </r>
  <r>
    <x v="856"/>
    <x v="2"/>
    <x v="856"/>
    <x v="1"/>
    <x v="3"/>
    <x v="0"/>
    <s v="EMP_146"/>
    <d v="2024-11-06T02:29:00"/>
    <d v="2024-11-06T06:55:00"/>
    <n v="227"/>
    <n v="266"/>
    <n v="1"/>
    <x v="2"/>
    <x v="5"/>
    <n v="373.4"/>
    <n v="39"/>
    <n v="0.85338345864661658"/>
    <s v="Inefficient"/>
    <s v="Very Long"/>
    <s v="Major Delay"/>
  </r>
  <r>
    <x v="857"/>
    <x v="2"/>
    <x v="857"/>
    <x v="0"/>
    <x v="1"/>
    <x v="0"/>
    <s v="EMP_9"/>
    <d v="2024-06-14T10:17:00"/>
    <d v="2024-06-14T15:42:00"/>
    <n v="212"/>
    <n v="325"/>
    <n v="1"/>
    <x v="0"/>
    <x v="0"/>
    <n v="281.77999999999997"/>
    <n v="113"/>
    <n v="0.65230769230769226"/>
    <s v="Inefficient"/>
    <s v="Very Long"/>
    <s v="Major Delay"/>
  </r>
  <r>
    <x v="858"/>
    <x v="4"/>
    <x v="858"/>
    <x v="3"/>
    <x v="3"/>
    <x v="0"/>
    <s v="EMP_28"/>
    <d v="2024-11-22T22:24:00"/>
    <d v="2024-11-23T01:29:00"/>
    <n v="98"/>
    <n v="185"/>
    <n v="1"/>
    <x v="0"/>
    <x v="8"/>
    <n v="192.37"/>
    <n v="87"/>
    <n v="0.52972972972972976"/>
    <s v="Inefficient"/>
    <s v="Very Long"/>
    <s v="Major Delay"/>
  </r>
  <r>
    <x v="859"/>
    <x v="4"/>
    <x v="859"/>
    <x v="4"/>
    <x v="1"/>
    <x v="4"/>
    <s v="EMP_105"/>
    <d v="2024-10-31T13:13:00"/>
    <d v="2024-10-31T14:35:00"/>
    <n v="33"/>
    <n v="82"/>
    <n v="1"/>
    <x v="0"/>
    <x v="5"/>
    <n v="338.76"/>
    <n v="49"/>
    <n v="0.40243902439024393"/>
    <s v="Inefficient"/>
    <s v="Long"/>
    <s v="Major Delay"/>
  </r>
  <r>
    <x v="860"/>
    <x v="3"/>
    <x v="860"/>
    <x v="4"/>
    <x v="3"/>
    <x v="1"/>
    <s v="EMP_87"/>
    <d v="2024-01-29T14:58:00"/>
    <d v="2024-01-29T19:03:00"/>
    <n v="184"/>
    <n v="245"/>
    <n v="1"/>
    <x v="0"/>
    <x v="6"/>
    <n v="112.13"/>
    <n v="61"/>
    <n v="0.75102040816326532"/>
    <s v="Inefficient"/>
    <s v="Very Long"/>
    <s v="Major Delay"/>
  </r>
  <r>
    <x v="861"/>
    <x v="0"/>
    <x v="861"/>
    <x v="3"/>
    <x v="3"/>
    <x v="0"/>
    <s v="EMP_149"/>
    <d v="2024-10-17T11:23:00"/>
    <d v="2024-10-17T14:49:00"/>
    <n v="115"/>
    <n v="206"/>
    <n v="1"/>
    <x v="2"/>
    <x v="4"/>
    <n v="351.96"/>
    <n v="91"/>
    <n v="0.55825242718446599"/>
    <s v="Inefficient"/>
    <s v="Very Long"/>
    <s v="Major Delay"/>
  </r>
  <r>
    <x v="862"/>
    <x v="2"/>
    <x v="862"/>
    <x v="0"/>
    <x v="2"/>
    <x v="2"/>
    <s v="EMP_113"/>
    <d v="2024-07-18T18:47:00"/>
    <d v="2024-07-18T19:55:00"/>
    <n v="53"/>
    <n v="68"/>
    <n v="1"/>
    <x v="0"/>
    <x v="9"/>
    <n v="272.62"/>
    <n v="15"/>
    <n v="0.77941176470588236"/>
    <s v="Inefficient"/>
    <s v="Long"/>
    <s v="Minor Delay"/>
  </r>
  <r>
    <x v="863"/>
    <x v="0"/>
    <x v="863"/>
    <x v="3"/>
    <x v="3"/>
    <x v="1"/>
    <s v="EMP_5"/>
    <d v="2024-03-30T19:49:00"/>
    <d v="2024-03-30T23:14:00"/>
    <n v="196"/>
    <n v="205"/>
    <n v="1"/>
    <x v="1"/>
    <x v="1"/>
    <n v="90.67"/>
    <n v="9"/>
    <n v="0.95609756097560972"/>
    <s v="Inefficient"/>
    <s v="Very Long"/>
    <s v="Minor Delay"/>
  </r>
  <r>
    <x v="864"/>
    <x v="1"/>
    <x v="864"/>
    <x v="4"/>
    <x v="3"/>
    <x v="1"/>
    <s v="EMP_78"/>
    <d v="2024-03-06T14:13:00"/>
    <d v="2024-03-06T15:31:00"/>
    <n v="36"/>
    <n v="78"/>
    <n v="1"/>
    <x v="0"/>
    <x v="7"/>
    <n v="229.17"/>
    <n v="42"/>
    <n v="0.46153846153846156"/>
    <s v="Inefficient"/>
    <s v="Long"/>
    <s v="Major Delay"/>
  </r>
  <r>
    <x v="865"/>
    <x v="3"/>
    <x v="865"/>
    <x v="3"/>
    <x v="1"/>
    <x v="0"/>
    <s v="EMP_101"/>
    <d v="2024-02-12T01:38:00"/>
    <d v="2024-02-12T04:24:00"/>
    <n v="100"/>
    <n v="166"/>
    <n v="1"/>
    <x v="2"/>
    <x v="7"/>
    <n v="450.03"/>
    <n v="66"/>
    <n v="0.60240963855421692"/>
    <s v="Inefficient"/>
    <s v="Very Long"/>
    <s v="Major Delay"/>
  </r>
  <r>
    <x v="866"/>
    <x v="1"/>
    <x v="866"/>
    <x v="1"/>
    <x v="2"/>
    <x v="0"/>
    <s v="EMP_25"/>
    <d v="2024-08-03T02:26:00"/>
    <d v="2024-08-03T05:26:00"/>
    <n v="133"/>
    <n v="180"/>
    <n v="1"/>
    <x v="0"/>
    <x v="3"/>
    <n v="450.92"/>
    <n v="47"/>
    <n v="0.73888888888888893"/>
    <s v="Inefficient"/>
    <s v="Very Long"/>
    <s v="Major Delay"/>
  </r>
  <r>
    <x v="867"/>
    <x v="0"/>
    <x v="867"/>
    <x v="2"/>
    <x v="0"/>
    <x v="1"/>
    <s v="EMP_150"/>
    <d v="2024-08-23T23:21:00"/>
    <d v="2024-08-23T23:40:00"/>
    <n v="18"/>
    <n v="19"/>
    <n v="1"/>
    <x v="1"/>
    <x v="3"/>
    <n v="226.21"/>
    <n v="1"/>
    <n v="0.94736842105263153"/>
    <s v="Inefficient"/>
    <s v="Short"/>
    <s v="Minor Delay"/>
  </r>
  <r>
    <x v="868"/>
    <x v="3"/>
    <x v="868"/>
    <x v="0"/>
    <x v="1"/>
    <x v="4"/>
    <s v="EMP_122"/>
    <d v="2024-08-24T18:15:00"/>
    <d v="2024-08-24T21:51:00"/>
    <n v="200"/>
    <n v="216"/>
    <n v="1"/>
    <x v="1"/>
    <x v="2"/>
    <n v="415.42"/>
    <n v="16"/>
    <n v="0.92592592592592593"/>
    <s v="Inefficient"/>
    <s v="Very Long"/>
    <s v="Minor Delay"/>
  </r>
  <r>
    <x v="869"/>
    <x v="4"/>
    <x v="869"/>
    <x v="2"/>
    <x v="2"/>
    <x v="0"/>
    <s v="EMP_33"/>
    <d v="2024-08-28T10:13:00"/>
    <d v="2024-08-28T12:52:00"/>
    <n v="148"/>
    <n v="159"/>
    <n v="1"/>
    <x v="1"/>
    <x v="2"/>
    <n v="419.49"/>
    <n v="11"/>
    <n v="0.9308176100628931"/>
    <s v="Inefficient"/>
    <s v="Very Long"/>
    <s v="Minor Delay"/>
  </r>
  <r>
    <x v="870"/>
    <x v="3"/>
    <x v="870"/>
    <x v="0"/>
    <x v="3"/>
    <x v="2"/>
    <s v="EMP_2"/>
    <d v="2024-11-13T20:27:00"/>
    <d v="2024-11-14T00:53:00"/>
    <n v="227"/>
    <n v="266"/>
    <n v="1"/>
    <x v="1"/>
    <x v="2"/>
    <n v="88.35"/>
    <n v="39"/>
    <n v="0.85338345864661658"/>
    <s v="Inefficient"/>
    <s v="Very Long"/>
    <s v="Major Delay"/>
  </r>
  <r>
    <x v="871"/>
    <x v="2"/>
    <x v="871"/>
    <x v="4"/>
    <x v="2"/>
    <x v="3"/>
    <s v="EMP_14"/>
    <d v="2024-11-27T16:38:00"/>
    <d v="2024-11-27T21:06:00"/>
    <n v="161"/>
    <n v="268"/>
    <n v="1"/>
    <x v="0"/>
    <x v="2"/>
    <n v="490.2"/>
    <n v="107"/>
    <n v="0.60074626865671643"/>
    <s v="Inefficient"/>
    <s v="Very Long"/>
    <s v="Major Delay"/>
  </r>
  <r>
    <x v="872"/>
    <x v="1"/>
    <x v="872"/>
    <x v="3"/>
    <x v="1"/>
    <x v="4"/>
    <s v="EMP_107"/>
    <d v="2024-05-26T23:13:00"/>
    <d v="2024-05-27T04:01:00"/>
    <n v="202"/>
    <n v="288"/>
    <n v="1"/>
    <x v="0"/>
    <x v="1"/>
    <n v="306.16000000000003"/>
    <n v="86"/>
    <n v="0.70138888888888884"/>
    <s v="Inefficient"/>
    <s v="Very Long"/>
    <s v="Major Delay"/>
  </r>
  <r>
    <x v="873"/>
    <x v="2"/>
    <x v="873"/>
    <x v="3"/>
    <x v="3"/>
    <x v="4"/>
    <s v="EMP_70"/>
    <d v="2024-01-27T13:56:00"/>
    <d v="2024-01-27T15:39:00"/>
    <n v="103"/>
    <n v="103"/>
    <n v="0"/>
    <x v="0"/>
    <x v="1"/>
    <n v="464.27"/>
    <n v="0"/>
    <n v="1"/>
    <s v="On Target"/>
    <s v="Long"/>
    <s v="On Time"/>
  </r>
  <r>
    <x v="874"/>
    <x v="0"/>
    <x v="874"/>
    <x v="0"/>
    <x v="3"/>
    <x v="0"/>
    <s v="EMP_68"/>
    <d v="2024-12-04T04:45:00"/>
    <d v="2024-12-04T08:16:00"/>
    <n v="102"/>
    <n v="211"/>
    <n v="1"/>
    <x v="2"/>
    <x v="1"/>
    <n v="397.55"/>
    <n v="109"/>
    <n v="0.48341232227488151"/>
    <s v="Inefficient"/>
    <s v="Very Long"/>
    <s v="Major Delay"/>
  </r>
  <r>
    <x v="875"/>
    <x v="1"/>
    <x v="875"/>
    <x v="3"/>
    <x v="2"/>
    <x v="2"/>
    <s v="EMP_31"/>
    <d v="2024-05-27T23:12:00"/>
    <d v="2024-05-28T03:03:00"/>
    <n v="209"/>
    <n v="231"/>
    <n v="1"/>
    <x v="1"/>
    <x v="8"/>
    <n v="187.37"/>
    <n v="22"/>
    <n v="0.90476190476190477"/>
    <s v="Inefficient"/>
    <s v="Very Long"/>
    <s v="Minor Delay"/>
  </r>
  <r>
    <x v="876"/>
    <x v="1"/>
    <x v="876"/>
    <x v="4"/>
    <x v="1"/>
    <x v="1"/>
    <s v="EMP_8"/>
    <d v="2024-07-03T18:11:00"/>
    <d v="2024-07-03T23:50:00"/>
    <n v="230"/>
    <n v="339"/>
    <n v="1"/>
    <x v="2"/>
    <x v="0"/>
    <n v="369.61"/>
    <n v="109"/>
    <n v="0.67846607669616521"/>
    <s v="Inefficient"/>
    <s v="Very Long"/>
    <s v="Major Delay"/>
  </r>
  <r>
    <x v="877"/>
    <x v="1"/>
    <x v="877"/>
    <x v="3"/>
    <x v="1"/>
    <x v="2"/>
    <s v="EMP_48"/>
    <d v="2024-04-29T16:05:00"/>
    <d v="2024-04-29T19:09:00"/>
    <n v="118"/>
    <n v="184"/>
    <n v="1"/>
    <x v="0"/>
    <x v="8"/>
    <n v="345.47"/>
    <n v="66"/>
    <n v="0.64130434782608692"/>
    <s v="Inefficient"/>
    <s v="Very Long"/>
    <s v="Major Delay"/>
  </r>
  <r>
    <x v="878"/>
    <x v="0"/>
    <x v="878"/>
    <x v="1"/>
    <x v="1"/>
    <x v="3"/>
    <s v="EMP_109"/>
    <d v="2024-01-27T04:16:00"/>
    <d v="2024-01-27T07:23:00"/>
    <n v="179"/>
    <n v="187"/>
    <n v="1"/>
    <x v="0"/>
    <x v="1"/>
    <n v="189.82"/>
    <n v="8"/>
    <n v="0.95721925133689845"/>
    <s v="Inefficient"/>
    <s v="Very Long"/>
    <s v="Minor Delay"/>
  </r>
  <r>
    <x v="879"/>
    <x v="3"/>
    <x v="879"/>
    <x v="4"/>
    <x v="2"/>
    <x v="0"/>
    <s v="EMP_41"/>
    <d v="2024-07-06T20:25:00"/>
    <d v="2024-07-07T00:47:00"/>
    <n v="148"/>
    <n v="262"/>
    <n v="1"/>
    <x v="2"/>
    <x v="0"/>
    <n v="266.74"/>
    <n v="114"/>
    <n v="0.56488549618320616"/>
    <s v="Inefficient"/>
    <s v="Very Long"/>
    <s v="Major Delay"/>
  </r>
  <r>
    <x v="880"/>
    <x v="0"/>
    <x v="880"/>
    <x v="4"/>
    <x v="3"/>
    <x v="3"/>
    <s v="EMP_94"/>
    <d v="2024-08-21T18:38:00"/>
    <d v="2024-08-21T20:52:00"/>
    <n v="114"/>
    <n v="134"/>
    <n v="1"/>
    <x v="0"/>
    <x v="0"/>
    <n v="432.58"/>
    <n v="20"/>
    <n v="0.85074626865671643"/>
    <s v="Inefficient"/>
    <s v="Very Long"/>
    <s v="Minor Delay"/>
  </r>
  <r>
    <x v="881"/>
    <x v="1"/>
    <x v="881"/>
    <x v="4"/>
    <x v="2"/>
    <x v="2"/>
    <s v="EMP_40"/>
    <d v="2024-03-02T15:33:00"/>
    <d v="2024-03-02T18:07:00"/>
    <n v="137"/>
    <n v="154"/>
    <n v="1"/>
    <x v="1"/>
    <x v="5"/>
    <n v="208.42"/>
    <n v="17"/>
    <n v="0.88961038961038963"/>
    <s v="Inefficient"/>
    <s v="Very Long"/>
    <s v="Minor Delay"/>
  </r>
  <r>
    <x v="882"/>
    <x v="4"/>
    <x v="882"/>
    <x v="0"/>
    <x v="1"/>
    <x v="1"/>
    <s v="EMP_61"/>
    <d v="2024-02-09T17:07:00"/>
    <d v="2024-02-09T18:03:00"/>
    <n v="22"/>
    <n v="56"/>
    <n v="1"/>
    <x v="1"/>
    <x v="4"/>
    <n v="420.7"/>
    <n v="34"/>
    <n v="0.39285714285714285"/>
    <s v="Inefficient"/>
    <s v="Medium"/>
    <s v="Major Delay"/>
  </r>
  <r>
    <x v="883"/>
    <x v="2"/>
    <x v="883"/>
    <x v="4"/>
    <x v="2"/>
    <x v="3"/>
    <s v="EMP_38"/>
    <d v="2024-09-15T06:55:00"/>
    <d v="2024-09-15T10:45:00"/>
    <n v="111"/>
    <n v="230"/>
    <n v="1"/>
    <x v="2"/>
    <x v="5"/>
    <n v="466.97"/>
    <n v="119"/>
    <n v="0.4826086956521739"/>
    <s v="Inefficient"/>
    <s v="Very Long"/>
    <s v="Major Delay"/>
  </r>
  <r>
    <x v="884"/>
    <x v="2"/>
    <x v="884"/>
    <x v="0"/>
    <x v="3"/>
    <x v="3"/>
    <s v="EMP_125"/>
    <d v="2024-07-22T19:01:00"/>
    <d v="2024-07-22T20:55:00"/>
    <n v="33"/>
    <n v="114"/>
    <n v="1"/>
    <x v="1"/>
    <x v="6"/>
    <n v="160.97"/>
    <n v="81"/>
    <n v="0.28947368421052633"/>
    <s v="Inefficient"/>
    <s v="Long"/>
    <s v="Major Delay"/>
  </r>
  <r>
    <x v="885"/>
    <x v="4"/>
    <x v="885"/>
    <x v="4"/>
    <x v="0"/>
    <x v="1"/>
    <s v="EMP_78"/>
    <d v="2024-09-13T20:22:00"/>
    <d v="2024-09-13T22:21:00"/>
    <n v="26"/>
    <n v="119"/>
    <n v="1"/>
    <x v="1"/>
    <x v="3"/>
    <n v="477.42"/>
    <n v="93"/>
    <n v="0.21848739495798319"/>
    <s v="Inefficient"/>
    <s v="Long"/>
    <s v="Major Delay"/>
  </r>
  <r>
    <x v="886"/>
    <x v="4"/>
    <x v="886"/>
    <x v="1"/>
    <x v="3"/>
    <x v="3"/>
    <s v="EMP_130"/>
    <d v="2024-02-06T06:57:00"/>
    <d v="2024-02-06T10:09:00"/>
    <n v="173"/>
    <n v="192"/>
    <n v="1"/>
    <x v="0"/>
    <x v="8"/>
    <n v="471.17"/>
    <n v="19"/>
    <n v="0.90104166666666663"/>
    <s v="Inefficient"/>
    <s v="Very Long"/>
    <s v="Minor Delay"/>
  </r>
  <r>
    <x v="887"/>
    <x v="1"/>
    <x v="887"/>
    <x v="4"/>
    <x v="1"/>
    <x v="2"/>
    <s v="EMP_57"/>
    <d v="2024-09-14T16:21:00"/>
    <d v="2024-09-14T22:18:00"/>
    <n v="240"/>
    <n v="357"/>
    <n v="1"/>
    <x v="1"/>
    <x v="4"/>
    <n v="440.1"/>
    <n v="117"/>
    <n v="0.67226890756302526"/>
    <s v="Inefficient"/>
    <s v="Very Long"/>
    <s v="Major Delay"/>
  </r>
  <r>
    <x v="888"/>
    <x v="1"/>
    <x v="888"/>
    <x v="4"/>
    <x v="3"/>
    <x v="3"/>
    <s v="EMP_21"/>
    <d v="2024-11-14T07:50:00"/>
    <d v="2024-11-14T12:09:00"/>
    <n v="199"/>
    <n v="259"/>
    <n v="1"/>
    <x v="0"/>
    <x v="7"/>
    <n v="132.24"/>
    <n v="60"/>
    <n v="0.76833976833976836"/>
    <s v="Inefficient"/>
    <s v="Very Long"/>
    <s v="Major Delay"/>
  </r>
  <r>
    <x v="889"/>
    <x v="3"/>
    <x v="889"/>
    <x v="2"/>
    <x v="3"/>
    <x v="0"/>
    <s v="EMP_37"/>
    <d v="2024-09-27T21:51:00"/>
    <d v="2024-09-27T23:43:00"/>
    <n v="40"/>
    <n v="112"/>
    <n v="1"/>
    <x v="1"/>
    <x v="0"/>
    <n v="250.39"/>
    <n v="72"/>
    <n v="0.35714285714285715"/>
    <s v="Inefficient"/>
    <s v="Long"/>
    <s v="Major Delay"/>
  </r>
  <r>
    <x v="890"/>
    <x v="1"/>
    <x v="890"/>
    <x v="0"/>
    <x v="0"/>
    <x v="3"/>
    <s v="EMP_120"/>
    <d v="2024-05-18T14:33:00"/>
    <d v="2024-05-18T16:11:00"/>
    <n v="48"/>
    <n v="98"/>
    <n v="1"/>
    <x v="0"/>
    <x v="6"/>
    <n v="68.23"/>
    <n v="50"/>
    <n v="0.48979591836734693"/>
    <s v="Inefficient"/>
    <s v="Long"/>
    <s v="Major Delay"/>
  </r>
  <r>
    <x v="891"/>
    <x v="3"/>
    <x v="891"/>
    <x v="1"/>
    <x v="2"/>
    <x v="4"/>
    <s v="EMP_125"/>
    <d v="2024-09-27T21:24:00"/>
    <d v="2024-09-28T00:44:00"/>
    <n v="123"/>
    <n v="200"/>
    <n v="1"/>
    <x v="1"/>
    <x v="3"/>
    <n v="388.19"/>
    <n v="77"/>
    <n v="0.61499999999999999"/>
    <s v="Inefficient"/>
    <s v="Very Long"/>
    <s v="Major Delay"/>
  </r>
  <r>
    <x v="892"/>
    <x v="2"/>
    <x v="892"/>
    <x v="0"/>
    <x v="2"/>
    <x v="1"/>
    <s v="EMP_86"/>
    <d v="2024-06-27T07:06:00"/>
    <d v="2024-06-27T08:57:00"/>
    <n v="43"/>
    <n v="111"/>
    <n v="1"/>
    <x v="0"/>
    <x v="2"/>
    <n v="134.16"/>
    <n v="68"/>
    <n v="0.38738738738738737"/>
    <s v="Inefficient"/>
    <s v="Long"/>
    <s v="Major Delay"/>
  </r>
  <r>
    <x v="893"/>
    <x v="3"/>
    <x v="893"/>
    <x v="1"/>
    <x v="3"/>
    <x v="4"/>
    <s v="EMP_9"/>
    <d v="2024-05-05T02:30:00"/>
    <d v="2024-05-05T04:20:00"/>
    <n v="109"/>
    <n v="110"/>
    <n v="1"/>
    <x v="0"/>
    <x v="8"/>
    <n v="388.59"/>
    <n v="1"/>
    <n v="0.99090909090909096"/>
    <s v="Inefficient"/>
    <s v="Long"/>
    <s v="Minor Delay"/>
  </r>
  <r>
    <x v="894"/>
    <x v="4"/>
    <x v="894"/>
    <x v="3"/>
    <x v="0"/>
    <x v="1"/>
    <s v="EMP_78"/>
    <d v="2024-07-23T10:18:00"/>
    <d v="2024-07-23T15:34:00"/>
    <n v="226"/>
    <n v="316"/>
    <n v="1"/>
    <x v="2"/>
    <x v="5"/>
    <n v="174.13"/>
    <n v="90"/>
    <n v="0.71518987341772156"/>
    <s v="Inefficient"/>
    <s v="Very Long"/>
    <s v="Major Delay"/>
  </r>
  <r>
    <x v="895"/>
    <x v="0"/>
    <x v="895"/>
    <x v="3"/>
    <x v="0"/>
    <x v="1"/>
    <s v="EMP_143"/>
    <d v="2024-07-21T16:23:00"/>
    <d v="2024-07-21T21:02:00"/>
    <n v="188"/>
    <n v="279"/>
    <n v="1"/>
    <x v="1"/>
    <x v="6"/>
    <n v="467.33"/>
    <n v="91"/>
    <n v="0.6738351254480287"/>
    <s v="Inefficient"/>
    <s v="Very Long"/>
    <s v="Major Delay"/>
  </r>
  <r>
    <x v="896"/>
    <x v="4"/>
    <x v="896"/>
    <x v="1"/>
    <x v="3"/>
    <x v="3"/>
    <s v="EMP_70"/>
    <d v="2024-02-24T02:52:00"/>
    <d v="2024-02-24T04:11:00"/>
    <n v="33"/>
    <n v="79"/>
    <n v="1"/>
    <x v="2"/>
    <x v="2"/>
    <n v="460.2"/>
    <n v="46"/>
    <n v="0.41772151898734178"/>
    <s v="Inefficient"/>
    <s v="Long"/>
    <s v="Major Delay"/>
  </r>
  <r>
    <x v="897"/>
    <x v="0"/>
    <x v="897"/>
    <x v="4"/>
    <x v="1"/>
    <x v="4"/>
    <s v="EMP_124"/>
    <d v="2024-10-26T13:43:00"/>
    <d v="2024-10-26T18:00:00"/>
    <n v="233"/>
    <n v="257"/>
    <n v="1"/>
    <x v="1"/>
    <x v="2"/>
    <n v="174.92"/>
    <n v="24"/>
    <n v="0.9066147859922179"/>
    <s v="Inefficient"/>
    <s v="Very Long"/>
    <s v="Minor Delay"/>
  </r>
  <r>
    <x v="898"/>
    <x v="1"/>
    <x v="898"/>
    <x v="0"/>
    <x v="3"/>
    <x v="0"/>
    <s v="EMP_71"/>
    <d v="2024-11-27T12:12:00"/>
    <d v="2024-11-27T14:41:00"/>
    <n v="89"/>
    <n v="149"/>
    <n v="1"/>
    <x v="2"/>
    <x v="0"/>
    <n v="340.28"/>
    <n v="60"/>
    <n v="0.59731543624161076"/>
    <s v="Inefficient"/>
    <s v="Very Long"/>
    <s v="Major Delay"/>
  </r>
  <r>
    <x v="899"/>
    <x v="4"/>
    <x v="899"/>
    <x v="3"/>
    <x v="3"/>
    <x v="1"/>
    <s v="EMP_66"/>
    <d v="2024-09-13T16:56:00"/>
    <d v="2024-09-13T18:51:00"/>
    <n v="73"/>
    <n v="115"/>
    <n v="1"/>
    <x v="0"/>
    <x v="9"/>
    <n v="423.08"/>
    <n v="42"/>
    <n v="0.63478260869565217"/>
    <s v="Inefficient"/>
    <s v="Long"/>
    <s v="Major Delay"/>
  </r>
  <r>
    <x v="900"/>
    <x v="2"/>
    <x v="900"/>
    <x v="0"/>
    <x v="0"/>
    <x v="4"/>
    <s v="EMP_5"/>
    <d v="2024-04-21T20:14:00"/>
    <d v="2024-04-22T00:56:00"/>
    <n v="239"/>
    <n v="282"/>
    <n v="1"/>
    <x v="2"/>
    <x v="1"/>
    <n v="332.2"/>
    <n v="43"/>
    <n v="0.84751773049645385"/>
    <s v="Inefficient"/>
    <s v="Very Long"/>
    <s v="Major Delay"/>
  </r>
  <r>
    <x v="901"/>
    <x v="3"/>
    <x v="901"/>
    <x v="3"/>
    <x v="2"/>
    <x v="0"/>
    <s v="EMP_97"/>
    <d v="2024-07-06T10:54:00"/>
    <d v="2024-07-06T15:53:00"/>
    <n v="192"/>
    <n v="299"/>
    <n v="1"/>
    <x v="1"/>
    <x v="4"/>
    <n v="462.38"/>
    <n v="107"/>
    <n v="0.64214046822742477"/>
    <s v="Inefficient"/>
    <s v="Very Long"/>
    <s v="Major Delay"/>
  </r>
  <r>
    <x v="902"/>
    <x v="1"/>
    <x v="902"/>
    <x v="1"/>
    <x v="2"/>
    <x v="4"/>
    <s v="EMP_74"/>
    <d v="2024-06-17T19:20:00"/>
    <d v="2024-06-17T21:33:00"/>
    <n v="51"/>
    <n v="133"/>
    <n v="1"/>
    <x v="1"/>
    <x v="5"/>
    <n v="67.86"/>
    <n v="82"/>
    <n v="0.38345864661654133"/>
    <s v="Inefficient"/>
    <s v="Very Long"/>
    <s v="Major Delay"/>
  </r>
  <r>
    <x v="903"/>
    <x v="3"/>
    <x v="903"/>
    <x v="2"/>
    <x v="3"/>
    <x v="2"/>
    <s v="EMP_63"/>
    <d v="2024-02-14T01:07:00"/>
    <d v="2024-02-14T02:54:00"/>
    <n v="59"/>
    <n v="107"/>
    <n v="1"/>
    <x v="1"/>
    <x v="4"/>
    <n v="88.9"/>
    <n v="48"/>
    <n v="0.55140186915887845"/>
    <s v="Inefficient"/>
    <s v="Long"/>
    <s v="Major Delay"/>
  </r>
  <r>
    <x v="904"/>
    <x v="0"/>
    <x v="904"/>
    <x v="2"/>
    <x v="2"/>
    <x v="0"/>
    <s v="EMP_110"/>
    <d v="2024-10-11T20:45:00"/>
    <d v="2024-10-12T00:16:00"/>
    <n v="106"/>
    <n v="211"/>
    <n v="1"/>
    <x v="1"/>
    <x v="9"/>
    <n v="208.05"/>
    <n v="105"/>
    <n v="0.50236966824644547"/>
    <s v="Inefficient"/>
    <s v="Very Long"/>
    <s v="Major Delay"/>
  </r>
  <r>
    <x v="905"/>
    <x v="1"/>
    <x v="905"/>
    <x v="3"/>
    <x v="0"/>
    <x v="1"/>
    <s v="EMP_75"/>
    <d v="2024-05-19T14:19:00"/>
    <d v="2024-05-19T17:27:00"/>
    <n v="125"/>
    <n v="188"/>
    <n v="1"/>
    <x v="1"/>
    <x v="9"/>
    <n v="150.66999999999999"/>
    <n v="63"/>
    <n v="0.66489361702127658"/>
    <s v="Inefficient"/>
    <s v="Very Long"/>
    <s v="Major Delay"/>
  </r>
  <r>
    <x v="906"/>
    <x v="3"/>
    <x v="906"/>
    <x v="3"/>
    <x v="0"/>
    <x v="2"/>
    <s v="EMP_96"/>
    <d v="2024-03-15T23:29:00"/>
    <d v="2024-03-16T01:24:00"/>
    <n v="40"/>
    <n v="115"/>
    <n v="1"/>
    <x v="2"/>
    <x v="5"/>
    <n v="99.73"/>
    <n v="75"/>
    <n v="0.34782608695652173"/>
    <s v="Inefficient"/>
    <s v="Long"/>
    <s v="Major Delay"/>
  </r>
  <r>
    <x v="907"/>
    <x v="3"/>
    <x v="907"/>
    <x v="3"/>
    <x v="2"/>
    <x v="0"/>
    <s v="EMP_75"/>
    <d v="2024-01-10T04:19:00"/>
    <d v="2024-01-10T08:01:00"/>
    <n v="118"/>
    <n v="222"/>
    <n v="1"/>
    <x v="1"/>
    <x v="0"/>
    <n v="296"/>
    <n v="104"/>
    <n v="0.53153153153153154"/>
    <s v="Inefficient"/>
    <s v="Very Long"/>
    <s v="Major Delay"/>
  </r>
  <r>
    <x v="908"/>
    <x v="1"/>
    <x v="908"/>
    <x v="2"/>
    <x v="3"/>
    <x v="3"/>
    <s v="EMP_60"/>
    <d v="2024-05-12T07:21:00"/>
    <d v="2024-05-12T09:46:00"/>
    <n v="47"/>
    <n v="145"/>
    <n v="1"/>
    <x v="0"/>
    <x v="9"/>
    <n v="407.42"/>
    <n v="98"/>
    <n v="0.32413793103448274"/>
    <s v="Inefficient"/>
    <s v="Very Long"/>
    <s v="Major Delay"/>
  </r>
  <r>
    <x v="909"/>
    <x v="1"/>
    <x v="909"/>
    <x v="4"/>
    <x v="3"/>
    <x v="3"/>
    <s v="EMP_113"/>
    <d v="2024-07-18T23:29:00"/>
    <d v="2024-07-19T03:58:00"/>
    <n v="171"/>
    <n v="269"/>
    <n v="1"/>
    <x v="0"/>
    <x v="7"/>
    <n v="277.74"/>
    <n v="98"/>
    <n v="0.63568773234200748"/>
    <s v="Inefficient"/>
    <s v="Very Long"/>
    <s v="Major Delay"/>
  </r>
  <r>
    <x v="910"/>
    <x v="1"/>
    <x v="910"/>
    <x v="3"/>
    <x v="2"/>
    <x v="3"/>
    <s v="EMP_131"/>
    <d v="2024-03-12T02:01:00"/>
    <d v="2024-03-12T04:15:00"/>
    <n v="124"/>
    <n v="134"/>
    <n v="1"/>
    <x v="1"/>
    <x v="1"/>
    <n v="415.3"/>
    <n v="10"/>
    <n v="0.92537313432835822"/>
    <s v="Inefficient"/>
    <s v="Very Long"/>
    <s v="Minor Delay"/>
  </r>
  <r>
    <x v="911"/>
    <x v="2"/>
    <x v="911"/>
    <x v="3"/>
    <x v="3"/>
    <x v="3"/>
    <s v="EMP_90"/>
    <d v="2024-01-09T09:27:00"/>
    <d v="2024-01-09T12:41:00"/>
    <n v="165"/>
    <n v="194"/>
    <n v="1"/>
    <x v="2"/>
    <x v="3"/>
    <n v="140.63999999999999"/>
    <n v="29"/>
    <n v="0.85051546391752575"/>
    <s v="Inefficient"/>
    <s v="Very Long"/>
    <s v="Minor Delay"/>
  </r>
  <r>
    <x v="912"/>
    <x v="1"/>
    <x v="912"/>
    <x v="3"/>
    <x v="3"/>
    <x v="4"/>
    <s v="EMP_42"/>
    <d v="2024-02-01T02:38:00"/>
    <d v="2024-02-01T04:19:00"/>
    <n v="52"/>
    <n v="101"/>
    <n v="1"/>
    <x v="0"/>
    <x v="1"/>
    <n v="157.27000000000001"/>
    <n v="49"/>
    <n v="0.51485148514851486"/>
    <s v="Inefficient"/>
    <s v="Long"/>
    <s v="Major Delay"/>
  </r>
  <r>
    <x v="913"/>
    <x v="4"/>
    <x v="913"/>
    <x v="1"/>
    <x v="2"/>
    <x v="0"/>
    <s v="EMP_21"/>
    <d v="2024-12-06T12:24:00"/>
    <d v="2024-12-06T14:01:00"/>
    <n v="20"/>
    <n v="97"/>
    <n v="1"/>
    <x v="1"/>
    <x v="5"/>
    <n v="228.37"/>
    <n v="77"/>
    <n v="0.20618556701030927"/>
    <s v="Inefficient"/>
    <s v="Long"/>
    <s v="Major Delay"/>
  </r>
  <r>
    <x v="914"/>
    <x v="3"/>
    <x v="914"/>
    <x v="2"/>
    <x v="1"/>
    <x v="4"/>
    <s v="EMP_19"/>
    <d v="2024-05-25T05:04:00"/>
    <d v="2024-05-25T09:32:00"/>
    <n v="206"/>
    <n v="268"/>
    <n v="1"/>
    <x v="1"/>
    <x v="0"/>
    <n v="123.87"/>
    <n v="62"/>
    <n v="0.76865671641791045"/>
    <s v="Inefficient"/>
    <s v="Very Long"/>
    <s v="Major Delay"/>
  </r>
  <r>
    <x v="915"/>
    <x v="0"/>
    <x v="915"/>
    <x v="2"/>
    <x v="0"/>
    <x v="3"/>
    <s v="EMP_92"/>
    <d v="2024-07-15T01:15:00"/>
    <d v="2024-07-15T03:53:00"/>
    <n v="54"/>
    <n v="158"/>
    <n v="1"/>
    <x v="2"/>
    <x v="6"/>
    <n v="204.08"/>
    <n v="104"/>
    <n v="0.34177215189873417"/>
    <s v="Inefficient"/>
    <s v="Very Long"/>
    <s v="Major Delay"/>
  </r>
  <r>
    <x v="916"/>
    <x v="2"/>
    <x v="916"/>
    <x v="4"/>
    <x v="1"/>
    <x v="4"/>
    <s v="EMP_91"/>
    <d v="2024-09-08T11:14:00"/>
    <d v="2024-09-08T14:03:00"/>
    <n v="49"/>
    <n v="169"/>
    <n v="1"/>
    <x v="0"/>
    <x v="0"/>
    <n v="472.23"/>
    <n v="120"/>
    <n v="0.28994082840236685"/>
    <s v="Inefficient"/>
    <s v="Very Long"/>
    <s v="Major Delay"/>
  </r>
  <r>
    <x v="917"/>
    <x v="4"/>
    <x v="917"/>
    <x v="2"/>
    <x v="3"/>
    <x v="1"/>
    <s v="EMP_41"/>
    <d v="2024-10-14T03:42:00"/>
    <d v="2024-10-14T05:41:00"/>
    <n v="67"/>
    <n v="119"/>
    <n v="1"/>
    <x v="2"/>
    <x v="5"/>
    <n v="244.27"/>
    <n v="52"/>
    <n v="0.56302521008403361"/>
    <s v="Inefficient"/>
    <s v="Long"/>
    <s v="Major Delay"/>
  </r>
  <r>
    <x v="918"/>
    <x v="3"/>
    <x v="918"/>
    <x v="1"/>
    <x v="1"/>
    <x v="4"/>
    <s v="EMP_83"/>
    <d v="2024-06-21T20:50:00"/>
    <d v="2024-06-22T00:43:00"/>
    <n v="182"/>
    <n v="233"/>
    <n v="1"/>
    <x v="0"/>
    <x v="1"/>
    <n v="372.23"/>
    <n v="51"/>
    <n v="0.7811158798283262"/>
    <s v="Inefficient"/>
    <s v="Very Long"/>
    <s v="Major Delay"/>
  </r>
  <r>
    <x v="919"/>
    <x v="3"/>
    <x v="919"/>
    <x v="1"/>
    <x v="0"/>
    <x v="1"/>
    <s v="EMP_120"/>
    <d v="2024-06-24T07:08:00"/>
    <d v="2024-06-24T11:37:00"/>
    <n v="185"/>
    <n v="269"/>
    <n v="1"/>
    <x v="1"/>
    <x v="0"/>
    <n v="309.68"/>
    <n v="84"/>
    <n v="0.68773234200743494"/>
    <s v="Inefficient"/>
    <s v="Very Long"/>
    <s v="Major Delay"/>
  </r>
  <r>
    <x v="920"/>
    <x v="2"/>
    <x v="920"/>
    <x v="0"/>
    <x v="0"/>
    <x v="4"/>
    <s v="EMP_131"/>
    <d v="2024-11-04T18:08:00"/>
    <d v="2024-11-04T21:18:00"/>
    <n v="157"/>
    <n v="190"/>
    <n v="1"/>
    <x v="1"/>
    <x v="9"/>
    <n v="232.17"/>
    <n v="33"/>
    <n v="0.82631578947368423"/>
    <s v="Inefficient"/>
    <s v="Very Long"/>
    <s v="Major Delay"/>
  </r>
  <r>
    <x v="921"/>
    <x v="0"/>
    <x v="921"/>
    <x v="4"/>
    <x v="1"/>
    <x v="3"/>
    <s v="EMP_27"/>
    <d v="2024-06-10T08:44:00"/>
    <d v="2024-06-10T11:46:00"/>
    <n v="106"/>
    <n v="182"/>
    <n v="1"/>
    <x v="2"/>
    <x v="3"/>
    <n v="93.65"/>
    <n v="76"/>
    <n v="0.58241758241758246"/>
    <s v="Inefficient"/>
    <s v="Very Long"/>
    <s v="Major Delay"/>
  </r>
  <r>
    <x v="922"/>
    <x v="1"/>
    <x v="922"/>
    <x v="0"/>
    <x v="0"/>
    <x v="3"/>
    <s v="EMP_33"/>
    <d v="2024-10-04T12:14:00"/>
    <d v="2024-10-04T14:47:00"/>
    <n v="67"/>
    <n v="153"/>
    <n v="1"/>
    <x v="2"/>
    <x v="5"/>
    <n v="166.62"/>
    <n v="86"/>
    <n v="0.43790849673202614"/>
    <s v="Inefficient"/>
    <s v="Very Long"/>
    <s v="Major Delay"/>
  </r>
  <r>
    <x v="923"/>
    <x v="2"/>
    <x v="923"/>
    <x v="0"/>
    <x v="1"/>
    <x v="3"/>
    <s v="EMP_47"/>
    <d v="2024-02-28T12:42:00"/>
    <d v="2024-02-28T15:38:00"/>
    <n v="169"/>
    <n v="176"/>
    <n v="1"/>
    <x v="1"/>
    <x v="6"/>
    <n v="345.45"/>
    <n v="7"/>
    <n v="0.96022727272727271"/>
    <s v="Inefficient"/>
    <s v="Very Long"/>
    <s v="Minor Delay"/>
  </r>
  <r>
    <x v="924"/>
    <x v="0"/>
    <x v="924"/>
    <x v="0"/>
    <x v="0"/>
    <x v="2"/>
    <s v="EMP_10"/>
    <d v="2024-04-25T04:38:00"/>
    <d v="2024-04-25T08:40:00"/>
    <n v="221"/>
    <n v="242"/>
    <n v="1"/>
    <x v="1"/>
    <x v="5"/>
    <n v="420.69"/>
    <n v="21"/>
    <n v="0.91322314049586772"/>
    <s v="Inefficient"/>
    <s v="Very Long"/>
    <s v="Minor Delay"/>
  </r>
  <r>
    <x v="925"/>
    <x v="1"/>
    <x v="925"/>
    <x v="3"/>
    <x v="3"/>
    <x v="2"/>
    <s v="EMP_43"/>
    <d v="2024-04-04T05:07:00"/>
    <d v="2024-04-04T08:08:00"/>
    <n v="161"/>
    <n v="181"/>
    <n v="1"/>
    <x v="0"/>
    <x v="1"/>
    <n v="387.22"/>
    <n v="20"/>
    <n v="0.88950276243093918"/>
    <s v="Inefficient"/>
    <s v="Very Long"/>
    <s v="Minor Delay"/>
  </r>
  <r>
    <x v="926"/>
    <x v="2"/>
    <x v="926"/>
    <x v="4"/>
    <x v="1"/>
    <x v="0"/>
    <s v="EMP_84"/>
    <d v="2024-05-13T07:46:00"/>
    <d v="2024-05-13T10:48:00"/>
    <n v="136"/>
    <n v="182"/>
    <n v="1"/>
    <x v="2"/>
    <x v="5"/>
    <n v="123.99"/>
    <n v="46"/>
    <n v="0.74725274725274726"/>
    <s v="Inefficient"/>
    <s v="Very Long"/>
    <s v="Major Delay"/>
  </r>
  <r>
    <x v="927"/>
    <x v="3"/>
    <x v="927"/>
    <x v="1"/>
    <x v="0"/>
    <x v="1"/>
    <s v="EMP_80"/>
    <d v="2024-07-15T23:46:00"/>
    <d v="2024-07-16T04:57:00"/>
    <n v="221"/>
    <n v="311"/>
    <n v="1"/>
    <x v="2"/>
    <x v="2"/>
    <n v="285.54000000000002"/>
    <n v="90"/>
    <n v="0.71061093247588425"/>
    <s v="Inefficient"/>
    <s v="Very Long"/>
    <s v="Major Delay"/>
  </r>
  <r>
    <x v="928"/>
    <x v="1"/>
    <x v="928"/>
    <x v="2"/>
    <x v="2"/>
    <x v="4"/>
    <s v="EMP_34"/>
    <d v="2024-11-03T00:42:00"/>
    <d v="2024-11-03T04:22:00"/>
    <n v="179"/>
    <n v="220"/>
    <n v="1"/>
    <x v="1"/>
    <x v="4"/>
    <n v="352.98"/>
    <n v="41"/>
    <n v="0.8136363636363636"/>
    <s v="Inefficient"/>
    <s v="Very Long"/>
    <s v="Major Delay"/>
  </r>
  <r>
    <x v="929"/>
    <x v="0"/>
    <x v="929"/>
    <x v="0"/>
    <x v="1"/>
    <x v="3"/>
    <s v="EMP_35"/>
    <d v="2024-05-17T14:38:00"/>
    <d v="2024-05-17T16:14:00"/>
    <n v="21"/>
    <n v="96"/>
    <n v="1"/>
    <x v="2"/>
    <x v="7"/>
    <n v="279.93"/>
    <n v="75"/>
    <n v="0.21875"/>
    <s v="Inefficient"/>
    <s v="Long"/>
    <s v="Major Delay"/>
  </r>
  <r>
    <x v="930"/>
    <x v="0"/>
    <x v="930"/>
    <x v="0"/>
    <x v="0"/>
    <x v="1"/>
    <s v="EMP_58"/>
    <d v="2024-10-06T05:56:00"/>
    <d v="2024-10-06T09:10:00"/>
    <n v="126"/>
    <n v="194"/>
    <n v="1"/>
    <x v="2"/>
    <x v="9"/>
    <n v="384.05"/>
    <n v="68"/>
    <n v="0.64948453608247425"/>
    <s v="Inefficient"/>
    <s v="Very Long"/>
    <s v="Major Delay"/>
  </r>
  <r>
    <x v="931"/>
    <x v="4"/>
    <x v="931"/>
    <x v="1"/>
    <x v="2"/>
    <x v="4"/>
    <s v="EMP_97"/>
    <d v="2024-04-29T18:47:00"/>
    <d v="2024-04-29T21:11:00"/>
    <n v="149"/>
    <n v="144"/>
    <n v="0"/>
    <x v="2"/>
    <x v="0"/>
    <n v="96.07"/>
    <n v="-5"/>
    <n v="1.0347222222222223"/>
    <s v="Efficient"/>
    <s v="Very Long"/>
    <s v="On Time"/>
  </r>
  <r>
    <x v="932"/>
    <x v="3"/>
    <x v="932"/>
    <x v="4"/>
    <x v="3"/>
    <x v="1"/>
    <s v="EMP_98"/>
    <d v="2024-12-07T00:47:00"/>
    <d v="2024-12-07T03:41:00"/>
    <n v="60"/>
    <n v="174"/>
    <n v="1"/>
    <x v="1"/>
    <x v="2"/>
    <n v="497.94"/>
    <n v="114"/>
    <n v="0.34482758620689657"/>
    <s v="Inefficient"/>
    <s v="Very Long"/>
    <s v="Major Delay"/>
  </r>
  <r>
    <x v="933"/>
    <x v="1"/>
    <x v="933"/>
    <x v="3"/>
    <x v="0"/>
    <x v="3"/>
    <s v="EMP_56"/>
    <d v="2024-08-11T04:56:00"/>
    <d v="2024-08-11T08:03:00"/>
    <n v="90"/>
    <n v="187"/>
    <n v="1"/>
    <x v="2"/>
    <x v="4"/>
    <n v="149.91999999999999"/>
    <n v="97"/>
    <n v="0.48128342245989303"/>
    <s v="Inefficient"/>
    <s v="Very Long"/>
    <s v="Major Delay"/>
  </r>
  <r>
    <x v="934"/>
    <x v="2"/>
    <x v="934"/>
    <x v="2"/>
    <x v="1"/>
    <x v="2"/>
    <s v="EMP_111"/>
    <d v="2024-11-16T05:01:00"/>
    <d v="2024-11-16T09:26:00"/>
    <n v="191"/>
    <n v="265"/>
    <n v="1"/>
    <x v="1"/>
    <x v="1"/>
    <n v="236.3"/>
    <n v="74"/>
    <n v="0.72075471698113203"/>
    <s v="Inefficient"/>
    <s v="Very Long"/>
    <s v="Major Delay"/>
  </r>
  <r>
    <x v="935"/>
    <x v="1"/>
    <x v="935"/>
    <x v="4"/>
    <x v="0"/>
    <x v="2"/>
    <s v="EMP_115"/>
    <d v="2024-11-28T14:24:00"/>
    <d v="2024-11-28T16:07:00"/>
    <n v="48"/>
    <n v="103"/>
    <n v="1"/>
    <x v="2"/>
    <x v="9"/>
    <n v="496.15"/>
    <n v="55"/>
    <n v="0.46601941747572817"/>
    <s v="Inefficient"/>
    <s v="Long"/>
    <s v="Major Delay"/>
  </r>
  <r>
    <x v="936"/>
    <x v="2"/>
    <x v="936"/>
    <x v="1"/>
    <x v="2"/>
    <x v="4"/>
    <s v="EMP_41"/>
    <d v="2024-08-25T01:33:00"/>
    <d v="2024-08-25T03:00:00"/>
    <n v="57"/>
    <n v="87"/>
    <n v="1"/>
    <x v="1"/>
    <x v="8"/>
    <n v="302.45"/>
    <n v="30"/>
    <n v="0.65517241379310343"/>
    <s v="Inefficient"/>
    <s v="Long"/>
    <s v="Minor Delay"/>
  </r>
  <r>
    <x v="937"/>
    <x v="3"/>
    <x v="937"/>
    <x v="2"/>
    <x v="0"/>
    <x v="2"/>
    <s v="EMP_56"/>
    <d v="2024-06-02T04:32:00"/>
    <d v="2024-06-02T09:34:00"/>
    <n v="235"/>
    <n v="302"/>
    <n v="1"/>
    <x v="1"/>
    <x v="9"/>
    <n v="404.51"/>
    <n v="67"/>
    <n v="0.77814569536423839"/>
    <s v="Inefficient"/>
    <s v="Very Long"/>
    <s v="Major Delay"/>
  </r>
  <r>
    <x v="938"/>
    <x v="2"/>
    <x v="938"/>
    <x v="0"/>
    <x v="2"/>
    <x v="3"/>
    <s v="EMP_97"/>
    <d v="2024-09-29T06:02:00"/>
    <d v="2024-09-29T09:06:00"/>
    <n v="95"/>
    <n v="184"/>
    <n v="1"/>
    <x v="2"/>
    <x v="2"/>
    <n v="273.41000000000003"/>
    <n v="89"/>
    <n v="0.51630434782608692"/>
    <s v="Inefficient"/>
    <s v="Very Long"/>
    <s v="Major Delay"/>
  </r>
  <r>
    <x v="939"/>
    <x v="0"/>
    <x v="939"/>
    <x v="3"/>
    <x v="3"/>
    <x v="1"/>
    <s v="EMP_121"/>
    <d v="2024-01-25T13:29:00"/>
    <d v="2024-01-25T15:15:00"/>
    <n v="40"/>
    <n v="106"/>
    <n v="1"/>
    <x v="2"/>
    <x v="5"/>
    <n v="114.13"/>
    <n v="66"/>
    <n v="0.37735849056603776"/>
    <s v="Inefficient"/>
    <s v="Long"/>
    <s v="Major Delay"/>
  </r>
  <r>
    <x v="940"/>
    <x v="3"/>
    <x v="940"/>
    <x v="2"/>
    <x v="0"/>
    <x v="3"/>
    <s v="EMP_126"/>
    <d v="2024-01-24T17:58:00"/>
    <d v="2024-01-24T21:47:00"/>
    <n v="226"/>
    <n v="229"/>
    <n v="1"/>
    <x v="2"/>
    <x v="4"/>
    <n v="361.35"/>
    <n v="3"/>
    <n v="0.98689956331877726"/>
    <s v="Inefficient"/>
    <s v="Very Long"/>
    <s v="Minor Delay"/>
  </r>
  <r>
    <x v="941"/>
    <x v="4"/>
    <x v="941"/>
    <x v="3"/>
    <x v="3"/>
    <x v="3"/>
    <s v="EMP_78"/>
    <d v="2024-11-10T13:40:00"/>
    <d v="2024-11-10T15:33:00"/>
    <n v="91"/>
    <n v="113"/>
    <n v="1"/>
    <x v="0"/>
    <x v="1"/>
    <n v="264.26"/>
    <n v="22"/>
    <n v="0.80530973451327437"/>
    <s v="Inefficient"/>
    <s v="Long"/>
    <s v="Minor Delay"/>
  </r>
  <r>
    <x v="942"/>
    <x v="4"/>
    <x v="942"/>
    <x v="0"/>
    <x v="1"/>
    <x v="4"/>
    <s v="EMP_5"/>
    <d v="2024-07-04T17:17:00"/>
    <d v="2024-07-04T20:28:00"/>
    <n v="172"/>
    <n v="191"/>
    <n v="1"/>
    <x v="2"/>
    <x v="6"/>
    <n v="264.81"/>
    <n v="19"/>
    <n v="0.90052356020942403"/>
    <s v="Inefficient"/>
    <s v="Very Long"/>
    <s v="Minor Delay"/>
  </r>
  <r>
    <x v="943"/>
    <x v="4"/>
    <x v="943"/>
    <x v="1"/>
    <x v="3"/>
    <x v="2"/>
    <s v="EMP_143"/>
    <d v="2024-09-10T10:14:00"/>
    <d v="2024-09-10T10:53:00"/>
    <n v="19"/>
    <n v="39"/>
    <n v="1"/>
    <x v="0"/>
    <x v="3"/>
    <n v="494.04"/>
    <n v="20"/>
    <n v="0.48717948717948717"/>
    <s v="Inefficient"/>
    <s v="Medium"/>
    <s v="Minor Delay"/>
  </r>
  <r>
    <x v="944"/>
    <x v="0"/>
    <x v="944"/>
    <x v="4"/>
    <x v="1"/>
    <x v="0"/>
    <s v="EMP_64"/>
    <d v="2024-09-10T11:44:00"/>
    <d v="2024-09-10T16:07:00"/>
    <n v="222"/>
    <n v="263"/>
    <n v="1"/>
    <x v="0"/>
    <x v="6"/>
    <n v="489.15"/>
    <n v="41"/>
    <n v="0.844106463878327"/>
    <s v="Inefficient"/>
    <s v="Very Long"/>
    <s v="Major Delay"/>
  </r>
  <r>
    <x v="945"/>
    <x v="1"/>
    <x v="945"/>
    <x v="1"/>
    <x v="2"/>
    <x v="4"/>
    <s v="EMP_23"/>
    <d v="2024-05-28T23:08:00"/>
    <d v="2024-05-29T02:28:00"/>
    <n v="117"/>
    <n v="200"/>
    <n v="1"/>
    <x v="0"/>
    <x v="0"/>
    <n v="140.9"/>
    <n v="83"/>
    <n v="0.58499999999999996"/>
    <s v="Inefficient"/>
    <s v="Very Long"/>
    <s v="Major Delay"/>
  </r>
  <r>
    <x v="946"/>
    <x v="1"/>
    <x v="946"/>
    <x v="0"/>
    <x v="0"/>
    <x v="4"/>
    <s v="EMP_21"/>
    <d v="2024-10-17T12:36:00"/>
    <d v="2024-10-17T15:38:00"/>
    <n v="99"/>
    <n v="182"/>
    <n v="1"/>
    <x v="1"/>
    <x v="1"/>
    <n v="321.27"/>
    <n v="83"/>
    <n v="0.54395604395604391"/>
    <s v="Inefficient"/>
    <s v="Very Long"/>
    <s v="Major Delay"/>
  </r>
  <r>
    <x v="947"/>
    <x v="3"/>
    <x v="947"/>
    <x v="2"/>
    <x v="3"/>
    <x v="3"/>
    <s v="EMP_82"/>
    <d v="2024-02-13T14:17:00"/>
    <d v="2024-02-13T16:44:00"/>
    <n v="46"/>
    <n v="147"/>
    <n v="1"/>
    <x v="1"/>
    <x v="2"/>
    <n v="227.78"/>
    <n v="101"/>
    <n v="0.31292517006802723"/>
    <s v="Inefficient"/>
    <s v="Very Long"/>
    <s v="Major Delay"/>
  </r>
  <r>
    <x v="948"/>
    <x v="0"/>
    <x v="948"/>
    <x v="1"/>
    <x v="0"/>
    <x v="3"/>
    <s v="EMP_43"/>
    <d v="2024-06-10T10:52:00"/>
    <d v="2024-06-10T15:44:00"/>
    <n v="235"/>
    <n v="292"/>
    <n v="1"/>
    <x v="0"/>
    <x v="9"/>
    <n v="194.71"/>
    <n v="57"/>
    <n v="0.8047945205479452"/>
    <s v="Inefficient"/>
    <s v="Very Long"/>
    <s v="Major Delay"/>
  </r>
  <r>
    <x v="949"/>
    <x v="2"/>
    <x v="949"/>
    <x v="3"/>
    <x v="3"/>
    <x v="2"/>
    <s v="EMP_117"/>
    <d v="2024-11-10T18:31:00"/>
    <d v="2024-11-10T21:28:00"/>
    <n v="148"/>
    <n v="177"/>
    <n v="1"/>
    <x v="2"/>
    <x v="8"/>
    <n v="293.39999999999998"/>
    <n v="29"/>
    <n v="0.83615819209039544"/>
    <s v="Inefficient"/>
    <s v="Very Long"/>
    <s v="Minor Delay"/>
  </r>
  <r>
    <x v="950"/>
    <x v="4"/>
    <x v="950"/>
    <x v="0"/>
    <x v="2"/>
    <x v="0"/>
    <s v="EMP_107"/>
    <d v="2024-07-28T04:31:00"/>
    <d v="2024-07-28T06:19:00"/>
    <n v="38"/>
    <n v="108"/>
    <n v="1"/>
    <x v="0"/>
    <x v="2"/>
    <n v="129.91999999999999"/>
    <n v="70"/>
    <n v="0.35185185185185186"/>
    <s v="Inefficient"/>
    <s v="Long"/>
    <s v="Major Delay"/>
  </r>
  <r>
    <x v="951"/>
    <x v="0"/>
    <x v="951"/>
    <x v="1"/>
    <x v="2"/>
    <x v="0"/>
    <s v="EMP_143"/>
    <d v="2024-07-03T23:27:00"/>
    <d v="2024-07-04T02:48:00"/>
    <n v="147"/>
    <n v="201"/>
    <n v="1"/>
    <x v="0"/>
    <x v="4"/>
    <n v="187.39"/>
    <n v="54"/>
    <n v="0.73134328358208955"/>
    <s v="Inefficient"/>
    <s v="Very Long"/>
    <s v="Major Delay"/>
  </r>
  <r>
    <x v="952"/>
    <x v="1"/>
    <x v="952"/>
    <x v="3"/>
    <x v="1"/>
    <x v="1"/>
    <s v="EMP_13"/>
    <d v="2024-02-14T03:25:00"/>
    <d v="2024-02-14T08:54:00"/>
    <n v="218"/>
    <n v="329"/>
    <n v="1"/>
    <x v="0"/>
    <x v="8"/>
    <n v="340.27"/>
    <n v="111"/>
    <n v="0.66261398176291797"/>
    <s v="Inefficient"/>
    <s v="Very Long"/>
    <s v="Major Delay"/>
  </r>
  <r>
    <x v="953"/>
    <x v="2"/>
    <x v="953"/>
    <x v="0"/>
    <x v="2"/>
    <x v="4"/>
    <s v="EMP_51"/>
    <d v="2024-04-20T12:41:00"/>
    <d v="2024-04-20T15:44:00"/>
    <n v="112"/>
    <n v="183"/>
    <n v="1"/>
    <x v="0"/>
    <x v="2"/>
    <n v="400.35"/>
    <n v="71"/>
    <n v="0.61202185792349728"/>
    <s v="Inefficient"/>
    <s v="Very Long"/>
    <s v="Major Delay"/>
  </r>
  <r>
    <x v="954"/>
    <x v="4"/>
    <x v="954"/>
    <x v="1"/>
    <x v="1"/>
    <x v="1"/>
    <s v="EMP_128"/>
    <d v="2024-04-27T16:31:00"/>
    <d v="2024-04-27T19:45:00"/>
    <n v="155"/>
    <n v="194"/>
    <n v="1"/>
    <x v="0"/>
    <x v="0"/>
    <n v="303.51"/>
    <n v="39"/>
    <n v="0.7989690721649485"/>
    <s v="Inefficient"/>
    <s v="Very Long"/>
    <s v="Major Delay"/>
  </r>
  <r>
    <x v="955"/>
    <x v="0"/>
    <x v="955"/>
    <x v="3"/>
    <x v="3"/>
    <x v="1"/>
    <s v="EMP_28"/>
    <d v="2024-05-20T09:32:00"/>
    <d v="2024-05-20T13:11:00"/>
    <n v="193"/>
    <n v="219"/>
    <n v="1"/>
    <x v="2"/>
    <x v="9"/>
    <n v="451.48"/>
    <n v="26"/>
    <n v="0.88127853881278539"/>
    <s v="Inefficient"/>
    <s v="Very Long"/>
    <s v="Minor Delay"/>
  </r>
  <r>
    <x v="956"/>
    <x v="0"/>
    <x v="956"/>
    <x v="0"/>
    <x v="2"/>
    <x v="2"/>
    <s v="EMP_53"/>
    <d v="2024-02-02T23:28:00"/>
    <d v="2024-02-03T02:10:00"/>
    <n v="153"/>
    <n v="162"/>
    <n v="1"/>
    <x v="1"/>
    <x v="6"/>
    <n v="173.82"/>
    <n v="9"/>
    <n v="0.94444444444444442"/>
    <s v="Inefficient"/>
    <s v="Very Long"/>
    <s v="Minor Delay"/>
  </r>
  <r>
    <x v="957"/>
    <x v="1"/>
    <x v="957"/>
    <x v="3"/>
    <x v="0"/>
    <x v="0"/>
    <s v="EMP_93"/>
    <d v="2024-03-28T03:03:00"/>
    <d v="2024-03-28T07:25:00"/>
    <n v="162"/>
    <n v="262"/>
    <n v="1"/>
    <x v="1"/>
    <x v="8"/>
    <n v="195"/>
    <n v="100"/>
    <n v="0.61832061068702293"/>
    <s v="Inefficient"/>
    <s v="Very Long"/>
    <s v="Major Delay"/>
  </r>
  <r>
    <x v="958"/>
    <x v="1"/>
    <x v="958"/>
    <x v="4"/>
    <x v="3"/>
    <x v="1"/>
    <s v="EMP_129"/>
    <d v="2024-03-08T02:36:00"/>
    <d v="2024-03-08T07:41:00"/>
    <n v="190"/>
    <n v="305"/>
    <n v="1"/>
    <x v="1"/>
    <x v="6"/>
    <n v="298.22000000000003"/>
    <n v="115"/>
    <n v="0.62295081967213117"/>
    <s v="Inefficient"/>
    <s v="Very Long"/>
    <s v="Major Delay"/>
  </r>
  <r>
    <x v="959"/>
    <x v="3"/>
    <x v="959"/>
    <x v="1"/>
    <x v="3"/>
    <x v="1"/>
    <s v="EMP_43"/>
    <d v="2024-06-12T05:05:00"/>
    <d v="2024-06-12T08:19:00"/>
    <n v="131"/>
    <n v="194"/>
    <n v="1"/>
    <x v="0"/>
    <x v="1"/>
    <n v="222.09"/>
    <n v="63"/>
    <n v="0.67525773195876293"/>
    <s v="Inefficient"/>
    <s v="Very Long"/>
    <s v="Major Delay"/>
  </r>
  <r>
    <x v="960"/>
    <x v="2"/>
    <x v="960"/>
    <x v="1"/>
    <x v="3"/>
    <x v="4"/>
    <s v="EMP_14"/>
    <d v="2024-04-02T11:35:00"/>
    <d v="2024-04-02T16:23:00"/>
    <n v="232"/>
    <n v="288"/>
    <n v="1"/>
    <x v="1"/>
    <x v="8"/>
    <n v="72.72"/>
    <n v="56"/>
    <n v="0.80555555555555558"/>
    <s v="Inefficient"/>
    <s v="Very Long"/>
    <s v="Major Delay"/>
  </r>
  <r>
    <x v="961"/>
    <x v="4"/>
    <x v="961"/>
    <x v="0"/>
    <x v="1"/>
    <x v="1"/>
    <s v="EMP_73"/>
    <d v="2024-04-17T15:00:00"/>
    <d v="2024-04-17T18:42:00"/>
    <n v="188"/>
    <n v="222"/>
    <n v="1"/>
    <x v="1"/>
    <x v="0"/>
    <n v="371.15"/>
    <n v="34"/>
    <n v="0.84684684684684686"/>
    <s v="Inefficient"/>
    <s v="Very Long"/>
    <s v="Major Delay"/>
  </r>
  <r>
    <x v="962"/>
    <x v="0"/>
    <x v="962"/>
    <x v="3"/>
    <x v="1"/>
    <x v="2"/>
    <s v="EMP_12"/>
    <d v="2024-11-12T11:06:00"/>
    <d v="2024-11-12T12:03:00"/>
    <n v="18"/>
    <n v="57"/>
    <n v="1"/>
    <x v="2"/>
    <x v="4"/>
    <n v="373.33"/>
    <n v="39"/>
    <n v="0.31578947368421051"/>
    <s v="Inefficient"/>
    <s v="Medium"/>
    <s v="Major Delay"/>
  </r>
  <r>
    <x v="963"/>
    <x v="2"/>
    <x v="963"/>
    <x v="0"/>
    <x v="3"/>
    <x v="4"/>
    <s v="EMP_44"/>
    <d v="2024-10-10T00:39:00"/>
    <d v="2024-10-10T02:14:00"/>
    <n v="70"/>
    <n v="95"/>
    <n v="1"/>
    <x v="2"/>
    <x v="7"/>
    <n v="440.07"/>
    <n v="25"/>
    <n v="0.73684210526315785"/>
    <s v="Inefficient"/>
    <s v="Long"/>
    <s v="Minor Delay"/>
  </r>
  <r>
    <x v="964"/>
    <x v="3"/>
    <x v="964"/>
    <x v="4"/>
    <x v="2"/>
    <x v="4"/>
    <s v="EMP_80"/>
    <d v="2024-08-14T05:02:00"/>
    <d v="2024-08-14T09:41:00"/>
    <n v="169"/>
    <n v="279"/>
    <n v="1"/>
    <x v="2"/>
    <x v="7"/>
    <n v="291.18"/>
    <n v="110"/>
    <n v="0.60573476702508966"/>
    <s v="Inefficient"/>
    <s v="Very Long"/>
    <s v="Major Delay"/>
  </r>
  <r>
    <x v="965"/>
    <x v="3"/>
    <x v="965"/>
    <x v="1"/>
    <x v="2"/>
    <x v="1"/>
    <s v="EMP_21"/>
    <d v="2024-04-17T23:30:00"/>
    <d v="2024-04-17T23:41:00"/>
    <n v="16"/>
    <n v="11"/>
    <n v="0"/>
    <x v="2"/>
    <x v="1"/>
    <n v="224.63"/>
    <n v="-5"/>
    <n v="1.4545454545454546"/>
    <s v="Efficient"/>
    <s v="Short"/>
    <s v="On Time"/>
  </r>
  <r>
    <x v="966"/>
    <x v="2"/>
    <x v="966"/>
    <x v="2"/>
    <x v="3"/>
    <x v="1"/>
    <s v="EMP_15"/>
    <d v="2024-03-27T14:29:00"/>
    <d v="2024-03-27T17:54:00"/>
    <n v="123"/>
    <n v="205"/>
    <n v="1"/>
    <x v="2"/>
    <x v="8"/>
    <n v="228.96"/>
    <n v="82"/>
    <n v="0.6"/>
    <s v="Inefficient"/>
    <s v="Very Long"/>
    <s v="Major Delay"/>
  </r>
  <r>
    <x v="967"/>
    <x v="4"/>
    <x v="967"/>
    <x v="3"/>
    <x v="1"/>
    <x v="2"/>
    <s v="EMP_100"/>
    <d v="2024-07-01T16:59:00"/>
    <d v="2024-07-01T20:05:00"/>
    <n v="92"/>
    <n v="186"/>
    <n v="1"/>
    <x v="0"/>
    <x v="5"/>
    <n v="295.74"/>
    <n v="94"/>
    <n v="0.4946236559139785"/>
    <s v="Inefficient"/>
    <s v="Very Long"/>
    <s v="Major Delay"/>
  </r>
  <r>
    <x v="968"/>
    <x v="3"/>
    <x v="968"/>
    <x v="3"/>
    <x v="2"/>
    <x v="0"/>
    <s v="EMP_15"/>
    <d v="2024-12-04T10:24:00"/>
    <d v="2024-12-04T15:40:00"/>
    <n v="239"/>
    <n v="316"/>
    <n v="1"/>
    <x v="2"/>
    <x v="7"/>
    <n v="202.37"/>
    <n v="77"/>
    <n v="0.75632911392405067"/>
    <s v="Inefficient"/>
    <s v="Very Long"/>
    <s v="Major Delay"/>
  </r>
  <r>
    <x v="969"/>
    <x v="4"/>
    <x v="969"/>
    <x v="1"/>
    <x v="0"/>
    <x v="2"/>
    <s v="EMP_145"/>
    <d v="2024-04-22T06:10:00"/>
    <d v="2024-04-22T09:00:00"/>
    <n v="74"/>
    <n v="170"/>
    <n v="1"/>
    <x v="0"/>
    <x v="0"/>
    <n v="288.27"/>
    <n v="96"/>
    <n v="0.43529411764705883"/>
    <s v="Inefficient"/>
    <s v="Very Long"/>
    <s v="Major Delay"/>
  </r>
  <r>
    <x v="970"/>
    <x v="1"/>
    <x v="970"/>
    <x v="4"/>
    <x v="3"/>
    <x v="3"/>
    <s v="EMP_19"/>
    <d v="2024-05-08T21:46:00"/>
    <d v="2024-05-09T00:13:00"/>
    <n v="81"/>
    <n v="147"/>
    <n v="1"/>
    <x v="2"/>
    <x v="7"/>
    <n v="75.11"/>
    <n v="66"/>
    <n v="0.55102040816326525"/>
    <s v="Inefficient"/>
    <s v="Very Long"/>
    <s v="Major Delay"/>
  </r>
  <r>
    <x v="971"/>
    <x v="2"/>
    <x v="971"/>
    <x v="2"/>
    <x v="2"/>
    <x v="3"/>
    <s v="EMP_39"/>
    <d v="2024-08-02T00:14:00"/>
    <d v="2024-08-02T05:58:00"/>
    <n v="227"/>
    <n v="344"/>
    <n v="1"/>
    <x v="2"/>
    <x v="2"/>
    <n v="470.84"/>
    <n v="117"/>
    <n v="0.65988372093023251"/>
    <s v="Inefficient"/>
    <s v="Very Long"/>
    <s v="Major Delay"/>
  </r>
  <r>
    <x v="972"/>
    <x v="1"/>
    <x v="972"/>
    <x v="4"/>
    <x v="0"/>
    <x v="1"/>
    <s v="EMP_79"/>
    <d v="2024-12-23T13:51:00"/>
    <d v="2024-12-23T17:03:00"/>
    <n v="197"/>
    <n v="192"/>
    <n v="0"/>
    <x v="0"/>
    <x v="0"/>
    <n v="129.44999999999999"/>
    <n v="-5"/>
    <n v="1.0260416666666667"/>
    <s v="Efficient"/>
    <s v="Very Long"/>
    <s v="On Time"/>
  </r>
  <r>
    <x v="973"/>
    <x v="2"/>
    <x v="973"/>
    <x v="4"/>
    <x v="3"/>
    <x v="0"/>
    <s v="EMP_16"/>
    <d v="2024-05-13T20:26:00"/>
    <d v="2024-05-13T23:23:00"/>
    <n v="126"/>
    <n v="177"/>
    <n v="1"/>
    <x v="0"/>
    <x v="0"/>
    <n v="362.82"/>
    <n v="51"/>
    <n v="0.71186440677966101"/>
    <s v="Inefficient"/>
    <s v="Very Long"/>
    <s v="Major Delay"/>
  </r>
  <r>
    <x v="974"/>
    <x v="3"/>
    <x v="974"/>
    <x v="3"/>
    <x v="0"/>
    <x v="1"/>
    <s v="EMP_68"/>
    <d v="2024-04-27T12:40:00"/>
    <d v="2024-04-27T13:51:00"/>
    <n v="37"/>
    <n v="71"/>
    <n v="1"/>
    <x v="2"/>
    <x v="6"/>
    <n v="378.94"/>
    <n v="34"/>
    <n v="0.52112676056338025"/>
    <s v="Inefficient"/>
    <s v="Long"/>
    <s v="Major Delay"/>
  </r>
  <r>
    <x v="975"/>
    <x v="0"/>
    <x v="975"/>
    <x v="3"/>
    <x v="1"/>
    <x v="4"/>
    <s v="EMP_14"/>
    <d v="2024-09-29T16:41:00"/>
    <d v="2024-09-29T20:58:00"/>
    <n v="189"/>
    <n v="257"/>
    <n v="1"/>
    <x v="1"/>
    <x v="8"/>
    <n v="150.4"/>
    <n v="68"/>
    <n v="0.7354085603112841"/>
    <s v="Inefficient"/>
    <s v="Very Long"/>
    <s v="Major Delay"/>
  </r>
  <r>
    <x v="976"/>
    <x v="0"/>
    <x v="976"/>
    <x v="2"/>
    <x v="0"/>
    <x v="1"/>
    <s v="EMP_83"/>
    <d v="2024-09-19T23:24:00"/>
    <d v="2024-09-20T01:58:00"/>
    <n v="129"/>
    <n v="154"/>
    <n v="1"/>
    <x v="0"/>
    <x v="6"/>
    <n v="165.72"/>
    <n v="25"/>
    <n v="0.83766233766233766"/>
    <s v="Inefficient"/>
    <s v="Very Long"/>
    <s v="Minor Delay"/>
  </r>
  <r>
    <x v="977"/>
    <x v="0"/>
    <x v="977"/>
    <x v="1"/>
    <x v="0"/>
    <x v="1"/>
    <s v="EMP_80"/>
    <d v="2024-05-02T07:09:00"/>
    <d v="2024-05-02T09:46:00"/>
    <n v="45"/>
    <n v="157"/>
    <n v="1"/>
    <x v="0"/>
    <x v="3"/>
    <n v="105.09"/>
    <n v="112"/>
    <n v="0.28662420382165604"/>
    <s v="Inefficient"/>
    <s v="Very Long"/>
    <s v="Major Delay"/>
  </r>
  <r>
    <x v="978"/>
    <x v="2"/>
    <x v="978"/>
    <x v="0"/>
    <x v="0"/>
    <x v="0"/>
    <s v="EMP_139"/>
    <d v="2024-04-07T22:34:00"/>
    <d v="2024-04-08T00:06:00"/>
    <n v="68"/>
    <n v="92"/>
    <n v="1"/>
    <x v="0"/>
    <x v="2"/>
    <n v="323.13"/>
    <n v="24"/>
    <n v="0.73913043478260865"/>
    <s v="Inefficient"/>
    <s v="Long"/>
    <s v="Minor Delay"/>
  </r>
  <r>
    <x v="979"/>
    <x v="1"/>
    <x v="979"/>
    <x v="4"/>
    <x v="2"/>
    <x v="1"/>
    <s v="EMP_26"/>
    <d v="2024-05-20T03:44:00"/>
    <d v="2024-05-20T05:45:00"/>
    <n v="108"/>
    <n v="121"/>
    <n v="1"/>
    <x v="2"/>
    <x v="4"/>
    <n v="404.62"/>
    <n v="13"/>
    <n v="0.8925619834710744"/>
    <s v="Inefficient"/>
    <s v="Very Long"/>
    <s v="Minor Delay"/>
  </r>
  <r>
    <x v="980"/>
    <x v="2"/>
    <x v="980"/>
    <x v="0"/>
    <x v="2"/>
    <x v="1"/>
    <s v="EMP_50"/>
    <d v="2024-07-29T12:17:00"/>
    <d v="2024-07-29T16:12:00"/>
    <n v="187"/>
    <n v="235"/>
    <n v="1"/>
    <x v="2"/>
    <x v="4"/>
    <n v="80.900000000000006"/>
    <n v="48"/>
    <n v="0.79574468085106387"/>
    <s v="Inefficient"/>
    <s v="Very Long"/>
    <s v="Major Delay"/>
  </r>
  <r>
    <x v="981"/>
    <x v="0"/>
    <x v="981"/>
    <x v="4"/>
    <x v="3"/>
    <x v="0"/>
    <s v="EMP_92"/>
    <d v="2024-09-04T04:28:00"/>
    <d v="2024-09-04T07:22:00"/>
    <n v="160"/>
    <n v="174"/>
    <n v="1"/>
    <x v="0"/>
    <x v="2"/>
    <n v="402.5"/>
    <n v="14"/>
    <n v="0.91954022988505746"/>
    <s v="Inefficient"/>
    <s v="Very Long"/>
    <s v="Minor Delay"/>
  </r>
  <r>
    <x v="982"/>
    <x v="3"/>
    <x v="982"/>
    <x v="3"/>
    <x v="1"/>
    <x v="3"/>
    <s v="EMP_115"/>
    <d v="2024-05-03T09:15:00"/>
    <d v="2024-05-03T12:27:00"/>
    <n v="103"/>
    <n v="192"/>
    <n v="1"/>
    <x v="2"/>
    <x v="7"/>
    <n v="58.93"/>
    <n v="89"/>
    <n v="0.53645833333333337"/>
    <s v="Inefficient"/>
    <s v="Very Long"/>
    <s v="Major Delay"/>
  </r>
  <r>
    <x v="983"/>
    <x v="1"/>
    <x v="983"/>
    <x v="3"/>
    <x v="1"/>
    <x v="3"/>
    <s v="EMP_37"/>
    <d v="2024-02-03T14:57:00"/>
    <d v="2024-02-03T18:34:00"/>
    <n v="153"/>
    <n v="217"/>
    <n v="1"/>
    <x v="1"/>
    <x v="7"/>
    <n v="246.79"/>
    <n v="64"/>
    <n v="0.70506912442396308"/>
    <s v="Inefficient"/>
    <s v="Very Long"/>
    <s v="Major Delay"/>
  </r>
  <r>
    <x v="984"/>
    <x v="2"/>
    <x v="984"/>
    <x v="0"/>
    <x v="2"/>
    <x v="3"/>
    <s v="EMP_82"/>
    <d v="2024-08-27T11:47:00"/>
    <d v="2024-08-27T14:51:00"/>
    <n v="76"/>
    <n v="184"/>
    <n v="1"/>
    <x v="0"/>
    <x v="4"/>
    <n v="245.62"/>
    <n v="108"/>
    <n v="0.41304347826086957"/>
    <s v="Inefficient"/>
    <s v="Very Long"/>
    <s v="Major Delay"/>
  </r>
  <r>
    <x v="985"/>
    <x v="2"/>
    <x v="985"/>
    <x v="3"/>
    <x v="2"/>
    <x v="1"/>
    <s v="EMP_40"/>
    <d v="2024-03-16T18:52:00"/>
    <d v="2024-03-16T22:51:00"/>
    <n v="205"/>
    <n v="239"/>
    <n v="1"/>
    <x v="2"/>
    <x v="0"/>
    <n v="212.99"/>
    <n v="34"/>
    <n v="0.85774058577405854"/>
    <s v="Inefficient"/>
    <s v="Very Long"/>
    <s v="Major Delay"/>
  </r>
  <r>
    <x v="986"/>
    <x v="1"/>
    <x v="986"/>
    <x v="0"/>
    <x v="1"/>
    <x v="2"/>
    <s v="EMP_25"/>
    <d v="2024-02-08T12:52:00"/>
    <d v="2024-02-08T14:03:00"/>
    <n v="40"/>
    <n v="71"/>
    <n v="1"/>
    <x v="0"/>
    <x v="1"/>
    <n v="187.49"/>
    <n v="31"/>
    <n v="0.56338028169014087"/>
    <s v="Inefficient"/>
    <s v="Long"/>
    <s v="Major Delay"/>
  </r>
  <r>
    <x v="987"/>
    <x v="4"/>
    <x v="987"/>
    <x v="4"/>
    <x v="0"/>
    <x v="1"/>
    <s v="EMP_28"/>
    <d v="2024-11-28T15:07:00"/>
    <d v="2024-11-28T15:35:00"/>
    <n v="15"/>
    <n v="28"/>
    <n v="1"/>
    <x v="1"/>
    <x v="9"/>
    <n v="116.99"/>
    <n v="13"/>
    <n v="0.5357142857142857"/>
    <s v="Inefficient"/>
    <s v="Short"/>
    <s v="Minor Delay"/>
  </r>
  <r>
    <x v="988"/>
    <x v="2"/>
    <x v="988"/>
    <x v="0"/>
    <x v="0"/>
    <x v="1"/>
    <s v="EMP_3"/>
    <d v="2024-08-17T06:52:00"/>
    <d v="2024-08-17T09:42:00"/>
    <n v="57"/>
    <n v="170"/>
    <n v="1"/>
    <x v="1"/>
    <x v="3"/>
    <n v="356.54"/>
    <n v="113"/>
    <n v="0.3352941176470588"/>
    <s v="Inefficient"/>
    <s v="Very Long"/>
    <s v="Major Delay"/>
  </r>
  <r>
    <x v="989"/>
    <x v="1"/>
    <x v="989"/>
    <x v="3"/>
    <x v="1"/>
    <x v="2"/>
    <s v="EMP_85"/>
    <d v="2024-11-25T19:59:00"/>
    <d v="2024-11-25T21:30:00"/>
    <n v="31"/>
    <n v="91"/>
    <n v="1"/>
    <x v="2"/>
    <x v="8"/>
    <n v="409.02"/>
    <n v="60"/>
    <n v="0.34065934065934067"/>
    <s v="Inefficient"/>
    <s v="Long"/>
    <s v="Major Delay"/>
  </r>
  <r>
    <x v="990"/>
    <x v="4"/>
    <x v="990"/>
    <x v="1"/>
    <x v="3"/>
    <x v="2"/>
    <s v="EMP_120"/>
    <d v="2024-10-11T23:09:00"/>
    <d v="2024-10-12T00:51:00"/>
    <n v="104"/>
    <n v="102"/>
    <n v="0"/>
    <x v="1"/>
    <x v="1"/>
    <n v="382.08"/>
    <n v="-2"/>
    <n v="1.0196078431372548"/>
    <s v="Efficient"/>
    <s v="Long"/>
    <s v="On Time"/>
  </r>
  <r>
    <x v="991"/>
    <x v="3"/>
    <x v="991"/>
    <x v="0"/>
    <x v="1"/>
    <x v="0"/>
    <s v="EMP_60"/>
    <d v="2024-07-11T22:47:00"/>
    <d v="2024-07-12T02:24:00"/>
    <n v="121"/>
    <n v="217"/>
    <n v="1"/>
    <x v="2"/>
    <x v="4"/>
    <n v="443.37"/>
    <n v="96"/>
    <n v="0.55760368663594473"/>
    <s v="Inefficient"/>
    <s v="Very Long"/>
    <s v="Major Delay"/>
  </r>
  <r>
    <x v="992"/>
    <x v="0"/>
    <x v="992"/>
    <x v="4"/>
    <x v="3"/>
    <x v="1"/>
    <s v="EMP_146"/>
    <d v="2024-05-03T08:57:00"/>
    <d v="2024-05-03T13:47:00"/>
    <n v="198"/>
    <n v="290"/>
    <n v="1"/>
    <x v="0"/>
    <x v="4"/>
    <n v="142.84"/>
    <n v="92"/>
    <n v="0.6827586206896552"/>
    <s v="Inefficient"/>
    <s v="Very Long"/>
    <s v="Major Delay"/>
  </r>
  <r>
    <x v="993"/>
    <x v="2"/>
    <x v="993"/>
    <x v="0"/>
    <x v="0"/>
    <x v="4"/>
    <s v="EMP_118"/>
    <d v="2024-08-09T14:27:00"/>
    <d v="2024-08-09T17:19:00"/>
    <n v="73"/>
    <n v="172"/>
    <n v="1"/>
    <x v="2"/>
    <x v="5"/>
    <n v="334.72"/>
    <n v="99"/>
    <n v="0.42441860465116277"/>
    <s v="Inefficient"/>
    <s v="Very Long"/>
    <s v="Major Delay"/>
  </r>
  <r>
    <x v="994"/>
    <x v="0"/>
    <x v="994"/>
    <x v="2"/>
    <x v="0"/>
    <x v="1"/>
    <s v="EMP_7"/>
    <d v="2024-11-15T11:58:00"/>
    <d v="2024-11-15T14:55:00"/>
    <n v="61"/>
    <n v="177"/>
    <n v="1"/>
    <x v="2"/>
    <x v="1"/>
    <n v="111.26"/>
    <n v="116"/>
    <n v="0.34463276836158191"/>
    <s v="Inefficient"/>
    <s v="Very Long"/>
    <s v="Major Delay"/>
  </r>
  <r>
    <x v="995"/>
    <x v="1"/>
    <x v="995"/>
    <x v="2"/>
    <x v="0"/>
    <x v="0"/>
    <s v="EMP_119"/>
    <d v="2024-03-09T10:29:00"/>
    <d v="2024-03-09T15:40:00"/>
    <n v="216"/>
    <n v="311"/>
    <n v="1"/>
    <x v="1"/>
    <x v="3"/>
    <n v="323.11"/>
    <n v="95"/>
    <n v="0.69453376205787787"/>
    <s v="Inefficient"/>
    <s v="Very Long"/>
    <s v="Major Delay"/>
  </r>
  <r>
    <x v="996"/>
    <x v="4"/>
    <x v="996"/>
    <x v="3"/>
    <x v="2"/>
    <x v="1"/>
    <s v="EMP_3"/>
    <d v="2024-08-26T05:07:00"/>
    <d v="2024-08-26T06:43:00"/>
    <n v="49"/>
    <n v="96"/>
    <n v="1"/>
    <x v="0"/>
    <x v="3"/>
    <n v="394.59"/>
    <n v="47"/>
    <n v="0.51041666666666663"/>
    <s v="Inefficient"/>
    <s v="Long"/>
    <s v="Major Delay"/>
  </r>
  <r>
    <x v="997"/>
    <x v="3"/>
    <x v="997"/>
    <x v="2"/>
    <x v="2"/>
    <x v="1"/>
    <s v="EMP_63"/>
    <d v="2024-10-16T20:47:00"/>
    <d v="2024-10-16T22:13:00"/>
    <n v="32"/>
    <n v="86"/>
    <n v="1"/>
    <x v="1"/>
    <x v="8"/>
    <n v="469.51"/>
    <n v="54"/>
    <n v="0.37209302325581395"/>
    <s v="Inefficient"/>
    <s v="Long"/>
    <s v="Major Delay"/>
  </r>
  <r>
    <x v="998"/>
    <x v="4"/>
    <x v="998"/>
    <x v="1"/>
    <x v="0"/>
    <x v="3"/>
    <s v="EMP_64"/>
    <d v="2024-05-04T09:38:00"/>
    <d v="2024-05-04T11:38:00"/>
    <n v="10"/>
    <n v="120"/>
    <n v="1"/>
    <x v="0"/>
    <x v="1"/>
    <n v="184.59"/>
    <n v="110"/>
    <n v="8.3333333333333329E-2"/>
    <s v="Inefficient"/>
    <s v="Very Long"/>
    <s v="Major Delay"/>
  </r>
  <r>
    <x v="999"/>
    <x v="0"/>
    <x v="999"/>
    <x v="3"/>
    <x v="2"/>
    <x v="3"/>
    <s v="EMP_16"/>
    <d v="2024-10-10T16:42:00"/>
    <d v="2024-10-10T18:11:00"/>
    <n v="16"/>
    <n v="89"/>
    <n v="1"/>
    <x v="0"/>
    <x v="4"/>
    <n v="499.94"/>
    <n v="73"/>
    <n v="0.1797752808988764"/>
    <s v="Inefficient"/>
    <s v="Long"/>
    <s v="Major Delay"/>
  </r>
  <r>
    <x v="1000"/>
    <x v="0"/>
    <x v="1000"/>
    <x v="3"/>
    <x v="2"/>
    <x v="0"/>
    <s v="EMP_127"/>
    <d v="2024-05-30T13:44:00"/>
    <d v="2024-05-30T15:16:00"/>
    <n v="60"/>
    <n v="92"/>
    <n v="1"/>
    <x v="0"/>
    <x v="3"/>
    <n v="239.71"/>
    <n v="32"/>
    <n v="0.65217391304347827"/>
    <s v="Inefficient"/>
    <s v="Long"/>
    <s v="Major Delay"/>
  </r>
  <r>
    <x v="1001"/>
    <x v="3"/>
    <x v="1001"/>
    <x v="4"/>
    <x v="1"/>
    <x v="4"/>
    <s v="EMP_12"/>
    <d v="2024-06-21T11:47:00"/>
    <d v="2024-06-21T13:36:00"/>
    <n v="113"/>
    <n v="109"/>
    <n v="0"/>
    <x v="0"/>
    <x v="7"/>
    <n v="366.58"/>
    <n v="-4"/>
    <n v="1.036697247706422"/>
    <s v="Efficient"/>
    <s v="Long"/>
    <s v="On Time"/>
  </r>
  <r>
    <x v="1002"/>
    <x v="4"/>
    <x v="1002"/>
    <x v="1"/>
    <x v="3"/>
    <x v="0"/>
    <s v="EMP_111"/>
    <d v="2024-09-18T19:16:00"/>
    <d v="2024-09-18T22:30:00"/>
    <n v="93"/>
    <n v="194"/>
    <n v="1"/>
    <x v="0"/>
    <x v="6"/>
    <n v="279.14"/>
    <n v="101"/>
    <n v="0.47938144329896909"/>
    <s v="Inefficient"/>
    <s v="Very Long"/>
    <s v="Major Delay"/>
  </r>
  <r>
    <x v="1003"/>
    <x v="0"/>
    <x v="1003"/>
    <x v="2"/>
    <x v="0"/>
    <x v="3"/>
    <s v="EMP_16"/>
    <d v="2024-02-26T23:40:00"/>
    <d v="2024-02-27T02:14:00"/>
    <n v="119"/>
    <n v="154"/>
    <n v="1"/>
    <x v="1"/>
    <x v="2"/>
    <n v="237.58"/>
    <n v="35"/>
    <n v="0.77272727272727271"/>
    <s v="Inefficient"/>
    <s v="Very Long"/>
    <s v="Major Delay"/>
  </r>
  <r>
    <x v="1004"/>
    <x v="1"/>
    <x v="1004"/>
    <x v="2"/>
    <x v="1"/>
    <x v="0"/>
    <s v="EMP_102"/>
    <d v="2024-05-16T22:02:00"/>
    <d v="2024-05-16T23:50:00"/>
    <n v="88"/>
    <n v="108"/>
    <n v="1"/>
    <x v="0"/>
    <x v="6"/>
    <n v="224.19"/>
    <n v="20"/>
    <n v="0.81481481481481477"/>
    <s v="Inefficient"/>
    <s v="Long"/>
    <s v="Minor Delay"/>
  </r>
  <r>
    <x v="1005"/>
    <x v="0"/>
    <x v="1005"/>
    <x v="0"/>
    <x v="0"/>
    <x v="2"/>
    <s v="EMP_89"/>
    <d v="2024-04-25T09:40:00"/>
    <d v="2024-04-25T12:17:00"/>
    <n v="132"/>
    <n v="157"/>
    <n v="1"/>
    <x v="0"/>
    <x v="0"/>
    <n v="480.96"/>
    <n v="25"/>
    <n v="0.84076433121019112"/>
    <s v="Inefficient"/>
    <s v="Very Long"/>
    <s v="Minor Delay"/>
  </r>
  <r>
    <x v="1006"/>
    <x v="1"/>
    <x v="1006"/>
    <x v="3"/>
    <x v="3"/>
    <x v="2"/>
    <s v="EMP_11"/>
    <d v="2024-06-15T04:50:00"/>
    <d v="2024-06-15T04:57:00"/>
    <n v="12"/>
    <n v="7"/>
    <n v="0"/>
    <x v="2"/>
    <x v="5"/>
    <n v="306.25"/>
    <n v="-5"/>
    <n v="1.7142857142857142"/>
    <s v="Efficient"/>
    <s v="Short"/>
    <s v="On Time"/>
  </r>
  <r>
    <x v="1007"/>
    <x v="2"/>
    <x v="1007"/>
    <x v="0"/>
    <x v="2"/>
    <x v="2"/>
    <s v="EMP_41"/>
    <d v="2024-10-21T17:46:00"/>
    <d v="2024-10-21T21:40:00"/>
    <n v="196"/>
    <n v="234"/>
    <n v="1"/>
    <x v="2"/>
    <x v="2"/>
    <n v="234.22"/>
    <n v="38"/>
    <n v="0.83760683760683763"/>
    <s v="Inefficient"/>
    <s v="Very Long"/>
    <s v="Major Delay"/>
  </r>
  <r>
    <x v="1008"/>
    <x v="4"/>
    <x v="1008"/>
    <x v="1"/>
    <x v="3"/>
    <x v="2"/>
    <s v="EMP_69"/>
    <d v="2024-02-20T12:30:00"/>
    <d v="2024-02-20T14:36:00"/>
    <n v="64"/>
    <n v="126"/>
    <n v="1"/>
    <x v="2"/>
    <x v="6"/>
    <n v="440.42"/>
    <n v="62"/>
    <n v="0.50793650793650791"/>
    <s v="Inefficient"/>
    <s v="Very Long"/>
    <s v="Major Delay"/>
  </r>
  <r>
    <x v="1009"/>
    <x v="2"/>
    <x v="1009"/>
    <x v="0"/>
    <x v="3"/>
    <x v="1"/>
    <s v="EMP_100"/>
    <d v="2024-09-02T01:18:00"/>
    <d v="2024-09-02T05:50:00"/>
    <n v="225"/>
    <n v="272"/>
    <n v="1"/>
    <x v="0"/>
    <x v="1"/>
    <n v="494"/>
    <n v="47"/>
    <n v="0.82720588235294112"/>
    <s v="Inefficient"/>
    <s v="Very Long"/>
    <s v="Major Delay"/>
  </r>
  <r>
    <x v="1010"/>
    <x v="2"/>
    <x v="1010"/>
    <x v="1"/>
    <x v="2"/>
    <x v="1"/>
    <s v="EMP_47"/>
    <d v="2024-01-15T18:52:00"/>
    <d v="2024-01-15T21:12:00"/>
    <n v="85"/>
    <n v="140"/>
    <n v="1"/>
    <x v="2"/>
    <x v="7"/>
    <n v="191.9"/>
    <n v="55"/>
    <n v="0.6071428571428571"/>
    <s v="Inefficient"/>
    <s v="Very Long"/>
    <s v="Major Delay"/>
  </r>
  <r>
    <x v="1011"/>
    <x v="3"/>
    <x v="1011"/>
    <x v="3"/>
    <x v="2"/>
    <x v="4"/>
    <s v="EMP_54"/>
    <d v="2024-04-17T10:28:00"/>
    <d v="2024-04-17T11:17:00"/>
    <n v="39"/>
    <n v="49"/>
    <n v="1"/>
    <x v="1"/>
    <x v="2"/>
    <n v="397.62"/>
    <n v="10"/>
    <n v="0.79591836734693877"/>
    <s v="Inefficient"/>
    <s v="Medium"/>
    <s v="Minor Delay"/>
  </r>
  <r>
    <x v="1012"/>
    <x v="4"/>
    <x v="1012"/>
    <x v="0"/>
    <x v="0"/>
    <x v="2"/>
    <s v="EMP_124"/>
    <d v="2024-03-29T19:47:00"/>
    <d v="2024-03-29T22:24:00"/>
    <n v="139"/>
    <n v="157"/>
    <n v="1"/>
    <x v="1"/>
    <x v="0"/>
    <n v="465.73"/>
    <n v="18"/>
    <n v="0.88535031847133761"/>
    <s v="Inefficient"/>
    <s v="Very Long"/>
    <s v="Minor Delay"/>
  </r>
  <r>
    <x v="1013"/>
    <x v="0"/>
    <x v="1013"/>
    <x v="0"/>
    <x v="3"/>
    <x v="2"/>
    <s v="EMP_26"/>
    <d v="2024-05-18T00:28:00"/>
    <d v="2024-05-18T03:25:00"/>
    <n v="101"/>
    <n v="177"/>
    <n v="1"/>
    <x v="0"/>
    <x v="8"/>
    <n v="161.16"/>
    <n v="76"/>
    <n v="0.57062146892655363"/>
    <s v="Inefficient"/>
    <s v="Very Long"/>
    <s v="Major Delay"/>
  </r>
  <r>
    <x v="1014"/>
    <x v="2"/>
    <x v="1014"/>
    <x v="0"/>
    <x v="0"/>
    <x v="0"/>
    <s v="EMP_5"/>
    <d v="2024-05-03T18:17:00"/>
    <d v="2024-05-03T19:49:00"/>
    <n v="67"/>
    <n v="92"/>
    <n v="1"/>
    <x v="2"/>
    <x v="6"/>
    <n v="403.87"/>
    <n v="25"/>
    <n v="0.72826086956521741"/>
    <s v="Inefficient"/>
    <s v="Long"/>
    <s v="Minor Delay"/>
  </r>
  <r>
    <x v="1015"/>
    <x v="3"/>
    <x v="1015"/>
    <x v="2"/>
    <x v="1"/>
    <x v="2"/>
    <s v="EMP_87"/>
    <d v="2024-12-29T13:22:00"/>
    <d v="2024-12-29T17:18:00"/>
    <n v="133"/>
    <n v="236"/>
    <n v="1"/>
    <x v="0"/>
    <x v="0"/>
    <n v="384.72"/>
    <n v="103"/>
    <n v="0.56355932203389836"/>
    <s v="Inefficient"/>
    <s v="Very Long"/>
    <s v="Major Delay"/>
  </r>
  <r>
    <x v="1016"/>
    <x v="1"/>
    <x v="1016"/>
    <x v="2"/>
    <x v="0"/>
    <x v="4"/>
    <s v="EMP_51"/>
    <d v="2024-08-30T14:46:00"/>
    <d v="2024-08-30T18:53:00"/>
    <n v="196"/>
    <n v="247"/>
    <n v="1"/>
    <x v="2"/>
    <x v="3"/>
    <n v="148.99"/>
    <n v="51"/>
    <n v="0.79352226720647778"/>
    <s v="Inefficient"/>
    <s v="Very Long"/>
    <s v="Major Delay"/>
  </r>
  <r>
    <x v="1017"/>
    <x v="0"/>
    <x v="1017"/>
    <x v="4"/>
    <x v="3"/>
    <x v="3"/>
    <s v="EMP_143"/>
    <d v="2024-03-03T09:06:00"/>
    <d v="2024-03-03T11:14:00"/>
    <n v="84"/>
    <n v="128"/>
    <n v="1"/>
    <x v="0"/>
    <x v="7"/>
    <n v="480.76"/>
    <n v="44"/>
    <n v="0.65625"/>
    <s v="Inefficient"/>
    <s v="Very Long"/>
    <s v="Major Delay"/>
  </r>
  <r>
    <x v="1018"/>
    <x v="0"/>
    <x v="1018"/>
    <x v="2"/>
    <x v="0"/>
    <x v="2"/>
    <s v="EMP_60"/>
    <d v="2024-03-14T03:49:00"/>
    <d v="2024-03-14T05:00:00"/>
    <n v="62"/>
    <n v="71"/>
    <n v="1"/>
    <x v="0"/>
    <x v="6"/>
    <n v="343.32"/>
    <n v="9"/>
    <n v="0.87323943661971826"/>
    <s v="Inefficient"/>
    <s v="Long"/>
    <s v="Minor Delay"/>
  </r>
  <r>
    <x v="1019"/>
    <x v="4"/>
    <x v="1019"/>
    <x v="4"/>
    <x v="2"/>
    <x v="0"/>
    <s v="EMP_75"/>
    <d v="2024-07-26T10:17:00"/>
    <d v="2024-07-26T13:59:00"/>
    <n v="217"/>
    <n v="222"/>
    <n v="1"/>
    <x v="0"/>
    <x v="4"/>
    <n v="278.19"/>
    <n v="5"/>
    <n v="0.97747747747747749"/>
    <s v="Inefficient"/>
    <s v="Very Long"/>
    <s v="Minor Delay"/>
  </r>
  <r>
    <x v="1020"/>
    <x v="2"/>
    <x v="1020"/>
    <x v="4"/>
    <x v="1"/>
    <x v="4"/>
    <s v="EMP_78"/>
    <d v="2024-01-02T00:20:00"/>
    <d v="2024-01-02T03:00:00"/>
    <n v="83"/>
    <n v="160"/>
    <n v="1"/>
    <x v="2"/>
    <x v="2"/>
    <n v="158.96"/>
    <n v="77"/>
    <n v="0.51875000000000004"/>
    <s v="Inefficient"/>
    <s v="Very Long"/>
    <s v="Major Delay"/>
  </r>
  <r>
    <x v="1021"/>
    <x v="1"/>
    <x v="1021"/>
    <x v="0"/>
    <x v="1"/>
    <x v="2"/>
    <s v="EMP_124"/>
    <d v="2024-07-17T05:25:00"/>
    <d v="2024-07-17T07:08:00"/>
    <n v="15"/>
    <n v="103"/>
    <n v="1"/>
    <x v="1"/>
    <x v="3"/>
    <n v="412.72"/>
    <n v="88"/>
    <n v="0.14563106796116504"/>
    <s v="Inefficient"/>
    <s v="Long"/>
    <s v="Major Delay"/>
  </r>
  <r>
    <x v="1022"/>
    <x v="3"/>
    <x v="1022"/>
    <x v="4"/>
    <x v="3"/>
    <x v="4"/>
    <s v="EMP_75"/>
    <d v="2024-11-24T02:05:00"/>
    <d v="2024-11-24T06:03:00"/>
    <n v="124"/>
    <n v="238"/>
    <n v="1"/>
    <x v="2"/>
    <x v="9"/>
    <n v="193.92"/>
    <n v="114"/>
    <n v="0.52100840336134457"/>
    <s v="Inefficient"/>
    <s v="Very Long"/>
    <s v="Major Delay"/>
  </r>
  <r>
    <x v="1023"/>
    <x v="2"/>
    <x v="1023"/>
    <x v="3"/>
    <x v="1"/>
    <x v="4"/>
    <s v="EMP_48"/>
    <d v="2024-09-19T17:34:00"/>
    <d v="2024-09-19T19:21:00"/>
    <n v="46"/>
    <n v="107"/>
    <n v="1"/>
    <x v="2"/>
    <x v="4"/>
    <n v="391.9"/>
    <n v="61"/>
    <n v="0.42990654205607476"/>
    <s v="Inefficient"/>
    <s v="Long"/>
    <s v="Major Delay"/>
  </r>
  <r>
    <x v="1024"/>
    <x v="1"/>
    <x v="1024"/>
    <x v="4"/>
    <x v="2"/>
    <x v="4"/>
    <s v="EMP_143"/>
    <d v="2024-01-14T03:07:00"/>
    <d v="2024-01-14T06:40:00"/>
    <n v="154"/>
    <n v="213"/>
    <n v="1"/>
    <x v="2"/>
    <x v="8"/>
    <n v="359.48"/>
    <n v="59"/>
    <n v="0.72300469483568075"/>
    <s v="Inefficient"/>
    <s v="Very Long"/>
    <s v="Major Delay"/>
  </r>
  <r>
    <x v="1025"/>
    <x v="0"/>
    <x v="1025"/>
    <x v="2"/>
    <x v="1"/>
    <x v="1"/>
    <s v="EMP_16"/>
    <d v="2024-08-18T02:07:00"/>
    <d v="2024-08-18T04:57:00"/>
    <n v="117"/>
    <n v="170"/>
    <n v="1"/>
    <x v="0"/>
    <x v="0"/>
    <n v="289.2"/>
    <n v="53"/>
    <n v="0.68823529411764706"/>
    <s v="Inefficient"/>
    <s v="Very Long"/>
    <s v="Major Delay"/>
  </r>
  <r>
    <x v="1026"/>
    <x v="0"/>
    <x v="1026"/>
    <x v="1"/>
    <x v="0"/>
    <x v="0"/>
    <s v="EMP_134"/>
    <d v="2024-02-06T02:43:00"/>
    <d v="2024-02-06T05:32:00"/>
    <n v="75"/>
    <n v="169"/>
    <n v="1"/>
    <x v="1"/>
    <x v="9"/>
    <n v="399.76"/>
    <n v="94"/>
    <n v="0.4437869822485207"/>
    <s v="Inefficient"/>
    <s v="Very Long"/>
    <s v="Major Delay"/>
  </r>
  <r>
    <x v="1027"/>
    <x v="0"/>
    <x v="1027"/>
    <x v="4"/>
    <x v="2"/>
    <x v="0"/>
    <s v="EMP_107"/>
    <d v="2024-08-16T16:40:00"/>
    <d v="2024-08-16T19:00:00"/>
    <n v="141"/>
    <n v="140"/>
    <n v="0"/>
    <x v="1"/>
    <x v="5"/>
    <n v="323.69"/>
    <n v="-1"/>
    <n v="1.0071428571428571"/>
    <s v="Efficient"/>
    <s v="Very Long"/>
    <s v="On Time"/>
  </r>
  <r>
    <x v="1028"/>
    <x v="1"/>
    <x v="1028"/>
    <x v="2"/>
    <x v="3"/>
    <x v="3"/>
    <s v="EMP_86"/>
    <d v="2024-02-29T19:16:00"/>
    <d v="2024-02-29T21:56:00"/>
    <n v="145"/>
    <n v="160"/>
    <n v="1"/>
    <x v="2"/>
    <x v="3"/>
    <n v="271.73"/>
    <n v="15"/>
    <n v="0.90625"/>
    <s v="Inefficient"/>
    <s v="Very Long"/>
    <s v="Minor Delay"/>
  </r>
  <r>
    <x v="1029"/>
    <x v="2"/>
    <x v="1029"/>
    <x v="1"/>
    <x v="1"/>
    <x v="4"/>
    <s v="EMP_115"/>
    <d v="2024-10-11T17:01:00"/>
    <d v="2024-10-11T20:27:00"/>
    <n v="165"/>
    <n v="206"/>
    <n v="1"/>
    <x v="2"/>
    <x v="4"/>
    <n v="197.93"/>
    <n v="41"/>
    <n v="0.80097087378640774"/>
    <s v="Inefficient"/>
    <s v="Very Long"/>
    <s v="Major Delay"/>
  </r>
  <r>
    <x v="1030"/>
    <x v="3"/>
    <x v="1030"/>
    <x v="0"/>
    <x v="1"/>
    <x v="2"/>
    <s v="EMP_65"/>
    <d v="2024-01-02T11:13:00"/>
    <d v="2024-01-02T16:51:00"/>
    <n v="232"/>
    <n v="338"/>
    <n v="1"/>
    <x v="0"/>
    <x v="8"/>
    <n v="104.74"/>
    <n v="106"/>
    <n v="0.68639053254437865"/>
    <s v="Inefficient"/>
    <s v="Very Long"/>
    <s v="Major Delay"/>
  </r>
  <r>
    <x v="1031"/>
    <x v="3"/>
    <x v="1031"/>
    <x v="3"/>
    <x v="3"/>
    <x v="1"/>
    <s v="EMP_94"/>
    <d v="2024-02-06T14:28:00"/>
    <d v="2024-02-06T18:27:00"/>
    <n v="186"/>
    <n v="239"/>
    <n v="1"/>
    <x v="2"/>
    <x v="5"/>
    <n v="127.46"/>
    <n v="53"/>
    <n v="0.77824267782426781"/>
    <s v="Inefficient"/>
    <s v="Very Long"/>
    <s v="Major Delay"/>
  </r>
  <r>
    <x v="1032"/>
    <x v="2"/>
    <x v="1032"/>
    <x v="1"/>
    <x v="3"/>
    <x v="1"/>
    <s v="EMP_44"/>
    <d v="2024-12-11T07:08:00"/>
    <d v="2024-12-11T08:06:00"/>
    <n v="55"/>
    <n v="58"/>
    <n v="1"/>
    <x v="1"/>
    <x v="7"/>
    <n v="151.28"/>
    <n v="3"/>
    <n v="0.94827586206896552"/>
    <s v="Inefficient"/>
    <s v="Medium"/>
    <s v="Minor Delay"/>
  </r>
  <r>
    <x v="1033"/>
    <x v="1"/>
    <x v="1033"/>
    <x v="4"/>
    <x v="2"/>
    <x v="0"/>
    <s v="EMP_46"/>
    <d v="2024-11-24T23:31:00"/>
    <d v="2024-11-25T02:07:00"/>
    <n v="156"/>
    <n v="156"/>
    <n v="0"/>
    <x v="2"/>
    <x v="2"/>
    <n v="216.85"/>
    <n v="0"/>
    <n v="1"/>
    <s v="On Target"/>
    <s v="Very Long"/>
    <s v="On Time"/>
  </r>
  <r>
    <x v="1034"/>
    <x v="2"/>
    <x v="1034"/>
    <x v="4"/>
    <x v="1"/>
    <x v="3"/>
    <s v="EMP_150"/>
    <d v="2024-07-17T21:22:00"/>
    <d v="2024-07-17T21:46:00"/>
    <n v="13"/>
    <n v="24"/>
    <n v="1"/>
    <x v="1"/>
    <x v="7"/>
    <n v="323.92"/>
    <n v="11"/>
    <n v="0.54166666666666663"/>
    <s v="Inefficient"/>
    <s v="Short"/>
    <s v="Minor Delay"/>
  </r>
  <r>
    <x v="1035"/>
    <x v="3"/>
    <x v="1035"/>
    <x v="1"/>
    <x v="3"/>
    <x v="1"/>
    <s v="EMP_28"/>
    <d v="2024-03-31T03:03:00"/>
    <d v="2024-03-31T03:56:00"/>
    <n v="13"/>
    <n v="53"/>
    <n v="1"/>
    <x v="1"/>
    <x v="1"/>
    <n v="296.62"/>
    <n v="40"/>
    <n v="0.24528301886792453"/>
    <s v="Inefficient"/>
    <s v="Medium"/>
    <s v="Major Delay"/>
  </r>
  <r>
    <x v="1036"/>
    <x v="2"/>
    <x v="1036"/>
    <x v="1"/>
    <x v="1"/>
    <x v="1"/>
    <s v="EMP_20"/>
    <d v="2024-12-04T07:04:00"/>
    <d v="2024-12-04T10:59:00"/>
    <n v="191"/>
    <n v="235"/>
    <n v="1"/>
    <x v="1"/>
    <x v="5"/>
    <n v="461.07"/>
    <n v="44"/>
    <n v="0.81276595744680846"/>
    <s v="Inefficient"/>
    <s v="Very Long"/>
    <s v="Major Delay"/>
  </r>
  <r>
    <x v="1037"/>
    <x v="2"/>
    <x v="1037"/>
    <x v="3"/>
    <x v="3"/>
    <x v="1"/>
    <s v="EMP_109"/>
    <d v="2024-03-06T00:55:00"/>
    <d v="2024-03-06T02:49:00"/>
    <n v="100"/>
    <n v="114"/>
    <n v="1"/>
    <x v="2"/>
    <x v="5"/>
    <n v="364.6"/>
    <n v="14"/>
    <n v="0.8771929824561403"/>
    <s v="Inefficient"/>
    <s v="Long"/>
    <s v="Minor Delay"/>
  </r>
  <r>
    <x v="1038"/>
    <x v="0"/>
    <x v="1038"/>
    <x v="2"/>
    <x v="2"/>
    <x v="3"/>
    <s v="EMP_121"/>
    <d v="2024-12-22T03:51:00"/>
    <d v="2024-12-22T06:55:00"/>
    <n v="72"/>
    <n v="184"/>
    <n v="1"/>
    <x v="0"/>
    <x v="8"/>
    <n v="121.18"/>
    <n v="112"/>
    <n v="0.39130434782608697"/>
    <s v="Inefficient"/>
    <s v="Very Long"/>
    <s v="Major Delay"/>
  </r>
  <r>
    <x v="1039"/>
    <x v="0"/>
    <x v="1039"/>
    <x v="0"/>
    <x v="0"/>
    <x v="3"/>
    <s v="EMP_60"/>
    <d v="2024-07-07T19:10:00"/>
    <d v="2024-07-07T20:09:00"/>
    <n v="56"/>
    <n v="59"/>
    <n v="1"/>
    <x v="2"/>
    <x v="4"/>
    <n v="435.98"/>
    <n v="3"/>
    <n v="0.94915254237288138"/>
    <s v="Inefficient"/>
    <s v="Medium"/>
    <s v="Minor Delay"/>
  </r>
  <r>
    <x v="1040"/>
    <x v="3"/>
    <x v="1040"/>
    <x v="0"/>
    <x v="1"/>
    <x v="1"/>
    <s v="EMP_145"/>
    <d v="2024-12-09T15:10:00"/>
    <d v="2024-12-09T20:06:00"/>
    <n v="201"/>
    <n v="296"/>
    <n v="1"/>
    <x v="2"/>
    <x v="2"/>
    <n v="219.34"/>
    <n v="95"/>
    <n v="0.67905405405405406"/>
    <s v="Inefficient"/>
    <s v="Very Long"/>
    <s v="Major Delay"/>
  </r>
  <r>
    <x v="1041"/>
    <x v="0"/>
    <x v="1041"/>
    <x v="2"/>
    <x v="0"/>
    <x v="2"/>
    <s v="EMP_19"/>
    <d v="2024-02-12T21:56:00"/>
    <d v="2024-02-13T00:10:00"/>
    <n v="39"/>
    <n v="134"/>
    <n v="1"/>
    <x v="1"/>
    <x v="9"/>
    <n v="455.48"/>
    <n v="95"/>
    <n v="0.29104477611940299"/>
    <s v="Inefficient"/>
    <s v="Very Long"/>
    <s v="Major Delay"/>
  </r>
  <r>
    <x v="1042"/>
    <x v="0"/>
    <x v="1042"/>
    <x v="2"/>
    <x v="2"/>
    <x v="1"/>
    <s v="EMP_141"/>
    <d v="2024-09-18T12:33:00"/>
    <d v="2024-09-18T16:38:00"/>
    <n v="230"/>
    <n v="245"/>
    <n v="1"/>
    <x v="0"/>
    <x v="2"/>
    <n v="116.81"/>
    <n v="15"/>
    <n v="0.93877551020408168"/>
    <s v="Inefficient"/>
    <s v="Very Long"/>
    <s v="Minor Delay"/>
  </r>
  <r>
    <x v="1043"/>
    <x v="3"/>
    <x v="1043"/>
    <x v="4"/>
    <x v="0"/>
    <x v="1"/>
    <s v="EMP_63"/>
    <d v="2024-08-01T16:17:00"/>
    <d v="2024-08-01T17:05:00"/>
    <n v="47"/>
    <n v="48"/>
    <n v="1"/>
    <x v="0"/>
    <x v="6"/>
    <n v="468.49"/>
    <n v="1"/>
    <n v="0.97916666666666663"/>
    <s v="Inefficient"/>
    <s v="Medium"/>
    <s v="Minor Delay"/>
  </r>
  <r>
    <x v="1044"/>
    <x v="3"/>
    <x v="1044"/>
    <x v="3"/>
    <x v="3"/>
    <x v="0"/>
    <s v="EMP_12"/>
    <d v="2024-05-09T06:13:00"/>
    <d v="2024-05-09T08:16:00"/>
    <n v="19"/>
    <n v="123"/>
    <n v="1"/>
    <x v="2"/>
    <x v="2"/>
    <n v="55.55"/>
    <n v="104"/>
    <n v="0.15447154471544716"/>
    <s v="Inefficient"/>
    <s v="Very Long"/>
    <s v="Major Delay"/>
  </r>
  <r>
    <x v="1045"/>
    <x v="4"/>
    <x v="1045"/>
    <x v="1"/>
    <x v="1"/>
    <x v="1"/>
    <s v="EMP_57"/>
    <d v="2024-01-12T09:30:00"/>
    <d v="2024-01-12T12:16:00"/>
    <n v="93"/>
    <n v="166"/>
    <n v="1"/>
    <x v="1"/>
    <x v="7"/>
    <n v="436.25"/>
    <n v="73"/>
    <n v="0.56024096385542166"/>
    <s v="Inefficient"/>
    <s v="Very Long"/>
    <s v="Major Delay"/>
  </r>
  <r>
    <x v="1046"/>
    <x v="4"/>
    <x v="1046"/>
    <x v="1"/>
    <x v="1"/>
    <x v="4"/>
    <s v="EMP_109"/>
    <d v="2024-01-27T01:24:00"/>
    <d v="2024-01-27T03:32:00"/>
    <n v="83"/>
    <n v="128"/>
    <n v="1"/>
    <x v="2"/>
    <x v="2"/>
    <n v="445.17"/>
    <n v="45"/>
    <n v="0.6484375"/>
    <s v="Inefficient"/>
    <s v="Very Long"/>
    <s v="Major Delay"/>
  </r>
  <r>
    <x v="1047"/>
    <x v="0"/>
    <x v="1047"/>
    <x v="2"/>
    <x v="0"/>
    <x v="4"/>
    <s v="EMP_117"/>
    <d v="2024-02-15T21:41:00"/>
    <d v="2024-02-16T01:38:00"/>
    <n v="192"/>
    <n v="237"/>
    <n v="1"/>
    <x v="1"/>
    <x v="6"/>
    <n v="228.82"/>
    <n v="45"/>
    <n v="0.810126582278481"/>
    <s v="Inefficient"/>
    <s v="Very Long"/>
    <s v="Major Delay"/>
  </r>
  <r>
    <x v="1048"/>
    <x v="4"/>
    <x v="1048"/>
    <x v="4"/>
    <x v="2"/>
    <x v="4"/>
    <s v="EMP_48"/>
    <d v="2024-03-29T22:28:00"/>
    <d v="2024-03-30T00:21:00"/>
    <n v="57"/>
    <n v="113"/>
    <n v="1"/>
    <x v="1"/>
    <x v="4"/>
    <n v="65.489999999999995"/>
    <n v="56"/>
    <n v="0.50442477876106195"/>
    <s v="Inefficient"/>
    <s v="Long"/>
    <s v="Major Delay"/>
  </r>
  <r>
    <x v="1049"/>
    <x v="4"/>
    <x v="1049"/>
    <x v="1"/>
    <x v="1"/>
    <x v="2"/>
    <s v="EMP_73"/>
    <d v="2024-05-15T21:43:00"/>
    <d v="2024-05-16T00:06:00"/>
    <n v="66"/>
    <n v="143"/>
    <n v="1"/>
    <x v="2"/>
    <x v="9"/>
    <n v="410.6"/>
    <n v="77"/>
    <n v="0.46153846153846156"/>
    <s v="Inefficient"/>
    <s v="Very Long"/>
    <s v="Major Delay"/>
  </r>
  <r>
    <x v="1050"/>
    <x v="1"/>
    <x v="1050"/>
    <x v="3"/>
    <x v="3"/>
    <x v="3"/>
    <s v="EMP_131"/>
    <d v="2024-12-19T23:11:00"/>
    <d v="2024-12-20T01:14:00"/>
    <n v="13"/>
    <n v="123"/>
    <n v="1"/>
    <x v="0"/>
    <x v="8"/>
    <n v="97.78"/>
    <n v="110"/>
    <n v="0.10569105691056911"/>
    <s v="Inefficient"/>
    <s v="Very Long"/>
    <s v="Major Delay"/>
  </r>
  <r>
    <x v="1051"/>
    <x v="2"/>
    <x v="1051"/>
    <x v="1"/>
    <x v="2"/>
    <x v="1"/>
    <s v="EMP_50"/>
    <d v="2024-08-07T16:39:00"/>
    <d v="2024-08-07T19:56:00"/>
    <n v="196"/>
    <n v="197"/>
    <n v="1"/>
    <x v="1"/>
    <x v="6"/>
    <n v="474.94"/>
    <n v="1"/>
    <n v="0.99492385786802029"/>
    <s v="Inefficient"/>
    <s v="Very Long"/>
    <s v="Minor Delay"/>
  </r>
  <r>
    <x v="1052"/>
    <x v="2"/>
    <x v="1052"/>
    <x v="1"/>
    <x v="3"/>
    <x v="2"/>
    <s v="EMP_54"/>
    <d v="2024-05-25T23:17:00"/>
    <d v="2024-05-26T01:33:00"/>
    <n v="58"/>
    <n v="136"/>
    <n v="1"/>
    <x v="0"/>
    <x v="3"/>
    <n v="103.53"/>
    <n v="78"/>
    <n v="0.4264705882352941"/>
    <s v="Inefficient"/>
    <s v="Very Long"/>
    <s v="Major Delay"/>
  </r>
  <r>
    <x v="1053"/>
    <x v="3"/>
    <x v="1053"/>
    <x v="0"/>
    <x v="2"/>
    <x v="4"/>
    <s v="EMP_1"/>
    <d v="2024-12-11T02:34:00"/>
    <d v="2024-12-11T05:44:00"/>
    <n v="165"/>
    <n v="190"/>
    <n v="1"/>
    <x v="0"/>
    <x v="1"/>
    <n v="343.79"/>
    <n v="25"/>
    <n v="0.86842105263157898"/>
    <s v="Inefficient"/>
    <s v="Very Long"/>
    <s v="Minor Delay"/>
  </r>
  <r>
    <x v="1054"/>
    <x v="1"/>
    <x v="1054"/>
    <x v="4"/>
    <x v="2"/>
    <x v="3"/>
    <s v="EMP_116"/>
    <d v="2024-04-13T22:57:00"/>
    <d v="2024-04-14T01:03:00"/>
    <n v="107"/>
    <n v="126"/>
    <n v="1"/>
    <x v="2"/>
    <x v="0"/>
    <n v="263.98"/>
    <n v="19"/>
    <n v="0.84920634920634919"/>
    <s v="Inefficient"/>
    <s v="Very Long"/>
    <s v="Minor Delay"/>
  </r>
  <r>
    <x v="1055"/>
    <x v="1"/>
    <x v="1055"/>
    <x v="1"/>
    <x v="0"/>
    <x v="2"/>
    <s v="EMP_144"/>
    <d v="2024-05-24T15:24:00"/>
    <d v="2024-05-24T19:46:00"/>
    <n v="169"/>
    <n v="262"/>
    <n v="1"/>
    <x v="2"/>
    <x v="3"/>
    <n v="372.77"/>
    <n v="93"/>
    <n v="0.64503816793893132"/>
    <s v="Inefficient"/>
    <s v="Very Long"/>
    <s v="Major Delay"/>
  </r>
  <r>
    <x v="1056"/>
    <x v="3"/>
    <x v="1056"/>
    <x v="4"/>
    <x v="1"/>
    <x v="0"/>
    <s v="EMP_115"/>
    <d v="2024-07-06T18:41:00"/>
    <d v="2024-07-06T20:34:00"/>
    <n v="40"/>
    <n v="113"/>
    <n v="1"/>
    <x v="0"/>
    <x v="2"/>
    <n v="328.19"/>
    <n v="73"/>
    <n v="0.35398230088495575"/>
    <s v="Inefficient"/>
    <s v="Long"/>
    <s v="Major Delay"/>
  </r>
  <r>
    <x v="1057"/>
    <x v="0"/>
    <x v="1057"/>
    <x v="1"/>
    <x v="0"/>
    <x v="2"/>
    <s v="EMP_143"/>
    <d v="2024-05-07T12:31:00"/>
    <d v="2024-05-07T17:06:00"/>
    <n v="220"/>
    <n v="275"/>
    <n v="1"/>
    <x v="0"/>
    <x v="3"/>
    <n v="379.7"/>
    <n v="55"/>
    <n v="0.8"/>
    <s v="Inefficient"/>
    <s v="Very Long"/>
    <s v="Major Delay"/>
  </r>
  <r>
    <x v="1058"/>
    <x v="4"/>
    <x v="1058"/>
    <x v="3"/>
    <x v="2"/>
    <x v="3"/>
    <s v="EMP_108"/>
    <d v="2024-09-17T10:15:00"/>
    <d v="2024-09-17T15:24:00"/>
    <n v="226"/>
    <n v="309"/>
    <n v="1"/>
    <x v="1"/>
    <x v="3"/>
    <n v="127.26"/>
    <n v="83"/>
    <n v="0.73139158576051777"/>
    <s v="Inefficient"/>
    <s v="Very Long"/>
    <s v="Major Delay"/>
  </r>
  <r>
    <x v="1059"/>
    <x v="4"/>
    <x v="1059"/>
    <x v="0"/>
    <x v="0"/>
    <x v="3"/>
    <s v="EMP_61"/>
    <d v="2024-08-16T19:02:00"/>
    <d v="2024-08-16T21:01:00"/>
    <n v="44"/>
    <n v="119"/>
    <n v="1"/>
    <x v="2"/>
    <x v="6"/>
    <n v="59.85"/>
    <n v="75"/>
    <n v="0.36974789915966388"/>
    <s v="Inefficient"/>
    <s v="Long"/>
    <s v="Major Delay"/>
  </r>
  <r>
    <x v="1060"/>
    <x v="1"/>
    <x v="1060"/>
    <x v="1"/>
    <x v="0"/>
    <x v="2"/>
    <s v="EMP_2"/>
    <d v="2024-02-08T19:40:00"/>
    <d v="2024-02-08T22:43:00"/>
    <n v="103"/>
    <n v="183"/>
    <n v="1"/>
    <x v="1"/>
    <x v="9"/>
    <n v="342.76"/>
    <n v="80"/>
    <n v="0.56284153005464477"/>
    <s v="Inefficient"/>
    <s v="Very Long"/>
    <s v="Major Delay"/>
  </r>
  <r>
    <x v="1061"/>
    <x v="1"/>
    <x v="1061"/>
    <x v="1"/>
    <x v="2"/>
    <x v="0"/>
    <s v="EMP_14"/>
    <d v="2024-01-02T09:49:00"/>
    <d v="2024-01-02T14:15:00"/>
    <n v="215"/>
    <n v="266"/>
    <n v="1"/>
    <x v="0"/>
    <x v="8"/>
    <n v="131.49"/>
    <n v="51"/>
    <n v="0.80827067669172936"/>
    <s v="Inefficient"/>
    <s v="Very Long"/>
    <s v="Major Delay"/>
  </r>
  <r>
    <x v="1062"/>
    <x v="3"/>
    <x v="1062"/>
    <x v="1"/>
    <x v="2"/>
    <x v="2"/>
    <s v="EMP_93"/>
    <d v="2024-08-22T08:25:00"/>
    <d v="2024-08-22T10:55:00"/>
    <n v="59"/>
    <n v="150"/>
    <n v="1"/>
    <x v="0"/>
    <x v="4"/>
    <n v="339.99"/>
    <n v="91"/>
    <n v="0.39333333333333331"/>
    <s v="Inefficient"/>
    <s v="Very Long"/>
    <s v="Major Delay"/>
  </r>
  <r>
    <x v="1063"/>
    <x v="0"/>
    <x v="1063"/>
    <x v="4"/>
    <x v="2"/>
    <x v="0"/>
    <s v="EMP_146"/>
    <d v="2024-03-29T15:18:00"/>
    <d v="2024-03-29T19:29:00"/>
    <n v="134"/>
    <n v="251"/>
    <n v="1"/>
    <x v="0"/>
    <x v="9"/>
    <n v="139.75"/>
    <n v="117"/>
    <n v="0.53386454183266929"/>
    <s v="Inefficient"/>
    <s v="Very Long"/>
    <s v="Major Delay"/>
  </r>
  <r>
    <x v="1064"/>
    <x v="4"/>
    <x v="1064"/>
    <x v="4"/>
    <x v="0"/>
    <x v="4"/>
    <s v="EMP_126"/>
    <d v="2024-03-02T09:28:00"/>
    <d v="2024-03-02T13:04:00"/>
    <n v="172"/>
    <n v="216"/>
    <n v="1"/>
    <x v="2"/>
    <x v="6"/>
    <n v="271.5"/>
    <n v="44"/>
    <n v="0.79629629629629628"/>
    <s v="Inefficient"/>
    <s v="Very Long"/>
    <s v="Major Delay"/>
  </r>
  <r>
    <x v="1065"/>
    <x v="4"/>
    <x v="1065"/>
    <x v="1"/>
    <x v="2"/>
    <x v="4"/>
    <s v="EMP_10"/>
    <d v="2024-02-03T03:41:00"/>
    <d v="2024-02-03T07:54:00"/>
    <n v="158"/>
    <n v="253"/>
    <n v="1"/>
    <x v="2"/>
    <x v="3"/>
    <n v="416.25"/>
    <n v="95"/>
    <n v="0.62450592885375489"/>
    <s v="Inefficient"/>
    <s v="Very Long"/>
    <s v="Major Delay"/>
  </r>
  <r>
    <x v="1066"/>
    <x v="1"/>
    <x v="1066"/>
    <x v="0"/>
    <x v="1"/>
    <x v="4"/>
    <s v="EMP_36"/>
    <d v="2024-06-21T20:53:00"/>
    <d v="2024-06-21T22:18:00"/>
    <n v="13"/>
    <n v="85"/>
    <n v="1"/>
    <x v="1"/>
    <x v="3"/>
    <n v="198.93"/>
    <n v="72"/>
    <n v="0.15294117647058825"/>
    <s v="Inefficient"/>
    <s v="Long"/>
    <s v="Major Delay"/>
  </r>
  <r>
    <x v="1067"/>
    <x v="1"/>
    <x v="1067"/>
    <x v="1"/>
    <x v="0"/>
    <x v="1"/>
    <s v="EMP_81"/>
    <d v="2024-03-27T13:29:00"/>
    <d v="2024-03-27T15:51:00"/>
    <n v="44"/>
    <n v="142"/>
    <n v="1"/>
    <x v="1"/>
    <x v="4"/>
    <n v="69.819999999999993"/>
    <n v="98"/>
    <n v="0.30985915492957744"/>
    <s v="Inefficient"/>
    <s v="Very Long"/>
    <s v="Major Delay"/>
  </r>
  <r>
    <x v="1068"/>
    <x v="4"/>
    <x v="1068"/>
    <x v="4"/>
    <x v="2"/>
    <x v="4"/>
    <s v="EMP_26"/>
    <d v="2024-02-04T17:07:00"/>
    <d v="2024-02-04T20:25:00"/>
    <n v="154"/>
    <n v="198"/>
    <n v="1"/>
    <x v="2"/>
    <x v="0"/>
    <n v="456.94"/>
    <n v="44"/>
    <n v="0.77777777777777779"/>
    <s v="Inefficient"/>
    <s v="Very Long"/>
    <s v="Major Delay"/>
  </r>
  <r>
    <x v="1069"/>
    <x v="4"/>
    <x v="1069"/>
    <x v="1"/>
    <x v="3"/>
    <x v="1"/>
    <s v="EMP_2"/>
    <d v="2024-09-07T12:47:00"/>
    <d v="2024-09-07T17:51:00"/>
    <n v="221"/>
    <n v="304"/>
    <n v="1"/>
    <x v="0"/>
    <x v="0"/>
    <n v="237.29"/>
    <n v="83"/>
    <n v="0.72697368421052633"/>
    <s v="Inefficient"/>
    <s v="Very Long"/>
    <s v="Major Delay"/>
  </r>
  <r>
    <x v="1070"/>
    <x v="0"/>
    <x v="1070"/>
    <x v="3"/>
    <x v="1"/>
    <x v="0"/>
    <s v="EMP_31"/>
    <d v="2024-11-27T14:56:00"/>
    <d v="2024-11-27T19:10:00"/>
    <n v="205"/>
    <n v="254"/>
    <n v="1"/>
    <x v="1"/>
    <x v="9"/>
    <n v="415.2"/>
    <n v="49"/>
    <n v="0.80708661417322836"/>
    <s v="Inefficient"/>
    <s v="Very Long"/>
    <s v="Major Delay"/>
  </r>
  <r>
    <x v="1071"/>
    <x v="0"/>
    <x v="1071"/>
    <x v="1"/>
    <x v="3"/>
    <x v="2"/>
    <s v="EMP_37"/>
    <d v="2024-04-29T13:03:00"/>
    <d v="2024-04-29T17:29:00"/>
    <n v="161"/>
    <n v="266"/>
    <n v="1"/>
    <x v="2"/>
    <x v="6"/>
    <n v="89.67"/>
    <n v="105"/>
    <n v="0.60526315789473684"/>
    <s v="Inefficient"/>
    <s v="Very Long"/>
    <s v="Major Delay"/>
  </r>
  <r>
    <x v="1072"/>
    <x v="1"/>
    <x v="1072"/>
    <x v="1"/>
    <x v="1"/>
    <x v="4"/>
    <s v="EMP_113"/>
    <d v="2024-03-15T16:25:00"/>
    <d v="2024-03-15T19:09:00"/>
    <n v="130"/>
    <n v="164"/>
    <n v="1"/>
    <x v="0"/>
    <x v="2"/>
    <n v="129.58000000000001"/>
    <n v="34"/>
    <n v="0.79268292682926833"/>
    <s v="Inefficient"/>
    <s v="Very Long"/>
    <s v="Major Delay"/>
  </r>
  <r>
    <x v="1073"/>
    <x v="0"/>
    <x v="1073"/>
    <x v="4"/>
    <x v="0"/>
    <x v="3"/>
    <s v="EMP_144"/>
    <d v="2024-03-22T12:36:00"/>
    <d v="2024-03-22T14:20:00"/>
    <n v="90"/>
    <n v="104"/>
    <n v="1"/>
    <x v="1"/>
    <x v="7"/>
    <n v="182.5"/>
    <n v="14"/>
    <n v="0.86538461538461542"/>
    <s v="Inefficient"/>
    <s v="Long"/>
    <s v="Minor Delay"/>
  </r>
  <r>
    <x v="1074"/>
    <x v="4"/>
    <x v="1074"/>
    <x v="0"/>
    <x v="2"/>
    <x v="2"/>
    <s v="EMP_78"/>
    <d v="2024-07-18T09:56:00"/>
    <d v="2024-07-18T14:43:00"/>
    <n v="180"/>
    <n v="287"/>
    <n v="1"/>
    <x v="1"/>
    <x v="2"/>
    <n v="312.08"/>
    <n v="107"/>
    <n v="0.62717770034843201"/>
    <s v="Inefficient"/>
    <s v="Very Long"/>
    <s v="Major Delay"/>
  </r>
  <r>
    <x v="1075"/>
    <x v="4"/>
    <x v="1075"/>
    <x v="2"/>
    <x v="2"/>
    <x v="1"/>
    <s v="EMP_124"/>
    <d v="2024-08-03T17:38:00"/>
    <d v="2024-08-03T21:49:00"/>
    <n v="144"/>
    <n v="251"/>
    <n v="1"/>
    <x v="2"/>
    <x v="3"/>
    <n v="190.98"/>
    <n v="107"/>
    <n v="0.57370517928286857"/>
    <s v="Inefficient"/>
    <s v="Very Long"/>
    <s v="Major Delay"/>
  </r>
  <r>
    <x v="1076"/>
    <x v="3"/>
    <x v="1076"/>
    <x v="3"/>
    <x v="3"/>
    <x v="4"/>
    <s v="EMP_37"/>
    <d v="2024-03-03T00:04:00"/>
    <d v="2024-03-03T05:08:00"/>
    <n v="219"/>
    <n v="304"/>
    <n v="1"/>
    <x v="2"/>
    <x v="4"/>
    <n v="448.47"/>
    <n v="85"/>
    <n v="0.72039473684210531"/>
    <s v="Inefficient"/>
    <s v="Very Long"/>
    <s v="Major Delay"/>
  </r>
  <r>
    <x v="1077"/>
    <x v="1"/>
    <x v="1077"/>
    <x v="2"/>
    <x v="1"/>
    <x v="2"/>
    <s v="EMP_115"/>
    <d v="2024-06-18T06:01:00"/>
    <d v="2024-06-18T09:02:00"/>
    <n v="139"/>
    <n v="181"/>
    <n v="1"/>
    <x v="1"/>
    <x v="6"/>
    <n v="139.28"/>
    <n v="42"/>
    <n v="0.76795580110497241"/>
    <s v="Inefficient"/>
    <s v="Very Long"/>
    <s v="Major Delay"/>
  </r>
  <r>
    <x v="1078"/>
    <x v="4"/>
    <x v="1078"/>
    <x v="2"/>
    <x v="3"/>
    <x v="3"/>
    <s v="EMP_8"/>
    <d v="2024-07-19T14:49:00"/>
    <d v="2024-07-19T18:46:00"/>
    <n v="135"/>
    <n v="237"/>
    <n v="1"/>
    <x v="2"/>
    <x v="6"/>
    <n v="208.25"/>
    <n v="102"/>
    <n v="0.569620253164557"/>
    <s v="Inefficient"/>
    <s v="Very Long"/>
    <s v="Major Delay"/>
  </r>
  <r>
    <x v="1079"/>
    <x v="4"/>
    <x v="1079"/>
    <x v="1"/>
    <x v="0"/>
    <x v="3"/>
    <s v="EMP_6"/>
    <d v="2024-12-30T05:46:00"/>
    <d v="2024-12-30T08:37:00"/>
    <n v="61"/>
    <n v="171"/>
    <n v="1"/>
    <x v="0"/>
    <x v="6"/>
    <n v="488.68"/>
    <n v="110"/>
    <n v="0.35672514619883039"/>
    <s v="Inefficient"/>
    <s v="Very Long"/>
    <s v="Major Delay"/>
  </r>
  <r>
    <x v="1080"/>
    <x v="1"/>
    <x v="1080"/>
    <x v="3"/>
    <x v="0"/>
    <x v="0"/>
    <s v="EMP_76"/>
    <d v="2024-05-04T01:35:00"/>
    <d v="2024-05-04T04:42:00"/>
    <n v="84"/>
    <n v="187"/>
    <n v="1"/>
    <x v="2"/>
    <x v="0"/>
    <n v="182.23"/>
    <n v="103"/>
    <n v="0.44919786096256686"/>
    <s v="Inefficient"/>
    <s v="Very Long"/>
    <s v="Major Delay"/>
  </r>
  <r>
    <x v="1081"/>
    <x v="1"/>
    <x v="1081"/>
    <x v="2"/>
    <x v="2"/>
    <x v="0"/>
    <s v="EMP_56"/>
    <d v="2024-04-04T10:58:00"/>
    <d v="2024-04-04T13:22:00"/>
    <n v="24"/>
    <n v="144"/>
    <n v="1"/>
    <x v="1"/>
    <x v="0"/>
    <n v="321.33"/>
    <n v="120"/>
    <n v="0.16666666666666666"/>
    <s v="Inefficient"/>
    <s v="Very Long"/>
    <s v="Major Delay"/>
  </r>
  <r>
    <x v="1082"/>
    <x v="1"/>
    <x v="1082"/>
    <x v="2"/>
    <x v="1"/>
    <x v="2"/>
    <s v="EMP_113"/>
    <d v="2024-07-20T02:53:00"/>
    <d v="2024-07-20T04:24:00"/>
    <n v="71"/>
    <n v="91"/>
    <n v="1"/>
    <x v="2"/>
    <x v="1"/>
    <n v="55.91"/>
    <n v="20"/>
    <n v="0.78021978021978022"/>
    <s v="Inefficient"/>
    <s v="Long"/>
    <s v="Minor Delay"/>
  </r>
  <r>
    <x v="1083"/>
    <x v="3"/>
    <x v="1083"/>
    <x v="1"/>
    <x v="1"/>
    <x v="4"/>
    <s v="EMP_63"/>
    <d v="2024-10-20T10:14:00"/>
    <d v="2024-10-20T13:35:00"/>
    <n v="172"/>
    <n v="201"/>
    <n v="1"/>
    <x v="2"/>
    <x v="5"/>
    <n v="462.59"/>
    <n v="29"/>
    <n v="0.85572139303482586"/>
    <s v="Inefficient"/>
    <s v="Very Long"/>
    <s v="Minor Delay"/>
  </r>
  <r>
    <x v="1084"/>
    <x v="3"/>
    <x v="1084"/>
    <x v="1"/>
    <x v="1"/>
    <x v="4"/>
    <s v="EMP_79"/>
    <d v="2024-03-10T12:15:00"/>
    <d v="2024-03-10T14:48:00"/>
    <n v="119"/>
    <n v="153"/>
    <n v="1"/>
    <x v="0"/>
    <x v="8"/>
    <n v="492.7"/>
    <n v="34"/>
    <n v="0.77777777777777779"/>
    <s v="Inefficient"/>
    <s v="Very Long"/>
    <s v="Major Delay"/>
  </r>
  <r>
    <x v="1085"/>
    <x v="3"/>
    <x v="1085"/>
    <x v="1"/>
    <x v="0"/>
    <x v="0"/>
    <s v="EMP_146"/>
    <d v="2024-04-26T14:11:00"/>
    <d v="2024-04-26T15:13:00"/>
    <n v="65"/>
    <n v="62"/>
    <n v="0"/>
    <x v="1"/>
    <x v="1"/>
    <n v="461.97"/>
    <n v="-3"/>
    <n v="1.0483870967741935"/>
    <s v="Efficient"/>
    <s v="Long"/>
    <s v="On Time"/>
  </r>
  <r>
    <x v="1086"/>
    <x v="3"/>
    <x v="1086"/>
    <x v="2"/>
    <x v="1"/>
    <x v="4"/>
    <s v="EMP_137"/>
    <d v="2024-03-26T07:17:00"/>
    <d v="2024-03-26T10:02:00"/>
    <n v="151"/>
    <n v="165"/>
    <n v="1"/>
    <x v="2"/>
    <x v="3"/>
    <n v="465.7"/>
    <n v="14"/>
    <n v="0.91515151515151516"/>
    <s v="Inefficient"/>
    <s v="Very Long"/>
    <s v="Minor Delay"/>
  </r>
  <r>
    <x v="1087"/>
    <x v="0"/>
    <x v="1087"/>
    <x v="2"/>
    <x v="3"/>
    <x v="4"/>
    <s v="EMP_95"/>
    <d v="2024-11-30T16:19:00"/>
    <d v="2024-11-30T16:51:00"/>
    <n v="33"/>
    <n v="32"/>
    <n v="0"/>
    <x v="1"/>
    <x v="4"/>
    <n v="368.58"/>
    <n v="-1"/>
    <n v="1.03125"/>
    <s v="Efficient"/>
    <s v="Medium"/>
    <s v="On Time"/>
  </r>
  <r>
    <x v="1088"/>
    <x v="4"/>
    <x v="1088"/>
    <x v="2"/>
    <x v="0"/>
    <x v="1"/>
    <s v="EMP_137"/>
    <d v="2024-07-29T15:19:00"/>
    <d v="2024-07-29T17:34:00"/>
    <n v="119"/>
    <n v="135"/>
    <n v="1"/>
    <x v="1"/>
    <x v="1"/>
    <n v="378.48"/>
    <n v="16"/>
    <n v="0.88148148148148153"/>
    <s v="Inefficient"/>
    <s v="Very Long"/>
    <s v="Minor Delay"/>
  </r>
  <r>
    <x v="1089"/>
    <x v="1"/>
    <x v="1089"/>
    <x v="0"/>
    <x v="2"/>
    <x v="0"/>
    <s v="EMP_138"/>
    <d v="2024-12-24T21:09:00"/>
    <d v="2024-12-24T22:33:00"/>
    <n v="86"/>
    <n v="84"/>
    <n v="0"/>
    <x v="0"/>
    <x v="2"/>
    <n v="185.47"/>
    <n v="-2"/>
    <n v="1.0238095238095237"/>
    <s v="Efficient"/>
    <s v="Long"/>
    <s v="On Time"/>
  </r>
  <r>
    <x v="1090"/>
    <x v="4"/>
    <x v="1090"/>
    <x v="0"/>
    <x v="3"/>
    <x v="3"/>
    <s v="EMP_87"/>
    <d v="2024-05-23T12:26:00"/>
    <d v="2024-05-23T16:12:00"/>
    <n v="128"/>
    <n v="226"/>
    <n v="1"/>
    <x v="0"/>
    <x v="8"/>
    <n v="285.83999999999997"/>
    <n v="98"/>
    <n v="0.5663716814159292"/>
    <s v="Inefficient"/>
    <s v="Very Long"/>
    <s v="Major Delay"/>
  </r>
  <r>
    <x v="1091"/>
    <x v="0"/>
    <x v="1091"/>
    <x v="4"/>
    <x v="3"/>
    <x v="3"/>
    <s v="EMP_132"/>
    <d v="2024-08-11T09:28:00"/>
    <d v="2024-08-11T12:07:00"/>
    <n v="114"/>
    <n v="159"/>
    <n v="1"/>
    <x v="1"/>
    <x v="7"/>
    <n v="226.85"/>
    <n v="45"/>
    <n v="0.71698113207547165"/>
    <s v="Inefficient"/>
    <s v="Very Long"/>
    <s v="Major Delay"/>
  </r>
  <r>
    <x v="1092"/>
    <x v="2"/>
    <x v="1092"/>
    <x v="1"/>
    <x v="2"/>
    <x v="1"/>
    <s v="EMP_77"/>
    <d v="2024-04-19T14:19:00"/>
    <d v="2024-04-19T17:15:00"/>
    <n v="135"/>
    <n v="176"/>
    <n v="1"/>
    <x v="1"/>
    <x v="3"/>
    <n v="491.12"/>
    <n v="41"/>
    <n v="0.76704545454545459"/>
    <s v="Inefficient"/>
    <s v="Very Long"/>
    <s v="Major Delay"/>
  </r>
  <r>
    <x v="1093"/>
    <x v="2"/>
    <x v="1093"/>
    <x v="3"/>
    <x v="3"/>
    <x v="3"/>
    <s v="EMP_118"/>
    <d v="2024-07-13T12:15:00"/>
    <d v="2024-07-13T16:47:00"/>
    <n v="158"/>
    <n v="272"/>
    <n v="1"/>
    <x v="0"/>
    <x v="1"/>
    <n v="397.15"/>
    <n v="114"/>
    <n v="0.58088235294117652"/>
    <s v="Inefficient"/>
    <s v="Very Long"/>
    <s v="Major Delay"/>
  </r>
  <r>
    <x v="1094"/>
    <x v="3"/>
    <x v="1094"/>
    <x v="1"/>
    <x v="3"/>
    <x v="3"/>
    <s v="EMP_14"/>
    <d v="2024-07-25T06:05:00"/>
    <d v="2024-07-25T07:15:00"/>
    <n v="18"/>
    <n v="70"/>
    <n v="1"/>
    <x v="0"/>
    <x v="1"/>
    <n v="438.61"/>
    <n v="52"/>
    <n v="0.25714285714285712"/>
    <s v="Inefficient"/>
    <s v="Long"/>
    <s v="Major Delay"/>
  </r>
  <r>
    <x v="1095"/>
    <x v="2"/>
    <x v="1095"/>
    <x v="0"/>
    <x v="2"/>
    <x v="0"/>
    <s v="EMP_2"/>
    <d v="2024-08-31T04:08:00"/>
    <d v="2024-08-31T09:02:00"/>
    <n v="177"/>
    <n v="294"/>
    <n v="1"/>
    <x v="0"/>
    <x v="8"/>
    <n v="210.6"/>
    <n v="117"/>
    <n v="0.60204081632653061"/>
    <s v="Inefficient"/>
    <s v="Very Long"/>
    <s v="Major Delay"/>
  </r>
  <r>
    <x v="1096"/>
    <x v="1"/>
    <x v="1096"/>
    <x v="1"/>
    <x v="3"/>
    <x v="0"/>
    <s v="EMP_122"/>
    <d v="2024-05-04T06:29:00"/>
    <d v="2024-05-04T09:28:00"/>
    <n v="126"/>
    <n v="179"/>
    <n v="1"/>
    <x v="0"/>
    <x v="8"/>
    <n v="451.73"/>
    <n v="53"/>
    <n v="0.7039106145251397"/>
    <s v="Inefficient"/>
    <s v="Very Long"/>
    <s v="Major Delay"/>
  </r>
  <r>
    <x v="1097"/>
    <x v="1"/>
    <x v="1097"/>
    <x v="2"/>
    <x v="0"/>
    <x v="3"/>
    <s v="EMP_50"/>
    <d v="2024-10-26T03:47:00"/>
    <d v="2024-10-26T07:51:00"/>
    <n v="169"/>
    <n v="244"/>
    <n v="1"/>
    <x v="2"/>
    <x v="4"/>
    <n v="283.55"/>
    <n v="75"/>
    <n v="0.69262295081967218"/>
    <s v="Inefficient"/>
    <s v="Very Long"/>
    <s v="Major Delay"/>
  </r>
  <r>
    <x v="1098"/>
    <x v="1"/>
    <x v="1098"/>
    <x v="3"/>
    <x v="1"/>
    <x v="4"/>
    <s v="EMP_56"/>
    <d v="2024-01-22T12:13:00"/>
    <d v="2024-01-22T13:46:00"/>
    <n v="36"/>
    <n v="93"/>
    <n v="1"/>
    <x v="1"/>
    <x v="4"/>
    <n v="59.79"/>
    <n v="57"/>
    <n v="0.38709677419354838"/>
    <s v="Inefficient"/>
    <s v="Long"/>
    <s v="Major Delay"/>
  </r>
  <r>
    <x v="1099"/>
    <x v="4"/>
    <x v="1099"/>
    <x v="1"/>
    <x v="2"/>
    <x v="1"/>
    <s v="EMP_14"/>
    <d v="2024-04-23T01:25:00"/>
    <d v="2024-04-23T04:21:00"/>
    <n v="116"/>
    <n v="176"/>
    <n v="1"/>
    <x v="1"/>
    <x v="9"/>
    <n v="235.33"/>
    <n v="60"/>
    <n v="0.65909090909090906"/>
    <s v="Inefficient"/>
    <s v="Very Long"/>
    <s v="Major Delay"/>
  </r>
  <r>
    <x v="1100"/>
    <x v="1"/>
    <x v="1100"/>
    <x v="2"/>
    <x v="2"/>
    <x v="2"/>
    <s v="EMP_4"/>
    <d v="2024-10-26T11:19:00"/>
    <d v="2024-10-26T14:36:00"/>
    <n v="178"/>
    <n v="197"/>
    <n v="1"/>
    <x v="1"/>
    <x v="3"/>
    <n v="116.66"/>
    <n v="19"/>
    <n v="0.90355329949238583"/>
    <s v="Inefficient"/>
    <s v="Very Long"/>
    <s v="Minor Delay"/>
  </r>
  <r>
    <x v="1101"/>
    <x v="0"/>
    <x v="1101"/>
    <x v="1"/>
    <x v="2"/>
    <x v="3"/>
    <s v="EMP_89"/>
    <d v="2024-03-21T13:30:00"/>
    <d v="2024-03-21T15:24:00"/>
    <n v="103"/>
    <n v="114"/>
    <n v="1"/>
    <x v="2"/>
    <x v="9"/>
    <n v="355.64"/>
    <n v="11"/>
    <n v="0.90350877192982459"/>
    <s v="Inefficient"/>
    <s v="Long"/>
    <s v="Minor Delay"/>
  </r>
  <r>
    <x v="1102"/>
    <x v="4"/>
    <x v="1102"/>
    <x v="0"/>
    <x v="3"/>
    <x v="4"/>
    <s v="EMP_91"/>
    <d v="2024-12-22T07:16:00"/>
    <d v="2024-12-22T09:23:00"/>
    <n v="98"/>
    <n v="127"/>
    <n v="1"/>
    <x v="2"/>
    <x v="4"/>
    <n v="103.43"/>
    <n v="29"/>
    <n v="0.77165354330708658"/>
    <s v="Inefficient"/>
    <s v="Very Long"/>
    <s v="Minor Delay"/>
  </r>
  <r>
    <x v="1103"/>
    <x v="3"/>
    <x v="1103"/>
    <x v="2"/>
    <x v="3"/>
    <x v="0"/>
    <s v="EMP_39"/>
    <d v="2024-11-05T02:44:00"/>
    <d v="2024-11-05T03:31:00"/>
    <n v="39"/>
    <n v="47"/>
    <n v="1"/>
    <x v="2"/>
    <x v="2"/>
    <n v="162.79"/>
    <n v="8"/>
    <n v="0.82978723404255317"/>
    <s v="Inefficient"/>
    <s v="Medium"/>
    <s v="Minor Delay"/>
  </r>
  <r>
    <x v="1104"/>
    <x v="4"/>
    <x v="1104"/>
    <x v="0"/>
    <x v="3"/>
    <x v="2"/>
    <s v="EMP_2"/>
    <d v="2024-03-13T11:03:00"/>
    <d v="2024-03-13T14:58:00"/>
    <n v="224"/>
    <n v="235"/>
    <n v="1"/>
    <x v="0"/>
    <x v="3"/>
    <n v="187.91"/>
    <n v="11"/>
    <n v="0.95319148936170217"/>
    <s v="Inefficient"/>
    <s v="Very Long"/>
    <s v="Minor Delay"/>
  </r>
  <r>
    <x v="1105"/>
    <x v="2"/>
    <x v="1105"/>
    <x v="4"/>
    <x v="2"/>
    <x v="0"/>
    <s v="EMP_149"/>
    <d v="2024-08-24T07:15:00"/>
    <d v="2024-08-24T10:19:00"/>
    <n v="166"/>
    <n v="184"/>
    <n v="1"/>
    <x v="0"/>
    <x v="3"/>
    <n v="336.79"/>
    <n v="18"/>
    <n v="0.90217391304347827"/>
    <s v="Inefficient"/>
    <s v="Very Long"/>
    <s v="Minor Delay"/>
  </r>
  <r>
    <x v="1106"/>
    <x v="1"/>
    <x v="1106"/>
    <x v="1"/>
    <x v="2"/>
    <x v="2"/>
    <s v="EMP_119"/>
    <d v="2024-10-09T02:12:00"/>
    <d v="2024-10-09T06:05:00"/>
    <n v="136"/>
    <n v="233"/>
    <n v="1"/>
    <x v="0"/>
    <x v="8"/>
    <n v="175.93"/>
    <n v="97"/>
    <n v="0.58369098712446355"/>
    <s v="Inefficient"/>
    <s v="Very Long"/>
    <s v="Major Delay"/>
  </r>
  <r>
    <x v="1107"/>
    <x v="1"/>
    <x v="1107"/>
    <x v="0"/>
    <x v="0"/>
    <x v="3"/>
    <s v="EMP_1"/>
    <d v="2024-04-20T17:18:00"/>
    <d v="2024-04-20T19:04:00"/>
    <n v="106"/>
    <n v="106"/>
    <n v="0"/>
    <x v="0"/>
    <x v="7"/>
    <n v="383.64"/>
    <n v="0"/>
    <n v="1"/>
    <s v="On Target"/>
    <s v="Long"/>
    <s v="On Time"/>
  </r>
  <r>
    <x v="1108"/>
    <x v="0"/>
    <x v="1108"/>
    <x v="2"/>
    <x v="3"/>
    <x v="4"/>
    <s v="EMP_64"/>
    <d v="2024-08-26T18:53:00"/>
    <d v="2024-08-26T21:01:00"/>
    <n v="121"/>
    <n v="128"/>
    <n v="1"/>
    <x v="0"/>
    <x v="0"/>
    <n v="483.09"/>
    <n v="7"/>
    <n v="0.9453125"/>
    <s v="Inefficient"/>
    <s v="Very Long"/>
    <s v="Minor Delay"/>
  </r>
  <r>
    <x v="1109"/>
    <x v="4"/>
    <x v="1109"/>
    <x v="4"/>
    <x v="1"/>
    <x v="1"/>
    <s v="EMP_12"/>
    <d v="2024-05-13T02:43:00"/>
    <d v="2024-05-13T07:07:00"/>
    <n v="237"/>
    <n v="264"/>
    <n v="1"/>
    <x v="2"/>
    <x v="3"/>
    <n v="375.68"/>
    <n v="27"/>
    <n v="0.89772727272727271"/>
    <s v="Inefficient"/>
    <s v="Very Long"/>
    <s v="Minor Delay"/>
  </r>
  <r>
    <x v="1110"/>
    <x v="3"/>
    <x v="1110"/>
    <x v="3"/>
    <x v="1"/>
    <x v="1"/>
    <s v="EMP_89"/>
    <d v="2024-05-27T10:23:00"/>
    <d v="2024-05-27T13:25:00"/>
    <n v="122"/>
    <n v="182"/>
    <n v="1"/>
    <x v="2"/>
    <x v="0"/>
    <n v="424.61"/>
    <n v="60"/>
    <n v="0.67032967032967028"/>
    <s v="Inefficient"/>
    <s v="Very Long"/>
    <s v="Major Delay"/>
  </r>
  <r>
    <x v="1111"/>
    <x v="3"/>
    <x v="1111"/>
    <x v="3"/>
    <x v="3"/>
    <x v="1"/>
    <s v="EMP_25"/>
    <d v="2024-09-21T08:37:00"/>
    <d v="2024-09-21T12:07:00"/>
    <n v="109"/>
    <n v="210"/>
    <n v="1"/>
    <x v="0"/>
    <x v="9"/>
    <n v="145.66"/>
    <n v="101"/>
    <n v="0.51904761904761909"/>
    <s v="Inefficient"/>
    <s v="Very Long"/>
    <s v="Major Delay"/>
  </r>
  <r>
    <x v="1112"/>
    <x v="4"/>
    <x v="1112"/>
    <x v="0"/>
    <x v="0"/>
    <x v="0"/>
    <s v="EMP_118"/>
    <d v="2024-01-31T04:56:00"/>
    <d v="2024-01-31T10:11:00"/>
    <n v="221"/>
    <n v="315"/>
    <n v="1"/>
    <x v="2"/>
    <x v="5"/>
    <n v="93.2"/>
    <n v="94"/>
    <n v="0.70158730158730154"/>
    <s v="Inefficient"/>
    <s v="Very Long"/>
    <s v="Major Delay"/>
  </r>
  <r>
    <x v="1113"/>
    <x v="0"/>
    <x v="1113"/>
    <x v="3"/>
    <x v="2"/>
    <x v="2"/>
    <s v="EMP_46"/>
    <d v="2024-05-21T20:25:00"/>
    <d v="2024-05-22T00:09:00"/>
    <n v="219"/>
    <n v="224"/>
    <n v="1"/>
    <x v="1"/>
    <x v="5"/>
    <n v="397.19"/>
    <n v="5"/>
    <n v="0.9776785714285714"/>
    <s v="Inefficient"/>
    <s v="Very Long"/>
    <s v="Minor Delay"/>
  </r>
  <r>
    <x v="1114"/>
    <x v="4"/>
    <x v="1114"/>
    <x v="3"/>
    <x v="0"/>
    <x v="1"/>
    <s v="EMP_120"/>
    <d v="2024-11-08T05:50:00"/>
    <d v="2024-11-08T08:03:00"/>
    <n v="123"/>
    <n v="133"/>
    <n v="1"/>
    <x v="0"/>
    <x v="9"/>
    <n v="112.83"/>
    <n v="10"/>
    <n v="0.92481203007518797"/>
    <s v="Inefficient"/>
    <s v="Very Long"/>
    <s v="Minor Delay"/>
  </r>
  <r>
    <x v="1115"/>
    <x v="1"/>
    <x v="1115"/>
    <x v="1"/>
    <x v="3"/>
    <x v="1"/>
    <s v="EMP_26"/>
    <d v="2024-08-13T13:24:00"/>
    <d v="2024-08-13T14:27:00"/>
    <n v="10"/>
    <n v="63"/>
    <n v="1"/>
    <x v="0"/>
    <x v="2"/>
    <n v="486.52"/>
    <n v="53"/>
    <n v="0.15873015873015872"/>
    <s v="Inefficient"/>
    <s v="Long"/>
    <s v="Major Delay"/>
  </r>
  <r>
    <x v="1116"/>
    <x v="0"/>
    <x v="1116"/>
    <x v="3"/>
    <x v="0"/>
    <x v="1"/>
    <s v="EMP_139"/>
    <d v="2024-05-25T08:29:00"/>
    <d v="2024-05-25T13:24:00"/>
    <n v="177"/>
    <n v="295"/>
    <n v="1"/>
    <x v="2"/>
    <x v="4"/>
    <n v="362.89"/>
    <n v="118"/>
    <n v="0.6"/>
    <s v="Inefficient"/>
    <s v="Very Long"/>
    <s v="Major Delay"/>
  </r>
  <r>
    <x v="1117"/>
    <x v="4"/>
    <x v="1117"/>
    <x v="0"/>
    <x v="2"/>
    <x v="2"/>
    <s v="EMP_4"/>
    <d v="2024-12-29T18:47:00"/>
    <d v="2024-12-29T20:01:00"/>
    <n v="23"/>
    <n v="74"/>
    <n v="1"/>
    <x v="1"/>
    <x v="9"/>
    <n v="383.11"/>
    <n v="51"/>
    <n v="0.3108108108108108"/>
    <s v="Inefficient"/>
    <s v="Long"/>
    <s v="Major Delay"/>
  </r>
  <r>
    <x v="1118"/>
    <x v="4"/>
    <x v="1118"/>
    <x v="1"/>
    <x v="0"/>
    <x v="1"/>
    <s v="EMP_69"/>
    <d v="2024-12-22T01:14:00"/>
    <d v="2024-12-22T05:50:00"/>
    <n v="224"/>
    <n v="276"/>
    <n v="1"/>
    <x v="2"/>
    <x v="9"/>
    <n v="140.07"/>
    <n v="52"/>
    <n v="0.81159420289855078"/>
    <s v="Inefficient"/>
    <s v="Very Long"/>
    <s v="Major Delay"/>
  </r>
  <r>
    <x v="1119"/>
    <x v="2"/>
    <x v="1119"/>
    <x v="1"/>
    <x v="0"/>
    <x v="4"/>
    <s v="EMP_105"/>
    <d v="2024-04-02T06:23:00"/>
    <d v="2024-04-02T08:07:00"/>
    <n v="30"/>
    <n v="104"/>
    <n v="1"/>
    <x v="1"/>
    <x v="8"/>
    <n v="203.61"/>
    <n v="74"/>
    <n v="0.28846153846153844"/>
    <s v="Inefficient"/>
    <s v="Long"/>
    <s v="Major Delay"/>
  </r>
  <r>
    <x v="1120"/>
    <x v="3"/>
    <x v="1120"/>
    <x v="1"/>
    <x v="3"/>
    <x v="4"/>
    <s v="EMP_17"/>
    <d v="2024-12-06T08:19:00"/>
    <d v="2024-12-06T13:31:00"/>
    <n v="222"/>
    <n v="312"/>
    <n v="1"/>
    <x v="2"/>
    <x v="7"/>
    <n v="150.84"/>
    <n v="90"/>
    <n v="0.71153846153846156"/>
    <s v="Inefficient"/>
    <s v="Very Long"/>
    <s v="Major Delay"/>
  </r>
  <r>
    <x v="1121"/>
    <x v="3"/>
    <x v="1121"/>
    <x v="2"/>
    <x v="3"/>
    <x v="0"/>
    <s v="EMP_147"/>
    <d v="2024-08-29T21:43:00"/>
    <d v="2024-08-29T23:54:00"/>
    <n v="95"/>
    <n v="131"/>
    <n v="1"/>
    <x v="1"/>
    <x v="5"/>
    <n v="194.11"/>
    <n v="36"/>
    <n v="0.72519083969465647"/>
    <s v="Inefficient"/>
    <s v="Very Long"/>
    <s v="Major Delay"/>
  </r>
  <r>
    <x v="1122"/>
    <x v="3"/>
    <x v="1122"/>
    <x v="4"/>
    <x v="3"/>
    <x v="3"/>
    <s v="EMP_128"/>
    <d v="2024-11-16T12:38:00"/>
    <d v="2024-11-16T16:10:00"/>
    <n v="113"/>
    <n v="212"/>
    <n v="1"/>
    <x v="1"/>
    <x v="0"/>
    <n v="200.75"/>
    <n v="99"/>
    <n v="0.53301886792452835"/>
    <s v="Inefficient"/>
    <s v="Very Long"/>
    <s v="Major Delay"/>
  </r>
  <r>
    <x v="1123"/>
    <x v="1"/>
    <x v="1123"/>
    <x v="2"/>
    <x v="0"/>
    <x v="4"/>
    <s v="EMP_6"/>
    <d v="2024-06-24T23:41:00"/>
    <d v="2024-06-25T00:50:00"/>
    <n v="58"/>
    <n v="69"/>
    <n v="1"/>
    <x v="0"/>
    <x v="9"/>
    <n v="253.48"/>
    <n v="11"/>
    <n v="0.84057971014492749"/>
    <s v="Inefficient"/>
    <s v="Long"/>
    <s v="Minor Delay"/>
  </r>
  <r>
    <x v="1124"/>
    <x v="0"/>
    <x v="1124"/>
    <x v="3"/>
    <x v="3"/>
    <x v="0"/>
    <s v="EMP_50"/>
    <d v="2024-08-20T03:49:00"/>
    <d v="2024-08-20T08:02:00"/>
    <n v="143"/>
    <n v="253"/>
    <n v="1"/>
    <x v="0"/>
    <x v="2"/>
    <n v="137.71"/>
    <n v="110"/>
    <n v="0.56521739130434778"/>
    <s v="Inefficient"/>
    <s v="Very Long"/>
    <s v="Major Delay"/>
  </r>
  <r>
    <x v="1125"/>
    <x v="4"/>
    <x v="1125"/>
    <x v="4"/>
    <x v="3"/>
    <x v="1"/>
    <s v="EMP_36"/>
    <d v="2024-08-27T08:50:00"/>
    <d v="2024-08-27T10:50:00"/>
    <n v="65"/>
    <n v="120"/>
    <n v="1"/>
    <x v="0"/>
    <x v="1"/>
    <n v="463.34"/>
    <n v="55"/>
    <n v="0.54166666666666663"/>
    <s v="Inefficient"/>
    <s v="Very Long"/>
    <s v="Major Delay"/>
  </r>
  <r>
    <x v="1126"/>
    <x v="4"/>
    <x v="1126"/>
    <x v="2"/>
    <x v="3"/>
    <x v="1"/>
    <s v="EMP_6"/>
    <d v="2024-06-14T20:03:00"/>
    <d v="2024-06-15T00:01:00"/>
    <n v="129"/>
    <n v="238"/>
    <n v="1"/>
    <x v="0"/>
    <x v="8"/>
    <n v="469.56"/>
    <n v="109"/>
    <n v="0.54201680672268904"/>
    <s v="Inefficient"/>
    <s v="Very Long"/>
    <s v="Major Delay"/>
  </r>
  <r>
    <x v="1127"/>
    <x v="4"/>
    <x v="1127"/>
    <x v="2"/>
    <x v="1"/>
    <x v="2"/>
    <s v="EMP_34"/>
    <d v="2024-06-22T04:19:00"/>
    <d v="2024-06-22T09:38:00"/>
    <n v="199"/>
    <n v="319"/>
    <n v="1"/>
    <x v="1"/>
    <x v="2"/>
    <n v="452.85"/>
    <n v="120"/>
    <n v="0.62382445141065834"/>
    <s v="Inefficient"/>
    <s v="Very Long"/>
    <s v="Major Delay"/>
  </r>
  <r>
    <x v="1128"/>
    <x v="4"/>
    <x v="1128"/>
    <x v="3"/>
    <x v="0"/>
    <x v="0"/>
    <s v="EMP_53"/>
    <d v="2024-02-21T00:57:00"/>
    <d v="2024-02-21T03:06:00"/>
    <n v="109"/>
    <n v="129"/>
    <n v="1"/>
    <x v="2"/>
    <x v="9"/>
    <n v="278.35000000000002"/>
    <n v="20"/>
    <n v="0.84496124031007747"/>
    <s v="Inefficient"/>
    <s v="Very Long"/>
    <s v="Minor Delay"/>
  </r>
  <r>
    <x v="1129"/>
    <x v="0"/>
    <x v="1129"/>
    <x v="2"/>
    <x v="3"/>
    <x v="0"/>
    <s v="EMP_104"/>
    <d v="2024-02-23T17:58:00"/>
    <d v="2024-02-23T21:24:00"/>
    <n v="97"/>
    <n v="206"/>
    <n v="1"/>
    <x v="2"/>
    <x v="6"/>
    <n v="57.48"/>
    <n v="109"/>
    <n v="0.470873786407767"/>
    <s v="Inefficient"/>
    <s v="Very Long"/>
    <s v="Major Delay"/>
  </r>
  <r>
    <x v="1130"/>
    <x v="4"/>
    <x v="1130"/>
    <x v="4"/>
    <x v="2"/>
    <x v="3"/>
    <s v="EMP_136"/>
    <d v="2024-09-13T08:20:00"/>
    <d v="2024-09-13T12:02:00"/>
    <n v="226"/>
    <n v="222"/>
    <n v="0"/>
    <x v="2"/>
    <x v="6"/>
    <n v="210.47"/>
    <n v="-4"/>
    <n v="1.0180180180180181"/>
    <s v="Efficient"/>
    <s v="Very Long"/>
    <s v="On Time"/>
  </r>
  <r>
    <x v="1131"/>
    <x v="0"/>
    <x v="1131"/>
    <x v="1"/>
    <x v="1"/>
    <x v="4"/>
    <s v="EMP_76"/>
    <d v="2024-02-18T16:16:00"/>
    <d v="2024-02-18T17:50:00"/>
    <n v="74"/>
    <n v="94"/>
    <n v="1"/>
    <x v="2"/>
    <x v="4"/>
    <n v="86.77"/>
    <n v="20"/>
    <n v="0.78723404255319152"/>
    <s v="Inefficient"/>
    <s v="Long"/>
    <s v="Minor Delay"/>
  </r>
  <r>
    <x v="1132"/>
    <x v="0"/>
    <x v="1132"/>
    <x v="1"/>
    <x v="1"/>
    <x v="0"/>
    <s v="EMP_3"/>
    <d v="2024-08-19T06:57:00"/>
    <d v="2024-08-19T10:54:00"/>
    <n v="198"/>
    <n v="237"/>
    <n v="1"/>
    <x v="0"/>
    <x v="3"/>
    <n v="167.58"/>
    <n v="39"/>
    <n v="0.83544303797468356"/>
    <s v="Inefficient"/>
    <s v="Very Long"/>
    <s v="Major Delay"/>
  </r>
  <r>
    <x v="1133"/>
    <x v="1"/>
    <x v="1133"/>
    <x v="1"/>
    <x v="2"/>
    <x v="3"/>
    <s v="EMP_53"/>
    <d v="2024-12-23T05:11:00"/>
    <d v="2024-12-23T10:38:00"/>
    <n v="207"/>
    <n v="327"/>
    <n v="1"/>
    <x v="0"/>
    <x v="0"/>
    <n v="356.92"/>
    <n v="120"/>
    <n v="0.6330275229357798"/>
    <s v="Inefficient"/>
    <s v="Very Long"/>
    <s v="Major Delay"/>
  </r>
  <r>
    <x v="1134"/>
    <x v="1"/>
    <x v="1134"/>
    <x v="4"/>
    <x v="2"/>
    <x v="0"/>
    <s v="EMP_24"/>
    <d v="2024-07-09T12:43:00"/>
    <d v="2024-07-09T14:00:00"/>
    <n v="37"/>
    <n v="77"/>
    <n v="1"/>
    <x v="0"/>
    <x v="3"/>
    <n v="290.66000000000003"/>
    <n v="40"/>
    <n v="0.48051948051948051"/>
    <s v="Inefficient"/>
    <s v="Long"/>
    <s v="Major Delay"/>
  </r>
  <r>
    <x v="1135"/>
    <x v="1"/>
    <x v="1135"/>
    <x v="4"/>
    <x v="1"/>
    <x v="1"/>
    <s v="EMP_120"/>
    <d v="2024-09-07T11:05:00"/>
    <d v="2024-09-07T12:55:00"/>
    <n v="48"/>
    <n v="110"/>
    <n v="1"/>
    <x v="1"/>
    <x v="9"/>
    <n v="409.01"/>
    <n v="62"/>
    <n v="0.43636363636363634"/>
    <s v="Inefficient"/>
    <s v="Long"/>
    <s v="Major Delay"/>
  </r>
  <r>
    <x v="1136"/>
    <x v="4"/>
    <x v="1136"/>
    <x v="0"/>
    <x v="1"/>
    <x v="4"/>
    <s v="EMP_86"/>
    <d v="2024-05-11T19:27:00"/>
    <d v="2024-05-11T22:48:00"/>
    <n v="87"/>
    <n v="201"/>
    <n v="1"/>
    <x v="1"/>
    <x v="4"/>
    <n v="194.79"/>
    <n v="114"/>
    <n v="0.43283582089552236"/>
    <s v="Inefficient"/>
    <s v="Very Long"/>
    <s v="Major Delay"/>
  </r>
  <r>
    <x v="1137"/>
    <x v="4"/>
    <x v="1137"/>
    <x v="4"/>
    <x v="0"/>
    <x v="2"/>
    <s v="EMP_64"/>
    <d v="2024-01-31T10:50:00"/>
    <d v="2024-01-31T13:05:00"/>
    <n v="32"/>
    <n v="135"/>
    <n v="1"/>
    <x v="2"/>
    <x v="6"/>
    <n v="232.37"/>
    <n v="103"/>
    <n v="0.23703703703703705"/>
    <s v="Inefficient"/>
    <s v="Very Long"/>
    <s v="Major Delay"/>
  </r>
  <r>
    <x v="1138"/>
    <x v="3"/>
    <x v="1138"/>
    <x v="3"/>
    <x v="0"/>
    <x v="2"/>
    <s v="EMP_12"/>
    <d v="2024-01-01T13:10:00"/>
    <d v="2024-01-01T14:53:00"/>
    <n v="67"/>
    <n v="103"/>
    <n v="1"/>
    <x v="0"/>
    <x v="5"/>
    <n v="289.87"/>
    <n v="36"/>
    <n v="0.65048543689320393"/>
    <s v="Inefficient"/>
    <s v="Long"/>
    <s v="Major Delay"/>
  </r>
  <r>
    <x v="1139"/>
    <x v="0"/>
    <x v="1139"/>
    <x v="3"/>
    <x v="0"/>
    <x v="3"/>
    <s v="EMP_99"/>
    <d v="2024-05-25T09:55:00"/>
    <d v="2024-05-25T11:58:00"/>
    <n v="125"/>
    <n v="123"/>
    <n v="0"/>
    <x v="2"/>
    <x v="7"/>
    <n v="187.15"/>
    <n v="-2"/>
    <n v="1.0162601626016261"/>
    <s v="Efficient"/>
    <s v="Very Long"/>
    <s v="On Time"/>
  </r>
  <r>
    <x v="1140"/>
    <x v="3"/>
    <x v="1140"/>
    <x v="2"/>
    <x v="2"/>
    <x v="3"/>
    <s v="EMP_73"/>
    <d v="2024-08-26T09:46:00"/>
    <d v="2024-08-26T11:39:00"/>
    <n v="100"/>
    <n v="113"/>
    <n v="1"/>
    <x v="0"/>
    <x v="7"/>
    <n v="130.12"/>
    <n v="13"/>
    <n v="0.88495575221238942"/>
    <s v="Inefficient"/>
    <s v="Long"/>
    <s v="Minor Delay"/>
  </r>
  <r>
    <x v="1141"/>
    <x v="0"/>
    <x v="1141"/>
    <x v="3"/>
    <x v="2"/>
    <x v="3"/>
    <s v="EMP_77"/>
    <d v="2024-02-21T00:51:00"/>
    <d v="2024-02-21T01:34:00"/>
    <n v="41"/>
    <n v="43"/>
    <n v="1"/>
    <x v="2"/>
    <x v="7"/>
    <n v="363.67"/>
    <n v="2"/>
    <n v="0.95348837209302328"/>
    <s v="Inefficient"/>
    <s v="Medium"/>
    <s v="Minor Delay"/>
  </r>
  <r>
    <x v="1142"/>
    <x v="1"/>
    <x v="1142"/>
    <x v="2"/>
    <x v="0"/>
    <x v="0"/>
    <s v="EMP_94"/>
    <d v="2024-07-16T16:22:00"/>
    <d v="2024-07-16T21:18:00"/>
    <n v="212"/>
    <n v="296"/>
    <n v="1"/>
    <x v="2"/>
    <x v="2"/>
    <n v="414.97"/>
    <n v="84"/>
    <n v="0.71621621621621623"/>
    <s v="Inefficient"/>
    <s v="Very Long"/>
    <s v="Major Delay"/>
  </r>
  <r>
    <x v="1143"/>
    <x v="2"/>
    <x v="1143"/>
    <x v="0"/>
    <x v="1"/>
    <x v="0"/>
    <s v="EMP_143"/>
    <d v="2024-01-09T00:41:00"/>
    <d v="2024-01-09T05:03:00"/>
    <n v="232"/>
    <n v="262"/>
    <n v="1"/>
    <x v="2"/>
    <x v="9"/>
    <n v="372.14"/>
    <n v="30"/>
    <n v="0.8854961832061069"/>
    <s v="Inefficient"/>
    <s v="Very Long"/>
    <s v="Minor Delay"/>
  </r>
  <r>
    <x v="1144"/>
    <x v="1"/>
    <x v="1144"/>
    <x v="4"/>
    <x v="0"/>
    <x v="0"/>
    <s v="EMP_89"/>
    <d v="2024-03-10T13:53:00"/>
    <d v="2024-03-10T17:17:00"/>
    <n v="179"/>
    <n v="204"/>
    <n v="1"/>
    <x v="0"/>
    <x v="2"/>
    <n v="169.41"/>
    <n v="25"/>
    <n v="0.87745098039215685"/>
    <s v="Inefficient"/>
    <s v="Very Long"/>
    <s v="Minor Delay"/>
  </r>
  <r>
    <x v="1145"/>
    <x v="1"/>
    <x v="1145"/>
    <x v="3"/>
    <x v="2"/>
    <x v="1"/>
    <s v="EMP_66"/>
    <d v="2024-09-07T08:16:00"/>
    <d v="2024-09-07T12:16:00"/>
    <n v="198"/>
    <n v="240"/>
    <n v="1"/>
    <x v="0"/>
    <x v="2"/>
    <n v="347.43"/>
    <n v="42"/>
    <n v="0.82499999999999996"/>
    <s v="Inefficient"/>
    <s v="Very Long"/>
    <s v="Major Delay"/>
  </r>
  <r>
    <x v="1146"/>
    <x v="2"/>
    <x v="1146"/>
    <x v="4"/>
    <x v="3"/>
    <x v="4"/>
    <s v="EMP_1"/>
    <d v="2024-09-15T07:25:00"/>
    <d v="2024-09-15T12:21:00"/>
    <n v="233"/>
    <n v="296"/>
    <n v="1"/>
    <x v="2"/>
    <x v="4"/>
    <n v="254.9"/>
    <n v="63"/>
    <n v="0.78716216216216217"/>
    <s v="Inefficient"/>
    <s v="Very Long"/>
    <s v="Major Delay"/>
  </r>
  <r>
    <x v="1147"/>
    <x v="0"/>
    <x v="1147"/>
    <x v="1"/>
    <x v="1"/>
    <x v="2"/>
    <s v="EMP_51"/>
    <d v="2024-02-29T11:51:00"/>
    <d v="2024-02-29T13:14:00"/>
    <n v="17"/>
    <n v="83"/>
    <n v="1"/>
    <x v="0"/>
    <x v="1"/>
    <n v="452.75"/>
    <n v="66"/>
    <n v="0.20481927710843373"/>
    <s v="Inefficient"/>
    <s v="Long"/>
    <s v="Major Delay"/>
  </r>
  <r>
    <x v="1148"/>
    <x v="2"/>
    <x v="1148"/>
    <x v="1"/>
    <x v="0"/>
    <x v="4"/>
    <s v="EMP_9"/>
    <d v="2024-12-20T19:36:00"/>
    <d v="2024-12-20T22:44:00"/>
    <n v="84"/>
    <n v="188"/>
    <n v="1"/>
    <x v="2"/>
    <x v="0"/>
    <n v="327.52"/>
    <n v="104"/>
    <n v="0.44680851063829785"/>
    <s v="Inefficient"/>
    <s v="Very Long"/>
    <s v="Major Delay"/>
  </r>
  <r>
    <x v="1149"/>
    <x v="2"/>
    <x v="1149"/>
    <x v="2"/>
    <x v="3"/>
    <x v="4"/>
    <s v="EMP_33"/>
    <d v="2024-08-27T16:13:00"/>
    <d v="2024-08-27T17:08:00"/>
    <n v="15"/>
    <n v="55"/>
    <n v="1"/>
    <x v="1"/>
    <x v="2"/>
    <n v="150.94"/>
    <n v="40"/>
    <n v="0.27272727272727271"/>
    <s v="Inefficient"/>
    <s v="Medium"/>
    <s v="Major Delay"/>
  </r>
  <r>
    <x v="1150"/>
    <x v="2"/>
    <x v="1150"/>
    <x v="0"/>
    <x v="2"/>
    <x v="0"/>
    <s v="EMP_48"/>
    <d v="2024-01-28T04:54:00"/>
    <d v="2024-01-28T08:36:00"/>
    <n v="212"/>
    <n v="222"/>
    <n v="1"/>
    <x v="2"/>
    <x v="3"/>
    <n v="87.35"/>
    <n v="10"/>
    <n v="0.95495495495495497"/>
    <s v="Inefficient"/>
    <s v="Very Long"/>
    <s v="Minor Delay"/>
  </r>
  <r>
    <x v="1151"/>
    <x v="3"/>
    <x v="1151"/>
    <x v="2"/>
    <x v="1"/>
    <x v="3"/>
    <s v="EMP_123"/>
    <d v="2024-01-18T16:20:00"/>
    <d v="2024-01-18T21:15:00"/>
    <n v="192"/>
    <n v="295"/>
    <n v="1"/>
    <x v="0"/>
    <x v="1"/>
    <n v="436.34"/>
    <n v="103"/>
    <n v="0.6508474576271186"/>
    <s v="Inefficient"/>
    <s v="Very Long"/>
    <s v="Major Delay"/>
  </r>
  <r>
    <x v="1152"/>
    <x v="1"/>
    <x v="1152"/>
    <x v="0"/>
    <x v="1"/>
    <x v="3"/>
    <s v="EMP_70"/>
    <d v="2024-05-21T15:38:00"/>
    <d v="2024-05-21T18:56:00"/>
    <n v="166"/>
    <n v="198"/>
    <n v="1"/>
    <x v="0"/>
    <x v="7"/>
    <n v="346.5"/>
    <n v="32"/>
    <n v="0.83838383838383834"/>
    <s v="Inefficient"/>
    <s v="Very Long"/>
    <s v="Major Delay"/>
  </r>
  <r>
    <x v="1153"/>
    <x v="3"/>
    <x v="1153"/>
    <x v="1"/>
    <x v="1"/>
    <x v="4"/>
    <s v="EMP_114"/>
    <d v="2024-05-05T07:31:00"/>
    <d v="2024-05-05T10:48:00"/>
    <n v="80"/>
    <n v="197"/>
    <n v="1"/>
    <x v="0"/>
    <x v="2"/>
    <n v="84.75"/>
    <n v="117"/>
    <n v="0.40609137055837563"/>
    <s v="Inefficient"/>
    <s v="Very Long"/>
    <s v="Major Delay"/>
  </r>
  <r>
    <x v="1154"/>
    <x v="1"/>
    <x v="1154"/>
    <x v="0"/>
    <x v="0"/>
    <x v="3"/>
    <s v="EMP_96"/>
    <d v="2024-10-28T10:55:00"/>
    <d v="2024-10-28T12:47:00"/>
    <n v="104"/>
    <n v="112"/>
    <n v="1"/>
    <x v="0"/>
    <x v="3"/>
    <n v="178.78"/>
    <n v="8"/>
    <n v="0.9285714285714286"/>
    <s v="Inefficient"/>
    <s v="Long"/>
    <s v="Minor Delay"/>
  </r>
  <r>
    <x v="1155"/>
    <x v="0"/>
    <x v="1155"/>
    <x v="0"/>
    <x v="1"/>
    <x v="4"/>
    <s v="EMP_9"/>
    <d v="2024-02-17T07:40:00"/>
    <d v="2024-02-17T10:36:00"/>
    <n v="92"/>
    <n v="176"/>
    <n v="1"/>
    <x v="0"/>
    <x v="7"/>
    <n v="408.99"/>
    <n v="84"/>
    <n v="0.52272727272727271"/>
    <s v="Inefficient"/>
    <s v="Very Long"/>
    <s v="Major Delay"/>
  </r>
  <r>
    <x v="1156"/>
    <x v="2"/>
    <x v="1156"/>
    <x v="3"/>
    <x v="0"/>
    <x v="1"/>
    <s v="EMP_97"/>
    <d v="2024-06-24T11:47:00"/>
    <d v="2024-06-24T14:35:00"/>
    <n v="91"/>
    <n v="168"/>
    <n v="1"/>
    <x v="2"/>
    <x v="3"/>
    <n v="159.74"/>
    <n v="77"/>
    <n v="0.54166666666666663"/>
    <s v="Inefficient"/>
    <s v="Very Long"/>
    <s v="Major Delay"/>
  </r>
  <r>
    <x v="1157"/>
    <x v="1"/>
    <x v="1157"/>
    <x v="3"/>
    <x v="0"/>
    <x v="0"/>
    <s v="EMP_116"/>
    <d v="2024-07-26T16:45:00"/>
    <d v="2024-07-26T18:26:00"/>
    <n v="65"/>
    <n v="101"/>
    <n v="1"/>
    <x v="1"/>
    <x v="8"/>
    <n v="130.47999999999999"/>
    <n v="36"/>
    <n v="0.64356435643564358"/>
    <s v="Inefficient"/>
    <s v="Long"/>
    <s v="Major Delay"/>
  </r>
  <r>
    <x v="1158"/>
    <x v="3"/>
    <x v="1158"/>
    <x v="4"/>
    <x v="0"/>
    <x v="1"/>
    <s v="EMP_55"/>
    <d v="2024-03-12T10:34:00"/>
    <d v="2024-03-12T14:48:00"/>
    <n v="196"/>
    <n v="254"/>
    <n v="1"/>
    <x v="0"/>
    <x v="5"/>
    <n v="150.34"/>
    <n v="58"/>
    <n v="0.77165354330708658"/>
    <s v="Inefficient"/>
    <s v="Very Long"/>
    <s v="Major Delay"/>
  </r>
  <r>
    <x v="1159"/>
    <x v="4"/>
    <x v="1159"/>
    <x v="1"/>
    <x v="0"/>
    <x v="4"/>
    <s v="EMP_25"/>
    <d v="2024-01-21T21:48:00"/>
    <d v="2024-01-22T03:04:00"/>
    <n v="206"/>
    <n v="316"/>
    <n v="1"/>
    <x v="2"/>
    <x v="1"/>
    <n v="99.05"/>
    <n v="110"/>
    <n v="0.65189873417721522"/>
    <s v="Inefficient"/>
    <s v="Very Long"/>
    <s v="Major Delay"/>
  </r>
  <r>
    <x v="1160"/>
    <x v="1"/>
    <x v="1160"/>
    <x v="3"/>
    <x v="3"/>
    <x v="3"/>
    <s v="EMP_79"/>
    <d v="2024-12-12T14:38:00"/>
    <d v="2024-12-12T18:16:00"/>
    <n v="102"/>
    <n v="218"/>
    <n v="1"/>
    <x v="1"/>
    <x v="4"/>
    <n v="64.55"/>
    <n v="116"/>
    <n v="0.46788990825688076"/>
    <s v="Inefficient"/>
    <s v="Very Long"/>
    <s v="Major Delay"/>
  </r>
  <r>
    <x v="1161"/>
    <x v="3"/>
    <x v="1161"/>
    <x v="3"/>
    <x v="0"/>
    <x v="0"/>
    <s v="EMP_9"/>
    <d v="2024-07-05T10:56:00"/>
    <d v="2024-07-05T14:02:00"/>
    <n v="159"/>
    <n v="186"/>
    <n v="1"/>
    <x v="0"/>
    <x v="4"/>
    <n v="155.16"/>
    <n v="27"/>
    <n v="0.85483870967741937"/>
    <s v="Inefficient"/>
    <s v="Very Long"/>
    <s v="Minor Delay"/>
  </r>
  <r>
    <x v="1162"/>
    <x v="2"/>
    <x v="1162"/>
    <x v="2"/>
    <x v="2"/>
    <x v="2"/>
    <s v="EMP_82"/>
    <d v="2024-05-22T03:50:00"/>
    <d v="2024-05-22T05:33:00"/>
    <n v="45"/>
    <n v="103"/>
    <n v="1"/>
    <x v="0"/>
    <x v="9"/>
    <n v="100.24"/>
    <n v="58"/>
    <n v="0.43689320388349512"/>
    <s v="Inefficient"/>
    <s v="Long"/>
    <s v="Major Delay"/>
  </r>
  <r>
    <x v="1163"/>
    <x v="4"/>
    <x v="1163"/>
    <x v="2"/>
    <x v="3"/>
    <x v="1"/>
    <s v="EMP_70"/>
    <d v="2024-02-03T12:31:00"/>
    <d v="2024-02-03T16:09:00"/>
    <n v="222"/>
    <n v="218"/>
    <n v="0"/>
    <x v="0"/>
    <x v="3"/>
    <n v="362.55"/>
    <n v="-4"/>
    <n v="1.0183486238532109"/>
    <s v="Efficient"/>
    <s v="Very Long"/>
    <s v="On Time"/>
  </r>
  <r>
    <x v="1164"/>
    <x v="3"/>
    <x v="1164"/>
    <x v="2"/>
    <x v="2"/>
    <x v="1"/>
    <s v="EMP_12"/>
    <d v="2024-11-03T22:13:00"/>
    <d v="2024-11-04T00:19:00"/>
    <n v="31"/>
    <n v="126"/>
    <n v="1"/>
    <x v="1"/>
    <x v="5"/>
    <n v="162.93"/>
    <n v="95"/>
    <n v="0.24603174603174602"/>
    <s v="Inefficient"/>
    <s v="Very Long"/>
    <s v="Major Delay"/>
  </r>
  <r>
    <x v="1165"/>
    <x v="0"/>
    <x v="1165"/>
    <x v="0"/>
    <x v="1"/>
    <x v="1"/>
    <s v="EMP_119"/>
    <d v="2024-05-04T14:29:00"/>
    <d v="2024-05-04T17:52:00"/>
    <n v="180"/>
    <n v="203"/>
    <n v="1"/>
    <x v="1"/>
    <x v="3"/>
    <n v="112.9"/>
    <n v="23"/>
    <n v="0.88669950738916259"/>
    <s v="Inefficient"/>
    <s v="Very Long"/>
    <s v="Minor Delay"/>
  </r>
  <r>
    <x v="1166"/>
    <x v="0"/>
    <x v="1166"/>
    <x v="1"/>
    <x v="2"/>
    <x v="1"/>
    <s v="EMP_73"/>
    <d v="2024-04-25T02:35:00"/>
    <d v="2024-04-25T06:25:00"/>
    <n v="145"/>
    <n v="230"/>
    <n v="1"/>
    <x v="1"/>
    <x v="5"/>
    <n v="216.46"/>
    <n v="85"/>
    <n v="0.63043478260869568"/>
    <s v="Inefficient"/>
    <s v="Very Long"/>
    <s v="Major Delay"/>
  </r>
  <r>
    <x v="1167"/>
    <x v="1"/>
    <x v="1167"/>
    <x v="3"/>
    <x v="0"/>
    <x v="4"/>
    <s v="EMP_52"/>
    <d v="2024-04-25T05:00:00"/>
    <d v="2024-04-25T05:43:00"/>
    <n v="13"/>
    <n v="43"/>
    <n v="1"/>
    <x v="0"/>
    <x v="7"/>
    <n v="200.84"/>
    <n v="30"/>
    <n v="0.30232558139534882"/>
    <s v="Inefficient"/>
    <s v="Medium"/>
    <s v="Minor Delay"/>
  </r>
  <r>
    <x v="1168"/>
    <x v="2"/>
    <x v="1168"/>
    <x v="4"/>
    <x v="2"/>
    <x v="3"/>
    <s v="EMP_58"/>
    <d v="2024-03-27T18:15:00"/>
    <d v="2024-03-27T22:12:00"/>
    <n v="185"/>
    <n v="237"/>
    <n v="1"/>
    <x v="0"/>
    <x v="1"/>
    <n v="241.23"/>
    <n v="52"/>
    <n v="0.78059071729957807"/>
    <s v="Inefficient"/>
    <s v="Very Long"/>
    <s v="Major Delay"/>
  </r>
  <r>
    <x v="1169"/>
    <x v="0"/>
    <x v="1169"/>
    <x v="2"/>
    <x v="0"/>
    <x v="2"/>
    <s v="EMP_34"/>
    <d v="2024-01-11T09:38:00"/>
    <d v="2024-01-11T12:09:00"/>
    <n v="40"/>
    <n v="151"/>
    <n v="1"/>
    <x v="0"/>
    <x v="6"/>
    <n v="478.18"/>
    <n v="111"/>
    <n v="0.26490066225165565"/>
    <s v="Inefficient"/>
    <s v="Very Long"/>
    <s v="Major Delay"/>
  </r>
  <r>
    <x v="1170"/>
    <x v="2"/>
    <x v="1170"/>
    <x v="0"/>
    <x v="3"/>
    <x v="3"/>
    <s v="EMP_34"/>
    <d v="2024-07-27T07:02:00"/>
    <d v="2024-07-27T09:08:00"/>
    <n v="10"/>
    <n v="126"/>
    <n v="1"/>
    <x v="0"/>
    <x v="3"/>
    <n v="498.81"/>
    <n v="116"/>
    <n v="7.9365079365079361E-2"/>
    <s v="Inefficient"/>
    <s v="Very Long"/>
    <s v="Major Delay"/>
  </r>
  <r>
    <x v="1171"/>
    <x v="3"/>
    <x v="1171"/>
    <x v="4"/>
    <x v="2"/>
    <x v="2"/>
    <s v="EMP_4"/>
    <d v="2024-01-22T04:54:00"/>
    <d v="2024-01-22T07:30:00"/>
    <n v="79"/>
    <n v="156"/>
    <n v="1"/>
    <x v="1"/>
    <x v="1"/>
    <n v="101.2"/>
    <n v="77"/>
    <n v="0.50641025641025639"/>
    <s v="Inefficient"/>
    <s v="Very Long"/>
    <s v="Major Delay"/>
  </r>
  <r>
    <x v="1172"/>
    <x v="4"/>
    <x v="1172"/>
    <x v="2"/>
    <x v="0"/>
    <x v="1"/>
    <s v="EMP_64"/>
    <d v="2024-03-27T18:22:00"/>
    <d v="2024-03-27T19:33:00"/>
    <n v="31"/>
    <n v="71"/>
    <n v="1"/>
    <x v="2"/>
    <x v="1"/>
    <n v="295.06"/>
    <n v="40"/>
    <n v="0.43661971830985913"/>
    <s v="Inefficient"/>
    <s v="Long"/>
    <s v="Major Delay"/>
  </r>
  <r>
    <x v="1173"/>
    <x v="1"/>
    <x v="1173"/>
    <x v="1"/>
    <x v="0"/>
    <x v="4"/>
    <s v="EMP_36"/>
    <d v="2024-12-02T03:11:00"/>
    <d v="2024-12-02T06:48:00"/>
    <n v="189"/>
    <n v="217"/>
    <n v="1"/>
    <x v="0"/>
    <x v="9"/>
    <n v="114.9"/>
    <n v="28"/>
    <n v="0.87096774193548387"/>
    <s v="Inefficient"/>
    <s v="Very Long"/>
    <s v="Minor Delay"/>
  </r>
  <r>
    <x v="1174"/>
    <x v="1"/>
    <x v="1174"/>
    <x v="1"/>
    <x v="1"/>
    <x v="0"/>
    <s v="EMP_69"/>
    <d v="2024-03-08T23:35:00"/>
    <d v="2024-03-09T01:16:00"/>
    <n v="28"/>
    <n v="101"/>
    <n v="1"/>
    <x v="2"/>
    <x v="1"/>
    <n v="235.03"/>
    <n v="73"/>
    <n v="0.27722772277227725"/>
    <s v="Inefficient"/>
    <s v="Long"/>
    <s v="Major Delay"/>
  </r>
  <r>
    <x v="1175"/>
    <x v="2"/>
    <x v="1175"/>
    <x v="3"/>
    <x v="1"/>
    <x v="4"/>
    <s v="EMP_128"/>
    <d v="2024-07-23T19:43:00"/>
    <d v="2024-07-23T23:47:00"/>
    <n v="209"/>
    <n v="244"/>
    <n v="1"/>
    <x v="2"/>
    <x v="6"/>
    <n v="159.91"/>
    <n v="35"/>
    <n v="0.85655737704918034"/>
    <s v="Inefficient"/>
    <s v="Very Long"/>
    <s v="Major Delay"/>
  </r>
  <r>
    <x v="1176"/>
    <x v="0"/>
    <x v="1176"/>
    <x v="0"/>
    <x v="1"/>
    <x v="1"/>
    <s v="EMP_39"/>
    <d v="2024-01-02T10:04:00"/>
    <d v="2024-01-02T12:43:00"/>
    <n v="45"/>
    <n v="159"/>
    <n v="1"/>
    <x v="2"/>
    <x v="9"/>
    <n v="379.65"/>
    <n v="114"/>
    <n v="0.28301886792452829"/>
    <s v="Inefficient"/>
    <s v="Very Long"/>
    <s v="Major Delay"/>
  </r>
  <r>
    <x v="1177"/>
    <x v="2"/>
    <x v="1177"/>
    <x v="2"/>
    <x v="1"/>
    <x v="2"/>
    <s v="EMP_59"/>
    <d v="2024-06-20T13:03:00"/>
    <d v="2024-06-20T15:12:00"/>
    <n v="85"/>
    <n v="129"/>
    <n v="1"/>
    <x v="1"/>
    <x v="6"/>
    <n v="117.81"/>
    <n v="44"/>
    <n v="0.65891472868217049"/>
    <s v="Inefficient"/>
    <s v="Very Long"/>
    <s v="Major Delay"/>
  </r>
  <r>
    <x v="1178"/>
    <x v="1"/>
    <x v="1178"/>
    <x v="3"/>
    <x v="0"/>
    <x v="4"/>
    <s v="EMP_92"/>
    <d v="2024-11-06T08:02:00"/>
    <d v="2024-11-06T12:28:00"/>
    <n v="225"/>
    <n v="266"/>
    <n v="1"/>
    <x v="1"/>
    <x v="8"/>
    <n v="89.46"/>
    <n v="41"/>
    <n v="0.84586466165413532"/>
    <s v="Inefficient"/>
    <s v="Very Long"/>
    <s v="Major Delay"/>
  </r>
  <r>
    <x v="1179"/>
    <x v="2"/>
    <x v="1179"/>
    <x v="3"/>
    <x v="0"/>
    <x v="3"/>
    <s v="EMP_127"/>
    <d v="2024-02-04T06:59:00"/>
    <d v="2024-02-04T11:45:00"/>
    <n v="239"/>
    <n v="286"/>
    <n v="1"/>
    <x v="2"/>
    <x v="5"/>
    <n v="471.15"/>
    <n v="47"/>
    <n v="0.83566433566433562"/>
    <s v="Inefficient"/>
    <s v="Very Long"/>
    <s v="Major Delay"/>
  </r>
  <r>
    <x v="1180"/>
    <x v="4"/>
    <x v="1180"/>
    <x v="0"/>
    <x v="3"/>
    <x v="1"/>
    <s v="EMP_47"/>
    <d v="2024-05-26T20:25:00"/>
    <d v="2024-05-26T23:11:00"/>
    <n v="116"/>
    <n v="166"/>
    <n v="1"/>
    <x v="2"/>
    <x v="2"/>
    <n v="219.55"/>
    <n v="50"/>
    <n v="0.6987951807228916"/>
    <s v="Inefficient"/>
    <s v="Very Long"/>
    <s v="Major Delay"/>
  </r>
  <r>
    <x v="1181"/>
    <x v="0"/>
    <x v="1181"/>
    <x v="1"/>
    <x v="0"/>
    <x v="3"/>
    <s v="EMP_45"/>
    <d v="2024-01-20T01:16:00"/>
    <d v="2024-01-20T04:15:00"/>
    <n v="113"/>
    <n v="179"/>
    <n v="1"/>
    <x v="2"/>
    <x v="6"/>
    <n v="358.46"/>
    <n v="66"/>
    <n v="0.63128491620111726"/>
    <s v="Inefficient"/>
    <s v="Very Long"/>
    <s v="Major Delay"/>
  </r>
  <r>
    <x v="1182"/>
    <x v="1"/>
    <x v="1182"/>
    <x v="0"/>
    <x v="1"/>
    <x v="1"/>
    <s v="EMP_63"/>
    <d v="2024-07-05T00:59:00"/>
    <d v="2024-07-05T03:20:00"/>
    <n v="58"/>
    <n v="141"/>
    <n v="1"/>
    <x v="0"/>
    <x v="1"/>
    <n v="381.1"/>
    <n v="83"/>
    <n v="0.41134751773049644"/>
    <s v="Inefficient"/>
    <s v="Very Long"/>
    <s v="Major Delay"/>
  </r>
  <r>
    <x v="1183"/>
    <x v="1"/>
    <x v="1183"/>
    <x v="4"/>
    <x v="3"/>
    <x v="0"/>
    <s v="EMP_62"/>
    <d v="2024-11-17T05:28:00"/>
    <d v="2024-11-17T06:11:00"/>
    <n v="36"/>
    <n v="43"/>
    <n v="1"/>
    <x v="2"/>
    <x v="2"/>
    <n v="287.66000000000003"/>
    <n v="7"/>
    <n v="0.83720930232558144"/>
    <s v="Inefficient"/>
    <s v="Medium"/>
    <s v="Minor Delay"/>
  </r>
  <r>
    <x v="1184"/>
    <x v="2"/>
    <x v="1184"/>
    <x v="2"/>
    <x v="1"/>
    <x v="1"/>
    <s v="EMP_3"/>
    <d v="2024-03-22T12:43:00"/>
    <d v="2024-03-22T14:34:00"/>
    <n v="94"/>
    <n v="111"/>
    <n v="1"/>
    <x v="1"/>
    <x v="7"/>
    <n v="298.76"/>
    <n v="17"/>
    <n v="0.84684684684684686"/>
    <s v="Inefficient"/>
    <s v="Long"/>
    <s v="Minor Delay"/>
  </r>
  <r>
    <x v="1185"/>
    <x v="1"/>
    <x v="1185"/>
    <x v="0"/>
    <x v="3"/>
    <x v="0"/>
    <s v="EMP_46"/>
    <d v="2024-01-27T00:15:00"/>
    <d v="2024-01-27T03:14:00"/>
    <n v="180"/>
    <n v="179"/>
    <n v="0"/>
    <x v="2"/>
    <x v="3"/>
    <n v="71.930000000000007"/>
    <n v="-1"/>
    <n v="1.005586592178771"/>
    <s v="Efficient"/>
    <s v="Very Long"/>
    <s v="On Time"/>
  </r>
  <r>
    <x v="1186"/>
    <x v="2"/>
    <x v="1186"/>
    <x v="1"/>
    <x v="2"/>
    <x v="1"/>
    <s v="EMP_113"/>
    <d v="2024-03-28T10:04:00"/>
    <d v="2024-03-28T12:06:00"/>
    <n v="84"/>
    <n v="122"/>
    <n v="1"/>
    <x v="2"/>
    <x v="9"/>
    <n v="497.5"/>
    <n v="38"/>
    <n v="0.68852459016393441"/>
    <s v="Inefficient"/>
    <s v="Very Long"/>
    <s v="Major Delay"/>
  </r>
  <r>
    <x v="1187"/>
    <x v="1"/>
    <x v="1187"/>
    <x v="3"/>
    <x v="3"/>
    <x v="1"/>
    <s v="EMP_94"/>
    <d v="2024-03-20T12:03:00"/>
    <d v="2024-03-20T17:27:00"/>
    <n v="218"/>
    <n v="324"/>
    <n v="1"/>
    <x v="1"/>
    <x v="4"/>
    <n v="214.44"/>
    <n v="106"/>
    <n v="0.6728395061728395"/>
    <s v="Inefficient"/>
    <s v="Very Long"/>
    <s v="Major Delay"/>
  </r>
  <r>
    <x v="1188"/>
    <x v="0"/>
    <x v="1188"/>
    <x v="3"/>
    <x v="0"/>
    <x v="0"/>
    <s v="EMP_48"/>
    <d v="2024-03-01T11:37:00"/>
    <d v="2024-03-01T16:13:00"/>
    <n v="159"/>
    <n v="276"/>
    <n v="1"/>
    <x v="0"/>
    <x v="7"/>
    <n v="75.08"/>
    <n v="117"/>
    <n v="0.57608695652173914"/>
    <s v="Inefficient"/>
    <s v="Very Long"/>
    <s v="Major Delay"/>
  </r>
  <r>
    <x v="1189"/>
    <x v="4"/>
    <x v="1189"/>
    <x v="4"/>
    <x v="0"/>
    <x v="4"/>
    <s v="EMP_56"/>
    <d v="2024-10-20T14:05:00"/>
    <d v="2024-10-20T17:35:00"/>
    <n v="106"/>
    <n v="210"/>
    <n v="1"/>
    <x v="0"/>
    <x v="2"/>
    <n v="332.71"/>
    <n v="104"/>
    <n v="0.50476190476190474"/>
    <s v="Inefficient"/>
    <s v="Very Long"/>
    <s v="Major Delay"/>
  </r>
  <r>
    <x v="1190"/>
    <x v="3"/>
    <x v="1190"/>
    <x v="2"/>
    <x v="3"/>
    <x v="4"/>
    <s v="EMP_29"/>
    <d v="2024-01-31T03:36:00"/>
    <d v="2024-01-31T05:36:00"/>
    <n v="93"/>
    <n v="120"/>
    <n v="1"/>
    <x v="1"/>
    <x v="8"/>
    <n v="362.84"/>
    <n v="27"/>
    <n v="0.77500000000000002"/>
    <s v="Inefficient"/>
    <s v="Very Long"/>
    <s v="Minor Delay"/>
  </r>
  <r>
    <x v="1191"/>
    <x v="1"/>
    <x v="1191"/>
    <x v="3"/>
    <x v="0"/>
    <x v="2"/>
    <s v="EMP_53"/>
    <d v="2024-09-17T10:56:00"/>
    <d v="2024-09-17T12:16:00"/>
    <n v="67"/>
    <n v="80"/>
    <n v="1"/>
    <x v="1"/>
    <x v="4"/>
    <n v="195.84"/>
    <n v="13"/>
    <n v="0.83750000000000002"/>
    <s v="Inefficient"/>
    <s v="Long"/>
    <s v="Minor Delay"/>
  </r>
  <r>
    <x v="1192"/>
    <x v="3"/>
    <x v="1192"/>
    <x v="0"/>
    <x v="2"/>
    <x v="2"/>
    <s v="EMP_121"/>
    <d v="2024-12-27T02:20:00"/>
    <d v="2024-12-27T05:46:00"/>
    <n v="121"/>
    <n v="206"/>
    <n v="1"/>
    <x v="0"/>
    <x v="9"/>
    <n v="340.67"/>
    <n v="85"/>
    <n v="0.58737864077669899"/>
    <s v="Inefficient"/>
    <s v="Very Long"/>
    <s v="Major Delay"/>
  </r>
  <r>
    <x v="1193"/>
    <x v="2"/>
    <x v="1193"/>
    <x v="1"/>
    <x v="1"/>
    <x v="1"/>
    <s v="EMP_42"/>
    <d v="2024-01-13T01:59:00"/>
    <d v="2024-01-13T06:49:00"/>
    <n v="226"/>
    <n v="290"/>
    <n v="1"/>
    <x v="1"/>
    <x v="7"/>
    <n v="322.26"/>
    <n v="64"/>
    <n v="0.77931034482758621"/>
    <s v="Inefficient"/>
    <s v="Very Long"/>
    <s v="Major Delay"/>
  </r>
  <r>
    <x v="1194"/>
    <x v="3"/>
    <x v="1194"/>
    <x v="2"/>
    <x v="0"/>
    <x v="3"/>
    <s v="EMP_89"/>
    <d v="2024-12-06T15:12:00"/>
    <d v="2024-12-06T19:09:00"/>
    <n v="118"/>
    <n v="237"/>
    <n v="1"/>
    <x v="2"/>
    <x v="1"/>
    <n v="481.28"/>
    <n v="119"/>
    <n v="0.49789029535864981"/>
    <s v="Inefficient"/>
    <s v="Very Long"/>
    <s v="Major Delay"/>
  </r>
  <r>
    <x v="1195"/>
    <x v="1"/>
    <x v="1195"/>
    <x v="4"/>
    <x v="0"/>
    <x v="1"/>
    <s v="EMP_10"/>
    <d v="2024-08-08T14:42:00"/>
    <d v="2024-08-08T16:19:00"/>
    <n v="40"/>
    <n v="97"/>
    <n v="1"/>
    <x v="1"/>
    <x v="3"/>
    <n v="96"/>
    <n v="57"/>
    <n v="0.41237113402061853"/>
    <s v="Inefficient"/>
    <s v="Long"/>
    <s v="Major Delay"/>
  </r>
  <r>
    <x v="1196"/>
    <x v="3"/>
    <x v="1196"/>
    <x v="4"/>
    <x v="0"/>
    <x v="0"/>
    <s v="EMP_6"/>
    <d v="2024-04-12T13:42:00"/>
    <d v="2024-04-12T17:57:00"/>
    <n v="232"/>
    <n v="255"/>
    <n v="1"/>
    <x v="0"/>
    <x v="9"/>
    <n v="148.22"/>
    <n v="23"/>
    <n v="0.90980392156862744"/>
    <s v="Inefficient"/>
    <s v="Very Long"/>
    <s v="Minor Delay"/>
  </r>
  <r>
    <x v="1197"/>
    <x v="2"/>
    <x v="1197"/>
    <x v="2"/>
    <x v="0"/>
    <x v="0"/>
    <s v="EMP_6"/>
    <d v="2024-02-01T07:31:00"/>
    <d v="2024-02-01T08:36:00"/>
    <n v="31"/>
    <n v="65"/>
    <n v="1"/>
    <x v="2"/>
    <x v="0"/>
    <n v="360.85"/>
    <n v="34"/>
    <n v="0.47692307692307695"/>
    <s v="Inefficient"/>
    <s v="Long"/>
    <s v="Major Delay"/>
  </r>
  <r>
    <x v="1198"/>
    <x v="4"/>
    <x v="1198"/>
    <x v="1"/>
    <x v="2"/>
    <x v="4"/>
    <s v="EMP_33"/>
    <d v="2024-07-28T12:01:00"/>
    <d v="2024-07-28T16:33:00"/>
    <n v="164"/>
    <n v="272"/>
    <n v="1"/>
    <x v="2"/>
    <x v="6"/>
    <n v="105.81"/>
    <n v="108"/>
    <n v="0.6029411764705882"/>
    <s v="Inefficient"/>
    <s v="Very Long"/>
    <s v="Major Delay"/>
  </r>
  <r>
    <x v="1199"/>
    <x v="1"/>
    <x v="1199"/>
    <x v="1"/>
    <x v="0"/>
    <x v="3"/>
    <s v="EMP_12"/>
    <d v="2024-07-28T06:01:00"/>
    <d v="2024-07-28T08:13:00"/>
    <n v="61"/>
    <n v="132"/>
    <n v="1"/>
    <x v="1"/>
    <x v="2"/>
    <n v="445.63"/>
    <n v="71"/>
    <n v="0.4621212121212121"/>
    <s v="Inefficient"/>
    <s v="Very Long"/>
    <s v="Major Delay"/>
  </r>
  <r>
    <x v="1200"/>
    <x v="1"/>
    <x v="1200"/>
    <x v="0"/>
    <x v="2"/>
    <x v="1"/>
    <s v="EMP_148"/>
    <d v="2024-11-08T23:49:00"/>
    <d v="2024-11-09T02:23:00"/>
    <n v="84"/>
    <n v="154"/>
    <n v="1"/>
    <x v="2"/>
    <x v="1"/>
    <n v="380.47"/>
    <n v="70"/>
    <n v="0.54545454545454541"/>
    <s v="Inefficient"/>
    <s v="Very Long"/>
    <s v="Major Delay"/>
  </r>
  <r>
    <x v="1201"/>
    <x v="3"/>
    <x v="1201"/>
    <x v="2"/>
    <x v="1"/>
    <x v="4"/>
    <s v="EMP_115"/>
    <d v="2024-01-28T05:52:00"/>
    <d v="2024-01-28T08:43:00"/>
    <n v="81"/>
    <n v="171"/>
    <n v="1"/>
    <x v="2"/>
    <x v="5"/>
    <n v="87.25"/>
    <n v="90"/>
    <n v="0.47368421052631576"/>
    <s v="Inefficient"/>
    <s v="Very Long"/>
    <s v="Major Delay"/>
  </r>
  <r>
    <x v="1202"/>
    <x v="4"/>
    <x v="1202"/>
    <x v="4"/>
    <x v="1"/>
    <x v="4"/>
    <s v="EMP_138"/>
    <d v="2024-03-15T16:07:00"/>
    <d v="2024-03-15T19:57:00"/>
    <n v="219"/>
    <n v="230"/>
    <n v="1"/>
    <x v="2"/>
    <x v="7"/>
    <n v="373.61"/>
    <n v="11"/>
    <n v="0.95217391304347831"/>
    <s v="Inefficient"/>
    <s v="Very Long"/>
    <s v="Minor Delay"/>
  </r>
  <r>
    <x v="1203"/>
    <x v="2"/>
    <x v="1203"/>
    <x v="0"/>
    <x v="1"/>
    <x v="1"/>
    <s v="EMP_39"/>
    <d v="2024-03-28T11:35:00"/>
    <d v="2024-03-28T13:06:00"/>
    <n v="32"/>
    <n v="91"/>
    <n v="1"/>
    <x v="0"/>
    <x v="4"/>
    <n v="314.61"/>
    <n v="59"/>
    <n v="0.35164835164835168"/>
    <s v="Inefficient"/>
    <s v="Long"/>
    <s v="Major Delay"/>
  </r>
  <r>
    <x v="1204"/>
    <x v="1"/>
    <x v="1204"/>
    <x v="0"/>
    <x v="3"/>
    <x v="4"/>
    <s v="EMP_61"/>
    <d v="2024-03-26T01:44:00"/>
    <d v="2024-03-26T04:00:00"/>
    <n v="97"/>
    <n v="136"/>
    <n v="1"/>
    <x v="1"/>
    <x v="0"/>
    <n v="179.22"/>
    <n v="39"/>
    <n v="0.71323529411764708"/>
    <s v="Inefficient"/>
    <s v="Very Long"/>
    <s v="Major Delay"/>
  </r>
  <r>
    <x v="1205"/>
    <x v="0"/>
    <x v="1205"/>
    <x v="0"/>
    <x v="1"/>
    <x v="4"/>
    <s v="EMP_29"/>
    <d v="2024-10-25T06:01:00"/>
    <d v="2024-10-25T09:15:00"/>
    <n v="168"/>
    <n v="194"/>
    <n v="1"/>
    <x v="1"/>
    <x v="6"/>
    <n v="222.58"/>
    <n v="26"/>
    <n v="0.865979381443299"/>
    <s v="Inefficient"/>
    <s v="Very Long"/>
    <s v="Minor Delay"/>
  </r>
  <r>
    <x v="1206"/>
    <x v="2"/>
    <x v="1206"/>
    <x v="4"/>
    <x v="0"/>
    <x v="4"/>
    <s v="EMP_68"/>
    <d v="2024-05-11T08:40:00"/>
    <d v="2024-05-11T11:52:00"/>
    <n v="115"/>
    <n v="192"/>
    <n v="1"/>
    <x v="0"/>
    <x v="9"/>
    <n v="72.45"/>
    <n v="77"/>
    <n v="0.59895833333333337"/>
    <s v="Inefficient"/>
    <s v="Very Long"/>
    <s v="Major Delay"/>
  </r>
  <r>
    <x v="1207"/>
    <x v="3"/>
    <x v="1207"/>
    <x v="3"/>
    <x v="0"/>
    <x v="0"/>
    <s v="EMP_78"/>
    <d v="2024-11-22T21:56:00"/>
    <d v="2024-11-23T03:07:00"/>
    <n v="240"/>
    <n v="311"/>
    <n v="1"/>
    <x v="1"/>
    <x v="6"/>
    <n v="74.94"/>
    <n v="71"/>
    <n v="0.77170418006430863"/>
    <s v="Inefficient"/>
    <s v="Very Long"/>
    <s v="Major Delay"/>
  </r>
  <r>
    <x v="1208"/>
    <x v="1"/>
    <x v="1208"/>
    <x v="3"/>
    <x v="1"/>
    <x v="3"/>
    <s v="EMP_28"/>
    <d v="2024-02-22T08:24:00"/>
    <d v="2024-02-22T12:16:00"/>
    <n v="229"/>
    <n v="232"/>
    <n v="1"/>
    <x v="2"/>
    <x v="0"/>
    <n v="318.49"/>
    <n v="3"/>
    <n v="0.98706896551724133"/>
    <s v="Inefficient"/>
    <s v="Very Long"/>
    <s v="Minor Delay"/>
  </r>
  <r>
    <x v="1209"/>
    <x v="1"/>
    <x v="1209"/>
    <x v="0"/>
    <x v="2"/>
    <x v="0"/>
    <s v="EMP_87"/>
    <d v="2024-06-13T03:43:00"/>
    <d v="2024-06-13T07:37:00"/>
    <n v="130"/>
    <n v="234"/>
    <n v="1"/>
    <x v="1"/>
    <x v="7"/>
    <n v="57.28"/>
    <n v="104"/>
    <n v="0.55555555555555558"/>
    <s v="Inefficient"/>
    <s v="Very Long"/>
    <s v="Major Delay"/>
  </r>
  <r>
    <x v="1210"/>
    <x v="1"/>
    <x v="1210"/>
    <x v="0"/>
    <x v="1"/>
    <x v="1"/>
    <s v="EMP_125"/>
    <d v="2024-03-27T05:35:00"/>
    <d v="2024-03-27T08:14:00"/>
    <n v="50"/>
    <n v="159"/>
    <n v="1"/>
    <x v="2"/>
    <x v="4"/>
    <n v="251.1"/>
    <n v="109"/>
    <n v="0.31446540880503143"/>
    <s v="Inefficient"/>
    <s v="Very Long"/>
    <s v="Major Delay"/>
  </r>
  <r>
    <x v="1211"/>
    <x v="1"/>
    <x v="1211"/>
    <x v="2"/>
    <x v="3"/>
    <x v="4"/>
    <s v="EMP_53"/>
    <d v="2024-05-14T22:57:00"/>
    <d v="2024-05-15T03:42:00"/>
    <n v="223"/>
    <n v="285"/>
    <n v="1"/>
    <x v="0"/>
    <x v="1"/>
    <n v="82.45"/>
    <n v="62"/>
    <n v="0.78245614035087718"/>
    <s v="Inefficient"/>
    <s v="Very Long"/>
    <s v="Major Delay"/>
  </r>
  <r>
    <x v="1212"/>
    <x v="0"/>
    <x v="1212"/>
    <x v="2"/>
    <x v="0"/>
    <x v="4"/>
    <s v="EMP_111"/>
    <d v="2024-07-06T11:36:00"/>
    <d v="2024-07-06T16:45:00"/>
    <n v="231"/>
    <n v="309"/>
    <n v="1"/>
    <x v="2"/>
    <x v="0"/>
    <n v="96.56"/>
    <n v="78"/>
    <n v="0.74757281553398058"/>
    <s v="Inefficient"/>
    <s v="Very Long"/>
    <s v="Major Delay"/>
  </r>
  <r>
    <x v="1213"/>
    <x v="0"/>
    <x v="1213"/>
    <x v="4"/>
    <x v="3"/>
    <x v="1"/>
    <s v="EMP_132"/>
    <d v="2024-10-05T01:16:00"/>
    <d v="2024-10-05T04:49:00"/>
    <n v="202"/>
    <n v="213"/>
    <n v="1"/>
    <x v="2"/>
    <x v="6"/>
    <n v="496.91"/>
    <n v="11"/>
    <n v="0.94835680751173712"/>
    <s v="Inefficient"/>
    <s v="Very Long"/>
    <s v="Minor Delay"/>
  </r>
  <r>
    <x v="1214"/>
    <x v="0"/>
    <x v="1214"/>
    <x v="2"/>
    <x v="1"/>
    <x v="2"/>
    <s v="EMP_13"/>
    <d v="2024-06-15T01:31:00"/>
    <d v="2024-06-15T06:35:00"/>
    <n v="192"/>
    <n v="304"/>
    <n v="1"/>
    <x v="1"/>
    <x v="8"/>
    <n v="185.94"/>
    <n v="112"/>
    <n v="0.63157894736842102"/>
    <s v="Inefficient"/>
    <s v="Very Long"/>
    <s v="Major Delay"/>
  </r>
  <r>
    <x v="1215"/>
    <x v="4"/>
    <x v="1215"/>
    <x v="2"/>
    <x v="3"/>
    <x v="0"/>
    <s v="EMP_104"/>
    <d v="2024-01-14T17:55:00"/>
    <d v="2024-01-14T22:41:00"/>
    <n v="184"/>
    <n v="286"/>
    <n v="1"/>
    <x v="2"/>
    <x v="0"/>
    <n v="127.12"/>
    <n v="102"/>
    <n v="0.64335664335664333"/>
    <s v="Inefficient"/>
    <s v="Very Long"/>
    <s v="Major Delay"/>
  </r>
  <r>
    <x v="1216"/>
    <x v="4"/>
    <x v="1216"/>
    <x v="3"/>
    <x v="1"/>
    <x v="1"/>
    <s v="EMP_97"/>
    <d v="2024-07-10T21:16:00"/>
    <d v="2024-07-11T00:11:00"/>
    <n v="96"/>
    <n v="175"/>
    <n v="1"/>
    <x v="2"/>
    <x v="3"/>
    <n v="96.03"/>
    <n v="79"/>
    <n v="0.5485714285714286"/>
    <s v="Inefficient"/>
    <s v="Very Long"/>
    <s v="Major Delay"/>
  </r>
  <r>
    <x v="1217"/>
    <x v="0"/>
    <x v="1217"/>
    <x v="3"/>
    <x v="1"/>
    <x v="4"/>
    <s v="EMP_111"/>
    <d v="2024-08-23T10:00:00"/>
    <d v="2024-08-23T12:58:00"/>
    <n v="164"/>
    <n v="178"/>
    <n v="1"/>
    <x v="1"/>
    <x v="7"/>
    <n v="418.09"/>
    <n v="14"/>
    <n v="0.9213483146067416"/>
    <s v="Inefficient"/>
    <s v="Very Long"/>
    <s v="Minor Delay"/>
  </r>
  <r>
    <x v="1218"/>
    <x v="0"/>
    <x v="1218"/>
    <x v="0"/>
    <x v="1"/>
    <x v="2"/>
    <s v="EMP_2"/>
    <d v="2024-07-18T20:46:00"/>
    <d v="2024-07-18T21:22:00"/>
    <n v="35"/>
    <n v="36"/>
    <n v="1"/>
    <x v="1"/>
    <x v="4"/>
    <n v="146"/>
    <n v="1"/>
    <n v="0.97222222222222221"/>
    <s v="Inefficient"/>
    <s v="Medium"/>
    <s v="Minor Delay"/>
  </r>
  <r>
    <x v="1219"/>
    <x v="2"/>
    <x v="1219"/>
    <x v="3"/>
    <x v="1"/>
    <x v="0"/>
    <s v="EMP_91"/>
    <d v="2024-03-22T18:29:00"/>
    <d v="2024-03-22T22:55:00"/>
    <n v="218"/>
    <n v="266"/>
    <n v="1"/>
    <x v="0"/>
    <x v="4"/>
    <n v="364.64"/>
    <n v="48"/>
    <n v="0.81954887218045114"/>
    <s v="Inefficient"/>
    <s v="Very Long"/>
    <s v="Major Delay"/>
  </r>
  <r>
    <x v="1220"/>
    <x v="4"/>
    <x v="1220"/>
    <x v="0"/>
    <x v="3"/>
    <x v="0"/>
    <s v="EMP_139"/>
    <d v="2024-06-09T09:45:00"/>
    <d v="2024-06-09T14:56:00"/>
    <n v="232"/>
    <n v="311"/>
    <n v="1"/>
    <x v="2"/>
    <x v="4"/>
    <n v="488.51"/>
    <n v="79"/>
    <n v="0.74598070739549838"/>
    <s v="Inefficient"/>
    <s v="Very Long"/>
    <s v="Major Delay"/>
  </r>
  <r>
    <x v="1221"/>
    <x v="1"/>
    <x v="1221"/>
    <x v="1"/>
    <x v="3"/>
    <x v="3"/>
    <s v="EMP_81"/>
    <d v="2024-01-03T05:28:00"/>
    <d v="2024-01-03T09:08:00"/>
    <n v="146"/>
    <n v="220"/>
    <n v="1"/>
    <x v="1"/>
    <x v="9"/>
    <n v="123.99"/>
    <n v="74"/>
    <n v="0.66363636363636369"/>
    <s v="Inefficient"/>
    <s v="Very Long"/>
    <s v="Major Delay"/>
  </r>
  <r>
    <x v="1222"/>
    <x v="1"/>
    <x v="1222"/>
    <x v="4"/>
    <x v="1"/>
    <x v="3"/>
    <s v="EMP_93"/>
    <d v="2024-10-27T06:43:00"/>
    <d v="2024-10-27T08:08:00"/>
    <n v="32"/>
    <n v="85"/>
    <n v="1"/>
    <x v="2"/>
    <x v="1"/>
    <n v="258.19"/>
    <n v="53"/>
    <n v="0.37647058823529411"/>
    <s v="Inefficient"/>
    <s v="Long"/>
    <s v="Major Delay"/>
  </r>
  <r>
    <x v="1223"/>
    <x v="0"/>
    <x v="1223"/>
    <x v="4"/>
    <x v="1"/>
    <x v="0"/>
    <s v="EMP_150"/>
    <d v="2024-07-09T04:12:00"/>
    <d v="2024-07-09T09:16:00"/>
    <n v="190"/>
    <n v="304"/>
    <n v="1"/>
    <x v="2"/>
    <x v="5"/>
    <n v="494.66"/>
    <n v="114"/>
    <n v="0.625"/>
    <s v="Inefficient"/>
    <s v="Very Long"/>
    <s v="Major Delay"/>
  </r>
  <r>
    <x v="1224"/>
    <x v="0"/>
    <x v="1224"/>
    <x v="2"/>
    <x v="1"/>
    <x v="0"/>
    <s v="EMP_80"/>
    <d v="2024-11-11T13:45:00"/>
    <d v="2024-11-11T15:26:00"/>
    <n v="104"/>
    <n v="101"/>
    <n v="0"/>
    <x v="2"/>
    <x v="3"/>
    <n v="76.95"/>
    <n v="-3"/>
    <n v="1.0297029702970297"/>
    <s v="Efficient"/>
    <s v="Long"/>
    <s v="On Time"/>
  </r>
  <r>
    <x v="1225"/>
    <x v="1"/>
    <x v="1225"/>
    <x v="0"/>
    <x v="0"/>
    <x v="3"/>
    <s v="EMP_55"/>
    <d v="2024-11-02T18:12:00"/>
    <d v="2024-11-02T19:48:00"/>
    <n v="48"/>
    <n v="96"/>
    <n v="1"/>
    <x v="1"/>
    <x v="2"/>
    <n v="190.62"/>
    <n v="48"/>
    <n v="0.5"/>
    <s v="Inefficient"/>
    <s v="Long"/>
    <s v="Major Delay"/>
  </r>
  <r>
    <x v="1226"/>
    <x v="1"/>
    <x v="1226"/>
    <x v="0"/>
    <x v="0"/>
    <x v="3"/>
    <s v="EMP_124"/>
    <d v="2024-05-06T05:55:00"/>
    <d v="2024-05-06T08:42:00"/>
    <n v="118"/>
    <n v="167"/>
    <n v="1"/>
    <x v="0"/>
    <x v="8"/>
    <n v="329.44"/>
    <n v="49"/>
    <n v="0.70658682634730541"/>
    <s v="Inefficient"/>
    <s v="Very Long"/>
    <s v="Major Delay"/>
  </r>
  <r>
    <x v="1227"/>
    <x v="4"/>
    <x v="1227"/>
    <x v="0"/>
    <x v="1"/>
    <x v="2"/>
    <s v="EMP_44"/>
    <d v="2024-10-06T10:14:00"/>
    <d v="2024-10-06T13:12:00"/>
    <n v="183"/>
    <n v="178"/>
    <n v="0"/>
    <x v="2"/>
    <x v="6"/>
    <n v="171.65"/>
    <n v="-5"/>
    <n v="1.0280898876404494"/>
    <s v="Efficient"/>
    <s v="Very Long"/>
    <s v="On Time"/>
  </r>
  <r>
    <x v="1228"/>
    <x v="3"/>
    <x v="1228"/>
    <x v="4"/>
    <x v="0"/>
    <x v="0"/>
    <s v="EMP_79"/>
    <d v="2024-08-19T22:26:00"/>
    <d v="2024-08-19T23:43:00"/>
    <n v="47"/>
    <n v="77"/>
    <n v="1"/>
    <x v="0"/>
    <x v="0"/>
    <n v="489.69"/>
    <n v="30"/>
    <n v="0.61038961038961037"/>
    <s v="Inefficient"/>
    <s v="Long"/>
    <s v="Minor Delay"/>
  </r>
  <r>
    <x v="1229"/>
    <x v="3"/>
    <x v="1229"/>
    <x v="0"/>
    <x v="3"/>
    <x v="0"/>
    <s v="EMP_16"/>
    <d v="2024-03-22T04:33:00"/>
    <d v="2024-03-22T08:01:00"/>
    <n v="185"/>
    <n v="208"/>
    <n v="1"/>
    <x v="0"/>
    <x v="2"/>
    <n v="57.85"/>
    <n v="23"/>
    <n v="0.88942307692307687"/>
    <s v="Inefficient"/>
    <s v="Very Long"/>
    <s v="Minor Delay"/>
  </r>
  <r>
    <x v="1230"/>
    <x v="0"/>
    <x v="1230"/>
    <x v="2"/>
    <x v="1"/>
    <x v="2"/>
    <s v="EMP_82"/>
    <d v="2024-07-29T13:39:00"/>
    <d v="2024-07-29T17:49:00"/>
    <n v="214"/>
    <n v="250"/>
    <n v="1"/>
    <x v="2"/>
    <x v="8"/>
    <n v="255.18"/>
    <n v="36"/>
    <n v="0.85599999999999998"/>
    <s v="Inefficient"/>
    <s v="Very Long"/>
    <s v="Major Delay"/>
  </r>
  <r>
    <x v="1231"/>
    <x v="1"/>
    <x v="1231"/>
    <x v="2"/>
    <x v="0"/>
    <x v="0"/>
    <s v="EMP_7"/>
    <d v="2024-08-20T19:03:00"/>
    <d v="2024-08-20T21:56:00"/>
    <n v="99"/>
    <n v="173"/>
    <n v="1"/>
    <x v="1"/>
    <x v="0"/>
    <n v="451.08"/>
    <n v="74"/>
    <n v="0.5722543352601156"/>
    <s v="Inefficient"/>
    <s v="Very Long"/>
    <s v="Major Delay"/>
  </r>
  <r>
    <x v="1232"/>
    <x v="2"/>
    <x v="1232"/>
    <x v="0"/>
    <x v="2"/>
    <x v="2"/>
    <s v="EMP_90"/>
    <d v="2024-05-23T14:23:00"/>
    <d v="2024-05-23T18:40:00"/>
    <n v="141"/>
    <n v="257"/>
    <n v="1"/>
    <x v="1"/>
    <x v="9"/>
    <n v="179.96"/>
    <n v="116"/>
    <n v="0.54863813229571989"/>
    <s v="Inefficient"/>
    <s v="Very Long"/>
    <s v="Major Delay"/>
  </r>
  <r>
    <x v="1233"/>
    <x v="1"/>
    <x v="1233"/>
    <x v="0"/>
    <x v="0"/>
    <x v="3"/>
    <s v="EMP_93"/>
    <d v="2024-09-07T23:08:00"/>
    <d v="2024-09-08T01:59:00"/>
    <n v="86"/>
    <n v="171"/>
    <n v="1"/>
    <x v="2"/>
    <x v="4"/>
    <n v="195.17"/>
    <n v="85"/>
    <n v="0.50292397660818711"/>
    <s v="Inefficient"/>
    <s v="Very Long"/>
    <s v="Major Delay"/>
  </r>
  <r>
    <x v="1234"/>
    <x v="4"/>
    <x v="1234"/>
    <x v="3"/>
    <x v="1"/>
    <x v="3"/>
    <s v="EMP_37"/>
    <d v="2024-09-02T05:14:00"/>
    <d v="2024-09-02T08:58:00"/>
    <n v="187"/>
    <n v="224"/>
    <n v="1"/>
    <x v="2"/>
    <x v="6"/>
    <n v="468.11"/>
    <n v="37"/>
    <n v="0.8348214285714286"/>
    <s v="Inefficient"/>
    <s v="Very Long"/>
    <s v="Major Delay"/>
  </r>
  <r>
    <x v="1235"/>
    <x v="3"/>
    <x v="1235"/>
    <x v="4"/>
    <x v="1"/>
    <x v="0"/>
    <s v="EMP_58"/>
    <d v="2024-10-27T06:29:00"/>
    <d v="2024-10-27T08:25:00"/>
    <n v="48"/>
    <n v="116"/>
    <n v="1"/>
    <x v="2"/>
    <x v="5"/>
    <n v="399.46"/>
    <n v="68"/>
    <n v="0.41379310344827586"/>
    <s v="Inefficient"/>
    <s v="Long"/>
    <s v="Major Delay"/>
  </r>
  <r>
    <x v="1236"/>
    <x v="2"/>
    <x v="1236"/>
    <x v="1"/>
    <x v="2"/>
    <x v="4"/>
    <s v="EMP_45"/>
    <d v="2024-02-20T20:40:00"/>
    <d v="2024-02-20T23:06:00"/>
    <n v="105"/>
    <n v="146"/>
    <n v="1"/>
    <x v="0"/>
    <x v="0"/>
    <n v="446.1"/>
    <n v="41"/>
    <n v="0.71917808219178081"/>
    <s v="Inefficient"/>
    <s v="Very Long"/>
    <s v="Major Delay"/>
  </r>
  <r>
    <x v="1237"/>
    <x v="4"/>
    <x v="1237"/>
    <x v="1"/>
    <x v="3"/>
    <x v="2"/>
    <s v="EMP_100"/>
    <d v="2024-12-23T18:57:00"/>
    <d v="2024-12-23T23:35:00"/>
    <n v="165"/>
    <n v="278"/>
    <n v="1"/>
    <x v="0"/>
    <x v="3"/>
    <n v="296.14"/>
    <n v="113"/>
    <n v="0.59352517985611508"/>
    <s v="Inefficient"/>
    <s v="Very Long"/>
    <s v="Major Delay"/>
  </r>
  <r>
    <x v="1238"/>
    <x v="3"/>
    <x v="1238"/>
    <x v="2"/>
    <x v="0"/>
    <x v="1"/>
    <s v="EMP_93"/>
    <d v="2024-07-15T01:33:00"/>
    <d v="2024-07-15T04:04:00"/>
    <n v="108"/>
    <n v="151"/>
    <n v="1"/>
    <x v="0"/>
    <x v="7"/>
    <n v="192.46"/>
    <n v="43"/>
    <n v="0.71523178807947019"/>
    <s v="Inefficient"/>
    <s v="Very Long"/>
    <s v="Major Delay"/>
  </r>
  <r>
    <x v="1239"/>
    <x v="4"/>
    <x v="1239"/>
    <x v="1"/>
    <x v="2"/>
    <x v="4"/>
    <s v="EMP_107"/>
    <d v="2024-03-30T10:01:00"/>
    <d v="2024-03-30T13:27:00"/>
    <n v="120"/>
    <n v="206"/>
    <n v="1"/>
    <x v="1"/>
    <x v="0"/>
    <n v="89.2"/>
    <n v="86"/>
    <n v="0.58252427184466016"/>
    <s v="Inefficient"/>
    <s v="Very Long"/>
    <s v="Major Delay"/>
  </r>
  <r>
    <x v="1240"/>
    <x v="2"/>
    <x v="1240"/>
    <x v="4"/>
    <x v="2"/>
    <x v="3"/>
    <s v="EMP_135"/>
    <d v="2024-08-07T07:40:00"/>
    <d v="2024-08-07T12:01:00"/>
    <n v="219"/>
    <n v="261"/>
    <n v="1"/>
    <x v="0"/>
    <x v="9"/>
    <n v="124.43"/>
    <n v="42"/>
    <n v="0.83908045977011492"/>
    <s v="Inefficient"/>
    <s v="Very Long"/>
    <s v="Major Delay"/>
  </r>
  <r>
    <x v="1241"/>
    <x v="2"/>
    <x v="1241"/>
    <x v="3"/>
    <x v="0"/>
    <x v="2"/>
    <s v="EMP_82"/>
    <d v="2024-08-25T21:38:00"/>
    <d v="2024-08-25T23:43:00"/>
    <n v="90"/>
    <n v="125"/>
    <n v="1"/>
    <x v="1"/>
    <x v="4"/>
    <n v="480.4"/>
    <n v="35"/>
    <n v="0.72"/>
    <s v="Inefficient"/>
    <s v="Very Long"/>
    <s v="Major Delay"/>
  </r>
  <r>
    <x v="1242"/>
    <x v="2"/>
    <x v="1242"/>
    <x v="3"/>
    <x v="1"/>
    <x v="2"/>
    <s v="EMP_117"/>
    <d v="2024-12-02T21:30:00"/>
    <d v="2024-12-02T22:59:00"/>
    <n v="31"/>
    <n v="89"/>
    <n v="1"/>
    <x v="1"/>
    <x v="7"/>
    <n v="391.19"/>
    <n v="58"/>
    <n v="0.34831460674157305"/>
    <s v="Inefficient"/>
    <s v="Long"/>
    <s v="Major Delay"/>
  </r>
  <r>
    <x v="1243"/>
    <x v="3"/>
    <x v="1243"/>
    <x v="1"/>
    <x v="3"/>
    <x v="1"/>
    <s v="EMP_32"/>
    <d v="2024-07-28T07:53:00"/>
    <d v="2024-07-28T10:27:00"/>
    <n v="87"/>
    <n v="154"/>
    <n v="1"/>
    <x v="2"/>
    <x v="2"/>
    <n v="221.86"/>
    <n v="67"/>
    <n v="0.56493506493506496"/>
    <s v="Inefficient"/>
    <s v="Very Long"/>
    <s v="Major Delay"/>
  </r>
  <r>
    <x v="1244"/>
    <x v="2"/>
    <x v="1244"/>
    <x v="2"/>
    <x v="0"/>
    <x v="4"/>
    <s v="EMP_43"/>
    <d v="2024-12-08T16:19:00"/>
    <d v="2024-12-08T20:54:00"/>
    <n v="235"/>
    <n v="275"/>
    <n v="1"/>
    <x v="0"/>
    <x v="1"/>
    <n v="287.83"/>
    <n v="40"/>
    <n v="0.8545454545454545"/>
    <s v="Inefficient"/>
    <s v="Very Long"/>
    <s v="Major Delay"/>
  </r>
  <r>
    <x v="1245"/>
    <x v="1"/>
    <x v="1245"/>
    <x v="1"/>
    <x v="2"/>
    <x v="3"/>
    <s v="EMP_55"/>
    <d v="2024-12-20T08:43:00"/>
    <d v="2024-12-20T13:34:00"/>
    <n v="230"/>
    <n v="291"/>
    <n v="1"/>
    <x v="2"/>
    <x v="5"/>
    <n v="292.85000000000002"/>
    <n v="61"/>
    <n v="0.7903780068728522"/>
    <s v="Inefficient"/>
    <s v="Very Long"/>
    <s v="Major Delay"/>
  </r>
  <r>
    <x v="1246"/>
    <x v="3"/>
    <x v="1246"/>
    <x v="2"/>
    <x v="3"/>
    <x v="0"/>
    <s v="EMP_78"/>
    <d v="2024-09-21T14:26:00"/>
    <d v="2024-09-21T16:14:00"/>
    <n v="85"/>
    <n v="108"/>
    <n v="1"/>
    <x v="1"/>
    <x v="5"/>
    <n v="440.49"/>
    <n v="23"/>
    <n v="0.78703703703703709"/>
    <s v="Inefficient"/>
    <s v="Long"/>
    <s v="Minor Delay"/>
  </r>
  <r>
    <x v="1247"/>
    <x v="2"/>
    <x v="1247"/>
    <x v="4"/>
    <x v="0"/>
    <x v="3"/>
    <s v="EMP_94"/>
    <d v="2024-02-04T23:19:00"/>
    <d v="2024-02-05T01:05:00"/>
    <n v="60"/>
    <n v="106"/>
    <n v="1"/>
    <x v="0"/>
    <x v="3"/>
    <n v="441.04"/>
    <n v="46"/>
    <n v="0.56603773584905659"/>
    <s v="Inefficient"/>
    <s v="Long"/>
    <s v="Major Delay"/>
  </r>
  <r>
    <x v="1248"/>
    <x v="3"/>
    <x v="1248"/>
    <x v="0"/>
    <x v="0"/>
    <x v="4"/>
    <s v="EMP_67"/>
    <d v="2024-10-17T13:28:00"/>
    <d v="2024-10-17T18:13:00"/>
    <n v="209"/>
    <n v="285"/>
    <n v="1"/>
    <x v="2"/>
    <x v="2"/>
    <n v="172.66"/>
    <n v="76"/>
    <n v="0.73333333333333328"/>
    <s v="Inefficient"/>
    <s v="Very Long"/>
    <s v="Major Delay"/>
  </r>
  <r>
    <x v="1249"/>
    <x v="4"/>
    <x v="1249"/>
    <x v="4"/>
    <x v="3"/>
    <x v="3"/>
    <s v="EMP_19"/>
    <d v="2024-10-22T00:42:00"/>
    <d v="2024-10-22T03:00:00"/>
    <n v="73"/>
    <n v="138"/>
    <n v="1"/>
    <x v="1"/>
    <x v="2"/>
    <n v="141.5"/>
    <n v="65"/>
    <n v="0.52898550724637683"/>
    <s v="Inefficient"/>
    <s v="Very Long"/>
    <s v="Major Delay"/>
  </r>
  <r>
    <x v="1250"/>
    <x v="2"/>
    <x v="1250"/>
    <x v="1"/>
    <x v="1"/>
    <x v="2"/>
    <s v="EMP_71"/>
    <d v="2024-09-14T07:13:00"/>
    <d v="2024-09-14T11:34:00"/>
    <n v="157"/>
    <n v="261"/>
    <n v="1"/>
    <x v="0"/>
    <x v="0"/>
    <n v="366.22"/>
    <n v="104"/>
    <n v="0.6015325670498084"/>
    <s v="Inefficient"/>
    <s v="Very Long"/>
    <s v="Major Delay"/>
  </r>
  <r>
    <x v="1251"/>
    <x v="0"/>
    <x v="1251"/>
    <x v="3"/>
    <x v="3"/>
    <x v="4"/>
    <s v="EMP_13"/>
    <d v="2024-04-12T04:13:00"/>
    <d v="2024-04-12T06:45:00"/>
    <n v="122"/>
    <n v="152"/>
    <n v="1"/>
    <x v="2"/>
    <x v="3"/>
    <n v="168.14"/>
    <n v="30"/>
    <n v="0.80263157894736847"/>
    <s v="Inefficient"/>
    <s v="Very Long"/>
    <s v="Minor Delay"/>
  </r>
  <r>
    <x v="1252"/>
    <x v="3"/>
    <x v="1252"/>
    <x v="4"/>
    <x v="2"/>
    <x v="0"/>
    <s v="EMP_33"/>
    <d v="2024-07-30T14:30:00"/>
    <d v="2024-07-30T17:33:00"/>
    <n v="143"/>
    <n v="183"/>
    <n v="1"/>
    <x v="2"/>
    <x v="6"/>
    <n v="152.86000000000001"/>
    <n v="40"/>
    <n v="0.78142076502732238"/>
    <s v="Inefficient"/>
    <s v="Very Long"/>
    <s v="Major Delay"/>
  </r>
  <r>
    <x v="1253"/>
    <x v="4"/>
    <x v="1253"/>
    <x v="4"/>
    <x v="3"/>
    <x v="3"/>
    <s v="EMP_108"/>
    <d v="2024-10-13T10:50:00"/>
    <d v="2024-10-13T14:52:00"/>
    <n v="166"/>
    <n v="242"/>
    <n v="1"/>
    <x v="1"/>
    <x v="7"/>
    <n v="264.08999999999997"/>
    <n v="76"/>
    <n v="0.68595041322314054"/>
    <s v="Inefficient"/>
    <s v="Very Long"/>
    <s v="Major Delay"/>
  </r>
  <r>
    <x v="1254"/>
    <x v="4"/>
    <x v="1254"/>
    <x v="2"/>
    <x v="0"/>
    <x v="1"/>
    <s v="EMP_135"/>
    <d v="2024-03-04T00:48:00"/>
    <d v="2024-03-04T02:44:00"/>
    <n v="84"/>
    <n v="116"/>
    <n v="1"/>
    <x v="1"/>
    <x v="8"/>
    <n v="254.34"/>
    <n v="32"/>
    <n v="0.72413793103448276"/>
    <s v="Inefficient"/>
    <s v="Long"/>
    <s v="Major Delay"/>
  </r>
  <r>
    <x v="1255"/>
    <x v="0"/>
    <x v="1255"/>
    <x v="3"/>
    <x v="0"/>
    <x v="3"/>
    <s v="EMP_73"/>
    <d v="2024-04-27T03:48:00"/>
    <d v="2024-04-27T07:28:00"/>
    <n v="198"/>
    <n v="220"/>
    <n v="1"/>
    <x v="1"/>
    <x v="3"/>
    <n v="392.33"/>
    <n v="22"/>
    <n v="0.9"/>
    <s v="Inefficient"/>
    <s v="Very Long"/>
    <s v="Minor Delay"/>
  </r>
  <r>
    <x v="1256"/>
    <x v="1"/>
    <x v="1256"/>
    <x v="1"/>
    <x v="0"/>
    <x v="2"/>
    <s v="EMP_9"/>
    <d v="2024-01-15T10:29:00"/>
    <d v="2024-01-15T12:14:00"/>
    <n v="107"/>
    <n v="105"/>
    <n v="0"/>
    <x v="2"/>
    <x v="3"/>
    <n v="351.63"/>
    <n v="-2"/>
    <n v="1.019047619047619"/>
    <s v="Efficient"/>
    <s v="Long"/>
    <s v="On Time"/>
  </r>
  <r>
    <x v="1257"/>
    <x v="4"/>
    <x v="1257"/>
    <x v="0"/>
    <x v="1"/>
    <x v="1"/>
    <s v="EMP_139"/>
    <d v="2024-07-16T09:24:00"/>
    <d v="2024-07-16T11:32:00"/>
    <n v="106"/>
    <n v="128"/>
    <n v="1"/>
    <x v="2"/>
    <x v="7"/>
    <n v="490.75"/>
    <n v="22"/>
    <n v="0.828125"/>
    <s v="Inefficient"/>
    <s v="Very Long"/>
    <s v="Minor Delay"/>
  </r>
  <r>
    <x v="1258"/>
    <x v="1"/>
    <x v="1258"/>
    <x v="0"/>
    <x v="3"/>
    <x v="0"/>
    <s v="EMP_119"/>
    <d v="2024-10-18T01:30:00"/>
    <d v="2024-10-18T05:41:00"/>
    <n v="203"/>
    <n v="251"/>
    <n v="1"/>
    <x v="2"/>
    <x v="5"/>
    <n v="216.37"/>
    <n v="48"/>
    <n v="0.80876494023904377"/>
    <s v="Inefficient"/>
    <s v="Very Long"/>
    <s v="Major Delay"/>
  </r>
  <r>
    <x v="1259"/>
    <x v="4"/>
    <x v="1259"/>
    <x v="4"/>
    <x v="0"/>
    <x v="3"/>
    <s v="EMP_82"/>
    <d v="2024-09-15T09:09:00"/>
    <d v="2024-09-15T12:48:00"/>
    <n v="176"/>
    <n v="219"/>
    <n v="1"/>
    <x v="2"/>
    <x v="4"/>
    <n v="396.82"/>
    <n v="43"/>
    <n v="0.80365296803652964"/>
    <s v="Inefficient"/>
    <s v="Very Long"/>
    <s v="Major Delay"/>
  </r>
  <r>
    <x v="1260"/>
    <x v="1"/>
    <x v="1260"/>
    <x v="2"/>
    <x v="0"/>
    <x v="0"/>
    <s v="EMP_93"/>
    <d v="2024-08-23T01:01:00"/>
    <d v="2024-08-23T02:35:00"/>
    <n v="37"/>
    <n v="94"/>
    <n v="1"/>
    <x v="0"/>
    <x v="9"/>
    <n v="59.23"/>
    <n v="57"/>
    <n v="0.39361702127659576"/>
    <s v="Inefficient"/>
    <s v="Long"/>
    <s v="Major Delay"/>
  </r>
  <r>
    <x v="1261"/>
    <x v="0"/>
    <x v="1261"/>
    <x v="3"/>
    <x v="2"/>
    <x v="4"/>
    <s v="EMP_29"/>
    <d v="2024-03-20T16:46:00"/>
    <d v="2024-03-20T17:45:00"/>
    <n v="35"/>
    <n v="59"/>
    <n v="1"/>
    <x v="0"/>
    <x v="4"/>
    <n v="429.2"/>
    <n v="24"/>
    <n v="0.59322033898305082"/>
    <s v="Inefficient"/>
    <s v="Medium"/>
    <s v="Minor Delay"/>
  </r>
  <r>
    <x v="1262"/>
    <x v="0"/>
    <x v="1262"/>
    <x v="0"/>
    <x v="1"/>
    <x v="4"/>
    <s v="EMP_127"/>
    <d v="2024-08-31T10:12:00"/>
    <d v="2024-08-31T12:53:00"/>
    <n v="53"/>
    <n v="161"/>
    <n v="1"/>
    <x v="2"/>
    <x v="4"/>
    <n v="388.09"/>
    <n v="108"/>
    <n v="0.32919254658385094"/>
    <s v="Inefficient"/>
    <s v="Very Long"/>
    <s v="Major Delay"/>
  </r>
  <r>
    <x v="1263"/>
    <x v="2"/>
    <x v="1263"/>
    <x v="1"/>
    <x v="1"/>
    <x v="1"/>
    <s v="EMP_77"/>
    <d v="2024-08-13T05:19:00"/>
    <d v="2024-08-13T08:01:00"/>
    <n v="42"/>
    <n v="162"/>
    <n v="1"/>
    <x v="0"/>
    <x v="2"/>
    <n v="91.19"/>
    <n v="120"/>
    <n v="0.25925925925925924"/>
    <s v="Inefficient"/>
    <s v="Very Long"/>
    <s v="Major Delay"/>
  </r>
  <r>
    <x v="1264"/>
    <x v="2"/>
    <x v="1264"/>
    <x v="1"/>
    <x v="2"/>
    <x v="2"/>
    <s v="EMP_119"/>
    <d v="2024-06-29T16:33:00"/>
    <d v="2024-06-29T18:40:00"/>
    <n v="119"/>
    <n v="127"/>
    <n v="1"/>
    <x v="0"/>
    <x v="1"/>
    <n v="72.56"/>
    <n v="8"/>
    <n v="0.93700787401574803"/>
    <s v="Inefficient"/>
    <s v="Very Long"/>
    <s v="Minor Delay"/>
  </r>
  <r>
    <x v="1265"/>
    <x v="4"/>
    <x v="1265"/>
    <x v="3"/>
    <x v="3"/>
    <x v="1"/>
    <s v="EMP_34"/>
    <d v="2024-02-20T14:45:00"/>
    <d v="2024-02-20T19:18:00"/>
    <n v="170"/>
    <n v="273"/>
    <n v="1"/>
    <x v="1"/>
    <x v="3"/>
    <n v="181.51"/>
    <n v="103"/>
    <n v="0.62271062271062272"/>
    <s v="Inefficient"/>
    <s v="Very Long"/>
    <s v="Major Delay"/>
  </r>
  <r>
    <x v="1266"/>
    <x v="4"/>
    <x v="1266"/>
    <x v="1"/>
    <x v="1"/>
    <x v="4"/>
    <s v="EMP_84"/>
    <d v="2024-03-19T16:06:00"/>
    <d v="2024-03-19T20:37:00"/>
    <n v="171"/>
    <n v="271"/>
    <n v="1"/>
    <x v="1"/>
    <x v="2"/>
    <n v="444.1"/>
    <n v="100"/>
    <n v="0.63099630996309963"/>
    <s v="Inefficient"/>
    <s v="Very Long"/>
    <s v="Major Delay"/>
  </r>
  <r>
    <x v="1267"/>
    <x v="3"/>
    <x v="1267"/>
    <x v="4"/>
    <x v="1"/>
    <x v="3"/>
    <s v="EMP_3"/>
    <d v="2024-04-20T13:48:00"/>
    <d v="2024-04-20T14:21:00"/>
    <n v="31"/>
    <n v="33"/>
    <n v="1"/>
    <x v="0"/>
    <x v="8"/>
    <n v="479.71"/>
    <n v="2"/>
    <n v="0.93939393939393945"/>
    <s v="Inefficient"/>
    <s v="Medium"/>
    <s v="Minor Delay"/>
  </r>
  <r>
    <x v="1268"/>
    <x v="3"/>
    <x v="1268"/>
    <x v="1"/>
    <x v="1"/>
    <x v="0"/>
    <s v="EMP_29"/>
    <d v="2024-05-28T17:17:00"/>
    <d v="2024-05-28T19:35:00"/>
    <n v="88"/>
    <n v="138"/>
    <n v="1"/>
    <x v="0"/>
    <x v="2"/>
    <n v="413.35"/>
    <n v="50"/>
    <n v="0.6376811594202898"/>
    <s v="Inefficient"/>
    <s v="Very Long"/>
    <s v="Major Delay"/>
  </r>
  <r>
    <x v="1269"/>
    <x v="3"/>
    <x v="1269"/>
    <x v="2"/>
    <x v="1"/>
    <x v="1"/>
    <s v="EMP_54"/>
    <d v="2024-12-20T14:36:00"/>
    <d v="2024-12-20T15:25:00"/>
    <n v="11"/>
    <n v="49"/>
    <n v="1"/>
    <x v="1"/>
    <x v="3"/>
    <n v="406.61"/>
    <n v="38"/>
    <n v="0.22448979591836735"/>
    <s v="Inefficient"/>
    <s v="Medium"/>
    <s v="Major Delay"/>
  </r>
  <r>
    <x v="1270"/>
    <x v="1"/>
    <x v="1270"/>
    <x v="1"/>
    <x v="1"/>
    <x v="2"/>
    <s v="EMP_44"/>
    <d v="2024-10-02T23:58:00"/>
    <d v="2024-10-03T02:46:00"/>
    <n v="126"/>
    <n v="168"/>
    <n v="1"/>
    <x v="0"/>
    <x v="6"/>
    <n v="204.96"/>
    <n v="42"/>
    <n v="0.75"/>
    <s v="Inefficient"/>
    <s v="Very Long"/>
    <s v="Major Delay"/>
  </r>
  <r>
    <x v="1271"/>
    <x v="4"/>
    <x v="1271"/>
    <x v="3"/>
    <x v="0"/>
    <x v="4"/>
    <s v="EMP_43"/>
    <d v="2024-05-01T13:30:00"/>
    <d v="2024-05-01T15:46:00"/>
    <n v="115"/>
    <n v="136"/>
    <n v="1"/>
    <x v="0"/>
    <x v="5"/>
    <n v="279.47000000000003"/>
    <n v="21"/>
    <n v="0.84558823529411764"/>
    <s v="Inefficient"/>
    <s v="Very Long"/>
    <s v="Minor Delay"/>
  </r>
  <r>
    <x v="1272"/>
    <x v="2"/>
    <x v="1272"/>
    <x v="1"/>
    <x v="2"/>
    <x v="3"/>
    <s v="EMP_93"/>
    <d v="2024-11-03T05:10:00"/>
    <d v="2024-11-03T07:55:00"/>
    <n v="128"/>
    <n v="165"/>
    <n v="1"/>
    <x v="1"/>
    <x v="2"/>
    <n v="326.62"/>
    <n v="37"/>
    <n v="0.77575757575757576"/>
    <s v="Inefficient"/>
    <s v="Very Long"/>
    <s v="Major Delay"/>
  </r>
  <r>
    <x v="1273"/>
    <x v="3"/>
    <x v="1273"/>
    <x v="2"/>
    <x v="0"/>
    <x v="0"/>
    <s v="EMP_11"/>
    <d v="2024-06-13T23:15:00"/>
    <d v="2024-06-14T04:33:00"/>
    <n v="235"/>
    <n v="318"/>
    <n v="1"/>
    <x v="0"/>
    <x v="6"/>
    <n v="191.62"/>
    <n v="83"/>
    <n v="0.73899371069182385"/>
    <s v="Inefficient"/>
    <s v="Very Long"/>
    <s v="Major Delay"/>
  </r>
  <r>
    <x v="1274"/>
    <x v="2"/>
    <x v="1274"/>
    <x v="2"/>
    <x v="3"/>
    <x v="2"/>
    <s v="EMP_9"/>
    <d v="2024-08-12T10:02:00"/>
    <d v="2024-08-12T13:24:00"/>
    <n v="130"/>
    <n v="202"/>
    <n v="1"/>
    <x v="0"/>
    <x v="8"/>
    <n v="232.16"/>
    <n v="72"/>
    <n v="0.64356435643564358"/>
    <s v="Inefficient"/>
    <s v="Very Long"/>
    <s v="Major Delay"/>
  </r>
  <r>
    <x v="1275"/>
    <x v="0"/>
    <x v="1275"/>
    <x v="3"/>
    <x v="1"/>
    <x v="3"/>
    <s v="EMP_97"/>
    <d v="2024-10-07T11:16:00"/>
    <d v="2024-10-07T15:05:00"/>
    <n v="183"/>
    <n v="229"/>
    <n v="1"/>
    <x v="1"/>
    <x v="5"/>
    <n v="115.62"/>
    <n v="46"/>
    <n v="0.79912663755458513"/>
    <s v="Inefficient"/>
    <s v="Very Long"/>
    <s v="Major Delay"/>
  </r>
  <r>
    <x v="1276"/>
    <x v="1"/>
    <x v="1276"/>
    <x v="1"/>
    <x v="3"/>
    <x v="3"/>
    <s v="EMP_95"/>
    <d v="2024-02-15T12:25:00"/>
    <d v="2024-02-15T16:52:00"/>
    <n v="166"/>
    <n v="267"/>
    <n v="1"/>
    <x v="1"/>
    <x v="6"/>
    <n v="162.01"/>
    <n v="101"/>
    <n v="0.62172284644194753"/>
    <s v="Inefficient"/>
    <s v="Very Long"/>
    <s v="Major Delay"/>
  </r>
  <r>
    <x v="1277"/>
    <x v="1"/>
    <x v="1277"/>
    <x v="4"/>
    <x v="0"/>
    <x v="4"/>
    <s v="EMP_148"/>
    <d v="2024-05-08T09:50:00"/>
    <d v="2024-05-08T12:41:00"/>
    <n v="170"/>
    <n v="171"/>
    <n v="1"/>
    <x v="1"/>
    <x v="2"/>
    <n v="302.39"/>
    <n v="1"/>
    <n v="0.99415204678362568"/>
    <s v="Inefficient"/>
    <s v="Very Long"/>
    <s v="Minor Delay"/>
  </r>
  <r>
    <x v="1278"/>
    <x v="0"/>
    <x v="1278"/>
    <x v="0"/>
    <x v="2"/>
    <x v="0"/>
    <s v="EMP_110"/>
    <d v="2024-05-23T19:42:00"/>
    <d v="2024-05-23T23:23:00"/>
    <n v="195"/>
    <n v="221"/>
    <n v="1"/>
    <x v="0"/>
    <x v="3"/>
    <n v="289.27"/>
    <n v="26"/>
    <n v="0.88235294117647056"/>
    <s v="Inefficient"/>
    <s v="Very Long"/>
    <s v="Minor Delay"/>
  </r>
  <r>
    <x v="1279"/>
    <x v="2"/>
    <x v="1279"/>
    <x v="3"/>
    <x v="0"/>
    <x v="0"/>
    <s v="EMP_53"/>
    <d v="2024-01-17T13:09:00"/>
    <d v="2024-01-17T17:45:00"/>
    <n v="214"/>
    <n v="276"/>
    <n v="1"/>
    <x v="0"/>
    <x v="6"/>
    <n v="440.23"/>
    <n v="62"/>
    <n v="0.77536231884057971"/>
    <s v="Inefficient"/>
    <s v="Very Long"/>
    <s v="Major Delay"/>
  </r>
  <r>
    <x v="1280"/>
    <x v="0"/>
    <x v="1280"/>
    <x v="3"/>
    <x v="3"/>
    <x v="3"/>
    <s v="EMP_100"/>
    <d v="2024-01-20T00:37:00"/>
    <d v="2024-01-20T03:41:00"/>
    <n v="96"/>
    <n v="184"/>
    <n v="1"/>
    <x v="2"/>
    <x v="1"/>
    <n v="74.209999999999994"/>
    <n v="88"/>
    <n v="0.52173913043478259"/>
    <s v="Inefficient"/>
    <s v="Very Long"/>
    <s v="Major Delay"/>
  </r>
  <r>
    <x v="1281"/>
    <x v="4"/>
    <x v="1281"/>
    <x v="2"/>
    <x v="2"/>
    <x v="2"/>
    <s v="EMP_119"/>
    <d v="2024-11-09T19:45:00"/>
    <d v="2024-11-09T21:52:00"/>
    <n v="124"/>
    <n v="127"/>
    <n v="1"/>
    <x v="1"/>
    <x v="2"/>
    <n v="267.99"/>
    <n v="3"/>
    <n v="0.97637795275590555"/>
    <s v="Inefficient"/>
    <s v="Very Long"/>
    <s v="Minor Delay"/>
  </r>
  <r>
    <x v="1282"/>
    <x v="3"/>
    <x v="1282"/>
    <x v="3"/>
    <x v="0"/>
    <x v="3"/>
    <s v="EMP_16"/>
    <d v="2024-09-13T16:05:00"/>
    <d v="2024-09-13T21:02:00"/>
    <n v="195"/>
    <n v="297"/>
    <n v="1"/>
    <x v="0"/>
    <x v="8"/>
    <n v="104.69"/>
    <n v="102"/>
    <n v="0.65656565656565657"/>
    <s v="Inefficient"/>
    <s v="Very Long"/>
    <s v="Major Delay"/>
  </r>
  <r>
    <x v="1283"/>
    <x v="4"/>
    <x v="1283"/>
    <x v="1"/>
    <x v="1"/>
    <x v="0"/>
    <s v="EMP_74"/>
    <d v="2024-09-09T15:01:00"/>
    <d v="2024-09-09T17:17:00"/>
    <n v="107"/>
    <n v="136"/>
    <n v="1"/>
    <x v="1"/>
    <x v="2"/>
    <n v="493.81"/>
    <n v="29"/>
    <n v="0.78676470588235292"/>
    <s v="Inefficient"/>
    <s v="Very Long"/>
    <s v="Minor Delay"/>
  </r>
  <r>
    <x v="1284"/>
    <x v="3"/>
    <x v="1284"/>
    <x v="0"/>
    <x v="2"/>
    <x v="3"/>
    <s v="EMP_31"/>
    <d v="2024-09-29T13:56:00"/>
    <d v="2024-09-29T18:46:00"/>
    <n v="208"/>
    <n v="290"/>
    <n v="1"/>
    <x v="1"/>
    <x v="1"/>
    <n v="434.77"/>
    <n v="82"/>
    <n v="0.71724137931034482"/>
    <s v="Inefficient"/>
    <s v="Very Long"/>
    <s v="Major Delay"/>
  </r>
  <r>
    <x v="1285"/>
    <x v="0"/>
    <x v="1285"/>
    <x v="0"/>
    <x v="0"/>
    <x v="0"/>
    <s v="EMP_70"/>
    <d v="2024-05-21T04:15:00"/>
    <d v="2024-05-21T09:06:00"/>
    <n v="191"/>
    <n v="291"/>
    <n v="1"/>
    <x v="0"/>
    <x v="2"/>
    <n v="279.55"/>
    <n v="100"/>
    <n v="0.6563573883161512"/>
    <s v="Inefficient"/>
    <s v="Very Long"/>
    <s v="Major Delay"/>
  </r>
  <r>
    <x v="1286"/>
    <x v="4"/>
    <x v="1286"/>
    <x v="3"/>
    <x v="2"/>
    <x v="4"/>
    <s v="EMP_133"/>
    <d v="2024-06-02T06:18:00"/>
    <d v="2024-06-02T09:20:00"/>
    <n v="181"/>
    <n v="182"/>
    <n v="1"/>
    <x v="0"/>
    <x v="1"/>
    <n v="413.21"/>
    <n v="1"/>
    <n v="0.99450549450549453"/>
    <s v="Inefficient"/>
    <s v="Very Long"/>
    <s v="Minor Delay"/>
  </r>
  <r>
    <x v="1287"/>
    <x v="1"/>
    <x v="1287"/>
    <x v="4"/>
    <x v="1"/>
    <x v="0"/>
    <s v="EMP_81"/>
    <d v="2024-06-01T03:38:00"/>
    <d v="2024-06-01T05:41:00"/>
    <n v="57"/>
    <n v="123"/>
    <n v="1"/>
    <x v="2"/>
    <x v="5"/>
    <n v="378.16"/>
    <n v="66"/>
    <n v="0.46341463414634149"/>
    <s v="Inefficient"/>
    <s v="Very Long"/>
    <s v="Major Delay"/>
  </r>
  <r>
    <x v="1288"/>
    <x v="3"/>
    <x v="1288"/>
    <x v="0"/>
    <x v="2"/>
    <x v="2"/>
    <s v="EMP_113"/>
    <d v="2024-08-12T00:34:00"/>
    <d v="2024-08-12T04:44:00"/>
    <n v="161"/>
    <n v="250"/>
    <n v="1"/>
    <x v="2"/>
    <x v="0"/>
    <n v="97.15"/>
    <n v="89"/>
    <n v="0.64400000000000002"/>
    <s v="Inefficient"/>
    <s v="Very Long"/>
    <s v="Major Delay"/>
  </r>
  <r>
    <x v="1289"/>
    <x v="3"/>
    <x v="1289"/>
    <x v="1"/>
    <x v="3"/>
    <x v="2"/>
    <s v="EMP_113"/>
    <d v="2024-02-02T07:59:00"/>
    <d v="2024-02-02T09:59:00"/>
    <n v="43"/>
    <n v="120"/>
    <n v="1"/>
    <x v="2"/>
    <x v="3"/>
    <n v="168.15"/>
    <n v="77"/>
    <n v="0.35833333333333334"/>
    <s v="Inefficient"/>
    <s v="Very Long"/>
    <s v="Major Delay"/>
  </r>
  <r>
    <x v="1290"/>
    <x v="0"/>
    <x v="1290"/>
    <x v="0"/>
    <x v="2"/>
    <x v="4"/>
    <s v="EMP_107"/>
    <d v="2024-01-16T06:39:00"/>
    <d v="2024-01-16T08:19:00"/>
    <n v="62"/>
    <n v="100"/>
    <n v="1"/>
    <x v="1"/>
    <x v="5"/>
    <n v="400.1"/>
    <n v="38"/>
    <n v="0.62"/>
    <s v="Inefficient"/>
    <s v="Long"/>
    <s v="Major Delay"/>
  </r>
  <r>
    <x v="1291"/>
    <x v="2"/>
    <x v="1291"/>
    <x v="1"/>
    <x v="3"/>
    <x v="2"/>
    <s v="EMP_11"/>
    <d v="2024-06-11T15:10:00"/>
    <d v="2024-06-11T17:21:00"/>
    <n v="59"/>
    <n v="131"/>
    <n v="1"/>
    <x v="0"/>
    <x v="4"/>
    <n v="284.02"/>
    <n v="72"/>
    <n v="0.45038167938931295"/>
    <s v="Inefficient"/>
    <s v="Very Long"/>
    <s v="Major Delay"/>
  </r>
  <r>
    <x v="1292"/>
    <x v="0"/>
    <x v="1292"/>
    <x v="1"/>
    <x v="3"/>
    <x v="3"/>
    <s v="EMP_108"/>
    <d v="2024-08-03T23:17:00"/>
    <d v="2024-08-04T03:42:00"/>
    <n v="160"/>
    <n v="265"/>
    <n v="1"/>
    <x v="1"/>
    <x v="7"/>
    <n v="366.96"/>
    <n v="105"/>
    <n v="0.60377358490566035"/>
    <s v="Inefficient"/>
    <s v="Very Long"/>
    <s v="Major Delay"/>
  </r>
  <r>
    <x v="1293"/>
    <x v="2"/>
    <x v="1293"/>
    <x v="0"/>
    <x v="0"/>
    <x v="2"/>
    <s v="EMP_150"/>
    <d v="2024-11-10T15:27:00"/>
    <d v="2024-11-10T19:28:00"/>
    <n v="147"/>
    <n v="241"/>
    <n v="1"/>
    <x v="2"/>
    <x v="7"/>
    <n v="426.54"/>
    <n v="94"/>
    <n v="0.60995850622406644"/>
    <s v="Inefficient"/>
    <s v="Very Long"/>
    <s v="Major Delay"/>
  </r>
  <r>
    <x v="1294"/>
    <x v="3"/>
    <x v="1294"/>
    <x v="1"/>
    <x v="3"/>
    <x v="0"/>
    <s v="EMP_92"/>
    <d v="2024-06-25T01:46:00"/>
    <d v="2024-06-25T02:50:00"/>
    <n v="26"/>
    <n v="64"/>
    <n v="1"/>
    <x v="0"/>
    <x v="8"/>
    <n v="134.72"/>
    <n v="38"/>
    <n v="0.40625"/>
    <s v="Inefficient"/>
    <s v="Long"/>
    <s v="Major Delay"/>
  </r>
  <r>
    <x v="1295"/>
    <x v="0"/>
    <x v="1295"/>
    <x v="4"/>
    <x v="1"/>
    <x v="4"/>
    <s v="EMP_146"/>
    <d v="2024-04-05T01:58:00"/>
    <d v="2024-04-05T06:30:00"/>
    <n v="211"/>
    <n v="272"/>
    <n v="1"/>
    <x v="1"/>
    <x v="5"/>
    <n v="437.8"/>
    <n v="61"/>
    <n v="0.77573529411764708"/>
    <s v="Inefficient"/>
    <s v="Very Long"/>
    <s v="Major Delay"/>
  </r>
  <r>
    <x v="1296"/>
    <x v="2"/>
    <x v="1296"/>
    <x v="3"/>
    <x v="2"/>
    <x v="1"/>
    <s v="EMP_71"/>
    <d v="2024-04-01T15:05:00"/>
    <d v="2024-04-01T19:01:00"/>
    <n v="201"/>
    <n v="236"/>
    <n v="1"/>
    <x v="2"/>
    <x v="8"/>
    <n v="95.31"/>
    <n v="35"/>
    <n v="0.85169491525423724"/>
    <s v="Inefficient"/>
    <s v="Very Long"/>
    <s v="Major Delay"/>
  </r>
  <r>
    <x v="1297"/>
    <x v="2"/>
    <x v="1297"/>
    <x v="2"/>
    <x v="3"/>
    <x v="3"/>
    <s v="EMP_2"/>
    <d v="2024-11-28T21:34:00"/>
    <d v="2024-11-29T00:52:00"/>
    <n v="200"/>
    <n v="198"/>
    <n v="0"/>
    <x v="0"/>
    <x v="6"/>
    <n v="95.92"/>
    <n v="-2"/>
    <n v="1.0101010101010102"/>
    <s v="Efficient"/>
    <s v="Very Long"/>
    <s v="On Time"/>
  </r>
  <r>
    <x v="1298"/>
    <x v="1"/>
    <x v="1298"/>
    <x v="2"/>
    <x v="1"/>
    <x v="3"/>
    <s v="EMP_16"/>
    <d v="2024-12-20T20:39:00"/>
    <d v="2024-12-21T01:54:00"/>
    <n v="195"/>
    <n v="315"/>
    <n v="1"/>
    <x v="0"/>
    <x v="9"/>
    <n v="167.93"/>
    <n v="120"/>
    <n v="0.61904761904761907"/>
    <s v="Inefficient"/>
    <s v="Very Long"/>
    <s v="Major Delay"/>
  </r>
  <r>
    <x v="1299"/>
    <x v="3"/>
    <x v="1299"/>
    <x v="4"/>
    <x v="0"/>
    <x v="4"/>
    <s v="EMP_24"/>
    <d v="2024-05-22T13:57:00"/>
    <d v="2024-05-22T18:35:00"/>
    <n v="216"/>
    <n v="278"/>
    <n v="1"/>
    <x v="0"/>
    <x v="6"/>
    <n v="215.1"/>
    <n v="62"/>
    <n v="0.7769784172661871"/>
    <s v="Inefficient"/>
    <s v="Very Long"/>
    <s v="Major Delay"/>
  </r>
  <r>
    <x v="1300"/>
    <x v="2"/>
    <x v="1300"/>
    <x v="0"/>
    <x v="2"/>
    <x v="1"/>
    <s v="EMP_105"/>
    <d v="2024-05-04T04:29:00"/>
    <d v="2024-05-04T06:18:00"/>
    <n v="10"/>
    <n v="109"/>
    <n v="1"/>
    <x v="0"/>
    <x v="9"/>
    <n v="77.319999999999993"/>
    <n v="99"/>
    <n v="9.1743119266055051E-2"/>
    <s v="Inefficient"/>
    <s v="Long"/>
    <s v="Major Delay"/>
  </r>
  <r>
    <x v="1301"/>
    <x v="3"/>
    <x v="1301"/>
    <x v="0"/>
    <x v="3"/>
    <x v="1"/>
    <s v="EMP_6"/>
    <d v="2024-03-07T14:04:00"/>
    <d v="2024-03-07T18:50:00"/>
    <n v="204"/>
    <n v="286"/>
    <n v="1"/>
    <x v="2"/>
    <x v="7"/>
    <n v="203.92"/>
    <n v="82"/>
    <n v="0.71328671328671334"/>
    <s v="Inefficient"/>
    <s v="Very Long"/>
    <s v="Major Delay"/>
  </r>
  <r>
    <x v="1302"/>
    <x v="0"/>
    <x v="1302"/>
    <x v="2"/>
    <x v="1"/>
    <x v="2"/>
    <s v="EMP_9"/>
    <d v="2024-02-08T17:37:00"/>
    <d v="2024-02-08T20:53:00"/>
    <n v="116"/>
    <n v="196"/>
    <n v="1"/>
    <x v="2"/>
    <x v="8"/>
    <n v="59.85"/>
    <n v="80"/>
    <n v="0.59183673469387754"/>
    <s v="Inefficient"/>
    <s v="Very Long"/>
    <s v="Major Delay"/>
  </r>
  <r>
    <x v="1303"/>
    <x v="0"/>
    <x v="1303"/>
    <x v="3"/>
    <x v="1"/>
    <x v="1"/>
    <s v="EMP_34"/>
    <d v="2024-10-24T10:23:00"/>
    <d v="2024-10-24T13:29:00"/>
    <n v="88"/>
    <n v="186"/>
    <n v="1"/>
    <x v="2"/>
    <x v="2"/>
    <n v="459.11"/>
    <n v="98"/>
    <n v="0.4731182795698925"/>
    <s v="Inefficient"/>
    <s v="Very Long"/>
    <s v="Major Delay"/>
  </r>
  <r>
    <x v="1304"/>
    <x v="4"/>
    <x v="1304"/>
    <x v="2"/>
    <x v="1"/>
    <x v="4"/>
    <s v="EMP_79"/>
    <d v="2024-02-25T02:55:00"/>
    <d v="2024-02-25T05:00:00"/>
    <n v="47"/>
    <n v="125"/>
    <n v="1"/>
    <x v="0"/>
    <x v="8"/>
    <n v="173.91"/>
    <n v="78"/>
    <n v="0.376"/>
    <s v="Inefficient"/>
    <s v="Very Long"/>
    <s v="Major Delay"/>
  </r>
  <r>
    <x v="1305"/>
    <x v="0"/>
    <x v="1305"/>
    <x v="2"/>
    <x v="3"/>
    <x v="2"/>
    <s v="EMP_96"/>
    <d v="2024-02-28T20:35:00"/>
    <d v="2024-02-29T00:20:00"/>
    <n v="158"/>
    <n v="225"/>
    <n v="1"/>
    <x v="1"/>
    <x v="2"/>
    <n v="495"/>
    <n v="67"/>
    <n v="0.70222222222222219"/>
    <s v="Inefficient"/>
    <s v="Very Long"/>
    <s v="Major Delay"/>
  </r>
  <r>
    <x v="1306"/>
    <x v="3"/>
    <x v="1306"/>
    <x v="1"/>
    <x v="1"/>
    <x v="2"/>
    <s v="EMP_77"/>
    <d v="2024-09-06T09:59:00"/>
    <d v="2024-09-06T14:25:00"/>
    <n v="229"/>
    <n v="266"/>
    <n v="1"/>
    <x v="1"/>
    <x v="2"/>
    <n v="306.48"/>
    <n v="37"/>
    <n v="0.86090225563909772"/>
    <s v="Inefficient"/>
    <s v="Very Long"/>
    <s v="Major Delay"/>
  </r>
  <r>
    <x v="1307"/>
    <x v="2"/>
    <x v="1307"/>
    <x v="2"/>
    <x v="2"/>
    <x v="4"/>
    <s v="EMP_112"/>
    <d v="2024-09-15T02:41:00"/>
    <d v="2024-09-15T07:31:00"/>
    <n v="194"/>
    <n v="290"/>
    <n v="1"/>
    <x v="2"/>
    <x v="8"/>
    <n v="297.52999999999997"/>
    <n v="96"/>
    <n v="0.66896551724137931"/>
    <s v="Inefficient"/>
    <s v="Very Long"/>
    <s v="Major Delay"/>
  </r>
  <r>
    <x v="1308"/>
    <x v="2"/>
    <x v="1308"/>
    <x v="1"/>
    <x v="1"/>
    <x v="1"/>
    <s v="EMP_42"/>
    <d v="2024-06-15T05:12:00"/>
    <d v="2024-06-15T05:23:00"/>
    <n v="15"/>
    <n v="11"/>
    <n v="0"/>
    <x v="2"/>
    <x v="8"/>
    <n v="105.21"/>
    <n v="-4"/>
    <n v="1.3636363636363635"/>
    <s v="Efficient"/>
    <s v="Short"/>
    <s v="On Time"/>
  </r>
  <r>
    <x v="1309"/>
    <x v="0"/>
    <x v="1309"/>
    <x v="4"/>
    <x v="0"/>
    <x v="2"/>
    <s v="EMP_82"/>
    <d v="2024-01-02T13:18:00"/>
    <d v="2024-01-02T16:25:00"/>
    <n v="68"/>
    <n v="187"/>
    <n v="1"/>
    <x v="1"/>
    <x v="4"/>
    <n v="158.02000000000001"/>
    <n v="119"/>
    <n v="0.36363636363636365"/>
    <s v="Inefficient"/>
    <s v="Very Long"/>
    <s v="Major Delay"/>
  </r>
  <r>
    <x v="1310"/>
    <x v="1"/>
    <x v="1310"/>
    <x v="3"/>
    <x v="0"/>
    <x v="0"/>
    <s v="EMP_56"/>
    <d v="2024-08-08T15:48:00"/>
    <d v="2024-08-08T20:25:00"/>
    <n v="226"/>
    <n v="277"/>
    <n v="1"/>
    <x v="0"/>
    <x v="4"/>
    <n v="202.59"/>
    <n v="51"/>
    <n v="0.81588447653429608"/>
    <s v="Inefficient"/>
    <s v="Very Long"/>
    <s v="Major Delay"/>
  </r>
  <r>
    <x v="1311"/>
    <x v="4"/>
    <x v="1311"/>
    <x v="0"/>
    <x v="0"/>
    <x v="1"/>
    <s v="EMP_22"/>
    <d v="2024-05-10T09:59:00"/>
    <d v="2024-05-10T14:09:00"/>
    <n v="211"/>
    <n v="250"/>
    <n v="1"/>
    <x v="0"/>
    <x v="7"/>
    <n v="260.48"/>
    <n v="39"/>
    <n v="0.84399999999999997"/>
    <s v="Inefficient"/>
    <s v="Very Long"/>
    <s v="Major Delay"/>
  </r>
  <r>
    <x v="1312"/>
    <x v="4"/>
    <x v="1312"/>
    <x v="2"/>
    <x v="0"/>
    <x v="1"/>
    <s v="EMP_128"/>
    <d v="2024-09-01T04:02:00"/>
    <d v="2024-09-01T09:38:00"/>
    <n v="231"/>
    <n v="336"/>
    <n v="1"/>
    <x v="0"/>
    <x v="2"/>
    <n v="326.45"/>
    <n v="105"/>
    <n v="0.6875"/>
    <s v="Inefficient"/>
    <s v="Very Long"/>
    <s v="Major Delay"/>
  </r>
  <r>
    <x v="1313"/>
    <x v="0"/>
    <x v="1313"/>
    <x v="0"/>
    <x v="2"/>
    <x v="4"/>
    <s v="EMP_29"/>
    <d v="2024-10-10T13:04:00"/>
    <d v="2024-10-10T16:57:00"/>
    <n v="202"/>
    <n v="233"/>
    <n v="1"/>
    <x v="2"/>
    <x v="7"/>
    <n v="350.59"/>
    <n v="31"/>
    <n v="0.86695278969957079"/>
    <s v="Inefficient"/>
    <s v="Very Long"/>
    <s v="Major Delay"/>
  </r>
  <r>
    <x v="1314"/>
    <x v="3"/>
    <x v="1314"/>
    <x v="4"/>
    <x v="3"/>
    <x v="0"/>
    <s v="EMP_17"/>
    <d v="2024-01-17T03:22:00"/>
    <d v="2024-01-17T06:48:00"/>
    <n v="94"/>
    <n v="206"/>
    <n v="1"/>
    <x v="0"/>
    <x v="6"/>
    <n v="384.23"/>
    <n v="112"/>
    <n v="0.4563106796116505"/>
    <s v="Inefficient"/>
    <s v="Very Long"/>
    <s v="Major Delay"/>
  </r>
  <r>
    <x v="1315"/>
    <x v="3"/>
    <x v="1315"/>
    <x v="3"/>
    <x v="3"/>
    <x v="3"/>
    <s v="EMP_75"/>
    <d v="2024-02-22T17:02:00"/>
    <d v="2024-02-22T20:09:00"/>
    <n v="68"/>
    <n v="187"/>
    <n v="1"/>
    <x v="0"/>
    <x v="4"/>
    <n v="166.92"/>
    <n v="119"/>
    <n v="0.36363636363636365"/>
    <s v="Inefficient"/>
    <s v="Very Long"/>
    <s v="Major Delay"/>
  </r>
  <r>
    <x v="1316"/>
    <x v="4"/>
    <x v="1316"/>
    <x v="0"/>
    <x v="1"/>
    <x v="0"/>
    <s v="EMP_52"/>
    <d v="2024-01-18T16:48:00"/>
    <d v="2024-01-18T20:29:00"/>
    <n v="133"/>
    <n v="221"/>
    <n v="1"/>
    <x v="0"/>
    <x v="9"/>
    <n v="336.8"/>
    <n v="88"/>
    <n v="0.60180995475113119"/>
    <s v="Inefficient"/>
    <s v="Very Long"/>
    <s v="Major Delay"/>
  </r>
  <r>
    <x v="1317"/>
    <x v="0"/>
    <x v="1317"/>
    <x v="4"/>
    <x v="0"/>
    <x v="1"/>
    <s v="EMP_38"/>
    <d v="2024-11-05T02:19:00"/>
    <d v="2024-11-05T04:46:00"/>
    <n v="67"/>
    <n v="147"/>
    <n v="1"/>
    <x v="0"/>
    <x v="1"/>
    <n v="410.88"/>
    <n v="80"/>
    <n v="0.45578231292517007"/>
    <s v="Inefficient"/>
    <s v="Very Long"/>
    <s v="Major Delay"/>
  </r>
  <r>
    <x v="1318"/>
    <x v="2"/>
    <x v="1318"/>
    <x v="2"/>
    <x v="3"/>
    <x v="0"/>
    <s v="EMP_56"/>
    <d v="2024-01-13T10:37:00"/>
    <d v="2024-01-13T12:42:00"/>
    <n v="17"/>
    <n v="125"/>
    <n v="1"/>
    <x v="1"/>
    <x v="1"/>
    <n v="66.37"/>
    <n v="108"/>
    <n v="0.13600000000000001"/>
    <s v="Inefficient"/>
    <s v="Very Long"/>
    <s v="Major Delay"/>
  </r>
  <r>
    <x v="1319"/>
    <x v="0"/>
    <x v="1319"/>
    <x v="0"/>
    <x v="1"/>
    <x v="4"/>
    <s v="EMP_8"/>
    <d v="2024-04-07T14:07:00"/>
    <d v="2024-04-07T15:20:00"/>
    <n v="72"/>
    <n v="73"/>
    <n v="1"/>
    <x v="1"/>
    <x v="7"/>
    <n v="273.94"/>
    <n v="1"/>
    <n v="0.98630136986301364"/>
    <s v="Inefficient"/>
    <s v="Long"/>
    <s v="Minor Delay"/>
  </r>
  <r>
    <x v="1320"/>
    <x v="0"/>
    <x v="1320"/>
    <x v="1"/>
    <x v="1"/>
    <x v="2"/>
    <s v="EMP_91"/>
    <d v="2024-10-04T07:49:00"/>
    <d v="2024-10-04T11:19:00"/>
    <n v="145"/>
    <n v="210"/>
    <n v="1"/>
    <x v="0"/>
    <x v="8"/>
    <n v="312.93"/>
    <n v="65"/>
    <n v="0.69047619047619047"/>
    <s v="Inefficient"/>
    <s v="Very Long"/>
    <s v="Major Delay"/>
  </r>
  <r>
    <x v="1321"/>
    <x v="0"/>
    <x v="1321"/>
    <x v="1"/>
    <x v="2"/>
    <x v="1"/>
    <s v="EMP_106"/>
    <d v="2024-08-26T06:09:00"/>
    <d v="2024-08-26T09:26:00"/>
    <n v="178"/>
    <n v="197"/>
    <n v="1"/>
    <x v="0"/>
    <x v="8"/>
    <n v="59.88"/>
    <n v="19"/>
    <n v="0.90355329949238583"/>
    <s v="Inefficient"/>
    <s v="Very Long"/>
    <s v="Minor Delay"/>
  </r>
  <r>
    <x v="1322"/>
    <x v="2"/>
    <x v="1322"/>
    <x v="4"/>
    <x v="3"/>
    <x v="1"/>
    <s v="EMP_144"/>
    <d v="2024-06-26T23:07:00"/>
    <d v="2024-06-27T01:49:00"/>
    <n v="97"/>
    <n v="162"/>
    <n v="1"/>
    <x v="2"/>
    <x v="1"/>
    <n v="310.25"/>
    <n v="65"/>
    <n v="0.59876543209876543"/>
    <s v="Inefficient"/>
    <s v="Very Long"/>
    <s v="Major Delay"/>
  </r>
  <r>
    <x v="1323"/>
    <x v="4"/>
    <x v="1323"/>
    <x v="4"/>
    <x v="1"/>
    <x v="1"/>
    <s v="EMP_124"/>
    <d v="2024-10-21T20:09:00"/>
    <d v="2024-10-21T22:38:00"/>
    <n v="140"/>
    <n v="149"/>
    <n v="1"/>
    <x v="2"/>
    <x v="3"/>
    <n v="62.95"/>
    <n v="9"/>
    <n v="0.93959731543624159"/>
    <s v="Inefficient"/>
    <s v="Very Long"/>
    <s v="Minor Delay"/>
  </r>
  <r>
    <x v="1324"/>
    <x v="1"/>
    <x v="1324"/>
    <x v="3"/>
    <x v="0"/>
    <x v="1"/>
    <s v="EMP_142"/>
    <d v="2024-09-05T02:47:00"/>
    <d v="2024-09-05T04:37:00"/>
    <n v="44"/>
    <n v="110"/>
    <n v="1"/>
    <x v="1"/>
    <x v="6"/>
    <n v="85.36"/>
    <n v="66"/>
    <n v="0.4"/>
    <s v="Inefficient"/>
    <s v="Long"/>
    <s v="Major Delay"/>
  </r>
  <r>
    <x v="1325"/>
    <x v="3"/>
    <x v="1325"/>
    <x v="3"/>
    <x v="3"/>
    <x v="0"/>
    <s v="EMP_88"/>
    <d v="2024-08-31T10:37:00"/>
    <d v="2024-08-31T13:09:00"/>
    <n v="139"/>
    <n v="152"/>
    <n v="1"/>
    <x v="0"/>
    <x v="6"/>
    <n v="56.67"/>
    <n v="13"/>
    <n v="0.91447368421052633"/>
    <s v="Inefficient"/>
    <s v="Very Long"/>
    <s v="Minor Delay"/>
  </r>
  <r>
    <x v="1326"/>
    <x v="0"/>
    <x v="1326"/>
    <x v="2"/>
    <x v="3"/>
    <x v="2"/>
    <s v="EMP_2"/>
    <d v="2024-06-05T19:26:00"/>
    <d v="2024-06-05T22:53:00"/>
    <n v="111"/>
    <n v="207"/>
    <n v="1"/>
    <x v="0"/>
    <x v="1"/>
    <n v="309.47000000000003"/>
    <n v="96"/>
    <n v="0.53623188405797106"/>
    <s v="Inefficient"/>
    <s v="Very Long"/>
    <s v="Major Delay"/>
  </r>
  <r>
    <x v="1327"/>
    <x v="1"/>
    <x v="1327"/>
    <x v="4"/>
    <x v="3"/>
    <x v="0"/>
    <s v="EMP_149"/>
    <d v="2024-09-30T12:45:00"/>
    <d v="2024-09-30T16:46:00"/>
    <n v="172"/>
    <n v="241"/>
    <n v="1"/>
    <x v="0"/>
    <x v="3"/>
    <n v="341.04"/>
    <n v="69"/>
    <n v="0.7136929460580913"/>
    <s v="Inefficient"/>
    <s v="Very Long"/>
    <s v="Major Delay"/>
  </r>
  <r>
    <x v="1328"/>
    <x v="2"/>
    <x v="1328"/>
    <x v="2"/>
    <x v="0"/>
    <x v="3"/>
    <s v="EMP_18"/>
    <d v="2024-02-06T16:10:00"/>
    <d v="2024-02-06T21:47:00"/>
    <n v="221"/>
    <n v="337"/>
    <n v="1"/>
    <x v="1"/>
    <x v="7"/>
    <n v="425.7"/>
    <n v="116"/>
    <n v="0.65578635014836795"/>
    <s v="Inefficient"/>
    <s v="Very Long"/>
    <s v="Major Delay"/>
  </r>
  <r>
    <x v="1329"/>
    <x v="3"/>
    <x v="1329"/>
    <x v="4"/>
    <x v="0"/>
    <x v="0"/>
    <s v="EMP_134"/>
    <d v="2024-06-02T14:42:00"/>
    <d v="2024-06-02T16:12:00"/>
    <n v="84"/>
    <n v="90"/>
    <n v="1"/>
    <x v="1"/>
    <x v="8"/>
    <n v="307.22000000000003"/>
    <n v="6"/>
    <n v="0.93333333333333335"/>
    <s v="Inefficient"/>
    <s v="Long"/>
    <s v="Minor Delay"/>
  </r>
  <r>
    <x v="1330"/>
    <x v="1"/>
    <x v="1330"/>
    <x v="2"/>
    <x v="0"/>
    <x v="4"/>
    <s v="EMP_37"/>
    <d v="2024-05-31T02:45:00"/>
    <d v="2024-05-31T06:34:00"/>
    <n v="170"/>
    <n v="229"/>
    <n v="1"/>
    <x v="2"/>
    <x v="0"/>
    <n v="223.77"/>
    <n v="59"/>
    <n v="0.74235807860262004"/>
    <s v="Inefficient"/>
    <s v="Very Long"/>
    <s v="Major Delay"/>
  </r>
  <r>
    <x v="1331"/>
    <x v="4"/>
    <x v="1331"/>
    <x v="3"/>
    <x v="3"/>
    <x v="3"/>
    <s v="EMP_53"/>
    <d v="2024-12-29T13:48:00"/>
    <d v="2024-12-29T16:48:00"/>
    <n v="67"/>
    <n v="180"/>
    <n v="1"/>
    <x v="0"/>
    <x v="6"/>
    <n v="305.77"/>
    <n v="113"/>
    <n v="0.37222222222222223"/>
    <s v="Inefficient"/>
    <s v="Very Long"/>
    <s v="Major Delay"/>
  </r>
  <r>
    <x v="1332"/>
    <x v="4"/>
    <x v="1332"/>
    <x v="4"/>
    <x v="3"/>
    <x v="2"/>
    <s v="EMP_13"/>
    <d v="2024-03-09T19:39:00"/>
    <d v="2024-03-09T21:57:00"/>
    <n v="26"/>
    <n v="138"/>
    <n v="1"/>
    <x v="1"/>
    <x v="8"/>
    <n v="120.01"/>
    <n v="112"/>
    <n v="0.18840579710144928"/>
    <s v="Inefficient"/>
    <s v="Very Long"/>
    <s v="Major Delay"/>
  </r>
  <r>
    <x v="1333"/>
    <x v="2"/>
    <x v="1333"/>
    <x v="3"/>
    <x v="3"/>
    <x v="0"/>
    <s v="EMP_19"/>
    <d v="2024-09-04T10:07:00"/>
    <d v="2024-09-04T11:36:00"/>
    <n v="11"/>
    <n v="89"/>
    <n v="1"/>
    <x v="0"/>
    <x v="6"/>
    <n v="444.03"/>
    <n v="78"/>
    <n v="0.12359550561797752"/>
    <s v="Inefficient"/>
    <s v="Long"/>
    <s v="Major Delay"/>
  </r>
  <r>
    <x v="1334"/>
    <x v="3"/>
    <x v="1334"/>
    <x v="4"/>
    <x v="2"/>
    <x v="2"/>
    <s v="EMP_136"/>
    <d v="2024-12-02T12:32:00"/>
    <d v="2024-12-02T15:55:00"/>
    <n v="173"/>
    <n v="203"/>
    <n v="1"/>
    <x v="2"/>
    <x v="3"/>
    <n v="381.94"/>
    <n v="30"/>
    <n v="0.85221674876847286"/>
    <s v="Inefficient"/>
    <s v="Very Long"/>
    <s v="Minor Delay"/>
  </r>
  <r>
    <x v="1335"/>
    <x v="0"/>
    <x v="1335"/>
    <x v="4"/>
    <x v="0"/>
    <x v="3"/>
    <s v="EMP_137"/>
    <d v="2024-12-03T09:27:00"/>
    <d v="2024-12-03T13:11:00"/>
    <n v="120"/>
    <n v="224"/>
    <n v="1"/>
    <x v="2"/>
    <x v="0"/>
    <n v="414.33"/>
    <n v="104"/>
    <n v="0.5357142857142857"/>
    <s v="Inefficient"/>
    <s v="Very Long"/>
    <s v="Major Delay"/>
  </r>
  <r>
    <x v="1336"/>
    <x v="1"/>
    <x v="1336"/>
    <x v="3"/>
    <x v="3"/>
    <x v="2"/>
    <s v="EMP_84"/>
    <d v="2024-05-29T12:48:00"/>
    <d v="2024-05-29T14:23:00"/>
    <n v="19"/>
    <n v="95"/>
    <n v="1"/>
    <x v="1"/>
    <x v="5"/>
    <n v="225.69"/>
    <n v="76"/>
    <n v="0.2"/>
    <s v="Inefficient"/>
    <s v="Long"/>
    <s v="Major Delay"/>
  </r>
  <r>
    <x v="1337"/>
    <x v="4"/>
    <x v="1337"/>
    <x v="2"/>
    <x v="1"/>
    <x v="2"/>
    <s v="EMP_71"/>
    <d v="2024-01-12T05:28:00"/>
    <d v="2024-01-12T09:52:00"/>
    <n v="192"/>
    <n v="264"/>
    <n v="1"/>
    <x v="0"/>
    <x v="5"/>
    <n v="380.2"/>
    <n v="72"/>
    <n v="0.72727272727272729"/>
    <s v="Inefficient"/>
    <s v="Very Long"/>
    <s v="Major Delay"/>
  </r>
  <r>
    <x v="1338"/>
    <x v="3"/>
    <x v="1338"/>
    <x v="2"/>
    <x v="1"/>
    <x v="3"/>
    <s v="EMP_72"/>
    <d v="2024-04-03T10:17:00"/>
    <d v="2024-04-03T12:34:00"/>
    <n v="39"/>
    <n v="137"/>
    <n v="1"/>
    <x v="1"/>
    <x v="2"/>
    <n v="263.43"/>
    <n v="98"/>
    <n v="0.28467153284671531"/>
    <s v="Inefficient"/>
    <s v="Very Long"/>
    <s v="Major Delay"/>
  </r>
  <r>
    <x v="1339"/>
    <x v="2"/>
    <x v="1339"/>
    <x v="0"/>
    <x v="2"/>
    <x v="2"/>
    <s v="EMP_108"/>
    <d v="2024-12-22T18:40:00"/>
    <d v="2024-12-22T19:58:00"/>
    <n v="16"/>
    <n v="78"/>
    <n v="1"/>
    <x v="0"/>
    <x v="9"/>
    <n v="283.06"/>
    <n v="62"/>
    <n v="0.20512820512820512"/>
    <s v="Inefficient"/>
    <s v="Long"/>
    <s v="Major Delay"/>
  </r>
  <r>
    <x v="1340"/>
    <x v="3"/>
    <x v="1340"/>
    <x v="0"/>
    <x v="3"/>
    <x v="0"/>
    <s v="EMP_127"/>
    <d v="2024-06-13T01:35:00"/>
    <d v="2024-06-13T06:25:00"/>
    <n v="196"/>
    <n v="290"/>
    <n v="1"/>
    <x v="2"/>
    <x v="7"/>
    <n v="160.68"/>
    <n v="94"/>
    <n v="0.67586206896551726"/>
    <s v="Inefficient"/>
    <s v="Very Long"/>
    <s v="Major Delay"/>
  </r>
  <r>
    <x v="1341"/>
    <x v="1"/>
    <x v="1341"/>
    <x v="1"/>
    <x v="0"/>
    <x v="0"/>
    <s v="EMP_110"/>
    <d v="2024-12-24T15:07:00"/>
    <d v="2024-12-24T18:41:00"/>
    <n v="194"/>
    <n v="214"/>
    <n v="1"/>
    <x v="2"/>
    <x v="2"/>
    <n v="145.69"/>
    <n v="20"/>
    <n v="0.90654205607476634"/>
    <s v="Inefficient"/>
    <s v="Very Long"/>
    <s v="Minor Delay"/>
  </r>
  <r>
    <x v="1342"/>
    <x v="3"/>
    <x v="1342"/>
    <x v="2"/>
    <x v="2"/>
    <x v="2"/>
    <s v="EMP_109"/>
    <d v="2024-03-13T00:00:00"/>
    <d v="2024-03-13T04:07:00"/>
    <n v="234"/>
    <n v="247"/>
    <n v="1"/>
    <x v="2"/>
    <x v="1"/>
    <n v="319.83999999999997"/>
    <n v="13"/>
    <n v="0.94736842105263153"/>
    <s v="Inefficient"/>
    <s v="Very Long"/>
    <s v="Minor Delay"/>
  </r>
  <r>
    <x v="1343"/>
    <x v="4"/>
    <x v="1343"/>
    <x v="0"/>
    <x v="1"/>
    <x v="3"/>
    <s v="EMP_58"/>
    <d v="2024-07-27T01:51:00"/>
    <d v="2024-07-27T05:53:00"/>
    <n v="234"/>
    <n v="242"/>
    <n v="1"/>
    <x v="0"/>
    <x v="1"/>
    <n v="487.92"/>
    <n v="8"/>
    <n v="0.96694214876033058"/>
    <s v="Inefficient"/>
    <s v="Very Long"/>
    <s v="Minor Delay"/>
  </r>
  <r>
    <x v="1344"/>
    <x v="0"/>
    <x v="1344"/>
    <x v="3"/>
    <x v="3"/>
    <x v="4"/>
    <s v="EMP_149"/>
    <d v="2024-05-30T18:28:00"/>
    <d v="2024-05-30T23:29:00"/>
    <n v="218"/>
    <n v="301"/>
    <n v="1"/>
    <x v="2"/>
    <x v="3"/>
    <n v="283.48"/>
    <n v="83"/>
    <n v="0.72425249169435213"/>
    <s v="Inefficient"/>
    <s v="Very Long"/>
    <s v="Major Delay"/>
  </r>
  <r>
    <x v="1345"/>
    <x v="3"/>
    <x v="1345"/>
    <x v="4"/>
    <x v="0"/>
    <x v="3"/>
    <s v="EMP_36"/>
    <d v="2024-03-02T03:04:00"/>
    <d v="2024-03-02T03:56:00"/>
    <n v="54"/>
    <n v="52"/>
    <n v="0"/>
    <x v="1"/>
    <x v="7"/>
    <n v="116.5"/>
    <n v="-2"/>
    <n v="1.0384615384615385"/>
    <s v="Efficient"/>
    <s v="Medium"/>
    <s v="On Time"/>
  </r>
  <r>
    <x v="1346"/>
    <x v="1"/>
    <x v="1346"/>
    <x v="0"/>
    <x v="0"/>
    <x v="2"/>
    <s v="EMP_55"/>
    <d v="2024-12-17T10:51:00"/>
    <d v="2024-12-17T11:55:00"/>
    <n v="31"/>
    <n v="64"/>
    <n v="1"/>
    <x v="1"/>
    <x v="0"/>
    <n v="66.77"/>
    <n v="33"/>
    <n v="0.484375"/>
    <s v="Inefficient"/>
    <s v="Long"/>
    <s v="Major Delay"/>
  </r>
  <r>
    <x v="1347"/>
    <x v="0"/>
    <x v="1347"/>
    <x v="1"/>
    <x v="0"/>
    <x v="3"/>
    <s v="EMP_25"/>
    <d v="2024-03-25T00:42:00"/>
    <d v="2024-03-25T04:45:00"/>
    <n v="227"/>
    <n v="243"/>
    <n v="1"/>
    <x v="2"/>
    <x v="6"/>
    <n v="137.83000000000001"/>
    <n v="16"/>
    <n v="0.93415637860082301"/>
    <s v="Inefficient"/>
    <s v="Very Long"/>
    <s v="Minor Delay"/>
  </r>
  <r>
    <x v="1348"/>
    <x v="1"/>
    <x v="1348"/>
    <x v="0"/>
    <x v="0"/>
    <x v="2"/>
    <s v="EMP_130"/>
    <d v="2024-08-19T13:04:00"/>
    <d v="2024-08-19T14:09:00"/>
    <n v="70"/>
    <n v="65"/>
    <n v="0"/>
    <x v="1"/>
    <x v="9"/>
    <n v="133.03"/>
    <n v="-5"/>
    <n v="1.0769230769230769"/>
    <s v="Efficient"/>
    <s v="Long"/>
    <s v="On Time"/>
  </r>
  <r>
    <x v="1349"/>
    <x v="1"/>
    <x v="1349"/>
    <x v="2"/>
    <x v="2"/>
    <x v="2"/>
    <s v="EMP_13"/>
    <d v="2024-05-23T01:58:00"/>
    <d v="2024-05-23T03:55:00"/>
    <n v="80"/>
    <n v="117"/>
    <n v="1"/>
    <x v="2"/>
    <x v="3"/>
    <n v="160.61000000000001"/>
    <n v="37"/>
    <n v="0.68376068376068377"/>
    <s v="Inefficient"/>
    <s v="Long"/>
    <s v="Major Delay"/>
  </r>
  <r>
    <x v="1350"/>
    <x v="0"/>
    <x v="1350"/>
    <x v="0"/>
    <x v="1"/>
    <x v="3"/>
    <s v="EMP_112"/>
    <d v="2024-11-03T08:40:00"/>
    <d v="2024-11-03T09:20:00"/>
    <n v="14"/>
    <n v="40"/>
    <n v="1"/>
    <x v="1"/>
    <x v="6"/>
    <n v="437.96"/>
    <n v="26"/>
    <n v="0.35"/>
    <s v="Inefficient"/>
    <s v="Medium"/>
    <s v="Minor Delay"/>
  </r>
  <r>
    <x v="1351"/>
    <x v="2"/>
    <x v="1351"/>
    <x v="2"/>
    <x v="1"/>
    <x v="2"/>
    <s v="EMP_36"/>
    <d v="2024-05-29T23:19:00"/>
    <d v="2024-05-30T01:26:00"/>
    <n v="73"/>
    <n v="127"/>
    <n v="1"/>
    <x v="0"/>
    <x v="9"/>
    <n v="446.35"/>
    <n v="54"/>
    <n v="0.57480314960629919"/>
    <s v="Inefficient"/>
    <s v="Very Long"/>
    <s v="Major Delay"/>
  </r>
  <r>
    <x v="1352"/>
    <x v="3"/>
    <x v="1352"/>
    <x v="4"/>
    <x v="1"/>
    <x v="4"/>
    <s v="EMP_40"/>
    <d v="2024-04-05T16:04:00"/>
    <d v="2024-04-05T18:14:00"/>
    <n v="85"/>
    <n v="130"/>
    <n v="1"/>
    <x v="1"/>
    <x v="6"/>
    <n v="293.08999999999997"/>
    <n v="45"/>
    <n v="0.65384615384615385"/>
    <s v="Inefficient"/>
    <s v="Very Long"/>
    <s v="Major Delay"/>
  </r>
  <r>
    <x v="1353"/>
    <x v="0"/>
    <x v="1353"/>
    <x v="4"/>
    <x v="3"/>
    <x v="4"/>
    <s v="EMP_50"/>
    <d v="2024-02-03T13:38:00"/>
    <d v="2024-02-03T16:58:00"/>
    <n v="156"/>
    <n v="200"/>
    <n v="1"/>
    <x v="2"/>
    <x v="0"/>
    <n v="298.99"/>
    <n v="44"/>
    <n v="0.78"/>
    <s v="Inefficient"/>
    <s v="Very Long"/>
    <s v="Major Delay"/>
  </r>
  <r>
    <x v="1354"/>
    <x v="2"/>
    <x v="1354"/>
    <x v="1"/>
    <x v="3"/>
    <x v="4"/>
    <s v="EMP_122"/>
    <d v="2024-01-07T05:32:00"/>
    <d v="2024-01-07T06:34:00"/>
    <n v="13"/>
    <n v="62"/>
    <n v="1"/>
    <x v="2"/>
    <x v="1"/>
    <n v="234.16"/>
    <n v="49"/>
    <n v="0.20967741935483872"/>
    <s v="Inefficient"/>
    <s v="Long"/>
    <s v="Major Delay"/>
  </r>
  <r>
    <x v="1355"/>
    <x v="2"/>
    <x v="1355"/>
    <x v="0"/>
    <x v="0"/>
    <x v="3"/>
    <s v="EMP_121"/>
    <d v="2024-01-06T11:10:00"/>
    <d v="2024-01-06T13:29:00"/>
    <n v="111"/>
    <n v="139"/>
    <n v="1"/>
    <x v="0"/>
    <x v="6"/>
    <n v="420.12"/>
    <n v="28"/>
    <n v="0.79856115107913672"/>
    <s v="Inefficient"/>
    <s v="Very Long"/>
    <s v="Minor Delay"/>
  </r>
  <r>
    <x v="1356"/>
    <x v="0"/>
    <x v="1356"/>
    <x v="4"/>
    <x v="1"/>
    <x v="0"/>
    <s v="EMP_38"/>
    <d v="2024-06-29T04:20:00"/>
    <d v="2024-06-29T05:26:00"/>
    <n v="10"/>
    <n v="66"/>
    <n v="1"/>
    <x v="2"/>
    <x v="8"/>
    <n v="350.09"/>
    <n v="56"/>
    <n v="0.15151515151515152"/>
    <s v="Inefficient"/>
    <s v="Long"/>
    <s v="Major Delay"/>
  </r>
  <r>
    <x v="1357"/>
    <x v="4"/>
    <x v="1357"/>
    <x v="2"/>
    <x v="3"/>
    <x v="3"/>
    <s v="EMP_74"/>
    <d v="2024-09-24T16:08:00"/>
    <d v="2024-09-24T19:59:00"/>
    <n v="232"/>
    <n v="231"/>
    <n v="0"/>
    <x v="2"/>
    <x v="4"/>
    <n v="210.46"/>
    <n v="-1"/>
    <n v="1.0043290043290043"/>
    <s v="Efficient"/>
    <s v="Very Long"/>
    <s v="On Time"/>
  </r>
  <r>
    <x v="1358"/>
    <x v="4"/>
    <x v="1358"/>
    <x v="2"/>
    <x v="3"/>
    <x v="2"/>
    <s v="EMP_117"/>
    <d v="2024-08-05T08:45:00"/>
    <d v="2024-08-05T11:38:00"/>
    <n v="122"/>
    <n v="173"/>
    <n v="1"/>
    <x v="2"/>
    <x v="4"/>
    <n v="345.16"/>
    <n v="51"/>
    <n v="0.7052023121387283"/>
    <s v="Inefficient"/>
    <s v="Very Long"/>
    <s v="Major Delay"/>
  </r>
  <r>
    <x v="1359"/>
    <x v="0"/>
    <x v="1359"/>
    <x v="0"/>
    <x v="0"/>
    <x v="0"/>
    <s v="EMP_68"/>
    <d v="2024-07-18T22:38:00"/>
    <d v="2024-07-19T01:06:00"/>
    <n v="60"/>
    <n v="148"/>
    <n v="1"/>
    <x v="0"/>
    <x v="7"/>
    <n v="170.98"/>
    <n v="88"/>
    <n v="0.40540540540540543"/>
    <s v="Inefficient"/>
    <s v="Very Long"/>
    <s v="Major Delay"/>
  </r>
  <r>
    <x v="1360"/>
    <x v="1"/>
    <x v="1360"/>
    <x v="4"/>
    <x v="2"/>
    <x v="1"/>
    <s v="EMP_3"/>
    <d v="2024-04-09T14:33:00"/>
    <d v="2024-04-09T19:54:00"/>
    <n v="226"/>
    <n v="321"/>
    <n v="1"/>
    <x v="1"/>
    <x v="1"/>
    <n v="490.37"/>
    <n v="95"/>
    <n v="0.70404984423676009"/>
    <s v="Inefficient"/>
    <s v="Very Long"/>
    <s v="Major Delay"/>
  </r>
  <r>
    <x v="1361"/>
    <x v="1"/>
    <x v="1361"/>
    <x v="3"/>
    <x v="3"/>
    <x v="0"/>
    <s v="EMP_114"/>
    <d v="2024-11-23T04:58:00"/>
    <d v="2024-11-23T06:15:00"/>
    <n v="31"/>
    <n v="77"/>
    <n v="1"/>
    <x v="1"/>
    <x v="7"/>
    <n v="220.71"/>
    <n v="46"/>
    <n v="0.40259740259740262"/>
    <s v="Inefficient"/>
    <s v="Long"/>
    <s v="Major Delay"/>
  </r>
  <r>
    <x v="1362"/>
    <x v="1"/>
    <x v="1362"/>
    <x v="3"/>
    <x v="3"/>
    <x v="3"/>
    <s v="EMP_64"/>
    <d v="2024-01-08T01:47:00"/>
    <d v="2024-01-08T06:31:00"/>
    <n v="192"/>
    <n v="284"/>
    <n v="1"/>
    <x v="2"/>
    <x v="6"/>
    <n v="399.7"/>
    <n v="92"/>
    <n v="0.676056338028169"/>
    <s v="Inefficient"/>
    <s v="Very Long"/>
    <s v="Major Delay"/>
  </r>
  <r>
    <x v="1363"/>
    <x v="1"/>
    <x v="1363"/>
    <x v="1"/>
    <x v="3"/>
    <x v="1"/>
    <s v="EMP_55"/>
    <d v="2024-09-18T12:46:00"/>
    <d v="2024-09-18T16:04:00"/>
    <n v="165"/>
    <n v="198"/>
    <n v="1"/>
    <x v="0"/>
    <x v="9"/>
    <n v="438.72"/>
    <n v="33"/>
    <n v="0.83333333333333337"/>
    <s v="Inefficient"/>
    <s v="Very Long"/>
    <s v="Major Delay"/>
  </r>
  <r>
    <x v="1364"/>
    <x v="2"/>
    <x v="1364"/>
    <x v="2"/>
    <x v="1"/>
    <x v="3"/>
    <s v="EMP_121"/>
    <d v="2024-05-03T07:07:00"/>
    <d v="2024-05-03T09:18:00"/>
    <n v="121"/>
    <n v="131"/>
    <n v="1"/>
    <x v="1"/>
    <x v="4"/>
    <n v="207.73"/>
    <n v="10"/>
    <n v="0.92366412213740456"/>
    <s v="Inefficient"/>
    <s v="Very Long"/>
    <s v="Minor Delay"/>
  </r>
  <r>
    <x v="1365"/>
    <x v="4"/>
    <x v="1365"/>
    <x v="2"/>
    <x v="1"/>
    <x v="1"/>
    <s v="EMP_81"/>
    <d v="2024-01-11T14:39:00"/>
    <d v="2024-01-11T20:16:00"/>
    <n v="237"/>
    <n v="337"/>
    <n v="1"/>
    <x v="0"/>
    <x v="1"/>
    <n v="428.41"/>
    <n v="100"/>
    <n v="0.70326409495548958"/>
    <s v="Inefficient"/>
    <s v="Very Long"/>
    <s v="Major Delay"/>
  </r>
  <r>
    <x v="1366"/>
    <x v="3"/>
    <x v="1366"/>
    <x v="3"/>
    <x v="2"/>
    <x v="0"/>
    <s v="EMP_31"/>
    <d v="2024-05-02T11:25:00"/>
    <d v="2024-05-02T14:40:00"/>
    <n v="196"/>
    <n v="195"/>
    <n v="0"/>
    <x v="2"/>
    <x v="1"/>
    <n v="422.69"/>
    <n v="-1"/>
    <n v="1.0051282051282051"/>
    <s v="Efficient"/>
    <s v="Very Long"/>
    <s v="On Time"/>
  </r>
  <r>
    <x v="1367"/>
    <x v="3"/>
    <x v="1367"/>
    <x v="0"/>
    <x v="0"/>
    <x v="3"/>
    <s v="EMP_33"/>
    <d v="2024-08-23T03:24:00"/>
    <d v="2024-08-23T07:29:00"/>
    <n v="142"/>
    <n v="245"/>
    <n v="1"/>
    <x v="0"/>
    <x v="2"/>
    <n v="112.99"/>
    <n v="103"/>
    <n v="0.57959183673469383"/>
    <s v="Inefficient"/>
    <s v="Very Long"/>
    <s v="Major Delay"/>
  </r>
  <r>
    <x v="1368"/>
    <x v="1"/>
    <x v="1368"/>
    <x v="1"/>
    <x v="2"/>
    <x v="0"/>
    <s v="EMP_26"/>
    <d v="2024-04-13T10:03:00"/>
    <d v="2024-04-13T15:09:00"/>
    <n v="214"/>
    <n v="306"/>
    <n v="1"/>
    <x v="0"/>
    <x v="7"/>
    <n v="261.87"/>
    <n v="92"/>
    <n v="0.69934640522875813"/>
    <s v="Inefficient"/>
    <s v="Very Long"/>
    <s v="Major Delay"/>
  </r>
  <r>
    <x v="1369"/>
    <x v="0"/>
    <x v="1369"/>
    <x v="3"/>
    <x v="0"/>
    <x v="1"/>
    <s v="EMP_59"/>
    <d v="2024-07-04T10:56:00"/>
    <d v="2024-07-04T15:08:00"/>
    <n v="240"/>
    <n v="252"/>
    <n v="1"/>
    <x v="2"/>
    <x v="2"/>
    <n v="224.94"/>
    <n v="12"/>
    <n v="0.95238095238095233"/>
    <s v="Inefficient"/>
    <s v="Very Long"/>
    <s v="Minor Delay"/>
  </r>
  <r>
    <x v="1370"/>
    <x v="1"/>
    <x v="1370"/>
    <x v="3"/>
    <x v="2"/>
    <x v="0"/>
    <s v="EMP_81"/>
    <d v="2024-02-22T17:24:00"/>
    <d v="2024-02-22T19:29:00"/>
    <n v="121"/>
    <n v="125"/>
    <n v="1"/>
    <x v="1"/>
    <x v="9"/>
    <n v="362.67"/>
    <n v="4"/>
    <n v="0.96799999999999997"/>
    <s v="Inefficient"/>
    <s v="Very Long"/>
    <s v="Minor Delay"/>
  </r>
  <r>
    <x v="1371"/>
    <x v="3"/>
    <x v="1371"/>
    <x v="1"/>
    <x v="3"/>
    <x v="2"/>
    <s v="EMP_125"/>
    <d v="2024-08-12T19:40:00"/>
    <d v="2024-08-12T23:34:00"/>
    <n v="174"/>
    <n v="234"/>
    <n v="1"/>
    <x v="2"/>
    <x v="3"/>
    <n v="450.54"/>
    <n v="60"/>
    <n v="0.74358974358974361"/>
    <s v="Inefficient"/>
    <s v="Very Long"/>
    <s v="Major Delay"/>
  </r>
  <r>
    <x v="1372"/>
    <x v="3"/>
    <x v="1372"/>
    <x v="0"/>
    <x v="2"/>
    <x v="3"/>
    <s v="EMP_6"/>
    <d v="2024-09-20T08:40:00"/>
    <d v="2024-09-20T11:20:00"/>
    <n v="139"/>
    <n v="160"/>
    <n v="1"/>
    <x v="2"/>
    <x v="6"/>
    <n v="166.47"/>
    <n v="21"/>
    <n v="0.86875000000000002"/>
    <s v="Inefficient"/>
    <s v="Very Long"/>
    <s v="Minor Delay"/>
  </r>
  <r>
    <x v="1373"/>
    <x v="2"/>
    <x v="1373"/>
    <x v="1"/>
    <x v="1"/>
    <x v="0"/>
    <s v="EMP_122"/>
    <d v="2024-06-09T15:12:00"/>
    <d v="2024-06-09T16:47:00"/>
    <n v="92"/>
    <n v="95"/>
    <n v="1"/>
    <x v="0"/>
    <x v="7"/>
    <n v="497.09"/>
    <n v="3"/>
    <n v="0.96842105263157896"/>
    <s v="Inefficient"/>
    <s v="Long"/>
    <s v="Minor Delay"/>
  </r>
  <r>
    <x v="1374"/>
    <x v="0"/>
    <x v="1374"/>
    <x v="2"/>
    <x v="0"/>
    <x v="2"/>
    <s v="EMP_58"/>
    <d v="2024-07-30T13:07:00"/>
    <d v="2024-07-30T15:15:00"/>
    <n v="10"/>
    <n v="128"/>
    <n v="1"/>
    <x v="0"/>
    <x v="8"/>
    <n v="149.16"/>
    <n v="118"/>
    <n v="7.8125E-2"/>
    <s v="Inefficient"/>
    <s v="Very Long"/>
    <s v="Major Delay"/>
  </r>
  <r>
    <x v="1375"/>
    <x v="2"/>
    <x v="1375"/>
    <x v="2"/>
    <x v="3"/>
    <x v="0"/>
    <s v="EMP_106"/>
    <d v="2024-10-03T06:08:00"/>
    <d v="2024-10-03T08:24:00"/>
    <n v="36"/>
    <n v="136"/>
    <n v="1"/>
    <x v="0"/>
    <x v="7"/>
    <n v="308.7"/>
    <n v="100"/>
    <n v="0.26470588235294118"/>
    <s v="Inefficient"/>
    <s v="Very Long"/>
    <s v="Major Delay"/>
  </r>
  <r>
    <x v="1376"/>
    <x v="3"/>
    <x v="1376"/>
    <x v="3"/>
    <x v="2"/>
    <x v="2"/>
    <s v="EMP_150"/>
    <d v="2024-12-04T23:22:00"/>
    <d v="2024-12-05T02:24:00"/>
    <n v="107"/>
    <n v="182"/>
    <n v="1"/>
    <x v="1"/>
    <x v="1"/>
    <n v="138.44999999999999"/>
    <n v="75"/>
    <n v="0.58791208791208793"/>
    <s v="Inefficient"/>
    <s v="Very Long"/>
    <s v="Major Delay"/>
  </r>
  <r>
    <x v="1377"/>
    <x v="3"/>
    <x v="1377"/>
    <x v="1"/>
    <x v="1"/>
    <x v="0"/>
    <s v="EMP_122"/>
    <d v="2024-03-25T03:06:00"/>
    <d v="2024-03-25T07:36:00"/>
    <n v="216"/>
    <n v="270"/>
    <n v="1"/>
    <x v="2"/>
    <x v="5"/>
    <n v="384.88"/>
    <n v="54"/>
    <n v="0.8"/>
    <s v="Inefficient"/>
    <s v="Very Long"/>
    <s v="Major Delay"/>
  </r>
  <r>
    <x v="1378"/>
    <x v="3"/>
    <x v="1378"/>
    <x v="0"/>
    <x v="3"/>
    <x v="3"/>
    <s v="EMP_81"/>
    <d v="2024-10-31T09:50:00"/>
    <d v="2024-10-31T13:24:00"/>
    <n v="114"/>
    <n v="214"/>
    <n v="1"/>
    <x v="0"/>
    <x v="9"/>
    <n v="436.38"/>
    <n v="100"/>
    <n v="0.53271028037383172"/>
    <s v="Inefficient"/>
    <s v="Very Long"/>
    <s v="Major Delay"/>
  </r>
  <r>
    <x v="1379"/>
    <x v="3"/>
    <x v="1379"/>
    <x v="4"/>
    <x v="0"/>
    <x v="4"/>
    <s v="EMP_27"/>
    <d v="2024-11-12T16:48:00"/>
    <d v="2024-11-12T18:29:00"/>
    <n v="78"/>
    <n v="101"/>
    <n v="1"/>
    <x v="0"/>
    <x v="2"/>
    <n v="283.37"/>
    <n v="23"/>
    <n v="0.7722772277227723"/>
    <s v="Inefficient"/>
    <s v="Long"/>
    <s v="Minor Delay"/>
  </r>
  <r>
    <x v="1380"/>
    <x v="0"/>
    <x v="1380"/>
    <x v="3"/>
    <x v="2"/>
    <x v="4"/>
    <s v="EMP_8"/>
    <d v="2024-02-09T07:43:00"/>
    <d v="2024-02-09T11:56:00"/>
    <n v="221"/>
    <n v="253"/>
    <n v="1"/>
    <x v="1"/>
    <x v="4"/>
    <n v="482.73"/>
    <n v="32"/>
    <n v="0.87351778656126478"/>
    <s v="Inefficient"/>
    <s v="Very Long"/>
    <s v="Major Delay"/>
  </r>
  <r>
    <x v="1381"/>
    <x v="3"/>
    <x v="1381"/>
    <x v="2"/>
    <x v="0"/>
    <x v="2"/>
    <s v="EMP_20"/>
    <d v="2024-09-09T04:46:00"/>
    <d v="2024-09-09T08:47:00"/>
    <n v="232"/>
    <n v="241"/>
    <n v="1"/>
    <x v="2"/>
    <x v="0"/>
    <n v="144.69"/>
    <n v="9"/>
    <n v="0.96265560165975106"/>
    <s v="Inefficient"/>
    <s v="Very Long"/>
    <s v="Minor Delay"/>
  </r>
  <r>
    <x v="1382"/>
    <x v="3"/>
    <x v="1382"/>
    <x v="0"/>
    <x v="1"/>
    <x v="4"/>
    <s v="EMP_3"/>
    <d v="2024-05-03T03:36:00"/>
    <d v="2024-05-03T05:57:00"/>
    <n v="137"/>
    <n v="141"/>
    <n v="1"/>
    <x v="0"/>
    <x v="7"/>
    <n v="232.67"/>
    <n v="4"/>
    <n v="0.97163120567375882"/>
    <s v="Inefficient"/>
    <s v="Very Long"/>
    <s v="Minor Delay"/>
  </r>
  <r>
    <x v="1383"/>
    <x v="2"/>
    <x v="1383"/>
    <x v="0"/>
    <x v="2"/>
    <x v="2"/>
    <s v="EMP_87"/>
    <d v="2024-03-13T17:43:00"/>
    <d v="2024-03-13T21:53:00"/>
    <n v="157"/>
    <n v="250"/>
    <n v="1"/>
    <x v="0"/>
    <x v="3"/>
    <n v="241.11"/>
    <n v="93"/>
    <n v="0.628"/>
    <s v="Inefficient"/>
    <s v="Very Long"/>
    <s v="Major Delay"/>
  </r>
  <r>
    <x v="1384"/>
    <x v="0"/>
    <x v="1384"/>
    <x v="3"/>
    <x v="1"/>
    <x v="2"/>
    <s v="EMP_83"/>
    <d v="2024-02-20T13:39:00"/>
    <d v="2024-02-20T18:20:00"/>
    <n v="199"/>
    <n v="281"/>
    <n v="1"/>
    <x v="2"/>
    <x v="8"/>
    <n v="313.52999999999997"/>
    <n v="82"/>
    <n v="0.70818505338078297"/>
    <s v="Inefficient"/>
    <s v="Very Long"/>
    <s v="Major Delay"/>
  </r>
  <r>
    <x v="1385"/>
    <x v="0"/>
    <x v="1385"/>
    <x v="0"/>
    <x v="1"/>
    <x v="4"/>
    <s v="EMP_43"/>
    <d v="2024-01-02T08:40:00"/>
    <d v="2024-01-02T13:08:00"/>
    <n v="226"/>
    <n v="268"/>
    <n v="1"/>
    <x v="0"/>
    <x v="9"/>
    <n v="336.18"/>
    <n v="42"/>
    <n v="0.84328358208955223"/>
    <s v="Inefficient"/>
    <s v="Very Long"/>
    <s v="Major Delay"/>
  </r>
  <r>
    <x v="1386"/>
    <x v="4"/>
    <x v="1386"/>
    <x v="4"/>
    <x v="3"/>
    <x v="1"/>
    <s v="EMP_82"/>
    <d v="2024-09-20T21:33:00"/>
    <d v="2024-09-21T00:04:00"/>
    <n v="35"/>
    <n v="151"/>
    <n v="1"/>
    <x v="1"/>
    <x v="2"/>
    <n v="457.06"/>
    <n v="116"/>
    <n v="0.23178807947019867"/>
    <s v="Inefficient"/>
    <s v="Very Long"/>
    <s v="Major Delay"/>
  </r>
  <r>
    <x v="1387"/>
    <x v="4"/>
    <x v="1387"/>
    <x v="0"/>
    <x v="2"/>
    <x v="0"/>
    <s v="EMP_150"/>
    <d v="2024-08-06T00:16:00"/>
    <d v="2024-08-06T02:35:00"/>
    <n v="67"/>
    <n v="139"/>
    <n v="1"/>
    <x v="1"/>
    <x v="0"/>
    <n v="328.95"/>
    <n v="72"/>
    <n v="0.48201438848920863"/>
    <s v="Inefficient"/>
    <s v="Very Long"/>
    <s v="Major Delay"/>
  </r>
  <r>
    <x v="1388"/>
    <x v="4"/>
    <x v="1388"/>
    <x v="2"/>
    <x v="3"/>
    <x v="3"/>
    <s v="EMP_125"/>
    <d v="2024-05-12T19:35:00"/>
    <d v="2024-05-13T00:49:00"/>
    <n v="215"/>
    <n v="314"/>
    <n v="1"/>
    <x v="1"/>
    <x v="2"/>
    <n v="284.23"/>
    <n v="99"/>
    <n v="0.6847133757961783"/>
    <s v="Inefficient"/>
    <s v="Very Long"/>
    <s v="Major Delay"/>
  </r>
  <r>
    <x v="1389"/>
    <x v="2"/>
    <x v="1389"/>
    <x v="1"/>
    <x v="0"/>
    <x v="2"/>
    <s v="EMP_119"/>
    <d v="2024-02-26T14:43:00"/>
    <d v="2024-02-26T17:48:00"/>
    <n v="133"/>
    <n v="185"/>
    <n v="1"/>
    <x v="2"/>
    <x v="3"/>
    <n v="390"/>
    <n v="52"/>
    <n v="0.7189189189189189"/>
    <s v="Inefficient"/>
    <s v="Very Long"/>
    <s v="Major Delay"/>
  </r>
  <r>
    <x v="1390"/>
    <x v="2"/>
    <x v="1390"/>
    <x v="1"/>
    <x v="2"/>
    <x v="0"/>
    <s v="EMP_34"/>
    <d v="2024-01-03T04:11:00"/>
    <d v="2024-01-03T06:26:00"/>
    <n v="81"/>
    <n v="135"/>
    <n v="1"/>
    <x v="2"/>
    <x v="6"/>
    <n v="431.03"/>
    <n v="54"/>
    <n v="0.6"/>
    <s v="Inefficient"/>
    <s v="Very Long"/>
    <s v="Major Delay"/>
  </r>
  <r>
    <x v="1391"/>
    <x v="4"/>
    <x v="1391"/>
    <x v="2"/>
    <x v="3"/>
    <x v="1"/>
    <s v="EMP_128"/>
    <d v="2024-03-27T09:28:00"/>
    <d v="2024-03-27T11:40:00"/>
    <n v="103"/>
    <n v="132"/>
    <n v="1"/>
    <x v="2"/>
    <x v="3"/>
    <n v="155.03"/>
    <n v="29"/>
    <n v="0.78030303030303028"/>
    <s v="Inefficient"/>
    <s v="Very Long"/>
    <s v="Minor Delay"/>
  </r>
  <r>
    <x v="1392"/>
    <x v="2"/>
    <x v="1392"/>
    <x v="1"/>
    <x v="3"/>
    <x v="3"/>
    <s v="EMP_144"/>
    <d v="2024-03-29T10:28:00"/>
    <d v="2024-03-29T15:10:00"/>
    <n v="238"/>
    <n v="282"/>
    <n v="1"/>
    <x v="2"/>
    <x v="9"/>
    <n v="316.11"/>
    <n v="44"/>
    <n v="0.84397163120567376"/>
    <s v="Inefficient"/>
    <s v="Very Long"/>
    <s v="Major Delay"/>
  </r>
  <r>
    <x v="1393"/>
    <x v="0"/>
    <x v="1393"/>
    <x v="2"/>
    <x v="2"/>
    <x v="4"/>
    <s v="EMP_4"/>
    <d v="2024-11-05T09:13:00"/>
    <d v="2024-11-05T12:32:00"/>
    <n v="113"/>
    <n v="199"/>
    <n v="1"/>
    <x v="2"/>
    <x v="8"/>
    <n v="118.28"/>
    <n v="86"/>
    <n v="0.56783919597989951"/>
    <s v="Inefficient"/>
    <s v="Very Long"/>
    <s v="Major Delay"/>
  </r>
  <r>
    <x v="1394"/>
    <x v="1"/>
    <x v="1394"/>
    <x v="3"/>
    <x v="1"/>
    <x v="1"/>
    <s v="EMP_77"/>
    <d v="2024-05-13T20:26:00"/>
    <d v="2024-05-13T23:21:00"/>
    <n v="97"/>
    <n v="175"/>
    <n v="1"/>
    <x v="2"/>
    <x v="3"/>
    <n v="270.82"/>
    <n v="78"/>
    <n v="0.55428571428571427"/>
    <s v="Inefficient"/>
    <s v="Very Long"/>
    <s v="Major Delay"/>
  </r>
  <r>
    <x v="1395"/>
    <x v="1"/>
    <x v="1395"/>
    <x v="0"/>
    <x v="0"/>
    <x v="1"/>
    <s v="EMP_106"/>
    <d v="2024-08-05T23:35:00"/>
    <d v="2024-08-06T04:20:00"/>
    <n v="169"/>
    <n v="285"/>
    <n v="1"/>
    <x v="0"/>
    <x v="3"/>
    <n v="499.44"/>
    <n v="116"/>
    <n v="0.59298245614035083"/>
    <s v="Inefficient"/>
    <s v="Very Long"/>
    <s v="Major Delay"/>
  </r>
  <r>
    <x v="1396"/>
    <x v="4"/>
    <x v="1396"/>
    <x v="0"/>
    <x v="0"/>
    <x v="3"/>
    <s v="EMP_140"/>
    <d v="2024-03-02T08:43:00"/>
    <d v="2024-03-02T09:49:00"/>
    <n v="28"/>
    <n v="66"/>
    <n v="1"/>
    <x v="1"/>
    <x v="2"/>
    <n v="248.22"/>
    <n v="38"/>
    <n v="0.42424242424242425"/>
    <s v="Inefficient"/>
    <s v="Long"/>
    <s v="Major Delay"/>
  </r>
  <r>
    <x v="1397"/>
    <x v="0"/>
    <x v="1397"/>
    <x v="3"/>
    <x v="0"/>
    <x v="3"/>
    <s v="EMP_29"/>
    <d v="2024-10-30T18:49:00"/>
    <d v="2024-10-30T22:30:00"/>
    <n v="136"/>
    <n v="221"/>
    <n v="1"/>
    <x v="2"/>
    <x v="5"/>
    <n v="479.57"/>
    <n v="85"/>
    <n v="0.61538461538461542"/>
    <s v="Inefficient"/>
    <s v="Very Long"/>
    <s v="Major Delay"/>
  </r>
  <r>
    <x v="1398"/>
    <x v="0"/>
    <x v="1398"/>
    <x v="2"/>
    <x v="1"/>
    <x v="2"/>
    <s v="EMP_108"/>
    <d v="2024-08-09T19:57:00"/>
    <d v="2024-08-09T23:25:00"/>
    <n v="207"/>
    <n v="208"/>
    <n v="1"/>
    <x v="0"/>
    <x v="9"/>
    <n v="100.79"/>
    <n v="1"/>
    <n v="0.99519230769230771"/>
    <s v="Inefficient"/>
    <s v="Very Long"/>
    <s v="Minor Delay"/>
  </r>
  <r>
    <x v="1399"/>
    <x v="1"/>
    <x v="1399"/>
    <x v="4"/>
    <x v="3"/>
    <x v="0"/>
    <s v="EMP_20"/>
    <d v="2024-11-07T14:56:00"/>
    <d v="2024-11-07T17:15:00"/>
    <n v="132"/>
    <n v="139"/>
    <n v="1"/>
    <x v="2"/>
    <x v="3"/>
    <n v="327.98"/>
    <n v="7"/>
    <n v="0.94964028776978415"/>
    <s v="Inefficient"/>
    <s v="Very Long"/>
    <s v="Minor Delay"/>
  </r>
  <r>
    <x v="1400"/>
    <x v="2"/>
    <x v="1400"/>
    <x v="0"/>
    <x v="3"/>
    <x v="2"/>
    <s v="EMP_18"/>
    <d v="2024-11-23T17:19:00"/>
    <d v="2024-11-23T18:38:00"/>
    <n v="13"/>
    <n v="79"/>
    <n v="1"/>
    <x v="1"/>
    <x v="0"/>
    <n v="90.9"/>
    <n v="66"/>
    <n v="0.16455696202531644"/>
    <s v="Inefficient"/>
    <s v="Long"/>
    <s v="Major Delay"/>
  </r>
  <r>
    <x v="1401"/>
    <x v="4"/>
    <x v="1401"/>
    <x v="4"/>
    <x v="2"/>
    <x v="0"/>
    <s v="EMP_15"/>
    <d v="2024-02-20T03:57:00"/>
    <d v="2024-02-20T06:30:00"/>
    <n v="117"/>
    <n v="153"/>
    <n v="1"/>
    <x v="0"/>
    <x v="4"/>
    <n v="237.06"/>
    <n v="36"/>
    <n v="0.76470588235294112"/>
    <s v="Inefficient"/>
    <s v="Very Long"/>
    <s v="Major Delay"/>
  </r>
  <r>
    <x v="1402"/>
    <x v="1"/>
    <x v="1402"/>
    <x v="1"/>
    <x v="1"/>
    <x v="0"/>
    <s v="EMP_22"/>
    <d v="2024-05-27T06:22:00"/>
    <d v="2024-05-27T09:44:00"/>
    <n v="183"/>
    <n v="202"/>
    <n v="1"/>
    <x v="2"/>
    <x v="5"/>
    <n v="274.01"/>
    <n v="19"/>
    <n v="0.90594059405940597"/>
    <s v="Inefficient"/>
    <s v="Very Long"/>
    <s v="Minor Delay"/>
  </r>
  <r>
    <x v="1403"/>
    <x v="2"/>
    <x v="1403"/>
    <x v="4"/>
    <x v="2"/>
    <x v="3"/>
    <s v="EMP_101"/>
    <d v="2024-12-06T16:42:00"/>
    <d v="2024-12-06T17:14:00"/>
    <n v="32"/>
    <n v="32"/>
    <n v="0"/>
    <x v="0"/>
    <x v="2"/>
    <n v="224.58"/>
    <n v="0"/>
    <n v="1"/>
    <s v="On Target"/>
    <s v="Medium"/>
    <s v="On Time"/>
  </r>
  <r>
    <x v="1404"/>
    <x v="1"/>
    <x v="1404"/>
    <x v="3"/>
    <x v="3"/>
    <x v="0"/>
    <s v="EMP_99"/>
    <d v="2024-07-10T03:45:00"/>
    <d v="2024-07-10T05:14:00"/>
    <n v="94"/>
    <n v="89"/>
    <n v="0"/>
    <x v="1"/>
    <x v="9"/>
    <n v="436.02"/>
    <n v="-5"/>
    <n v="1.0561797752808988"/>
    <s v="Efficient"/>
    <s v="Long"/>
    <s v="On Time"/>
  </r>
  <r>
    <x v="1405"/>
    <x v="2"/>
    <x v="1405"/>
    <x v="1"/>
    <x v="1"/>
    <x v="3"/>
    <s v="EMP_58"/>
    <d v="2024-05-06T20:52:00"/>
    <d v="2024-05-06T23:48:00"/>
    <n v="64"/>
    <n v="176"/>
    <n v="1"/>
    <x v="0"/>
    <x v="5"/>
    <n v="225.21"/>
    <n v="112"/>
    <n v="0.36363636363636365"/>
    <s v="Inefficient"/>
    <s v="Very Long"/>
    <s v="Major Delay"/>
  </r>
  <r>
    <x v="1406"/>
    <x v="4"/>
    <x v="1406"/>
    <x v="2"/>
    <x v="1"/>
    <x v="4"/>
    <s v="EMP_136"/>
    <d v="2024-09-06T22:31:00"/>
    <d v="2024-09-07T01:47:00"/>
    <n v="165"/>
    <n v="196"/>
    <n v="1"/>
    <x v="2"/>
    <x v="0"/>
    <n v="80.56"/>
    <n v="31"/>
    <n v="0.84183673469387754"/>
    <s v="Inefficient"/>
    <s v="Very Long"/>
    <s v="Major Delay"/>
  </r>
  <r>
    <x v="1407"/>
    <x v="1"/>
    <x v="1407"/>
    <x v="1"/>
    <x v="2"/>
    <x v="4"/>
    <s v="EMP_132"/>
    <d v="2024-07-15T05:12:00"/>
    <d v="2024-07-15T07:02:00"/>
    <n v="110"/>
    <n v="110"/>
    <n v="0"/>
    <x v="1"/>
    <x v="8"/>
    <n v="428.04"/>
    <n v="0"/>
    <n v="1"/>
    <s v="On Target"/>
    <s v="Long"/>
    <s v="On Time"/>
  </r>
  <r>
    <x v="1408"/>
    <x v="3"/>
    <x v="1408"/>
    <x v="1"/>
    <x v="0"/>
    <x v="2"/>
    <s v="EMP_67"/>
    <d v="2024-08-19T16:57:00"/>
    <d v="2024-08-19T18:50:00"/>
    <n v="12"/>
    <n v="113"/>
    <n v="1"/>
    <x v="0"/>
    <x v="8"/>
    <n v="155.71"/>
    <n v="101"/>
    <n v="0.10619469026548672"/>
    <s v="Inefficient"/>
    <s v="Long"/>
    <s v="Major Delay"/>
  </r>
  <r>
    <x v="1409"/>
    <x v="3"/>
    <x v="1409"/>
    <x v="2"/>
    <x v="3"/>
    <x v="3"/>
    <s v="EMP_124"/>
    <d v="2024-12-24T21:49:00"/>
    <d v="2024-12-25T01:01:00"/>
    <n v="100"/>
    <n v="192"/>
    <n v="1"/>
    <x v="0"/>
    <x v="4"/>
    <n v="293.18"/>
    <n v="92"/>
    <n v="0.52083333333333337"/>
    <s v="Inefficient"/>
    <s v="Very Long"/>
    <s v="Major Delay"/>
  </r>
  <r>
    <x v="1410"/>
    <x v="0"/>
    <x v="1410"/>
    <x v="3"/>
    <x v="0"/>
    <x v="4"/>
    <s v="EMP_50"/>
    <d v="2024-04-15T20:09:00"/>
    <d v="2024-04-15T22:35:00"/>
    <n v="49"/>
    <n v="146"/>
    <n v="1"/>
    <x v="2"/>
    <x v="1"/>
    <n v="65.78"/>
    <n v="97"/>
    <n v="0.33561643835616439"/>
    <s v="Inefficient"/>
    <s v="Very Long"/>
    <s v="Major Delay"/>
  </r>
  <r>
    <x v="1411"/>
    <x v="2"/>
    <x v="1411"/>
    <x v="3"/>
    <x v="1"/>
    <x v="2"/>
    <s v="EMP_14"/>
    <d v="2024-05-24T20:33:00"/>
    <d v="2024-05-24T23:08:00"/>
    <n v="150"/>
    <n v="155"/>
    <n v="1"/>
    <x v="0"/>
    <x v="1"/>
    <n v="68.150000000000006"/>
    <n v="5"/>
    <n v="0.967741935483871"/>
    <s v="Inefficient"/>
    <s v="Very Long"/>
    <s v="Minor Delay"/>
  </r>
  <r>
    <x v="1412"/>
    <x v="3"/>
    <x v="1412"/>
    <x v="2"/>
    <x v="2"/>
    <x v="2"/>
    <s v="EMP_83"/>
    <d v="2024-03-27T01:48:00"/>
    <d v="2024-03-27T03:48:00"/>
    <n v="121"/>
    <n v="120"/>
    <n v="0"/>
    <x v="2"/>
    <x v="8"/>
    <n v="142.1"/>
    <n v="-1"/>
    <n v="1.0083333333333333"/>
    <s v="Efficient"/>
    <s v="Very Long"/>
    <s v="On Time"/>
  </r>
  <r>
    <x v="1413"/>
    <x v="2"/>
    <x v="1413"/>
    <x v="4"/>
    <x v="1"/>
    <x v="0"/>
    <s v="EMP_5"/>
    <d v="2024-01-25T04:15:00"/>
    <d v="2024-01-25T08:15:00"/>
    <n v="211"/>
    <n v="240"/>
    <n v="1"/>
    <x v="0"/>
    <x v="0"/>
    <n v="320.52"/>
    <n v="29"/>
    <n v="0.87916666666666665"/>
    <s v="Inefficient"/>
    <s v="Very Long"/>
    <s v="Minor Delay"/>
  </r>
  <r>
    <x v="1414"/>
    <x v="3"/>
    <x v="1414"/>
    <x v="1"/>
    <x v="3"/>
    <x v="0"/>
    <s v="EMP_105"/>
    <d v="2024-03-06T22:11:00"/>
    <d v="2024-03-07T00:52:00"/>
    <n v="166"/>
    <n v="161"/>
    <n v="0"/>
    <x v="0"/>
    <x v="4"/>
    <n v="261.95"/>
    <n v="-5"/>
    <n v="1.031055900621118"/>
    <s v="Efficient"/>
    <s v="Very Long"/>
    <s v="On Time"/>
  </r>
  <r>
    <x v="1415"/>
    <x v="3"/>
    <x v="1415"/>
    <x v="4"/>
    <x v="3"/>
    <x v="0"/>
    <s v="EMP_73"/>
    <d v="2024-12-15T23:50:00"/>
    <d v="2024-12-16T02:14:00"/>
    <n v="98"/>
    <n v="144"/>
    <n v="1"/>
    <x v="1"/>
    <x v="6"/>
    <n v="147.97999999999999"/>
    <n v="46"/>
    <n v="0.68055555555555558"/>
    <s v="Inefficient"/>
    <s v="Very Long"/>
    <s v="Major Delay"/>
  </r>
  <r>
    <x v="1416"/>
    <x v="1"/>
    <x v="1416"/>
    <x v="1"/>
    <x v="3"/>
    <x v="3"/>
    <s v="EMP_133"/>
    <d v="2024-12-28T02:53:00"/>
    <d v="2024-12-28T07:18:00"/>
    <n v="188"/>
    <n v="265"/>
    <n v="1"/>
    <x v="2"/>
    <x v="4"/>
    <n v="214.5"/>
    <n v="77"/>
    <n v="0.7094339622641509"/>
    <s v="Inefficient"/>
    <s v="Very Long"/>
    <s v="Major Delay"/>
  </r>
  <r>
    <x v="1417"/>
    <x v="0"/>
    <x v="1417"/>
    <x v="0"/>
    <x v="0"/>
    <x v="1"/>
    <s v="EMP_29"/>
    <d v="2024-03-27T05:28:00"/>
    <d v="2024-03-27T07:20:00"/>
    <n v="66"/>
    <n v="112"/>
    <n v="1"/>
    <x v="1"/>
    <x v="0"/>
    <n v="341.49"/>
    <n v="46"/>
    <n v="0.5892857142857143"/>
    <s v="Inefficient"/>
    <s v="Long"/>
    <s v="Major Delay"/>
  </r>
  <r>
    <x v="1418"/>
    <x v="2"/>
    <x v="1418"/>
    <x v="4"/>
    <x v="3"/>
    <x v="2"/>
    <s v="EMP_110"/>
    <d v="2024-04-18T22:46:00"/>
    <d v="2024-04-19T01:28:00"/>
    <n v="69"/>
    <n v="162"/>
    <n v="1"/>
    <x v="1"/>
    <x v="7"/>
    <n v="325.14"/>
    <n v="93"/>
    <n v="0.42592592592592593"/>
    <s v="Inefficient"/>
    <s v="Very Long"/>
    <s v="Major Delay"/>
  </r>
  <r>
    <x v="1419"/>
    <x v="0"/>
    <x v="1419"/>
    <x v="3"/>
    <x v="0"/>
    <x v="2"/>
    <s v="EMP_63"/>
    <d v="2024-04-03T23:30:00"/>
    <d v="2024-04-04T01:43:00"/>
    <n v="46"/>
    <n v="133"/>
    <n v="1"/>
    <x v="0"/>
    <x v="1"/>
    <n v="420.25"/>
    <n v="87"/>
    <n v="0.34586466165413532"/>
    <s v="Inefficient"/>
    <s v="Very Long"/>
    <s v="Major Delay"/>
  </r>
  <r>
    <x v="1420"/>
    <x v="3"/>
    <x v="1420"/>
    <x v="2"/>
    <x v="0"/>
    <x v="1"/>
    <s v="EMP_145"/>
    <d v="2024-12-16T21:37:00"/>
    <d v="2024-12-17T00:05:00"/>
    <n v="81"/>
    <n v="148"/>
    <n v="1"/>
    <x v="2"/>
    <x v="8"/>
    <n v="70.150000000000006"/>
    <n v="67"/>
    <n v="0.54729729729729726"/>
    <s v="Inefficient"/>
    <s v="Very Long"/>
    <s v="Major Delay"/>
  </r>
  <r>
    <x v="1421"/>
    <x v="2"/>
    <x v="1421"/>
    <x v="1"/>
    <x v="2"/>
    <x v="1"/>
    <s v="EMP_68"/>
    <d v="2024-12-16T12:18:00"/>
    <d v="2024-12-16T16:48:00"/>
    <n v="220"/>
    <n v="270"/>
    <n v="1"/>
    <x v="2"/>
    <x v="1"/>
    <n v="471.49"/>
    <n v="50"/>
    <n v="0.81481481481481477"/>
    <s v="Inefficient"/>
    <s v="Very Long"/>
    <s v="Major Delay"/>
  </r>
  <r>
    <x v="1422"/>
    <x v="3"/>
    <x v="1422"/>
    <x v="3"/>
    <x v="1"/>
    <x v="3"/>
    <s v="EMP_2"/>
    <d v="2024-07-02T06:49:00"/>
    <d v="2024-07-02T12:06:00"/>
    <n v="229"/>
    <n v="317"/>
    <n v="1"/>
    <x v="2"/>
    <x v="7"/>
    <n v="168.89"/>
    <n v="88"/>
    <n v="0.72239747634069396"/>
    <s v="Inefficient"/>
    <s v="Very Long"/>
    <s v="Major Delay"/>
  </r>
  <r>
    <x v="1423"/>
    <x v="0"/>
    <x v="1423"/>
    <x v="3"/>
    <x v="0"/>
    <x v="0"/>
    <s v="EMP_21"/>
    <d v="2024-06-11T02:08:00"/>
    <d v="2024-06-11T05:13:00"/>
    <n v="127"/>
    <n v="185"/>
    <n v="1"/>
    <x v="1"/>
    <x v="1"/>
    <n v="352.34"/>
    <n v="58"/>
    <n v="0.68648648648648647"/>
    <s v="Inefficient"/>
    <s v="Very Long"/>
    <s v="Major Delay"/>
  </r>
  <r>
    <x v="1424"/>
    <x v="0"/>
    <x v="1424"/>
    <x v="1"/>
    <x v="0"/>
    <x v="0"/>
    <s v="EMP_58"/>
    <d v="2024-01-06T11:55:00"/>
    <d v="2024-01-06T12:46:00"/>
    <n v="53"/>
    <n v="51"/>
    <n v="0"/>
    <x v="1"/>
    <x v="8"/>
    <n v="371.89"/>
    <n v="-2"/>
    <n v="1.0392156862745099"/>
    <s v="Efficient"/>
    <s v="Medium"/>
    <s v="On Time"/>
  </r>
  <r>
    <x v="1425"/>
    <x v="2"/>
    <x v="1425"/>
    <x v="1"/>
    <x v="2"/>
    <x v="2"/>
    <s v="EMP_57"/>
    <d v="2024-04-22T03:53:00"/>
    <d v="2024-04-22T05:51:00"/>
    <n v="72"/>
    <n v="118"/>
    <n v="1"/>
    <x v="2"/>
    <x v="5"/>
    <n v="347.88"/>
    <n v="46"/>
    <n v="0.61016949152542377"/>
    <s v="Inefficient"/>
    <s v="Long"/>
    <s v="Major Delay"/>
  </r>
  <r>
    <x v="1426"/>
    <x v="0"/>
    <x v="1426"/>
    <x v="0"/>
    <x v="2"/>
    <x v="1"/>
    <s v="EMP_5"/>
    <d v="2024-02-07T07:15:00"/>
    <d v="2024-02-07T08:51:00"/>
    <n v="17"/>
    <n v="96"/>
    <n v="1"/>
    <x v="2"/>
    <x v="7"/>
    <n v="421.6"/>
    <n v="79"/>
    <n v="0.17708333333333334"/>
    <s v="Inefficient"/>
    <s v="Long"/>
    <s v="Major Delay"/>
  </r>
  <r>
    <x v="1427"/>
    <x v="0"/>
    <x v="1427"/>
    <x v="2"/>
    <x v="1"/>
    <x v="3"/>
    <s v="EMP_87"/>
    <d v="2024-02-11T00:21:00"/>
    <d v="2024-02-11T02:09:00"/>
    <n v="109"/>
    <n v="108"/>
    <n v="0"/>
    <x v="2"/>
    <x v="6"/>
    <n v="182.85"/>
    <n v="-1"/>
    <n v="1.0092592592592593"/>
    <s v="Efficient"/>
    <s v="Long"/>
    <s v="On Time"/>
  </r>
  <r>
    <x v="1428"/>
    <x v="1"/>
    <x v="1428"/>
    <x v="2"/>
    <x v="1"/>
    <x v="1"/>
    <s v="EMP_39"/>
    <d v="2024-04-16T03:49:00"/>
    <d v="2024-04-16T08:39:00"/>
    <n v="236"/>
    <n v="290"/>
    <n v="1"/>
    <x v="0"/>
    <x v="4"/>
    <n v="371.21"/>
    <n v="54"/>
    <n v="0.81379310344827582"/>
    <s v="Inefficient"/>
    <s v="Very Long"/>
    <s v="Major Delay"/>
  </r>
  <r>
    <x v="1429"/>
    <x v="2"/>
    <x v="1429"/>
    <x v="1"/>
    <x v="3"/>
    <x v="4"/>
    <s v="EMP_90"/>
    <d v="2024-05-12T09:34:00"/>
    <d v="2024-05-12T12:05:00"/>
    <n v="135"/>
    <n v="151"/>
    <n v="1"/>
    <x v="0"/>
    <x v="3"/>
    <n v="224.42"/>
    <n v="16"/>
    <n v="0.89403973509933776"/>
    <s v="Inefficient"/>
    <s v="Very Long"/>
    <s v="Minor Delay"/>
  </r>
  <r>
    <x v="1430"/>
    <x v="1"/>
    <x v="1430"/>
    <x v="1"/>
    <x v="1"/>
    <x v="2"/>
    <s v="EMP_122"/>
    <d v="2024-07-05T00:40:00"/>
    <d v="2024-07-05T02:22:00"/>
    <n v="27"/>
    <n v="102"/>
    <n v="1"/>
    <x v="1"/>
    <x v="9"/>
    <n v="433.49"/>
    <n v="75"/>
    <n v="0.26470588235294118"/>
    <s v="Inefficient"/>
    <s v="Long"/>
    <s v="Major Delay"/>
  </r>
  <r>
    <x v="1431"/>
    <x v="2"/>
    <x v="1431"/>
    <x v="2"/>
    <x v="3"/>
    <x v="1"/>
    <s v="EMP_120"/>
    <d v="2024-10-23T03:59:00"/>
    <d v="2024-10-23T07:23:00"/>
    <n v="117"/>
    <n v="204"/>
    <n v="1"/>
    <x v="2"/>
    <x v="6"/>
    <n v="489"/>
    <n v="87"/>
    <n v="0.57352941176470584"/>
    <s v="Inefficient"/>
    <s v="Very Long"/>
    <s v="Major Delay"/>
  </r>
  <r>
    <x v="1432"/>
    <x v="4"/>
    <x v="1432"/>
    <x v="3"/>
    <x v="1"/>
    <x v="3"/>
    <s v="EMP_120"/>
    <d v="2024-07-05T16:05:00"/>
    <d v="2024-07-05T18:22:00"/>
    <n v="97"/>
    <n v="137"/>
    <n v="1"/>
    <x v="1"/>
    <x v="4"/>
    <n v="393.51"/>
    <n v="40"/>
    <n v="0.70802919708029199"/>
    <s v="Inefficient"/>
    <s v="Very Long"/>
    <s v="Major Delay"/>
  </r>
  <r>
    <x v="1433"/>
    <x v="1"/>
    <x v="1433"/>
    <x v="4"/>
    <x v="3"/>
    <x v="3"/>
    <s v="EMP_16"/>
    <d v="2024-11-06T14:22:00"/>
    <d v="2024-11-06T18:19:00"/>
    <n v="141"/>
    <n v="237"/>
    <n v="1"/>
    <x v="2"/>
    <x v="9"/>
    <n v="94.05"/>
    <n v="96"/>
    <n v="0.59493670886075944"/>
    <s v="Inefficient"/>
    <s v="Very Long"/>
    <s v="Major Delay"/>
  </r>
  <r>
    <x v="1434"/>
    <x v="1"/>
    <x v="1434"/>
    <x v="4"/>
    <x v="3"/>
    <x v="2"/>
    <s v="EMP_131"/>
    <d v="2024-05-31T05:04:00"/>
    <d v="2024-05-31T06:31:00"/>
    <n v="21"/>
    <n v="87"/>
    <n v="1"/>
    <x v="0"/>
    <x v="0"/>
    <n v="238.46"/>
    <n v="66"/>
    <n v="0.2413793103448276"/>
    <s v="Inefficient"/>
    <s v="Long"/>
    <s v="Major Delay"/>
  </r>
  <r>
    <x v="1435"/>
    <x v="1"/>
    <x v="1435"/>
    <x v="1"/>
    <x v="1"/>
    <x v="0"/>
    <s v="EMP_17"/>
    <d v="2024-05-02T10:36:00"/>
    <d v="2024-05-02T15:18:00"/>
    <n v="162"/>
    <n v="282"/>
    <n v="1"/>
    <x v="2"/>
    <x v="9"/>
    <n v="316.13"/>
    <n v="120"/>
    <n v="0.57446808510638303"/>
    <s v="Inefficient"/>
    <s v="Very Long"/>
    <s v="Major Delay"/>
  </r>
  <r>
    <x v="1436"/>
    <x v="0"/>
    <x v="1436"/>
    <x v="0"/>
    <x v="3"/>
    <x v="2"/>
    <s v="EMP_82"/>
    <d v="2024-02-10T16:20:00"/>
    <d v="2024-02-10T18:17:00"/>
    <n v="22"/>
    <n v="117"/>
    <n v="1"/>
    <x v="2"/>
    <x v="7"/>
    <n v="404.54"/>
    <n v="95"/>
    <n v="0.18803418803418803"/>
    <s v="Inefficient"/>
    <s v="Long"/>
    <s v="Major Delay"/>
  </r>
  <r>
    <x v="1437"/>
    <x v="2"/>
    <x v="1437"/>
    <x v="0"/>
    <x v="0"/>
    <x v="2"/>
    <s v="EMP_145"/>
    <d v="2024-08-22T03:26:00"/>
    <d v="2024-08-22T05:49:00"/>
    <n v="81"/>
    <n v="143"/>
    <n v="1"/>
    <x v="0"/>
    <x v="8"/>
    <n v="320.64999999999998"/>
    <n v="62"/>
    <n v="0.56643356643356646"/>
    <s v="Inefficient"/>
    <s v="Very Long"/>
    <s v="Major Delay"/>
  </r>
  <r>
    <x v="1438"/>
    <x v="4"/>
    <x v="1438"/>
    <x v="2"/>
    <x v="2"/>
    <x v="0"/>
    <s v="EMP_121"/>
    <d v="2024-08-29T04:28:00"/>
    <d v="2024-08-29T08:11:00"/>
    <n v="107"/>
    <n v="223"/>
    <n v="1"/>
    <x v="1"/>
    <x v="9"/>
    <n v="221.55"/>
    <n v="116"/>
    <n v="0.47982062780269058"/>
    <s v="Inefficient"/>
    <s v="Very Long"/>
    <s v="Major Delay"/>
  </r>
  <r>
    <x v="1439"/>
    <x v="0"/>
    <x v="1439"/>
    <x v="2"/>
    <x v="1"/>
    <x v="4"/>
    <s v="EMP_64"/>
    <d v="2024-06-21T20:33:00"/>
    <d v="2024-06-22T02:01:00"/>
    <n v="225"/>
    <n v="328"/>
    <n v="1"/>
    <x v="0"/>
    <x v="5"/>
    <n v="284.13"/>
    <n v="103"/>
    <n v="0.68597560975609762"/>
    <s v="Inefficient"/>
    <s v="Very Long"/>
    <s v="Major Delay"/>
  </r>
  <r>
    <x v="1440"/>
    <x v="4"/>
    <x v="1440"/>
    <x v="4"/>
    <x v="3"/>
    <x v="1"/>
    <s v="EMP_66"/>
    <d v="2024-11-05T14:26:00"/>
    <d v="2024-11-05T16:09:00"/>
    <n v="82"/>
    <n v="103"/>
    <n v="1"/>
    <x v="1"/>
    <x v="4"/>
    <n v="220.6"/>
    <n v="21"/>
    <n v="0.79611650485436891"/>
    <s v="Inefficient"/>
    <s v="Long"/>
    <s v="Minor Delay"/>
  </r>
  <r>
    <x v="1441"/>
    <x v="2"/>
    <x v="1441"/>
    <x v="1"/>
    <x v="3"/>
    <x v="1"/>
    <s v="EMP_140"/>
    <d v="2024-12-28T12:30:00"/>
    <d v="2024-12-28T17:15:00"/>
    <n v="187"/>
    <n v="285"/>
    <n v="1"/>
    <x v="0"/>
    <x v="4"/>
    <n v="166.04"/>
    <n v="98"/>
    <n v="0.65614035087719302"/>
    <s v="Inefficient"/>
    <s v="Very Long"/>
    <s v="Major Delay"/>
  </r>
  <r>
    <x v="1442"/>
    <x v="1"/>
    <x v="1442"/>
    <x v="4"/>
    <x v="3"/>
    <x v="3"/>
    <s v="EMP_109"/>
    <d v="2024-07-08T05:04:00"/>
    <d v="2024-07-08T08:24:00"/>
    <n v="179"/>
    <n v="200"/>
    <n v="1"/>
    <x v="0"/>
    <x v="7"/>
    <n v="188.42"/>
    <n v="21"/>
    <n v="0.89500000000000002"/>
    <s v="Inefficient"/>
    <s v="Very Long"/>
    <s v="Minor Delay"/>
  </r>
  <r>
    <x v="1443"/>
    <x v="3"/>
    <x v="1443"/>
    <x v="2"/>
    <x v="3"/>
    <x v="4"/>
    <s v="EMP_22"/>
    <d v="2024-08-03T23:44:00"/>
    <d v="2024-08-04T03:19:00"/>
    <n v="129"/>
    <n v="215"/>
    <n v="1"/>
    <x v="2"/>
    <x v="1"/>
    <n v="158.74"/>
    <n v="86"/>
    <n v="0.6"/>
    <s v="Inefficient"/>
    <s v="Very Long"/>
    <s v="Major Delay"/>
  </r>
  <r>
    <x v="1444"/>
    <x v="0"/>
    <x v="1444"/>
    <x v="0"/>
    <x v="3"/>
    <x v="4"/>
    <s v="EMP_5"/>
    <d v="2024-10-23T08:17:00"/>
    <d v="2024-10-23T12:50:00"/>
    <n v="154"/>
    <n v="273"/>
    <n v="1"/>
    <x v="1"/>
    <x v="9"/>
    <n v="210.58"/>
    <n v="119"/>
    <n v="0.5641025641025641"/>
    <s v="Inefficient"/>
    <s v="Very Long"/>
    <s v="Major Delay"/>
  </r>
  <r>
    <x v="1445"/>
    <x v="2"/>
    <x v="1445"/>
    <x v="4"/>
    <x v="0"/>
    <x v="3"/>
    <s v="EMP_3"/>
    <d v="2024-03-03T19:33:00"/>
    <d v="2024-03-03T21:58:00"/>
    <n v="143"/>
    <n v="145"/>
    <n v="1"/>
    <x v="0"/>
    <x v="9"/>
    <n v="219.55"/>
    <n v="2"/>
    <n v="0.98620689655172411"/>
    <s v="Inefficient"/>
    <s v="Very Long"/>
    <s v="Minor Delay"/>
  </r>
  <r>
    <x v="1446"/>
    <x v="3"/>
    <x v="1446"/>
    <x v="2"/>
    <x v="3"/>
    <x v="3"/>
    <s v="EMP_97"/>
    <d v="2024-01-24T07:21:00"/>
    <d v="2024-01-24T11:29:00"/>
    <n v="169"/>
    <n v="248"/>
    <n v="1"/>
    <x v="2"/>
    <x v="3"/>
    <n v="310.89"/>
    <n v="79"/>
    <n v="0.68145161290322576"/>
    <s v="Inefficient"/>
    <s v="Very Long"/>
    <s v="Major Delay"/>
  </r>
  <r>
    <x v="1447"/>
    <x v="3"/>
    <x v="1447"/>
    <x v="1"/>
    <x v="3"/>
    <x v="2"/>
    <s v="EMP_15"/>
    <d v="2024-12-07T23:19:00"/>
    <d v="2024-12-08T00:48:00"/>
    <n v="43"/>
    <n v="89"/>
    <n v="1"/>
    <x v="2"/>
    <x v="1"/>
    <n v="260.61"/>
    <n v="46"/>
    <n v="0.48314606741573035"/>
    <s v="Inefficient"/>
    <s v="Long"/>
    <s v="Major Delay"/>
  </r>
  <r>
    <x v="1448"/>
    <x v="2"/>
    <x v="1448"/>
    <x v="3"/>
    <x v="3"/>
    <x v="3"/>
    <s v="EMP_20"/>
    <d v="2024-09-06T22:12:00"/>
    <d v="2024-09-06T23:22:00"/>
    <n v="40"/>
    <n v="70"/>
    <n v="1"/>
    <x v="1"/>
    <x v="2"/>
    <n v="139.03"/>
    <n v="30"/>
    <n v="0.5714285714285714"/>
    <s v="Inefficient"/>
    <s v="Long"/>
    <s v="Minor Delay"/>
  </r>
  <r>
    <x v="1449"/>
    <x v="2"/>
    <x v="1449"/>
    <x v="4"/>
    <x v="3"/>
    <x v="0"/>
    <s v="EMP_142"/>
    <d v="2024-12-09T18:46:00"/>
    <d v="2024-12-09T23:26:00"/>
    <n v="217"/>
    <n v="280"/>
    <n v="1"/>
    <x v="1"/>
    <x v="7"/>
    <n v="324.99"/>
    <n v="63"/>
    <n v="0.77500000000000002"/>
    <s v="Inefficient"/>
    <s v="Very Long"/>
    <s v="Major Delay"/>
  </r>
  <r>
    <x v="1450"/>
    <x v="4"/>
    <x v="1450"/>
    <x v="2"/>
    <x v="2"/>
    <x v="2"/>
    <s v="EMP_13"/>
    <d v="2024-02-25T01:58:00"/>
    <d v="2024-02-25T05:03:00"/>
    <n v="143"/>
    <n v="185"/>
    <n v="1"/>
    <x v="2"/>
    <x v="4"/>
    <n v="404.01"/>
    <n v="42"/>
    <n v="0.77297297297297296"/>
    <s v="Inefficient"/>
    <s v="Very Long"/>
    <s v="Major Delay"/>
  </r>
  <r>
    <x v="1451"/>
    <x v="0"/>
    <x v="1451"/>
    <x v="1"/>
    <x v="1"/>
    <x v="0"/>
    <s v="EMP_11"/>
    <d v="2024-08-31T00:13:00"/>
    <d v="2024-08-31T04:03:00"/>
    <n v="218"/>
    <n v="230"/>
    <n v="1"/>
    <x v="2"/>
    <x v="0"/>
    <n v="149.63"/>
    <n v="12"/>
    <n v="0.94782608695652171"/>
    <s v="Inefficient"/>
    <s v="Very Long"/>
    <s v="Minor Delay"/>
  </r>
  <r>
    <x v="1452"/>
    <x v="2"/>
    <x v="1452"/>
    <x v="1"/>
    <x v="1"/>
    <x v="4"/>
    <s v="EMP_134"/>
    <d v="2024-06-23T10:02:00"/>
    <d v="2024-06-23T11:49:00"/>
    <n v="28"/>
    <n v="107"/>
    <n v="1"/>
    <x v="2"/>
    <x v="8"/>
    <n v="473.53"/>
    <n v="79"/>
    <n v="0.26168224299065418"/>
    <s v="Inefficient"/>
    <s v="Long"/>
    <s v="Major Delay"/>
  </r>
  <r>
    <x v="1453"/>
    <x v="3"/>
    <x v="1453"/>
    <x v="2"/>
    <x v="0"/>
    <x v="1"/>
    <s v="EMP_146"/>
    <d v="2024-06-14T07:36:00"/>
    <d v="2024-06-14T11:13:00"/>
    <n v="106"/>
    <n v="217"/>
    <n v="1"/>
    <x v="1"/>
    <x v="6"/>
    <n v="75.12"/>
    <n v="111"/>
    <n v="0.48847926267281105"/>
    <s v="Inefficient"/>
    <s v="Very Long"/>
    <s v="Major Delay"/>
  </r>
  <r>
    <x v="1454"/>
    <x v="1"/>
    <x v="1454"/>
    <x v="3"/>
    <x v="2"/>
    <x v="1"/>
    <s v="EMP_106"/>
    <d v="2024-08-05T21:17:00"/>
    <d v="2024-08-05T22:33:00"/>
    <n v="70"/>
    <n v="76"/>
    <n v="1"/>
    <x v="2"/>
    <x v="8"/>
    <n v="178.13"/>
    <n v="6"/>
    <n v="0.92105263157894735"/>
    <s v="Inefficient"/>
    <s v="Long"/>
    <s v="Minor Delay"/>
  </r>
  <r>
    <x v="1455"/>
    <x v="4"/>
    <x v="1455"/>
    <x v="3"/>
    <x v="2"/>
    <x v="4"/>
    <s v="EMP_126"/>
    <d v="2024-06-21T12:43:00"/>
    <d v="2024-06-21T16:41:00"/>
    <n v="154"/>
    <n v="238"/>
    <n v="1"/>
    <x v="1"/>
    <x v="3"/>
    <n v="127.09"/>
    <n v="84"/>
    <n v="0.6470588235294118"/>
    <s v="Inefficient"/>
    <s v="Very Long"/>
    <s v="Major Delay"/>
  </r>
  <r>
    <x v="1456"/>
    <x v="2"/>
    <x v="1456"/>
    <x v="0"/>
    <x v="3"/>
    <x v="2"/>
    <s v="EMP_100"/>
    <d v="2024-04-10T01:52:00"/>
    <d v="2024-04-10T04:41:00"/>
    <n v="123"/>
    <n v="169"/>
    <n v="1"/>
    <x v="1"/>
    <x v="5"/>
    <n v="454.51"/>
    <n v="46"/>
    <n v="0.72781065088757402"/>
    <s v="Inefficient"/>
    <s v="Very Long"/>
    <s v="Major Delay"/>
  </r>
  <r>
    <x v="1457"/>
    <x v="1"/>
    <x v="1457"/>
    <x v="0"/>
    <x v="1"/>
    <x v="0"/>
    <s v="EMP_51"/>
    <d v="2024-12-12T00:57:00"/>
    <d v="2024-12-12T06:04:00"/>
    <n v="207"/>
    <n v="307"/>
    <n v="1"/>
    <x v="1"/>
    <x v="3"/>
    <n v="496.59"/>
    <n v="100"/>
    <n v="0.67426710097719866"/>
    <s v="Inefficient"/>
    <s v="Very Long"/>
    <s v="Major Delay"/>
  </r>
  <r>
    <x v="1458"/>
    <x v="2"/>
    <x v="1458"/>
    <x v="1"/>
    <x v="3"/>
    <x v="3"/>
    <s v="EMP_83"/>
    <d v="2024-05-24T03:41:00"/>
    <d v="2024-05-24T07:19:00"/>
    <n v="136"/>
    <n v="218"/>
    <n v="1"/>
    <x v="2"/>
    <x v="7"/>
    <n v="350.05"/>
    <n v="82"/>
    <n v="0.62385321100917435"/>
    <s v="Inefficient"/>
    <s v="Very Long"/>
    <s v="Major Delay"/>
  </r>
  <r>
    <x v="1459"/>
    <x v="0"/>
    <x v="1459"/>
    <x v="4"/>
    <x v="1"/>
    <x v="4"/>
    <s v="EMP_79"/>
    <d v="2024-11-16T17:26:00"/>
    <d v="2024-11-16T20:29:00"/>
    <n v="136"/>
    <n v="183"/>
    <n v="1"/>
    <x v="2"/>
    <x v="8"/>
    <n v="189.19"/>
    <n v="47"/>
    <n v="0.74316939890710387"/>
    <s v="Inefficient"/>
    <s v="Very Long"/>
    <s v="Major Delay"/>
  </r>
  <r>
    <x v="1460"/>
    <x v="0"/>
    <x v="1460"/>
    <x v="0"/>
    <x v="1"/>
    <x v="3"/>
    <s v="EMP_111"/>
    <d v="2024-09-07T01:42:00"/>
    <d v="2024-09-07T02:42:00"/>
    <n v="58"/>
    <n v="60"/>
    <n v="1"/>
    <x v="1"/>
    <x v="5"/>
    <n v="264.43"/>
    <n v="2"/>
    <n v="0.96666666666666667"/>
    <s v="Inefficient"/>
    <s v="Long"/>
    <s v="Minor Delay"/>
  </r>
  <r>
    <x v="1461"/>
    <x v="4"/>
    <x v="1461"/>
    <x v="2"/>
    <x v="1"/>
    <x v="4"/>
    <s v="EMP_140"/>
    <d v="2024-04-04T14:29:00"/>
    <d v="2024-04-04T19:20:00"/>
    <n v="177"/>
    <n v="291"/>
    <n v="1"/>
    <x v="2"/>
    <x v="8"/>
    <n v="85.82"/>
    <n v="114"/>
    <n v="0.60824742268041232"/>
    <s v="Inefficient"/>
    <s v="Very Long"/>
    <s v="Major Delay"/>
  </r>
  <r>
    <x v="1462"/>
    <x v="0"/>
    <x v="1462"/>
    <x v="1"/>
    <x v="1"/>
    <x v="4"/>
    <s v="EMP_139"/>
    <d v="2024-07-20T01:22:00"/>
    <d v="2024-07-20T06:05:00"/>
    <n v="168"/>
    <n v="283"/>
    <n v="1"/>
    <x v="2"/>
    <x v="6"/>
    <n v="409.93"/>
    <n v="115"/>
    <n v="0.59363957597173145"/>
    <s v="Inefficient"/>
    <s v="Very Long"/>
    <s v="Major Delay"/>
  </r>
  <r>
    <x v="1463"/>
    <x v="3"/>
    <x v="1463"/>
    <x v="3"/>
    <x v="1"/>
    <x v="2"/>
    <s v="EMP_39"/>
    <d v="2024-01-26T16:10:00"/>
    <d v="2024-01-26T20:28:00"/>
    <n v="204"/>
    <n v="258"/>
    <n v="1"/>
    <x v="2"/>
    <x v="0"/>
    <n v="78"/>
    <n v="54"/>
    <n v="0.79069767441860461"/>
    <s v="Inefficient"/>
    <s v="Very Long"/>
    <s v="Major Delay"/>
  </r>
  <r>
    <x v="1464"/>
    <x v="1"/>
    <x v="1464"/>
    <x v="3"/>
    <x v="0"/>
    <x v="0"/>
    <s v="EMP_20"/>
    <d v="2024-10-28T09:21:00"/>
    <d v="2024-10-28T12:04:00"/>
    <n v="99"/>
    <n v="163"/>
    <n v="1"/>
    <x v="1"/>
    <x v="5"/>
    <n v="126.13"/>
    <n v="64"/>
    <n v="0.6073619631901841"/>
    <s v="Inefficient"/>
    <s v="Very Long"/>
    <s v="Major Delay"/>
  </r>
  <r>
    <x v="1465"/>
    <x v="0"/>
    <x v="1465"/>
    <x v="0"/>
    <x v="3"/>
    <x v="3"/>
    <s v="EMP_1"/>
    <d v="2024-06-07T09:11:00"/>
    <d v="2024-06-07T11:56:00"/>
    <n v="55"/>
    <n v="165"/>
    <n v="1"/>
    <x v="0"/>
    <x v="6"/>
    <n v="356.42"/>
    <n v="110"/>
    <n v="0.33333333333333331"/>
    <s v="Inefficient"/>
    <s v="Very Long"/>
    <s v="Major Delay"/>
  </r>
  <r>
    <x v="1466"/>
    <x v="3"/>
    <x v="1466"/>
    <x v="0"/>
    <x v="0"/>
    <x v="3"/>
    <s v="EMP_50"/>
    <d v="2024-03-29T06:41:00"/>
    <d v="2024-03-29T09:57:00"/>
    <n v="84"/>
    <n v="196"/>
    <n v="1"/>
    <x v="0"/>
    <x v="4"/>
    <n v="481.66"/>
    <n v="112"/>
    <n v="0.42857142857142855"/>
    <s v="Inefficient"/>
    <s v="Very Long"/>
    <s v="Major Delay"/>
  </r>
  <r>
    <x v="1467"/>
    <x v="1"/>
    <x v="1467"/>
    <x v="1"/>
    <x v="2"/>
    <x v="2"/>
    <s v="EMP_25"/>
    <d v="2024-09-09T16:15:00"/>
    <d v="2024-09-09T20:11:00"/>
    <n v="222"/>
    <n v="236"/>
    <n v="1"/>
    <x v="1"/>
    <x v="4"/>
    <n v="290.13"/>
    <n v="14"/>
    <n v="0.94067796610169496"/>
    <s v="Inefficient"/>
    <s v="Very Long"/>
    <s v="Minor Delay"/>
  </r>
  <r>
    <x v="1468"/>
    <x v="2"/>
    <x v="1468"/>
    <x v="0"/>
    <x v="3"/>
    <x v="0"/>
    <s v="EMP_90"/>
    <d v="2024-06-29T09:16:00"/>
    <d v="2024-06-29T13:59:00"/>
    <n v="166"/>
    <n v="283"/>
    <n v="1"/>
    <x v="1"/>
    <x v="9"/>
    <n v="282.91000000000003"/>
    <n v="117"/>
    <n v="0.58657243816254412"/>
    <s v="Inefficient"/>
    <s v="Very Long"/>
    <s v="Major Delay"/>
  </r>
  <r>
    <x v="1469"/>
    <x v="1"/>
    <x v="1469"/>
    <x v="4"/>
    <x v="3"/>
    <x v="4"/>
    <s v="EMP_109"/>
    <d v="2024-02-21T21:57:00"/>
    <d v="2024-02-22T01:02:00"/>
    <n v="131"/>
    <n v="185"/>
    <n v="1"/>
    <x v="0"/>
    <x v="7"/>
    <n v="155.88999999999999"/>
    <n v="54"/>
    <n v="0.70810810810810809"/>
    <s v="Inefficient"/>
    <s v="Very Long"/>
    <s v="Major Delay"/>
  </r>
  <r>
    <x v="1470"/>
    <x v="1"/>
    <x v="1470"/>
    <x v="4"/>
    <x v="0"/>
    <x v="1"/>
    <s v="EMP_46"/>
    <d v="2024-02-05T22:58:00"/>
    <d v="2024-02-06T01:15:00"/>
    <n v="27"/>
    <n v="137"/>
    <n v="1"/>
    <x v="1"/>
    <x v="4"/>
    <n v="428.59"/>
    <n v="110"/>
    <n v="0.19708029197080293"/>
    <s v="Inefficient"/>
    <s v="Very Long"/>
    <s v="Major Delay"/>
  </r>
  <r>
    <x v="1471"/>
    <x v="4"/>
    <x v="1471"/>
    <x v="0"/>
    <x v="1"/>
    <x v="0"/>
    <s v="EMP_51"/>
    <d v="2024-06-21T15:55:00"/>
    <d v="2024-06-21T18:59:00"/>
    <n v="151"/>
    <n v="184"/>
    <n v="1"/>
    <x v="0"/>
    <x v="1"/>
    <n v="331.49"/>
    <n v="33"/>
    <n v="0.82065217391304346"/>
    <s v="Inefficient"/>
    <s v="Very Long"/>
    <s v="Major Delay"/>
  </r>
  <r>
    <x v="1472"/>
    <x v="0"/>
    <x v="1472"/>
    <x v="2"/>
    <x v="1"/>
    <x v="2"/>
    <s v="EMP_82"/>
    <d v="2024-05-01T01:51:00"/>
    <d v="2024-05-01T03:16:00"/>
    <n v="37"/>
    <n v="85"/>
    <n v="1"/>
    <x v="0"/>
    <x v="2"/>
    <n v="357.76"/>
    <n v="48"/>
    <n v="0.43529411764705883"/>
    <s v="Inefficient"/>
    <s v="Long"/>
    <s v="Major Delay"/>
  </r>
  <r>
    <x v="1473"/>
    <x v="0"/>
    <x v="1473"/>
    <x v="4"/>
    <x v="1"/>
    <x v="4"/>
    <s v="EMP_46"/>
    <d v="2024-08-09T11:24:00"/>
    <d v="2024-08-09T15:18:00"/>
    <n v="227"/>
    <n v="234"/>
    <n v="1"/>
    <x v="0"/>
    <x v="7"/>
    <n v="242.25"/>
    <n v="7"/>
    <n v="0.97008547008547008"/>
    <s v="Inefficient"/>
    <s v="Very Long"/>
    <s v="Minor Delay"/>
  </r>
  <r>
    <x v="1474"/>
    <x v="2"/>
    <x v="1474"/>
    <x v="3"/>
    <x v="1"/>
    <x v="1"/>
    <s v="EMP_115"/>
    <d v="2024-11-04T21:11:00"/>
    <d v="2024-11-04T23:19:00"/>
    <n v="71"/>
    <n v="128"/>
    <n v="1"/>
    <x v="2"/>
    <x v="1"/>
    <n v="250.31"/>
    <n v="57"/>
    <n v="0.5546875"/>
    <s v="Inefficient"/>
    <s v="Very Long"/>
    <s v="Major Delay"/>
  </r>
  <r>
    <x v="1475"/>
    <x v="4"/>
    <x v="1475"/>
    <x v="0"/>
    <x v="2"/>
    <x v="0"/>
    <s v="EMP_95"/>
    <d v="2024-03-07T18:18:00"/>
    <d v="2024-03-07T21:20:00"/>
    <n v="168"/>
    <n v="182"/>
    <n v="1"/>
    <x v="2"/>
    <x v="3"/>
    <n v="172.78"/>
    <n v="14"/>
    <n v="0.92307692307692313"/>
    <s v="Inefficient"/>
    <s v="Very Long"/>
    <s v="Minor Delay"/>
  </r>
  <r>
    <x v="1476"/>
    <x v="0"/>
    <x v="1476"/>
    <x v="2"/>
    <x v="1"/>
    <x v="3"/>
    <s v="EMP_38"/>
    <d v="2024-10-28T07:05:00"/>
    <d v="2024-10-28T09:13:00"/>
    <n v="115"/>
    <n v="128"/>
    <n v="1"/>
    <x v="1"/>
    <x v="9"/>
    <n v="254.65"/>
    <n v="13"/>
    <n v="0.8984375"/>
    <s v="Inefficient"/>
    <s v="Very Long"/>
    <s v="Minor Delay"/>
  </r>
  <r>
    <x v="1477"/>
    <x v="4"/>
    <x v="1477"/>
    <x v="4"/>
    <x v="2"/>
    <x v="0"/>
    <s v="EMP_102"/>
    <d v="2024-02-04T01:37:00"/>
    <d v="2024-02-04T04:23:00"/>
    <n v="129"/>
    <n v="166"/>
    <n v="1"/>
    <x v="0"/>
    <x v="9"/>
    <n v="450.55"/>
    <n v="37"/>
    <n v="0.77710843373493976"/>
    <s v="Inefficient"/>
    <s v="Very Long"/>
    <s v="Major Delay"/>
  </r>
  <r>
    <x v="1478"/>
    <x v="1"/>
    <x v="1478"/>
    <x v="3"/>
    <x v="2"/>
    <x v="4"/>
    <s v="EMP_29"/>
    <d v="2024-08-06T11:53:00"/>
    <d v="2024-08-06T14:18:00"/>
    <n v="54"/>
    <n v="145"/>
    <n v="1"/>
    <x v="1"/>
    <x v="4"/>
    <n v="313.94"/>
    <n v="91"/>
    <n v="0.3724137931034483"/>
    <s v="Inefficient"/>
    <s v="Very Long"/>
    <s v="Major Delay"/>
  </r>
  <r>
    <x v="1479"/>
    <x v="1"/>
    <x v="1479"/>
    <x v="4"/>
    <x v="1"/>
    <x v="4"/>
    <s v="EMP_76"/>
    <d v="2024-12-08T06:49:00"/>
    <d v="2024-12-08T08:35:00"/>
    <n v="65"/>
    <n v="106"/>
    <n v="1"/>
    <x v="2"/>
    <x v="4"/>
    <n v="441.09"/>
    <n v="41"/>
    <n v="0.6132075471698113"/>
    <s v="Inefficient"/>
    <s v="Long"/>
    <s v="Major Delay"/>
  </r>
  <r>
    <x v="1480"/>
    <x v="3"/>
    <x v="1480"/>
    <x v="0"/>
    <x v="3"/>
    <x v="3"/>
    <s v="EMP_44"/>
    <d v="2024-03-07T02:11:00"/>
    <d v="2024-03-07T04:15:00"/>
    <n v="30"/>
    <n v="124"/>
    <n v="1"/>
    <x v="2"/>
    <x v="0"/>
    <n v="147.16"/>
    <n v="94"/>
    <n v="0.24193548387096775"/>
    <s v="Inefficient"/>
    <s v="Very Long"/>
    <s v="Major Delay"/>
  </r>
  <r>
    <x v="1481"/>
    <x v="4"/>
    <x v="1481"/>
    <x v="1"/>
    <x v="1"/>
    <x v="3"/>
    <s v="EMP_147"/>
    <d v="2024-06-15T00:47:00"/>
    <d v="2024-06-15T02:31:00"/>
    <n v="100"/>
    <n v="104"/>
    <n v="1"/>
    <x v="2"/>
    <x v="2"/>
    <n v="498.35"/>
    <n v="4"/>
    <n v="0.96153846153846156"/>
    <s v="Inefficient"/>
    <s v="Long"/>
    <s v="Minor Delay"/>
  </r>
  <r>
    <x v="1482"/>
    <x v="1"/>
    <x v="1482"/>
    <x v="3"/>
    <x v="1"/>
    <x v="3"/>
    <s v="EMP_88"/>
    <d v="2024-10-08T15:18:00"/>
    <d v="2024-10-08T20:03:00"/>
    <n v="185"/>
    <n v="285"/>
    <n v="1"/>
    <x v="0"/>
    <x v="4"/>
    <n v="71.83"/>
    <n v="100"/>
    <n v="0.64912280701754388"/>
    <s v="Inefficient"/>
    <s v="Very Long"/>
    <s v="Major Delay"/>
  </r>
  <r>
    <x v="1483"/>
    <x v="0"/>
    <x v="1483"/>
    <x v="1"/>
    <x v="0"/>
    <x v="4"/>
    <s v="EMP_97"/>
    <d v="2024-03-10T22:12:00"/>
    <d v="2024-03-11T03:51:00"/>
    <n v="238"/>
    <n v="339"/>
    <n v="1"/>
    <x v="0"/>
    <x v="3"/>
    <n v="212.94"/>
    <n v="101"/>
    <n v="0.70206489675516226"/>
    <s v="Inefficient"/>
    <s v="Very Long"/>
    <s v="Major Delay"/>
  </r>
  <r>
    <x v="1484"/>
    <x v="0"/>
    <x v="1484"/>
    <x v="4"/>
    <x v="3"/>
    <x v="1"/>
    <s v="EMP_137"/>
    <d v="2024-07-08T23:32:00"/>
    <d v="2024-07-09T04:45:00"/>
    <n v="232"/>
    <n v="313"/>
    <n v="1"/>
    <x v="2"/>
    <x v="0"/>
    <n v="292.45"/>
    <n v="81"/>
    <n v="0.74121405750798719"/>
    <s v="Inefficient"/>
    <s v="Very Long"/>
    <s v="Major Delay"/>
  </r>
  <r>
    <x v="1485"/>
    <x v="2"/>
    <x v="1485"/>
    <x v="0"/>
    <x v="1"/>
    <x v="3"/>
    <s v="EMP_121"/>
    <d v="2024-04-12T19:18:00"/>
    <d v="2024-04-12T23:59:00"/>
    <n v="193"/>
    <n v="281"/>
    <n v="1"/>
    <x v="2"/>
    <x v="0"/>
    <n v="128.66"/>
    <n v="88"/>
    <n v="0.68683274021352314"/>
    <s v="Inefficient"/>
    <s v="Very Long"/>
    <s v="Major Delay"/>
  </r>
  <r>
    <x v="1486"/>
    <x v="4"/>
    <x v="1486"/>
    <x v="0"/>
    <x v="1"/>
    <x v="1"/>
    <s v="EMP_68"/>
    <d v="2024-05-09T20:51:00"/>
    <d v="2024-05-10T01:04:00"/>
    <n v="209"/>
    <n v="253"/>
    <n v="1"/>
    <x v="1"/>
    <x v="1"/>
    <n v="136.54"/>
    <n v="44"/>
    <n v="0.82608695652173914"/>
    <s v="Inefficient"/>
    <s v="Very Long"/>
    <s v="Major Delay"/>
  </r>
  <r>
    <x v="1487"/>
    <x v="0"/>
    <x v="1487"/>
    <x v="3"/>
    <x v="3"/>
    <x v="2"/>
    <s v="EMP_17"/>
    <d v="2024-10-31T14:10:00"/>
    <d v="2024-10-31T17:24:00"/>
    <n v="120"/>
    <n v="194"/>
    <n v="1"/>
    <x v="2"/>
    <x v="1"/>
    <n v="380.06"/>
    <n v="74"/>
    <n v="0.61855670103092786"/>
    <s v="Inefficient"/>
    <s v="Very Long"/>
    <s v="Major Delay"/>
  </r>
  <r>
    <x v="1488"/>
    <x v="3"/>
    <x v="1488"/>
    <x v="2"/>
    <x v="3"/>
    <x v="0"/>
    <s v="EMP_139"/>
    <d v="2024-02-19T11:00:00"/>
    <d v="2024-02-19T13:19:00"/>
    <n v="38"/>
    <n v="139"/>
    <n v="1"/>
    <x v="0"/>
    <x v="5"/>
    <n v="473.68"/>
    <n v="101"/>
    <n v="0.2733812949640288"/>
    <s v="Inefficient"/>
    <s v="Very Long"/>
    <s v="Major Delay"/>
  </r>
  <r>
    <x v="1489"/>
    <x v="1"/>
    <x v="1489"/>
    <x v="3"/>
    <x v="1"/>
    <x v="4"/>
    <s v="EMP_7"/>
    <d v="2024-10-04T20:40:00"/>
    <d v="2024-10-04T22:49:00"/>
    <n v="69"/>
    <n v="129"/>
    <n v="1"/>
    <x v="1"/>
    <x v="2"/>
    <n v="161.56"/>
    <n v="60"/>
    <n v="0.53488372093023251"/>
    <s v="Inefficient"/>
    <s v="Very Long"/>
    <s v="Major Delay"/>
  </r>
  <r>
    <x v="1490"/>
    <x v="3"/>
    <x v="1490"/>
    <x v="3"/>
    <x v="3"/>
    <x v="1"/>
    <s v="EMP_116"/>
    <d v="2024-10-04T23:01:00"/>
    <d v="2024-10-05T00:02:00"/>
    <n v="40"/>
    <n v="61"/>
    <n v="1"/>
    <x v="1"/>
    <x v="1"/>
    <n v="331.21"/>
    <n v="21"/>
    <n v="0.65573770491803274"/>
    <s v="Inefficient"/>
    <s v="Long"/>
    <s v="Minor Delay"/>
  </r>
  <r>
    <x v="1491"/>
    <x v="0"/>
    <x v="1491"/>
    <x v="1"/>
    <x v="0"/>
    <x v="1"/>
    <s v="EMP_61"/>
    <d v="2024-04-10T19:36:00"/>
    <d v="2024-04-10T19:57:00"/>
    <n v="25"/>
    <n v="21"/>
    <n v="0"/>
    <x v="0"/>
    <x v="7"/>
    <n v="176.33"/>
    <n v="-4"/>
    <n v="1.1904761904761905"/>
    <s v="Efficient"/>
    <s v="Short"/>
    <s v="On Time"/>
  </r>
  <r>
    <x v="1492"/>
    <x v="4"/>
    <x v="1492"/>
    <x v="4"/>
    <x v="0"/>
    <x v="4"/>
    <s v="EMP_41"/>
    <d v="2024-09-04T12:41:00"/>
    <d v="2024-09-04T15:31:00"/>
    <n v="59"/>
    <n v="170"/>
    <n v="1"/>
    <x v="0"/>
    <x v="3"/>
    <n v="382.96"/>
    <n v="111"/>
    <n v="0.34705882352941175"/>
    <s v="Inefficient"/>
    <s v="Very Long"/>
    <s v="Major Delay"/>
  </r>
  <r>
    <x v="1493"/>
    <x v="3"/>
    <x v="1493"/>
    <x v="2"/>
    <x v="0"/>
    <x v="1"/>
    <s v="EMP_47"/>
    <d v="2024-06-17T02:26:00"/>
    <d v="2024-06-17T05:20:00"/>
    <n v="154"/>
    <n v="174"/>
    <n v="1"/>
    <x v="0"/>
    <x v="3"/>
    <n v="262.05"/>
    <n v="20"/>
    <n v="0.88505747126436785"/>
    <s v="Inefficient"/>
    <s v="Very Long"/>
    <s v="Minor Delay"/>
  </r>
  <r>
    <x v="1494"/>
    <x v="1"/>
    <x v="1494"/>
    <x v="3"/>
    <x v="3"/>
    <x v="4"/>
    <s v="EMP_59"/>
    <d v="2024-08-23T12:42:00"/>
    <d v="2024-08-23T15:37:00"/>
    <n v="159"/>
    <n v="175"/>
    <n v="1"/>
    <x v="2"/>
    <x v="3"/>
    <n v="100.82"/>
    <n v="16"/>
    <n v="0.90857142857142859"/>
    <s v="Inefficient"/>
    <s v="Very Long"/>
    <s v="Minor Delay"/>
  </r>
  <r>
    <x v="1495"/>
    <x v="4"/>
    <x v="1495"/>
    <x v="1"/>
    <x v="0"/>
    <x v="0"/>
    <s v="EMP_119"/>
    <d v="2024-01-18T11:56:00"/>
    <d v="2024-01-18T14:23:00"/>
    <n v="104"/>
    <n v="147"/>
    <n v="1"/>
    <x v="2"/>
    <x v="1"/>
    <n v="62.94"/>
    <n v="43"/>
    <n v="0.70748299319727892"/>
    <s v="Inefficient"/>
    <s v="Very Long"/>
    <s v="Major Delay"/>
  </r>
  <r>
    <x v="1496"/>
    <x v="4"/>
    <x v="1496"/>
    <x v="2"/>
    <x v="2"/>
    <x v="2"/>
    <s v="EMP_78"/>
    <d v="2024-09-10T12:05:00"/>
    <d v="2024-09-10T15:53:00"/>
    <n v="188"/>
    <n v="228"/>
    <n v="1"/>
    <x v="2"/>
    <x v="9"/>
    <n v="330.85"/>
    <n v="40"/>
    <n v="0.82456140350877194"/>
    <s v="Inefficient"/>
    <s v="Very Long"/>
    <s v="Major Delay"/>
  </r>
  <r>
    <x v="1497"/>
    <x v="0"/>
    <x v="1497"/>
    <x v="2"/>
    <x v="3"/>
    <x v="0"/>
    <s v="EMP_128"/>
    <d v="2024-03-26T06:42:00"/>
    <d v="2024-03-26T07:43:00"/>
    <n v="36"/>
    <n v="61"/>
    <n v="1"/>
    <x v="0"/>
    <x v="7"/>
    <n v="237.89"/>
    <n v="25"/>
    <n v="0.5901639344262295"/>
    <s v="Inefficient"/>
    <s v="Long"/>
    <s v="Minor Delay"/>
  </r>
  <r>
    <x v="1498"/>
    <x v="3"/>
    <x v="1498"/>
    <x v="4"/>
    <x v="0"/>
    <x v="4"/>
    <s v="EMP_69"/>
    <d v="2024-02-25T11:31:00"/>
    <d v="2024-02-25T13:47:00"/>
    <n v="126"/>
    <n v="136"/>
    <n v="1"/>
    <x v="2"/>
    <x v="1"/>
    <n v="228.89"/>
    <n v="10"/>
    <n v="0.92647058823529416"/>
    <s v="Inefficient"/>
    <s v="Very Long"/>
    <s v="Minor Delay"/>
  </r>
  <r>
    <x v="1499"/>
    <x v="3"/>
    <x v="1499"/>
    <x v="4"/>
    <x v="0"/>
    <x v="4"/>
    <s v="EMP_51"/>
    <d v="2024-11-21T04:19:00"/>
    <d v="2024-11-21T06:33:00"/>
    <n v="43"/>
    <n v="134"/>
    <n v="1"/>
    <x v="0"/>
    <x v="5"/>
    <n v="278.98"/>
    <n v="91"/>
    <n v="0.32089552238805968"/>
    <s v="Inefficient"/>
    <s v="Very Long"/>
    <s v="Major Delay"/>
  </r>
  <r>
    <x v="1500"/>
    <x v="3"/>
    <x v="1500"/>
    <x v="4"/>
    <x v="1"/>
    <x v="0"/>
    <s v="EMP_42"/>
    <d v="2024-01-14T00:29:00"/>
    <d v="2024-01-14T02:01:00"/>
    <n v="15"/>
    <n v="92"/>
    <n v="1"/>
    <x v="1"/>
    <x v="8"/>
    <n v="304.87"/>
    <n v="77"/>
    <n v="0.16304347826086957"/>
    <s v="Inefficient"/>
    <s v="Long"/>
    <s v="Major Delay"/>
  </r>
  <r>
    <x v="1501"/>
    <x v="4"/>
    <x v="1501"/>
    <x v="0"/>
    <x v="3"/>
    <x v="2"/>
    <s v="EMP_8"/>
    <d v="2024-01-19T20:20:00"/>
    <d v="2024-01-20T00:07:00"/>
    <n v="184"/>
    <n v="227"/>
    <n v="1"/>
    <x v="0"/>
    <x v="6"/>
    <n v="459.3"/>
    <n v="43"/>
    <n v="0.81057268722466957"/>
    <s v="Inefficient"/>
    <s v="Very Long"/>
    <s v="Major Delay"/>
  </r>
  <r>
    <x v="1502"/>
    <x v="1"/>
    <x v="1502"/>
    <x v="3"/>
    <x v="3"/>
    <x v="3"/>
    <s v="EMP_149"/>
    <d v="2024-10-17T11:37:00"/>
    <d v="2024-10-17T14:51:00"/>
    <n v="131"/>
    <n v="194"/>
    <n v="1"/>
    <x v="1"/>
    <x v="8"/>
    <n v="319.18"/>
    <n v="63"/>
    <n v="0.67525773195876293"/>
    <s v="Inefficient"/>
    <s v="Very Long"/>
    <s v="Major Delay"/>
  </r>
  <r>
    <x v="1503"/>
    <x v="1"/>
    <x v="1503"/>
    <x v="0"/>
    <x v="2"/>
    <x v="3"/>
    <s v="EMP_11"/>
    <d v="2024-10-27T13:46:00"/>
    <d v="2024-10-27T17:09:00"/>
    <n v="145"/>
    <n v="203"/>
    <n v="1"/>
    <x v="0"/>
    <x v="9"/>
    <n v="375.76"/>
    <n v="58"/>
    <n v="0.7142857142857143"/>
    <s v="Inefficient"/>
    <s v="Very Long"/>
    <s v="Major Delay"/>
  </r>
  <r>
    <x v="1504"/>
    <x v="1"/>
    <x v="1504"/>
    <x v="0"/>
    <x v="0"/>
    <x v="0"/>
    <s v="EMP_35"/>
    <d v="2024-02-02T16:18:00"/>
    <d v="2024-02-02T18:06:00"/>
    <n v="10"/>
    <n v="108"/>
    <n v="1"/>
    <x v="2"/>
    <x v="7"/>
    <n v="450.48"/>
    <n v="98"/>
    <n v="9.2592592592592587E-2"/>
    <s v="Inefficient"/>
    <s v="Long"/>
    <s v="Major Delay"/>
  </r>
  <r>
    <x v="1505"/>
    <x v="4"/>
    <x v="1505"/>
    <x v="4"/>
    <x v="3"/>
    <x v="0"/>
    <s v="EMP_87"/>
    <d v="2024-07-20T05:48:00"/>
    <d v="2024-07-20T08:04:00"/>
    <n v="60"/>
    <n v="136"/>
    <n v="1"/>
    <x v="1"/>
    <x v="0"/>
    <n v="427.33"/>
    <n v="76"/>
    <n v="0.44117647058823528"/>
    <s v="Inefficient"/>
    <s v="Very Long"/>
    <s v="Major Delay"/>
  </r>
  <r>
    <x v="1506"/>
    <x v="1"/>
    <x v="1506"/>
    <x v="2"/>
    <x v="0"/>
    <x v="1"/>
    <s v="EMP_77"/>
    <d v="2024-09-14T15:44:00"/>
    <d v="2024-09-14T17:22:00"/>
    <n v="98"/>
    <n v="98"/>
    <n v="0"/>
    <x v="0"/>
    <x v="9"/>
    <n v="319.64"/>
    <n v="0"/>
    <n v="1"/>
    <s v="On Target"/>
    <s v="Long"/>
    <s v="On Time"/>
  </r>
  <r>
    <x v="1507"/>
    <x v="4"/>
    <x v="1507"/>
    <x v="2"/>
    <x v="0"/>
    <x v="3"/>
    <s v="EMP_133"/>
    <d v="2024-02-17T12:59:00"/>
    <d v="2024-02-17T16:59:00"/>
    <n v="195"/>
    <n v="240"/>
    <n v="1"/>
    <x v="0"/>
    <x v="3"/>
    <n v="458.5"/>
    <n v="45"/>
    <n v="0.8125"/>
    <s v="Inefficient"/>
    <s v="Very Long"/>
    <s v="Major Delay"/>
  </r>
  <r>
    <x v="1508"/>
    <x v="3"/>
    <x v="1508"/>
    <x v="1"/>
    <x v="2"/>
    <x v="0"/>
    <s v="EMP_58"/>
    <d v="2024-06-03T11:51:00"/>
    <d v="2024-06-03T16:56:00"/>
    <n v="239"/>
    <n v="305"/>
    <n v="1"/>
    <x v="0"/>
    <x v="2"/>
    <n v="158.16999999999999"/>
    <n v="66"/>
    <n v="0.78360655737704921"/>
    <s v="Inefficient"/>
    <s v="Very Long"/>
    <s v="Major Delay"/>
  </r>
  <r>
    <x v="1509"/>
    <x v="4"/>
    <x v="1509"/>
    <x v="2"/>
    <x v="2"/>
    <x v="1"/>
    <s v="EMP_113"/>
    <d v="2024-04-17T13:24:00"/>
    <d v="2024-04-17T16:53:00"/>
    <n v="154"/>
    <n v="209"/>
    <n v="1"/>
    <x v="1"/>
    <x v="2"/>
    <n v="56.21"/>
    <n v="55"/>
    <n v="0.73684210526315785"/>
    <s v="Inefficient"/>
    <s v="Very Long"/>
    <s v="Major Delay"/>
  </r>
  <r>
    <x v="1510"/>
    <x v="0"/>
    <x v="1510"/>
    <x v="3"/>
    <x v="0"/>
    <x v="0"/>
    <s v="EMP_61"/>
    <d v="2024-06-27T10:17:00"/>
    <d v="2024-06-27T14:30:00"/>
    <n v="152"/>
    <n v="253"/>
    <n v="1"/>
    <x v="1"/>
    <x v="5"/>
    <n v="487.29"/>
    <n v="101"/>
    <n v="0.60079051383399207"/>
    <s v="Inefficient"/>
    <s v="Very Long"/>
    <s v="Major Delay"/>
  </r>
  <r>
    <x v="1511"/>
    <x v="4"/>
    <x v="1511"/>
    <x v="3"/>
    <x v="3"/>
    <x v="1"/>
    <s v="EMP_122"/>
    <d v="2024-02-12T03:12:00"/>
    <d v="2024-02-12T04:40:00"/>
    <n v="33"/>
    <n v="88"/>
    <n v="1"/>
    <x v="0"/>
    <x v="7"/>
    <n v="176.84"/>
    <n v="55"/>
    <n v="0.375"/>
    <s v="Inefficient"/>
    <s v="Long"/>
    <s v="Major Delay"/>
  </r>
  <r>
    <x v="1512"/>
    <x v="3"/>
    <x v="1512"/>
    <x v="4"/>
    <x v="1"/>
    <x v="4"/>
    <s v="EMP_65"/>
    <d v="2024-10-24T03:05:00"/>
    <d v="2024-10-24T06:39:00"/>
    <n v="211"/>
    <n v="214"/>
    <n v="1"/>
    <x v="2"/>
    <x v="7"/>
    <n v="244.16"/>
    <n v="3"/>
    <n v="0.98598130841121501"/>
    <s v="Inefficient"/>
    <s v="Very Long"/>
    <s v="Minor Delay"/>
  </r>
  <r>
    <x v="1513"/>
    <x v="1"/>
    <x v="1513"/>
    <x v="3"/>
    <x v="2"/>
    <x v="2"/>
    <s v="EMP_121"/>
    <d v="2024-03-14T17:46:00"/>
    <d v="2024-03-14T20:09:00"/>
    <n v="72"/>
    <n v="143"/>
    <n v="1"/>
    <x v="0"/>
    <x v="1"/>
    <n v="228.27"/>
    <n v="71"/>
    <n v="0.50349650349650354"/>
    <s v="Inefficient"/>
    <s v="Very Long"/>
    <s v="Major Delay"/>
  </r>
  <r>
    <x v="1514"/>
    <x v="0"/>
    <x v="1514"/>
    <x v="0"/>
    <x v="3"/>
    <x v="3"/>
    <s v="EMP_16"/>
    <d v="2024-07-05T03:16:00"/>
    <d v="2024-07-05T05:38:00"/>
    <n v="105"/>
    <n v="142"/>
    <n v="1"/>
    <x v="1"/>
    <x v="3"/>
    <n v="153.19999999999999"/>
    <n v="37"/>
    <n v="0.73943661971830987"/>
    <s v="Inefficient"/>
    <s v="Very Long"/>
    <s v="Major Delay"/>
  </r>
  <r>
    <x v="1515"/>
    <x v="4"/>
    <x v="1515"/>
    <x v="1"/>
    <x v="1"/>
    <x v="1"/>
    <s v="EMP_6"/>
    <d v="2024-09-06T19:29:00"/>
    <d v="2024-09-06T23:37:00"/>
    <n v="173"/>
    <n v="248"/>
    <n v="1"/>
    <x v="0"/>
    <x v="9"/>
    <n v="420.38"/>
    <n v="75"/>
    <n v="0.69758064516129037"/>
    <s v="Inefficient"/>
    <s v="Very Long"/>
    <s v="Major Delay"/>
  </r>
  <r>
    <x v="1516"/>
    <x v="2"/>
    <x v="1516"/>
    <x v="0"/>
    <x v="1"/>
    <x v="2"/>
    <s v="EMP_83"/>
    <d v="2024-06-17T11:35:00"/>
    <d v="2024-06-17T14:58:00"/>
    <n v="132"/>
    <n v="203"/>
    <n v="1"/>
    <x v="0"/>
    <x v="9"/>
    <n v="85.75"/>
    <n v="71"/>
    <n v="0.65024630541871919"/>
    <s v="Inefficient"/>
    <s v="Very Long"/>
    <s v="Major Delay"/>
  </r>
  <r>
    <x v="1517"/>
    <x v="3"/>
    <x v="1517"/>
    <x v="0"/>
    <x v="2"/>
    <x v="0"/>
    <s v="EMP_3"/>
    <d v="2024-07-19T23:38:00"/>
    <d v="2024-07-20T03:13:00"/>
    <n v="123"/>
    <n v="215"/>
    <n v="1"/>
    <x v="0"/>
    <x v="8"/>
    <n v="402.94"/>
    <n v="92"/>
    <n v="0.5720930232558139"/>
    <s v="Inefficient"/>
    <s v="Very Long"/>
    <s v="Major Delay"/>
  </r>
  <r>
    <x v="1518"/>
    <x v="0"/>
    <x v="1518"/>
    <x v="4"/>
    <x v="1"/>
    <x v="3"/>
    <s v="EMP_125"/>
    <d v="2024-07-30T16:33:00"/>
    <d v="2024-07-30T18:57:00"/>
    <n v="132"/>
    <n v="144"/>
    <n v="1"/>
    <x v="0"/>
    <x v="1"/>
    <n v="326.5"/>
    <n v="12"/>
    <n v="0.91666666666666663"/>
    <s v="Inefficient"/>
    <s v="Very Long"/>
    <s v="Minor Delay"/>
  </r>
  <r>
    <x v="1519"/>
    <x v="4"/>
    <x v="1519"/>
    <x v="2"/>
    <x v="2"/>
    <x v="3"/>
    <s v="EMP_133"/>
    <d v="2024-10-24T00:45:00"/>
    <d v="2024-10-24T03:22:00"/>
    <n v="122"/>
    <n v="157"/>
    <n v="1"/>
    <x v="1"/>
    <x v="3"/>
    <n v="176.2"/>
    <n v="35"/>
    <n v="0.77707006369426757"/>
    <s v="Inefficient"/>
    <s v="Very Long"/>
    <s v="Major Delay"/>
  </r>
  <r>
    <x v="1520"/>
    <x v="3"/>
    <x v="1520"/>
    <x v="0"/>
    <x v="1"/>
    <x v="1"/>
    <s v="EMP_87"/>
    <d v="2024-12-10T12:58:00"/>
    <d v="2024-12-10T14:48:00"/>
    <n v="61"/>
    <n v="110"/>
    <n v="1"/>
    <x v="1"/>
    <x v="8"/>
    <n v="484.38"/>
    <n v="49"/>
    <n v="0.55454545454545456"/>
    <s v="Inefficient"/>
    <s v="Long"/>
    <s v="Major Delay"/>
  </r>
  <r>
    <x v="1521"/>
    <x v="2"/>
    <x v="1521"/>
    <x v="3"/>
    <x v="3"/>
    <x v="0"/>
    <s v="EMP_30"/>
    <d v="2024-11-15T12:34:00"/>
    <d v="2024-11-15T17:10:00"/>
    <n v="170"/>
    <n v="276"/>
    <n v="1"/>
    <x v="2"/>
    <x v="5"/>
    <n v="280.87"/>
    <n v="106"/>
    <n v="0.61594202898550721"/>
    <s v="Inefficient"/>
    <s v="Very Long"/>
    <s v="Major Delay"/>
  </r>
  <r>
    <x v="1522"/>
    <x v="0"/>
    <x v="1522"/>
    <x v="3"/>
    <x v="3"/>
    <x v="3"/>
    <s v="EMP_149"/>
    <d v="2024-07-23T12:19:00"/>
    <d v="2024-07-23T14:46:00"/>
    <n v="38"/>
    <n v="147"/>
    <n v="1"/>
    <x v="2"/>
    <x v="3"/>
    <n v="133.36000000000001"/>
    <n v="109"/>
    <n v="0.25850340136054423"/>
    <s v="Inefficient"/>
    <s v="Very Long"/>
    <s v="Major Delay"/>
  </r>
  <r>
    <x v="1523"/>
    <x v="3"/>
    <x v="1523"/>
    <x v="3"/>
    <x v="0"/>
    <x v="2"/>
    <s v="EMP_146"/>
    <d v="2024-11-30T05:35:00"/>
    <d v="2024-11-30T07:27:00"/>
    <n v="67"/>
    <n v="112"/>
    <n v="1"/>
    <x v="1"/>
    <x v="2"/>
    <n v="348.42"/>
    <n v="45"/>
    <n v="0.5982142857142857"/>
    <s v="Inefficient"/>
    <s v="Long"/>
    <s v="Major Delay"/>
  </r>
  <r>
    <x v="1524"/>
    <x v="3"/>
    <x v="1524"/>
    <x v="4"/>
    <x v="1"/>
    <x v="1"/>
    <s v="EMP_9"/>
    <d v="2024-09-22T22:36:00"/>
    <d v="2024-09-23T03:22:00"/>
    <n v="218"/>
    <n v="286"/>
    <n v="1"/>
    <x v="0"/>
    <x v="6"/>
    <n v="137.81"/>
    <n v="68"/>
    <n v="0.76223776223776218"/>
    <s v="Inefficient"/>
    <s v="Very Long"/>
    <s v="Major Delay"/>
  </r>
  <r>
    <x v="1525"/>
    <x v="4"/>
    <x v="1525"/>
    <x v="2"/>
    <x v="3"/>
    <x v="3"/>
    <s v="EMP_135"/>
    <d v="2024-06-08T23:37:00"/>
    <d v="2024-06-09T03:13:00"/>
    <n v="109"/>
    <n v="216"/>
    <n v="1"/>
    <x v="0"/>
    <x v="3"/>
    <n v="495.57"/>
    <n v="107"/>
    <n v="0.50462962962962965"/>
    <s v="Inefficient"/>
    <s v="Very Long"/>
    <s v="Major Delay"/>
  </r>
  <r>
    <x v="1526"/>
    <x v="2"/>
    <x v="1526"/>
    <x v="0"/>
    <x v="2"/>
    <x v="3"/>
    <s v="EMP_84"/>
    <d v="2024-01-09T16:04:00"/>
    <d v="2024-01-09T19:05:00"/>
    <n v="87"/>
    <n v="181"/>
    <n v="1"/>
    <x v="0"/>
    <x v="1"/>
    <n v="413.88"/>
    <n v="94"/>
    <n v="0.48066298342541436"/>
    <s v="Inefficient"/>
    <s v="Very Long"/>
    <s v="Major Delay"/>
  </r>
  <r>
    <x v="1527"/>
    <x v="3"/>
    <x v="1527"/>
    <x v="1"/>
    <x v="2"/>
    <x v="4"/>
    <s v="EMP_1"/>
    <d v="2024-04-28T04:54:00"/>
    <d v="2024-04-28T06:38:00"/>
    <n v="102"/>
    <n v="104"/>
    <n v="1"/>
    <x v="2"/>
    <x v="9"/>
    <n v="182.85"/>
    <n v="2"/>
    <n v="0.98076923076923073"/>
    <s v="Inefficient"/>
    <s v="Long"/>
    <s v="Minor Delay"/>
  </r>
  <r>
    <x v="1528"/>
    <x v="4"/>
    <x v="1528"/>
    <x v="3"/>
    <x v="2"/>
    <x v="0"/>
    <s v="EMP_32"/>
    <d v="2024-08-10T04:43:00"/>
    <d v="2024-08-10T09:28:00"/>
    <n v="239"/>
    <n v="285"/>
    <n v="1"/>
    <x v="2"/>
    <x v="1"/>
    <n v="64.7"/>
    <n v="46"/>
    <n v="0.83859649122807023"/>
    <s v="Inefficient"/>
    <s v="Very Long"/>
    <s v="Major Delay"/>
  </r>
  <r>
    <x v="1529"/>
    <x v="1"/>
    <x v="1529"/>
    <x v="1"/>
    <x v="0"/>
    <x v="0"/>
    <s v="EMP_71"/>
    <d v="2024-02-10T06:49:00"/>
    <d v="2024-02-10T10:31:00"/>
    <n v="115"/>
    <n v="222"/>
    <n v="1"/>
    <x v="2"/>
    <x v="1"/>
    <n v="359.56"/>
    <n v="107"/>
    <n v="0.51801801801801806"/>
    <s v="Inefficient"/>
    <s v="Very Long"/>
    <s v="Major Delay"/>
  </r>
  <r>
    <x v="1530"/>
    <x v="4"/>
    <x v="1530"/>
    <x v="1"/>
    <x v="3"/>
    <x v="1"/>
    <s v="EMP_50"/>
    <d v="2024-02-07T00:50:00"/>
    <d v="2024-02-07T02:19:00"/>
    <n v="20"/>
    <n v="89"/>
    <n v="1"/>
    <x v="2"/>
    <x v="7"/>
    <n v="336.35"/>
    <n v="69"/>
    <n v="0.2247191011235955"/>
    <s v="Inefficient"/>
    <s v="Long"/>
    <s v="Major Delay"/>
  </r>
  <r>
    <x v="1531"/>
    <x v="1"/>
    <x v="1531"/>
    <x v="0"/>
    <x v="0"/>
    <x v="0"/>
    <s v="EMP_39"/>
    <d v="2024-01-13T18:31:00"/>
    <d v="2024-01-13T21:07:00"/>
    <n v="82"/>
    <n v="156"/>
    <n v="1"/>
    <x v="2"/>
    <x v="3"/>
    <n v="434.15"/>
    <n v="74"/>
    <n v="0.52564102564102566"/>
    <s v="Inefficient"/>
    <s v="Very Long"/>
    <s v="Major Delay"/>
  </r>
  <r>
    <x v="1532"/>
    <x v="3"/>
    <x v="1532"/>
    <x v="0"/>
    <x v="1"/>
    <x v="0"/>
    <s v="EMP_85"/>
    <d v="2024-11-30T08:25:00"/>
    <d v="2024-11-30T09:43:00"/>
    <n v="42"/>
    <n v="78"/>
    <n v="1"/>
    <x v="1"/>
    <x v="9"/>
    <n v="304.45"/>
    <n v="36"/>
    <n v="0.53846153846153844"/>
    <s v="Inefficient"/>
    <s v="Long"/>
    <s v="Major Delay"/>
  </r>
  <r>
    <x v="1533"/>
    <x v="2"/>
    <x v="1533"/>
    <x v="1"/>
    <x v="0"/>
    <x v="0"/>
    <s v="EMP_77"/>
    <d v="2024-12-09T17:07:00"/>
    <d v="2024-12-09T19:56:00"/>
    <n v="123"/>
    <n v="169"/>
    <n v="1"/>
    <x v="0"/>
    <x v="4"/>
    <n v="317.75"/>
    <n v="46"/>
    <n v="0.72781065088757402"/>
    <s v="Inefficient"/>
    <s v="Very Long"/>
    <s v="Major Delay"/>
  </r>
  <r>
    <x v="1534"/>
    <x v="4"/>
    <x v="1534"/>
    <x v="4"/>
    <x v="0"/>
    <x v="0"/>
    <s v="EMP_15"/>
    <d v="2024-10-10T09:38:00"/>
    <d v="2024-10-10T12:53:00"/>
    <n v="154"/>
    <n v="195"/>
    <n v="1"/>
    <x v="2"/>
    <x v="3"/>
    <n v="418.57"/>
    <n v="41"/>
    <n v="0.78974358974358971"/>
    <s v="Inefficient"/>
    <s v="Very Long"/>
    <s v="Major Delay"/>
  </r>
  <r>
    <x v="1535"/>
    <x v="0"/>
    <x v="1535"/>
    <x v="4"/>
    <x v="0"/>
    <x v="4"/>
    <s v="EMP_51"/>
    <d v="2024-08-12T10:53:00"/>
    <d v="2024-08-12T14:10:00"/>
    <n v="140"/>
    <n v="197"/>
    <n v="1"/>
    <x v="1"/>
    <x v="3"/>
    <n v="341.31"/>
    <n v="57"/>
    <n v="0.71065989847715738"/>
    <s v="Inefficient"/>
    <s v="Very Long"/>
    <s v="Major Delay"/>
  </r>
  <r>
    <x v="1536"/>
    <x v="3"/>
    <x v="1536"/>
    <x v="4"/>
    <x v="2"/>
    <x v="4"/>
    <s v="EMP_148"/>
    <d v="2024-06-05T10:33:00"/>
    <d v="2024-06-05T13:40:00"/>
    <n v="169"/>
    <n v="187"/>
    <n v="1"/>
    <x v="0"/>
    <x v="1"/>
    <n v="83.62"/>
    <n v="18"/>
    <n v="0.90374331550802134"/>
    <s v="Inefficient"/>
    <s v="Very Long"/>
    <s v="Minor Delay"/>
  </r>
  <r>
    <x v="1537"/>
    <x v="4"/>
    <x v="1537"/>
    <x v="4"/>
    <x v="3"/>
    <x v="4"/>
    <s v="EMP_45"/>
    <d v="2024-07-20T10:03:00"/>
    <d v="2024-07-20T12:07:00"/>
    <n v="15"/>
    <n v="124"/>
    <n v="1"/>
    <x v="1"/>
    <x v="4"/>
    <n v="113.22"/>
    <n v="109"/>
    <n v="0.12096774193548387"/>
    <s v="Inefficient"/>
    <s v="Very Long"/>
    <s v="Major Delay"/>
  </r>
  <r>
    <x v="1538"/>
    <x v="3"/>
    <x v="1538"/>
    <x v="4"/>
    <x v="2"/>
    <x v="2"/>
    <s v="EMP_82"/>
    <d v="2024-11-06T02:06:00"/>
    <d v="2024-11-06T05:25:00"/>
    <n v="196"/>
    <n v="199"/>
    <n v="1"/>
    <x v="1"/>
    <x v="8"/>
    <n v="228.02"/>
    <n v="3"/>
    <n v="0.98492462311557794"/>
    <s v="Inefficient"/>
    <s v="Very Long"/>
    <s v="Minor Delay"/>
  </r>
  <r>
    <x v="1539"/>
    <x v="3"/>
    <x v="1539"/>
    <x v="4"/>
    <x v="1"/>
    <x v="0"/>
    <s v="EMP_4"/>
    <d v="2024-04-02T12:43:00"/>
    <d v="2024-04-02T17:07:00"/>
    <n v="180"/>
    <n v="264"/>
    <n v="1"/>
    <x v="2"/>
    <x v="8"/>
    <n v="234.55"/>
    <n v="84"/>
    <n v="0.68181818181818177"/>
    <s v="Inefficient"/>
    <s v="Very Long"/>
    <s v="Major Delay"/>
  </r>
  <r>
    <x v="1540"/>
    <x v="0"/>
    <x v="1540"/>
    <x v="0"/>
    <x v="3"/>
    <x v="2"/>
    <s v="EMP_48"/>
    <d v="2024-09-08T08:50:00"/>
    <d v="2024-09-08T12:46:00"/>
    <n v="124"/>
    <n v="236"/>
    <n v="1"/>
    <x v="0"/>
    <x v="5"/>
    <n v="418.63"/>
    <n v="112"/>
    <n v="0.52542372881355937"/>
    <s v="Inefficient"/>
    <s v="Very Long"/>
    <s v="Major Delay"/>
  </r>
  <r>
    <x v="1541"/>
    <x v="0"/>
    <x v="1541"/>
    <x v="3"/>
    <x v="3"/>
    <x v="0"/>
    <s v="EMP_146"/>
    <d v="2024-12-12T08:03:00"/>
    <d v="2024-12-12T13:06:00"/>
    <n v="223"/>
    <n v="303"/>
    <n v="1"/>
    <x v="1"/>
    <x v="5"/>
    <n v="393.98"/>
    <n v="80"/>
    <n v="0.735973597359736"/>
    <s v="Inefficient"/>
    <s v="Very Long"/>
    <s v="Major Delay"/>
  </r>
  <r>
    <x v="1542"/>
    <x v="4"/>
    <x v="1542"/>
    <x v="2"/>
    <x v="3"/>
    <x v="0"/>
    <s v="EMP_45"/>
    <d v="2024-12-18T04:38:00"/>
    <d v="2024-12-18T07:01:00"/>
    <n v="43"/>
    <n v="143"/>
    <n v="1"/>
    <x v="2"/>
    <x v="7"/>
    <n v="289.91000000000003"/>
    <n v="100"/>
    <n v="0.30069930069930068"/>
    <s v="Inefficient"/>
    <s v="Very Long"/>
    <s v="Major Delay"/>
  </r>
  <r>
    <x v="1543"/>
    <x v="0"/>
    <x v="1543"/>
    <x v="2"/>
    <x v="1"/>
    <x v="0"/>
    <s v="EMP_74"/>
    <d v="2024-01-16T03:32:00"/>
    <d v="2024-01-16T06:42:00"/>
    <n v="140"/>
    <n v="190"/>
    <n v="1"/>
    <x v="0"/>
    <x v="2"/>
    <n v="386.33"/>
    <n v="50"/>
    <n v="0.73684210526315785"/>
    <s v="Inefficient"/>
    <s v="Very Long"/>
    <s v="Major Delay"/>
  </r>
  <r>
    <x v="1544"/>
    <x v="2"/>
    <x v="1544"/>
    <x v="1"/>
    <x v="0"/>
    <x v="1"/>
    <s v="EMP_7"/>
    <d v="2024-10-16T14:25:00"/>
    <d v="2024-10-16T15:54:00"/>
    <n v="56"/>
    <n v="89"/>
    <n v="1"/>
    <x v="2"/>
    <x v="8"/>
    <n v="430.7"/>
    <n v="33"/>
    <n v="0.6292134831460674"/>
    <s v="Inefficient"/>
    <s v="Long"/>
    <s v="Major Delay"/>
  </r>
  <r>
    <x v="1545"/>
    <x v="2"/>
    <x v="1545"/>
    <x v="0"/>
    <x v="1"/>
    <x v="1"/>
    <s v="EMP_137"/>
    <d v="2024-02-04T16:18:00"/>
    <d v="2024-02-04T18:07:00"/>
    <n v="33"/>
    <n v="109"/>
    <n v="1"/>
    <x v="0"/>
    <x v="5"/>
    <n v="93.21"/>
    <n v="76"/>
    <n v="0.30275229357798167"/>
    <s v="Inefficient"/>
    <s v="Long"/>
    <s v="Major Delay"/>
  </r>
  <r>
    <x v="1546"/>
    <x v="0"/>
    <x v="1546"/>
    <x v="2"/>
    <x v="0"/>
    <x v="2"/>
    <s v="EMP_148"/>
    <d v="2024-01-07T01:44:00"/>
    <d v="2024-01-07T05:57:00"/>
    <n v="194"/>
    <n v="253"/>
    <n v="1"/>
    <x v="0"/>
    <x v="8"/>
    <n v="170.55"/>
    <n v="59"/>
    <n v="0.76679841897233203"/>
    <s v="Inefficient"/>
    <s v="Very Long"/>
    <s v="Major Delay"/>
  </r>
  <r>
    <x v="1547"/>
    <x v="0"/>
    <x v="1547"/>
    <x v="3"/>
    <x v="2"/>
    <x v="0"/>
    <s v="EMP_116"/>
    <d v="2024-01-11T21:59:00"/>
    <d v="2024-01-12T02:26:00"/>
    <n v="167"/>
    <n v="267"/>
    <n v="1"/>
    <x v="1"/>
    <x v="3"/>
    <n v="260.16000000000003"/>
    <n v="100"/>
    <n v="0.62546816479400746"/>
    <s v="Inefficient"/>
    <s v="Very Long"/>
    <s v="Major Delay"/>
  </r>
  <r>
    <x v="1548"/>
    <x v="1"/>
    <x v="1548"/>
    <x v="2"/>
    <x v="2"/>
    <x v="0"/>
    <s v="EMP_44"/>
    <d v="2024-08-17T01:22:00"/>
    <d v="2024-08-17T03:15:00"/>
    <n v="114"/>
    <n v="113"/>
    <n v="0"/>
    <x v="2"/>
    <x v="3"/>
    <n v="126.35"/>
    <n v="-1"/>
    <n v="1.0088495575221239"/>
    <s v="Efficient"/>
    <s v="Long"/>
    <s v="On Time"/>
  </r>
  <r>
    <x v="1549"/>
    <x v="3"/>
    <x v="1549"/>
    <x v="0"/>
    <x v="1"/>
    <x v="4"/>
    <s v="EMP_77"/>
    <d v="2024-11-05T05:41:00"/>
    <d v="2024-11-05T07:15:00"/>
    <n v="44"/>
    <n v="94"/>
    <n v="1"/>
    <x v="1"/>
    <x v="0"/>
    <n v="409.65"/>
    <n v="50"/>
    <n v="0.46808510638297873"/>
    <s v="Inefficient"/>
    <s v="Long"/>
    <s v="Major Delay"/>
  </r>
  <r>
    <x v="1550"/>
    <x v="2"/>
    <x v="1550"/>
    <x v="2"/>
    <x v="3"/>
    <x v="3"/>
    <s v="EMP_121"/>
    <d v="2024-10-03T08:25:00"/>
    <d v="2024-10-03T11:16:00"/>
    <n v="94"/>
    <n v="171"/>
    <n v="1"/>
    <x v="0"/>
    <x v="0"/>
    <n v="61.43"/>
    <n v="77"/>
    <n v="0.54970760233918126"/>
    <s v="Inefficient"/>
    <s v="Very Long"/>
    <s v="Major Delay"/>
  </r>
  <r>
    <x v="1551"/>
    <x v="1"/>
    <x v="1551"/>
    <x v="1"/>
    <x v="2"/>
    <x v="0"/>
    <s v="EMP_14"/>
    <d v="2024-01-29T16:34:00"/>
    <d v="2024-01-29T20:19:00"/>
    <n v="217"/>
    <n v="225"/>
    <n v="1"/>
    <x v="0"/>
    <x v="1"/>
    <n v="102.02"/>
    <n v="8"/>
    <n v="0.96444444444444444"/>
    <s v="Inefficient"/>
    <s v="Very Long"/>
    <s v="Minor Delay"/>
  </r>
  <r>
    <x v="1552"/>
    <x v="4"/>
    <x v="1552"/>
    <x v="1"/>
    <x v="2"/>
    <x v="3"/>
    <s v="EMP_113"/>
    <d v="2024-02-19T04:29:00"/>
    <d v="2024-02-19T05:58:00"/>
    <n v="53"/>
    <n v="89"/>
    <n v="1"/>
    <x v="0"/>
    <x v="4"/>
    <n v="363.98"/>
    <n v="36"/>
    <n v="0.5955056179775281"/>
    <s v="Inefficient"/>
    <s v="Long"/>
    <s v="Major Delay"/>
  </r>
  <r>
    <x v="1553"/>
    <x v="3"/>
    <x v="1553"/>
    <x v="1"/>
    <x v="1"/>
    <x v="3"/>
    <s v="EMP_138"/>
    <d v="2024-06-27T14:06:00"/>
    <d v="2024-06-27T16:46:00"/>
    <n v="128"/>
    <n v="160"/>
    <n v="1"/>
    <x v="2"/>
    <x v="1"/>
    <n v="362.73"/>
    <n v="32"/>
    <n v="0.8"/>
    <s v="Inefficient"/>
    <s v="Very Long"/>
    <s v="Major Delay"/>
  </r>
  <r>
    <x v="1554"/>
    <x v="1"/>
    <x v="1554"/>
    <x v="0"/>
    <x v="2"/>
    <x v="1"/>
    <s v="EMP_2"/>
    <d v="2024-06-15T10:50:00"/>
    <d v="2024-06-15T13:24:00"/>
    <n v="71"/>
    <n v="154"/>
    <n v="1"/>
    <x v="1"/>
    <x v="9"/>
    <n v="91.85"/>
    <n v="83"/>
    <n v="0.46103896103896103"/>
    <s v="Inefficient"/>
    <s v="Very Long"/>
    <s v="Major Delay"/>
  </r>
  <r>
    <x v="1555"/>
    <x v="3"/>
    <x v="1555"/>
    <x v="0"/>
    <x v="0"/>
    <x v="0"/>
    <s v="EMP_87"/>
    <d v="2024-10-12T18:00:00"/>
    <d v="2024-10-12T19:39:00"/>
    <n v="101"/>
    <n v="99"/>
    <n v="0"/>
    <x v="1"/>
    <x v="7"/>
    <n v="432.48"/>
    <n v="-2"/>
    <n v="1.0202020202020201"/>
    <s v="Efficient"/>
    <s v="Long"/>
    <s v="On Time"/>
  </r>
  <r>
    <x v="1556"/>
    <x v="2"/>
    <x v="1556"/>
    <x v="1"/>
    <x v="3"/>
    <x v="3"/>
    <s v="EMP_66"/>
    <d v="2024-03-13T21:32:00"/>
    <d v="2024-03-14T02:17:00"/>
    <n v="186"/>
    <n v="285"/>
    <n v="1"/>
    <x v="0"/>
    <x v="2"/>
    <n v="215.41"/>
    <n v="99"/>
    <n v="0.65263157894736845"/>
    <s v="Inefficient"/>
    <s v="Very Long"/>
    <s v="Major Delay"/>
  </r>
  <r>
    <x v="1557"/>
    <x v="2"/>
    <x v="1557"/>
    <x v="0"/>
    <x v="2"/>
    <x v="0"/>
    <s v="EMP_14"/>
    <d v="2024-05-12T04:36:00"/>
    <d v="2024-05-12T07:44:00"/>
    <n v="112"/>
    <n v="188"/>
    <n v="1"/>
    <x v="2"/>
    <x v="1"/>
    <n v="399.95"/>
    <n v="76"/>
    <n v="0.5957446808510638"/>
    <s v="Inefficient"/>
    <s v="Very Long"/>
    <s v="Major Delay"/>
  </r>
  <r>
    <x v="1558"/>
    <x v="2"/>
    <x v="1558"/>
    <x v="4"/>
    <x v="2"/>
    <x v="3"/>
    <s v="EMP_37"/>
    <d v="2024-02-13T13:33:00"/>
    <d v="2024-02-13T17:00:00"/>
    <n v="185"/>
    <n v="207"/>
    <n v="1"/>
    <x v="1"/>
    <x v="7"/>
    <n v="281.81"/>
    <n v="22"/>
    <n v="0.893719806763285"/>
    <s v="Inefficient"/>
    <s v="Very Long"/>
    <s v="Minor Delay"/>
  </r>
  <r>
    <x v="1559"/>
    <x v="1"/>
    <x v="1559"/>
    <x v="0"/>
    <x v="3"/>
    <x v="1"/>
    <s v="EMP_4"/>
    <d v="2024-06-17T19:14:00"/>
    <d v="2024-06-18T00:40:00"/>
    <n v="234"/>
    <n v="326"/>
    <n v="1"/>
    <x v="1"/>
    <x v="7"/>
    <n v="375.68"/>
    <n v="92"/>
    <n v="0.71779141104294475"/>
    <s v="Inefficient"/>
    <s v="Very Long"/>
    <s v="Major Delay"/>
  </r>
  <r>
    <x v="1560"/>
    <x v="3"/>
    <x v="1560"/>
    <x v="0"/>
    <x v="0"/>
    <x v="0"/>
    <s v="EMP_136"/>
    <d v="2024-01-05T20:43:00"/>
    <d v="2024-01-06T00:20:00"/>
    <n v="143"/>
    <n v="217"/>
    <n v="1"/>
    <x v="2"/>
    <x v="0"/>
    <n v="412.39"/>
    <n v="74"/>
    <n v="0.65898617511520741"/>
    <s v="Inefficient"/>
    <s v="Very Long"/>
    <s v="Major Delay"/>
  </r>
  <r>
    <x v="1561"/>
    <x v="3"/>
    <x v="1561"/>
    <x v="0"/>
    <x v="2"/>
    <x v="0"/>
    <s v="EMP_54"/>
    <d v="2024-09-01T23:36:00"/>
    <d v="2024-09-02T01:04:00"/>
    <n v="68"/>
    <n v="88"/>
    <n v="1"/>
    <x v="1"/>
    <x v="5"/>
    <n v="89.24"/>
    <n v="20"/>
    <n v="0.77272727272727271"/>
    <s v="Inefficient"/>
    <s v="Long"/>
    <s v="Minor Delay"/>
  </r>
  <r>
    <x v="1562"/>
    <x v="0"/>
    <x v="1562"/>
    <x v="4"/>
    <x v="0"/>
    <x v="0"/>
    <s v="EMP_125"/>
    <d v="2024-07-07T10:11:00"/>
    <d v="2024-07-07T13:00:00"/>
    <n v="98"/>
    <n v="169"/>
    <n v="1"/>
    <x v="0"/>
    <x v="4"/>
    <n v="182.69"/>
    <n v="71"/>
    <n v="0.57988165680473369"/>
    <s v="Inefficient"/>
    <s v="Very Long"/>
    <s v="Major Delay"/>
  </r>
  <r>
    <x v="1563"/>
    <x v="0"/>
    <x v="1563"/>
    <x v="3"/>
    <x v="0"/>
    <x v="0"/>
    <s v="EMP_116"/>
    <d v="2024-07-17T02:17:00"/>
    <d v="2024-07-17T07:31:00"/>
    <n v="232"/>
    <n v="314"/>
    <n v="1"/>
    <x v="1"/>
    <x v="8"/>
    <n v="321.01"/>
    <n v="82"/>
    <n v="0.73885350318471332"/>
    <s v="Inefficient"/>
    <s v="Very Long"/>
    <s v="Major Delay"/>
  </r>
  <r>
    <x v="1564"/>
    <x v="3"/>
    <x v="1564"/>
    <x v="2"/>
    <x v="3"/>
    <x v="2"/>
    <s v="EMP_132"/>
    <d v="2024-03-09T06:50:00"/>
    <d v="2024-03-09T11:33:00"/>
    <n v="237"/>
    <n v="283"/>
    <n v="1"/>
    <x v="0"/>
    <x v="4"/>
    <n v="385.95"/>
    <n v="46"/>
    <n v="0.83745583038869253"/>
    <s v="Inefficient"/>
    <s v="Very Long"/>
    <s v="Major Delay"/>
  </r>
  <r>
    <x v="1565"/>
    <x v="1"/>
    <x v="1565"/>
    <x v="4"/>
    <x v="3"/>
    <x v="1"/>
    <s v="EMP_84"/>
    <d v="2024-11-01T09:41:00"/>
    <d v="2024-11-01T12:27:00"/>
    <n v="110"/>
    <n v="166"/>
    <n v="1"/>
    <x v="2"/>
    <x v="4"/>
    <n v="302.29000000000002"/>
    <n v="56"/>
    <n v="0.66265060240963858"/>
    <s v="Inefficient"/>
    <s v="Very Long"/>
    <s v="Major Delay"/>
  </r>
  <r>
    <x v="1566"/>
    <x v="3"/>
    <x v="1566"/>
    <x v="2"/>
    <x v="3"/>
    <x v="3"/>
    <s v="EMP_150"/>
    <d v="2024-04-20T16:31:00"/>
    <d v="2024-04-20T17:27:00"/>
    <n v="29"/>
    <n v="56"/>
    <n v="1"/>
    <x v="0"/>
    <x v="9"/>
    <n v="58.15"/>
    <n v="27"/>
    <n v="0.5178571428571429"/>
    <s v="Inefficient"/>
    <s v="Medium"/>
    <s v="Minor Delay"/>
  </r>
  <r>
    <x v="1567"/>
    <x v="0"/>
    <x v="1567"/>
    <x v="2"/>
    <x v="2"/>
    <x v="0"/>
    <s v="EMP_134"/>
    <d v="2024-12-27T16:23:00"/>
    <d v="2024-12-27T19:45:00"/>
    <n v="132"/>
    <n v="202"/>
    <n v="1"/>
    <x v="1"/>
    <x v="1"/>
    <n v="99.63"/>
    <n v="70"/>
    <n v="0.65346534653465349"/>
    <s v="Inefficient"/>
    <s v="Very Long"/>
    <s v="Major Delay"/>
  </r>
  <r>
    <x v="1568"/>
    <x v="1"/>
    <x v="1568"/>
    <x v="4"/>
    <x v="2"/>
    <x v="1"/>
    <s v="EMP_95"/>
    <d v="2024-06-14T13:11:00"/>
    <d v="2024-06-14T14:43:00"/>
    <n v="55"/>
    <n v="92"/>
    <n v="1"/>
    <x v="1"/>
    <x v="0"/>
    <n v="71.56"/>
    <n v="37"/>
    <n v="0.59782608695652173"/>
    <s v="Inefficient"/>
    <s v="Long"/>
    <s v="Major Delay"/>
  </r>
  <r>
    <x v="1569"/>
    <x v="1"/>
    <x v="1569"/>
    <x v="0"/>
    <x v="2"/>
    <x v="1"/>
    <s v="EMP_19"/>
    <d v="2024-12-16T08:55:00"/>
    <d v="2024-12-16T11:30:00"/>
    <n v="138"/>
    <n v="155"/>
    <n v="1"/>
    <x v="1"/>
    <x v="9"/>
    <n v="79.36"/>
    <n v="17"/>
    <n v="0.89032258064516134"/>
    <s v="Inefficient"/>
    <s v="Very Long"/>
    <s v="Minor Delay"/>
  </r>
  <r>
    <x v="1570"/>
    <x v="3"/>
    <x v="1570"/>
    <x v="1"/>
    <x v="1"/>
    <x v="1"/>
    <s v="EMP_101"/>
    <d v="2024-12-29T23:08:00"/>
    <d v="2024-12-30T01:59:00"/>
    <n v="67"/>
    <n v="171"/>
    <n v="1"/>
    <x v="2"/>
    <x v="9"/>
    <n v="183.09"/>
    <n v="104"/>
    <n v="0.391812865497076"/>
    <s v="Inefficient"/>
    <s v="Very Long"/>
    <s v="Major Delay"/>
  </r>
  <r>
    <x v="1571"/>
    <x v="4"/>
    <x v="1571"/>
    <x v="0"/>
    <x v="1"/>
    <x v="4"/>
    <s v="EMP_49"/>
    <d v="2024-08-09T20:17:00"/>
    <d v="2024-08-10T00:03:00"/>
    <n v="230"/>
    <n v="226"/>
    <n v="0"/>
    <x v="2"/>
    <x v="3"/>
    <n v="190.76"/>
    <n v="-4"/>
    <n v="1.0176991150442478"/>
    <s v="Efficient"/>
    <s v="Very Long"/>
    <s v="On Time"/>
  </r>
  <r>
    <x v="1572"/>
    <x v="2"/>
    <x v="1572"/>
    <x v="2"/>
    <x v="0"/>
    <x v="4"/>
    <s v="EMP_107"/>
    <d v="2024-11-05T00:54:00"/>
    <d v="2024-11-05T05:44:00"/>
    <n v="235"/>
    <n v="290"/>
    <n v="1"/>
    <x v="1"/>
    <x v="9"/>
    <n v="296.36"/>
    <n v="55"/>
    <n v="0.81034482758620685"/>
    <s v="Inefficient"/>
    <s v="Very Long"/>
    <s v="Major Delay"/>
  </r>
  <r>
    <x v="1573"/>
    <x v="3"/>
    <x v="1573"/>
    <x v="3"/>
    <x v="0"/>
    <x v="2"/>
    <s v="EMP_129"/>
    <d v="2024-11-21T08:53:00"/>
    <d v="2024-11-21T09:45:00"/>
    <n v="36"/>
    <n v="52"/>
    <n v="1"/>
    <x v="1"/>
    <x v="8"/>
    <n v="485.97"/>
    <n v="16"/>
    <n v="0.69230769230769229"/>
    <s v="Inefficient"/>
    <s v="Medium"/>
    <s v="Minor Delay"/>
  </r>
  <r>
    <x v="1574"/>
    <x v="4"/>
    <x v="1574"/>
    <x v="0"/>
    <x v="0"/>
    <x v="1"/>
    <s v="EMP_132"/>
    <d v="2024-12-12T00:38:00"/>
    <d v="2024-12-12T04:37:00"/>
    <n v="140"/>
    <n v="239"/>
    <n v="1"/>
    <x v="1"/>
    <x v="8"/>
    <n v="431.69"/>
    <n v="99"/>
    <n v="0.58577405857740583"/>
    <s v="Inefficient"/>
    <s v="Very Long"/>
    <s v="Major Delay"/>
  </r>
  <r>
    <x v="1575"/>
    <x v="2"/>
    <x v="1575"/>
    <x v="2"/>
    <x v="2"/>
    <x v="1"/>
    <s v="EMP_120"/>
    <d v="2024-10-19T01:11:00"/>
    <d v="2024-10-19T03:51:00"/>
    <n v="68"/>
    <n v="160"/>
    <n v="1"/>
    <x v="1"/>
    <x v="6"/>
    <n v="383.96"/>
    <n v="92"/>
    <n v="0.42499999999999999"/>
    <s v="Inefficient"/>
    <s v="Very Long"/>
    <s v="Major Delay"/>
  </r>
  <r>
    <x v="1576"/>
    <x v="1"/>
    <x v="1576"/>
    <x v="2"/>
    <x v="0"/>
    <x v="3"/>
    <s v="EMP_109"/>
    <d v="2024-09-25T12:28:00"/>
    <d v="2024-09-25T16:39:00"/>
    <n v="137"/>
    <n v="251"/>
    <n v="1"/>
    <x v="0"/>
    <x v="2"/>
    <n v="456.16"/>
    <n v="114"/>
    <n v="0.54581673306772904"/>
    <s v="Inefficient"/>
    <s v="Very Long"/>
    <s v="Major Delay"/>
  </r>
  <r>
    <x v="1577"/>
    <x v="2"/>
    <x v="1577"/>
    <x v="3"/>
    <x v="3"/>
    <x v="3"/>
    <s v="EMP_75"/>
    <d v="2024-06-19T12:31:00"/>
    <d v="2024-06-19T14:58:00"/>
    <n v="119"/>
    <n v="147"/>
    <n v="1"/>
    <x v="1"/>
    <x v="4"/>
    <n v="495.9"/>
    <n v="28"/>
    <n v="0.80952380952380953"/>
    <s v="Inefficient"/>
    <s v="Very Long"/>
    <s v="Minor Delay"/>
  </r>
  <r>
    <x v="1578"/>
    <x v="3"/>
    <x v="1578"/>
    <x v="2"/>
    <x v="3"/>
    <x v="0"/>
    <s v="EMP_83"/>
    <d v="2024-05-13T20:46:00"/>
    <d v="2024-05-14T00:28:00"/>
    <n v="221"/>
    <n v="222"/>
    <n v="1"/>
    <x v="1"/>
    <x v="5"/>
    <n v="142.79"/>
    <n v="1"/>
    <n v="0.99549549549549554"/>
    <s v="Inefficient"/>
    <s v="Very Long"/>
    <s v="Minor Delay"/>
  </r>
  <r>
    <x v="1579"/>
    <x v="4"/>
    <x v="1579"/>
    <x v="4"/>
    <x v="1"/>
    <x v="3"/>
    <s v="EMP_82"/>
    <d v="2024-06-22T06:42:00"/>
    <d v="2024-06-22T09:45:00"/>
    <n v="122"/>
    <n v="183"/>
    <n v="1"/>
    <x v="0"/>
    <x v="9"/>
    <n v="196.2"/>
    <n v="61"/>
    <n v="0.66666666666666663"/>
    <s v="Inefficient"/>
    <s v="Very Long"/>
    <s v="Major Delay"/>
  </r>
  <r>
    <x v="1580"/>
    <x v="3"/>
    <x v="1580"/>
    <x v="1"/>
    <x v="1"/>
    <x v="2"/>
    <s v="EMP_5"/>
    <d v="2024-08-21T21:22:00"/>
    <d v="2024-08-22T01:49:00"/>
    <n v="171"/>
    <n v="267"/>
    <n v="1"/>
    <x v="2"/>
    <x v="2"/>
    <n v="373.68"/>
    <n v="96"/>
    <n v="0.6404494382022472"/>
    <s v="Inefficient"/>
    <s v="Very Long"/>
    <s v="Major Delay"/>
  </r>
  <r>
    <x v="1581"/>
    <x v="3"/>
    <x v="1581"/>
    <x v="3"/>
    <x v="0"/>
    <x v="2"/>
    <s v="EMP_22"/>
    <d v="2024-09-05T14:57:00"/>
    <d v="2024-09-05T17:17:00"/>
    <n v="100"/>
    <n v="140"/>
    <n v="1"/>
    <x v="2"/>
    <x v="8"/>
    <n v="367.2"/>
    <n v="40"/>
    <n v="0.7142857142857143"/>
    <s v="Inefficient"/>
    <s v="Very Long"/>
    <s v="Major Delay"/>
  </r>
  <r>
    <x v="1582"/>
    <x v="4"/>
    <x v="1582"/>
    <x v="1"/>
    <x v="3"/>
    <x v="1"/>
    <s v="EMP_107"/>
    <d v="2024-08-13T20:14:00"/>
    <d v="2024-08-14T00:19:00"/>
    <n v="235"/>
    <n v="245"/>
    <n v="1"/>
    <x v="2"/>
    <x v="3"/>
    <n v="100.96"/>
    <n v="10"/>
    <n v="0.95918367346938771"/>
    <s v="Inefficient"/>
    <s v="Very Long"/>
    <s v="Minor Delay"/>
  </r>
  <r>
    <x v="1583"/>
    <x v="4"/>
    <x v="1583"/>
    <x v="3"/>
    <x v="2"/>
    <x v="4"/>
    <s v="EMP_64"/>
    <d v="2024-09-06T14:26:00"/>
    <d v="2024-09-06T16:06:00"/>
    <n v="81"/>
    <n v="100"/>
    <n v="1"/>
    <x v="1"/>
    <x v="9"/>
    <n v="368.8"/>
    <n v="19"/>
    <n v="0.81"/>
    <s v="Inefficient"/>
    <s v="Long"/>
    <s v="Minor Delay"/>
  </r>
  <r>
    <x v="1584"/>
    <x v="3"/>
    <x v="1584"/>
    <x v="0"/>
    <x v="1"/>
    <x v="2"/>
    <s v="EMP_110"/>
    <d v="2024-02-03T03:45:00"/>
    <d v="2024-02-03T06:44:00"/>
    <n v="62"/>
    <n v="179"/>
    <n v="1"/>
    <x v="2"/>
    <x v="3"/>
    <n v="278.23"/>
    <n v="117"/>
    <n v="0.34636871508379891"/>
    <s v="Inefficient"/>
    <s v="Very Long"/>
    <s v="Major Delay"/>
  </r>
  <r>
    <x v="1585"/>
    <x v="1"/>
    <x v="1585"/>
    <x v="0"/>
    <x v="0"/>
    <x v="3"/>
    <s v="EMP_25"/>
    <d v="2024-09-24T23:35:00"/>
    <d v="2024-09-25T02:45:00"/>
    <n v="126"/>
    <n v="190"/>
    <n v="1"/>
    <x v="1"/>
    <x v="6"/>
    <n v="445.88"/>
    <n v="64"/>
    <n v="0.66315789473684206"/>
    <s v="Inefficient"/>
    <s v="Very Long"/>
    <s v="Major Delay"/>
  </r>
  <r>
    <x v="1586"/>
    <x v="0"/>
    <x v="1586"/>
    <x v="4"/>
    <x v="3"/>
    <x v="4"/>
    <s v="EMP_46"/>
    <d v="2024-09-11T09:39:00"/>
    <d v="2024-09-11T14:27:00"/>
    <n v="179"/>
    <n v="288"/>
    <n v="1"/>
    <x v="1"/>
    <x v="8"/>
    <n v="68.040000000000006"/>
    <n v="109"/>
    <n v="0.62152777777777779"/>
    <s v="Inefficient"/>
    <s v="Very Long"/>
    <s v="Major Delay"/>
  </r>
  <r>
    <x v="1587"/>
    <x v="4"/>
    <x v="1587"/>
    <x v="0"/>
    <x v="0"/>
    <x v="2"/>
    <s v="EMP_5"/>
    <d v="2024-08-02T09:04:00"/>
    <d v="2024-08-02T13:48:00"/>
    <n v="166"/>
    <n v="284"/>
    <n v="1"/>
    <x v="0"/>
    <x v="0"/>
    <n v="246.03"/>
    <n v="118"/>
    <n v="0.58450704225352113"/>
    <s v="Inefficient"/>
    <s v="Very Long"/>
    <s v="Major Delay"/>
  </r>
  <r>
    <x v="1588"/>
    <x v="4"/>
    <x v="1588"/>
    <x v="4"/>
    <x v="3"/>
    <x v="1"/>
    <s v="EMP_114"/>
    <d v="2024-03-03T12:37:00"/>
    <d v="2024-03-03T14:50:00"/>
    <n v="134"/>
    <n v="133"/>
    <n v="0"/>
    <x v="2"/>
    <x v="3"/>
    <n v="291.04000000000002"/>
    <n v="-1"/>
    <n v="1.0075187969924813"/>
    <s v="Efficient"/>
    <s v="Very Long"/>
    <s v="On Time"/>
  </r>
  <r>
    <x v="1589"/>
    <x v="4"/>
    <x v="1589"/>
    <x v="2"/>
    <x v="0"/>
    <x v="0"/>
    <s v="EMP_94"/>
    <d v="2024-01-18T19:16:00"/>
    <d v="2024-01-18T22:05:00"/>
    <n v="174"/>
    <n v="169"/>
    <n v="0"/>
    <x v="1"/>
    <x v="1"/>
    <n v="284.79000000000002"/>
    <n v="-5"/>
    <n v="1.029585798816568"/>
    <s v="Efficient"/>
    <s v="Very Long"/>
    <s v="On Time"/>
  </r>
  <r>
    <x v="1590"/>
    <x v="0"/>
    <x v="1590"/>
    <x v="0"/>
    <x v="2"/>
    <x v="4"/>
    <s v="EMP_61"/>
    <d v="2024-11-16T01:15:00"/>
    <d v="2024-11-16T04:24:00"/>
    <n v="107"/>
    <n v="189"/>
    <n v="1"/>
    <x v="1"/>
    <x v="3"/>
    <n v="400.19"/>
    <n v="82"/>
    <n v="0.56613756613756616"/>
    <s v="Inefficient"/>
    <s v="Very Long"/>
    <s v="Major Delay"/>
  </r>
  <r>
    <x v="1591"/>
    <x v="1"/>
    <x v="1591"/>
    <x v="2"/>
    <x v="3"/>
    <x v="1"/>
    <s v="EMP_99"/>
    <d v="2024-02-27T05:28:00"/>
    <d v="2024-02-27T10:41:00"/>
    <n v="233"/>
    <n v="313"/>
    <n v="1"/>
    <x v="0"/>
    <x v="9"/>
    <n v="226.04"/>
    <n v="80"/>
    <n v="0.74440894568690097"/>
    <s v="Inefficient"/>
    <s v="Very Long"/>
    <s v="Major Delay"/>
  </r>
  <r>
    <x v="1592"/>
    <x v="4"/>
    <x v="1592"/>
    <x v="1"/>
    <x v="3"/>
    <x v="1"/>
    <s v="EMP_118"/>
    <d v="2024-06-19T08:55:00"/>
    <d v="2024-06-19T12:20:00"/>
    <n v="162"/>
    <n v="205"/>
    <n v="1"/>
    <x v="0"/>
    <x v="6"/>
    <n v="469.09"/>
    <n v="43"/>
    <n v="0.79024390243902443"/>
    <s v="Inefficient"/>
    <s v="Very Long"/>
    <s v="Major Delay"/>
  </r>
  <r>
    <x v="1593"/>
    <x v="0"/>
    <x v="1593"/>
    <x v="0"/>
    <x v="1"/>
    <x v="0"/>
    <s v="EMP_139"/>
    <d v="2024-03-24T17:40:00"/>
    <d v="2024-03-24T22:00:00"/>
    <n v="216"/>
    <n v="260"/>
    <n v="1"/>
    <x v="0"/>
    <x v="9"/>
    <n v="445.11"/>
    <n v="44"/>
    <n v="0.83076923076923082"/>
    <s v="Inefficient"/>
    <s v="Very Long"/>
    <s v="Major Delay"/>
  </r>
  <r>
    <x v="1594"/>
    <x v="1"/>
    <x v="1594"/>
    <x v="2"/>
    <x v="2"/>
    <x v="3"/>
    <s v="EMP_35"/>
    <d v="2024-10-10T01:14:00"/>
    <d v="2024-10-10T05:30:00"/>
    <n v="239"/>
    <n v="256"/>
    <n v="1"/>
    <x v="2"/>
    <x v="1"/>
    <n v="306.02999999999997"/>
    <n v="17"/>
    <n v="0.93359375"/>
    <s v="Inefficient"/>
    <s v="Very Long"/>
    <s v="Minor Delay"/>
  </r>
  <r>
    <x v="1595"/>
    <x v="2"/>
    <x v="1595"/>
    <x v="2"/>
    <x v="2"/>
    <x v="0"/>
    <s v="EMP_149"/>
    <d v="2024-09-21T19:38:00"/>
    <d v="2024-09-21T22:11:00"/>
    <n v="131"/>
    <n v="153"/>
    <n v="1"/>
    <x v="0"/>
    <x v="0"/>
    <n v="328.77"/>
    <n v="22"/>
    <n v="0.85620915032679734"/>
    <s v="Inefficient"/>
    <s v="Very Long"/>
    <s v="Minor Delay"/>
  </r>
  <r>
    <x v="1596"/>
    <x v="3"/>
    <x v="1596"/>
    <x v="0"/>
    <x v="1"/>
    <x v="4"/>
    <s v="EMP_100"/>
    <d v="2024-08-24T09:48:00"/>
    <d v="2024-08-24T11:51:00"/>
    <n v="59"/>
    <n v="123"/>
    <n v="1"/>
    <x v="2"/>
    <x v="6"/>
    <n v="217.96"/>
    <n v="64"/>
    <n v="0.47967479674796748"/>
    <s v="Inefficient"/>
    <s v="Very Long"/>
    <s v="Major Delay"/>
  </r>
  <r>
    <x v="1597"/>
    <x v="4"/>
    <x v="1597"/>
    <x v="4"/>
    <x v="3"/>
    <x v="3"/>
    <s v="EMP_125"/>
    <d v="2024-09-17T00:39:00"/>
    <d v="2024-09-17T03:47:00"/>
    <n v="145"/>
    <n v="188"/>
    <n v="1"/>
    <x v="2"/>
    <x v="9"/>
    <n v="155.26"/>
    <n v="43"/>
    <n v="0.77127659574468088"/>
    <s v="Inefficient"/>
    <s v="Very Long"/>
    <s v="Major Delay"/>
  </r>
  <r>
    <x v="1598"/>
    <x v="0"/>
    <x v="1598"/>
    <x v="0"/>
    <x v="2"/>
    <x v="3"/>
    <s v="EMP_54"/>
    <d v="2024-03-12T03:16:00"/>
    <d v="2024-03-12T04:26:00"/>
    <n v="48"/>
    <n v="70"/>
    <n v="1"/>
    <x v="2"/>
    <x v="1"/>
    <n v="494.89"/>
    <n v="22"/>
    <n v="0.68571428571428572"/>
    <s v="Inefficient"/>
    <s v="Long"/>
    <s v="Minor Delay"/>
  </r>
  <r>
    <x v="1599"/>
    <x v="1"/>
    <x v="1599"/>
    <x v="3"/>
    <x v="2"/>
    <x v="3"/>
    <s v="EMP_140"/>
    <d v="2024-11-12T02:24:00"/>
    <d v="2024-11-12T07:18:00"/>
    <n v="236"/>
    <n v="294"/>
    <n v="1"/>
    <x v="0"/>
    <x v="5"/>
    <n v="429"/>
    <n v="58"/>
    <n v="0.80272108843537415"/>
    <s v="Inefficient"/>
    <s v="Very Long"/>
    <s v="Major Delay"/>
  </r>
  <r>
    <x v="1600"/>
    <x v="0"/>
    <x v="1600"/>
    <x v="1"/>
    <x v="3"/>
    <x v="0"/>
    <s v="EMP_35"/>
    <d v="2024-12-07T15:29:00"/>
    <d v="2024-12-07T17:50:00"/>
    <n v="68"/>
    <n v="141"/>
    <n v="1"/>
    <x v="1"/>
    <x v="0"/>
    <n v="178.27"/>
    <n v="73"/>
    <n v="0.48226950354609927"/>
    <s v="Inefficient"/>
    <s v="Very Long"/>
    <s v="Major Delay"/>
  </r>
  <r>
    <x v="1601"/>
    <x v="3"/>
    <x v="1601"/>
    <x v="2"/>
    <x v="0"/>
    <x v="2"/>
    <s v="EMP_39"/>
    <d v="2024-06-10T06:08:00"/>
    <d v="2024-06-10T06:39:00"/>
    <n v="25"/>
    <n v="31"/>
    <n v="1"/>
    <x v="2"/>
    <x v="5"/>
    <n v="475.12"/>
    <n v="6"/>
    <n v="0.80645161290322576"/>
    <s v="Inefficient"/>
    <s v="Medium"/>
    <s v="Minor Delay"/>
  </r>
  <r>
    <x v="1602"/>
    <x v="4"/>
    <x v="1602"/>
    <x v="4"/>
    <x v="2"/>
    <x v="0"/>
    <s v="EMP_147"/>
    <d v="2024-04-06T10:16:00"/>
    <d v="2024-04-06T11:51:00"/>
    <n v="76"/>
    <n v="95"/>
    <n v="1"/>
    <x v="0"/>
    <x v="1"/>
    <n v="394.48"/>
    <n v="19"/>
    <n v="0.8"/>
    <s v="Inefficient"/>
    <s v="Long"/>
    <s v="Minor Delay"/>
  </r>
  <r>
    <x v="1603"/>
    <x v="1"/>
    <x v="1603"/>
    <x v="3"/>
    <x v="0"/>
    <x v="3"/>
    <s v="EMP_112"/>
    <d v="2024-04-27T21:11:00"/>
    <d v="2024-04-28T00:12:00"/>
    <n v="81"/>
    <n v="181"/>
    <n v="1"/>
    <x v="0"/>
    <x v="1"/>
    <n v="231.03"/>
    <n v="100"/>
    <n v="0.44751381215469616"/>
    <s v="Inefficient"/>
    <s v="Very Long"/>
    <s v="Major Delay"/>
  </r>
  <r>
    <x v="1604"/>
    <x v="3"/>
    <x v="1604"/>
    <x v="4"/>
    <x v="1"/>
    <x v="3"/>
    <s v="EMP_41"/>
    <d v="2024-08-17T23:13:00"/>
    <d v="2024-08-18T02:04:00"/>
    <n v="68"/>
    <n v="171"/>
    <n v="1"/>
    <x v="0"/>
    <x v="5"/>
    <n v="273.61"/>
    <n v="103"/>
    <n v="0.39766081871345027"/>
    <s v="Inefficient"/>
    <s v="Very Long"/>
    <s v="Major Delay"/>
  </r>
  <r>
    <x v="1605"/>
    <x v="0"/>
    <x v="1605"/>
    <x v="1"/>
    <x v="3"/>
    <x v="2"/>
    <s v="EMP_81"/>
    <d v="2024-05-25T17:54:00"/>
    <d v="2024-05-25T21:51:00"/>
    <n v="198"/>
    <n v="237"/>
    <n v="1"/>
    <x v="0"/>
    <x v="7"/>
    <n v="250.98"/>
    <n v="39"/>
    <n v="0.83544303797468356"/>
    <s v="Inefficient"/>
    <s v="Very Long"/>
    <s v="Major Delay"/>
  </r>
  <r>
    <x v="1606"/>
    <x v="1"/>
    <x v="1606"/>
    <x v="3"/>
    <x v="0"/>
    <x v="4"/>
    <s v="EMP_136"/>
    <d v="2024-09-26T09:39:00"/>
    <d v="2024-09-26T12:05:00"/>
    <n v="104"/>
    <n v="146"/>
    <n v="1"/>
    <x v="1"/>
    <x v="7"/>
    <n v="413.05"/>
    <n v="42"/>
    <n v="0.71232876712328763"/>
    <s v="Inefficient"/>
    <s v="Very Long"/>
    <s v="Major Delay"/>
  </r>
  <r>
    <x v="1607"/>
    <x v="4"/>
    <x v="1607"/>
    <x v="1"/>
    <x v="0"/>
    <x v="4"/>
    <s v="EMP_135"/>
    <d v="2024-12-02T02:53:00"/>
    <d v="2024-12-02T07:25:00"/>
    <n v="173"/>
    <n v="272"/>
    <n v="1"/>
    <x v="2"/>
    <x v="3"/>
    <n v="439.94"/>
    <n v="99"/>
    <n v="0.63602941176470584"/>
    <s v="Inefficient"/>
    <s v="Very Long"/>
    <s v="Major Delay"/>
  </r>
  <r>
    <x v="1608"/>
    <x v="0"/>
    <x v="1608"/>
    <x v="4"/>
    <x v="3"/>
    <x v="0"/>
    <s v="EMP_54"/>
    <d v="2024-03-28T02:46:00"/>
    <d v="2024-03-28T05:21:00"/>
    <n v="51"/>
    <n v="155"/>
    <n v="1"/>
    <x v="0"/>
    <x v="3"/>
    <n v="217.3"/>
    <n v="104"/>
    <n v="0.32903225806451614"/>
    <s v="Inefficient"/>
    <s v="Very Long"/>
    <s v="Major Delay"/>
  </r>
  <r>
    <x v="1609"/>
    <x v="3"/>
    <x v="1609"/>
    <x v="2"/>
    <x v="3"/>
    <x v="1"/>
    <s v="EMP_2"/>
    <d v="2024-06-10T20:39:00"/>
    <d v="2024-06-10T22:09:00"/>
    <n v="44"/>
    <n v="90"/>
    <n v="1"/>
    <x v="2"/>
    <x v="5"/>
    <n v="491.78"/>
    <n v="46"/>
    <n v="0.48888888888888887"/>
    <s v="Inefficient"/>
    <s v="Long"/>
    <s v="Major Delay"/>
  </r>
  <r>
    <x v="1610"/>
    <x v="3"/>
    <x v="1610"/>
    <x v="3"/>
    <x v="2"/>
    <x v="4"/>
    <s v="EMP_27"/>
    <d v="2024-09-02T03:39:00"/>
    <d v="2024-09-02T06:44:00"/>
    <n v="70"/>
    <n v="185"/>
    <n v="1"/>
    <x v="2"/>
    <x v="0"/>
    <n v="445.2"/>
    <n v="115"/>
    <n v="0.3783783783783784"/>
    <s v="Inefficient"/>
    <s v="Very Long"/>
    <s v="Major Delay"/>
  </r>
  <r>
    <x v="1611"/>
    <x v="4"/>
    <x v="1611"/>
    <x v="1"/>
    <x v="0"/>
    <x v="1"/>
    <s v="EMP_30"/>
    <d v="2024-03-12T14:57:00"/>
    <d v="2024-03-12T17:52:00"/>
    <n v="60"/>
    <n v="175"/>
    <n v="1"/>
    <x v="1"/>
    <x v="9"/>
    <n v="86.19"/>
    <n v="115"/>
    <n v="0.34285714285714286"/>
    <s v="Inefficient"/>
    <s v="Very Long"/>
    <s v="Major Delay"/>
  </r>
  <r>
    <x v="1612"/>
    <x v="1"/>
    <x v="1612"/>
    <x v="1"/>
    <x v="3"/>
    <x v="1"/>
    <s v="EMP_34"/>
    <d v="2024-08-25T08:02:00"/>
    <d v="2024-08-25T11:04:00"/>
    <n v="128"/>
    <n v="182"/>
    <n v="1"/>
    <x v="2"/>
    <x v="8"/>
    <n v="434.11"/>
    <n v="54"/>
    <n v="0.70329670329670335"/>
    <s v="Inefficient"/>
    <s v="Very Long"/>
    <s v="Major Delay"/>
  </r>
  <r>
    <x v="1613"/>
    <x v="4"/>
    <x v="1613"/>
    <x v="2"/>
    <x v="2"/>
    <x v="4"/>
    <s v="EMP_149"/>
    <d v="2024-10-24T08:45:00"/>
    <d v="2024-10-24T11:36:00"/>
    <n v="134"/>
    <n v="171"/>
    <n v="1"/>
    <x v="0"/>
    <x v="0"/>
    <n v="446.62"/>
    <n v="37"/>
    <n v="0.783625730994152"/>
    <s v="Inefficient"/>
    <s v="Very Long"/>
    <s v="Major Delay"/>
  </r>
  <r>
    <x v="1614"/>
    <x v="1"/>
    <x v="1614"/>
    <x v="1"/>
    <x v="3"/>
    <x v="3"/>
    <s v="EMP_20"/>
    <d v="2024-09-27T00:49:00"/>
    <d v="2024-09-27T04:08:00"/>
    <n v="86"/>
    <n v="199"/>
    <n v="1"/>
    <x v="1"/>
    <x v="4"/>
    <n v="265.08"/>
    <n v="113"/>
    <n v="0.43216080402010049"/>
    <s v="Inefficient"/>
    <s v="Very Long"/>
    <s v="Major Delay"/>
  </r>
  <r>
    <x v="1615"/>
    <x v="0"/>
    <x v="1615"/>
    <x v="2"/>
    <x v="1"/>
    <x v="1"/>
    <s v="EMP_90"/>
    <d v="2024-04-30T04:18:00"/>
    <d v="2024-04-30T07:34:00"/>
    <n v="190"/>
    <n v="196"/>
    <n v="1"/>
    <x v="1"/>
    <x v="6"/>
    <n v="383.36"/>
    <n v="6"/>
    <n v="0.96938775510204078"/>
    <s v="Inefficient"/>
    <s v="Very Long"/>
    <s v="Minor Delay"/>
  </r>
  <r>
    <x v="1616"/>
    <x v="3"/>
    <x v="1616"/>
    <x v="1"/>
    <x v="0"/>
    <x v="1"/>
    <s v="EMP_92"/>
    <d v="2024-02-28T08:20:00"/>
    <d v="2024-02-28T11:49:00"/>
    <n v="122"/>
    <n v="209"/>
    <n v="1"/>
    <x v="2"/>
    <x v="8"/>
    <n v="376.41"/>
    <n v="87"/>
    <n v="0.58373205741626799"/>
    <s v="Inefficient"/>
    <s v="Very Long"/>
    <s v="Major Delay"/>
  </r>
  <r>
    <x v="1617"/>
    <x v="0"/>
    <x v="1617"/>
    <x v="4"/>
    <x v="0"/>
    <x v="0"/>
    <s v="EMP_25"/>
    <d v="2024-05-31T12:04:00"/>
    <d v="2024-05-31T14:13:00"/>
    <n v="116"/>
    <n v="129"/>
    <n v="1"/>
    <x v="0"/>
    <x v="4"/>
    <n v="105.98"/>
    <n v="13"/>
    <n v="0.89922480620155043"/>
    <s v="Inefficient"/>
    <s v="Very Long"/>
    <s v="Minor Delay"/>
  </r>
  <r>
    <x v="1618"/>
    <x v="0"/>
    <x v="1618"/>
    <x v="3"/>
    <x v="1"/>
    <x v="3"/>
    <s v="EMP_146"/>
    <d v="2024-06-22T17:03:00"/>
    <d v="2024-06-22T20:25:00"/>
    <n v="169"/>
    <n v="202"/>
    <n v="1"/>
    <x v="1"/>
    <x v="8"/>
    <n v="379.78"/>
    <n v="33"/>
    <n v="0.8366336633663366"/>
    <s v="Inefficient"/>
    <s v="Very Long"/>
    <s v="Major Delay"/>
  </r>
  <r>
    <x v="1619"/>
    <x v="1"/>
    <x v="1619"/>
    <x v="3"/>
    <x v="2"/>
    <x v="1"/>
    <s v="EMP_75"/>
    <d v="2024-08-07T20:51:00"/>
    <d v="2024-08-08T00:22:00"/>
    <n v="106"/>
    <n v="211"/>
    <n v="1"/>
    <x v="2"/>
    <x v="4"/>
    <n v="482.5"/>
    <n v="105"/>
    <n v="0.50236966824644547"/>
    <s v="Inefficient"/>
    <s v="Very Long"/>
    <s v="Major Delay"/>
  </r>
  <r>
    <x v="1620"/>
    <x v="1"/>
    <x v="1620"/>
    <x v="4"/>
    <x v="0"/>
    <x v="3"/>
    <s v="EMP_26"/>
    <d v="2024-02-14T07:49:00"/>
    <d v="2024-02-14T09:28:00"/>
    <n v="22"/>
    <n v="99"/>
    <n v="1"/>
    <x v="1"/>
    <x v="7"/>
    <n v="63.07"/>
    <n v="77"/>
    <n v="0.22222222222222221"/>
    <s v="Inefficient"/>
    <s v="Long"/>
    <s v="Major Delay"/>
  </r>
  <r>
    <x v="1621"/>
    <x v="0"/>
    <x v="1621"/>
    <x v="3"/>
    <x v="2"/>
    <x v="2"/>
    <s v="EMP_50"/>
    <d v="2024-12-13T11:05:00"/>
    <d v="2024-12-13T16:11:00"/>
    <n v="220"/>
    <n v="306"/>
    <n v="1"/>
    <x v="2"/>
    <x v="3"/>
    <n v="216.68"/>
    <n v="86"/>
    <n v="0.71895424836601307"/>
    <s v="Inefficient"/>
    <s v="Very Long"/>
    <s v="Major Delay"/>
  </r>
  <r>
    <x v="1622"/>
    <x v="3"/>
    <x v="1622"/>
    <x v="3"/>
    <x v="0"/>
    <x v="2"/>
    <s v="EMP_24"/>
    <d v="2024-08-11T17:56:00"/>
    <d v="2024-08-11T19:29:00"/>
    <n v="94"/>
    <n v="93"/>
    <n v="0"/>
    <x v="1"/>
    <x v="2"/>
    <n v="116.48"/>
    <n v="-1"/>
    <n v="1.010752688172043"/>
    <s v="Efficient"/>
    <s v="Long"/>
    <s v="On Time"/>
  </r>
  <r>
    <x v="1623"/>
    <x v="3"/>
    <x v="1623"/>
    <x v="2"/>
    <x v="3"/>
    <x v="4"/>
    <s v="EMP_45"/>
    <d v="2024-12-08T02:17:00"/>
    <d v="2024-12-08T06:25:00"/>
    <n v="186"/>
    <n v="248"/>
    <n v="1"/>
    <x v="2"/>
    <x v="7"/>
    <n v="95.4"/>
    <n v="62"/>
    <n v="0.75"/>
    <s v="Inefficient"/>
    <s v="Very Long"/>
    <s v="Major Delay"/>
  </r>
  <r>
    <x v="1624"/>
    <x v="4"/>
    <x v="1624"/>
    <x v="4"/>
    <x v="0"/>
    <x v="0"/>
    <s v="EMP_43"/>
    <d v="2024-11-10T16:34:00"/>
    <d v="2024-11-10T21:09:00"/>
    <n v="184"/>
    <n v="275"/>
    <n v="1"/>
    <x v="0"/>
    <x v="7"/>
    <n v="360.09"/>
    <n v="91"/>
    <n v="0.66909090909090907"/>
    <s v="Inefficient"/>
    <s v="Very Long"/>
    <s v="Major Delay"/>
  </r>
  <r>
    <x v="1625"/>
    <x v="4"/>
    <x v="1625"/>
    <x v="3"/>
    <x v="0"/>
    <x v="4"/>
    <s v="EMP_90"/>
    <d v="2024-11-18T10:11:00"/>
    <d v="2024-11-18T12:59:00"/>
    <n v="162"/>
    <n v="168"/>
    <n v="1"/>
    <x v="0"/>
    <x v="3"/>
    <n v="75.05"/>
    <n v="6"/>
    <n v="0.9642857142857143"/>
    <s v="Inefficient"/>
    <s v="Very Long"/>
    <s v="Minor Delay"/>
  </r>
  <r>
    <x v="1626"/>
    <x v="4"/>
    <x v="1626"/>
    <x v="0"/>
    <x v="2"/>
    <x v="0"/>
    <s v="EMP_1"/>
    <d v="2024-10-01T20:09:00"/>
    <d v="2024-10-01T21:49:00"/>
    <n v="85"/>
    <n v="100"/>
    <n v="1"/>
    <x v="2"/>
    <x v="6"/>
    <n v="288.5"/>
    <n v="15"/>
    <n v="0.85"/>
    <s v="Inefficient"/>
    <s v="Long"/>
    <s v="Minor Delay"/>
  </r>
  <r>
    <x v="1627"/>
    <x v="3"/>
    <x v="1627"/>
    <x v="3"/>
    <x v="2"/>
    <x v="2"/>
    <s v="EMP_116"/>
    <d v="2024-07-17T08:46:00"/>
    <d v="2024-07-17T12:37:00"/>
    <n v="167"/>
    <n v="231"/>
    <n v="1"/>
    <x v="2"/>
    <x v="8"/>
    <n v="394.95"/>
    <n v="64"/>
    <n v="0.72294372294372289"/>
    <s v="Inefficient"/>
    <s v="Very Long"/>
    <s v="Major Delay"/>
  </r>
  <r>
    <x v="1628"/>
    <x v="0"/>
    <x v="1628"/>
    <x v="3"/>
    <x v="0"/>
    <x v="4"/>
    <s v="EMP_81"/>
    <d v="2024-12-17T07:28:00"/>
    <d v="2024-12-17T10:19:00"/>
    <n v="143"/>
    <n v="171"/>
    <n v="1"/>
    <x v="2"/>
    <x v="9"/>
    <n v="339.58"/>
    <n v="28"/>
    <n v="0.83625730994152048"/>
    <s v="Inefficient"/>
    <s v="Very Long"/>
    <s v="Minor Delay"/>
  </r>
  <r>
    <x v="1629"/>
    <x v="4"/>
    <x v="1629"/>
    <x v="1"/>
    <x v="0"/>
    <x v="0"/>
    <s v="EMP_122"/>
    <d v="2024-11-20T16:24:00"/>
    <d v="2024-11-20T18:50:00"/>
    <n v="115"/>
    <n v="146"/>
    <n v="1"/>
    <x v="1"/>
    <x v="2"/>
    <n v="142.28"/>
    <n v="31"/>
    <n v="0.78767123287671237"/>
    <s v="Inefficient"/>
    <s v="Very Long"/>
    <s v="Major Delay"/>
  </r>
  <r>
    <x v="1630"/>
    <x v="4"/>
    <x v="1630"/>
    <x v="0"/>
    <x v="0"/>
    <x v="0"/>
    <s v="EMP_36"/>
    <d v="2024-02-01T07:50:00"/>
    <d v="2024-02-01T11:37:00"/>
    <n v="176"/>
    <n v="227"/>
    <n v="1"/>
    <x v="2"/>
    <x v="4"/>
    <n v="417.02"/>
    <n v="51"/>
    <n v="0.77533039647577096"/>
    <s v="Inefficient"/>
    <s v="Very Long"/>
    <s v="Major Delay"/>
  </r>
  <r>
    <x v="1631"/>
    <x v="0"/>
    <x v="1631"/>
    <x v="2"/>
    <x v="3"/>
    <x v="3"/>
    <s v="EMP_36"/>
    <d v="2024-07-11T04:42:00"/>
    <d v="2024-07-11T07:11:00"/>
    <n v="56"/>
    <n v="149"/>
    <n v="1"/>
    <x v="2"/>
    <x v="0"/>
    <n v="484.64"/>
    <n v="93"/>
    <n v="0.37583892617449666"/>
    <s v="Inefficient"/>
    <s v="Very Long"/>
    <s v="Major Delay"/>
  </r>
  <r>
    <x v="1632"/>
    <x v="4"/>
    <x v="1632"/>
    <x v="3"/>
    <x v="0"/>
    <x v="4"/>
    <s v="EMP_123"/>
    <d v="2024-09-25T20:35:00"/>
    <d v="2024-09-26T01:25:00"/>
    <n v="212"/>
    <n v="290"/>
    <n v="1"/>
    <x v="1"/>
    <x v="3"/>
    <n v="158.24"/>
    <n v="78"/>
    <n v="0.73103448275862071"/>
    <s v="Inefficient"/>
    <s v="Very Long"/>
    <s v="Major Delay"/>
  </r>
  <r>
    <x v="1633"/>
    <x v="4"/>
    <x v="1633"/>
    <x v="4"/>
    <x v="0"/>
    <x v="3"/>
    <s v="EMP_140"/>
    <d v="2024-10-19T13:32:00"/>
    <d v="2024-10-19T18:02:00"/>
    <n v="225"/>
    <n v="270"/>
    <n v="1"/>
    <x v="2"/>
    <x v="6"/>
    <n v="175.35"/>
    <n v="45"/>
    <n v="0.83333333333333337"/>
    <s v="Inefficient"/>
    <s v="Very Long"/>
    <s v="Major Delay"/>
  </r>
  <r>
    <x v="1634"/>
    <x v="1"/>
    <x v="1634"/>
    <x v="2"/>
    <x v="2"/>
    <x v="3"/>
    <s v="EMP_117"/>
    <d v="2024-05-25T12:35:00"/>
    <d v="2024-05-25T14:48:00"/>
    <n v="116"/>
    <n v="133"/>
    <n v="1"/>
    <x v="0"/>
    <x v="4"/>
    <n v="267.82"/>
    <n v="17"/>
    <n v="0.8721804511278195"/>
    <s v="Inefficient"/>
    <s v="Very Long"/>
    <s v="Minor Delay"/>
  </r>
  <r>
    <x v="1635"/>
    <x v="0"/>
    <x v="1635"/>
    <x v="2"/>
    <x v="0"/>
    <x v="1"/>
    <s v="EMP_44"/>
    <d v="2024-09-28T23:23:00"/>
    <d v="2024-09-29T04:30:00"/>
    <n v="225"/>
    <n v="307"/>
    <n v="1"/>
    <x v="2"/>
    <x v="1"/>
    <n v="93.99"/>
    <n v="82"/>
    <n v="0.73289902280130292"/>
    <s v="Inefficient"/>
    <s v="Very Long"/>
    <s v="Major Delay"/>
  </r>
  <r>
    <x v="1636"/>
    <x v="4"/>
    <x v="1636"/>
    <x v="2"/>
    <x v="3"/>
    <x v="1"/>
    <s v="EMP_145"/>
    <d v="2024-12-26T00:01:00"/>
    <d v="2024-12-26T03:53:00"/>
    <n v="211"/>
    <n v="232"/>
    <n v="1"/>
    <x v="2"/>
    <x v="4"/>
    <n v="100.13"/>
    <n v="21"/>
    <n v="0.90948275862068961"/>
    <s v="Inefficient"/>
    <s v="Very Long"/>
    <s v="Minor Delay"/>
  </r>
  <r>
    <x v="1637"/>
    <x v="0"/>
    <x v="1637"/>
    <x v="2"/>
    <x v="1"/>
    <x v="0"/>
    <s v="EMP_91"/>
    <d v="2024-02-12T22:40:00"/>
    <d v="2024-02-13T00:54:00"/>
    <n v="67"/>
    <n v="134"/>
    <n v="1"/>
    <x v="2"/>
    <x v="7"/>
    <n v="90.3"/>
    <n v="67"/>
    <n v="0.5"/>
    <s v="Inefficient"/>
    <s v="Very Long"/>
    <s v="Major Delay"/>
  </r>
  <r>
    <x v="1638"/>
    <x v="4"/>
    <x v="1638"/>
    <x v="4"/>
    <x v="3"/>
    <x v="3"/>
    <s v="EMP_56"/>
    <d v="2024-12-13T11:13:00"/>
    <d v="2024-12-13T17:06:00"/>
    <n v="239"/>
    <n v="353"/>
    <n v="1"/>
    <x v="1"/>
    <x v="3"/>
    <n v="313.73"/>
    <n v="114"/>
    <n v="0.67705382436260619"/>
    <s v="Inefficient"/>
    <s v="Very Long"/>
    <s v="Major Delay"/>
  </r>
  <r>
    <x v="1639"/>
    <x v="3"/>
    <x v="1639"/>
    <x v="0"/>
    <x v="1"/>
    <x v="4"/>
    <s v="EMP_91"/>
    <d v="2024-07-07T06:56:00"/>
    <d v="2024-07-07T09:52:00"/>
    <n v="67"/>
    <n v="176"/>
    <n v="1"/>
    <x v="2"/>
    <x v="7"/>
    <n v="470.75"/>
    <n v="109"/>
    <n v="0.38068181818181818"/>
    <s v="Inefficient"/>
    <s v="Very Long"/>
    <s v="Major Delay"/>
  </r>
  <r>
    <x v="1640"/>
    <x v="3"/>
    <x v="1640"/>
    <x v="2"/>
    <x v="1"/>
    <x v="4"/>
    <s v="EMP_35"/>
    <d v="2024-02-02T06:14:00"/>
    <d v="2024-02-02T09:27:00"/>
    <n v="143"/>
    <n v="193"/>
    <n v="1"/>
    <x v="0"/>
    <x v="2"/>
    <n v="86.74"/>
    <n v="50"/>
    <n v="0.7409326424870466"/>
    <s v="Inefficient"/>
    <s v="Very Long"/>
    <s v="Major Delay"/>
  </r>
  <r>
    <x v="1641"/>
    <x v="0"/>
    <x v="1641"/>
    <x v="0"/>
    <x v="3"/>
    <x v="4"/>
    <s v="EMP_92"/>
    <d v="2024-09-22T18:14:00"/>
    <d v="2024-09-22T19:47:00"/>
    <n v="24"/>
    <n v="93"/>
    <n v="1"/>
    <x v="2"/>
    <x v="1"/>
    <n v="185.39"/>
    <n v="69"/>
    <n v="0.25806451612903225"/>
    <s v="Inefficient"/>
    <s v="Long"/>
    <s v="Major Delay"/>
  </r>
  <r>
    <x v="1642"/>
    <x v="4"/>
    <x v="1642"/>
    <x v="3"/>
    <x v="0"/>
    <x v="3"/>
    <s v="EMP_49"/>
    <d v="2024-12-23T09:45:00"/>
    <d v="2024-12-23T11:50:00"/>
    <n v="48"/>
    <n v="125"/>
    <n v="1"/>
    <x v="1"/>
    <x v="0"/>
    <n v="285.99"/>
    <n v="77"/>
    <n v="0.38400000000000001"/>
    <s v="Inefficient"/>
    <s v="Very Long"/>
    <s v="Major Delay"/>
  </r>
  <r>
    <x v="1643"/>
    <x v="3"/>
    <x v="1643"/>
    <x v="4"/>
    <x v="3"/>
    <x v="2"/>
    <s v="EMP_117"/>
    <d v="2024-07-12T17:50:00"/>
    <d v="2024-07-12T20:30:00"/>
    <n v="107"/>
    <n v="160"/>
    <n v="1"/>
    <x v="2"/>
    <x v="7"/>
    <n v="433.17"/>
    <n v="53"/>
    <n v="0.66874999999999996"/>
    <s v="Inefficient"/>
    <s v="Very Long"/>
    <s v="Major Delay"/>
  </r>
  <r>
    <x v="1644"/>
    <x v="4"/>
    <x v="1644"/>
    <x v="1"/>
    <x v="1"/>
    <x v="2"/>
    <s v="EMP_45"/>
    <d v="2024-04-05T23:30:00"/>
    <d v="2024-04-06T03:03:00"/>
    <n v="122"/>
    <n v="213"/>
    <n v="1"/>
    <x v="0"/>
    <x v="4"/>
    <n v="116.28"/>
    <n v="91"/>
    <n v="0.57276995305164324"/>
    <s v="Inefficient"/>
    <s v="Very Long"/>
    <s v="Major Delay"/>
  </r>
  <r>
    <x v="1645"/>
    <x v="0"/>
    <x v="1645"/>
    <x v="2"/>
    <x v="1"/>
    <x v="2"/>
    <s v="EMP_142"/>
    <d v="2024-01-20T11:59:00"/>
    <d v="2024-01-20T15:32:00"/>
    <n v="213"/>
    <n v="213"/>
    <n v="0"/>
    <x v="2"/>
    <x v="4"/>
    <n v="483.28"/>
    <n v="0"/>
    <n v="1"/>
    <s v="On Target"/>
    <s v="Very Long"/>
    <s v="On Time"/>
  </r>
  <r>
    <x v="1646"/>
    <x v="1"/>
    <x v="1646"/>
    <x v="4"/>
    <x v="3"/>
    <x v="2"/>
    <s v="EMP_68"/>
    <d v="2024-08-05T19:01:00"/>
    <d v="2024-08-05T23:51:00"/>
    <n v="204"/>
    <n v="290"/>
    <n v="1"/>
    <x v="0"/>
    <x v="1"/>
    <n v="61.74"/>
    <n v="86"/>
    <n v="0.70344827586206893"/>
    <s v="Inefficient"/>
    <s v="Very Long"/>
    <s v="Major Delay"/>
  </r>
  <r>
    <x v="1647"/>
    <x v="4"/>
    <x v="1647"/>
    <x v="4"/>
    <x v="3"/>
    <x v="4"/>
    <s v="EMP_117"/>
    <d v="2024-12-07T16:54:00"/>
    <d v="2024-12-07T20:31:00"/>
    <n v="177"/>
    <n v="217"/>
    <n v="1"/>
    <x v="1"/>
    <x v="4"/>
    <n v="262.39"/>
    <n v="40"/>
    <n v="0.81566820276497698"/>
    <s v="Inefficient"/>
    <s v="Very Long"/>
    <s v="Major Delay"/>
  </r>
  <r>
    <x v="1648"/>
    <x v="1"/>
    <x v="1648"/>
    <x v="0"/>
    <x v="3"/>
    <x v="3"/>
    <s v="EMP_86"/>
    <d v="2024-05-06T02:06:00"/>
    <d v="2024-05-06T02:59:00"/>
    <n v="31"/>
    <n v="53"/>
    <n v="1"/>
    <x v="1"/>
    <x v="7"/>
    <n v="468.94"/>
    <n v="22"/>
    <n v="0.58490566037735847"/>
    <s v="Inefficient"/>
    <s v="Medium"/>
    <s v="Minor Delay"/>
  </r>
  <r>
    <x v="1649"/>
    <x v="1"/>
    <x v="1649"/>
    <x v="0"/>
    <x v="3"/>
    <x v="1"/>
    <s v="EMP_105"/>
    <d v="2024-02-10T23:18:00"/>
    <d v="2024-02-11T01:24:00"/>
    <n v="108"/>
    <n v="126"/>
    <n v="1"/>
    <x v="2"/>
    <x v="8"/>
    <n v="72.040000000000006"/>
    <n v="18"/>
    <n v="0.8571428571428571"/>
    <s v="Inefficient"/>
    <s v="Very Long"/>
    <s v="Minor Delay"/>
  </r>
  <r>
    <x v="1650"/>
    <x v="1"/>
    <x v="1650"/>
    <x v="2"/>
    <x v="1"/>
    <x v="2"/>
    <s v="EMP_112"/>
    <d v="2024-03-29T23:52:00"/>
    <d v="2024-03-30T04:33:00"/>
    <n v="229"/>
    <n v="281"/>
    <n v="1"/>
    <x v="1"/>
    <x v="6"/>
    <n v="492.76"/>
    <n v="52"/>
    <n v="0.81494661921708189"/>
    <s v="Inefficient"/>
    <s v="Very Long"/>
    <s v="Major Delay"/>
  </r>
  <r>
    <x v="1651"/>
    <x v="1"/>
    <x v="1651"/>
    <x v="4"/>
    <x v="3"/>
    <x v="2"/>
    <s v="EMP_142"/>
    <d v="2024-11-07T18:04:00"/>
    <d v="2024-11-07T21:02:00"/>
    <n v="77"/>
    <n v="178"/>
    <n v="1"/>
    <x v="2"/>
    <x v="6"/>
    <n v="449.21"/>
    <n v="101"/>
    <n v="0.43258426966292135"/>
    <s v="Inefficient"/>
    <s v="Very Long"/>
    <s v="Major Delay"/>
  </r>
  <r>
    <x v="1652"/>
    <x v="0"/>
    <x v="1652"/>
    <x v="0"/>
    <x v="1"/>
    <x v="0"/>
    <s v="EMP_114"/>
    <d v="2024-10-31T17:20:00"/>
    <d v="2024-10-31T21:06:00"/>
    <n v="217"/>
    <n v="226"/>
    <n v="1"/>
    <x v="2"/>
    <x v="2"/>
    <n v="249.7"/>
    <n v="9"/>
    <n v="0.96017699115044253"/>
    <s v="Inefficient"/>
    <s v="Very Long"/>
    <s v="Minor Delay"/>
  </r>
  <r>
    <x v="1653"/>
    <x v="2"/>
    <x v="1653"/>
    <x v="2"/>
    <x v="2"/>
    <x v="4"/>
    <s v="EMP_143"/>
    <d v="2024-07-01T18:28:00"/>
    <d v="2024-07-01T20:46:00"/>
    <n v="143"/>
    <n v="138"/>
    <n v="0"/>
    <x v="1"/>
    <x v="3"/>
    <n v="410.19"/>
    <n v="-5"/>
    <n v="1.036231884057971"/>
    <s v="Efficient"/>
    <s v="Very Long"/>
    <s v="On Time"/>
  </r>
  <r>
    <x v="1654"/>
    <x v="0"/>
    <x v="1654"/>
    <x v="2"/>
    <x v="0"/>
    <x v="3"/>
    <s v="EMP_86"/>
    <d v="2024-06-05T14:07:00"/>
    <d v="2024-06-05T16:30:00"/>
    <n v="117"/>
    <n v="143"/>
    <n v="1"/>
    <x v="0"/>
    <x v="8"/>
    <n v="352.96"/>
    <n v="26"/>
    <n v="0.81818181818181823"/>
    <s v="Inefficient"/>
    <s v="Very Long"/>
    <s v="Minor Delay"/>
  </r>
  <r>
    <x v="1655"/>
    <x v="0"/>
    <x v="1655"/>
    <x v="3"/>
    <x v="0"/>
    <x v="2"/>
    <s v="EMP_90"/>
    <d v="2024-01-10T16:46:00"/>
    <d v="2024-01-10T18:42:00"/>
    <n v="36"/>
    <n v="116"/>
    <n v="1"/>
    <x v="0"/>
    <x v="3"/>
    <n v="146.38"/>
    <n v="80"/>
    <n v="0.31034482758620691"/>
    <s v="Inefficient"/>
    <s v="Long"/>
    <s v="Major Delay"/>
  </r>
  <r>
    <x v="1656"/>
    <x v="3"/>
    <x v="1656"/>
    <x v="4"/>
    <x v="2"/>
    <x v="0"/>
    <s v="EMP_104"/>
    <d v="2024-05-25T09:20:00"/>
    <d v="2024-05-25T14:40:00"/>
    <n v="237"/>
    <n v="320"/>
    <n v="1"/>
    <x v="2"/>
    <x v="0"/>
    <n v="57.21"/>
    <n v="83"/>
    <n v="0.74062499999999998"/>
    <s v="Inefficient"/>
    <s v="Very Long"/>
    <s v="Major Delay"/>
  </r>
  <r>
    <x v="1657"/>
    <x v="3"/>
    <x v="1657"/>
    <x v="1"/>
    <x v="2"/>
    <x v="2"/>
    <s v="EMP_107"/>
    <d v="2024-06-18T10:17:00"/>
    <d v="2024-06-18T12:50:00"/>
    <n v="130"/>
    <n v="153"/>
    <n v="1"/>
    <x v="0"/>
    <x v="9"/>
    <n v="464.75"/>
    <n v="23"/>
    <n v="0.84967320261437906"/>
    <s v="Inefficient"/>
    <s v="Very Long"/>
    <s v="Minor Delay"/>
  </r>
  <r>
    <x v="1658"/>
    <x v="2"/>
    <x v="1658"/>
    <x v="4"/>
    <x v="2"/>
    <x v="3"/>
    <s v="EMP_119"/>
    <d v="2024-07-11T09:35:00"/>
    <d v="2024-07-11T14:12:00"/>
    <n v="177"/>
    <n v="277"/>
    <n v="1"/>
    <x v="2"/>
    <x v="2"/>
    <n v="286.8"/>
    <n v="100"/>
    <n v="0.63898916967509023"/>
    <s v="Inefficient"/>
    <s v="Very Long"/>
    <s v="Major Delay"/>
  </r>
  <r>
    <x v="1659"/>
    <x v="3"/>
    <x v="1659"/>
    <x v="0"/>
    <x v="3"/>
    <x v="3"/>
    <s v="EMP_50"/>
    <d v="2024-02-29T17:25:00"/>
    <d v="2024-02-29T20:38:00"/>
    <n v="108"/>
    <n v="193"/>
    <n v="1"/>
    <x v="1"/>
    <x v="2"/>
    <n v="277.17"/>
    <n v="85"/>
    <n v="0.55958549222797926"/>
    <s v="Inefficient"/>
    <s v="Very Long"/>
    <s v="Major Delay"/>
  </r>
  <r>
    <x v="1660"/>
    <x v="2"/>
    <x v="1660"/>
    <x v="3"/>
    <x v="0"/>
    <x v="2"/>
    <s v="EMP_47"/>
    <d v="2024-06-12T16:38:00"/>
    <d v="2024-06-12T19:12:00"/>
    <n v="113"/>
    <n v="154"/>
    <n v="1"/>
    <x v="2"/>
    <x v="3"/>
    <n v="331.29"/>
    <n v="41"/>
    <n v="0.73376623376623373"/>
    <s v="Inefficient"/>
    <s v="Very Long"/>
    <s v="Major Delay"/>
  </r>
  <r>
    <x v="1661"/>
    <x v="2"/>
    <x v="1661"/>
    <x v="3"/>
    <x v="1"/>
    <x v="1"/>
    <s v="EMP_71"/>
    <d v="2024-06-06T01:35:00"/>
    <d v="2024-06-06T03:12:00"/>
    <n v="76"/>
    <n v="97"/>
    <n v="1"/>
    <x v="0"/>
    <x v="6"/>
    <n v="292.16000000000003"/>
    <n v="21"/>
    <n v="0.78350515463917525"/>
    <s v="Inefficient"/>
    <s v="Long"/>
    <s v="Minor Delay"/>
  </r>
  <r>
    <x v="1662"/>
    <x v="0"/>
    <x v="1662"/>
    <x v="4"/>
    <x v="2"/>
    <x v="2"/>
    <s v="EMP_46"/>
    <d v="2024-03-04T05:40:00"/>
    <d v="2024-03-04T10:05:00"/>
    <n v="178"/>
    <n v="265"/>
    <n v="1"/>
    <x v="1"/>
    <x v="3"/>
    <n v="333.55"/>
    <n v="87"/>
    <n v="0.67169811320754713"/>
    <s v="Inefficient"/>
    <s v="Very Long"/>
    <s v="Major Delay"/>
  </r>
  <r>
    <x v="1663"/>
    <x v="2"/>
    <x v="1663"/>
    <x v="1"/>
    <x v="2"/>
    <x v="2"/>
    <s v="EMP_79"/>
    <d v="2024-07-29T16:25:00"/>
    <d v="2024-07-29T18:35:00"/>
    <n v="19"/>
    <n v="130"/>
    <n v="1"/>
    <x v="0"/>
    <x v="0"/>
    <n v="116.21"/>
    <n v="111"/>
    <n v="0.14615384615384616"/>
    <s v="Inefficient"/>
    <s v="Very Long"/>
    <s v="Major Delay"/>
  </r>
  <r>
    <x v="1664"/>
    <x v="0"/>
    <x v="1664"/>
    <x v="2"/>
    <x v="2"/>
    <x v="2"/>
    <s v="EMP_70"/>
    <d v="2024-09-28T22:13:00"/>
    <d v="2024-09-29T00:48:00"/>
    <n v="160"/>
    <n v="155"/>
    <n v="0"/>
    <x v="0"/>
    <x v="1"/>
    <n v="185.74"/>
    <n v="-5"/>
    <n v="1.032258064516129"/>
    <s v="Efficient"/>
    <s v="Very Long"/>
    <s v="On Time"/>
  </r>
  <r>
    <x v="1665"/>
    <x v="3"/>
    <x v="1665"/>
    <x v="4"/>
    <x v="2"/>
    <x v="1"/>
    <s v="EMP_88"/>
    <d v="2024-02-25T04:49:00"/>
    <d v="2024-02-25T07:53:00"/>
    <n v="101"/>
    <n v="184"/>
    <n v="1"/>
    <x v="2"/>
    <x v="1"/>
    <n v="380.02"/>
    <n v="83"/>
    <n v="0.54891304347826086"/>
    <s v="Inefficient"/>
    <s v="Very Long"/>
    <s v="Major Delay"/>
  </r>
  <r>
    <x v="1666"/>
    <x v="2"/>
    <x v="1666"/>
    <x v="0"/>
    <x v="0"/>
    <x v="4"/>
    <s v="EMP_86"/>
    <d v="2024-01-22T01:34:00"/>
    <d v="2024-01-22T06:08:00"/>
    <n v="158"/>
    <n v="274"/>
    <n v="1"/>
    <x v="0"/>
    <x v="4"/>
    <n v="448.89"/>
    <n v="116"/>
    <n v="0.57664233576642332"/>
    <s v="Inefficient"/>
    <s v="Very Long"/>
    <s v="Major Delay"/>
  </r>
  <r>
    <x v="1667"/>
    <x v="3"/>
    <x v="1667"/>
    <x v="2"/>
    <x v="2"/>
    <x v="2"/>
    <s v="EMP_101"/>
    <d v="2024-04-02T03:08:00"/>
    <d v="2024-04-02T08:24:00"/>
    <n v="215"/>
    <n v="316"/>
    <n v="1"/>
    <x v="0"/>
    <x v="7"/>
    <n v="285.31"/>
    <n v="101"/>
    <n v="0.680379746835443"/>
    <s v="Inefficient"/>
    <s v="Very Long"/>
    <s v="Major Delay"/>
  </r>
  <r>
    <x v="1668"/>
    <x v="2"/>
    <x v="1668"/>
    <x v="3"/>
    <x v="1"/>
    <x v="4"/>
    <s v="EMP_137"/>
    <d v="2024-09-19T18:52:00"/>
    <d v="2024-09-19T21:02:00"/>
    <n v="100"/>
    <n v="130"/>
    <n v="1"/>
    <x v="1"/>
    <x v="8"/>
    <n v="393.91"/>
    <n v="30"/>
    <n v="0.76923076923076927"/>
    <s v="Inefficient"/>
    <s v="Very Long"/>
    <s v="Minor Delay"/>
  </r>
  <r>
    <x v="1669"/>
    <x v="1"/>
    <x v="1669"/>
    <x v="2"/>
    <x v="1"/>
    <x v="1"/>
    <s v="EMP_127"/>
    <d v="2024-12-04T10:25:00"/>
    <d v="2024-12-04T16:12:00"/>
    <n v="232"/>
    <n v="347"/>
    <n v="1"/>
    <x v="2"/>
    <x v="8"/>
    <n v="258.57"/>
    <n v="115"/>
    <n v="0.66858789625360227"/>
    <s v="Inefficient"/>
    <s v="Very Long"/>
    <s v="Major Delay"/>
  </r>
  <r>
    <x v="1670"/>
    <x v="0"/>
    <x v="1670"/>
    <x v="1"/>
    <x v="3"/>
    <x v="0"/>
    <s v="EMP_45"/>
    <d v="2024-08-01T15:09:00"/>
    <d v="2024-08-01T18:30:00"/>
    <n v="190"/>
    <n v="201"/>
    <n v="1"/>
    <x v="0"/>
    <x v="4"/>
    <n v="243.88"/>
    <n v="11"/>
    <n v="0.94527363184079605"/>
    <s v="Inefficient"/>
    <s v="Very Long"/>
    <s v="Minor Delay"/>
  </r>
  <r>
    <x v="1671"/>
    <x v="3"/>
    <x v="1671"/>
    <x v="2"/>
    <x v="2"/>
    <x v="3"/>
    <s v="EMP_114"/>
    <d v="2024-04-04T16:17:00"/>
    <d v="2024-04-04T20:44:00"/>
    <n v="154"/>
    <n v="267"/>
    <n v="1"/>
    <x v="0"/>
    <x v="4"/>
    <n v="422.18"/>
    <n v="113"/>
    <n v="0.57677902621722843"/>
    <s v="Inefficient"/>
    <s v="Very Long"/>
    <s v="Major Delay"/>
  </r>
  <r>
    <x v="1672"/>
    <x v="4"/>
    <x v="1672"/>
    <x v="0"/>
    <x v="2"/>
    <x v="4"/>
    <s v="EMP_79"/>
    <d v="2024-02-25T01:35:00"/>
    <d v="2024-02-25T04:32:00"/>
    <n v="84"/>
    <n v="177"/>
    <n v="1"/>
    <x v="2"/>
    <x v="4"/>
    <n v="63.69"/>
    <n v="93"/>
    <n v="0.47457627118644069"/>
    <s v="Inefficient"/>
    <s v="Very Long"/>
    <s v="Major Delay"/>
  </r>
  <r>
    <x v="1673"/>
    <x v="1"/>
    <x v="1673"/>
    <x v="1"/>
    <x v="1"/>
    <x v="1"/>
    <s v="EMP_138"/>
    <d v="2024-02-11T08:20:00"/>
    <d v="2024-02-11T10:23:00"/>
    <n v="76"/>
    <n v="123"/>
    <n v="1"/>
    <x v="2"/>
    <x v="4"/>
    <n v="439.44"/>
    <n v="47"/>
    <n v="0.61788617886178865"/>
    <s v="Inefficient"/>
    <s v="Very Long"/>
    <s v="Major Delay"/>
  </r>
  <r>
    <x v="1674"/>
    <x v="2"/>
    <x v="1674"/>
    <x v="4"/>
    <x v="1"/>
    <x v="0"/>
    <s v="EMP_141"/>
    <d v="2024-06-18T06:15:00"/>
    <d v="2024-06-18T07:35:00"/>
    <n v="29"/>
    <n v="80"/>
    <n v="1"/>
    <x v="2"/>
    <x v="2"/>
    <n v="425.89"/>
    <n v="51"/>
    <n v="0.36249999999999999"/>
    <s v="Inefficient"/>
    <s v="Long"/>
    <s v="Major Delay"/>
  </r>
  <r>
    <x v="1675"/>
    <x v="4"/>
    <x v="1675"/>
    <x v="4"/>
    <x v="3"/>
    <x v="3"/>
    <s v="EMP_10"/>
    <d v="2024-08-21T20:44:00"/>
    <d v="2024-08-21T22:06:00"/>
    <n v="12"/>
    <n v="82"/>
    <n v="1"/>
    <x v="0"/>
    <x v="6"/>
    <n v="409.84"/>
    <n v="70"/>
    <n v="0.14634146341463414"/>
    <s v="Inefficient"/>
    <s v="Long"/>
    <s v="Major Delay"/>
  </r>
  <r>
    <x v="1676"/>
    <x v="0"/>
    <x v="1676"/>
    <x v="2"/>
    <x v="0"/>
    <x v="1"/>
    <s v="EMP_76"/>
    <d v="2024-03-30T00:00:00"/>
    <d v="2024-03-30T01:39:00"/>
    <n v="67"/>
    <n v="99"/>
    <n v="1"/>
    <x v="0"/>
    <x v="2"/>
    <n v="242.12"/>
    <n v="32"/>
    <n v="0.6767676767676768"/>
    <s v="Inefficient"/>
    <s v="Long"/>
    <s v="Major Delay"/>
  </r>
  <r>
    <x v="1677"/>
    <x v="3"/>
    <x v="1677"/>
    <x v="4"/>
    <x v="0"/>
    <x v="1"/>
    <s v="EMP_7"/>
    <d v="2024-02-13T08:56:00"/>
    <d v="2024-02-13T11:15:00"/>
    <n v="110"/>
    <n v="139"/>
    <n v="1"/>
    <x v="0"/>
    <x v="6"/>
    <n v="123.54"/>
    <n v="29"/>
    <n v="0.79136690647482011"/>
    <s v="Inefficient"/>
    <s v="Very Long"/>
    <s v="Minor Delay"/>
  </r>
  <r>
    <x v="1678"/>
    <x v="1"/>
    <x v="1678"/>
    <x v="0"/>
    <x v="3"/>
    <x v="1"/>
    <s v="EMP_90"/>
    <d v="2024-01-23T10:15:00"/>
    <d v="2024-01-23T14:42:00"/>
    <n v="155"/>
    <n v="267"/>
    <n v="1"/>
    <x v="2"/>
    <x v="9"/>
    <n v="409.29"/>
    <n v="112"/>
    <n v="0.58052434456928836"/>
    <s v="Inefficient"/>
    <s v="Very Long"/>
    <s v="Major Delay"/>
  </r>
  <r>
    <x v="1679"/>
    <x v="1"/>
    <x v="1679"/>
    <x v="3"/>
    <x v="0"/>
    <x v="3"/>
    <s v="EMP_47"/>
    <d v="2024-11-06T20:51:00"/>
    <d v="2024-11-07T01:37:00"/>
    <n v="232"/>
    <n v="286"/>
    <n v="1"/>
    <x v="1"/>
    <x v="0"/>
    <n v="141.79"/>
    <n v="54"/>
    <n v="0.81118881118881114"/>
    <s v="Inefficient"/>
    <s v="Very Long"/>
    <s v="Major Delay"/>
  </r>
  <r>
    <x v="1680"/>
    <x v="3"/>
    <x v="1680"/>
    <x v="0"/>
    <x v="3"/>
    <x v="3"/>
    <s v="EMP_112"/>
    <d v="2024-08-10T03:07:00"/>
    <d v="2024-08-10T05:56:00"/>
    <n v="121"/>
    <n v="169"/>
    <n v="1"/>
    <x v="2"/>
    <x v="7"/>
    <n v="372.59"/>
    <n v="48"/>
    <n v="0.71597633136094674"/>
    <s v="Inefficient"/>
    <s v="Very Long"/>
    <s v="Major Delay"/>
  </r>
  <r>
    <x v="1681"/>
    <x v="4"/>
    <x v="1681"/>
    <x v="3"/>
    <x v="0"/>
    <x v="3"/>
    <s v="EMP_128"/>
    <d v="2024-10-06T04:33:00"/>
    <d v="2024-10-06T06:47:00"/>
    <n v="127"/>
    <n v="134"/>
    <n v="1"/>
    <x v="0"/>
    <x v="0"/>
    <n v="317.33"/>
    <n v="7"/>
    <n v="0.94776119402985071"/>
    <s v="Inefficient"/>
    <s v="Very Long"/>
    <s v="Minor Delay"/>
  </r>
  <r>
    <x v="1682"/>
    <x v="4"/>
    <x v="1682"/>
    <x v="4"/>
    <x v="0"/>
    <x v="4"/>
    <s v="EMP_95"/>
    <d v="2024-05-28T20:45:00"/>
    <d v="2024-05-29T00:14:00"/>
    <n v="211"/>
    <n v="209"/>
    <n v="0"/>
    <x v="1"/>
    <x v="4"/>
    <n v="306.33999999999997"/>
    <n v="-2"/>
    <n v="1.0095693779904307"/>
    <s v="Efficient"/>
    <s v="Very Long"/>
    <s v="On Time"/>
  </r>
  <r>
    <x v="1683"/>
    <x v="3"/>
    <x v="1683"/>
    <x v="4"/>
    <x v="0"/>
    <x v="1"/>
    <s v="EMP_78"/>
    <d v="2024-11-09T18:34:00"/>
    <d v="2024-11-09T20:31:00"/>
    <n v="111"/>
    <n v="117"/>
    <n v="1"/>
    <x v="0"/>
    <x v="4"/>
    <n v="299.97000000000003"/>
    <n v="6"/>
    <n v="0.94871794871794868"/>
    <s v="Inefficient"/>
    <s v="Long"/>
    <s v="Minor Delay"/>
  </r>
  <r>
    <x v="1684"/>
    <x v="4"/>
    <x v="1684"/>
    <x v="4"/>
    <x v="3"/>
    <x v="1"/>
    <s v="EMP_140"/>
    <d v="2024-10-04T20:03:00"/>
    <d v="2024-10-05T00:19:00"/>
    <n v="207"/>
    <n v="256"/>
    <n v="1"/>
    <x v="2"/>
    <x v="1"/>
    <n v="209.53"/>
    <n v="49"/>
    <n v="0.80859375"/>
    <s v="Inefficient"/>
    <s v="Very Long"/>
    <s v="Major Delay"/>
  </r>
  <r>
    <x v="1685"/>
    <x v="4"/>
    <x v="1685"/>
    <x v="0"/>
    <x v="0"/>
    <x v="3"/>
    <s v="EMP_96"/>
    <d v="2024-10-25T14:44:00"/>
    <d v="2024-10-25T18:44:00"/>
    <n v="147"/>
    <n v="240"/>
    <n v="1"/>
    <x v="2"/>
    <x v="3"/>
    <n v="190.88"/>
    <n v="93"/>
    <n v="0.61250000000000004"/>
    <s v="Inefficient"/>
    <s v="Very Long"/>
    <s v="Major Delay"/>
  </r>
  <r>
    <x v="1686"/>
    <x v="0"/>
    <x v="1686"/>
    <x v="3"/>
    <x v="0"/>
    <x v="4"/>
    <s v="EMP_105"/>
    <d v="2024-02-14T17:53:00"/>
    <d v="2024-02-14T19:46:00"/>
    <n v="93"/>
    <n v="113"/>
    <n v="1"/>
    <x v="2"/>
    <x v="7"/>
    <n v="272.49"/>
    <n v="20"/>
    <n v="0.82300884955752207"/>
    <s v="Inefficient"/>
    <s v="Long"/>
    <s v="Minor Delay"/>
  </r>
  <r>
    <x v="1687"/>
    <x v="2"/>
    <x v="1687"/>
    <x v="0"/>
    <x v="0"/>
    <x v="1"/>
    <s v="EMP_45"/>
    <d v="2024-07-25T12:09:00"/>
    <d v="2024-07-25T13:05:00"/>
    <n v="30"/>
    <n v="56"/>
    <n v="1"/>
    <x v="1"/>
    <x v="7"/>
    <n v="294.8"/>
    <n v="26"/>
    <n v="0.5357142857142857"/>
    <s v="Inefficient"/>
    <s v="Medium"/>
    <s v="Minor Delay"/>
  </r>
  <r>
    <x v="1688"/>
    <x v="3"/>
    <x v="1688"/>
    <x v="3"/>
    <x v="0"/>
    <x v="2"/>
    <s v="EMP_67"/>
    <d v="2024-02-23T00:09:00"/>
    <d v="2024-02-23T03:15:00"/>
    <n v="108"/>
    <n v="186"/>
    <n v="1"/>
    <x v="2"/>
    <x v="9"/>
    <n v="234.46"/>
    <n v="78"/>
    <n v="0.58064516129032262"/>
    <s v="Inefficient"/>
    <s v="Very Long"/>
    <s v="Major Delay"/>
  </r>
  <r>
    <x v="1689"/>
    <x v="4"/>
    <x v="1689"/>
    <x v="3"/>
    <x v="2"/>
    <x v="0"/>
    <s v="EMP_120"/>
    <d v="2024-05-29T22:09:00"/>
    <d v="2024-05-30T02:11:00"/>
    <n v="168"/>
    <n v="242"/>
    <n v="1"/>
    <x v="2"/>
    <x v="1"/>
    <n v="307.81"/>
    <n v="74"/>
    <n v="0.69421487603305787"/>
    <s v="Inefficient"/>
    <s v="Very Long"/>
    <s v="Major Delay"/>
  </r>
  <r>
    <x v="1690"/>
    <x v="0"/>
    <x v="1690"/>
    <x v="2"/>
    <x v="2"/>
    <x v="4"/>
    <s v="EMP_17"/>
    <d v="2024-06-08T01:35:00"/>
    <d v="2024-06-08T02:56:00"/>
    <n v="59"/>
    <n v="81"/>
    <n v="1"/>
    <x v="1"/>
    <x v="8"/>
    <n v="439.27"/>
    <n v="22"/>
    <n v="0.72839506172839508"/>
    <s v="Inefficient"/>
    <s v="Long"/>
    <s v="Minor Delay"/>
  </r>
  <r>
    <x v="1691"/>
    <x v="1"/>
    <x v="1691"/>
    <x v="3"/>
    <x v="1"/>
    <x v="4"/>
    <s v="EMP_37"/>
    <d v="2024-02-22T01:29:00"/>
    <d v="2024-02-22T05:10:00"/>
    <n v="114"/>
    <n v="221"/>
    <n v="1"/>
    <x v="0"/>
    <x v="2"/>
    <n v="412.75"/>
    <n v="107"/>
    <n v="0.51583710407239824"/>
    <s v="Inefficient"/>
    <s v="Very Long"/>
    <s v="Major Delay"/>
  </r>
  <r>
    <x v="1692"/>
    <x v="2"/>
    <x v="1692"/>
    <x v="4"/>
    <x v="0"/>
    <x v="3"/>
    <s v="EMP_49"/>
    <d v="2024-06-09T23:53:00"/>
    <d v="2024-06-10T04:05:00"/>
    <n v="184"/>
    <n v="252"/>
    <n v="1"/>
    <x v="0"/>
    <x v="5"/>
    <n v="204.76"/>
    <n v="68"/>
    <n v="0.73015873015873012"/>
    <s v="Inefficient"/>
    <s v="Very Long"/>
    <s v="Major Delay"/>
  </r>
  <r>
    <x v="1693"/>
    <x v="0"/>
    <x v="1693"/>
    <x v="3"/>
    <x v="0"/>
    <x v="1"/>
    <s v="EMP_138"/>
    <d v="2024-02-23T04:07:00"/>
    <d v="2024-02-23T08:00:00"/>
    <n v="198"/>
    <n v="233"/>
    <n v="1"/>
    <x v="1"/>
    <x v="5"/>
    <n v="273.56"/>
    <n v="35"/>
    <n v="0.84978540772532185"/>
    <s v="Inefficient"/>
    <s v="Very Long"/>
    <s v="Major Delay"/>
  </r>
  <r>
    <x v="1694"/>
    <x v="0"/>
    <x v="1694"/>
    <x v="2"/>
    <x v="0"/>
    <x v="0"/>
    <s v="EMP_47"/>
    <d v="2024-02-20T06:21:00"/>
    <d v="2024-02-20T09:00:00"/>
    <n v="118"/>
    <n v="159"/>
    <n v="1"/>
    <x v="0"/>
    <x v="5"/>
    <n v="269.75"/>
    <n v="41"/>
    <n v="0.74213836477987416"/>
    <s v="Inefficient"/>
    <s v="Very Long"/>
    <s v="Major Delay"/>
  </r>
  <r>
    <x v="1695"/>
    <x v="2"/>
    <x v="1695"/>
    <x v="3"/>
    <x v="3"/>
    <x v="2"/>
    <s v="EMP_67"/>
    <d v="2024-02-01T06:12:00"/>
    <d v="2024-02-01T09:45:00"/>
    <n v="140"/>
    <n v="213"/>
    <n v="1"/>
    <x v="2"/>
    <x v="5"/>
    <n v="441.9"/>
    <n v="73"/>
    <n v="0.65727699530516437"/>
    <s v="Inefficient"/>
    <s v="Very Long"/>
    <s v="Major Delay"/>
  </r>
  <r>
    <x v="1696"/>
    <x v="0"/>
    <x v="1696"/>
    <x v="1"/>
    <x v="3"/>
    <x v="0"/>
    <s v="EMP_51"/>
    <d v="2024-11-27T14:55:00"/>
    <d v="2024-11-27T18:08:00"/>
    <n v="109"/>
    <n v="193"/>
    <n v="1"/>
    <x v="1"/>
    <x v="8"/>
    <n v="441.74"/>
    <n v="84"/>
    <n v="0.56476683937823835"/>
    <s v="Inefficient"/>
    <s v="Very Long"/>
    <s v="Major Delay"/>
  </r>
  <r>
    <x v="1697"/>
    <x v="1"/>
    <x v="1697"/>
    <x v="2"/>
    <x v="1"/>
    <x v="0"/>
    <s v="EMP_134"/>
    <d v="2024-09-11T15:25:00"/>
    <d v="2024-09-11T17:55:00"/>
    <n v="104"/>
    <n v="150"/>
    <n v="1"/>
    <x v="2"/>
    <x v="1"/>
    <n v="379.57"/>
    <n v="46"/>
    <n v="0.69333333333333336"/>
    <s v="Inefficient"/>
    <s v="Very Long"/>
    <s v="Major Delay"/>
  </r>
  <r>
    <x v="1698"/>
    <x v="2"/>
    <x v="1698"/>
    <x v="2"/>
    <x v="2"/>
    <x v="4"/>
    <s v="EMP_10"/>
    <d v="2024-10-14T01:05:00"/>
    <d v="2024-10-14T03:20:00"/>
    <n v="91"/>
    <n v="135"/>
    <n v="1"/>
    <x v="0"/>
    <x v="9"/>
    <n v="449.47"/>
    <n v="44"/>
    <n v="0.67407407407407405"/>
    <s v="Inefficient"/>
    <s v="Very Long"/>
    <s v="Major Delay"/>
  </r>
  <r>
    <x v="1699"/>
    <x v="3"/>
    <x v="1699"/>
    <x v="2"/>
    <x v="0"/>
    <x v="1"/>
    <s v="EMP_66"/>
    <d v="2024-08-20T14:30:00"/>
    <d v="2024-08-20T15:49:00"/>
    <n v="56"/>
    <n v="79"/>
    <n v="1"/>
    <x v="2"/>
    <x v="3"/>
    <n v="451.72"/>
    <n v="23"/>
    <n v="0.70886075949367089"/>
    <s v="Inefficient"/>
    <s v="Long"/>
    <s v="Minor Delay"/>
  </r>
  <r>
    <x v="1700"/>
    <x v="3"/>
    <x v="1700"/>
    <x v="4"/>
    <x v="1"/>
    <x v="4"/>
    <s v="EMP_41"/>
    <d v="2024-02-03T10:52:00"/>
    <d v="2024-02-03T15:41:00"/>
    <n v="178"/>
    <n v="289"/>
    <n v="1"/>
    <x v="2"/>
    <x v="3"/>
    <n v="381.24"/>
    <n v="111"/>
    <n v="0.61591695501730104"/>
    <s v="Inefficient"/>
    <s v="Very Long"/>
    <s v="Major Delay"/>
  </r>
  <r>
    <x v="1701"/>
    <x v="4"/>
    <x v="1701"/>
    <x v="2"/>
    <x v="1"/>
    <x v="3"/>
    <s v="EMP_7"/>
    <d v="2024-10-29T06:52:00"/>
    <d v="2024-10-29T11:28:00"/>
    <n v="191"/>
    <n v="276"/>
    <n v="1"/>
    <x v="2"/>
    <x v="9"/>
    <n v="244.13"/>
    <n v="85"/>
    <n v="0.69202898550724634"/>
    <s v="Inefficient"/>
    <s v="Very Long"/>
    <s v="Major Delay"/>
  </r>
  <r>
    <x v="1702"/>
    <x v="3"/>
    <x v="1702"/>
    <x v="1"/>
    <x v="3"/>
    <x v="3"/>
    <s v="EMP_116"/>
    <d v="2024-02-24T23:02:00"/>
    <d v="2024-02-24T23:31:00"/>
    <n v="26"/>
    <n v="29"/>
    <n v="1"/>
    <x v="1"/>
    <x v="9"/>
    <n v="167.92"/>
    <n v="3"/>
    <n v="0.89655172413793105"/>
    <s v="Inefficient"/>
    <s v="Short"/>
    <s v="Minor Delay"/>
  </r>
  <r>
    <x v="1703"/>
    <x v="0"/>
    <x v="1703"/>
    <x v="2"/>
    <x v="1"/>
    <x v="0"/>
    <s v="EMP_11"/>
    <d v="2024-07-04T15:00:00"/>
    <d v="2024-07-04T15:36:00"/>
    <n v="39"/>
    <n v="36"/>
    <n v="0"/>
    <x v="0"/>
    <x v="2"/>
    <n v="198.72"/>
    <n v="-3"/>
    <n v="1.0833333333333333"/>
    <s v="Efficient"/>
    <s v="Medium"/>
    <s v="On Time"/>
  </r>
  <r>
    <x v="1704"/>
    <x v="2"/>
    <x v="1704"/>
    <x v="2"/>
    <x v="2"/>
    <x v="0"/>
    <s v="EMP_14"/>
    <d v="2024-04-24T06:09:00"/>
    <d v="2024-04-24T07:48:00"/>
    <n v="40"/>
    <n v="99"/>
    <n v="1"/>
    <x v="1"/>
    <x v="0"/>
    <n v="489.7"/>
    <n v="59"/>
    <n v="0.40404040404040403"/>
    <s v="Inefficient"/>
    <s v="Long"/>
    <s v="Major Delay"/>
  </r>
  <r>
    <x v="1705"/>
    <x v="2"/>
    <x v="1705"/>
    <x v="1"/>
    <x v="0"/>
    <x v="2"/>
    <s v="EMP_17"/>
    <d v="2024-09-09T12:03:00"/>
    <d v="2024-09-09T14:37:00"/>
    <n v="68"/>
    <n v="154"/>
    <n v="1"/>
    <x v="0"/>
    <x v="6"/>
    <n v="196.1"/>
    <n v="86"/>
    <n v="0.44155844155844154"/>
    <s v="Inefficient"/>
    <s v="Very Long"/>
    <s v="Major Delay"/>
  </r>
  <r>
    <x v="1706"/>
    <x v="0"/>
    <x v="1706"/>
    <x v="4"/>
    <x v="0"/>
    <x v="2"/>
    <s v="EMP_83"/>
    <d v="2024-09-08T15:17:00"/>
    <d v="2024-09-08T19:11:00"/>
    <n v="152"/>
    <n v="234"/>
    <n v="1"/>
    <x v="0"/>
    <x v="7"/>
    <n v="98.66"/>
    <n v="82"/>
    <n v="0.6495726495726496"/>
    <s v="Inefficient"/>
    <s v="Very Long"/>
    <s v="Major Delay"/>
  </r>
  <r>
    <x v="1707"/>
    <x v="2"/>
    <x v="1707"/>
    <x v="1"/>
    <x v="1"/>
    <x v="1"/>
    <s v="EMP_12"/>
    <d v="2024-08-25T06:46:00"/>
    <d v="2024-08-25T07:03:00"/>
    <n v="17"/>
    <n v="17"/>
    <n v="0"/>
    <x v="1"/>
    <x v="3"/>
    <n v="129.81"/>
    <n v="0"/>
    <n v="1"/>
    <s v="On Target"/>
    <s v="Short"/>
    <s v="On Time"/>
  </r>
  <r>
    <x v="1708"/>
    <x v="4"/>
    <x v="1708"/>
    <x v="2"/>
    <x v="1"/>
    <x v="1"/>
    <s v="EMP_140"/>
    <d v="2024-10-13T18:40:00"/>
    <d v="2024-10-13T22:25:00"/>
    <n v="139"/>
    <n v="225"/>
    <n v="1"/>
    <x v="0"/>
    <x v="1"/>
    <n v="148.91"/>
    <n v="86"/>
    <n v="0.61777777777777776"/>
    <s v="Inefficient"/>
    <s v="Very Long"/>
    <s v="Major Delay"/>
  </r>
  <r>
    <x v="1709"/>
    <x v="0"/>
    <x v="1709"/>
    <x v="0"/>
    <x v="1"/>
    <x v="3"/>
    <s v="EMP_75"/>
    <d v="2024-08-15T19:38:00"/>
    <d v="2024-08-15T22:02:00"/>
    <n v="68"/>
    <n v="144"/>
    <n v="1"/>
    <x v="2"/>
    <x v="8"/>
    <n v="160.35"/>
    <n v="76"/>
    <n v="0.47222222222222221"/>
    <s v="Inefficient"/>
    <s v="Very Long"/>
    <s v="Major Delay"/>
  </r>
  <r>
    <x v="1710"/>
    <x v="2"/>
    <x v="1710"/>
    <x v="1"/>
    <x v="3"/>
    <x v="1"/>
    <s v="EMP_59"/>
    <d v="2024-11-26T04:36:00"/>
    <d v="2024-11-26T05:38:00"/>
    <n v="39"/>
    <n v="62"/>
    <n v="1"/>
    <x v="2"/>
    <x v="6"/>
    <n v="332.05"/>
    <n v="23"/>
    <n v="0.62903225806451613"/>
    <s v="Inefficient"/>
    <s v="Long"/>
    <s v="Minor Delay"/>
  </r>
  <r>
    <x v="1711"/>
    <x v="1"/>
    <x v="1711"/>
    <x v="4"/>
    <x v="1"/>
    <x v="0"/>
    <s v="EMP_126"/>
    <d v="2024-05-31T14:33:00"/>
    <d v="2024-05-31T16:34:00"/>
    <n v="113"/>
    <n v="121"/>
    <n v="1"/>
    <x v="2"/>
    <x v="7"/>
    <n v="80.19"/>
    <n v="8"/>
    <n v="0.93388429752066116"/>
    <s v="Inefficient"/>
    <s v="Very Long"/>
    <s v="Minor Delay"/>
  </r>
  <r>
    <x v="1712"/>
    <x v="3"/>
    <x v="1712"/>
    <x v="4"/>
    <x v="3"/>
    <x v="4"/>
    <s v="EMP_86"/>
    <d v="2024-05-27T00:57:00"/>
    <d v="2024-05-27T01:55:00"/>
    <n v="48"/>
    <n v="58"/>
    <n v="1"/>
    <x v="0"/>
    <x v="7"/>
    <n v="317.62"/>
    <n v="10"/>
    <n v="0.82758620689655171"/>
    <s v="Inefficient"/>
    <s v="Medium"/>
    <s v="Minor Delay"/>
  </r>
  <r>
    <x v="1713"/>
    <x v="2"/>
    <x v="1713"/>
    <x v="2"/>
    <x v="1"/>
    <x v="2"/>
    <s v="EMP_6"/>
    <d v="2024-01-01T02:40:00"/>
    <d v="2024-01-01T05:24:00"/>
    <n v="55"/>
    <n v="164"/>
    <n v="1"/>
    <x v="2"/>
    <x v="5"/>
    <n v="309.56"/>
    <n v="109"/>
    <n v="0.33536585365853661"/>
    <s v="Inefficient"/>
    <s v="Very Long"/>
    <s v="Major Delay"/>
  </r>
  <r>
    <x v="1714"/>
    <x v="1"/>
    <x v="1714"/>
    <x v="0"/>
    <x v="2"/>
    <x v="1"/>
    <s v="EMP_5"/>
    <d v="2024-07-15T19:04:00"/>
    <d v="2024-07-15T20:45:00"/>
    <n v="64"/>
    <n v="101"/>
    <n v="1"/>
    <x v="2"/>
    <x v="4"/>
    <n v="345.38"/>
    <n v="37"/>
    <n v="0.63366336633663367"/>
    <s v="Inefficient"/>
    <s v="Long"/>
    <s v="Major Delay"/>
  </r>
  <r>
    <x v="1715"/>
    <x v="0"/>
    <x v="1715"/>
    <x v="0"/>
    <x v="0"/>
    <x v="0"/>
    <s v="EMP_62"/>
    <d v="2024-09-15T13:48:00"/>
    <d v="2024-09-15T16:25:00"/>
    <n v="58"/>
    <n v="157"/>
    <n v="1"/>
    <x v="2"/>
    <x v="5"/>
    <n v="378.51"/>
    <n v="99"/>
    <n v="0.36942675159235666"/>
    <s v="Inefficient"/>
    <s v="Very Long"/>
    <s v="Major Delay"/>
  </r>
  <r>
    <x v="1716"/>
    <x v="3"/>
    <x v="1716"/>
    <x v="0"/>
    <x v="2"/>
    <x v="0"/>
    <s v="EMP_124"/>
    <d v="2024-08-27T01:34:00"/>
    <d v="2024-08-27T05:04:00"/>
    <n v="174"/>
    <n v="210"/>
    <n v="1"/>
    <x v="2"/>
    <x v="4"/>
    <n v="90.85"/>
    <n v="36"/>
    <n v="0.82857142857142863"/>
    <s v="Inefficient"/>
    <s v="Very Long"/>
    <s v="Major Delay"/>
  </r>
  <r>
    <x v="1717"/>
    <x v="2"/>
    <x v="1717"/>
    <x v="1"/>
    <x v="0"/>
    <x v="1"/>
    <s v="EMP_108"/>
    <d v="2024-06-29T06:13:00"/>
    <d v="2024-06-29T09:12:00"/>
    <n v="72"/>
    <n v="179"/>
    <n v="1"/>
    <x v="1"/>
    <x v="2"/>
    <n v="244.06"/>
    <n v="107"/>
    <n v="0.4022346368715084"/>
    <s v="Inefficient"/>
    <s v="Very Long"/>
    <s v="Major Delay"/>
  </r>
  <r>
    <x v="1718"/>
    <x v="0"/>
    <x v="1718"/>
    <x v="0"/>
    <x v="1"/>
    <x v="4"/>
    <s v="EMP_131"/>
    <d v="2024-08-03T22:11:00"/>
    <d v="2024-08-04T01:56:00"/>
    <n v="129"/>
    <n v="225"/>
    <n v="1"/>
    <x v="0"/>
    <x v="3"/>
    <n v="413.71"/>
    <n v="96"/>
    <n v="0.57333333333333336"/>
    <s v="Inefficient"/>
    <s v="Very Long"/>
    <s v="Major Delay"/>
  </r>
  <r>
    <x v="1719"/>
    <x v="0"/>
    <x v="1719"/>
    <x v="2"/>
    <x v="0"/>
    <x v="4"/>
    <s v="EMP_122"/>
    <d v="2024-07-18T16:02:00"/>
    <d v="2024-07-18T20:53:00"/>
    <n v="191"/>
    <n v="291"/>
    <n v="1"/>
    <x v="1"/>
    <x v="9"/>
    <n v="437.16"/>
    <n v="100"/>
    <n v="0.6563573883161512"/>
    <s v="Inefficient"/>
    <s v="Very Long"/>
    <s v="Major Delay"/>
  </r>
  <r>
    <x v="1720"/>
    <x v="2"/>
    <x v="1720"/>
    <x v="2"/>
    <x v="2"/>
    <x v="1"/>
    <s v="EMP_86"/>
    <d v="2024-10-21T15:11:00"/>
    <d v="2024-10-21T17:09:00"/>
    <n v="89"/>
    <n v="118"/>
    <n v="1"/>
    <x v="1"/>
    <x v="1"/>
    <n v="470.19"/>
    <n v="29"/>
    <n v="0.75423728813559321"/>
    <s v="Inefficient"/>
    <s v="Long"/>
    <s v="Minor Delay"/>
  </r>
  <r>
    <x v="1721"/>
    <x v="0"/>
    <x v="1721"/>
    <x v="4"/>
    <x v="2"/>
    <x v="2"/>
    <s v="EMP_25"/>
    <d v="2024-02-06T02:44:00"/>
    <d v="2024-02-06T05:27:00"/>
    <n v="54"/>
    <n v="163"/>
    <n v="1"/>
    <x v="1"/>
    <x v="0"/>
    <n v="150.21"/>
    <n v="109"/>
    <n v="0.33128834355828218"/>
    <s v="Inefficient"/>
    <s v="Very Long"/>
    <s v="Major Delay"/>
  </r>
  <r>
    <x v="1722"/>
    <x v="4"/>
    <x v="1722"/>
    <x v="4"/>
    <x v="0"/>
    <x v="2"/>
    <s v="EMP_21"/>
    <d v="2024-05-20T21:07:00"/>
    <d v="2024-05-21T00:54:00"/>
    <n v="205"/>
    <n v="227"/>
    <n v="1"/>
    <x v="1"/>
    <x v="7"/>
    <n v="62.06"/>
    <n v="22"/>
    <n v="0.90308370044052866"/>
    <s v="Inefficient"/>
    <s v="Very Long"/>
    <s v="Minor Delay"/>
  </r>
  <r>
    <x v="1723"/>
    <x v="2"/>
    <x v="1723"/>
    <x v="3"/>
    <x v="1"/>
    <x v="3"/>
    <s v="EMP_12"/>
    <d v="2024-08-10T19:51:00"/>
    <d v="2024-08-10T21:48:00"/>
    <n v="77"/>
    <n v="117"/>
    <n v="1"/>
    <x v="1"/>
    <x v="1"/>
    <n v="212.11"/>
    <n v="40"/>
    <n v="0.65811965811965811"/>
    <s v="Inefficient"/>
    <s v="Long"/>
    <s v="Major Delay"/>
  </r>
  <r>
    <x v="1724"/>
    <x v="4"/>
    <x v="1724"/>
    <x v="1"/>
    <x v="0"/>
    <x v="2"/>
    <s v="EMP_18"/>
    <d v="2024-10-28T04:45:00"/>
    <d v="2024-10-28T09:59:00"/>
    <n v="209"/>
    <n v="314"/>
    <n v="1"/>
    <x v="2"/>
    <x v="1"/>
    <n v="66.760000000000005"/>
    <n v="105"/>
    <n v="0.66560509554140124"/>
    <s v="Inefficient"/>
    <s v="Very Long"/>
    <s v="Major Delay"/>
  </r>
  <r>
    <x v="1725"/>
    <x v="4"/>
    <x v="1725"/>
    <x v="0"/>
    <x v="1"/>
    <x v="2"/>
    <s v="EMP_28"/>
    <d v="2024-03-23T23:10:00"/>
    <d v="2024-03-24T01:19:00"/>
    <n v="118"/>
    <n v="129"/>
    <n v="1"/>
    <x v="0"/>
    <x v="2"/>
    <n v="387.55"/>
    <n v="11"/>
    <n v="0.9147286821705426"/>
    <s v="Inefficient"/>
    <s v="Very Long"/>
    <s v="Minor Delay"/>
  </r>
  <r>
    <x v="1726"/>
    <x v="4"/>
    <x v="1726"/>
    <x v="0"/>
    <x v="2"/>
    <x v="4"/>
    <s v="EMP_14"/>
    <d v="2024-07-21T18:29:00"/>
    <d v="2024-07-21T20:32:00"/>
    <n v="82"/>
    <n v="123"/>
    <n v="1"/>
    <x v="2"/>
    <x v="1"/>
    <n v="212.24"/>
    <n v="41"/>
    <n v="0.66666666666666663"/>
    <s v="Inefficient"/>
    <s v="Very Long"/>
    <s v="Major Delay"/>
  </r>
  <r>
    <x v="1727"/>
    <x v="1"/>
    <x v="1727"/>
    <x v="1"/>
    <x v="1"/>
    <x v="1"/>
    <s v="EMP_115"/>
    <d v="2024-08-16T07:09:00"/>
    <d v="2024-08-16T09:56:00"/>
    <n v="62"/>
    <n v="167"/>
    <n v="1"/>
    <x v="0"/>
    <x v="6"/>
    <n v="440.75"/>
    <n v="105"/>
    <n v="0.3712574850299401"/>
    <s v="Inefficient"/>
    <s v="Very Long"/>
    <s v="Major Delay"/>
  </r>
  <r>
    <x v="1728"/>
    <x v="3"/>
    <x v="1728"/>
    <x v="3"/>
    <x v="3"/>
    <x v="3"/>
    <s v="EMP_28"/>
    <d v="2024-04-17T17:47:00"/>
    <d v="2024-04-17T22:11:00"/>
    <n v="229"/>
    <n v="264"/>
    <n v="1"/>
    <x v="1"/>
    <x v="3"/>
    <n v="104.51"/>
    <n v="35"/>
    <n v="0.86742424242424243"/>
    <s v="Inefficient"/>
    <s v="Very Long"/>
    <s v="Major Delay"/>
  </r>
  <r>
    <x v="1729"/>
    <x v="0"/>
    <x v="1729"/>
    <x v="4"/>
    <x v="2"/>
    <x v="3"/>
    <s v="EMP_118"/>
    <d v="2024-08-14T00:30:00"/>
    <d v="2024-08-14T04:02:00"/>
    <n v="105"/>
    <n v="212"/>
    <n v="1"/>
    <x v="1"/>
    <x v="5"/>
    <n v="228.52"/>
    <n v="107"/>
    <n v="0.49528301886792453"/>
    <s v="Inefficient"/>
    <s v="Very Long"/>
    <s v="Major Delay"/>
  </r>
  <r>
    <x v="1730"/>
    <x v="2"/>
    <x v="1730"/>
    <x v="2"/>
    <x v="1"/>
    <x v="3"/>
    <s v="EMP_75"/>
    <d v="2024-10-07T12:00:00"/>
    <d v="2024-10-07T13:18:00"/>
    <n v="57"/>
    <n v="78"/>
    <n v="1"/>
    <x v="0"/>
    <x v="8"/>
    <n v="253.08"/>
    <n v="21"/>
    <n v="0.73076923076923073"/>
    <s v="Inefficient"/>
    <s v="Long"/>
    <s v="Minor Delay"/>
  </r>
  <r>
    <x v="1731"/>
    <x v="3"/>
    <x v="1731"/>
    <x v="3"/>
    <x v="1"/>
    <x v="0"/>
    <s v="EMP_89"/>
    <d v="2024-04-11T13:45:00"/>
    <d v="2024-04-11T17:29:00"/>
    <n v="151"/>
    <n v="224"/>
    <n v="1"/>
    <x v="0"/>
    <x v="5"/>
    <n v="492.13"/>
    <n v="73"/>
    <n v="0.6741071428571429"/>
    <s v="Inefficient"/>
    <s v="Very Long"/>
    <s v="Major Delay"/>
  </r>
  <r>
    <x v="1732"/>
    <x v="0"/>
    <x v="1732"/>
    <x v="1"/>
    <x v="1"/>
    <x v="3"/>
    <s v="EMP_131"/>
    <d v="2024-05-22T09:39:00"/>
    <d v="2024-05-22T15:30:00"/>
    <n v="238"/>
    <n v="351"/>
    <n v="1"/>
    <x v="1"/>
    <x v="5"/>
    <n v="118.73"/>
    <n v="113"/>
    <n v="0.67806267806267806"/>
    <s v="Inefficient"/>
    <s v="Very Long"/>
    <s v="Major Delay"/>
  </r>
  <r>
    <x v="1733"/>
    <x v="1"/>
    <x v="1733"/>
    <x v="2"/>
    <x v="2"/>
    <x v="0"/>
    <s v="EMP_45"/>
    <d v="2024-08-27T23:03:00"/>
    <d v="2024-08-28T00:42:00"/>
    <n v="17"/>
    <n v="99"/>
    <n v="1"/>
    <x v="2"/>
    <x v="8"/>
    <n v="90.55"/>
    <n v="82"/>
    <n v="0.17171717171717171"/>
    <s v="Inefficient"/>
    <s v="Long"/>
    <s v="Major Delay"/>
  </r>
  <r>
    <x v="1734"/>
    <x v="3"/>
    <x v="1734"/>
    <x v="0"/>
    <x v="1"/>
    <x v="2"/>
    <s v="EMP_129"/>
    <d v="2024-08-11T09:27:00"/>
    <d v="2024-08-11T13:29:00"/>
    <n v="163"/>
    <n v="242"/>
    <n v="1"/>
    <x v="2"/>
    <x v="2"/>
    <n v="374.27"/>
    <n v="79"/>
    <n v="0.67355371900826444"/>
    <s v="Inefficient"/>
    <s v="Very Long"/>
    <s v="Major Delay"/>
  </r>
  <r>
    <x v="1735"/>
    <x v="4"/>
    <x v="1735"/>
    <x v="0"/>
    <x v="0"/>
    <x v="4"/>
    <s v="EMP_66"/>
    <d v="2024-02-17T03:13:00"/>
    <d v="2024-02-17T07:16:00"/>
    <n v="210"/>
    <n v="243"/>
    <n v="1"/>
    <x v="2"/>
    <x v="1"/>
    <n v="399.54"/>
    <n v="33"/>
    <n v="0.86419753086419748"/>
    <s v="Inefficient"/>
    <s v="Very Long"/>
    <s v="Major Delay"/>
  </r>
  <r>
    <x v="1736"/>
    <x v="2"/>
    <x v="1736"/>
    <x v="2"/>
    <x v="0"/>
    <x v="3"/>
    <s v="EMP_25"/>
    <d v="2024-11-21T17:43:00"/>
    <d v="2024-11-21T21:47:00"/>
    <n v="206"/>
    <n v="244"/>
    <n v="1"/>
    <x v="1"/>
    <x v="2"/>
    <n v="398.92"/>
    <n v="38"/>
    <n v="0.84426229508196726"/>
    <s v="Inefficient"/>
    <s v="Very Long"/>
    <s v="Major Delay"/>
  </r>
  <r>
    <x v="1737"/>
    <x v="0"/>
    <x v="1737"/>
    <x v="1"/>
    <x v="0"/>
    <x v="4"/>
    <s v="EMP_110"/>
    <d v="2024-05-25T01:05:00"/>
    <d v="2024-05-25T05:53:00"/>
    <n v="203"/>
    <n v="288"/>
    <n v="1"/>
    <x v="0"/>
    <x v="7"/>
    <n v="131.01"/>
    <n v="85"/>
    <n v="0.70486111111111116"/>
    <s v="Inefficient"/>
    <s v="Very Long"/>
    <s v="Major Delay"/>
  </r>
  <r>
    <x v="1738"/>
    <x v="4"/>
    <x v="1738"/>
    <x v="2"/>
    <x v="2"/>
    <x v="4"/>
    <s v="EMP_127"/>
    <d v="2024-05-15T19:33:00"/>
    <d v="2024-05-15T23:37:00"/>
    <n v="147"/>
    <n v="244"/>
    <n v="1"/>
    <x v="0"/>
    <x v="7"/>
    <n v="79.739999999999995"/>
    <n v="97"/>
    <n v="0.60245901639344257"/>
    <s v="Inefficient"/>
    <s v="Very Long"/>
    <s v="Major Delay"/>
  </r>
  <r>
    <x v="1739"/>
    <x v="3"/>
    <x v="1739"/>
    <x v="3"/>
    <x v="3"/>
    <x v="3"/>
    <s v="EMP_134"/>
    <d v="2024-07-14T03:19:00"/>
    <d v="2024-07-14T05:36:00"/>
    <n v="136"/>
    <n v="137"/>
    <n v="1"/>
    <x v="1"/>
    <x v="4"/>
    <n v="406.32"/>
    <n v="1"/>
    <n v="0.99270072992700731"/>
    <s v="Inefficient"/>
    <s v="Very Long"/>
    <s v="Minor Delay"/>
  </r>
  <r>
    <x v="1740"/>
    <x v="0"/>
    <x v="1740"/>
    <x v="1"/>
    <x v="1"/>
    <x v="3"/>
    <s v="EMP_90"/>
    <d v="2024-02-27T11:43:00"/>
    <d v="2024-02-27T17:19:00"/>
    <n v="240"/>
    <n v="336"/>
    <n v="1"/>
    <x v="1"/>
    <x v="1"/>
    <n v="207.81"/>
    <n v="96"/>
    <n v="0.7142857142857143"/>
    <s v="Inefficient"/>
    <s v="Very Long"/>
    <s v="Major Delay"/>
  </r>
  <r>
    <x v="1741"/>
    <x v="3"/>
    <x v="1741"/>
    <x v="0"/>
    <x v="0"/>
    <x v="2"/>
    <s v="EMP_75"/>
    <d v="2024-04-21T13:11:00"/>
    <d v="2024-04-21T15:29:00"/>
    <n v="90"/>
    <n v="138"/>
    <n v="1"/>
    <x v="1"/>
    <x v="0"/>
    <n v="363.77"/>
    <n v="48"/>
    <n v="0.65217391304347827"/>
    <s v="Inefficient"/>
    <s v="Very Long"/>
    <s v="Major Delay"/>
  </r>
  <r>
    <x v="1742"/>
    <x v="2"/>
    <x v="1742"/>
    <x v="2"/>
    <x v="0"/>
    <x v="1"/>
    <s v="EMP_122"/>
    <d v="2024-08-08T18:17:00"/>
    <d v="2024-08-08T20:14:00"/>
    <n v="16"/>
    <n v="117"/>
    <n v="1"/>
    <x v="1"/>
    <x v="4"/>
    <n v="268.47000000000003"/>
    <n v="101"/>
    <n v="0.13675213675213677"/>
    <s v="Inefficient"/>
    <s v="Long"/>
    <s v="Major Delay"/>
  </r>
  <r>
    <x v="1743"/>
    <x v="1"/>
    <x v="1743"/>
    <x v="2"/>
    <x v="3"/>
    <x v="4"/>
    <s v="EMP_139"/>
    <d v="2024-03-03T22:23:00"/>
    <d v="2024-03-04T02:43:00"/>
    <n v="195"/>
    <n v="260"/>
    <n v="1"/>
    <x v="1"/>
    <x v="5"/>
    <n v="201.17"/>
    <n v="65"/>
    <n v="0.75"/>
    <s v="Inefficient"/>
    <s v="Very Long"/>
    <s v="Major Delay"/>
  </r>
  <r>
    <x v="1744"/>
    <x v="4"/>
    <x v="1744"/>
    <x v="0"/>
    <x v="1"/>
    <x v="1"/>
    <s v="EMP_61"/>
    <d v="2024-01-04T15:35:00"/>
    <d v="2024-01-04T17:10:00"/>
    <n v="47"/>
    <n v="95"/>
    <n v="1"/>
    <x v="1"/>
    <x v="1"/>
    <n v="367.56"/>
    <n v="48"/>
    <n v="0.49473684210526314"/>
    <s v="Inefficient"/>
    <s v="Long"/>
    <s v="Major Delay"/>
  </r>
  <r>
    <x v="1745"/>
    <x v="1"/>
    <x v="1745"/>
    <x v="3"/>
    <x v="3"/>
    <x v="1"/>
    <s v="EMP_47"/>
    <d v="2024-03-08T11:37:00"/>
    <d v="2024-03-08T14:15:00"/>
    <n v="80"/>
    <n v="158"/>
    <n v="1"/>
    <x v="2"/>
    <x v="6"/>
    <n v="433.93"/>
    <n v="78"/>
    <n v="0.50632911392405067"/>
    <s v="Inefficient"/>
    <s v="Very Long"/>
    <s v="Major Delay"/>
  </r>
  <r>
    <x v="1746"/>
    <x v="0"/>
    <x v="1746"/>
    <x v="1"/>
    <x v="0"/>
    <x v="1"/>
    <s v="EMP_83"/>
    <d v="2024-05-16T21:23:00"/>
    <d v="2024-05-17T00:27:00"/>
    <n v="84"/>
    <n v="184"/>
    <n v="1"/>
    <x v="2"/>
    <x v="8"/>
    <n v="414.42"/>
    <n v="100"/>
    <n v="0.45652173913043476"/>
    <s v="Inefficient"/>
    <s v="Very Long"/>
    <s v="Major Delay"/>
  </r>
  <r>
    <x v="1747"/>
    <x v="2"/>
    <x v="1747"/>
    <x v="0"/>
    <x v="0"/>
    <x v="1"/>
    <s v="EMP_17"/>
    <d v="2024-05-01T07:46:00"/>
    <d v="2024-05-01T11:44:00"/>
    <n v="136"/>
    <n v="238"/>
    <n v="1"/>
    <x v="1"/>
    <x v="9"/>
    <n v="455.17"/>
    <n v="102"/>
    <n v="0.5714285714285714"/>
    <s v="Inefficient"/>
    <s v="Very Long"/>
    <s v="Major Delay"/>
  </r>
  <r>
    <x v="1748"/>
    <x v="4"/>
    <x v="1748"/>
    <x v="2"/>
    <x v="2"/>
    <x v="1"/>
    <s v="EMP_65"/>
    <d v="2024-01-27T07:32:00"/>
    <d v="2024-01-27T12:50:00"/>
    <n v="211"/>
    <n v="318"/>
    <n v="1"/>
    <x v="0"/>
    <x v="3"/>
    <n v="214.89"/>
    <n v="107"/>
    <n v="0.66352201257861632"/>
    <s v="Inefficient"/>
    <s v="Very Long"/>
    <s v="Major Delay"/>
  </r>
  <r>
    <x v="1749"/>
    <x v="1"/>
    <x v="1749"/>
    <x v="3"/>
    <x v="0"/>
    <x v="0"/>
    <s v="EMP_81"/>
    <d v="2024-04-04T01:16:00"/>
    <d v="2024-04-04T04:56:00"/>
    <n v="121"/>
    <n v="220"/>
    <n v="1"/>
    <x v="1"/>
    <x v="8"/>
    <n v="247.79"/>
    <n v="99"/>
    <n v="0.55000000000000004"/>
    <s v="Inefficient"/>
    <s v="Very Long"/>
    <s v="Major Delay"/>
  </r>
  <r>
    <x v="1750"/>
    <x v="2"/>
    <x v="1750"/>
    <x v="1"/>
    <x v="3"/>
    <x v="2"/>
    <s v="EMP_108"/>
    <d v="2024-10-18T00:16:00"/>
    <d v="2024-10-18T05:10:00"/>
    <n v="205"/>
    <n v="294"/>
    <n v="1"/>
    <x v="0"/>
    <x v="1"/>
    <n v="185.35"/>
    <n v="89"/>
    <n v="0.69727891156462585"/>
    <s v="Inefficient"/>
    <s v="Very Long"/>
    <s v="Major Delay"/>
  </r>
  <r>
    <x v="1751"/>
    <x v="4"/>
    <x v="1751"/>
    <x v="2"/>
    <x v="1"/>
    <x v="0"/>
    <s v="EMP_80"/>
    <d v="2024-01-04T06:01:00"/>
    <d v="2024-01-04T06:36:00"/>
    <n v="21"/>
    <n v="35"/>
    <n v="1"/>
    <x v="2"/>
    <x v="8"/>
    <n v="300.88"/>
    <n v="14"/>
    <n v="0.6"/>
    <s v="Inefficient"/>
    <s v="Medium"/>
    <s v="Minor Delay"/>
  </r>
  <r>
    <x v="1752"/>
    <x v="2"/>
    <x v="1752"/>
    <x v="2"/>
    <x v="1"/>
    <x v="2"/>
    <s v="EMP_39"/>
    <d v="2024-10-10T10:23:00"/>
    <d v="2024-10-10T14:57:00"/>
    <n v="233"/>
    <n v="274"/>
    <n v="1"/>
    <x v="1"/>
    <x v="2"/>
    <n v="375.89"/>
    <n v="41"/>
    <n v="0.85036496350364965"/>
    <s v="Inefficient"/>
    <s v="Very Long"/>
    <s v="Major Delay"/>
  </r>
  <r>
    <x v="1753"/>
    <x v="3"/>
    <x v="1753"/>
    <x v="1"/>
    <x v="2"/>
    <x v="4"/>
    <s v="EMP_91"/>
    <d v="2024-03-13T08:30:00"/>
    <d v="2024-03-13T11:43:00"/>
    <n v="100"/>
    <n v="193"/>
    <n v="1"/>
    <x v="0"/>
    <x v="9"/>
    <n v="377.33"/>
    <n v="93"/>
    <n v="0.51813471502590669"/>
    <s v="Inefficient"/>
    <s v="Very Long"/>
    <s v="Major Delay"/>
  </r>
  <r>
    <x v="1754"/>
    <x v="2"/>
    <x v="1754"/>
    <x v="2"/>
    <x v="2"/>
    <x v="0"/>
    <s v="EMP_108"/>
    <d v="2024-07-12T07:37:00"/>
    <d v="2024-07-12T09:27:00"/>
    <n v="110"/>
    <n v="110"/>
    <n v="0"/>
    <x v="0"/>
    <x v="5"/>
    <n v="298.31"/>
    <n v="0"/>
    <n v="1"/>
    <s v="On Target"/>
    <s v="Long"/>
    <s v="On Time"/>
  </r>
  <r>
    <x v="1755"/>
    <x v="2"/>
    <x v="1755"/>
    <x v="1"/>
    <x v="2"/>
    <x v="4"/>
    <s v="EMP_13"/>
    <d v="2024-02-16T13:37:00"/>
    <d v="2024-02-16T18:17:00"/>
    <n v="214"/>
    <n v="280"/>
    <n v="1"/>
    <x v="1"/>
    <x v="3"/>
    <n v="392.42"/>
    <n v="66"/>
    <n v="0.76428571428571423"/>
    <s v="Inefficient"/>
    <s v="Very Long"/>
    <s v="Major Delay"/>
  </r>
  <r>
    <x v="1756"/>
    <x v="3"/>
    <x v="1756"/>
    <x v="0"/>
    <x v="2"/>
    <x v="2"/>
    <s v="EMP_106"/>
    <d v="2024-12-12T22:46:00"/>
    <d v="2024-12-13T01:01:00"/>
    <n v="71"/>
    <n v="135"/>
    <n v="1"/>
    <x v="1"/>
    <x v="8"/>
    <n v="458.81"/>
    <n v="64"/>
    <n v="0.52592592592592591"/>
    <s v="Inefficient"/>
    <s v="Very Long"/>
    <s v="Major Delay"/>
  </r>
  <r>
    <x v="1757"/>
    <x v="0"/>
    <x v="1757"/>
    <x v="0"/>
    <x v="3"/>
    <x v="0"/>
    <s v="EMP_118"/>
    <d v="2024-08-20T04:15:00"/>
    <d v="2024-08-20T07:02:00"/>
    <n v="119"/>
    <n v="167"/>
    <n v="1"/>
    <x v="1"/>
    <x v="0"/>
    <n v="50.75"/>
    <n v="48"/>
    <n v="0.71257485029940115"/>
    <s v="Inefficient"/>
    <s v="Very Long"/>
    <s v="Major Delay"/>
  </r>
  <r>
    <x v="1758"/>
    <x v="1"/>
    <x v="1758"/>
    <x v="1"/>
    <x v="1"/>
    <x v="0"/>
    <s v="EMP_70"/>
    <d v="2024-01-17T03:31:00"/>
    <d v="2024-01-17T04:34:00"/>
    <n v="55"/>
    <n v="63"/>
    <n v="1"/>
    <x v="2"/>
    <x v="1"/>
    <n v="317.43"/>
    <n v="8"/>
    <n v="0.87301587301587302"/>
    <s v="Inefficient"/>
    <s v="Long"/>
    <s v="Minor Delay"/>
  </r>
  <r>
    <x v="1759"/>
    <x v="1"/>
    <x v="1759"/>
    <x v="3"/>
    <x v="3"/>
    <x v="0"/>
    <s v="EMP_138"/>
    <d v="2024-10-23T13:15:00"/>
    <d v="2024-10-23T17:06:00"/>
    <n v="174"/>
    <n v="231"/>
    <n v="1"/>
    <x v="1"/>
    <x v="0"/>
    <n v="135.18"/>
    <n v="57"/>
    <n v="0.75324675324675328"/>
    <s v="Inefficient"/>
    <s v="Very Long"/>
    <s v="Major Delay"/>
  </r>
  <r>
    <x v="1760"/>
    <x v="4"/>
    <x v="1760"/>
    <x v="4"/>
    <x v="0"/>
    <x v="0"/>
    <s v="EMP_110"/>
    <d v="2024-06-13T22:11:00"/>
    <d v="2024-06-13T23:45:00"/>
    <n v="27"/>
    <n v="94"/>
    <n v="1"/>
    <x v="1"/>
    <x v="5"/>
    <n v="239.77"/>
    <n v="67"/>
    <n v="0.28723404255319152"/>
    <s v="Inefficient"/>
    <s v="Long"/>
    <s v="Major Delay"/>
  </r>
  <r>
    <x v="1761"/>
    <x v="1"/>
    <x v="1761"/>
    <x v="0"/>
    <x v="3"/>
    <x v="0"/>
    <s v="EMP_53"/>
    <d v="2024-07-09T22:04:00"/>
    <d v="2024-07-10T01:34:00"/>
    <n v="185"/>
    <n v="210"/>
    <n v="1"/>
    <x v="1"/>
    <x v="4"/>
    <n v="326.16000000000003"/>
    <n v="25"/>
    <n v="0.88095238095238093"/>
    <s v="Inefficient"/>
    <s v="Very Long"/>
    <s v="Minor Delay"/>
  </r>
  <r>
    <x v="1762"/>
    <x v="3"/>
    <x v="1762"/>
    <x v="0"/>
    <x v="0"/>
    <x v="0"/>
    <s v="EMP_37"/>
    <d v="2024-11-04T21:44:00"/>
    <d v="2024-11-05T00:00:00"/>
    <n v="96"/>
    <n v="136"/>
    <n v="1"/>
    <x v="2"/>
    <x v="9"/>
    <n v="88.07"/>
    <n v="40"/>
    <n v="0.70588235294117652"/>
    <s v="Inefficient"/>
    <s v="Very Long"/>
    <s v="Major Delay"/>
  </r>
  <r>
    <x v="1763"/>
    <x v="0"/>
    <x v="1763"/>
    <x v="1"/>
    <x v="3"/>
    <x v="1"/>
    <s v="EMP_20"/>
    <d v="2024-05-12T10:15:00"/>
    <d v="2024-05-12T12:03:00"/>
    <n v="96"/>
    <n v="108"/>
    <n v="1"/>
    <x v="0"/>
    <x v="4"/>
    <n v="316"/>
    <n v="12"/>
    <n v="0.88888888888888884"/>
    <s v="Inefficient"/>
    <s v="Long"/>
    <s v="Minor Delay"/>
  </r>
  <r>
    <x v="1764"/>
    <x v="3"/>
    <x v="1764"/>
    <x v="0"/>
    <x v="0"/>
    <x v="3"/>
    <s v="EMP_64"/>
    <d v="2024-07-28T02:37:00"/>
    <d v="2024-07-28T06:31:00"/>
    <n v="141"/>
    <n v="234"/>
    <n v="1"/>
    <x v="1"/>
    <x v="4"/>
    <n v="120.04"/>
    <n v="93"/>
    <n v="0.60256410256410253"/>
    <s v="Inefficient"/>
    <s v="Very Long"/>
    <s v="Major Delay"/>
  </r>
  <r>
    <x v="1765"/>
    <x v="2"/>
    <x v="1765"/>
    <x v="4"/>
    <x v="3"/>
    <x v="2"/>
    <s v="EMP_5"/>
    <d v="2024-09-01T01:50:00"/>
    <d v="2024-09-01T04:54:00"/>
    <n v="139"/>
    <n v="184"/>
    <n v="1"/>
    <x v="0"/>
    <x v="3"/>
    <n v="322.83999999999997"/>
    <n v="45"/>
    <n v="0.75543478260869568"/>
    <s v="Inefficient"/>
    <s v="Very Long"/>
    <s v="Major Delay"/>
  </r>
  <r>
    <x v="1766"/>
    <x v="0"/>
    <x v="1766"/>
    <x v="3"/>
    <x v="2"/>
    <x v="2"/>
    <s v="EMP_111"/>
    <d v="2024-09-30T06:33:00"/>
    <d v="2024-09-30T07:54:00"/>
    <n v="16"/>
    <n v="81"/>
    <n v="1"/>
    <x v="2"/>
    <x v="3"/>
    <n v="421.59"/>
    <n v="65"/>
    <n v="0.19753086419753085"/>
    <s v="Inefficient"/>
    <s v="Long"/>
    <s v="Major Delay"/>
  </r>
  <r>
    <x v="1767"/>
    <x v="0"/>
    <x v="1767"/>
    <x v="2"/>
    <x v="3"/>
    <x v="2"/>
    <s v="EMP_60"/>
    <d v="2024-01-04T07:15:00"/>
    <d v="2024-01-04T09:52:00"/>
    <n v="81"/>
    <n v="157"/>
    <n v="1"/>
    <x v="2"/>
    <x v="1"/>
    <n v="381.05"/>
    <n v="76"/>
    <n v="0.51592356687898089"/>
    <s v="Inefficient"/>
    <s v="Very Long"/>
    <s v="Major Delay"/>
  </r>
  <r>
    <x v="1768"/>
    <x v="0"/>
    <x v="1768"/>
    <x v="1"/>
    <x v="1"/>
    <x v="2"/>
    <s v="EMP_39"/>
    <d v="2024-09-07T11:10:00"/>
    <d v="2024-09-07T13:53:00"/>
    <n v="100"/>
    <n v="163"/>
    <n v="1"/>
    <x v="2"/>
    <x v="0"/>
    <n v="76.48"/>
    <n v="63"/>
    <n v="0.61349693251533743"/>
    <s v="Inefficient"/>
    <s v="Very Long"/>
    <s v="Major Delay"/>
  </r>
  <r>
    <x v="1769"/>
    <x v="4"/>
    <x v="1769"/>
    <x v="4"/>
    <x v="1"/>
    <x v="0"/>
    <s v="EMP_99"/>
    <d v="2024-12-18T01:58:00"/>
    <d v="2024-12-18T04:43:00"/>
    <n v="168"/>
    <n v="165"/>
    <n v="0"/>
    <x v="2"/>
    <x v="4"/>
    <n v="242.98"/>
    <n v="-3"/>
    <n v="1.0181818181818181"/>
    <s v="Efficient"/>
    <s v="Very Long"/>
    <s v="On Time"/>
  </r>
  <r>
    <x v="1770"/>
    <x v="2"/>
    <x v="1770"/>
    <x v="1"/>
    <x v="0"/>
    <x v="3"/>
    <s v="EMP_14"/>
    <d v="2024-10-02T06:27:00"/>
    <d v="2024-10-02T07:27:00"/>
    <n v="45"/>
    <n v="60"/>
    <n v="1"/>
    <x v="2"/>
    <x v="1"/>
    <n v="273.43"/>
    <n v="15"/>
    <n v="0.75"/>
    <s v="Inefficient"/>
    <s v="Long"/>
    <s v="Minor Delay"/>
  </r>
  <r>
    <x v="1771"/>
    <x v="0"/>
    <x v="1771"/>
    <x v="1"/>
    <x v="2"/>
    <x v="0"/>
    <s v="EMP_99"/>
    <d v="2024-06-09T01:41:00"/>
    <d v="2024-06-09T02:25:00"/>
    <n v="23"/>
    <n v="44"/>
    <n v="1"/>
    <x v="1"/>
    <x v="0"/>
    <n v="289.26"/>
    <n v="21"/>
    <n v="0.52272727272727271"/>
    <s v="Inefficient"/>
    <s v="Medium"/>
    <s v="Minor Delay"/>
  </r>
  <r>
    <x v="1772"/>
    <x v="4"/>
    <x v="1772"/>
    <x v="2"/>
    <x v="2"/>
    <x v="0"/>
    <s v="EMP_129"/>
    <d v="2024-06-17T01:27:00"/>
    <d v="2024-06-17T05:49:00"/>
    <n v="170"/>
    <n v="262"/>
    <n v="1"/>
    <x v="1"/>
    <x v="2"/>
    <n v="111.64"/>
    <n v="92"/>
    <n v="0.64885496183206104"/>
    <s v="Inefficient"/>
    <s v="Very Long"/>
    <s v="Major Delay"/>
  </r>
  <r>
    <x v="1773"/>
    <x v="4"/>
    <x v="1773"/>
    <x v="4"/>
    <x v="0"/>
    <x v="3"/>
    <s v="EMP_121"/>
    <d v="2024-02-23T17:39:00"/>
    <d v="2024-02-23T21:15:00"/>
    <n v="155"/>
    <n v="216"/>
    <n v="1"/>
    <x v="0"/>
    <x v="8"/>
    <n v="99.08"/>
    <n v="61"/>
    <n v="0.71759259259259256"/>
    <s v="Inefficient"/>
    <s v="Very Long"/>
    <s v="Major Delay"/>
  </r>
  <r>
    <x v="1774"/>
    <x v="4"/>
    <x v="1774"/>
    <x v="0"/>
    <x v="0"/>
    <x v="2"/>
    <s v="EMP_6"/>
    <d v="2024-01-24T05:44:00"/>
    <d v="2024-01-24T06:30:00"/>
    <n v="31"/>
    <n v="46"/>
    <n v="1"/>
    <x v="1"/>
    <x v="8"/>
    <n v="458.58"/>
    <n v="15"/>
    <n v="0.67391304347826086"/>
    <s v="Inefficient"/>
    <s v="Medium"/>
    <s v="Minor Delay"/>
  </r>
  <r>
    <x v="1775"/>
    <x v="2"/>
    <x v="1775"/>
    <x v="0"/>
    <x v="3"/>
    <x v="3"/>
    <s v="EMP_44"/>
    <d v="2024-03-27T13:54:00"/>
    <d v="2024-03-27T18:21:00"/>
    <n v="226"/>
    <n v="267"/>
    <n v="1"/>
    <x v="0"/>
    <x v="2"/>
    <n v="438.62"/>
    <n v="41"/>
    <n v="0.84644194756554303"/>
    <s v="Inefficient"/>
    <s v="Very Long"/>
    <s v="Major Delay"/>
  </r>
  <r>
    <x v="1776"/>
    <x v="3"/>
    <x v="1776"/>
    <x v="0"/>
    <x v="3"/>
    <x v="0"/>
    <s v="EMP_69"/>
    <d v="2024-11-08T06:27:00"/>
    <d v="2024-11-08T08:08:00"/>
    <n v="35"/>
    <n v="101"/>
    <n v="1"/>
    <x v="0"/>
    <x v="0"/>
    <n v="350"/>
    <n v="66"/>
    <n v="0.34653465346534651"/>
    <s v="Inefficient"/>
    <s v="Long"/>
    <s v="Major Delay"/>
  </r>
  <r>
    <x v="1777"/>
    <x v="1"/>
    <x v="1777"/>
    <x v="2"/>
    <x v="2"/>
    <x v="3"/>
    <s v="EMP_54"/>
    <d v="2024-12-12T16:51:00"/>
    <d v="2024-12-12T19:09:00"/>
    <n v="125"/>
    <n v="138"/>
    <n v="1"/>
    <x v="1"/>
    <x v="0"/>
    <n v="242.14"/>
    <n v="13"/>
    <n v="0.90579710144927539"/>
    <s v="Inefficient"/>
    <s v="Very Long"/>
    <s v="Minor Delay"/>
  </r>
  <r>
    <x v="1778"/>
    <x v="4"/>
    <x v="1778"/>
    <x v="1"/>
    <x v="2"/>
    <x v="4"/>
    <s v="EMP_143"/>
    <d v="2024-09-27T03:41:00"/>
    <d v="2024-09-27T06:56:00"/>
    <n v="161"/>
    <n v="195"/>
    <n v="1"/>
    <x v="1"/>
    <x v="7"/>
    <n v="224.93"/>
    <n v="34"/>
    <n v="0.82564102564102559"/>
    <s v="Inefficient"/>
    <s v="Very Long"/>
    <s v="Major Delay"/>
  </r>
  <r>
    <x v="1779"/>
    <x v="1"/>
    <x v="1779"/>
    <x v="1"/>
    <x v="3"/>
    <x v="3"/>
    <s v="EMP_40"/>
    <d v="2024-01-03T16:17:00"/>
    <d v="2024-01-03T18:32:00"/>
    <n v="24"/>
    <n v="135"/>
    <n v="1"/>
    <x v="0"/>
    <x v="5"/>
    <n v="64.86"/>
    <n v="111"/>
    <n v="0.17777777777777778"/>
    <s v="Inefficient"/>
    <s v="Very Long"/>
    <s v="Major Delay"/>
  </r>
  <r>
    <x v="1780"/>
    <x v="4"/>
    <x v="1780"/>
    <x v="2"/>
    <x v="1"/>
    <x v="2"/>
    <s v="EMP_85"/>
    <d v="2024-04-04T03:21:00"/>
    <d v="2024-04-04T06:48:00"/>
    <n v="119"/>
    <n v="207"/>
    <n v="1"/>
    <x v="1"/>
    <x v="2"/>
    <n v="476.91"/>
    <n v="88"/>
    <n v="0.5748792270531401"/>
    <s v="Inefficient"/>
    <s v="Very Long"/>
    <s v="Major Delay"/>
  </r>
  <r>
    <x v="1781"/>
    <x v="0"/>
    <x v="1781"/>
    <x v="0"/>
    <x v="3"/>
    <x v="0"/>
    <s v="EMP_106"/>
    <d v="2024-12-03T14:40:00"/>
    <d v="2024-12-03T18:29:00"/>
    <n v="111"/>
    <n v="229"/>
    <n v="1"/>
    <x v="2"/>
    <x v="5"/>
    <n v="261.62"/>
    <n v="118"/>
    <n v="0.48471615720524019"/>
    <s v="Inefficient"/>
    <s v="Very Long"/>
    <s v="Major Delay"/>
  </r>
  <r>
    <x v="1782"/>
    <x v="2"/>
    <x v="1782"/>
    <x v="2"/>
    <x v="3"/>
    <x v="4"/>
    <s v="EMP_139"/>
    <d v="2024-05-26T21:06:00"/>
    <d v="2024-05-26T22:20:00"/>
    <n v="72"/>
    <n v="74"/>
    <n v="1"/>
    <x v="0"/>
    <x v="1"/>
    <n v="474.65"/>
    <n v="2"/>
    <n v="0.97297297297297303"/>
    <s v="Inefficient"/>
    <s v="Long"/>
    <s v="Minor Delay"/>
  </r>
  <r>
    <x v="1783"/>
    <x v="3"/>
    <x v="1783"/>
    <x v="0"/>
    <x v="1"/>
    <x v="2"/>
    <s v="EMP_43"/>
    <d v="2024-08-30T00:54:00"/>
    <d v="2024-08-30T03:31:00"/>
    <n v="150"/>
    <n v="157"/>
    <n v="1"/>
    <x v="2"/>
    <x v="1"/>
    <n v="60.9"/>
    <n v="7"/>
    <n v="0.95541401273885351"/>
    <s v="Inefficient"/>
    <s v="Very Long"/>
    <s v="Minor Delay"/>
  </r>
  <r>
    <x v="1784"/>
    <x v="3"/>
    <x v="1784"/>
    <x v="2"/>
    <x v="1"/>
    <x v="1"/>
    <s v="EMP_109"/>
    <d v="2024-08-30T16:43:00"/>
    <d v="2024-08-30T19:06:00"/>
    <n v="85"/>
    <n v="143"/>
    <n v="1"/>
    <x v="0"/>
    <x v="6"/>
    <n v="470.43"/>
    <n v="58"/>
    <n v="0.59440559440559437"/>
    <s v="Inefficient"/>
    <s v="Very Long"/>
    <s v="Major Delay"/>
  </r>
  <r>
    <x v="1785"/>
    <x v="1"/>
    <x v="1785"/>
    <x v="3"/>
    <x v="0"/>
    <x v="2"/>
    <s v="EMP_103"/>
    <d v="2024-02-17T00:36:00"/>
    <d v="2024-02-17T02:53:00"/>
    <n v="50"/>
    <n v="137"/>
    <n v="1"/>
    <x v="1"/>
    <x v="5"/>
    <n v="449.83"/>
    <n v="87"/>
    <n v="0.36496350364963503"/>
    <s v="Inefficient"/>
    <s v="Very Long"/>
    <s v="Major Delay"/>
  </r>
  <r>
    <x v="1786"/>
    <x v="3"/>
    <x v="1786"/>
    <x v="0"/>
    <x v="3"/>
    <x v="2"/>
    <s v="EMP_24"/>
    <d v="2024-09-24T23:20:00"/>
    <d v="2024-09-25T00:26:00"/>
    <n v="33"/>
    <n v="66"/>
    <n v="1"/>
    <x v="2"/>
    <x v="6"/>
    <n v="301.48"/>
    <n v="33"/>
    <n v="0.5"/>
    <s v="Inefficient"/>
    <s v="Long"/>
    <s v="Major Delay"/>
  </r>
  <r>
    <x v="1787"/>
    <x v="1"/>
    <x v="1787"/>
    <x v="1"/>
    <x v="0"/>
    <x v="1"/>
    <s v="EMP_147"/>
    <d v="2024-12-04T22:49:00"/>
    <d v="2024-12-05T02:07:00"/>
    <n v="129"/>
    <n v="198"/>
    <n v="1"/>
    <x v="2"/>
    <x v="5"/>
    <n v="496.2"/>
    <n v="69"/>
    <n v="0.65151515151515149"/>
    <s v="Inefficient"/>
    <s v="Very Long"/>
    <s v="Major Delay"/>
  </r>
  <r>
    <x v="1788"/>
    <x v="2"/>
    <x v="1788"/>
    <x v="0"/>
    <x v="2"/>
    <x v="0"/>
    <s v="EMP_77"/>
    <d v="2024-02-01T04:37:00"/>
    <d v="2024-02-01T07:46:00"/>
    <n v="73"/>
    <n v="189"/>
    <n v="1"/>
    <x v="0"/>
    <x v="6"/>
    <n v="284.60000000000002"/>
    <n v="116"/>
    <n v="0.38624338624338622"/>
    <s v="Inefficient"/>
    <s v="Very Long"/>
    <s v="Major Delay"/>
  </r>
  <r>
    <x v="1789"/>
    <x v="3"/>
    <x v="1789"/>
    <x v="0"/>
    <x v="1"/>
    <x v="1"/>
    <s v="EMP_8"/>
    <d v="2024-08-20T05:00:00"/>
    <d v="2024-08-20T07:41:00"/>
    <n v="44"/>
    <n v="161"/>
    <n v="1"/>
    <x v="2"/>
    <x v="9"/>
    <n v="85.38"/>
    <n v="117"/>
    <n v="0.27329192546583853"/>
    <s v="Inefficient"/>
    <s v="Very Long"/>
    <s v="Major Delay"/>
  </r>
  <r>
    <x v="1790"/>
    <x v="0"/>
    <x v="1790"/>
    <x v="4"/>
    <x v="0"/>
    <x v="0"/>
    <s v="EMP_124"/>
    <d v="2024-01-01T12:11:00"/>
    <d v="2024-01-01T15:06:00"/>
    <n v="60"/>
    <n v="175"/>
    <n v="1"/>
    <x v="1"/>
    <x v="8"/>
    <n v="453.27"/>
    <n v="115"/>
    <n v="0.34285714285714286"/>
    <s v="Inefficient"/>
    <s v="Very Long"/>
    <s v="Major Delay"/>
  </r>
  <r>
    <x v="1791"/>
    <x v="0"/>
    <x v="1791"/>
    <x v="4"/>
    <x v="3"/>
    <x v="0"/>
    <s v="EMP_18"/>
    <d v="2024-06-15T05:50:00"/>
    <d v="2024-06-15T07:45:00"/>
    <n v="107"/>
    <n v="115"/>
    <n v="1"/>
    <x v="2"/>
    <x v="4"/>
    <n v="476.28"/>
    <n v="8"/>
    <n v="0.93043478260869561"/>
    <s v="Inefficient"/>
    <s v="Long"/>
    <s v="Minor Delay"/>
  </r>
  <r>
    <x v="1792"/>
    <x v="2"/>
    <x v="1792"/>
    <x v="0"/>
    <x v="2"/>
    <x v="1"/>
    <s v="EMP_54"/>
    <d v="2024-03-14T12:39:00"/>
    <d v="2024-03-14T15:40:00"/>
    <n v="112"/>
    <n v="181"/>
    <n v="1"/>
    <x v="0"/>
    <x v="6"/>
    <n v="207.36"/>
    <n v="69"/>
    <n v="0.61878453038674031"/>
    <s v="Inefficient"/>
    <s v="Very Long"/>
    <s v="Major Delay"/>
  </r>
  <r>
    <x v="1793"/>
    <x v="4"/>
    <x v="1793"/>
    <x v="4"/>
    <x v="3"/>
    <x v="3"/>
    <s v="EMP_112"/>
    <d v="2024-09-21T09:01:00"/>
    <d v="2024-09-21T10:07:00"/>
    <n v="12"/>
    <n v="66"/>
    <n v="1"/>
    <x v="2"/>
    <x v="4"/>
    <n v="142.35"/>
    <n v="54"/>
    <n v="0.18181818181818182"/>
    <s v="Inefficient"/>
    <s v="Long"/>
    <s v="Major Delay"/>
  </r>
  <r>
    <x v="1794"/>
    <x v="0"/>
    <x v="1794"/>
    <x v="3"/>
    <x v="3"/>
    <x v="2"/>
    <s v="EMP_136"/>
    <d v="2024-04-26T03:38:00"/>
    <d v="2024-04-26T05:17:00"/>
    <n v="55"/>
    <n v="99"/>
    <n v="1"/>
    <x v="0"/>
    <x v="3"/>
    <n v="266.88"/>
    <n v="44"/>
    <n v="0.55555555555555558"/>
    <s v="Inefficient"/>
    <s v="Long"/>
    <s v="Major Delay"/>
  </r>
  <r>
    <x v="1795"/>
    <x v="1"/>
    <x v="1795"/>
    <x v="0"/>
    <x v="1"/>
    <x v="1"/>
    <s v="EMP_144"/>
    <d v="2024-05-01T18:22:00"/>
    <d v="2024-05-01T23:17:00"/>
    <n v="226"/>
    <n v="295"/>
    <n v="1"/>
    <x v="2"/>
    <x v="1"/>
    <n v="357.19"/>
    <n v="69"/>
    <n v="0.76610169491525426"/>
    <s v="Inefficient"/>
    <s v="Very Long"/>
    <s v="Major Delay"/>
  </r>
  <r>
    <x v="1796"/>
    <x v="3"/>
    <x v="1796"/>
    <x v="3"/>
    <x v="0"/>
    <x v="3"/>
    <s v="EMP_82"/>
    <d v="2024-09-03T17:58:00"/>
    <d v="2024-09-03T20:48:00"/>
    <n v="169"/>
    <n v="170"/>
    <n v="1"/>
    <x v="1"/>
    <x v="7"/>
    <n v="353.05"/>
    <n v="1"/>
    <n v="0.99411764705882355"/>
    <s v="Inefficient"/>
    <s v="Very Long"/>
    <s v="Minor Delay"/>
  </r>
  <r>
    <x v="1797"/>
    <x v="1"/>
    <x v="1797"/>
    <x v="2"/>
    <x v="1"/>
    <x v="3"/>
    <s v="EMP_113"/>
    <d v="2024-01-04T01:46:00"/>
    <d v="2024-01-04T04:16:00"/>
    <n v="148"/>
    <n v="150"/>
    <n v="1"/>
    <x v="0"/>
    <x v="0"/>
    <n v="410.48"/>
    <n v="2"/>
    <n v="0.98666666666666669"/>
    <s v="Inefficient"/>
    <s v="Very Long"/>
    <s v="Minor Delay"/>
  </r>
  <r>
    <x v="1798"/>
    <x v="1"/>
    <x v="1798"/>
    <x v="4"/>
    <x v="1"/>
    <x v="2"/>
    <s v="EMP_70"/>
    <d v="2024-10-28T00:40:00"/>
    <d v="2024-10-28T03:25:00"/>
    <n v="120"/>
    <n v="165"/>
    <n v="1"/>
    <x v="2"/>
    <x v="5"/>
    <n v="228.09"/>
    <n v="45"/>
    <n v="0.72727272727272729"/>
    <s v="Inefficient"/>
    <s v="Very Long"/>
    <s v="Major Delay"/>
  </r>
  <r>
    <x v="1799"/>
    <x v="1"/>
    <x v="1799"/>
    <x v="1"/>
    <x v="2"/>
    <x v="0"/>
    <s v="EMP_23"/>
    <d v="2024-03-30T00:54:00"/>
    <d v="2024-03-30T02:52:00"/>
    <n v="49"/>
    <n v="118"/>
    <n v="1"/>
    <x v="0"/>
    <x v="8"/>
    <n v="223"/>
    <n v="69"/>
    <n v="0.4152542372881356"/>
    <s v="Inefficient"/>
    <s v="Long"/>
    <s v="Major Delay"/>
  </r>
  <r>
    <x v="1800"/>
    <x v="2"/>
    <x v="1800"/>
    <x v="4"/>
    <x v="3"/>
    <x v="4"/>
    <s v="EMP_81"/>
    <d v="2024-05-06T09:29:00"/>
    <d v="2024-05-06T10:59:00"/>
    <n v="32"/>
    <n v="90"/>
    <n v="1"/>
    <x v="1"/>
    <x v="9"/>
    <n v="499.92"/>
    <n v="58"/>
    <n v="0.35555555555555557"/>
    <s v="Inefficient"/>
    <s v="Long"/>
    <s v="Major Delay"/>
  </r>
  <r>
    <x v="1801"/>
    <x v="2"/>
    <x v="1801"/>
    <x v="0"/>
    <x v="1"/>
    <x v="0"/>
    <s v="EMP_149"/>
    <d v="2024-06-19T19:46:00"/>
    <d v="2024-06-20T00:09:00"/>
    <n v="166"/>
    <n v="263"/>
    <n v="1"/>
    <x v="1"/>
    <x v="0"/>
    <n v="490.78"/>
    <n v="97"/>
    <n v="0.63117870722433456"/>
    <s v="Inefficient"/>
    <s v="Very Long"/>
    <s v="Major Delay"/>
  </r>
  <r>
    <x v="1802"/>
    <x v="1"/>
    <x v="1802"/>
    <x v="0"/>
    <x v="1"/>
    <x v="3"/>
    <s v="EMP_65"/>
    <d v="2024-08-04T06:04:00"/>
    <d v="2024-08-04T09:30:00"/>
    <n v="86"/>
    <n v="206"/>
    <n v="1"/>
    <x v="1"/>
    <x v="3"/>
    <n v="112.01"/>
    <n v="120"/>
    <n v="0.41747572815533979"/>
    <s v="Inefficient"/>
    <s v="Very Long"/>
    <s v="Major Delay"/>
  </r>
  <r>
    <x v="1803"/>
    <x v="3"/>
    <x v="1803"/>
    <x v="2"/>
    <x v="1"/>
    <x v="1"/>
    <s v="EMP_52"/>
    <d v="2024-07-12T18:16:00"/>
    <d v="2024-07-12T20:43:00"/>
    <n v="132"/>
    <n v="147"/>
    <n v="1"/>
    <x v="1"/>
    <x v="9"/>
    <n v="129.63999999999999"/>
    <n v="15"/>
    <n v="0.89795918367346939"/>
    <s v="Inefficient"/>
    <s v="Very Long"/>
    <s v="Minor Delay"/>
  </r>
  <r>
    <x v="1804"/>
    <x v="2"/>
    <x v="1804"/>
    <x v="3"/>
    <x v="3"/>
    <x v="2"/>
    <s v="EMP_111"/>
    <d v="2024-10-28T06:37:00"/>
    <d v="2024-10-28T11:15:00"/>
    <n v="210"/>
    <n v="278"/>
    <n v="1"/>
    <x v="0"/>
    <x v="9"/>
    <n v="376.91"/>
    <n v="68"/>
    <n v="0.75539568345323738"/>
    <s v="Inefficient"/>
    <s v="Very Long"/>
    <s v="Major Delay"/>
  </r>
  <r>
    <x v="1805"/>
    <x v="0"/>
    <x v="1805"/>
    <x v="3"/>
    <x v="2"/>
    <x v="2"/>
    <s v="EMP_54"/>
    <d v="2024-02-18T23:13:00"/>
    <d v="2024-02-19T04:01:00"/>
    <n v="240"/>
    <n v="288"/>
    <n v="1"/>
    <x v="1"/>
    <x v="7"/>
    <n v="143.47"/>
    <n v="48"/>
    <n v="0.83333333333333337"/>
    <s v="Inefficient"/>
    <s v="Very Long"/>
    <s v="Major Delay"/>
  </r>
  <r>
    <x v="1806"/>
    <x v="2"/>
    <x v="1806"/>
    <x v="3"/>
    <x v="0"/>
    <x v="1"/>
    <s v="EMP_124"/>
    <d v="2024-07-19T05:45:00"/>
    <d v="2024-07-19T10:38:00"/>
    <n v="196"/>
    <n v="293"/>
    <n v="1"/>
    <x v="0"/>
    <x v="1"/>
    <n v="88.24"/>
    <n v="97"/>
    <n v="0.66894197952218426"/>
    <s v="Inefficient"/>
    <s v="Very Long"/>
    <s v="Major Delay"/>
  </r>
  <r>
    <x v="1807"/>
    <x v="4"/>
    <x v="1807"/>
    <x v="0"/>
    <x v="2"/>
    <x v="3"/>
    <s v="EMP_80"/>
    <d v="2024-11-14T05:53:00"/>
    <d v="2024-11-14T09:10:00"/>
    <n v="81"/>
    <n v="197"/>
    <n v="1"/>
    <x v="2"/>
    <x v="4"/>
    <n v="358.89"/>
    <n v="116"/>
    <n v="0.41116751269035534"/>
    <s v="Inefficient"/>
    <s v="Very Long"/>
    <s v="Major Delay"/>
  </r>
  <r>
    <x v="1808"/>
    <x v="3"/>
    <x v="1808"/>
    <x v="3"/>
    <x v="3"/>
    <x v="3"/>
    <s v="EMP_52"/>
    <d v="2024-08-20T12:36:00"/>
    <d v="2024-08-20T13:20:00"/>
    <n v="22"/>
    <n v="44"/>
    <n v="1"/>
    <x v="1"/>
    <x v="3"/>
    <n v="463.92"/>
    <n v="22"/>
    <n v="0.5"/>
    <s v="Inefficient"/>
    <s v="Medium"/>
    <s v="Minor Delay"/>
  </r>
  <r>
    <x v="1809"/>
    <x v="4"/>
    <x v="1809"/>
    <x v="0"/>
    <x v="2"/>
    <x v="0"/>
    <s v="EMP_26"/>
    <d v="2024-07-12T12:54:00"/>
    <d v="2024-07-12T15:35:00"/>
    <n v="123"/>
    <n v="161"/>
    <n v="1"/>
    <x v="1"/>
    <x v="9"/>
    <n v="314.11"/>
    <n v="38"/>
    <n v="0.7639751552795031"/>
    <s v="Inefficient"/>
    <s v="Very Long"/>
    <s v="Major Delay"/>
  </r>
  <r>
    <x v="1810"/>
    <x v="3"/>
    <x v="1810"/>
    <x v="1"/>
    <x v="1"/>
    <x v="3"/>
    <s v="EMP_23"/>
    <d v="2024-12-09T09:28:00"/>
    <d v="2024-12-09T13:24:00"/>
    <n v="169"/>
    <n v="236"/>
    <n v="1"/>
    <x v="0"/>
    <x v="1"/>
    <n v="380.78"/>
    <n v="67"/>
    <n v="0.71610169491525422"/>
    <s v="Inefficient"/>
    <s v="Very Long"/>
    <s v="Major Delay"/>
  </r>
  <r>
    <x v="1811"/>
    <x v="1"/>
    <x v="1811"/>
    <x v="4"/>
    <x v="0"/>
    <x v="3"/>
    <s v="EMP_131"/>
    <d v="2024-02-11T15:40:00"/>
    <d v="2024-02-11T17:43:00"/>
    <n v="125"/>
    <n v="123"/>
    <n v="0"/>
    <x v="2"/>
    <x v="7"/>
    <n v="305.35000000000002"/>
    <n v="-2"/>
    <n v="1.0162601626016261"/>
    <s v="Efficient"/>
    <s v="Very Long"/>
    <s v="On Time"/>
  </r>
  <r>
    <x v="1812"/>
    <x v="0"/>
    <x v="1812"/>
    <x v="4"/>
    <x v="1"/>
    <x v="4"/>
    <s v="EMP_118"/>
    <d v="2024-02-23T05:20:00"/>
    <d v="2024-02-23T06:30:00"/>
    <n v="15"/>
    <n v="70"/>
    <n v="1"/>
    <x v="1"/>
    <x v="1"/>
    <n v="344.2"/>
    <n v="55"/>
    <n v="0.21428571428571427"/>
    <s v="Inefficient"/>
    <s v="Long"/>
    <s v="Major Delay"/>
  </r>
  <r>
    <x v="1813"/>
    <x v="2"/>
    <x v="1813"/>
    <x v="2"/>
    <x v="0"/>
    <x v="2"/>
    <s v="EMP_149"/>
    <d v="2024-11-18T05:28:00"/>
    <d v="2024-11-18T08:11:00"/>
    <n v="140"/>
    <n v="163"/>
    <n v="1"/>
    <x v="1"/>
    <x v="8"/>
    <n v="486.63"/>
    <n v="23"/>
    <n v="0.85889570552147243"/>
    <s v="Inefficient"/>
    <s v="Very Long"/>
    <s v="Minor Delay"/>
  </r>
  <r>
    <x v="1814"/>
    <x v="4"/>
    <x v="1814"/>
    <x v="1"/>
    <x v="3"/>
    <x v="4"/>
    <s v="EMP_29"/>
    <d v="2024-04-14T13:17:00"/>
    <d v="2024-04-14T15:20:00"/>
    <n v="23"/>
    <n v="123"/>
    <n v="1"/>
    <x v="0"/>
    <x v="3"/>
    <n v="450.74"/>
    <n v="100"/>
    <n v="0.18699186991869918"/>
    <s v="Inefficient"/>
    <s v="Very Long"/>
    <s v="Major Delay"/>
  </r>
  <r>
    <x v="1815"/>
    <x v="3"/>
    <x v="1815"/>
    <x v="4"/>
    <x v="0"/>
    <x v="4"/>
    <s v="EMP_85"/>
    <d v="2024-07-20T10:32:00"/>
    <d v="2024-07-20T14:42:00"/>
    <n v="131"/>
    <n v="250"/>
    <n v="1"/>
    <x v="0"/>
    <x v="8"/>
    <n v="114.87"/>
    <n v="119"/>
    <n v="0.52400000000000002"/>
    <s v="Inefficient"/>
    <s v="Very Long"/>
    <s v="Major Delay"/>
  </r>
  <r>
    <x v="1816"/>
    <x v="1"/>
    <x v="1816"/>
    <x v="4"/>
    <x v="2"/>
    <x v="4"/>
    <s v="EMP_133"/>
    <d v="2024-02-17T03:12:00"/>
    <d v="2024-02-17T04:31:00"/>
    <n v="43"/>
    <n v="79"/>
    <n v="1"/>
    <x v="2"/>
    <x v="6"/>
    <n v="75.55"/>
    <n v="36"/>
    <n v="0.54430379746835444"/>
    <s v="Inefficient"/>
    <s v="Long"/>
    <s v="Major Delay"/>
  </r>
  <r>
    <x v="1817"/>
    <x v="4"/>
    <x v="1817"/>
    <x v="0"/>
    <x v="2"/>
    <x v="1"/>
    <s v="EMP_42"/>
    <d v="2024-01-05T07:06:00"/>
    <d v="2024-01-05T08:21:00"/>
    <n v="16"/>
    <n v="75"/>
    <n v="1"/>
    <x v="0"/>
    <x v="6"/>
    <n v="270.04000000000002"/>
    <n v="59"/>
    <n v="0.21333333333333335"/>
    <s v="Inefficient"/>
    <s v="Long"/>
    <s v="Major Delay"/>
  </r>
  <r>
    <x v="1818"/>
    <x v="0"/>
    <x v="1818"/>
    <x v="4"/>
    <x v="1"/>
    <x v="4"/>
    <s v="EMP_93"/>
    <d v="2024-05-26T11:12:00"/>
    <d v="2024-05-26T12:24:00"/>
    <n v="60"/>
    <n v="72"/>
    <n v="1"/>
    <x v="1"/>
    <x v="0"/>
    <n v="333.84"/>
    <n v="12"/>
    <n v="0.83333333333333337"/>
    <s v="Inefficient"/>
    <s v="Long"/>
    <s v="Minor Delay"/>
  </r>
  <r>
    <x v="1819"/>
    <x v="4"/>
    <x v="1819"/>
    <x v="4"/>
    <x v="3"/>
    <x v="0"/>
    <s v="EMP_99"/>
    <d v="2024-04-02T05:16:00"/>
    <d v="2024-04-02T08:55:00"/>
    <n v="149"/>
    <n v="219"/>
    <n v="1"/>
    <x v="0"/>
    <x v="2"/>
    <n v="404.39"/>
    <n v="70"/>
    <n v="0.68036529680365299"/>
    <s v="Inefficient"/>
    <s v="Very Long"/>
    <s v="Major Delay"/>
  </r>
  <r>
    <x v="1820"/>
    <x v="1"/>
    <x v="1820"/>
    <x v="2"/>
    <x v="1"/>
    <x v="3"/>
    <s v="EMP_97"/>
    <d v="2024-11-14T17:06:00"/>
    <d v="2024-11-14T20:34:00"/>
    <n v="174"/>
    <n v="208"/>
    <n v="1"/>
    <x v="0"/>
    <x v="9"/>
    <n v="114.29"/>
    <n v="34"/>
    <n v="0.83653846153846156"/>
    <s v="Inefficient"/>
    <s v="Very Long"/>
    <s v="Major Delay"/>
  </r>
  <r>
    <x v="1821"/>
    <x v="4"/>
    <x v="1821"/>
    <x v="4"/>
    <x v="3"/>
    <x v="4"/>
    <s v="EMP_124"/>
    <d v="2024-05-19T22:32:00"/>
    <d v="2024-05-20T02:25:00"/>
    <n v="174"/>
    <n v="233"/>
    <n v="1"/>
    <x v="0"/>
    <x v="1"/>
    <n v="285.24"/>
    <n v="59"/>
    <n v="0.74678111587982832"/>
    <s v="Inefficient"/>
    <s v="Very Long"/>
    <s v="Major Delay"/>
  </r>
  <r>
    <x v="1822"/>
    <x v="1"/>
    <x v="1822"/>
    <x v="1"/>
    <x v="3"/>
    <x v="1"/>
    <s v="EMP_79"/>
    <d v="2024-02-25T01:14:00"/>
    <d v="2024-02-25T05:24:00"/>
    <n v="220"/>
    <n v="250"/>
    <n v="1"/>
    <x v="1"/>
    <x v="7"/>
    <n v="497.42"/>
    <n v="30"/>
    <n v="0.88"/>
    <s v="Inefficient"/>
    <s v="Very Long"/>
    <s v="Minor Delay"/>
  </r>
  <r>
    <x v="1823"/>
    <x v="1"/>
    <x v="1823"/>
    <x v="0"/>
    <x v="3"/>
    <x v="4"/>
    <s v="EMP_24"/>
    <d v="2024-12-12T10:34:00"/>
    <d v="2024-12-12T12:58:00"/>
    <n v="67"/>
    <n v="144"/>
    <n v="1"/>
    <x v="0"/>
    <x v="2"/>
    <n v="387.21"/>
    <n v="77"/>
    <n v="0.46527777777777779"/>
    <s v="Inefficient"/>
    <s v="Very Long"/>
    <s v="Major Delay"/>
  </r>
  <r>
    <x v="1824"/>
    <x v="3"/>
    <x v="1824"/>
    <x v="0"/>
    <x v="1"/>
    <x v="1"/>
    <s v="EMP_112"/>
    <d v="2024-08-02T17:06:00"/>
    <d v="2024-08-02T19:20:00"/>
    <n v="81"/>
    <n v="134"/>
    <n v="1"/>
    <x v="0"/>
    <x v="1"/>
    <n v="357.09"/>
    <n v="53"/>
    <n v="0.60447761194029848"/>
    <s v="Inefficient"/>
    <s v="Very Long"/>
    <s v="Major Delay"/>
  </r>
  <r>
    <x v="1825"/>
    <x v="0"/>
    <x v="1825"/>
    <x v="3"/>
    <x v="1"/>
    <x v="4"/>
    <s v="EMP_2"/>
    <d v="2024-12-21T22:21:00"/>
    <d v="2024-12-22T03:35:00"/>
    <n v="206"/>
    <n v="314"/>
    <n v="1"/>
    <x v="0"/>
    <x v="5"/>
    <n v="267.07"/>
    <n v="108"/>
    <n v="0.6560509554140127"/>
    <s v="Inefficient"/>
    <s v="Very Long"/>
    <s v="Major Delay"/>
  </r>
  <r>
    <x v="1826"/>
    <x v="2"/>
    <x v="1826"/>
    <x v="4"/>
    <x v="2"/>
    <x v="3"/>
    <s v="EMP_77"/>
    <d v="2024-10-28T22:39:00"/>
    <d v="2024-10-29T01:05:00"/>
    <n v="135"/>
    <n v="146"/>
    <n v="1"/>
    <x v="0"/>
    <x v="9"/>
    <n v="65.95"/>
    <n v="11"/>
    <n v="0.92465753424657537"/>
    <s v="Inefficient"/>
    <s v="Very Long"/>
    <s v="Minor Delay"/>
  </r>
  <r>
    <x v="1827"/>
    <x v="0"/>
    <x v="1827"/>
    <x v="2"/>
    <x v="3"/>
    <x v="2"/>
    <s v="EMP_85"/>
    <d v="2024-06-22T05:16:00"/>
    <d v="2024-06-22T10:46:00"/>
    <n v="213"/>
    <n v="330"/>
    <n v="1"/>
    <x v="2"/>
    <x v="1"/>
    <n v="189.64"/>
    <n v="117"/>
    <n v="0.6454545454545455"/>
    <s v="Inefficient"/>
    <s v="Very Long"/>
    <s v="Major Delay"/>
  </r>
  <r>
    <x v="1828"/>
    <x v="1"/>
    <x v="1828"/>
    <x v="2"/>
    <x v="2"/>
    <x v="1"/>
    <s v="EMP_116"/>
    <d v="2024-03-22T19:35:00"/>
    <d v="2024-03-22T22:16:00"/>
    <n v="106"/>
    <n v="161"/>
    <n v="1"/>
    <x v="1"/>
    <x v="0"/>
    <n v="299.63"/>
    <n v="55"/>
    <n v="0.65838509316770188"/>
    <s v="Inefficient"/>
    <s v="Very Long"/>
    <s v="Major Delay"/>
  </r>
  <r>
    <x v="1829"/>
    <x v="2"/>
    <x v="1829"/>
    <x v="3"/>
    <x v="2"/>
    <x v="3"/>
    <s v="EMP_83"/>
    <d v="2024-05-08T01:16:00"/>
    <d v="2024-05-08T03:25:00"/>
    <n v="81"/>
    <n v="129"/>
    <n v="1"/>
    <x v="2"/>
    <x v="5"/>
    <n v="99.66"/>
    <n v="48"/>
    <n v="0.62790697674418605"/>
    <s v="Inefficient"/>
    <s v="Very Long"/>
    <s v="Major Delay"/>
  </r>
  <r>
    <x v="1830"/>
    <x v="3"/>
    <x v="1830"/>
    <x v="4"/>
    <x v="3"/>
    <x v="3"/>
    <s v="EMP_79"/>
    <d v="2024-12-20T21:04:00"/>
    <d v="2024-12-21T01:21:00"/>
    <n v="222"/>
    <n v="257"/>
    <n v="1"/>
    <x v="0"/>
    <x v="8"/>
    <n v="165.58"/>
    <n v="35"/>
    <n v="0.86381322957198448"/>
    <s v="Inefficient"/>
    <s v="Very Long"/>
    <s v="Major Delay"/>
  </r>
  <r>
    <x v="1831"/>
    <x v="2"/>
    <x v="1831"/>
    <x v="0"/>
    <x v="1"/>
    <x v="3"/>
    <s v="EMP_108"/>
    <d v="2024-05-24T13:28:00"/>
    <d v="2024-05-24T16:14:00"/>
    <n v="109"/>
    <n v="166"/>
    <n v="1"/>
    <x v="2"/>
    <x v="6"/>
    <n v="317.27999999999997"/>
    <n v="57"/>
    <n v="0.65662650602409633"/>
    <s v="Inefficient"/>
    <s v="Very Long"/>
    <s v="Major Delay"/>
  </r>
  <r>
    <x v="1832"/>
    <x v="4"/>
    <x v="1832"/>
    <x v="0"/>
    <x v="2"/>
    <x v="4"/>
    <s v="EMP_95"/>
    <d v="2024-07-18T23:12:00"/>
    <d v="2024-07-19T01:13:00"/>
    <n v="104"/>
    <n v="121"/>
    <n v="1"/>
    <x v="1"/>
    <x v="6"/>
    <n v="267.83999999999997"/>
    <n v="17"/>
    <n v="0.85950413223140498"/>
    <s v="Inefficient"/>
    <s v="Very Long"/>
    <s v="Minor Delay"/>
  </r>
  <r>
    <x v="1833"/>
    <x v="4"/>
    <x v="1833"/>
    <x v="1"/>
    <x v="2"/>
    <x v="3"/>
    <s v="EMP_104"/>
    <d v="2024-11-03T21:13:00"/>
    <d v="2024-11-04T00:15:00"/>
    <n v="157"/>
    <n v="182"/>
    <n v="1"/>
    <x v="2"/>
    <x v="6"/>
    <n v="497.73"/>
    <n v="25"/>
    <n v="0.86263736263736268"/>
    <s v="Inefficient"/>
    <s v="Very Long"/>
    <s v="Minor Delay"/>
  </r>
  <r>
    <x v="1834"/>
    <x v="1"/>
    <x v="1834"/>
    <x v="4"/>
    <x v="0"/>
    <x v="0"/>
    <s v="EMP_143"/>
    <d v="2024-03-27T16:42:00"/>
    <d v="2024-03-27T19:36:00"/>
    <n v="56"/>
    <n v="174"/>
    <n v="1"/>
    <x v="0"/>
    <x v="9"/>
    <n v="422.24"/>
    <n v="118"/>
    <n v="0.32183908045977011"/>
    <s v="Inefficient"/>
    <s v="Very Long"/>
    <s v="Major Delay"/>
  </r>
  <r>
    <x v="1835"/>
    <x v="2"/>
    <x v="1835"/>
    <x v="2"/>
    <x v="1"/>
    <x v="1"/>
    <s v="EMP_112"/>
    <d v="2024-01-19T23:36:00"/>
    <d v="2024-01-20T03:42:00"/>
    <n v="227"/>
    <n v="246"/>
    <n v="1"/>
    <x v="1"/>
    <x v="3"/>
    <n v="347.69"/>
    <n v="19"/>
    <n v="0.92276422764227639"/>
    <s v="Inefficient"/>
    <s v="Very Long"/>
    <s v="Minor Delay"/>
  </r>
  <r>
    <x v="1836"/>
    <x v="4"/>
    <x v="1836"/>
    <x v="4"/>
    <x v="0"/>
    <x v="3"/>
    <s v="EMP_33"/>
    <d v="2024-06-01T09:14:00"/>
    <d v="2024-06-01T13:47:00"/>
    <n v="219"/>
    <n v="273"/>
    <n v="1"/>
    <x v="1"/>
    <x v="1"/>
    <n v="164.5"/>
    <n v="54"/>
    <n v="0.80219780219780223"/>
    <s v="Inefficient"/>
    <s v="Very Long"/>
    <s v="Major Delay"/>
  </r>
  <r>
    <x v="1837"/>
    <x v="4"/>
    <x v="1837"/>
    <x v="2"/>
    <x v="2"/>
    <x v="4"/>
    <s v="EMP_111"/>
    <d v="2024-05-04T06:46:00"/>
    <d v="2024-05-04T08:59:00"/>
    <n v="126"/>
    <n v="133"/>
    <n v="1"/>
    <x v="1"/>
    <x v="1"/>
    <n v="250.37"/>
    <n v="7"/>
    <n v="0.94736842105263153"/>
    <s v="Inefficient"/>
    <s v="Very Long"/>
    <s v="Minor Delay"/>
  </r>
  <r>
    <x v="1838"/>
    <x v="2"/>
    <x v="1838"/>
    <x v="0"/>
    <x v="3"/>
    <x v="0"/>
    <s v="EMP_114"/>
    <d v="2024-06-13T22:40:00"/>
    <d v="2024-06-14T00:34:00"/>
    <n v="106"/>
    <n v="114"/>
    <n v="1"/>
    <x v="1"/>
    <x v="4"/>
    <n v="398.78"/>
    <n v="8"/>
    <n v="0.92982456140350878"/>
    <s v="Inefficient"/>
    <s v="Long"/>
    <s v="Minor Delay"/>
  </r>
  <r>
    <x v="1839"/>
    <x v="4"/>
    <x v="1839"/>
    <x v="3"/>
    <x v="3"/>
    <x v="1"/>
    <s v="EMP_82"/>
    <d v="2024-04-29T01:54:00"/>
    <d v="2024-04-29T04:08:00"/>
    <n v="118"/>
    <n v="134"/>
    <n v="1"/>
    <x v="0"/>
    <x v="2"/>
    <n v="458.89"/>
    <n v="16"/>
    <n v="0.88059701492537312"/>
    <s v="Inefficient"/>
    <s v="Very Long"/>
    <s v="Minor Delay"/>
  </r>
  <r>
    <x v="1840"/>
    <x v="2"/>
    <x v="1840"/>
    <x v="0"/>
    <x v="2"/>
    <x v="0"/>
    <s v="EMP_97"/>
    <d v="2024-08-24T00:04:00"/>
    <d v="2024-08-24T04:44:00"/>
    <n v="226"/>
    <n v="280"/>
    <n v="1"/>
    <x v="2"/>
    <x v="0"/>
    <n v="233.05"/>
    <n v="54"/>
    <n v="0.80714285714285716"/>
    <s v="Inefficient"/>
    <s v="Very Long"/>
    <s v="Major Delay"/>
  </r>
  <r>
    <x v="1841"/>
    <x v="4"/>
    <x v="1841"/>
    <x v="3"/>
    <x v="3"/>
    <x v="1"/>
    <s v="EMP_115"/>
    <d v="2024-12-24T14:02:00"/>
    <d v="2024-12-24T14:46:00"/>
    <n v="20"/>
    <n v="44"/>
    <n v="1"/>
    <x v="1"/>
    <x v="8"/>
    <n v="299.11"/>
    <n v="24"/>
    <n v="0.45454545454545453"/>
    <s v="Inefficient"/>
    <s v="Medium"/>
    <s v="Minor Delay"/>
  </r>
  <r>
    <x v="1842"/>
    <x v="1"/>
    <x v="1842"/>
    <x v="2"/>
    <x v="3"/>
    <x v="2"/>
    <s v="EMP_62"/>
    <d v="2024-12-24T15:40:00"/>
    <d v="2024-12-24T20:21:00"/>
    <n v="234"/>
    <n v="281"/>
    <n v="1"/>
    <x v="0"/>
    <x v="5"/>
    <n v="144.69999999999999"/>
    <n v="47"/>
    <n v="0.83274021352313166"/>
    <s v="Inefficient"/>
    <s v="Very Long"/>
    <s v="Major Delay"/>
  </r>
  <r>
    <x v="1843"/>
    <x v="2"/>
    <x v="1843"/>
    <x v="2"/>
    <x v="0"/>
    <x v="0"/>
    <s v="EMP_149"/>
    <d v="2024-11-01T20:19:00"/>
    <d v="2024-11-02T01:52:00"/>
    <n v="227"/>
    <n v="333"/>
    <n v="1"/>
    <x v="2"/>
    <x v="7"/>
    <n v="105.68"/>
    <n v="106"/>
    <n v="0.68168168168168164"/>
    <s v="Inefficient"/>
    <s v="Very Long"/>
    <s v="Major Delay"/>
  </r>
  <r>
    <x v="1844"/>
    <x v="4"/>
    <x v="1844"/>
    <x v="1"/>
    <x v="3"/>
    <x v="1"/>
    <s v="EMP_3"/>
    <d v="2024-01-28T17:07:00"/>
    <d v="2024-01-28T21:16:00"/>
    <n v="215"/>
    <n v="249"/>
    <n v="1"/>
    <x v="1"/>
    <x v="5"/>
    <n v="181.8"/>
    <n v="34"/>
    <n v="0.86345381526104414"/>
    <s v="Inefficient"/>
    <s v="Very Long"/>
    <s v="Major Delay"/>
  </r>
  <r>
    <x v="1845"/>
    <x v="3"/>
    <x v="1845"/>
    <x v="1"/>
    <x v="0"/>
    <x v="4"/>
    <s v="EMP_39"/>
    <d v="2024-02-17T04:58:00"/>
    <d v="2024-02-17T10:24:00"/>
    <n v="239"/>
    <n v="326"/>
    <n v="1"/>
    <x v="1"/>
    <x v="6"/>
    <n v="482.94"/>
    <n v="87"/>
    <n v="0.73312883435582821"/>
    <s v="Inefficient"/>
    <s v="Very Long"/>
    <s v="Major Delay"/>
  </r>
  <r>
    <x v="1846"/>
    <x v="2"/>
    <x v="1846"/>
    <x v="2"/>
    <x v="1"/>
    <x v="4"/>
    <s v="EMP_31"/>
    <d v="2024-07-28T04:44:00"/>
    <d v="2024-07-28T08:22:00"/>
    <n v="107"/>
    <n v="218"/>
    <n v="1"/>
    <x v="1"/>
    <x v="8"/>
    <n v="440.72"/>
    <n v="111"/>
    <n v="0.49082568807339449"/>
    <s v="Inefficient"/>
    <s v="Very Long"/>
    <s v="Major Delay"/>
  </r>
  <r>
    <x v="1847"/>
    <x v="4"/>
    <x v="1847"/>
    <x v="2"/>
    <x v="1"/>
    <x v="1"/>
    <s v="EMP_90"/>
    <d v="2024-06-02T18:28:00"/>
    <d v="2024-06-02T21:57:00"/>
    <n v="127"/>
    <n v="209"/>
    <n v="1"/>
    <x v="1"/>
    <x v="4"/>
    <n v="67.180000000000007"/>
    <n v="82"/>
    <n v="0.60765550239234445"/>
    <s v="Inefficient"/>
    <s v="Very Long"/>
    <s v="Major Delay"/>
  </r>
  <r>
    <x v="1848"/>
    <x v="4"/>
    <x v="1848"/>
    <x v="0"/>
    <x v="2"/>
    <x v="1"/>
    <s v="EMP_22"/>
    <d v="2024-11-20T16:53:00"/>
    <d v="2024-11-20T20:00:00"/>
    <n v="155"/>
    <n v="187"/>
    <n v="1"/>
    <x v="0"/>
    <x v="2"/>
    <n v="69.53"/>
    <n v="32"/>
    <n v="0.82887700534759357"/>
    <s v="Inefficient"/>
    <s v="Very Long"/>
    <s v="Major Delay"/>
  </r>
  <r>
    <x v="1849"/>
    <x v="0"/>
    <x v="1849"/>
    <x v="0"/>
    <x v="1"/>
    <x v="2"/>
    <s v="EMP_112"/>
    <d v="2024-05-23T03:59:00"/>
    <d v="2024-05-23T06:29:00"/>
    <n v="33"/>
    <n v="150"/>
    <n v="1"/>
    <x v="2"/>
    <x v="5"/>
    <n v="198.36"/>
    <n v="117"/>
    <n v="0.22"/>
    <s v="Inefficient"/>
    <s v="Very Long"/>
    <s v="Major Delay"/>
  </r>
  <r>
    <x v="1850"/>
    <x v="2"/>
    <x v="1850"/>
    <x v="1"/>
    <x v="1"/>
    <x v="1"/>
    <s v="EMP_63"/>
    <d v="2024-10-27T20:52:00"/>
    <d v="2024-10-27T23:00:00"/>
    <n v="54"/>
    <n v="128"/>
    <n v="1"/>
    <x v="0"/>
    <x v="2"/>
    <n v="374.65"/>
    <n v="74"/>
    <n v="0.421875"/>
    <s v="Inefficient"/>
    <s v="Very Long"/>
    <s v="Major Delay"/>
  </r>
  <r>
    <x v="1851"/>
    <x v="3"/>
    <x v="1851"/>
    <x v="2"/>
    <x v="0"/>
    <x v="3"/>
    <s v="EMP_18"/>
    <d v="2024-03-02T12:51:00"/>
    <d v="2024-03-02T16:14:00"/>
    <n v="104"/>
    <n v="203"/>
    <n v="1"/>
    <x v="1"/>
    <x v="9"/>
    <n v="138.97"/>
    <n v="99"/>
    <n v="0.51231527093596063"/>
    <s v="Inefficient"/>
    <s v="Very Long"/>
    <s v="Major Delay"/>
  </r>
  <r>
    <x v="1852"/>
    <x v="4"/>
    <x v="1852"/>
    <x v="4"/>
    <x v="2"/>
    <x v="2"/>
    <s v="EMP_71"/>
    <d v="2024-03-25T22:29:00"/>
    <d v="2024-03-25T23:27:00"/>
    <n v="51"/>
    <n v="58"/>
    <n v="1"/>
    <x v="2"/>
    <x v="9"/>
    <n v="75.599999999999994"/>
    <n v="7"/>
    <n v="0.87931034482758619"/>
    <s v="Inefficient"/>
    <s v="Medium"/>
    <s v="Minor Delay"/>
  </r>
  <r>
    <x v="1853"/>
    <x v="3"/>
    <x v="1853"/>
    <x v="1"/>
    <x v="0"/>
    <x v="1"/>
    <s v="EMP_137"/>
    <d v="2024-04-29T22:12:00"/>
    <d v="2024-04-30T00:46:00"/>
    <n v="90"/>
    <n v="154"/>
    <n v="1"/>
    <x v="2"/>
    <x v="1"/>
    <n v="447.63"/>
    <n v="64"/>
    <n v="0.58441558441558439"/>
    <s v="Inefficient"/>
    <s v="Very Long"/>
    <s v="Major Delay"/>
  </r>
  <r>
    <x v="1854"/>
    <x v="4"/>
    <x v="1854"/>
    <x v="4"/>
    <x v="2"/>
    <x v="4"/>
    <s v="EMP_42"/>
    <d v="2024-05-30T20:28:00"/>
    <d v="2024-05-30T21:33:00"/>
    <n v="40"/>
    <n v="65"/>
    <n v="1"/>
    <x v="0"/>
    <x v="0"/>
    <n v="440.14"/>
    <n v="25"/>
    <n v="0.61538461538461542"/>
    <s v="Inefficient"/>
    <s v="Long"/>
    <s v="Minor Delay"/>
  </r>
  <r>
    <x v="1855"/>
    <x v="3"/>
    <x v="1855"/>
    <x v="2"/>
    <x v="3"/>
    <x v="4"/>
    <s v="EMP_58"/>
    <d v="2024-01-17T08:33:00"/>
    <d v="2024-01-17T13:18:00"/>
    <n v="236"/>
    <n v="285"/>
    <n v="1"/>
    <x v="0"/>
    <x v="3"/>
    <n v="235.07"/>
    <n v="49"/>
    <n v="0.82807017543859651"/>
    <s v="Inefficient"/>
    <s v="Very Long"/>
    <s v="Major Delay"/>
  </r>
  <r>
    <x v="1856"/>
    <x v="2"/>
    <x v="1856"/>
    <x v="4"/>
    <x v="3"/>
    <x v="3"/>
    <s v="EMP_145"/>
    <d v="2024-10-11T08:21:00"/>
    <d v="2024-10-11T10:11:00"/>
    <n v="56"/>
    <n v="110"/>
    <n v="1"/>
    <x v="2"/>
    <x v="7"/>
    <n v="104.83"/>
    <n v="54"/>
    <n v="0.50909090909090904"/>
    <s v="Inefficient"/>
    <s v="Long"/>
    <s v="Major Delay"/>
  </r>
  <r>
    <x v="1857"/>
    <x v="1"/>
    <x v="1857"/>
    <x v="3"/>
    <x v="2"/>
    <x v="3"/>
    <s v="EMP_120"/>
    <d v="2024-07-04T19:38:00"/>
    <d v="2024-07-04T21:46:00"/>
    <n v="91"/>
    <n v="128"/>
    <n v="1"/>
    <x v="2"/>
    <x v="6"/>
    <n v="313.86"/>
    <n v="37"/>
    <n v="0.7109375"/>
    <s v="Inefficient"/>
    <s v="Very Long"/>
    <s v="Major Delay"/>
  </r>
  <r>
    <x v="1858"/>
    <x v="0"/>
    <x v="1858"/>
    <x v="0"/>
    <x v="0"/>
    <x v="1"/>
    <s v="EMP_45"/>
    <d v="2024-07-05T03:49:00"/>
    <d v="2024-07-05T07:39:00"/>
    <n v="191"/>
    <n v="230"/>
    <n v="1"/>
    <x v="0"/>
    <x v="2"/>
    <n v="98.75"/>
    <n v="39"/>
    <n v="0.83043478260869563"/>
    <s v="Inefficient"/>
    <s v="Very Long"/>
    <s v="Major Delay"/>
  </r>
  <r>
    <x v="1859"/>
    <x v="2"/>
    <x v="1859"/>
    <x v="2"/>
    <x v="2"/>
    <x v="1"/>
    <s v="EMP_42"/>
    <d v="2024-03-14T01:10:00"/>
    <d v="2024-03-14T04:19:00"/>
    <n v="84"/>
    <n v="189"/>
    <n v="1"/>
    <x v="2"/>
    <x v="3"/>
    <n v="390"/>
    <n v="105"/>
    <n v="0.44444444444444442"/>
    <s v="Inefficient"/>
    <s v="Very Long"/>
    <s v="Major Delay"/>
  </r>
  <r>
    <x v="1860"/>
    <x v="3"/>
    <x v="1860"/>
    <x v="1"/>
    <x v="3"/>
    <x v="1"/>
    <s v="EMP_67"/>
    <d v="2024-10-12T11:14:00"/>
    <d v="2024-10-12T16:05:00"/>
    <n v="182"/>
    <n v="291"/>
    <n v="1"/>
    <x v="2"/>
    <x v="1"/>
    <n v="339.24"/>
    <n v="109"/>
    <n v="0.62542955326460481"/>
    <s v="Inefficient"/>
    <s v="Very Long"/>
    <s v="Major Delay"/>
  </r>
  <r>
    <x v="1861"/>
    <x v="4"/>
    <x v="1861"/>
    <x v="4"/>
    <x v="1"/>
    <x v="3"/>
    <s v="EMP_134"/>
    <d v="2024-11-12T05:09:00"/>
    <d v="2024-11-12T06:34:00"/>
    <n v="89"/>
    <n v="85"/>
    <n v="0"/>
    <x v="1"/>
    <x v="1"/>
    <n v="58.16"/>
    <n v="-4"/>
    <n v="1.0470588235294118"/>
    <s v="Efficient"/>
    <s v="Long"/>
    <s v="On Time"/>
  </r>
  <r>
    <x v="1862"/>
    <x v="4"/>
    <x v="1862"/>
    <x v="2"/>
    <x v="2"/>
    <x v="1"/>
    <s v="EMP_80"/>
    <d v="2024-05-28T04:41:00"/>
    <d v="2024-05-28T09:41:00"/>
    <n v="184"/>
    <n v="300"/>
    <n v="1"/>
    <x v="2"/>
    <x v="0"/>
    <n v="260.38"/>
    <n v="116"/>
    <n v="0.61333333333333329"/>
    <s v="Inefficient"/>
    <s v="Very Long"/>
    <s v="Major Delay"/>
  </r>
  <r>
    <x v="1863"/>
    <x v="3"/>
    <x v="1863"/>
    <x v="4"/>
    <x v="3"/>
    <x v="3"/>
    <s v="EMP_110"/>
    <d v="2024-08-20T22:28:00"/>
    <d v="2024-08-21T02:11:00"/>
    <n v="194"/>
    <n v="223"/>
    <n v="1"/>
    <x v="1"/>
    <x v="7"/>
    <n v="459.44"/>
    <n v="29"/>
    <n v="0.8699551569506726"/>
    <s v="Inefficient"/>
    <s v="Very Long"/>
    <s v="Minor Delay"/>
  </r>
  <r>
    <x v="1864"/>
    <x v="4"/>
    <x v="1864"/>
    <x v="1"/>
    <x v="3"/>
    <x v="4"/>
    <s v="EMP_122"/>
    <d v="2024-09-23T19:15:00"/>
    <d v="2024-09-23T22:52:00"/>
    <n v="133"/>
    <n v="217"/>
    <n v="1"/>
    <x v="1"/>
    <x v="8"/>
    <n v="453.24"/>
    <n v="84"/>
    <n v="0.61290322580645162"/>
    <s v="Inefficient"/>
    <s v="Very Long"/>
    <s v="Major Delay"/>
  </r>
  <r>
    <x v="1865"/>
    <x v="2"/>
    <x v="1865"/>
    <x v="1"/>
    <x v="2"/>
    <x v="0"/>
    <s v="EMP_89"/>
    <d v="2024-05-17T14:10:00"/>
    <d v="2024-05-17T15:47:00"/>
    <n v="97"/>
    <n v="97"/>
    <n v="0"/>
    <x v="2"/>
    <x v="8"/>
    <n v="181.25"/>
    <n v="0"/>
    <n v="1"/>
    <s v="On Target"/>
    <s v="Long"/>
    <s v="On Time"/>
  </r>
  <r>
    <x v="1866"/>
    <x v="3"/>
    <x v="1866"/>
    <x v="0"/>
    <x v="1"/>
    <x v="2"/>
    <s v="EMP_74"/>
    <d v="2024-03-26T21:59:00"/>
    <d v="2024-03-27T01:09:00"/>
    <n v="70"/>
    <n v="190"/>
    <n v="1"/>
    <x v="2"/>
    <x v="9"/>
    <n v="191.91"/>
    <n v="120"/>
    <n v="0.36842105263157893"/>
    <s v="Inefficient"/>
    <s v="Very Long"/>
    <s v="Major Delay"/>
  </r>
  <r>
    <x v="1867"/>
    <x v="1"/>
    <x v="1867"/>
    <x v="1"/>
    <x v="1"/>
    <x v="4"/>
    <s v="EMP_136"/>
    <d v="2024-05-22T08:07:00"/>
    <d v="2024-05-22T12:22:00"/>
    <n v="136"/>
    <n v="255"/>
    <n v="1"/>
    <x v="0"/>
    <x v="4"/>
    <n v="242.6"/>
    <n v="119"/>
    <n v="0.53333333333333333"/>
    <s v="Inefficient"/>
    <s v="Very Long"/>
    <s v="Major Delay"/>
  </r>
  <r>
    <x v="1868"/>
    <x v="4"/>
    <x v="1868"/>
    <x v="3"/>
    <x v="3"/>
    <x v="4"/>
    <s v="EMP_91"/>
    <d v="2024-02-26T16:59:00"/>
    <d v="2024-02-26T19:39:00"/>
    <n v="100"/>
    <n v="160"/>
    <n v="1"/>
    <x v="2"/>
    <x v="6"/>
    <n v="329.38"/>
    <n v="60"/>
    <n v="0.625"/>
    <s v="Inefficient"/>
    <s v="Very Long"/>
    <s v="Major Delay"/>
  </r>
  <r>
    <x v="1869"/>
    <x v="0"/>
    <x v="1869"/>
    <x v="0"/>
    <x v="2"/>
    <x v="2"/>
    <s v="EMP_36"/>
    <d v="2024-07-24T12:01:00"/>
    <d v="2024-07-24T14:31:00"/>
    <n v="70"/>
    <n v="150"/>
    <n v="1"/>
    <x v="2"/>
    <x v="5"/>
    <n v="183.11"/>
    <n v="80"/>
    <n v="0.46666666666666667"/>
    <s v="Inefficient"/>
    <s v="Very Long"/>
    <s v="Major Delay"/>
  </r>
  <r>
    <x v="1870"/>
    <x v="2"/>
    <x v="1870"/>
    <x v="4"/>
    <x v="2"/>
    <x v="0"/>
    <s v="EMP_64"/>
    <d v="2024-12-25T17:34:00"/>
    <d v="2024-12-25T20:25:00"/>
    <n v="107"/>
    <n v="171"/>
    <n v="1"/>
    <x v="1"/>
    <x v="8"/>
    <n v="462.11"/>
    <n v="64"/>
    <n v="0.6257309941520468"/>
    <s v="Inefficient"/>
    <s v="Very Long"/>
    <s v="Major Delay"/>
  </r>
  <r>
    <x v="1871"/>
    <x v="3"/>
    <x v="1871"/>
    <x v="1"/>
    <x v="0"/>
    <x v="4"/>
    <s v="EMP_39"/>
    <d v="2024-11-10T01:31:00"/>
    <d v="2024-11-10T05:19:00"/>
    <n v="210"/>
    <n v="228"/>
    <n v="1"/>
    <x v="0"/>
    <x v="2"/>
    <n v="488.31"/>
    <n v="18"/>
    <n v="0.92105263157894735"/>
    <s v="Inefficient"/>
    <s v="Very Long"/>
    <s v="Minor Delay"/>
  </r>
  <r>
    <x v="1872"/>
    <x v="3"/>
    <x v="1872"/>
    <x v="4"/>
    <x v="3"/>
    <x v="3"/>
    <s v="EMP_101"/>
    <d v="2024-12-22T04:50:00"/>
    <d v="2024-12-22T07:35:00"/>
    <n v="51"/>
    <n v="165"/>
    <n v="1"/>
    <x v="2"/>
    <x v="9"/>
    <n v="410.86"/>
    <n v="114"/>
    <n v="0.30909090909090908"/>
    <s v="Inefficient"/>
    <s v="Very Long"/>
    <s v="Major Delay"/>
  </r>
  <r>
    <x v="1873"/>
    <x v="1"/>
    <x v="1873"/>
    <x v="1"/>
    <x v="2"/>
    <x v="3"/>
    <s v="EMP_107"/>
    <d v="2024-07-27T10:36:00"/>
    <d v="2024-07-27T13:13:00"/>
    <n v="154"/>
    <n v="157"/>
    <n v="1"/>
    <x v="2"/>
    <x v="6"/>
    <n v="496.1"/>
    <n v="3"/>
    <n v="0.98089171974522293"/>
    <s v="Inefficient"/>
    <s v="Very Long"/>
    <s v="Minor Delay"/>
  </r>
  <r>
    <x v="1874"/>
    <x v="1"/>
    <x v="1874"/>
    <x v="2"/>
    <x v="2"/>
    <x v="2"/>
    <s v="EMP_11"/>
    <d v="2024-08-09T13:28:00"/>
    <d v="2024-08-09T17:28:00"/>
    <n v="177"/>
    <n v="240"/>
    <n v="1"/>
    <x v="2"/>
    <x v="1"/>
    <n v="183.72"/>
    <n v="63"/>
    <n v="0.73750000000000004"/>
    <s v="Inefficient"/>
    <s v="Very Long"/>
    <s v="Major Delay"/>
  </r>
  <r>
    <x v="1875"/>
    <x v="3"/>
    <x v="1875"/>
    <x v="1"/>
    <x v="0"/>
    <x v="1"/>
    <s v="EMP_29"/>
    <d v="2024-07-03T20:39:00"/>
    <d v="2024-07-03T22:15:00"/>
    <n v="21"/>
    <n v="96"/>
    <n v="1"/>
    <x v="1"/>
    <x v="0"/>
    <n v="299.16000000000003"/>
    <n v="75"/>
    <n v="0.21875"/>
    <s v="Inefficient"/>
    <s v="Long"/>
    <s v="Major Delay"/>
  </r>
  <r>
    <x v="1876"/>
    <x v="0"/>
    <x v="1876"/>
    <x v="2"/>
    <x v="0"/>
    <x v="1"/>
    <s v="EMP_38"/>
    <d v="2024-04-07T09:20:00"/>
    <d v="2024-04-07T11:55:00"/>
    <n v="126"/>
    <n v="155"/>
    <n v="1"/>
    <x v="2"/>
    <x v="9"/>
    <n v="499.48"/>
    <n v="29"/>
    <n v="0.81290322580645158"/>
    <s v="Inefficient"/>
    <s v="Very Long"/>
    <s v="Minor Delay"/>
  </r>
  <r>
    <x v="1877"/>
    <x v="4"/>
    <x v="1877"/>
    <x v="1"/>
    <x v="0"/>
    <x v="3"/>
    <s v="EMP_78"/>
    <d v="2024-07-31T05:14:00"/>
    <d v="2024-07-31T08:07:00"/>
    <n v="75"/>
    <n v="173"/>
    <n v="1"/>
    <x v="1"/>
    <x v="7"/>
    <n v="496.54"/>
    <n v="98"/>
    <n v="0.43352601156069365"/>
    <s v="Inefficient"/>
    <s v="Very Long"/>
    <s v="Major Delay"/>
  </r>
  <r>
    <x v="1878"/>
    <x v="0"/>
    <x v="1878"/>
    <x v="1"/>
    <x v="1"/>
    <x v="0"/>
    <s v="EMP_121"/>
    <d v="2024-10-23T22:05:00"/>
    <d v="2024-10-23T22:55:00"/>
    <n v="17"/>
    <n v="50"/>
    <n v="1"/>
    <x v="0"/>
    <x v="1"/>
    <n v="364.96"/>
    <n v="33"/>
    <n v="0.34"/>
    <s v="Inefficient"/>
    <s v="Medium"/>
    <s v="Major Delay"/>
  </r>
  <r>
    <x v="1879"/>
    <x v="4"/>
    <x v="1879"/>
    <x v="1"/>
    <x v="0"/>
    <x v="3"/>
    <s v="EMP_38"/>
    <d v="2024-04-13T14:54:00"/>
    <d v="2024-04-13T19:19:00"/>
    <n v="193"/>
    <n v="265"/>
    <n v="1"/>
    <x v="0"/>
    <x v="1"/>
    <n v="96.18"/>
    <n v="72"/>
    <n v="0.72830188679245278"/>
    <s v="Inefficient"/>
    <s v="Very Long"/>
    <s v="Major Delay"/>
  </r>
  <r>
    <x v="1880"/>
    <x v="3"/>
    <x v="1880"/>
    <x v="2"/>
    <x v="3"/>
    <x v="2"/>
    <s v="EMP_84"/>
    <d v="2024-07-20T01:07:00"/>
    <d v="2024-07-20T04:53:00"/>
    <n v="175"/>
    <n v="226"/>
    <n v="1"/>
    <x v="2"/>
    <x v="2"/>
    <n v="466.27"/>
    <n v="51"/>
    <n v="0.77433628318584069"/>
    <s v="Inefficient"/>
    <s v="Very Long"/>
    <s v="Major Delay"/>
  </r>
  <r>
    <x v="1881"/>
    <x v="3"/>
    <x v="1881"/>
    <x v="3"/>
    <x v="0"/>
    <x v="4"/>
    <s v="EMP_61"/>
    <d v="2024-10-08T21:31:00"/>
    <d v="2024-10-08T23:11:00"/>
    <n v="87"/>
    <n v="100"/>
    <n v="1"/>
    <x v="0"/>
    <x v="0"/>
    <n v="67.709999999999994"/>
    <n v="13"/>
    <n v="0.87"/>
    <s v="Inefficient"/>
    <s v="Long"/>
    <s v="Minor Delay"/>
  </r>
  <r>
    <x v="1882"/>
    <x v="0"/>
    <x v="1882"/>
    <x v="1"/>
    <x v="0"/>
    <x v="4"/>
    <s v="EMP_18"/>
    <d v="2024-03-16T06:42:00"/>
    <d v="2024-03-16T10:31:00"/>
    <n v="218"/>
    <n v="229"/>
    <n v="1"/>
    <x v="0"/>
    <x v="5"/>
    <n v="279.24"/>
    <n v="11"/>
    <n v="0.95196506550218341"/>
    <s v="Inefficient"/>
    <s v="Very Long"/>
    <s v="Minor Delay"/>
  </r>
  <r>
    <x v="1883"/>
    <x v="2"/>
    <x v="1883"/>
    <x v="1"/>
    <x v="3"/>
    <x v="2"/>
    <s v="EMP_36"/>
    <d v="2024-01-10T14:19:00"/>
    <d v="2024-01-10T18:39:00"/>
    <n v="143"/>
    <n v="260"/>
    <n v="1"/>
    <x v="1"/>
    <x v="4"/>
    <n v="270.89999999999998"/>
    <n v="117"/>
    <n v="0.55000000000000004"/>
    <s v="Inefficient"/>
    <s v="Very Long"/>
    <s v="Major Delay"/>
  </r>
  <r>
    <x v="1884"/>
    <x v="0"/>
    <x v="1884"/>
    <x v="0"/>
    <x v="0"/>
    <x v="2"/>
    <s v="EMP_2"/>
    <d v="2024-06-06T02:26:00"/>
    <d v="2024-06-06T04:38:00"/>
    <n v="68"/>
    <n v="132"/>
    <n v="1"/>
    <x v="0"/>
    <x v="7"/>
    <n v="66.599999999999994"/>
    <n v="64"/>
    <n v="0.51515151515151514"/>
    <s v="Inefficient"/>
    <s v="Very Long"/>
    <s v="Major Delay"/>
  </r>
  <r>
    <x v="1885"/>
    <x v="3"/>
    <x v="1885"/>
    <x v="2"/>
    <x v="1"/>
    <x v="2"/>
    <s v="EMP_149"/>
    <d v="2024-03-21T08:04:00"/>
    <d v="2024-03-21T11:08:00"/>
    <n v="82"/>
    <n v="184"/>
    <n v="1"/>
    <x v="1"/>
    <x v="4"/>
    <n v="351.31"/>
    <n v="102"/>
    <n v="0.44565217391304346"/>
    <s v="Inefficient"/>
    <s v="Very Long"/>
    <s v="Major Delay"/>
  </r>
  <r>
    <x v="1886"/>
    <x v="1"/>
    <x v="1886"/>
    <x v="4"/>
    <x v="0"/>
    <x v="2"/>
    <s v="EMP_70"/>
    <d v="2024-02-29T14:07:00"/>
    <d v="2024-02-29T18:21:00"/>
    <n v="187"/>
    <n v="254"/>
    <n v="1"/>
    <x v="0"/>
    <x v="1"/>
    <n v="60.75"/>
    <n v="67"/>
    <n v="0.73622047244094491"/>
    <s v="Inefficient"/>
    <s v="Very Long"/>
    <s v="Major Delay"/>
  </r>
  <r>
    <x v="1887"/>
    <x v="0"/>
    <x v="1887"/>
    <x v="4"/>
    <x v="1"/>
    <x v="1"/>
    <s v="EMP_8"/>
    <d v="2024-10-16T10:39:00"/>
    <d v="2024-10-16T12:39:00"/>
    <n v="116"/>
    <n v="120"/>
    <n v="1"/>
    <x v="0"/>
    <x v="8"/>
    <n v="387.57"/>
    <n v="4"/>
    <n v="0.96666666666666667"/>
    <s v="Inefficient"/>
    <s v="Very Long"/>
    <s v="Minor Delay"/>
  </r>
  <r>
    <x v="1888"/>
    <x v="1"/>
    <x v="1888"/>
    <x v="0"/>
    <x v="2"/>
    <x v="1"/>
    <s v="EMP_123"/>
    <d v="2024-01-21T10:57:00"/>
    <d v="2024-01-21T14:51:00"/>
    <n v="222"/>
    <n v="234"/>
    <n v="1"/>
    <x v="2"/>
    <x v="9"/>
    <n v="115.84"/>
    <n v="12"/>
    <n v="0.94871794871794868"/>
    <s v="Inefficient"/>
    <s v="Very Long"/>
    <s v="Minor Delay"/>
  </r>
  <r>
    <x v="1889"/>
    <x v="2"/>
    <x v="1889"/>
    <x v="2"/>
    <x v="0"/>
    <x v="0"/>
    <s v="EMP_128"/>
    <d v="2024-07-30T20:07:00"/>
    <d v="2024-07-30T21:30:00"/>
    <n v="36"/>
    <n v="83"/>
    <n v="1"/>
    <x v="1"/>
    <x v="5"/>
    <n v="376.18"/>
    <n v="47"/>
    <n v="0.43373493975903615"/>
    <s v="Inefficient"/>
    <s v="Long"/>
    <s v="Major Delay"/>
  </r>
  <r>
    <x v="1890"/>
    <x v="0"/>
    <x v="1890"/>
    <x v="1"/>
    <x v="1"/>
    <x v="2"/>
    <s v="EMP_106"/>
    <d v="2024-04-12T20:44:00"/>
    <d v="2024-04-12T23:03:00"/>
    <n v="109"/>
    <n v="139"/>
    <n v="1"/>
    <x v="0"/>
    <x v="9"/>
    <n v="244.33"/>
    <n v="30"/>
    <n v="0.78417266187050361"/>
    <s v="Inefficient"/>
    <s v="Very Long"/>
    <s v="Minor Delay"/>
  </r>
  <r>
    <x v="1891"/>
    <x v="4"/>
    <x v="1891"/>
    <x v="0"/>
    <x v="3"/>
    <x v="0"/>
    <s v="EMP_125"/>
    <d v="2024-02-21T21:25:00"/>
    <d v="2024-02-22T01:38:00"/>
    <n v="224"/>
    <n v="253"/>
    <n v="1"/>
    <x v="0"/>
    <x v="1"/>
    <n v="359.69"/>
    <n v="29"/>
    <n v="0.88537549407114624"/>
    <s v="Inefficient"/>
    <s v="Very Long"/>
    <s v="Minor Delay"/>
  </r>
  <r>
    <x v="1892"/>
    <x v="4"/>
    <x v="1892"/>
    <x v="4"/>
    <x v="2"/>
    <x v="3"/>
    <s v="EMP_71"/>
    <d v="2024-02-25T06:12:00"/>
    <d v="2024-02-25T09:50:00"/>
    <n v="131"/>
    <n v="218"/>
    <n v="1"/>
    <x v="2"/>
    <x v="6"/>
    <n v="419.65"/>
    <n v="87"/>
    <n v="0.6009174311926605"/>
    <s v="Inefficient"/>
    <s v="Very Long"/>
    <s v="Major Delay"/>
  </r>
  <r>
    <x v="1893"/>
    <x v="4"/>
    <x v="1893"/>
    <x v="2"/>
    <x v="0"/>
    <x v="1"/>
    <s v="EMP_16"/>
    <d v="2024-05-14T16:48:00"/>
    <d v="2024-05-14T22:14:00"/>
    <n v="210"/>
    <n v="326"/>
    <n v="1"/>
    <x v="0"/>
    <x v="2"/>
    <n v="310.62"/>
    <n v="116"/>
    <n v="0.64417177914110424"/>
    <s v="Inefficient"/>
    <s v="Very Long"/>
    <s v="Major Delay"/>
  </r>
  <r>
    <x v="1894"/>
    <x v="1"/>
    <x v="1894"/>
    <x v="0"/>
    <x v="2"/>
    <x v="4"/>
    <s v="EMP_26"/>
    <d v="2024-06-04T21:55:00"/>
    <d v="2024-06-05T00:10:00"/>
    <n v="81"/>
    <n v="135"/>
    <n v="1"/>
    <x v="1"/>
    <x v="6"/>
    <n v="292.14"/>
    <n v="54"/>
    <n v="0.6"/>
    <s v="Inefficient"/>
    <s v="Very Long"/>
    <s v="Major Delay"/>
  </r>
  <r>
    <x v="1895"/>
    <x v="4"/>
    <x v="1895"/>
    <x v="0"/>
    <x v="3"/>
    <x v="0"/>
    <s v="EMP_37"/>
    <d v="2024-03-07T03:42:00"/>
    <d v="2024-03-07T08:55:00"/>
    <n v="216"/>
    <n v="313"/>
    <n v="1"/>
    <x v="0"/>
    <x v="5"/>
    <n v="445.15"/>
    <n v="97"/>
    <n v="0.69009584664536738"/>
    <s v="Inefficient"/>
    <s v="Very Long"/>
    <s v="Major Delay"/>
  </r>
  <r>
    <x v="1896"/>
    <x v="3"/>
    <x v="1896"/>
    <x v="2"/>
    <x v="2"/>
    <x v="0"/>
    <s v="EMP_125"/>
    <d v="2024-03-04T19:42:00"/>
    <d v="2024-03-04T21:20:00"/>
    <n v="51"/>
    <n v="98"/>
    <n v="1"/>
    <x v="2"/>
    <x v="9"/>
    <n v="197.16"/>
    <n v="47"/>
    <n v="0.52040816326530615"/>
    <s v="Inefficient"/>
    <s v="Long"/>
    <s v="Major Delay"/>
  </r>
  <r>
    <x v="1897"/>
    <x v="2"/>
    <x v="1897"/>
    <x v="2"/>
    <x v="1"/>
    <x v="2"/>
    <s v="EMP_100"/>
    <d v="2024-08-31T16:44:00"/>
    <d v="2024-08-31T17:32:00"/>
    <n v="49"/>
    <n v="48"/>
    <n v="0"/>
    <x v="1"/>
    <x v="0"/>
    <n v="295.20999999999998"/>
    <n v="-1"/>
    <n v="1.0208333333333333"/>
    <s v="Efficient"/>
    <s v="Medium"/>
    <s v="On Time"/>
  </r>
  <r>
    <x v="1898"/>
    <x v="2"/>
    <x v="1898"/>
    <x v="3"/>
    <x v="2"/>
    <x v="1"/>
    <s v="EMP_55"/>
    <d v="2024-06-19T16:18:00"/>
    <d v="2024-06-19T20:50:00"/>
    <n v="208"/>
    <n v="272"/>
    <n v="1"/>
    <x v="1"/>
    <x v="7"/>
    <n v="82.97"/>
    <n v="64"/>
    <n v="0.76470588235294112"/>
    <s v="Inefficient"/>
    <s v="Very Long"/>
    <s v="Major Delay"/>
  </r>
  <r>
    <x v="1899"/>
    <x v="1"/>
    <x v="1899"/>
    <x v="0"/>
    <x v="1"/>
    <x v="2"/>
    <s v="EMP_71"/>
    <d v="2024-07-22T06:31:00"/>
    <d v="2024-07-22T08:00:00"/>
    <n v="11"/>
    <n v="89"/>
    <n v="1"/>
    <x v="1"/>
    <x v="5"/>
    <n v="96.31"/>
    <n v="78"/>
    <n v="0.12359550561797752"/>
    <s v="Inefficient"/>
    <s v="Long"/>
    <s v="Major Delay"/>
  </r>
  <r>
    <x v="1900"/>
    <x v="0"/>
    <x v="1900"/>
    <x v="3"/>
    <x v="2"/>
    <x v="1"/>
    <s v="EMP_59"/>
    <d v="2024-07-04T20:34:00"/>
    <d v="2024-07-04T22:07:00"/>
    <n v="55"/>
    <n v="93"/>
    <n v="1"/>
    <x v="0"/>
    <x v="0"/>
    <n v="65.430000000000007"/>
    <n v="38"/>
    <n v="0.59139784946236562"/>
    <s v="Inefficient"/>
    <s v="Long"/>
    <s v="Major Delay"/>
  </r>
  <r>
    <x v="1901"/>
    <x v="2"/>
    <x v="1901"/>
    <x v="3"/>
    <x v="1"/>
    <x v="0"/>
    <s v="EMP_63"/>
    <d v="2024-08-15T16:27:00"/>
    <d v="2024-08-15T19:16:00"/>
    <n v="77"/>
    <n v="169"/>
    <n v="1"/>
    <x v="1"/>
    <x v="0"/>
    <n v="201.38"/>
    <n v="92"/>
    <n v="0.45562130177514792"/>
    <s v="Inefficient"/>
    <s v="Very Long"/>
    <s v="Major Delay"/>
  </r>
  <r>
    <x v="1902"/>
    <x v="4"/>
    <x v="1902"/>
    <x v="0"/>
    <x v="3"/>
    <x v="3"/>
    <s v="EMP_82"/>
    <d v="2024-05-29T15:06:00"/>
    <d v="2024-05-29T19:53:00"/>
    <n v="192"/>
    <n v="287"/>
    <n v="1"/>
    <x v="0"/>
    <x v="6"/>
    <n v="188.4"/>
    <n v="95"/>
    <n v="0.66898954703832758"/>
    <s v="Inefficient"/>
    <s v="Very Long"/>
    <s v="Major Delay"/>
  </r>
  <r>
    <x v="1903"/>
    <x v="1"/>
    <x v="1903"/>
    <x v="2"/>
    <x v="3"/>
    <x v="2"/>
    <s v="EMP_28"/>
    <d v="2024-03-12T08:44:00"/>
    <d v="2024-03-12T11:34:00"/>
    <n v="64"/>
    <n v="170"/>
    <n v="1"/>
    <x v="2"/>
    <x v="2"/>
    <n v="342.09"/>
    <n v="106"/>
    <n v="0.37647058823529411"/>
    <s v="Inefficient"/>
    <s v="Very Long"/>
    <s v="Major Delay"/>
  </r>
  <r>
    <x v="1904"/>
    <x v="3"/>
    <x v="1904"/>
    <x v="1"/>
    <x v="3"/>
    <x v="4"/>
    <s v="EMP_54"/>
    <d v="2024-06-09T04:01:00"/>
    <d v="2024-06-09T07:12:00"/>
    <n v="187"/>
    <n v="191"/>
    <n v="1"/>
    <x v="0"/>
    <x v="5"/>
    <n v="412.01"/>
    <n v="4"/>
    <n v="0.97905759162303663"/>
    <s v="Inefficient"/>
    <s v="Very Long"/>
    <s v="Minor Delay"/>
  </r>
  <r>
    <x v="1905"/>
    <x v="2"/>
    <x v="1905"/>
    <x v="3"/>
    <x v="1"/>
    <x v="4"/>
    <s v="EMP_95"/>
    <d v="2024-05-31T03:41:00"/>
    <d v="2024-05-31T08:18:00"/>
    <n v="180"/>
    <n v="277"/>
    <n v="1"/>
    <x v="0"/>
    <x v="4"/>
    <n v="347.26"/>
    <n v="97"/>
    <n v="0.64981949458483756"/>
    <s v="Inefficient"/>
    <s v="Very Long"/>
    <s v="Major Delay"/>
  </r>
  <r>
    <x v="1906"/>
    <x v="0"/>
    <x v="1906"/>
    <x v="4"/>
    <x v="1"/>
    <x v="1"/>
    <s v="EMP_93"/>
    <d v="2024-06-16T03:15:00"/>
    <d v="2024-06-16T04:56:00"/>
    <n v="76"/>
    <n v="101"/>
    <n v="1"/>
    <x v="0"/>
    <x v="1"/>
    <n v="89.84"/>
    <n v="25"/>
    <n v="0.75247524752475248"/>
    <s v="Inefficient"/>
    <s v="Long"/>
    <s v="Minor Delay"/>
  </r>
  <r>
    <x v="1907"/>
    <x v="1"/>
    <x v="1907"/>
    <x v="2"/>
    <x v="1"/>
    <x v="3"/>
    <s v="EMP_56"/>
    <d v="2024-03-07T18:14:00"/>
    <d v="2024-03-07T21:23:00"/>
    <n v="69"/>
    <n v="189"/>
    <n v="1"/>
    <x v="1"/>
    <x v="5"/>
    <n v="164.08"/>
    <n v="120"/>
    <n v="0.36507936507936506"/>
    <s v="Inefficient"/>
    <s v="Very Long"/>
    <s v="Major Delay"/>
  </r>
  <r>
    <x v="1908"/>
    <x v="2"/>
    <x v="1908"/>
    <x v="3"/>
    <x v="3"/>
    <x v="3"/>
    <s v="EMP_145"/>
    <d v="2024-08-30T07:51:00"/>
    <d v="2024-08-30T11:24:00"/>
    <n v="208"/>
    <n v="213"/>
    <n v="1"/>
    <x v="1"/>
    <x v="1"/>
    <n v="251.03"/>
    <n v="5"/>
    <n v="0.97652582159624413"/>
    <s v="Inefficient"/>
    <s v="Very Long"/>
    <s v="Minor Delay"/>
  </r>
  <r>
    <x v="1909"/>
    <x v="0"/>
    <x v="1909"/>
    <x v="2"/>
    <x v="2"/>
    <x v="3"/>
    <s v="EMP_104"/>
    <d v="2024-10-05T18:45:00"/>
    <d v="2024-10-05T22:40:00"/>
    <n v="145"/>
    <n v="235"/>
    <n v="1"/>
    <x v="1"/>
    <x v="0"/>
    <n v="245.32"/>
    <n v="90"/>
    <n v="0.61702127659574468"/>
    <s v="Inefficient"/>
    <s v="Very Long"/>
    <s v="Major Delay"/>
  </r>
  <r>
    <x v="1910"/>
    <x v="0"/>
    <x v="1910"/>
    <x v="2"/>
    <x v="1"/>
    <x v="1"/>
    <s v="EMP_96"/>
    <d v="2024-03-01T05:32:00"/>
    <d v="2024-03-01T10:13:00"/>
    <n v="201"/>
    <n v="281"/>
    <n v="1"/>
    <x v="1"/>
    <x v="4"/>
    <n v="427.55"/>
    <n v="80"/>
    <n v="0.71530249110320288"/>
    <s v="Inefficient"/>
    <s v="Very Long"/>
    <s v="Major Delay"/>
  </r>
  <r>
    <x v="1911"/>
    <x v="2"/>
    <x v="1911"/>
    <x v="1"/>
    <x v="0"/>
    <x v="1"/>
    <s v="EMP_26"/>
    <d v="2024-01-11T15:35:00"/>
    <d v="2024-01-11T20:03:00"/>
    <n v="218"/>
    <n v="268"/>
    <n v="1"/>
    <x v="0"/>
    <x v="7"/>
    <n v="187.9"/>
    <n v="50"/>
    <n v="0.81343283582089554"/>
    <s v="Inefficient"/>
    <s v="Very Long"/>
    <s v="Major Delay"/>
  </r>
  <r>
    <x v="1912"/>
    <x v="3"/>
    <x v="1912"/>
    <x v="3"/>
    <x v="1"/>
    <x v="4"/>
    <s v="EMP_134"/>
    <d v="2024-09-17T17:49:00"/>
    <d v="2024-09-17T20:40:00"/>
    <n v="119"/>
    <n v="171"/>
    <n v="1"/>
    <x v="0"/>
    <x v="8"/>
    <n v="78.52"/>
    <n v="52"/>
    <n v="0.69590643274853803"/>
    <s v="Inefficient"/>
    <s v="Very Long"/>
    <s v="Major Delay"/>
  </r>
  <r>
    <x v="1913"/>
    <x v="4"/>
    <x v="1913"/>
    <x v="1"/>
    <x v="0"/>
    <x v="2"/>
    <s v="EMP_116"/>
    <d v="2024-08-06T14:45:00"/>
    <d v="2024-08-06T15:54:00"/>
    <n v="60"/>
    <n v="69"/>
    <n v="1"/>
    <x v="2"/>
    <x v="0"/>
    <n v="435.24"/>
    <n v="9"/>
    <n v="0.86956521739130432"/>
    <s v="Inefficient"/>
    <s v="Long"/>
    <s v="Minor Delay"/>
  </r>
  <r>
    <x v="1914"/>
    <x v="3"/>
    <x v="1914"/>
    <x v="1"/>
    <x v="3"/>
    <x v="4"/>
    <s v="EMP_146"/>
    <d v="2024-07-18T19:57:00"/>
    <d v="2024-07-18T22:57:00"/>
    <n v="97"/>
    <n v="180"/>
    <n v="1"/>
    <x v="1"/>
    <x v="9"/>
    <n v="379.64"/>
    <n v="83"/>
    <n v="0.53888888888888886"/>
    <s v="Inefficient"/>
    <s v="Very Long"/>
    <s v="Major Delay"/>
  </r>
  <r>
    <x v="1915"/>
    <x v="1"/>
    <x v="1915"/>
    <x v="4"/>
    <x v="3"/>
    <x v="2"/>
    <s v="EMP_87"/>
    <d v="2024-01-10T09:31:00"/>
    <d v="2024-01-10T12:40:00"/>
    <n v="80"/>
    <n v="189"/>
    <n v="1"/>
    <x v="1"/>
    <x v="8"/>
    <n v="437.71"/>
    <n v="109"/>
    <n v="0.42328042328042326"/>
    <s v="Inefficient"/>
    <s v="Very Long"/>
    <s v="Major Delay"/>
  </r>
  <r>
    <x v="1916"/>
    <x v="2"/>
    <x v="1916"/>
    <x v="1"/>
    <x v="1"/>
    <x v="2"/>
    <s v="EMP_51"/>
    <d v="2024-03-01T23:45:00"/>
    <d v="2024-03-02T00:21:00"/>
    <n v="16"/>
    <n v="36"/>
    <n v="1"/>
    <x v="1"/>
    <x v="8"/>
    <n v="304.67"/>
    <n v="20"/>
    <n v="0.44444444444444442"/>
    <s v="Inefficient"/>
    <s v="Medium"/>
    <s v="Minor Delay"/>
  </r>
  <r>
    <x v="1917"/>
    <x v="2"/>
    <x v="1917"/>
    <x v="3"/>
    <x v="0"/>
    <x v="0"/>
    <s v="EMP_37"/>
    <d v="2024-11-07T16:11:00"/>
    <d v="2024-11-07T19:00:00"/>
    <n v="94"/>
    <n v="169"/>
    <n v="1"/>
    <x v="1"/>
    <x v="0"/>
    <n v="163.57"/>
    <n v="75"/>
    <n v="0.55621301775147924"/>
    <s v="Inefficient"/>
    <s v="Very Long"/>
    <s v="Major Delay"/>
  </r>
  <r>
    <x v="1918"/>
    <x v="4"/>
    <x v="1918"/>
    <x v="3"/>
    <x v="2"/>
    <x v="4"/>
    <s v="EMP_84"/>
    <d v="2024-11-01T17:48:00"/>
    <d v="2024-11-01T21:43:00"/>
    <n v="183"/>
    <n v="235"/>
    <n v="1"/>
    <x v="1"/>
    <x v="2"/>
    <n v="219.98"/>
    <n v="52"/>
    <n v="0.77872340425531916"/>
    <s v="Inefficient"/>
    <s v="Very Long"/>
    <s v="Major Delay"/>
  </r>
  <r>
    <x v="1919"/>
    <x v="2"/>
    <x v="1919"/>
    <x v="2"/>
    <x v="0"/>
    <x v="3"/>
    <s v="EMP_32"/>
    <d v="2024-12-21T18:21:00"/>
    <d v="2024-12-21T19:43:00"/>
    <n v="24"/>
    <n v="82"/>
    <n v="1"/>
    <x v="0"/>
    <x v="0"/>
    <n v="157.1"/>
    <n v="58"/>
    <n v="0.29268292682926828"/>
    <s v="Inefficient"/>
    <s v="Long"/>
    <s v="Major Delay"/>
  </r>
  <r>
    <x v="1920"/>
    <x v="4"/>
    <x v="1920"/>
    <x v="4"/>
    <x v="3"/>
    <x v="4"/>
    <s v="EMP_57"/>
    <d v="2024-12-26T11:55:00"/>
    <d v="2024-12-26T15:08:00"/>
    <n v="191"/>
    <n v="193"/>
    <n v="1"/>
    <x v="2"/>
    <x v="1"/>
    <n v="387.61"/>
    <n v="2"/>
    <n v="0.98963730569948183"/>
    <s v="Inefficient"/>
    <s v="Very Long"/>
    <s v="Minor Delay"/>
  </r>
  <r>
    <x v="1921"/>
    <x v="1"/>
    <x v="1921"/>
    <x v="0"/>
    <x v="3"/>
    <x v="0"/>
    <s v="EMP_136"/>
    <d v="2024-03-14T06:00:00"/>
    <d v="2024-03-14T08:12:00"/>
    <n v="29"/>
    <n v="132"/>
    <n v="1"/>
    <x v="2"/>
    <x v="6"/>
    <n v="171.98"/>
    <n v="103"/>
    <n v="0.2196969696969697"/>
    <s v="Inefficient"/>
    <s v="Very Long"/>
    <s v="Major Delay"/>
  </r>
  <r>
    <x v="1922"/>
    <x v="0"/>
    <x v="1922"/>
    <x v="4"/>
    <x v="2"/>
    <x v="0"/>
    <s v="EMP_37"/>
    <d v="2024-07-31T01:31:00"/>
    <d v="2024-07-31T03:17:00"/>
    <n v="41"/>
    <n v="106"/>
    <n v="1"/>
    <x v="0"/>
    <x v="0"/>
    <n v="57.54"/>
    <n v="65"/>
    <n v="0.3867924528301887"/>
    <s v="Inefficient"/>
    <s v="Long"/>
    <s v="Major Delay"/>
  </r>
  <r>
    <x v="1923"/>
    <x v="1"/>
    <x v="1923"/>
    <x v="4"/>
    <x v="2"/>
    <x v="3"/>
    <s v="EMP_119"/>
    <d v="2024-01-27T10:52:00"/>
    <d v="2024-01-27T15:56:00"/>
    <n v="204"/>
    <n v="304"/>
    <n v="1"/>
    <x v="0"/>
    <x v="3"/>
    <n v="246.76"/>
    <n v="100"/>
    <n v="0.67105263157894735"/>
    <s v="Inefficient"/>
    <s v="Very Long"/>
    <s v="Major Delay"/>
  </r>
  <r>
    <x v="1924"/>
    <x v="4"/>
    <x v="1924"/>
    <x v="3"/>
    <x v="2"/>
    <x v="4"/>
    <s v="EMP_10"/>
    <d v="2024-03-01T21:02:00"/>
    <d v="2024-03-02T00:07:00"/>
    <n v="174"/>
    <n v="185"/>
    <n v="1"/>
    <x v="2"/>
    <x v="4"/>
    <n v="274.64"/>
    <n v="11"/>
    <n v="0.94054054054054059"/>
    <s v="Inefficient"/>
    <s v="Very Long"/>
    <s v="Minor Delay"/>
  </r>
  <r>
    <x v="1925"/>
    <x v="4"/>
    <x v="1925"/>
    <x v="0"/>
    <x v="2"/>
    <x v="0"/>
    <s v="EMP_104"/>
    <d v="2024-11-12T10:05:00"/>
    <d v="2024-11-12T11:35:00"/>
    <n v="20"/>
    <n v="90"/>
    <n v="1"/>
    <x v="0"/>
    <x v="8"/>
    <n v="70.02"/>
    <n v="70"/>
    <n v="0.22222222222222221"/>
    <s v="Inefficient"/>
    <s v="Long"/>
    <s v="Major Delay"/>
  </r>
  <r>
    <x v="1926"/>
    <x v="1"/>
    <x v="1926"/>
    <x v="0"/>
    <x v="1"/>
    <x v="1"/>
    <s v="EMP_18"/>
    <d v="2024-07-26T06:18:00"/>
    <d v="2024-07-26T07:51:00"/>
    <n v="37"/>
    <n v="93"/>
    <n v="1"/>
    <x v="0"/>
    <x v="5"/>
    <n v="65.63"/>
    <n v="56"/>
    <n v="0.39784946236559138"/>
    <s v="Inefficient"/>
    <s v="Long"/>
    <s v="Major Delay"/>
  </r>
  <r>
    <x v="1927"/>
    <x v="3"/>
    <x v="1927"/>
    <x v="3"/>
    <x v="3"/>
    <x v="2"/>
    <s v="EMP_88"/>
    <d v="2024-08-15T22:28:00"/>
    <d v="2024-08-16T00:27:00"/>
    <n v="122"/>
    <n v="119"/>
    <n v="0"/>
    <x v="1"/>
    <x v="8"/>
    <n v="497.34"/>
    <n v="-3"/>
    <n v="1.0252100840336134"/>
    <s v="Efficient"/>
    <s v="Long"/>
    <s v="On Time"/>
  </r>
  <r>
    <x v="1928"/>
    <x v="4"/>
    <x v="1928"/>
    <x v="4"/>
    <x v="0"/>
    <x v="4"/>
    <s v="EMP_37"/>
    <d v="2024-10-18T23:47:00"/>
    <d v="2024-10-19T01:30:00"/>
    <n v="88"/>
    <n v="103"/>
    <n v="1"/>
    <x v="2"/>
    <x v="5"/>
    <n v="496.87"/>
    <n v="15"/>
    <n v="0.85436893203883491"/>
    <s v="Inefficient"/>
    <s v="Long"/>
    <s v="Minor Delay"/>
  </r>
  <r>
    <x v="1929"/>
    <x v="3"/>
    <x v="1929"/>
    <x v="1"/>
    <x v="0"/>
    <x v="1"/>
    <s v="EMP_64"/>
    <d v="2024-07-16T20:38:00"/>
    <d v="2024-07-17T01:29:00"/>
    <n v="238"/>
    <n v="291"/>
    <n v="1"/>
    <x v="1"/>
    <x v="5"/>
    <n v="187.97"/>
    <n v="53"/>
    <n v="0.81786941580756012"/>
    <s v="Inefficient"/>
    <s v="Very Long"/>
    <s v="Major Delay"/>
  </r>
  <r>
    <x v="1930"/>
    <x v="4"/>
    <x v="1930"/>
    <x v="0"/>
    <x v="0"/>
    <x v="4"/>
    <s v="EMP_137"/>
    <d v="2024-02-27T09:20:00"/>
    <d v="2024-02-27T11:41:00"/>
    <n v="139"/>
    <n v="141"/>
    <n v="1"/>
    <x v="0"/>
    <x v="9"/>
    <n v="199.63"/>
    <n v="2"/>
    <n v="0.98581560283687941"/>
    <s v="Inefficient"/>
    <s v="Very Long"/>
    <s v="Minor Delay"/>
  </r>
  <r>
    <x v="1931"/>
    <x v="2"/>
    <x v="1931"/>
    <x v="3"/>
    <x v="0"/>
    <x v="4"/>
    <s v="EMP_84"/>
    <d v="2024-09-06T23:09:00"/>
    <d v="2024-09-07T01:37:00"/>
    <n v="125"/>
    <n v="148"/>
    <n v="1"/>
    <x v="0"/>
    <x v="1"/>
    <n v="159.66999999999999"/>
    <n v="23"/>
    <n v="0.84459459459459463"/>
    <s v="Inefficient"/>
    <s v="Very Long"/>
    <s v="Minor Delay"/>
  </r>
  <r>
    <x v="1932"/>
    <x v="1"/>
    <x v="1932"/>
    <x v="0"/>
    <x v="3"/>
    <x v="0"/>
    <s v="EMP_150"/>
    <d v="2024-09-04T09:22:00"/>
    <d v="2024-09-04T13:20:00"/>
    <n v="202"/>
    <n v="238"/>
    <n v="1"/>
    <x v="1"/>
    <x v="4"/>
    <n v="271.58"/>
    <n v="36"/>
    <n v="0.84873949579831931"/>
    <s v="Inefficient"/>
    <s v="Very Long"/>
    <s v="Major Delay"/>
  </r>
  <r>
    <x v="1933"/>
    <x v="2"/>
    <x v="1933"/>
    <x v="2"/>
    <x v="1"/>
    <x v="1"/>
    <s v="EMP_23"/>
    <d v="2024-03-08T07:59:00"/>
    <d v="2024-03-08T09:39:00"/>
    <n v="94"/>
    <n v="100"/>
    <n v="1"/>
    <x v="1"/>
    <x v="9"/>
    <n v="329.72"/>
    <n v="6"/>
    <n v="0.94"/>
    <s v="Inefficient"/>
    <s v="Long"/>
    <s v="Minor Delay"/>
  </r>
  <r>
    <x v="1934"/>
    <x v="2"/>
    <x v="1934"/>
    <x v="2"/>
    <x v="3"/>
    <x v="0"/>
    <s v="EMP_147"/>
    <d v="2024-09-30T06:33:00"/>
    <d v="2024-09-30T09:20:00"/>
    <n v="66"/>
    <n v="167"/>
    <n v="1"/>
    <x v="1"/>
    <x v="8"/>
    <n v="114.48"/>
    <n v="101"/>
    <n v="0.39520958083832336"/>
    <s v="Inefficient"/>
    <s v="Very Long"/>
    <s v="Major Delay"/>
  </r>
  <r>
    <x v="1935"/>
    <x v="1"/>
    <x v="1935"/>
    <x v="0"/>
    <x v="3"/>
    <x v="3"/>
    <s v="EMP_102"/>
    <d v="2024-12-28T22:46:00"/>
    <d v="2024-12-29T02:53:00"/>
    <n v="175"/>
    <n v="247"/>
    <n v="1"/>
    <x v="1"/>
    <x v="4"/>
    <n v="103.09"/>
    <n v="72"/>
    <n v="0.708502024291498"/>
    <s v="Inefficient"/>
    <s v="Very Long"/>
    <s v="Major Delay"/>
  </r>
  <r>
    <x v="1936"/>
    <x v="2"/>
    <x v="1936"/>
    <x v="3"/>
    <x v="2"/>
    <x v="3"/>
    <s v="EMP_100"/>
    <d v="2024-01-02T23:30:00"/>
    <d v="2024-01-03T02:36:00"/>
    <n v="174"/>
    <n v="186"/>
    <n v="1"/>
    <x v="0"/>
    <x v="0"/>
    <n v="273.97000000000003"/>
    <n v="12"/>
    <n v="0.93548387096774188"/>
    <s v="Inefficient"/>
    <s v="Very Long"/>
    <s v="Minor Delay"/>
  </r>
  <r>
    <x v="1937"/>
    <x v="2"/>
    <x v="1937"/>
    <x v="0"/>
    <x v="0"/>
    <x v="0"/>
    <s v="EMP_110"/>
    <d v="2024-10-31T09:54:00"/>
    <d v="2024-10-31T12:59:00"/>
    <n v="117"/>
    <n v="185"/>
    <n v="1"/>
    <x v="2"/>
    <x v="4"/>
    <n v="474.3"/>
    <n v="68"/>
    <n v="0.63243243243243241"/>
    <s v="Inefficient"/>
    <s v="Very Long"/>
    <s v="Major Delay"/>
  </r>
  <r>
    <x v="1938"/>
    <x v="1"/>
    <x v="1938"/>
    <x v="0"/>
    <x v="2"/>
    <x v="0"/>
    <s v="EMP_22"/>
    <d v="2024-01-29T14:17:00"/>
    <d v="2024-01-29T16:53:00"/>
    <n v="131"/>
    <n v="156"/>
    <n v="1"/>
    <x v="2"/>
    <x v="1"/>
    <n v="153.79"/>
    <n v="25"/>
    <n v="0.83974358974358976"/>
    <s v="Inefficient"/>
    <s v="Very Long"/>
    <s v="Minor Delay"/>
  </r>
  <r>
    <x v="1939"/>
    <x v="3"/>
    <x v="1939"/>
    <x v="4"/>
    <x v="0"/>
    <x v="4"/>
    <s v="EMP_30"/>
    <d v="2024-12-21T17:27:00"/>
    <d v="2024-12-21T20:36:00"/>
    <n v="185"/>
    <n v="189"/>
    <n v="1"/>
    <x v="1"/>
    <x v="5"/>
    <n v="86.7"/>
    <n v="4"/>
    <n v="0.97883597883597884"/>
    <s v="Inefficient"/>
    <s v="Very Long"/>
    <s v="Minor Delay"/>
  </r>
  <r>
    <x v="1940"/>
    <x v="3"/>
    <x v="1940"/>
    <x v="4"/>
    <x v="2"/>
    <x v="3"/>
    <s v="EMP_39"/>
    <d v="2024-01-21T20:10:00"/>
    <d v="2024-01-21T21:15:00"/>
    <n v="20"/>
    <n v="65"/>
    <n v="1"/>
    <x v="2"/>
    <x v="4"/>
    <n v="58.47"/>
    <n v="45"/>
    <n v="0.30769230769230771"/>
    <s v="Inefficient"/>
    <s v="Long"/>
    <s v="Major Delay"/>
  </r>
  <r>
    <x v="1941"/>
    <x v="0"/>
    <x v="1941"/>
    <x v="3"/>
    <x v="2"/>
    <x v="1"/>
    <s v="EMP_103"/>
    <d v="2024-11-08T06:11:00"/>
    <d v="2024-11-08T09:15:00"/>
    <n v="187"/>
    <n v="184"/>
    <n v="0"/>
    <x v="1"/>
    <x v="9"/>
    <n v="207.73"/>
    <n v="-3"/>
    <n v="1.0163043478260869"/>
    <s v="Efficient"/>
    <s v="Very Long"/>
    <s v="On Time"/>
  </r>
  <r>
    <x v="1942"/>
    <x v="3"/>
    <x v="1942"/>
    <x v="1"/>
    <x v="3"/>
    <x v="2"/>
    <s v="EMP_149"/>
    <d v="2024-04-08T04:51:00"/>
    <d v="2024-04-08T09:15:00"/>
    <n v="193"/>
    <n v="264"/>
    <n v="1"/>
    <x v="2"/>
    <x v="2"/>
    <n v="477.34"/>
    <n v="71"/>
    <n v="0.73106060606060608"/>
    <s v="Inefficient"/>
    <s v="Very Long"/>
    <s v="Major Delay"/>
  </r>
  <r>
    <x v="1943"/>
    <x v="0"/>
    <x v="1943"/>
    <x v="1"/>
    <x v="2"/>
    <x v="2"/>
    <s v="EMP_29"/>
    <d v="2024-01-17T14:00:00"/>
    <d v="2024-01-17T18:48:00"/>
    <n v="223"/>
    <n v="288"/>
    <n v="1"/>
    <x v="0"/>
    <x v="9"/>
    <n v="367.22"/>
    <n v="65"/>
    <n v="0.77430555555555558"/>
    <s v="Inefficient"/>
    <s v="Very Long"/>
    <s v="Major Delay"/>
  </r>
  <r>
    <x v="1944"/>
    <x v="0"/>
    <x v="1944"/>
    <x v="2"/>
    <x v="0"/>
    <x v="0"/>
    <s v="EMP_142"/>
    <d v="2024-07-13T12:23:00"/>
    <d v="2024-07-13T14:03:00"/>
    <n v="24"/>
    <n v="100"/>
    <n v="1"/>
    <x v="1"/>
    <x v="9"/>
    <n v="236.07"/>
    <n v="76"/>
    <n v="0.24"/>
    <s v="Inefficient"/>
    <s v="Long"/>
    <s v="Major Delay"/>
  </r>
  <r>
    <x v="1945"/>
    <x v="0"/>
    <x v="1945"/>
    <x v="0"/>
    <x v="0"/>
    <x v="4"/>
    <s v="EMP_85"/>
    <d v="2024-10-11T09:04:00"/>
    <d v="2024-10-11T12:50:00"/>
    <n v="193"/>
    <n v="226"/>
    <n v="1"/>
    <x v="1"/>
    <x v="4"/>
    <n v="257.5"/>
    <n v="33"/>
    <n v="0.85398230088495575"/>
    <s v="Inefficient"/>
    <s v="Very Long"/>
    <s v="Major Delay"/>
  </r>
  <r>
    <x v="1946"/>
    <x v="4"/>
    <x v="1946"/>
    <x v="2"/>
    <x v="1"/>
    <x v="2"/>
    <s v="EMP_61"/>
    <d v="2024-11-30T16:27:00"/>
    <d v="2024-11-30T19:35:00"/>
    <n v="115"/>
    <n v="188"/>
    <n v="1"/>
    <x v="2"/>
    <x v="3"/>
    <n v="341.57"/>
    <n v="73"/>
    <n v="0.61170212765957444"/>
    <s v="Inefficient"/>
    <s v="Very Long"/>
    <s v="Major Delay"/>
  </r>
  <r>
    <x v="1947"/>
    <x v="3"/>
    <x v="1947"/>
    <x v="1"/>
    <x v="3"/>
    <x v="3"/>
    <s v="EMP_91"/>
    <d v="2024-08-21T13:27:00"/>
    <d v="2024-08-21T17:43:00"/>
    <n v="204"/>
    <n v="256"/>
    <n v="1"/>
    <x v="0"/>
    <x v="5"/>
    <n v="164.47"/>
    <n v="52"/>
    <n v="0.796875"/>
    <s v="Inefficient"/>
    <s v="Very Long"/>
    <s v="Major Delay"/>
  </r>
  <r>
    <x v="1948"/>
    <x v="3"/>
    <x v="1948"/>
    <x v="2"/>
    <x v="2"/>
    <x v="2"/>
    <s v="EMP_53"/>
    <d v="2024-06-25T05:48:00"/>
    <d v="2024-06-25T07:28:00"/>
    <n v="42"/>
    <n v="100"/>
    <n v="1"/>
    <x v="2"/>
    <x v="5"/>
    <n v="480.92"/>
    <n v="58"/>
    <n v="0.42"/>
    <s v="Inefficient"/>
    <s v="Long"/>
    <s v="Major Delay"/>
  </r>
  <r>
    <x v="1949"/>
    <x v="4"/>
    <x v="1949"/>
    <x v="1"/>
    <x v="0"/>
    <x v="3"/>
    <s v="EMP_35"/>
    <d v="2024-12-29T16:59:00"/>
    <d v="2024-12-29T20:41:00"/>
    <n v="121"/>
    <n v="222"/>
    <n v="1"/>
    <x v="2"/>
    <x v="1"/>
    <n v="362.96"/>
    <n v="101"/>
    <n v="0.54504504504504503"/>
    <s v="Inefficient"/>
    <s v="Very Long"/>
    <s v="Major Delay"/>
  </r>
  <r>
    <x v="1950"/>
    <x v="2"/>
    <x v="1950"/>
    <x v="2"/>
    <x v="2"/>
    <x v="1"/>
    <s v="EMP_137"/>
    <d v="2024-12-20T14:43:00"/>
    <d v="2024-12-20T18:33:00"/>
    <n v="189"/>
    <n v="230"/>
    <n v="1"/>
    <x v="1"/>
    <x v="4"/>
    <n v="156.52000000000001"/>
    <n v="41"/>
    <n v="0.82173913043478264"/>
    <s v="Inefficient"/>
    <s v="Very Long"/>
    <s v="Major Delay"/>
  </r>
  <r>
    <x v="1951"/>
    <x v="1"/>
    <x v="1951"/>
    <x v="4"/>
    <x v="2"/>
    <x v="2"/>
    <s v="EMP_47"/>
    <d v="2024-02-13T18:40:00"/>
    <d v="2024-02-13T21:24:00"/>
    <n v="159"/>
    <n v="164"/>
    <n v="1"/>
    <x v="0"/>
    <x v="7"/>
    <n v="291.52"/>
    <n v="5"/>
    <n v="0.96951219512195119"/>
    <s v="Inefficient"/>
    <s v="Very Long"/>
    <s v="Minor Delay"/>
  </r>
  <r>
    <x v="1952"/>
    <x v="0"/>
    <x v="1952"/>
    <x v="4"/>
    <x v="1"/>
    <x v="0"/>
    <s v="EMP_135"/>
    <d v="2024-02-17T20:09:00"/>
    <d v="2024-02-18T01:48:00"/>
    <n v="232"/>
    <n v="339"/>
    <n v="1"/>
    <x v="1"/>
    <x v="0"/>
    <n v="330.63"/>
    <n v="107"/>
    <n v="0.68436578171091444"/>
    <s v="Inefficient"/>
    <s v="Very Long"/>
    <s v="Major Delay"/>
  </r>
  <r>
    <x v="1953"/>
    <x v="1"/>
    <x v="1953"/>
    <x v="2"/>
    <x v="2"/>
    <x v="2"/>
    <s v="EMP_110"/>
    <d v="2024-01-05T12:50:00"/>
    <d v="2024-01-05T16:34:00"/>
    <n v="222"/>
    <n v="224"/>
    <n v="1"/>
    <x v="2"/>
    <x v="2"/>
    <n v="328.95"/>
    <n v="2"/>
    <n v="0.9910714285714286"/>
    <s v="Inefficient"/>
    <s v="Very Long"/>
    <s v="Minor Delay"/>
  </r>
  <r>
    <x v="1954"/>
    <x v="2"/>
    <x v="1954"/>
    <x v="3"/>
    <x v="2"/>
    <x v="4"/>
    <s v="EMP_121"/>
    <d v="2024-10-14T04:40:00"/>
    <d v="2024-10-14T07:31:00"/>
    <n v="95"/>
    <n v="171"/>
    <n v="1"/>
    <x v="1"/>
    <x v="9"/>
    <n v="219.52"/>
    <n v="76"/>
    <n v="0.55555555555555558"/>
    <s v="Inefficient"/>
    <s v="Very Long"/>
    <s v="Major Delay"/>
  </r>
  <r>
    <x v="1955"/>
    <x v="4"/>
    <x v="1955"/>
    <x v="0"/>
    <x v="1"/>
    <x v="2"/>
    <s v="EMP_124"/>
    <d v="2024-07-03T19:36:00"/>
    <d v="2024-07-03T22:23:00"/>
    <n v="150"/>
    <n v="167"/>
    <n v="1"/>
    <x v="2"/>
    <x v="2"/>
    <n v="261.73"/>
    <n v="17"/>
    <n v="0.89820359281437123"/>
    <s v="Inefficient"/>
    <s v="Very Long"/>
    <s v="Minor Delay"/>
  </r>
  <r>
    <x v="1956"/>
    <x v="4"/>
    <x v="1956"/>
    <x v="1"/>
    <x v="1"/>
    <x v="3"/>
    <s v="EMP_5"/>
    <d v="2024-09-02T18:51:00"/>
    <d v="2024-09-02T20:19:00"/>
    <n v="33"/>
    <n v="88"/>
    <n v="1"/>
    <x v="1"/>
    <x v="1"/>
    <n v="428.58"/>
    <n v="55"/>
    <n v="0.375"/>
    <s v="Inefficient"/>
    <s v="Long"/>
    <s v="Major Delay"/>
  </r>
  <r>
    <x v="1957"/>
    <x v="4"/>
    <x v="1957"/>
    <x v="0"/>
    <x v="1"/>
    <x v="0"/>
    <s v="EMP_135"/>
    <d v="2024-06-06T23:35:00"/>
    <d v="2024-06-07T01:44:00"/>
    <n v="46"/>
    <n v="129"/>
    <n v="1"/>
    <x v="0"/>
    <x v="2"/>
    <n v="275.95999999999998"/>
    <n v="83"/>
    <n v="0.35658914728682173"/>
    <s v="Inefficient"/>
    <s v="Very Long"/>
    <s v="Major Delay"/>
  </r>
  <r>
    <x v="1958"/>
    <x v="2"/>
    <x v="1958"/>
    <x v="0"/>
    <x v="0"/>
    <x v="3"/>
    <s v="EMP_69"/>
    <d v="2024-08-24T18:33:00"/>
    <d v="2024-08-24T22:39:00"/>
    <n v="126"/>
    <n v="246"/>
    <n v="1"/>
    <x v="1"/>
    <x v="3"/>
    <n v="79.849999999999994"/>
    <n v="120"/>
    <n v="0.51219512195121952"/>
    <s v="Inefficient"/>
    <s v="Very Long"/>
    <s v="Major Delay"/>
  </r>
  <r>
    <x v="1959"/>
    <x v="4"/>
    <x v="1959"/>
    <x v="0"/>
    <x v="2"/>
    <x v="2"/>
    <s v="EMP_88"/>
    <d v="2024-02-07T12:33:00"/>
    <d v="2024-02-07T17:20:00"/>
    <n v="197"/>
    <n v="287"/>
    <n v="1"/>
    <x v="2"/>
    <x v="3"/>
    <n v="173.67"/>
    <n v="90"/>
    <n v="0.68641114982578399"/>
    <s v="Inefficient"/>
    <s v="Very Long"/>
    <s v="Major Delay"/>
  </r>
  <r>
    <x v="1960"/>
    <x v="0"/>
    <x v="1960"/>
    <x v="2"/>
    <x v="3"/>
    <x v="2"/>
    <s v="EMP_146"/>
    <d v="2024-05-28T18:28:00"/>
    <d v="2024-05-28T22:07:00"/>
    <n v="203"/>
    <n v="219"/>
    <n v="1"/>
    <x v="2"/>
    <x v="6"/>
    <n v="464.42"/>
    <n v="16"/>
    <n v="0.9269406392694064"/>
    <s v="Inefficient"/>
    <s v="Very Long"/>
    <s v="Minor Delay"/>
  </r>
  <r>
    <x v="1961"/>
    <x v="1"/>
    <x v="1961"/>
    <x v="3"/>
    <x v="0"/>
    <x v="4"/>
    <s v="EMP_104"/>
    <d v="2024-02-20T16:46:00"/>
    <d v="2024-02-20T19:58:00"/>
    <n v="132"/>
    <n v="192"/>
    <n v="1"/>
    <x v="1"/>
    <x v="0"/>
    <n v="266.27"/>
    <n v="60"/>
    <n v="0.6875"/>
    <s v="Inefficient"/>
    <s v="Very Long"/>
    <s v="Major Delay"/>
  </r>
  <r>
    <x v="1962"/>
    <x v="3"/>
    <x v="1962"/>
    <x v="4"/>
    <x v="0"/>
    <x v="3"/>
    <s v="EMP_10"/>
    <d v="2024-05-28T04:11:00"/>
    <d v="2024-05-28T06:47:00"/>
    <n v="94"/>
    <n v="156"/>
    <n v="1"/>
    <x v="0"/>
    <x v="6"/>
    <n v="87.98"/>
    <n v="62"/>
    <n v="0.60256410256410253"/>
    <s v="Inefficient"/>
    <s v="Very Long"/>
    <s v="Major Delay"/>
  </r>
  <r>
    <x v="1963"/>
    <x v="4"/>
    <x v="1963"/>
    <x v="0"/>
    <x v="0"/>
    <x v="4"/>
    <s v="EMP_110"/>
    <d v="2024-05-28T13:56:00"/>
    <d v="2024-05-28T18:16:00"/>
    <n v="166"/>
    <n v="260"/>
    <n v="1"/>
    <x v="2"/>
    <x v="4"/>
    <n v="135.94"/>
    <n v="94"/>
    <n v="0.63846153846153841"/>
    <s v="Inefficient"/>
    <s v="Very Long"/>
    <s v="Major Delay"/>
  </r>
  <r>
    <x v="1964"/>
    <x v="0"/>
    <x v="1964"/>
    <x v="2"/>
    <x v="0"/>
    <x v="4"/>
    <s v="EMP_97"/>
    <d v="2024-02-18T08:35:00"/>
    <d v="2024-02-18T12:01:00"/>
    <n v="97"/>
    <n v="206"/>
    <n v="1"/>
    <x v="2"/>
    <x v="7"/>
    <n v="373.72"/>
    <n v="109"/>
    <n v="0.470873786407767"/>
    <s v="Inefficient"/>
    <s v="Very Long"/>
    <s v="Major Delay"/>
  </r>
  <r>
    <x v="1965"/>
    <x v="4"/>
    <x v="1965"/>
    <x v="0"/>
    <x v="0"/>
    <x v="4"/>
    <s v="EMP_21"/>
    <d v="2024-11-19T16:32:00"/>
    <d v="2024-11-19T20:37:00"/>
    <n v="146"/>
    <n v="245"/>
    <n v="1"/>
    <x v="2"/>
    <x v="9"/>
    <n v="138.56"/>
    <n v="99"/>
    <n v="0.59591836734693882"/>
    <s v="Inefficient"/>
    <s v="Very Long"/>
    <s v="Major Delay"/>
  </r>
  <r>
    <x v="1966"/>
    <x v="2"/>
    <x v="1966"/>
    <x v="4"/>
    <x v="3"/>
    <x v="4"/>
    <s v="EMP_112"/>
    <d v="2024-03-04T15:22:00"/>
    <d v="2024-03-04T21:16:00"/>
    <n v="237"/>
    <n v="354"/>
    <n v="1"/>
    <x v="1"/>
    <x v="8"/>
    <n v="258.76"/>
    <n v="117"/>
    <n v="0.66949152542372881"/>
    <s v="Inefficient"/>
    <s v="Very Long"/>
    <s v="Major Delay"/>
  </r>
  <r>
    <x v="1967"/>
    <x v="4"/>
    <x v="1967"/>
    <x v="1"/>
    <x v="2"/>
    <x v="4"/>
    <s v="EMP_40"/>
    <d v="2024-12-15T18:41:00"/>
    <d v="2024-12-15T19:45:00"/>
    <n v="42"/>
    <n v="64"/>
    <n v="1"/>
    <x v="2"/>
    <x v="8"/>
    <n v="170.86"/>
    <n v="22"/>
    <n v="0.65625"/>
    <s v="Inefficient"/>
    <s v="Long"/>
    <s v="Minor Delay"/>
  </r>
  <r>
    <x v="1968"/>
    <x v="3"/>
    <x v="1968"/>
    <x v="2"/>
    <x v="3"/>
    <x v="4"/>
    <s v="EMP_26"/>
    <d v="2024-08-26T22:20:00"/>
    <d v="2024-08-27T02:26:00"/>
    <n v="188"/>
    <n v="246"/>
    <n v="1"/>
    <x v="0"/>
    <x v="5"/>
    <n v="258.86"/>
    <n v="58"/>
    <n v="0.76422764227642281"/>
    <s v="Inefficient"/>
    <s v="Very Long"/>
    <s v="Major Delay"/>
  </r>
  <r>
    <x v="1969"/>
    <x v="0"/>
    <x v="1969"/>
    <x v="4"/>
    <x v="3"/>
    <x v="0"/>
    <s v="EMP_54"/>
    <d v="2024-03-08T19:05:00"/>
    <d v="2024-03-08T23:09:00"/>
    <n v="234"/>
    <n v="244"/>
    <n v="1"/>
    <x v="0"/>
    <x v="6"/>
    <n v="369.89"/>
    <n v="10"/>
    <n v="0.95901639344262291"/>
    <s v="Inefficient"/>
    <s v="Very Long"/>
    <s v="Minor Delay"/>
  </r>
  <r>
    <x v="1970"/>
    <x v="1"/>
    <x v="1970"/>
    <x v="4"/>
    <x v="3"/>
    <x v="3"/>
    <s v="EMP_15"/>
    <d v="2024-10-10T10:59:00"/>
    <d v="2024-10-10T12:52:00"/>
    <n v="114"/>
    <n v="113"/>
    <n v="0"/>
    <x v="1"/>
    <x v="9"/>
    <n v="452.75"/>
    <n v="-1"/>
    <n v="1.0088495575221239"/>
    <s v="Efficient"/>
    <s v="Long"/>
    <s v="On Time"/>
  </r>
  <r>
    <x v="1971"/>
    <x v="0"/>
    <x v="1971"/>
    <x v="3"/>
    <x v="0"/>
    <x v="2"/>
    <s v="EMP_143"/>
    <d v="2024-06-14T21:27:00"/>
    <d v="2024-06-15T00:33:00"/>
    <n v="112"/>
    <n v="186"/>
    <n v="1"/>
    <x v="1"/>
    <x v="1"/>
    <n v="324.07"/>
    <n v="74"/>
    <n v="0.60215053763440862"/>
    <s v="Inefficient"/>
    <s v="Very Long"/>
    <s v="Major Delay"/>
  </r>
  <r>
    <x v="1972"/>
    <x v="0"/>
    <x v="1972"/>
    <x v="1"/>
    <x v="0"/>
    <x v="0"/>
    <s v="EMP_28"/>
    <d v="2024-04-06T20:16:00"/>
    <d v="2024-04-06T21:50:00"/>
    <n v="97"/>
    <n v="94"/>
    <n v="0"/>
    <x v="1"/>
    <x v="9"/>
    <n v="298.56"/>
    <n v="-3"/>
    <n v="1.0319148936170213"/>
    <s v="Efficient"/>
    <s v="Long"/>
    <s v="On Time"/>
  </r>
  <r>
    <x v="1973"/>
    <x v="0"/>
    <x v="1973"/>
    <x v="2"/>
    <x v="1"/>
    <x v="4"/>
    <s v="EMP_143"/>
    <d v="2024-04-09T13:02:00"/>
    <d v="2024-04-09T17:24:00"/>
    <n v="156"/>
    <n v="262"/>
    <n v="1"/>
    <x v="1"/>
    <x v="8"/>
    <n v="432.97"/>
    <n v="106"/>
    <n v="0.59541984732824427"/>
    <s v="Inefficient"/>
    <s v="Very Long"/>
    <s v="Major Delay"/>
  </r>
  <r>
    <x v="1974"/>
    <x v="1"/>
    <x v="1974"/>
    <x v="4"/>
    <x v="2"/>
    <x v="0"/>
    <s v="EMP_117"/>
    <d v="2024-04-17T02:50:00"/>
    <d v="2024-04-17T07:26:00"/>
    <n v="156"/>
    <n v="276"/>
    <n v="1"/>
    <x v="0"/>
    <x v="3"/>
    <n v="448.35"/>
    <n v="120"/>
    <n v="0.56521739130434778"/>
    <s v="Inefficient"/>
    <s v="Very Long"/>
    <s v="Major Delay"/>
  </r>
  <r>
    <x v="1975"/>
    <x v="1"/>
    <x v="1975"/>
    <x v="4"/>
    <x v="2"/>
    <x v="0"/>
    <s v="EMP_30"/>
    <d v="2024-09-24T05:56:00"/>
    <d v="2024-09-24T07:18:00"/>
    <n v="37"/>
    <n v="82"/>
    <n v="1"/>
    <x v="1"/>
    <x v="7"/>
    <n v="393.88"/>
    <n v="45"/>
    <n v="0.45121951219512196"/>
    <s v="Inefficient"/>
    <s v="Long"/>
    <s v="Major Delay"/>
  </r>
  <r>
    <x v="1976"/>
    <x v="0"/>
    <x v="1976"/>
    <x v="4"/>
    <x v="0"/>
    <x v="3"/>
    <s v="EMP_94"/>
    <d v="2024-05-16T14:57:00"/>
    <d v="2024-05-16T16:28:00"/>
    <n v="17"/>
    <n v="91"/>
    <n v="1"/>
    <x v="1"/>
    <x v="7"/>
    <n v="59.35"/>
    <n v="74"/>
    <n v="0.18681318681318682"/>
    <s v="Inefficient"/>
    <s v="Long"/>
    <s v="Major Delay"/>
  </r>
  <r>
    <x v="1977"/>
    <x v="4"/>
    <x v="1977"/>
    <x v="4"/>
    <x v="3"/>
    <x v="1"/>
    <s v="EMP_13"/>
    <d v="2024-04-05T12:03:00"/>
    <d v="2024-04-05T15:17:00"/>
    <n v="169"/>
    <n v="194"/>
    <n v="1"/>
    <x v="1"/>
    <x v="7"/>
    <n v="471.39"/>
    <n v="25"/>
    <n v="0.87113402061855671"/>
    <s v="Inefficient"/>
    <s v="Very Long"/>
    <s v="Minor Delay"/>
  </r>
  <r>
    <x v="1978"/>
    <x v="1"/>
    <x v="1978"/>
    <x v="4"/>
    <x v="2"/>
    <x v="2"/>
    <s v="EMP_139"/>
    <d v="2024-05-11T12:01:00"/>
    <d v="2024-05-11T13:32:00"/>
    <n v="63"/>
    <n v="91"/>
    <n v="1"/>
    <x v="1"/>
    <x v="8"/>
    <n v="154.38999999999999"/>
    <n v="28"/>
    <n v="0.69230769230769229"/>
    <s v="Inefficient"/>
    <s v="Long"/>
    <s v="Minor Delay"/>
  </r>
  <r>
    <x v="1979"/>
    <x v="3"/>
    <x v="1979"/>
    <x v="4"/>
    <x v="2"/>
    <x v="1"/>
    <s v="EMP_122"/>
    <d v="2024-01-31T12:18:00"/>
    <d v="2024-01-31T15:26:00"/>
    <n v="90"/>
    <n v="188"/>
    <n v="1"/>
    <x v="0"/>
    <x v="2"/>
    <n v="331.84"/>
    <n v="98"/>
    <n v="0.47872340425531917"/>
    <s v="Inefficient"/>
    <s v="Very Long"/>
    <s v="Major Delay"/>
  </r>
  <r>
    <x v="1980"/>
    <x v="1"/>
    <x v="1980"/>
    <x v="4"/>
    <x v="1"/>
    <x v="2"/>
    <s v="EMP_61"/>
    <d v="2024-11-30T22:34:00"/>
    <d v="2024-12-01T01:50:00"/>
    <n v="118"/>
    <n v="196"/>
    <n v="1"/>
    <x v="2"/>
    <x v="1"/>
    <n v="68.239999999999995"/>
    <n v="78"/>
    <n v="0.60204081632653061"/>
    <s v="Inefficient"/>
    <s v="Very Long"/>
    <s v="Major Delay"/>
  </r>
  <r>
    <x v="1981"/>
    <x v="1"/>
    <x v="1981"/>
    <x v="4"/>
    <x v="1"/>
    <x v="4"/>
    <s v="EMP_95"/>
    <d v="2024-08-05T07:00:00"/>
    <d v="2024-08-05T12:34:00"/>
    <n v="214"/>
    <n v="334"/>
    <n v="1"/>
    <x v="2"/>
    <x v="7"/>
    <n v="225.4"/>
    <n v="120"/>
    <n v="0.64071856287425155"/>
    <s v="Inefficient"/>
    <s v="Very Long"/>
    <s v="Major Delay"/>
  </r>
  <r>
    <x v="1982"/>
    <x v="2"/>
    <x v="1982"/>
    <x v="1"/>
    <x v="2"/>
    <x v="0"/>
    <s v="EMP_8"/>
    <d v="2024-10-05T21:11:00"/>
    <d v="2024-10-06T01:17:00"/>
    <n v="173"/>
    <n v="246"/>
    <n v="1"/>
    <x v="2"/>
    <x v="7"/>
    <n v="323.35000000000002"/>
    <n v="73"/>
    <n v="0.7032520325203252"/>
    <s v="Inefficient"/>
    <s v="Very Long"/>
    <s v="Major Delay"/>
  </r>
  <r>
    <x v="1983"/>
    <x v="0"/>
    <x v="1983"/>
    <x v="2"/>
    <x v="3"/>
    <x v="4"/>
    <s v="EMP_19"/>
    <d v="2024-12-02T07:44:00"/>
    <d v="2024-12-02T13:25:00"/>
    <n v="230"/>
    <n v="341"/>
    <n v="1"/>
    <x v="0"/>
    <x v="6"/>
    <n v="353.33"/>
    <n v="111"/>
    <n v="0.67448680351906154"/>
    <s v="Inefficient"/>
    <s v="Very Long"/>
    <s v="Major Delay"/>
  </r>
  <r>
    <x v="1984"/>
    <x v="1"/>
    <x v="1984"/>
    <x v="0"/>
    <x v="0"/>
    <x v="4"/>
    <s v="EMP_2"/>
    <d v="2024-03-14T23:14:00"/>
    <d v="2024-03-15T01:29:00"/>
    <n v="38"/>
    <n v="135"/>
    <n v="1"/>
    <x v="1"/>
    <x v="0"/>
    <n v="439.46"/>
    <n v="97"/>
    <n v="0.2814814814814815"/>
    <s v="Inefficient"/>
    <s v="Very Long"/>
    <s v="Major Delay"/>
  </r>
  <r>
    <x v="1985"/>
    <x v="2"/>
    <x v="1985"/>
    <x v="4"/>
    <x v="1"/>
    <x v="3"/>
    <s v="EMP_82"/>
    <d v="2024-04-15T02:42:00"/>
    <d v="2024-04-15T06:01:00"/>
    <n v="176"/>
    <n v="199"/>
    <n v="1"/>
    <x v="2"/>
    <x v="5"/>
    <n v="457.66"/>
    <n v="23"/>
    <n v="0.88442211055276387"/>
    <s v="Inefficient"/>
    <s v="Very Long"/>
    <s v="Minor Delay"/>
  </r>
  <r>
    <x v="1986"/>
    <x v="2"/>
    <x v="1986"/>
    <x v="0"/>
    <x v="0"/>
    <x v="3"/>
    <s v="EMP_115"/>
    <d v="2024-03-12T09:23:00"/>
    <d v="2024-03-12T12:19:00"/>
    <n v="175"/>
    <n v="176"/>
    <n v="1"/>
    <x v="0"/>
    <x v="9"/>
    <n v="234.13"/>
    <n v="1"/>
    <n v="0.99431818181818177"/>
    <s v="Inefficient"/>
    <s v="Very Long"/>
    <s v="Minor Delay"/>
  </r>
  <r>
    <x v="1987"/>
    <x v="4"/>
    <x v="1987"/>
    <x v="4"/>
    <x v="3"/>
    <x v="1"/>
    <s v="EMP_21"/>
    <d v="2024-10-01T02:20:00"/>
    <d v="2024-10-01T04:24:00"/>
    <n v="50"/>
    <n v="124"/>
    <n v="1"/>
    <x v="1"/>
    <x v="8"/>
    <n v="258.68"/>
    <n v="74"/>
    <n v="0.40322580645161288"/>
    <s v="Inefficient"/>
    <s v="Very Long"/>
    <s v="Major Delay"/>
  </r>
  <r>
    <x v="1988"/>
    <x v="4"/>
    <x v="1988"/>
    <x v="1"/>
    <x v="3"/>
    <x v="3"/>
    <s v="EMP_139"/>
    <d v="2024-08-23T14:53:00"/>
    <d v="2024-08-23T17:40:00"/>
    <n v="155"/>
    <n v="167"/>
    <n v="1"/>
    <x v="2"/>
    <x v="4"/>
    <n v="377.81"/>
    <n v="12"/>
    <n v="0.92814371257485029"/>
    <s v="Inefficient"/>
    <s v="Very Long"/>
    <s v="Minor Delay"/>
  </r>
  <r>
    <x v="1989"/>
    <x v="1"/>
    <x v="1989"/>
    <x v="0"/>
    <x v="0"/>
    <x v="4"/>
    <s v="EMP_110"/>
    <d v="2024-06-29T21:31:00"/>
    <d v="2024-06-29T22:17:00"/>
    <n v="46"/>
    <n v="46"/>
    <n v="0"/>
    <x v="2"/>
    <x v="9"/>
    <n v="406.31"/>
    <n v="0"/>
    <n v="1"/>
    <s v="On Target"/>
    <s v="Medium"/>
    <s v="On Time"/>
  </r>
  <r>
    <x v="1990"/>
    <x v="0"/>
    <x v="1990"/>
    <x v="2"/>
    <x v="2"/>
    <x v="4"/>
    <s v="EMP_21"/>
    <d v="2024-03-15T01:22:00"/>
    <d v="2024-03-15T03:14:00"/>
    <n v="81"/>
    <n v="112"/>
    <n v="1"/>
    <x v="2"/>
    <x v="1"/>
    <n v="87.58"/>
    <n v="31"/>
    <n v="0.7232142857142857"/>
    <s v="Inefficient"/>
    <s v="Long"/>
    <s v="Major Delay"/>
  </r>
  <r>
    <x v="1991"/>
    <x v="0"/>
    <x v="1991"/>
    <x v="4"/>
    <x v="1"/>
    <x v="4"/>
    <s v="EMP_34"/>
    <d v="2024-04-30T09:52:00"/>
    <d v="2024-04-30T15:11:00"/>
    <n v="213"/>
    <n v="319"/>
    <n v="1"/>
    <x v="0"/>
    <x v="1"/>
    <n v="274.01"/>
    <n v="106"/>
    <n v="0.66771159874608155"/>
    <s v="Inefficient"/>
    <s v="Very Long"/>
    <s v="Major Delay"/>
  </r>
  <r>
    <x v="1992"/>
    <x v="2"/>
    <x v="1992"/>
    <x v="1"/>
    <x v="0"/>
    <x v="1"/>
    <s v="EMP_83"/>
    <d v="2024-02-15T01:56:00"/>
    <d v="2024-02-15T04:52:00"/>
    <n v="84"/>
    <n v="176"/>
    <n v="1"/>
    <x v="2"/>
    <x v="2"/>
    <n v="80.709999999999994"/>
    <n v="92"/>
    <n v="0.47727272727272729"/>
    <s v="Inefficient"/>
    <s v="Very Long"/>
    <s v="Major Delay"/>
  </r>
  <r>
    <x v="1993"/>
    <x v="2"/>
    <x v="1993"/>
    <x v="0"/>
    <x v="3"/>
    <x v="3"/>
    <s v="EMP_86"/>
    <d v="2024-03-15T20:05:00"/>
    <d v="2024-03-15T21:45:00"/>
    <n v="21"/>
    <n v="100"/>
    <n v="1"/>
    <x v="0"/>
    <x v="0"/>
    <n v="234.6"/>
    <n v="79"/>
    <n v="0.21"/>
    <s v="Inefficient"/>
    <s v="Long"/>
    <s v="Major Delay"/>
  </r>
  <r>
    <x v="1994"/>
    <x v="3"/>
    <x v="1994"/>
    <x v="1"/>
    <x v="0"/>
    <x v="4"/>
    <s v="EMP_94"/>
    <d v="2024-04-11T03:26:00"/>
    <d v="2024-04-11T07:40:00"/>
    <n v="215"/>
    <n v="254"/>
    <n v="1"/>
    <x v="1"/>
    <x v="1"/>
    <n v="246.4"/>
    <n v="39"/>
    <n v="0.84645669291338588"/>
    <s v="Inefficient"/>
    <s v="Very Long"/>
    <s v="Major Delay"/>
  </r>
  <r>
    <x v="1995"/>
    <x v="2"/>
    <x v="1995"/>
    <x v="1"/>
    <x v="2"/>
    <x v="0"/>
    <s v="EMP_102"/>
    <d v="2024-11-24T06:11:00"/>
    <d v="2024-11-24T09:33:00"/>
    <n v="111"/>
    <n v="202"/>
    <n v="1"/>
    <x v="0"/>
    <x v="8"/>
    <n v="136.81"/>
    <n v="91"/>
    <n v="0.54950495049504955"/>
    <s v="Inefficient"/>
    <s v="Very Long"/>
    <s v="Major Delay"/>
  </r>
  <r>
    <x v="1996"/>
    <x v="0"/>
    <x v="1996"/>
    <x v="2"/>
    <x v="0"/>
    <x v="4"/>
    <s v="EMP_28"/>
    <d v="2024-04-24T20:03:00"/>
    <d v="2024-04-24T22:09:00"/>
    <n v="113"/>
    <n v="126"/>
    <n v="1"/>
    <x v="1"/>
    <x v="1"/>
    <n v="309.17"/>
    <n v="13"/>
    <n v="0.89682539682539686"/>
    <s v="Inefficient"/>
    <s v="Very Long"/>
    <s v="Minor Delay"/>
  </r>
  <r>
    <x v="1997"/>
    <x v="3"/>
    <x v="1997"/>
    <x v="4"/>
    <x v="1"/>
    <x v="1"/>
    <s v="EMP_40"/>
    <d v="2024-10-04T05:58:00"/>
    <d v="2024-10-04T10:59:00"/>
    <n v="196"/>
    <n v="301"/>
    <n v="1"/>
    <x v="2"/>
    <x v="4"/>
    <n v="361.97"/>
    <n v="105"/>
    <n v="0.65116279069767447"/>
    <s v="Inefficient"/>
    <s v="Very Long"/>
    <s v="Major Delay"/>
  </r>
  <r>
    <x v="1998"/>
    <x v="3"/>
    <x v="1998"/>
    <x v="3"/>
    <x v="2"/>
    <x v="0"/>
    <s v="EMP_139"/>
    <d v="2024-11-15T03:42:00"/>
    <d v="2024-11-15T06:53:00"/>
    <n v="185"/>
    <n v="191"/>
    <n v="1"/>
    <x v="1"/>
    <x v="6"/>
    <n v="428.48"/>
    <n v="6"/>
    <n v="0.96858638743455494"/>
    <s v="Inefficient"/>
    <s v="Very Long"/>
    <s v="Minor Delay"/>
  </r>
  <r>
    <x v="1999"/>
    <x v="1"/>
    <x v="1999"/>
    <x v="1"/>
    <x v="2"/>
    <x v="4"/>
    <s v="EMP_57"/>
    <d v="2024-07-09T05:55:00"/>
    <d v="2024-07-09T07:41:00"/>
    <n v="46"/>
    <n v="106"/>
    <n v="1"/>
    <x v="2"/>
    <x v="3"/>
    <n v="368.66"/>
    <n v="60"/>
    <n v="0.43396226415094341"/>
    <s v="Inefficient"/>
    <s v="Long"/>
    <s v="Major Delay"/>
  </r>
  <r>
    <x v="2000"/>
    <x v="0"/>
    <x v="2000"/>
    <x v="4"/>
    <x v="0"/>
    <x v="4"/>
    <s v="EMP_38"/>
    <d v="2024-01-29T10:45:00"/>
    <d v="2024-01-29T13:34:00"/>
    <n v="123"/>
    <n v="169"/>
    <n v="1"/>
    <x v="0"/>
    <x v="1"/>
    <n v="387.53"/>
    <n v="46"/>
    <n v="0.72781065088757402"/>
    <s v="Inefficient"/>
    <s v="Very Long"/>
    <s v="Major Delay"/>
  </r>
  <r>
    <x v="2001"/>
    <x v="4"/>
    <x v="2001"/>
    <x v="2"/>
    <x v="0"/>
    <x v="2"/>
    <s v="EMP_102"/>
    <d v="2024-03-26T16:39:00"/>
    <d v="2024-03-26T18:19:00"/>
    <n v="19"/>
    <n v="100"/>
    <n v="1"/>
    <x v="1"/>
    <x v="6"/>
    <n v="301.56"/>
    <n v="81"/>
    <n v="0.19"/>
    <s v="Inefficient"/>
    <s v="Long"/>
    <s v="Major Delay"/>
  </r>
  <r>
    <x v="2002"/>
    <x v="1"/>
    <x v="2002"/>
    <x v="1"/>
    <x v="0"/>
    <x v="1"/>
    <s v="EMP_67"/>
    <d v="2024-01-12T15:45:00"/>
    <d v="2024-01-12T20:29:00"/>
    <n v="225"/>
    <n v="284"/>
    <n v="1"/>
    <x v="0"/>
    <x v="0"/>
    <n v="281.33999999999997"/>
    <n v="59"/>
    <n v="0.79225352112676062"/>
    <s v="Inefficient"/>
    <s v="Very Long"/>
    <s v="Major Delay"/>
  </r>
  <r>
    <x v="2003"/>
    <x v="1"/>
    <x v="2003"/>
    <x v="4"/>
    <x v="0"/>
    <x v="3"/>
    <s v="EMP_2"/>
    <d v="2024-09-04T23:13:00"/>
    <d v="2024-09-05T04:02:00"/>
    <n v="219"/>
    <n v="289"/>
    <n v="1"/>
    <x v="2"/>
    <x v="8"/>
    <n v="233.98"/>
    <n v="70"/>
    <n v="0.75778546712802763"/>
    <s v="Inefficient"/>
    <s v="Very Long"/>
    <s v="Major Delay"/>
  </r>
  <r>
    <x v="2004"/>
    <x v="1"/>
    <x v="2004"/>
    <x v="0"/>
    <x v="1"/>
    <x v="4"/>
    <s v="EMP_43"/>
    <d v="2024-10-28T09:24:00"/>
    <d v="2024-10-28T12:16:00"/>
    <n v="55"/>
    <n v="172"/>
    <n v="1"/>
    <x v="1"/>
    <x v="7"/>
    <n v="425.99"/>
    <n v="117"/>
    <n v="0.31976744186046513"/>
    <s v="Inefficient"/>
    <s v="Very Long"/>
    <s v="Major Delay"/>
  </r>
  <r>
    <x v="2005"/>
    <x v="3"/>
    <x v="2005"/>
    <x v="0"/>
    <x v="1"/>
    <x v="2"/>
    <s v="EMP_66"/>
    <d v="2024-06-03T11:03:00"/>
    <d v="2024-06-03T12:15:00"/>
    <n v="27"/>
    <n v="72"/>
    <n v="1"/>
    <x v="2"/>
    <x v="8"/>
    <n v="137.36000000000001"/>
    <n v="45"/>
    <n v="0.375"/>
    <s v="Inefficient"/>
    <s v="Long"/>
    <s v="Major Delay"/>
  </r>
  <r>
    <x v="2006"/>
    <x v="3"/>
    <x v="2006"/>
    <x v="2"/>
    <x v="1"/>
    <x v="1"/>
    <s v="EMP_10"/>
    <d v="2024-03-03T00:51:00"/>
    <d v="2024-03-03T03:22:00"/>
    <n v="63"/>
    <n v="151"/>
    <n v="1"/>
    <x v="2"/>
    <x v="0"/>
    <n v="54.21"/>
    <n v="88"/>
    <n v="0.41721854304635764"/>
    <s v="Inefficient"/>
    <s v="Very Long"/>
    <s v="Major Delay"/>
  </r>
  <r>
    <x v="2007"/>
    <x v="1"/>
    <x v="2007"/>
    <x v="1"/>
    <x v="1"/>
    <x v="4"/>
    <s v="EMP_140"/>
    <d v="2024-06-12T04:30:00"/>
    <d v="2024-06-12T10:09:00"/>
    <n v="222"/>
    <n v="339"/>
    <n v="1"/>
    <x v="1"/>
    <x v="4"/>
    <n v="308.66000000000003"/>
    <n v="117"/>
    <n v="0.65486725663716816"/>
    <s v="Inefficient"/>
    <s v="Very Long"/>
    <s v="Major Delay"/>
  </r>
  <r>
    <x v="2008"/>
    <x v="4"/>
    <x v="2008"/>
    <x v="0"/>
    <x v="1"/>
    <x v="2"/>
    <s v="EMP_31"/>
    <d v="2024-01-14T15:35:00"/>
    <d v="2024-01-14T16:33:00"/>
    <n v="18"/>
    <n v="58"/>
    <n v="1"/>
    <x v="2"/>
    <x v="3"/>
    <n v="454.29"/>
    <n v="40"/>
    <n v="0.31034482758620691"/>
    <s v="Inefficient"/>
    <s v="Medium"/>
    <s v="Major Delay"/>
  </r>
  <r>
    <x v="2009"/>
    <x v="4"/>
    <x v="2009"/>
    <x v="0"/>
    <x v="1"/>
    <x v="2"/>
    <s v="EMP_110"/>
    <d v="2024-04-03T05:17:00"/>
    <d v="2024-04-03T07:59:00"/>
    <n v="109"/>
    <n v="162"/>
    <n v="1"/>
    <x v="0"/>
    <x v="7"/>
    <n v="212.42"/>
    <n v="53"/>
    <n v="0.6728395061728395"/>
    <s v="Inefficient"/>
    <s v="Very Long"/>
    <s v="Major Delay"/>
  </r>
  <r>
    <x v="2010"/>
    <x v="1"/>
    <x v="2010"/>
    <x v="0"/>
    <x v="3"/>
    <x v="3"/>
    <s v="EMP_133"/>
    <d v="2024-04-01T04:39:00"/>
    <d v="2024-04-01T05:54:00"/>
    <n v="68"/>
    <n v="75"/>
    <n v="1"/>
    <x v="2"/>
    <x v="9"/>
    <n v="228.72"/>
    <n v="7"/>
    <n v="0.90666666666666662"/>
    <s v="Inefficient"/>
    <s v="Long"/>
    <s v="Minor Delay"/>
  </r>
  <r>
    <x v="2011"/>
    <x v="0"/>
    <x v="2011"/>
    <x v="1"/>
    <x v="3"/>
    <x v="4"/>
    <s v="EMP_29"/>
    <d v="2024-09-26T13:29:00"/>
    <d v="2024-09-26T15:03:00"/>
    <n v="94"/>
    <n v="94"/>
    <n v="0"/>
    <x v="0"/>
    <x v="0"/>
    <n v="213.22"/>
    <n v="0"/>
    <n v="1"/>
    <s v="On Target"/>
    <s v="Long"/>
    <s v="On Time"/>
  </r>
  <r>
    <x v="2012"/>
    <x v="2"/>
    <x v="2012"/>
    <x v="1"/>
    <x v="3"/>
    <x v="3"/>
    <s v="EMP_120"/>
    <d v="2024-03-03T12:27:00"/>
    <d v="2024-03-03T15:03:00"/>
    <n v="107"/>
    <n v="156"/>
    <n v="1"/>
    <x v="2"/>
    <x v="0"/>
    <n v="335.49"/>
    <n v="49"/>
    <n v="0.6858974358974359"/>
    <s v="Inefficient"/>
    <s v="Very Long"/>
    <s v="Major Delay"/>
  </r>
  <r>
    <x v="2013"/>
    <x v="3"/>
    <x v="2013"/>
    <x v="4"/>
    <x v="2"/>
    <x v="4"/>
    <s v="EMP_138"/>
    <d v="2024-08-08T05:12:00"/>
    <d v="2024-08-08T10:40:00"/>
    <n v="219"/>
    <n v="328"/>
    <n v="1"/>
    <x v="1"/>
    <x v="0"/>
    <n v="430.01"/>
    <n v="109"/>
    <n v="0.66768292682926833"/>
    <s v="Inefficient"/>
    <s v="Very Long"/>
    <s v="Major Delay"/>
  </r>
  <r>
    <x v="2014"/>
    <x v="1"/>
    <x v="2014"/>
    <x v="4"/>
    <x v="2"/>
    <x v="1"/>
    <s v="EMP_4"/>
    <d v="2024-09-02T20:33:00"/>
    <d v="2024-09-02T23:34:00"/>
    <n v="169"/>
    <n v="181"/>
    <n v="1"/>
    <x v="2"/>
    <x v="1"/>
    <n v="125.19"/>
    <n v="12"/>
    <n v="0.93370165745856348"/>
    <s v="Inefficient"/>
    <s v="Very Long"/>
    <s v="Minor Delay"/>
  </r>
  <r>
    <x v="2015"/>
    <x v="3"/>
    <x v="2015"/>
    <x v="0"/>
    <x v="0"/>
    <x v="2"/>
    <s v="EMP_98"/>
    <d v="2024-10-19T15:02:00"/>
    <d v="2024-10-19T17:12:00"/>
    <n v="53"/>
    <n v="130"/>
    <n v="1"/>
    <x v="0"/>
    <x v="7"/>
    <n v="389.08"/>
    <n v="77"/>
    <n v="0.40769230769230769"/>
    <s v="Inefficient"/>
    <s v="Very Long"/>
    <s v="Major Delay"/>
  </r>
  <r>
    <x v="2016"/>
    <x v="1"/>
    <x v="2016"/>
    <x v="3"/>
    <x v="3"/>
    <x v="4"/>
    <s v="EMP_43"/>
    <d v="2024-02-01T02:15:00"/>
    <d v="2024-02-01T07:06:00"/>
    <n v="180"/>
    <n v="291"/>
    <n v="1"/>
    <x v="2"/>
    <x v="7"/>
    <n v="130.97"/>
    <n v="111"/>
    <n v="0.61855670103092786"/>
    <s v="Inefficient"/>
    <s v="Very Long"/>
    <s v="Major Delay"/>
  </r>
  <r>
    <x v="2017"/>
    <x v="0"/>
    <x v="2017"/>
    <x v="1"/>
    <x v="3"/>
    <x v="4"/>
    <s v="EMP_104"/>
    <d v="2024-10-10T16:35:00"/>
    <d v="2024-10-10T19:56:00"/>
    <n v="145"/>
    <n v="201"/>
    <n v="1"/>
    <x v="0"/>
    <x v="9"/>
    <n v="327.20999999999998"/>
    <n v="56"/>
    <n v="0.72139303482587069"/>
    <s v="Inefficient"/>
    <s v="Very Long"/>
    <s v="Major Delay"/>
  </r>
  <r>
    <x v="2018"/>
    <x v="3"/>
    <x v="2018"/>
    <x v="4"/>
    <x v="0"/>
    <x v="1"/>
    <s v="EMP_47"/>
    <d v="2024-10-21T14:05:00"/>
    <d v="2024-10-21T18:22:00"/>
    <n v="232"/>
    <n v="257"/>
    <n v="1"/>
    <x v="1"/>
    <x v="9"/>
    <n v="409.06"/>
    <n v="25"/>
    <n v="0.90272373540856032"/>
    <s v="Inefficient"/>
    <s v="Very Long"/>
    <s v="Minor Delay"/>
  </r>
  <r>
    <x v="2019"/>
    <x v="2"/>
    <x v="2019"/>
    <x v="2"/>
    <x v="0"/>
    <x v="4"/>
    <s v="EMP_41"/>
    <d v="2024-12-01T04:35:00"/>
    <d v="2024-12-01T09:16:00"/>
    <n v="216"/>
    <n v="281"/>
    <n v="1"/>
    <x v="1"/>
    <x v="1"/>
    <n v="323.60000000000002"/>
    <n v="65"/>
    <n v="0.76868327402135228"/>
    <s v="Inefficient"/>
    <s v="Very Long"/>
    <s v="Major Delay"/>
  </r>
  <r>
    <x v="2020"/>
    <x v="4"/>
    <x v="2020"/>
    <x v="0"/>
    <x v="1"/>
    <x v="4"/>
    <s v="EMP_102"/>
    <d v="2024-10-29T01:34:00"/>
    <d v="2024-10-29T05:25:00"/>
    <n v="112"/>
    <n v="231"/>
    <n v="1"/>
    <x v="0"/>
    <x v="9"/>
    <n v="74.790000000000006"/>
    <n v="119"/>
    <n v="0.48484848484848486"/>
    <s v="Inefficient"/>
    <s v="Very Long"/>
    <s v="Major Delay"/>
  </r>
  <r>
    <x v="2021"/>
    <x v="1"/>
    <x v="2021"/>
    <x v="1"/>
    <x v="3"/>
    <x v="2"/>
    <s v="EMP_29"/>
    <d v="2024-09-19T23:10:00"/>
    <d v="2024-09-20T00:54:00"/>
    <n v="75"/>
    <n v="104"/>
    <n v="1"/>
    <x v="0"/>
    <x v="9"/>
    <n v="419.38"/>
    <n v="29"/>
    <n v="0.72115384615384615"/>
    <s v="Inefficient"/>
    <s v="Long"/>
    <s v="Minor Delay"/>
  </r>
  <r>
    <x v="2022"/>
    <x v="2"/>
    <x v="2022"/>
    <x v="0"/>
    <x v="3"/>
    <x v="1"/>
    <s v="EMP_61"/>
    <d v="2024-06-16T05:40:00"/>
    <d v="2024-06-16T09:48:00"/>
    <n v="169"/>
    <n v="248"/>
    <n v="1"/>
    <x v="2"/>
    <x v="6"/>
    <n v="425.42"/>
    <n v="79"/>
    <n v="0.68145161290322576"/>
    <s v="Inefficient"/>
    <s v="Very Long"/>
    <s v="Major Delay"/>
  </r>
  <r>
    <x v="2023"/>
    <x v="4"/>
    <x v="2023"/>
    <x v="3"/>
    <x v="0"/>
    <x v="4"/>
    <s v="EMP_91"/>
    <d v="2024-12-09T21:08:00"/>
    <d v="2024-12-09T23:08:00"/>
    <n v="116"/>
    <n v="120"/>
    <n v="1"/>
    <x v="0"/>
    <x v="7"/>
    <n v="495.29"/>
    <n v="4"/>
    <n v="0.96666666666666667"/>
    <s v="Inefficient"/>
    <s v="Very Long"/>
    <s v="Minor Delay"/>
  </r>
  <r>
    <x v="2024"/>
    <x v="1"/>
    <x v="2024"/>
    <x v="2"/>
    <x v="3"/>
    <x v="3"/>
    <s v="EMP_126"/>
    <d v="2024-01-20T00:56:00"/>
    <d v="2024-01-20T02:31:00"/>
    <n v="15"/>
    <n v="95"/>
    <n v="1"/>
    <x v="1"/>
    <x v="5"/>
    <n v="454.59"/>
    <n v="80"/>
    <n v="0.15789473684210525"/>
    <s v="Inefficient"/>
    <s v="Long"/>
    <s v="Major Delay"/>
  </r>
  <r>
    <x v="2025"/>
    <x v="4"/>
    <x v="2025"/>
    <x v="0"/>
    <x v="0"/>
    <x v="0"/>
    <s v="EMP_25"/>
    <d v="2024-08-06T15:01:00"/>
    <d v="2024-08-06T17:25:00"/>
    <n v="67"/>
    <n v="144"/>
    <n v="1"/>
    <x v="2"/>
    <x v="7"/>
    <n v="122.98"/>
    <n v="77"/>
    <n v="0.46527777777777779"/>
    <s v="Inefficient"/>
    <s v="Very Long"/>
    <s v="Major Delay"/>
  </r>
  <r>
    <x v="2026"/>
    <x v="1"/>
    <x v="2026"/>
    <x v="1"/>
    <x v="0"/>
    <x v="1"/>
    <s v="EMP_145"/>
    <d v="2024-09-03T14:09:00"/>
    <d v="2024-09-03T15:54:00"/>
    <n v="99"/>
    <n v="105"/>
    <n v="1"/>
    <x v="1"/>
    <x v="7"/>
    <n v="454.8"/>
    <n v="6"/>
    <n v="0.94285714285714284"/>
    <s v="Inefficient"/>
    <s v="Long"/>
    <s v="Minor Delay"/>
  </r>
  <r>
    <x v="2027"/>
    <x v="2"/>
    <x v="2027"/>
    <x v="4"/>
    <x v="1"/>
    <x v="2"/>
    <s v="EMP_31"/>
    <d v="2024-07-15T15:07:00"/>
    <d v="2024-07-15T18:05:00"/>
    <n v="86"/>
    <n v="178"/>
    <n v="1"/>
    <x v="0"/>
    <x v="5"/>
    <n v="169.4"/>
    <n v="92"/>
    <n v="0.48314606741573035"/>
    <s v="Inefficient"/>
    <s v="Very Long"/>
    <s v="Major Delay"/>
  </r>
  <r>
    <x v="2028"/>
    <x v="3"/>
    <x v="2028"/>
    <x v="1"/>
    <x v="3"/>
    <x v="0"/>
    <s v="EMP_105"/>
    <d v="2024-12-16T07:22:00"/>
    <d v="2024-12-16T08:29:00"/>
    <n v="10"/>
    <n v="67"/>
    <n v="1"/>
    <x v="1"/>
    <x v="9"/>
    <n v="394.25"/>
    <n v="57"/>
    <n v="0.14925373134328357"/>
    <s v="Inefficient"/>
    <s v="Long"/>
    <s v="Major Delay"/>
  </r>
  <r>
    <x v="2029"/>
    <x v="4"/>
    <x v="2029"/>
    <x v="3"/>
    <x v="1"/>
    <x v="2"/>
    <s v="EMP_1"/>
    <d v="2024-07-23T22:27:00"/>
    <d v="2024-07-24T01:15:00"/>
    <n v="96"/>
    <n v="168"/>
    <n v="1"/>
    <x v="1"/>
    <x v="0"/>
    <n v="249.36"/>
    <n v="72"/>
    <n v="0.5714285714285714"/>
    <s v="Inefficient"/>
    <s v="Very Long"/>
    <s v="Major Delay"/>
  </r>
  <r>
    <x v="2030"/>
    <x v="2"/>
    <x v="2030"/>
    <x v="4"/>
    <x v="3"/>
    <x v="2"/>
    <s v="EMP_134"/>
    <d v="2024-06-28T05:08:00"/>
    <d v="2024-06-28T09:54:00"/>
    <n v="197"/>
    <n v="286"/>
    <n v="1"/>
    <x v="0"/>
    <x v="2"/>
    <n v="145.82"/>
    <n v="89"/>
    <n v="0.68881118881118886"/>
    <s v="Inefficient"/>
    <s v="Very Long"/>
    <s v="Major Delay"/>
  </r>
  <r>
    <x v="2031"/>
    <x v="2"/>
    <x v="2031"/>
    <x v="2"/>
    <x v="3"/>
    <x v="2"/>
    <s v="EMP_145"/>
    <d v="2024-08-22T05:02:00"/>
    <d v="2024-08-22T10:03:00"/>
    <n v="228"/>
    <n v="301"/>
    <n v="1"/>
    <x v="1"/>
    <x v="5"/>
    <n v="300.62"/>
    <n v="73"/>
    <n v="0.75747508305647837"/>
    <s v="Inefficient"/>
    <s v="Very Long"/>
    <s v="Major Delay"/>
  </r>
  <r>
    <x v="2032"/>
    <x v="0"/>
    <x v="2032"/>
    <x v="4"/>
    <x v="0"/>
    <x v="0"/>
    <s v="EMP_41"/>
    <d v="2024-02-21T18:37:00"/>
    <d v="2024-02-21T22:21:00"/>
    <n v="142"/>
    <n v="224"/>
    <n v="1"/>
    <x v="1"/>
    <x v="4"/>
    <n v="264.08"/>
    <n v="82"/>
    <n v="0.6339285714285714"/>
    <s v="Inefficient"/>
    <s v="Very Long"/>
    <s v="Major Delay"/>
  </r>
  <r>
    <x v="2033"/>
    <x v="1"/>
    <x v="2033"/>
    <x v="4"/>
    <x v="1"/>
    <x v="4"/>
    <s v="EMP_146"/>
    <d v="2024-09-18T12:23:00"/>
    <d v="2024-09-18T14:25:00"/>
    <n v="73"/>
    <n v="122"/>
    <n v="1"/>
    <x v="1"/>
    <x v="1"/>
    <n v="194.28"/>
    <n v="49"/>
    <n v="0.59836065573770492"/>
    <s v="Inefficient"/>
    <s v="Very Long"/>
    <s v="Major Delay"/>
  </r>
  <r>
    <x v="2034"/>
    <x v="0"/>
    <x v="2034"/>
    <x v="0"/>
    <x v="2"/>
    <x v="1"/>
    <s v="EMP_75"/>
    <d v="2024-10-30T09:30:00"/>
    <d v="2024-10-30T12:57:00"/>
    <n v="99"/>
    <n v="207"/>
    <n v="1"/>
    <x v="0"/>
    <x v="6"/>
    <n v="335.59"/>
    <n v="108"/>
    <n v="0.47826086956521741"/>
    <s v="Inefficient"/>
    <s v="Very Long"/>
    <s v="Major Delay"/>
  </r>
  <r>
    <x v="2035"/>
    <x v="0"/>
    <x v="2035"/>
    <x v="2"/>
    <x v="2"/>
    <x v="2"/>
    <s v="EMP_21"/>
    <d v="2024-06-27T06:56:00"/>
    <d v="2024-06-27T10:37:00"/>
    <n v="164"/>
    <n v="221"/>
    <n v="1"/>
    <x v="0"/>
    <x v="6"/>
    <n v="173.17"/>
    <n v="57"/>
    <n v="0.74208144796380093"/>
    <s v="Inefficient"/>
    <s v="Very Long"/>
    <s v="Major Delay"/>
  </r>
  <r>
    <x v="2036"/>
    <x v="3"/>
    <x v="2036"/>
    <x v="4"/>
    <x v="1"/>
    <x v="2"/>
    <s v="EMP_104"/>
    <d v="2024-09-06T21:14:00"/>
    <d v="2024-09-06T21:49:00"/>
    <n v="40"/>
    <n v="35"/>
    <n v="0"/>
    <x v="1"/>
    <x v="7"/>
    <n v="88.28"/>
    <n v="-5"/>
    <n v="1.1428571428571428"/>
    <s v="Efficient"/>
    <s v="Medium"/>
    <s v="On Time"/>
  </r>
  <r>
    <x v="2037"/>
    <x v="2"/>
    <x v="2037"/>
    <x v="0"/>
    <x v="1"/>
    <x v="1"/>
    <s v="EMP_62"/>
    <d v="2024-11-23T03:33:00"/>
    <d v="2024-11-23T06:12:00"/>
    <n v="67"/>
    <n v="159"/>
    <n v="1"/>
    <x v="1"/>
    <x v="7"/>
    <n v="125.78"/>
    <n v="92"/>
    <n v="0.42138364779874216"/>
    <s v="Inefficient"/>
    <s v="Very Long"/>
    <s v="Major Delay"/>
  </r>
  <r>
    <x v="2038"/>
    <x v="0"/>
    <x v="2038"/>
    <x v="1"/>
    <x v="2"/>
    <x v="3"/>
    <s v="EMP_23"/>
    <d v="2024-11-07T20:09:00"/>
    <d v="2024-11-07T21:55:00"/>
    <n v="38"/>
    <n v="106"/>
    <n v="1"/>
    <x v="2"/>
    <x v="5"/>
    <n v="460.89"/>
    <n v="68"/>
    <n v="0.35849056603773582"/>
    <s v="Inefficient"/>
    <s v="Long"/>
    <s v="Major Delay"/>
  </r>
  <r>
    <x v="2039"/>
    <x v="0"/>
    <x v="2039"/>
    <x v="1"/>
    <x v="1"/>
    <x v="0"/>
    <s v="EMP_92"/>
    <d v="2024-02-10T23:32:00"/>
    <d v="2024-02-11T02:50:00"/>
    <n v="161"/>
    <n v="198"/>
    <n v="1"/>
    <x v="0"/>
    <x v="5"/>
    <n v="429.66"/>
    <n v="37"/>
    <n v="0.81313131313131315"/>
    <s v="Inefficient"/>
    <s v="Very Long"/>
    <s v="Major Delay"/>
  </r>
  <r>
    <x v="2040"/>
    <x v="3"/>
    <x v="2040"/>
    <x v="0"/>
    <x v="3"/>
    <x v="2"/>
    <s v="EMP_145"/>
    <d v="2024-10-17T05:28:00"/>
    <d v="2024-10-17T07:12:00"/>
    <n v="38"/>
    <n v="104"/>
    <n v="1"/>
    <x v="2"/>
    <x v="3"/>
    <n v="207.12"/>
    <n v="66"/>
    <n v="0.36538461538461536"/>
    <s v="Inefficient"/>
    <s v="Long"/>
    <s v="Major Delay"/>
  </r>
  <r>
    <x v="2041"/>
    <x v="2"/>
    <x v="2041"/>
    <x v="0"/>
    <x v="2"/>
    <x v="2"/>
    <s v="EMP_140"/>
    <d v="2024-08-08T07:11:00"/>
    <d v="2024-08-08T10:31:00"/>
    <n v="130"/>
    <n v="200"/>
    <n v="1"/>
    <x v="0"/>
    <x v="8"/>
    <n v="489.58"/>
    <n v="70"/>
    <n v="0.65"/>
    <s v="Inefficient"/>
    <s v="Very Long"/>
    <s v="Major Delay"/>
  </r>
  <r>
    <x v="2042"/>
    <x v="3"/>
    <x v="2042"/>
    <x v="0"/>
    <x v="2"/>
    <x v="0"/>
    <s v="EMP_122"/>
    <d v="2024-07-31T14:24:00"/>
    <d v="2024-07-31T17:51:00"/>
    <n v="141"/>
    <n v="207"/>
    <n v="1"/>
    <x v="1"/>
    <x v="2"/>
    <n v="158.06"/>
    <n v="66"/>
    <n v="0.6811594202898551"/>
    <s v="Inefficient"/>
    <s v="Very Long"/>
    <s v="Major Delay"/>
  </r>
  <r>
    <x v="2043"/>
    <x v="1"/>
    <x v="2043"/>
    <x v="4"/>
    <x v="0"/>
    <x v="4"/>
    <s v="EMP_84"/>
    <d v="2024-09-29T21:35:00"/>
    <d v="2024-09-29T22:56:00"/>
    <n v="65"/>
    <n v="81"/>
    <n v="1"/>
    <x v="0"/>
    <x v="0"/>
    <n v="299.95"/>
    <n v="16"/>
    <n v="0.80246913580246915"/>
    <s v="Inefficient"/>
    <s v="Long"/>
    <s v="Minor Delay"/>
  </r>
  <r>
    <x v="2044"/>
    <x v="3"/>
    <x v="2044"/>
    <x v="4"/>
    <x v="3"/>
    <x v="3"/>
    <s v="EMP_36"/>
    <d v="2024-04-07T00:02:00"/>
    <d v="2024-04-07T01:45:00"/>
    <n v="64"/>
    <n v="103"/>
    <n v="1"/>
    <x v="1"/>
    <x v="1"/>
    <n v="454.53"/>
    <n v="39"/>
    <n v="0.62135922330097082"/>
    <s v="Inefficient"/>
    <s v="Long"/>
    <s v="Major Delay"/>
  </r>
  <r>
    <x v="2045"/>
    <x v="4"/>
    <x v="2045"/>
    <x v="0"/>
    <x v="3"/>
    <x v="3"/>
    <s v="EMP_145"/>
    <d v="2024-04-30T09:42:00"/>
    <d v="2024-04-30T12:42:00"/>
    <n v="129"/>
    <n v="180"/>
    <n v="1"/>
    <x v="2"/>
    <x v="5"/>
    <n v="420.84"/>
    <n v="51"/>
    <n v="0.71666666666666667"/>
    <s v="Inefficient"/>
    <s v="Very Long"/>
    <s v="Major Delay"/>
  </r>
  <r>
    <x v="2046"/>
    <x v="1"/>
    <x v="2046"/>
    <x v="0"/>
    <x v="1"/>
    <x v="1"/>
    <s v="EMP_144"/>
    <d v="2024-04-06T15:00:00"/>
    <d v="2024-04-06T18:30:00"/>
    <n v="211"/>
    <n v="210"/>
    <n v="0"/>
    <x v="2"/>
    <x v="7"/>
    <n v="250.29"/>
    <n v="-1"/>
    <n v="1.0047619047619047"/>
    <s v="Efficient"/>
    <s v="Very Long"/>
    <s v="On Time"/>
  </r>
  <r>
    <x v="2047"/>
    <x v="2"/>
    <x v="2047"/>
    <x v="0"/>
    <x v="0"/>
    <x v="1"/>
    <s v="EMP_12"/>
    <d v="2024-02-23T04:03:00"/>
    <d v="2024-02-23T07:29:00"/>
    <n v="120"/>
    <n v="206"/>
    <n v="1"/>
    <x v="0"/>
    <x v="4"/>
    <n v="278.29000000000002"/>
    <n v="86"/>
    <n v="0.58252427184466016"/>
    <s v="Inefficient"/>
    <s v="Very Long"/>
    <s v="Major Delay"/>
  </r>
  <r>
    <x v="2048"/>
    <x v="1"/>
    <x v="2048"/>
    <x v="4"/>
    <x v="2"/>
    <x v="3"/>
    <s v="EMP_149"/>
    <d v="2024-09-01T03:44:00"/>
    <d v="2024-09-01T07:12:00"/>
    <n v="129"/>
    <n v="208"/>
    <n v="1"/>
    <x v="2"/>
    <x v="5"/>
    <n v="366.28"/>
    <n v="79"/>
    <n v="0.62019230769230771"/>
    <s v="Inefficient"/>
    <s v="Very Long"/>
    <s v="Major Delay"/>
  </r>
  <r>
    <x v="2049"/>
    <x v="0"/>
    <x v="2049"/>
    <x v="3"/>
    <x v="0"/>
    <x v="1"/>
    <s v="EMP_120"/>
    <d v="2024-07-14T17:20:00"/>
    <d v="2024-07-14T18:02:00"/>
    <n v="22"/>
    <n v="42"/>
    <n v="1"/>
    <x v="2"/>
    <x v="5"/>
    <n v="103.71"/>
    <n v="20"/>
    <n v="0.52380952380952384"/>
    <s v="Inefficient"/>
    <s v="Medium"/>
    <s v="Minor Delay"/>
  </r>
  <r>
    <x v="2050"/>
    <x v="1"/>
    <x v="2050"/>
    <x v="0"/>
    <x v="3"/>
    <x v="1"/>
    <s v="EMP_99"/>
    <d v="2024-02-01T01:01:00"/>
    <d v="2024-02-01T05:28:00"/>
    <n v="237"/>
    <n v="267"/>
    <n v="1"/>
    <x v="1"/>
    <x v="7"/>
    <n v="124.01"/>
    <n v="30"/>
    <n v="0.88764044943820219"/>
    <s v="Inefficient"/>
    <s v="Very Long"/>
    <s v="Minor Delay"/>
  </r>
  <r>
    <x v="2051"/>
    <x v="4"/>
    <x v="2051"/>
    <x v="0"/>
    <x v="1"/>
    <x v="0"/>
    <s v="EMP_78"/>
    <d v="2024-10-20T15:15:00"/>
    <d v="2024-10-20T16:32:00"/>
    <n v="38"/>
    <n v="77"/>
    <n v="1"/>
    <x v="0"/>
    <x v="0"/>
    <n v="472.21"/>
    <n v="39"/>
    <n v="0.4935064935064935"/>
    <s v="Inefficient"/>
    <s v="Long"/>
    <s v="Major Delay"/>
  </r>
  <r>
    <x v="2052"/>
    <x v="4"/>
    <x v="2052"/>
    <x v="2"/>
    <x v="3"/>
    <x v="3"/>
    <s v="EMP_15"/>
    <d v="2024-05-10T15:27:00"/>
    <d v="2024-05-10T17:11:00"/>
    <n v="103"/>
    <n v="104"/>
    <n v="1"/>
    <x v="0"/>
    <x v="8"/>
    <n v="316.82"/>
    <n v="1"/>
    <n v="0.99038461538461542"/>
    <s v="Inefficient"/>
    <s v="Long"/>
    <s v="Minor Delay"/>
  </r>
  <r>
    <x v="2053"/>
    <x v="1"/>
    <x v="2053"/>
    <x v="4"/>
    <x v="1"/>
    <x v="3"/>
    <s v="EMP_65"/>
    <d v="2024-10-28T18:07:00"/>
    <d v="2024-10-28T20:07:00"/>
    <n v="108"/>
    <n v="120"/>
    <n v="1"/>
    <x v="1"/>
    <x v="4"/>
    <n v="221.46"/>
    <n v="12"/>
    <n v="0.9"/>
    <s v="Inefficient"/>
    <s v="Very Long"/>
    <s v="Minor Delay"/>
  </r>
  <r>
    <x v="2054"/>
    <x v="1"/>
    <x v="2054"/>
    <x v="1"/>
    <x v="1"/>
    <x v="3"/>
    <s v="EMP_9"/>
    <d v="2024-08-18T07:47:00"/>
    <d v="2024-08-18T11:41:00"/>
    <n v="165"/>
    <n v="234"/>
    <n v="1"/>
    <x v="1"/>
    <x v="4"/>
    <n v="285.99"/>
    <n v="69"/>
    <n v="0.70512820512820518"/>
    <s v="Inefficient"/>
    <s v="Very Long"/>
    <s v="Major Delay"/>
  </r>
  <r>
    <x v="2055"/>
    <x v="2"/>
    <x v="2055"/>
    <x v="3"/>
    <x v="2"/>
    <x v="2"/>
    <s v="EMP_137"/>
    <d v="2024-11-08T03:23:00"/>
    <d v="2024-11-08T05:26:00"/>
    <n v="14"/>
    <n v="123"/>
    <n v="1"/>
    <x v="2"/>
    <x v="6"/>
    <n v="469.11"/>
    <n v="109"/>
    <n v="0.11382113821138211"/>
    <s v="Inefficient"/>
    <s v="Very Long"/>
    <s v="Major Delay"/>
  </r>
  <r>
    <x v="2056"/>
    <x v="3"/>
    <x v="2056"/>
    <x v="2"/>
    <x v="2"/>
    <x v="0"/>
    <s v="EMP_102"/>
    <d v="2024-10-14T06:49:00"/>
    <d v="2024-10-14T10:05:00"/>
    <n v="185"/>
    <n v="196"/>
    <n v="1"/>
    <x v="2"/>
    <x v="1"/>
    <n v="272.5"/>
    <n v="11"/>
    <n v="0.94387755102040816"/>
    <s v="Inefficient"/>
    <s v="Very Long"/>
    <s v="Minor Delay"/>
  </r>
  <r>
    <x v="2057"/>
    <x v="3"/>
    <x v="2057"/>
    <x v="3"/>
    <x v="0"/>
    <x v="2"/>
    <s v="EMP_130"/>
    <d v="2024-02-29T22:14:00"/>
    <d v="2024-03-01T02:41:00"/>
    <n v="204"/>
    <n v="267"/>
    <n v="1"/>
    <x v="1"/>
    <x v="5"/>
    <n v="53.81"/>
    <n v="63"/>
    <n v="0.7640449438202247"/>
    <s v="Inefficient"/>
    <s v="Very Long"/>
    <s v="Major Delay"/>
  </r>
  <r>
    <x v="2058"/>
    <x v="2"/>
    <x v="2058"/>
    <x v="4"/>
    <x v="1"/>
    <x v="2"/>
    <s v="EMP_39"/>
    <d v="2024-05-18T22:39:00"/>
    <d v="2024-05-19T02:27:00"/>
    <n v="142"/>
    <n v="228"/>
    <n v="1"/>
    <x v="2"/>
    <x v="5"/>
    <n v="417.21"/>
    <n v="86"/>
    <n v="0.6228070175438597"/>
    <s v="Inefficient"/>
    <s v="Very Long"/>
    <s v="Major Delay"/>
  </r>
  <r>
    <x v="2059"/>
    <x v="3"/>
    <x v="2059"/>
    <x v="2"/>
    <x v="3"/>
    <x v="1"/>
    <s v="EMP_110"/>
    <d v="2024-08-16T05:38:00"/>
    <d v="2024-08-16T09:06:00"/>
    <n v="88"/>
    <n v="208"/>
    <n v="1"/>
    <x v="2"/>
    <x v="5"/>
    <n v="422.23"/>
    <n v="120"/>
    <n v="0.42307692307692307"/>
    <s v="Inefficient"/>
    <s v="Very Long"/>
    <s v="Major Delay"/>
  </r>
  <r>
    <x v="2060"/>
    <x v="3"/>
    <x v="2060"/>
    <x v="4"/>
    <x v="0"/>
    <x v="3"/>
    <s v="EMP_7"/>
    <d v="2024-12-05T22:02:00"/>
    <d v="2024-12-06T00:40:00"/>
    <n v="147"/>
    <n v="158"/>
    <n v="1"/>
    <x v="1"/>
    <x v="9"/>
    <n v="64.430000000000007"/>
    <n v="11"/>
    <n v="0.930379746835443"/>
    <s v="Inefficient"/>
    <s v="Very Long"/>
    <s v="Minor Delay"/>
  </r>
  <r>
    <x v="2061"/>
    <x v="3"/>
    <x v="2061"/>
    <x v="4"/>
    <x v="3"/>
    <x v="0"/>
    <s v="EMP_34"/>
    <d v="2024-02-18T13:21:00"/>
    <d v="2024-02-18T14:47:00"/>
    <n v="71"/>
    <n v="86"/>
    <n v="1"/>
    <x v="1"/>
    <x v="7"/>
    <n v="275.51"/>
    <n v="15"/>
    <n v="0.82558139534883723"/>
    <s v="Inefficient"/>
    <s v="Long"/>
    <s v="Minor Delay"/>
  </r>
  <r>
    <x v="2062"/>
    <x v="1"/>
    <x v="2062"/>
    <x v="2"/>
    <x v="2"/>
    <x v="3"/>
    <s v="EMP_53"/>
    <d v="2024-07-31T20:32:00"/>
    <d v="2024-08-01T01:13:00"/>
    <n v="168"/>
    <n v="281"/>
    <n v="1"/>
    <x v="2"/>
    <x v="0"/>
    <n v="281.7"/>
    <n v="113"/>
    <n v="0.59786476868327398"/>
    <s v="Inefficient"/>
    <s v="Very Long"/>
    <s v="Major Delay"/>
  </r>
  <r>
    <x v="2063"/>
    <x v="4"/>
    <x v="2063"/>
    <x v="3"/>
    <x v="3"/>
    <x v="2"/>
    <s v="EMP_11"/>
    <d v="2024-07-21T23:43:00"/>
    <d v="2024-07-22T02:00:00"/>
    <n v="86"/>
    <n v="137"/>
    <n v="1"/>
    <x v="1"/>
    <x v="5"/>
    <n v="485.72"/>
    <n v="51"/>
    <n v="0.62773722627737227"/>
    <s v="Inefficient"/>
    <s v="Very Long"/>
    <s v="Major Delay"/>
  </r>
  <r>
    <x v="2064"/>
    <x v="4"/>
    <x v="2064"/>
    <x v="0"/>
    <x v="0"/>
    <x v="2"/>
    <s v="EMP_47"/>
    <d v="2024-02-26T00:11:00"/>
    <d v="2024-02-26T01:39:00"/>
    <n v="49"/>
    <n v="88"/>
    <n v="1"/>
    <x v="2"/>
    <x v="3"/>
    <n v="451.47"/>
    <n v="39"/>
    <n v="0.55681818181818177"/>
    <s v="Inefficient"/>
    <s v="Long"/>
    <s v="Major Delay"/>
  </r>
  <r>
    <x v="2065"/>
    <x v="2"/>
    <x v="2065"/>
    <x v="1"/>
    <x v="2"/>
    <x v="2"/>
    <s v="EMP_18"/>
    <d v="2024-07-09T10:19:00"/>
    <d v="2024-07-09T14:45:00"/>
    <n v="169"/>
    <n v="266"/>
    <n v="1"/>
    <x v="0"/>
    <x v="1"/>
    <n v="297.06"/>
    <n v="97"/>
    <n v="0.63533834586466165"/>
    <s v="Inefficient"/>
    <s v="Very Long"/>
    <s v="Major Delay"/>
  </r>
  <r>
    <x v="2066"/>
    <x v="2"/>
    <x v="2066"/>
    <x v="2"/>
    <x v="1"/>
    <x v="3"/>
    <s v="EMP_60"/>
    <d v="2024-01-23T08:55:00"/>
    <d v="2024-01-23T12:10:00"/>
    <n v="120"/>
    <n v="195"/>
    <n v="1"/>
    <x v="1"/>
    <x v="9"/>
    <n v="362.33"/>
    <n v="75"/>
    <n v="0.61538461538461542"/>
    <s v="Inefficient"/>
    <s v="Very Long"/>
    <s v="Major Delay"/>
  </r>
  <r>
    <x v="2067"/>
    <x v="0"/>
    <x v="2067"/>
    <x v="4"/>
    <x v="3"/>
    <x v="2"/>
    <s v="EMP_61"/>
    <d v="2024-12-01T17:06:00"/>
    <d v="2024-12-01T20:55:00"/>
    <n v="206"/>
    <n v="229"/>
    <n v="1"/>
    <x v="2"/>
    <x v="7"/>
    <n v="131.96"/>
    <n v="23"/>
    <n v="0.89956331877729256"/>
    <s v="Inefficient"/>
    <s v="Very Long"/>
    <s v="Minor Delay"/>
  </r>
  <r>
    <x v="2068"/>
    <x v="2"/>
    <x v="2068"/>
    <x v="1"/>
    <x v="3"/>
    <x v="0"/>
    <s v="EMP_45"/>
    <d v="2024-08-07T00:33:00"/>
    <d v="2024-08-07T01:31:00"/>
    <n v="34"/>
    <n v="58"/>
    <n v="1"/>
    <x v="2"/>
    <x v="5"/>
    <n v="194.79"/>
    <n v="24"/>
    <n v="0.58620689655172409"/>
    <s v="Inefficient"/>
    <s v="Medium"/>
    <s v="Minor Delay"/>
  </r>
  <r>
    <x v="2069"/>
    <x v="3"/>
    <x v="2069"/>
    <x v="2"/>
    <x v="1"/>
    <x v="4"/>
    <s v="EMP_99"/>
    <d v="2024-10-10T12:36:00"/>
    <d v="2024-10-10T14:37:00"/>
    <n v="103"/>
    <n v="121"/>
    <n v="1"/>
    <x v="0"/>
    <x v="0"/>
    <n v="372.05"/>
    <n v="18"/>
    <n v="0.85123966942148765"/>
    <s v="Inefficient"/>
    <s v="Very Long"/>
    <s v="Minor Delay"/>
  </r>
  <r>
    <x v="2070"/>
    <x v="3"/>
    <x v="2070"/>
    <x v="4"/>
    <x v="1"/>
    <x v="1"/>
    <s v="EMP_39"/>
    <d v="2024-11-05T20:58:00"/>
    <d v="2024-11-06T01:42:00"/>
    <n v="172"/>
    <n v="284"/>
    <n v="1"/>
    <x v="2"/>
    <x v="4"/>
    <n v="416.26"/>
    <n v="112"/>
    <n v="0.60563380281690138"/>
    <s v="Inefficient"/>
    <s v="Very Long"/>
    <s v="Major Delay"/>
  </r>
  <r>
    <x v="2071"/>
    <x v="2"/>
    <x v="2071"/>
    <x v="0"/>
    <x v="3"/>
    <x v="0"/>
    <s v="EMP_34"/>
    <d v="2024-02-16T04:15:00"/>
    <d v="2024-02-16T08:46:00"/>
    <n v="176"/>
    <n v="271"/>
    <n v="1"/>
    <x v="2"/>
    <x v="5"/>
    <n v="367.07"/>
    <n v="95"/>
    <n v="0.64944649446494462"/>
    <s v="Inefficient"/>
    <s v="Very Long"/>
    <s v="Major Delay"/>
  </r>
  <r>
    <x v="2072"/>
    <x v="3"/>
    <x v="2072"/>
    <x v="4"/>
    <x v="0"/>
    <x v="3"/>
    <s v="EMP_35"/>
    <d v="2024-05-17T09:43:00"/>
    <d v="2024-05-17T12:13:00"/>
    <n v="82"/>
    <n v="150"/>
    <n v="1"/>
    <x v="1"/>
    <x v="5"/>
    <n v="268.55"/>
    <n v="68"/>
    <n v="0.54666666666666663"/>
    <s v="Inefficient"/>
    <s v="Very Long"/>
    <s v="Major Delay"/>
  </r>
  <r>
    <x v="2073"/>
    <x v="2"/>
    <x v="2073"/>
    <x v="1"/>
    <x v="2"/>
    <x v="4"/>
    <s v="EMP_130"/>
    <d v="2024-11-25T06:42:00"/>
    <d v="2024-11-25T09:01:00"/>
    <n v="107"/>
    <n v="139"/>
    <n v="1"/>
    <x v="0"/>
    <x v="1"/>
    <n v="438.45"/>
    <n v="32"/>
    <n v="0.76978417266187049"/>
    <s v="Inefficient"/>
    <s v="Very Long"/>
    <s v="Major Delay"/>
  </r>
  <r>
    <x v="2074"/>
    <x v="3"/>
    <x v="2074"/>
    <x v="2"/>
    <x v="3"/>
    <x v="0"/>
    <s v="EMP_15"/>
    <d v="2024-12-24T03:00:00"/>
    <d v="2024-12-24T06:12:00"/>
    <n v="165"/>
    <n v="192"/>
    <n v="1"/>
    <x v="0"/>
    <x v="0"/>
    <n v="445.7"/>
    <n v="27"/>
    <n v="0.859375"/>
    <s v="Inefficient"/>
    <s v="Very Long"/>
    <s v="Minor Delay"/>
  </r>
  <r>
    <x v="2075"/>
    <x v="1"/>
    <x v="2075"/>
    <x v="0"/>
    <x v="3"/>
    <x v="3"/>
    <s v="EMP_89"/>
    <d v="2024-08-04T17:48:00"/>
    <d v="2024-08-04T19:52:00"/>
    <n v="129"/>
    <n v="124"/>
    <n v="0"/>
    <x v="2"/>
    <x v="1"/>
    <n v="354.41"/>
    <n v="-5"/>
    <n v="1.0403225806451613"/>
    <s v="Efficient"/>
    <s v="Very Long"/>
    <s v="On Time"/>
  </r>
  <r>
    <x v="2076"/>
    <x v="3"/>
    <x v="2076"/>
    <x v="4"/>
    <x v="1"/>
    <x v="4"/>
    <s v="EMP_9"/>
    <d v="2024-10-01T08:32:00"/>
    <d v="2024-10-01T14:03:00"/>
    <n v="238"/>
    <n v="331"/>
    <n v="1"/>
    <x v="1"/>
    <x v="2"/>
    <n v="458.71"/>
    <n v="93"/>
    <n v="0.7190332326283988"/>
    <s v="Inefficient"/>
    <s v="Very Long"/>
    <s v="Major Delay"/>
  </r>
  <r>
    <x v="2077"/>
    <x v="0"/>
    <x v="2077"/>
    <x v="3"/>
    <x v="0"/>
    <x v="0"/>
    <s v="EMP_127"/>
    <d v="2024-02-13T18:05:00"/>
    <d v="2024-02-13T21:16:00"/>
    <n v="85"/>
    <n v="191"/>
    <n v="1"/>
    <x v="0"/>
    <x v="2"/>
    <n v="461.57"/>
    <n v="106"/>
    <n v="0.44502617801047123"/>
    <s v="Inefficient"/>
    <s v="Very Long"/>
    <s v="Major Delay"/>
  </r>
  <r>
    <x v="2078"/>
    <x v="4"/>
    <x v="2078"/>
    <x v="2"/>
    <x v="2"/>
    <x v="3"/>
    <s v="EMP_132"/>
    <d v="2024-02-02T04:01:00"/>
    <d v="2024-02-02T07:55:00"/>
    <n v="230"/>
    <n v="234"/>
    <n v="1"/>
    <x v="2"/>
    <x v="5"/>
    <n v="293.64999999999998"/>
    <n v="4"/>
    <n v="0.98290598290598286"/>
    <s v="Inefficient"/>
    <s v="Very Long"/>
    <s v="Minor Delay"/>
  </r>
  <r>
    <x v="2079"/>
    <x v="1"/>
    <x v="2079"/>
    <x v="0"/>
    <x v="1"/>
    <x v="2"/>
    <s v="EMP_135"/>
    <d v="2024-11-05T22:24:00"/>
    <d v="2024-11-05T22:59:00"/>
    <n v="10"/>
    <n v="35"/>
    <n v="1"/>
    <x v="0"/>
    <x v="6"/>
    <n v="432.62"/>
    <n v="25"/>
    <n v="0.2857142857142857"/>
    <s v="Inefficient"/>
    <s v="Medium"/>
    <s v="Minor Delay"/>
  </r>
  <r>
    <x v="2080"/>
    <x v="4"/>
    <x v="2080"/>
    <x v="3"/>
    <x v="0"/>
    <x v="4"/>
    <s v="EMP_93"/>
    <d v="2024-12-26T06:06:00"/>
    <d v="2024-12-26T11:13:00"/>
    <n v="191"/>
    <n v="307"/>
    <n v="1"/>
    <x v="2"/>
    <x v="1"/>
    <n v="103.65"/>
    <n v="116"/>
    <n v="0.62214983713355054"/>
    <s v="Inefficient"/>
    <s v="Very Long"/>
    <s v="Major Delay"/>
  </r>
  <r>
    <x v="2081"/>
    <x v="2"/>
    <x v="2081"/>
    <x v="2"/>
    <x v="1"/>
    <x v="4"/>
    <s v="EMP_111"/>
    <d v="2024-03-13T19:16:00"/>
    <d v="2024-03-13T21:45:00"/>
    <n v="101"/>
    <n v="149"/>
    <n v="1"/>
    <x v="2"/>
    <x v="5"/>
    <n v="241.07"/>
    <n v="48"/>
    <n v="0.67785234899328861"/>
    <s v="Inefficient"/>
    <s v="Very Long"/>
    <s v="Major Delay"/>
  </r>
  <r>
    <x v="2082"/>
    <x v="1"/>
    <x v="2082"/>
    <x v="1"/>
    <x v="0"/>
    <x v="4"/>
    <s v="EMP_28"/>
    <d v="2024-12-05T15:19:00"/>
    <d v="2024-12-05T20:01:00"/>
    <n v="237"/>
    <n v="282"/>
    <n v="1"/>
    <x v="0"/>
    <x v="1"/>
    <n v="167.05"/>
    <n v="45"/>
    <n v="0.84042553191489366"/>
    <s v="Inefficient"/>
    <s v="Very Long"/>
    <s v="Major Delay"/>
  </r>
  <r>
    <x v="2083"/>
    <x v="4"/>
    <x v="2083"/>
    <x v="1"/>
    <x v="1"/>
    <x v="1"/>
    <s v="EMP_77"/>
    <d v="2024-03-19T20:53:00"/>
    <d v="2024-03-20T00:28:00"/>
    <n v="207"/>
    <n v="215"/>
    <n v="1"/>
    <x v="1"/>
    <x v="7"/>
    <n v="107.72"/>
    <n v="8"/>
    <n v="0.96279069767441861"/>
    <s v="Inefficient"/>
    <s v="Very Long"/>
    <s v="Minor Delay"/>
  </r>
  <r>
    <x v="2084"/>
    <x v="4"/>
    <x v="2084"/>
    <x v="2"/>
    <x v="1"/>
    <x v="1"/>
    <s v="EMP_136"/>
    <d v="2024-03-04T01:45:00"/>
    <d v="2024-03-04T04:54:00"/>
    <n v="69"/>
    <n v="189"/>
    <n v="1"/>
    <x v="2"/>
    <x v="2"/>
    <n v="136.96"/>
    <n v="120"/>
    <n v="0.36507936507936506"/>
    <s v="Inefficient"/>
    <s v="Very Long"/>
    <s v="Major Delay"/>
  </r>
  <r>
    <x v="2085"/>
    <x v="0"/>
    <x v="2085"/>
    <x v="2"/>
    <x v="3"/>
    <x v="3"/>
    <s v="EMP_107"/>
    <d v="2024-06-25T13:08:00"/>
    <d v="2024-06-25T16:20:00"/>
    <n v="172"/>
    <n v="192"/>
    <n v="1"/>
    <x v="2"/>
    <x v="4"/>
    <n v="116.8"/>
    <n v="20"/>
    <n v="0.89583333333333337"/>
    <s v="Inefficient"/>
    <s v="Very Long"/>
    <s v="Minor Delay"/>
  </r>
  <r>
    <x v="2086"/>
    <x v="3"/>
    <x v="2086"/>
    <x v="2"/>
    <x v="2"/>
    <x v="3"/>
    <s v="EMP_54"/>
    <d v="2024-12-03T11:22:00"/>
    <d v="2024-12-03T12:27:00"/>
    <n v="67"/>
    <n v="65"/>
    <n v="0"/>
    <x v="1"/>
    <x v="1"/>
    <n v="432.07"/>
    <n v="-2"/>
    <n v="1.0307692307692307"/>
    <s v="Efficient"/>
    <s v="Long"/>
    <s v="On Time"/>
  </r>
  <r>
    <x v="2087"/>
    <x v="2"/>
    <x v="2087"/>
    <x v="0"/>
    <x v="0"/>
    <x v="0"/>
    <s v="EMP_149"/>
    <d v="2024-01-25T00:21:00"/>
    <d v="2024-01-25T05:47:00"/>
    <n v="227"/>
    <n v="326"/>
    <n v="1"/>
    <x v="1"/>
    <x v="7"/>
    <n v="146.9"/>
    <n v="99"/>
    <n v="0.69631901840490795"/>
    <s v="Inefficient"/>
    <s v="Very Long"/>
    <s v="Major Delay"/>
  </r>
  <r>
    <x v="2088"/>
    <x v="0"/>
    <x v="2088"/>
    <x v="1"/>
    <x v="1"/>
    <x v="2"/>
    <s v="EMP_92"/>
    <d v="2024-12-18T03:19:00"/>
    <d v="2024-12-18T06:32:00"/>
    <n v="111"/>
    <n v="193"/>
    <n v="1"/>
    <x v="0"/>
    <x v="2"/>
    <n v="294.23"/>
    <n v="82"/>
    <n v="0.57512953367875652"/>
    <s v="Inefficient"/>
    <s v="Very Long"/>
    <s v="Major Delay"/>
  </r>
  <r>
    <x v="2089"/>
    <x v="3"/>
    <x v="2089"/>
    <x v="0"/>
    <x v="1"/>
    <x v="4"/>
    <s v="EMP_121"/>
    <d v="2024-05-13T12:36:00"/>
    <d v="2024-05-13T16:17:00"/>
    <n v="192"/>
    <n v="221"/>
    <n v="1"/>
    <x v="0"/>
    <x v="3"/>
    <n v="466.28"/>
    <n v="29"/>
    <n v="0.86877828054298645"/>
    <s v="Inefficient"/>
    <s v="Very Long"/>
    <s v="Minor Delay"/>
  </r>
  <r>
    <x v="2090"/>
    <x v="2"/>
    <x v="2090"/>
    <x v="3"/>
    <x v="2"/>
    <x v="1"/>
    <s v="EMP_57"/>
    <d v="2024-05-20T16:53:00"/>
    <d v="2024-05-20T19:59:00"/>
    <n v="169"/>
    <n v="186"/>
    <n v="1"/>
    <x v="0"/>
    <x v="7"/>
    <n v="368.37"/>
    <n v="17"/>
    <n v="0.90860215053763438"/>
    <s v="Inefficient"/>
    <s v="Very Long"/>
    <s v="Minor Delay"/>
  </r>
  <r>
    <x v="2091"/>
    <x v="3"/>
    <x v="2091"/>
    <x v="1"/>
    <x v="1"/>
    <x v="4"/>
    <s v="EMP_105"/>
    <d v="2024-12-28T13:50:00"/>
    <d v="2024-12-28T16:34:00"/>
    <n v="129"/>
    <n v="164"/>
    <n v="1"/>
    <x v="1"/>
    <x v="9"/>
    <n v="470.39"/>
    <n v="35"/>
    <n v="0.78658536585365857"/>
    <s v="Inefficient"/>
    <s v="Very Long"/>
    <s v="Major Delay"/>
  </r>
  <r>
    <x v="2092"/>
    <x v="4"/>
    <x v="2092"/>
    <x v="1"/>
    <x v="3"/>
    <x v="3"/>
    <s v="EMP_141"/>
    <d v="2024-11-15T20:35:00"/>
    <d v="2024-11-16T00:41:00"/>
    <n v="221"/>
    <n v="246"/>
    <n v="1"/>
    <x v="1"/>
    <x v="9"/>
    <n v="489.59"/>
    <n v="25"/>
    <n v="0.89837398373983735"/>
    <s v="Inefficient"/>
    <s v="Very Long"/>
    <s v="Minor Delay"/>
  </r>
  <r>
    <x v="2093"/>
    <x v="3"/>
    <x v="2093"/>
    <x v="3"/>
    <x v="2"/>
    <x v="4"/>
    <s v="EMP_147"/>
    <d v="2024-10-27T02:13:00"/>
    <d v="2024-10-27T06:51:00"/>
    <n v="170"/>
    <n v="278"/>
    <n v="1"/>
    <x v="1"/>
    <x v="0"/>
    <n v="453.1"/>
    <n v="108"/>
    <n v="0.61151079136690645"/>
    <s v="Inefficient"/>
    <s v="Very Long"/>
    <s v="Major Delay"/>
  </r>
  <r>
    <x v="2094"/>
    <x v="3"/>
    <x v="2094"/>
    <x v="0"/>
    <x v="0"/>
    <x v="0"/>
    <s v="EMP_132"/>
    <d v="2024-06-01T15:06:00"/>
    <d v="2024-06-01T17:29:00"/>
    <n v="114"/>
    <n v="143"/>
    <n v="1"/>
    <x v="2"/>
    <x v="8"/>
    <n v="347.29"/>
    <n v="29"/>
    <n v="0.79720279720279719"/>
    <s v="Inefficient"/>
    <s v="Very Long"/>
    <s v="Minor Delay"/>
  </r>
  <r>
    <x v="2095"/>
    <x v="2"/>
    <x v="2095"/>
    <x v="3"/>
    <x v="1"/>
    <x v="0"/>
    <s v="EMP_121"/>
    <d v="2024-07-22T08:38:00"/>
    <d v="2024-07-22T11:00:00"/>
    <n v="47"/>
    <n v="142"/>
    <n v="1"/>
    <x v="2"/>
    <x v="7"/>
    <n v="139.51"/>
    <n v="95"/>
    <n v="0.33098591549295775"/>
    <s v="Inefficient"/>
    <s v="Very Long"/>
    <s v="Major Delay"/>
  </r>
  <r>
    <x v="2096"/>
    <x v="4"/>
    <x v="2096"/>
    <x v="0"/>
    <x v="3"/>
    <x v="4"/>
    <s v="EMP_8"/>
    <d v="2024-07-03T07:52:00"/>
    <d v="2024-07-03T09:38:00"/>
    <n v="47"/>
    <n v="106"/>
    <n v="1"/>
    <x v="2"/>
    <x v="2"/>
    <n v="466.3"/>
    <n v="59"/>
    <n v="0.44339622641509435"/>
    <s v="Inefficient"/>
    <s v="Long"/>
    <s v="Major Delay"/>
  </r>
  <r>
    <x v="2097"/>
    <x v="4"/>
    <x v="2097"/>
    <x v="0"/>
    <x v="3"/>
    <x v="4"/>
    <s v="EMP_59"/>
    <d v="2024-12-30T08:08:00"/>
    <d v="2024-12-30T11:13:00"/>
    <n v="100"/>
    <n v="185"/>
    <n v="1"/>
    <x v="2"/>
    <x v="2"/>
    <n v="60.92"/>
    <n v="85"/>
    <n v="0.54054054054054057"/>
    <s v="Inefficient"/>
    <s v="Very Long"/>
    <s v="Major Delay"/>
  </r>
  <r>
    <x v="2098"/>
    <x v="0"/>
    <x v="2098"/>
    <x v="0"/>
    <x v="3"/>
    <x v="4"/>
    <s v="EMP_133"/>
    <d v="2024-04-10T10:53:00"/>
    <d v="2024-04-10T12:36:00"/>
    <n v="81"/>
    <n v="103"/>
    <n v="1"/>
    <x v="1"/>
    <x v="0"/>
    <n v="212.6"/>
    <n v="22"/>
    <n v="0.78640776699029125"/>
    <s v="Inefficient"/>
    <s v="Long"/>
    <s v="Minor Delay"/>
  </r>
  <r>
    <x v="2099"/>
    <x v="4"/>
    <x v="2099"/>
    <x v="0"/>
    <x v="1"/>
    <x v="4"/>
    <s v="EMP_93"/>
    <d v="2024-06-28T22:27:00"/>
    <d v="2024-06-29T02:17:00"/>
    <n v="133"/>
    <n v="230"/>
    <n v="1"/>
    <x v="0"/>
    <x v="9"/>
    <n v="455.38"/>
    <n v="97"/>
    <n v="0.57826086956521738"/>
    <s v="Inefficient"/>
    <s v="Very Long"/>
    <s v="Major Delay"/>
  </r>
  <r>
    <x v="2100"/>
    <x v="2"/>
    <x v="2100"/>
    <x v="0"/>
    <x v="2"/>
    <x v="2"/>
    <s v="EMP_21"/>
    <d v="2024-02-11T03:40:00"/>
    <d v="2024-02-11T05:39:00"/>
    <n v="11"/>
    <n v="119"/>
    <n v="1"/>
    <x v="1"/>
    <x v="2"/>
    <n v="484.91"/>
    <n v="108"/>
    <n v="9.2436974789915971E-2"/>
    <s v="Inefficient"/>
    <s v="Long"/>
    <s v="Major Delay"/>
  </r>
  <r>
    <x v="2101"/>
    <x v="0"/>
    <x v="2101"/>
    <x v="2"/>
    <x v="3"/>
    <x v="4"/>
    <s v="EMP_58"/>
    <d v="2024-03-06T14:28:00"/>
    <d v="2024-03-06T15:35:00"/>
    <n v="21"/>
    <n v="67"/>
    <n v="1"/>
    <x v="0"/>
    <x v="8"/>
    <n v="487.08"/>
    <n v="46"/>
    <n v="0.31343283582089554"/>
    <s v="Inefficient"/>
    <s v="Long"/>
    <s v="Major Delay"/>
  </r>
  <r>
    <x v="2102"/>
    <x v="1"/>
    <x v="2102"/>
    <x v="0"/>
    <x v="3"/>
    <x v="1"/>
    <s v="EMP_24"/>
    <d v="2024-07-09T05:00:00"/>
    <d v="2024-07-09T08:06:00"/>
    <n v="84"/>
    <n v="186"/>
    <n v="1"/>
    <x v="0"/>
    <x v="2"/>
    <n v="237.48"/>
    <n v="102"/>
    <n v="0.45161290322580644"/>
    <s v="Inefficient"/>
    <s v="Very Long"/>
    <s v="Major Delay"/>
  </r>
  <r>
    <x v="2103"/>
    <x v="1"/>
    <x v="2103"/>
    <x v="3"/>
    <x v="3"/>
    <x v="1"/>
    <s v="EMP_45"/>
    <d v="2024-06-08T12:37:00"/>
    <d v="2024-06-08T16:13:00"/>
    <n v="194"/>
    <n v="216"/>
    <n v="1"/>
    <x v="0"/>
    <x v="4"/>
    <n v="84.74"/>
    <n v="22"/>
    <n v="0.89814814814814814"/>
    <s v="Inefficient"/>
    <s v="Very Long"/>
    <s v="Minor Delay"/>
  </r>
  <r>
    <x v="2104"/>
    <x v="3"/>
    <x v="2104"/>
    <x v="0"/>
    <x v="2"/>
    <x v="3"/>
    <s v="EMP_27"/>
    <d v="2024-04-14T04:48:00"/>
    <d v="2024-04-14T06:50:00"/>
    <n v="35"/>
    <n v="122"/>
    <n v="1"/>
    <x v="1"/>
    <x v="0"/>
    <n v="277.5"/>
    <n v="87"/>
    <n v="0.28688524590163933"/>
    <s v="Inefficient"/>
    <s v="Very Long"/>
    <s v="Major Delay"/>
  </r>
  <r>
    <x v="2105"/>
    <x v="4"/>
    <x v="2105"/>
    <x v="0"/>
    <x v="1"/>
    <x v="3"/>
    <s v="EMP_75"/>
    <d v="2024-01-11T18:50:00"/>
    <d v="2024-01-11T20:45:00"/>
    <n v="90"/>
    <n v="115"/>
    <n v="1"/>
    <x v="2"/>
    <x v="8"/>
    <n v="268.89"/>
    <n v="25"/>
    <n v="0.78260869565217395"/>
    <s v="Inefficient"/>
    <s v="Long"/>
    <s v="Minor Delay"/>
  </r>
  <r>
    <x v="2106"/>
    <x v="0"/>
    <x v="2106"/>
    <x v="1"/>
    <x v="0"/>
    <x v="0"/>
    <s v="EMP_78"/>
    <d v="2024-05-20T17:19:00"/>
    <d v="2024-05-20T18:20:00"/>
    <n v="23"/>
    <n v="61"/>
    <n v="1"/>
    <x v="2"/>
    <x v="7"/>
    <n v="347.07"/>
    <n v="38"/>
    <n v="0.37704918032786883"/>
    <s v="Inefficient"/>
    <s v="Long"/>
    <s v="Major Delay"/>
  </r>
  <r>
    <x v="2107"/>
    <x v="0"/>
    <x v="2107"/>
    <x v="4"/>
    <x v="1"/>
    <x v="4"/>
    <s v="EMP_45"/>
    <d v="2024-09-21T04:02:00"/>
    <d v="2024-09-21T06:57:00"/>
    <n v="80"/>
    <n v="175"/>
    <n v="1"/>
    <x v="0"/>
    <x v="2"/>
    <n v="407.38"/>
    <n v="95"/>
    <n v="0.45714285714285713"/>
    <s v="Inefficient"/>
    <s v="Very Long"/>
    <s v="Major Delay"/>
  </r>
  <r>
    <x v="2108"/>
    <x v="3"/>
    <x v="2108"/>
    <x v="0"/>
    <x v="3"/>
    <x v="2"/>
    <s v="EMP_101"/>
    <d v="2024-10-03T12:30:00"/>
    <d v="2024-10-03T17:02:00"/>
    <n v="227"/>
    <n v="272"/>
    <n v="1"/>
    <x v="1"/>
    <x v="3"/>
    <n v="408.6"/>
    <n v="45"/>
    <n v="0.8345588235294118"/>
    <s v="Inefficient"/>
    <s v="Very Long"/>
    <s v="Major Delay"/>
  </r>
  <r>
    <x v="2109"/>
    <x v="0"/>
    <x v="2109"/>
    <x v="4"/>
    <x v="3"/>
    <x v="4"/>
    <s v="EMP_29"/>
    <d v="2024-01-05T12:11:00"/>
    <d v="2024-01-05T14:05:00"/>
    <n v="48"/>
    <n v="114"/>
    <n v="1"/>
    <x v="2"/>
    <x v="0"/>
    <n v="496.29"/>
    <n v="66"/>
    <n v="0.42105263157894735"/>
    <s v="Inefficient"/>
    <s v="Long"/>
    <s v="Major Delay"/>
  </r>
  <r>
    <x v="2110"/>
    <x v="1"/>
    <x v="2110"/>
    <x v="0"/>
    <x v="3"/>
    <x v="2"/>
    <s v="EMP_4"/>
    <d v="2024-08-19T17:09:00"/>
    <d v="2024-08-19T18:52:00"/>
    <n v="49"/>
    <n v="103"/>
    <n v="1"/>
    <x v="2"/>
    <x v="4"/>
    <n v="124.37"/>
    <n v="54"/>
    <n v="0.47572815533980584"/>
    <s v="Inefficient"/>
    <s v="Long"/>
    <s v="Major Delay"/>
  </r>
  <r>
    <x v="2111"/>
    <x v="3"/>
    <x v="2111"/>
    <x v="2"/>
    <x v="2"/>
    <x v="4"/>
    <s v="EMP_84"/>
    <d v="2024-10-28T08:53:00"/>
    <d v="2024-10-28T11:11:00"/>
    <n v="112"/>
    <n v="138"/>
    <n v="1"/>
    <x v="2"/>
    <x v="2"/>
    <n v="453.16"/>
    <n v="26"/>
    <n v="0.81159420289855078"/>
    <s v="Inefficient"/>
    <s v="Very Long"/>
    <s v="Minor Delay"/>
  </r>
  <r>
    <x v="2112"/>
    <x v="2"/>
    <x v="2112"/>
    <x v="4"/>
    <x v="3"/>
    <x v="3"/>
    <s v="EMP_75"/>
    <d v="2024-02-18T12:57:00"/>
    <d v="2024-02-18T15:24:00"/>
    <n v="58"/>
    <n v="147"/>
    <n v="1"/>
    <x v="2"/>
    <x v="6"/>
    <n v="482.08"/>
    <n v="89"/>
    <n v="0.39455782312925169"/>
    <s v="Inefficient"/>
    <s v="Very Long"/>
    <s v="Major Delay"/>
  </r>
  <r>
    <x v="2113"/>
    <x v="1"/>
    <x v="2113"/>
    <x v="0"/>
    <x v="2"/>
    <x v="2"/>
    <s v="EMP_66"/>
    <d v="2024-09-08T18:04:00"/>
    <d v="2024-09-08T20:46:00"/>
    <n v="83"/>
    <n v="162"/>
    <n v="1"/>
    <x v="0"/>
    <x v="0"/>
    <n v="92.87"/>
    <n v="79"/>
    <n v="0.51234567901234573"/>
    <s v="Inefficient"/>
    <s v="Very Long"/>
    <s v="Major Delay"/>
  </r>
  <r>
    <x v="2114"/>
    <x v="1"/>
    <x v="2114"/>
    <x v="2"/>
    <x v="1"/>
    <x v="2"/>
    <s v="EMP_67"/>
    <d v="2024-04-19T12:40:00"/>
    <d v="2024-04-19T13:55:00"/>
    <n v="39"/>
    <n v="75"/>
    <n v="1"/>
    <x v="0"/>
    <x v="4"/>
    <n v="253.54"/>
    <n v="36"/>
    <n v="0.52"/>
    <s v="Inefficient"/>
    <s v="Long"/>
    <s v="Major Delay"/>
  </r>
  <r>
    <x v="2115"/>
    <x v="0"/>
    <x v="2115"/>
    <x v="0"/>
    <x v="2"/>
    <x v="4"/>
    <s v="EMP_143"/>
    <d v="2024-12-28T14:13:00"/>
    <d v="2024-12-28T18:48:00"/>
    <n v="171"/>
    <n v="275"/>
    <n v="1"/>
    <x v="0"/>
    <x v="3"/>
    <n v="289.24"/>
    <n v="104"/>
    <n v="0.62181818181818183"/>
    <s v="Inefficient"/>
    <s v="Very Long"/>
    <s v="Major Delay"/>
  </r>
  <r>
    <x v="2116"/>
    <x v="1"/>
    <x v="2116"/>
    <x v="3"/>
    <x v="2"/>
    <x v="2"/>
    <s v="EMP_61"/>
    <d v="2024-07-15T04:32:00"/>
    <d v="2024-07-15T06:44:00"/>
    <n v="93"/>
    <n v="132"/>
    <n v="1"/>
    <x v="0"/>
    <x v="1"/>
    <n v="145.13"/>
    <n v="39"/>
    <n v="0.70454545454545459"/>
    <s v="Inefficient"/>
    <s v="Very Long"/>
    <s v="Major Delay"/>
  </r>
  <r>
    <x v="2117"/>
    <x v="0"/>
    <x v="2117"/>
    <x v="4"/>
    <x v="3"/>
    <x v="3"/>
    <s v="EMP_67"/>
    <d v="2024-10-02T22:32:00"/>
    <d v="2024-10-03T03:40:00"/>
    <n v="200"/>
    <n v="308"/>
    <n v="1"/>
    <x v="1"/>
    <x v="7"/>
    <n v="135.30000000000001"/>
    <n v="108"/>
    <n v="0.64935064935064934"/>
    <s v="Inefficient"/>
    <s v="Very Long"/>
    <s v="Major Delay"/>
  </r>
  <r>
    <x v="2118"/>
    <x v="1"/>
    <x v="2118"/>
    <x v="0"/>
    <x v="2"/>
    <x v="0"/>
    <s v="EMP_139"/>
    <d v="2024-04-19T01:11:00"/>
    <d v="2024-04-19T03:15:00"/>
    <n v="126"/>
    <n v="124"/>
    <n v="0"/>
    <x v="2"/>
    <x v="2"/>
    <n v="451.29"/>
    <n v="-2"/>
    <n v="1.0161290322580645"/>
    <s v="Efficient"/>
    <s v="Very Long"/>
    <s v="On Time"/>
  </r>
  <r>
    <x v="2119"/>
    <x v="3"/>
    <x v="2119"/>
    <x v="1"/>
    <x v="0"/>
    <x v="2"/>
    <s v="EMP_132"/>
    <d v="2024-07-06T04:49:00"/>
    <d v="2024-07-06T06:38:00"/>
    <n v="33"/>
    <n v="109"/>
    <n v="1"/>
    <x v="2"/>
    <x v="4"/>
    <n v="375.93"/>
    <n v="76"/>
    <n v="0.30275229357798167"/>
    <s v="Inefficient"/>
    <s v="Long"/>
    <s v="Major Delay"/>
  </r>
  <r>
    <x v="2120"/>
    <x v="1"/>
    <x v="2120"/>
    <x v="3"/>
    <x v="0"/>
    <x v="0"/>
    <s v="EMP_36"/>
    <d v="2024-10-18T06:16:00"/>
    <d v="2024-10-18T11:18:00"/>
    <n v="229"/>
    <n v="302"/>
    <n v="1"/>
    <x v="1"/>
    <x v="4"/>
    <n v="66.459999999999994"/>
    <n v="73"/>
    <n v="0.75827814569536423"/>
    <s v="Inefficient"/>
    <s v="Very Long"/>
    <s v="Major Delay"/>
  </r>
  <r>
    <x v="2121"/>
    <x v="2"/>
    <x v="2121"/>
    <x v="3"/>
    <x v="1"/>
    <x v="3"/>
    <s v="EMP_26"/>
    <d v="2024-03-27T21:18:00"/>
    <d v="2024-03-28T01:20:00"/>
    <n v="195"/>
    <n v="242"/>
    <n v="1"/>
    <x v="0"/>
    <x v="3"/>
    <n v="327.26"/>
    <n v="47"/>
    <n v="0.80578512396694213"/>
    <s v="Inefficient"/>
    <s v="Very Long"/>
    <s v="Major Delay"/>
  </r>
  <r>
    <x v="2122"/>
    <x v="2"/>
    <x v="2122"/>
    <x v="3"/>
    <x v="1"/>
    <x v="2"/>
    <s v="EMP_33"/>
    <d v="2024-12-04T14:14:00"/>
    <d v="2024-12-04T17:20:00"/>
    <n v="169"/>
    <n v="186"/>
    <n v="1"/>
    <x v="1"/>
    <x v="1"/>
    <n v="419.57"/>
    <n v="17"/>
    <n v="0.90860215053763438"/>
    <s v="Inefficient"/>
    <s v="Very Long"/>
    <s v="Minor Delay"/>
  </r>
  <r>
    <x v="2123"/>
    <x v="2"/>
    <x v="2123"/>
    <x v="2"/>
    <x v="1"/>
    <x v="0"/>
    <s v="EMP_105"/>
    <d v="2024-11-05T17:16:00"/>
    <d v="2024-11-05T20:03:00"/>
    <n v="116"/>
    <n v="167"/>
    <n v="1"/>
    <x v="0"/>
    <x v="4"/>
    <n v="421.25"/>
    <n v="51"/>
    <n v="0.69461077844311381"/>
    <s v="Inefficient"/>
    <s v="Very Long"/>
    <s v="Major Delay"/>
  </r>
  <r>
    <x v="2124"/>
    <x v="1"/>
    <x v="2124"/>
    <x v="1"/>
    <x v="0"/>
    <x v="4"/>
    <s v="EMP_82"/>
    <d v="2024-09-13T19:34:00"/>
    <d v="2024-09-13T22:07:00"/>
    <n v="50"/>
    <n v="153"/>
    <n v="1"/>
    <x v="0"/>
    <x v="2"/>
    <n v="355"/>
    <n v="103"/>
    <n v="0.32679738562091504"/>
    <s v="Inefficient"/>
    <s v="Very Long"/>
    <s v="Major Delay"/>
  </r>
  <r>
    <x v="2125"/>
    <x v="4"/>
    <x v="2125"/>
    <x v="3"/>
    <x v="2"/>
    <x v="0"/>
    <s v="EMP_78"/>
    <d v="2024-10-03T09:00:00"/>
    <d v="2024-10-03T11:26:00"/>
    <n v="148"/>
    <n v="146"/>
    <n v="0"/>
    <x v="2"/>
    <x v="1"/>
    <n v="460.96"/>
    <n v="-2"/>
    <n v="1.0136986301369864"/>
    <s v="Efficient"/>
    <s v="Very Long"/>
    <s v="On Time"/>
  </r>
  <r>
    <x v="2126"/>
    <x v="3"/>
    <x v="2126"/>
    <x v="1"/>
    <x v="0"/>
    <x v="2"/>
    <s v="EMP_81"/>
    <d v="2024-02-22T05:54:00"/>
    <d v="2024-02-22T07:58:00"/>
    <n v="76"/>
    <n v="124"/>
    <n v="1"/>
    <x v="0"/>
    <x v="4"/>
    <n v="75.39"/>
    <n v="48"/>
    <n v="0.61290322580645162"/>
    <s v="Inefficient"/>
    <s v="Very Long"/>
    <s v="Major Delay"/>
  </r>
  <r>
    <x v="2127"/>
    <x v="0"/>
    <x v="2127"/>
    <x v="1"/>
    <x v="2"/>
    <x v="1"/>
    <s v="EMP_128"/>
    <d v="2024-03-06T21:29:00"/>
    <d v="2024-03-07T01:17:00"/>
    <n v="232"/>
    <n v="228"/>
    <n v="0"/>
    <x v="1"/>
    <x v="5"/>
    <n v="470.43"/>
    <n v="-4"/>
    <n v="1.0175438596491229"/>
    <s v="Efficient"/>
    <s v="Very Long"/>
    <s v="On Time"/>
  </r>
  <r>
    <x v="2128"/>
    <x v="4"/>
    <x v="2128"/>
    <x v="1"/>
    <x v="2"/>
    <x v="2"/>
    <s v="EMP_30"/>
    <d v="2024-12-03T01:27:00"/>
    <d v="2024-12-03T02:58:00"/>
    <n v="42"/>
    <n v="91"/>
    <n v="1"/>
    <x v="2"/>
    <x v="0"/>
    <n v="333.43"/>
    <n v="49"/>
    <n v="0.46153846153846156"/>
    <s v="Inefficient"/>
    <s v="Long"/>
    <s v="Major Delay"/>
  </r>
  <r>
    <x v="2129"/>
    <x v="2"/>
    <x v="2129"/>
    <x v="2"/>
    <x v="3"/>
    <x v="2"/>
    <s v="EMP_131"/>
    <d v="2024-03-26T08:24:00"/>
    <d v="2024-03-26T11:23:00"/>
    <n v="118"/>
    <n v="179"/>
    <n v="1"/>
    <x v="0"/>
    <x v="7"/>
    <n v="180.43"/>
    <n v="61"/>
    <n v="0.65921787709497204"/>
    <s v="Inefficient"/>
    <s v="Very Long"/>
    <s v="Major Delay"/>
  </r>
  <r>
    <x v="2130"/>
    <x v="2"/>
    <x v="2130"/>
    <x v="2"/>
    <x v="1"/>
    <x v="3"/>
    <s v="EMP_84"/>
    <d v="2024-10-01T20:11:00"/>
    <d v="2024-10-01T23:28:00"/>
    <n v="194"/>
    <n v="197"/>
    <n v="1"/>
    <x v="2"/>
    <x v="0"/>
    <n v="344.87"/>
    <n v="3"/>
    <n v="0.98477157360406087"/>
    <s v="Inefficient"/>
    <s v="Very Long"/>
    <s v="Minor Delay"/>
  </r>
  <r>
    <x v="2131"/>
    <x v="2"/>
    <x v="2131"/>
    <x v="3"/>
    <x v="3"/>
    <x v="4"/>
    <s v="EMP_94"/>
    <d v="2024-12-29T17:27:00"/>
    <d v="2024-12-29T19:12:00"/>
    <n v="34"/>
    <n v="105"/>
    <n v="1"/>
    <x v="2"/>
    <x v="0"/>
    <n v="482.55"/>
    <n v="71"/>
    <n v="0.32380952380952382"/>
    <s v="Inefficient"/>
    <s v="Long"/>
    <s v="Major Delay"/>
  </r>
  <r>
    <x v="2132"/>
    <x v="2"/>
    <x v="2132"/>
    <x v="2"/>
    <x v="3"/>
    <x v="2"/>
    <s v="EMP_35"/>
    <d v="2024-03-04T11:20:00"/>
    <d v="2024-03-04T15:30:00"/>
    <n v="176"/>
    <n v="250"/>
    <n v="1"/>
    <x v="1"/>
    <x v="2"/>
    <n v="113.96"/>
    <n v="74"/>
    <n v="0.70399999999999996"/>
    <s v="Inefficient"/>
    <s v="Very Long"/>
    <s v="Major Delay"/>
  </r>
  <r>
    <x v="2133"/>
    <x v="3"/>
    <x v="2133"/>
    <x v="0"/>
    <x v="1"/>
    <x v="2"/>
    <s v="EMP_138"/>
    <d v="2024-09-24T08:10:00"/>
    <d v="2024-09-24T10:01:00"/>
    <n v="19"/>
    <n v="111"/>
    <n v="1"/>
    <x v="2"/>
    <x v="0"/>
    <n v="294.05"/>
    <n v="92"/>
    <n v="0.17117117117117117"/>
    <s v="Inefficient"/>
    <s v="Long"/>
    <s v="Major Delay"/>
  </r>
  <r>
    <x v="2134"/>
    <x v="2"/>
    <x v="2134"/>
    <x v="1"/>
    <x v="2"/>
    <x v="2"/>
    <s v="EMP_115"/>
    <d v="2024-03-23T22:11:00"/>
    <d v="2024-03-24T02:43:00"/>
    <n v="196"/>
    <n v="272"/>
    <n v="1"/>
    <x v="2"/>
    <x v="1"/>
    <n v="71.91"/>
    <n v="76"/>
    <n v="0.72058823529411764"/>
    <s v="Inefficient"/>
    <s v="Very Long"/>
    <s v="Major Delay"/>
  </r>
  <r>
    <x v="2135"/>
    <x v="1"/>
    <x v="2135"/>
    <x v="4"/>
    <x v="2"/>
    <x v="4"/>
    <s v="EMP_33"/>
    <d v="2024-06-17T05:20:00"/>
    <d v="2024-06-17T06:03:00"/>
    <n v="43"/>
    <n v="43"/>
    <n v="0"/>
    <x v="0"/>
    <x v="0"/>
    <n v="120.37"/>
    <n v="0"/>
    <n v="1"/>
    <s v="On Target"/>
    <s v="Medium"/>
    <s v="On Time"/>
  </r>
  <r>
    <x v="2136"/>
    <x v="2"/>
    <x v="2136"/>
    <x v="1"/>
    <x v="0"/>
    <x v="1"/>
    <s v="EMP_129"/>
    <d v="2024-08-04T22:32:00"/>
    <d v="2024-08-05T03:36:00"/>
    <n v="196"/>
    <n v="304"/>
    <n v="1"/>
    <x v="1"/>
    <x v="3"/>
    <n v="424.91"/>
    <n v="108"/>
    <n v="0.64473684210526316"/>
    <s v="Inefficient"/>
    <s v="Very Long"/>
    <s v="Major Delay"/>
  </r>
  <r>
    <x v="2137"/>
    <x v="2"/>
    <x v="2137"/>
    <x v="0"/>
    <x v="2"/>
    <x v="2"/>
    <s v="EMP_35"/>
    <d v="2024-07-14T15:10:00"/>
    <d v="2024-07-14T17:06:00"/>
    <n v="29"/>
    <n v="116"/>
    <n v="1"/>
    <x v="0"/>
    <x v="0"/>
    <n v="350.72"/>
    <n v="87"/>
    <n v="0.25"/>
    <s v="Inefficient"/>
    <s v="Long"/>
    <s v="Major Delay"/>
  </r>
  <r>
    <x v="2138"/>
    <x v="2"/>
    <x v="2138"/>
    <x v="0"/>
    <x v="2"/>
    <x v="3"/>
    <s v="EMP_82"/>
    <d v="2024-02-08T13:24:00"/>
    <d v="2024-02-08T15:22:00"/>
    <n v="101"/>
    <n v="118"/>
    <n v="1"/>
    <x v="2"/>
    <x v="7"/>
    <n v="240.33"/>
    <n v="17"/>
    <n v="0.85593220338983056"/>
    <s v="Inefficient"/>
    <s v="Long"/>
    <s v="Minor Delay"/>
  </r>
  <r>
    <x v="2139"/>
    <x v="0"/>
    <x v="2139"/>
    <x v="1"/>
    <x v="1"/>
    <x v="2"/>
    <s v="EMP_5"/>
    <d v="2024-02-17T06:49:00"/>
    <d v="2024-02-17T08:40:00"/>
    <n v="112"/>
    <n v="111"/>
    <n v="0"/>
    <x v="2"/>
    <x v="4"/>
    <n v="362.88"/>
    <n v="-1"/>
    <n v="1.0090090090090089"/>
    <s v="Efficient"/>
    <s v="Long"/>
    <s v="On Time"/>
  </r>
  <r>
    <x v="2140"/>
    <x v="3"/>
    <x v="2140"/>
    <x v="3"/>
    <x v="2"/>
    <x v="0"/>
    <s v="EMP_89"/>
    <d v="2024-06-22T21:16:00"/>
    <d v="2024-06-22T22:34:00"/>
    <n v="28"/>
    <n v="78"/>
    <n v="1"/>
    <x v="2"/>
    <x v="9"/>
    <n v="488.7"/>
    <n v="50"/>
    <n v="0.35897435897435898"/>
    <s v="Inefficient"/>
    <s v="Long"/>
    <s v="Major Delay"/>
  </r>
  <r>
    <x v="2141"/>
    <x v="2"/>
    <x v="2141"/>
    <x v="3"/>
    <x v="2"/>
    <x v="0"/>
    <s v="EMP_73"/>
    <d v="2024-11-22T20:45:00"/>
    <d v="2024-11-22T23:54:00"/>
    <n v="143"/>
    <n v="189"/>
    <n v="1"/>
    <x v="0"/>
    <x v="1"/>
    <n v="268.63"/>
    <n v="46"/>
    <n v="0.75661375661375663"/>
    <s v="Inefficient"/>
    <s v="Very Long"/>
    <s v="Major Delay"/>
  </r>
  <r>
    <x v="2142"/>
    <x v="0"/>
    <x v="2142"/>
    <x v="1"/>
    <x v="3"/>
    <x v="4"/>
    <s v="EMP_92"/>
    <d v="2024-10-12T03:41:00"/>
    <d v="2024-10-12T05:16:00"/>
    <n v="93"/>
    <n v="95"/>
    <n v="1"/>
    <x v="2"/>
    <x v="2"/>
    <n v="406.97"/>
    <n v="2"/>
    <n v="0.97894736842105268"/>
    <s v="Inefficient"/>
    <s v="Long"/>
    <s v="Minor Delay"/>
  </r>
  <r>
    <x v="2143"/>
    <x v="1"/>
    <x v="2143"/>
    <x v="0"/>
    <x v="3"/>
    <x v="3"/>
    <s v="EMP_74"/>
    <d v="2024-06-03T04:14:00"/>
    <d v="2024-06-03T05:01:00"/>
    <n v="41"/>
    <n v="47"/>
    <n v="1"/>
    <x v="1"/>
    <x v="8"/>
    <n v="67.03"/>
    <n v="6"/>
    <n v="0.87234042553191493"/>
    <s v="Inefficient"/>
    <s v="Medium"/>
    <s v="Minor Delay"/>
  </r>
  <r>
    <x v="2144"/>
    <x v="4"/>
    <x v="2144"/>
    <x v="3"/>
    <x v="2"/>
    <x v="2"/>
    <s v="EMP_141"/>
    <d v="2024-08-09T00:08:00"/>
    <d v="2024-08-09T04:12:00"/>
    <n v="146"/>
    <n v="244"/>
    <n v="1"/>
    <x v="0"/>
    <x v="8"/>
    <n v="230.2"/>
    <n v="98"/>
    <n v="0.59836065573770492"/>
    <s v="Inefficient"/>
    <s v="Very Long"/>
    <s v="Major Delay"/>
  </r>
  <r>
    <x v="2145"/>
    <x v="2"/>
    <x v="2145"/>
    <x v="4"/>
    <x v="2"/>
    <x v="1"/>
    <s v="EMP_60"/>
    <d v="2024-10-16T19:36:00"/>
    <d v="2024-10-16T20:11:00"/>
    <n v="13"/>
    <n v="35"/>
    <n v="1"/>
    <x v="2"/>
    <x v="0"/>
    <n v="55.71"/>
    <n v="22"/>
    <n v="0.37142857142857144"/>
    <s v="Inefficient"/>
    <s v="Medium"/>
    <s v="Minor Delay"/>
  </r>
  <r>
    <x v="2146"/>
    <x v="1"/>
    <x v="2146"/>
    <x v="4"/>
    <x v="3"/>
    <x v="2"/>
    <s v="EMP_63"/>
    <d v="2024-01-29T19:14:00"/>
    <d v="2024-01-29T21:47:00"/>
    <n v="100"/>
    <n v="153"/>
    <n v="1"/>
    <x v="2"/>
    <x v="7"/>
    <n v="409.1"/>
    <n v="53"/>
    <n v="0.65359477124183007"/>
    <s v="Inefficient"/>
    <s v="Very Long"/>
    <s v="Major Delay"/>
  </r>
  <r>
    <x v="2147"/>
    <x v="3"/>
    <x v="2147"/>
    <x v="0"/>
    <x v="1"/>
    <x v="3"/>
    <s v="EMP_67"/>
    <d v="2024-07-07T04:19:00"/>
    <d v="2024-07-07T08:10:00"/>
    <n v="230"/>
    <n v="231"/>
    <n v="1"/>
    <x v="2"/>
    <x v="0"/>
    <n v="348.27"/>
    <n v="1"/>
    <n v="0.99567099567099571"/>
    <s v="Inefficient"/>
    <s v="Very Long"/>
    <s v="Minor Delay"/>
  </r>
  <r>
    <x v="2148"/>
    <x v="3"/>
    <x v="2148"/>
    <x v="2"/>
    <x v="0"/>
    <x v="2"/>
    <s v="EMP_1"/>
    <d v="2024-03-20T09:53:00"/>
    <d v="2024-03-20T11:37:00"/>
    <n v="24"/>
    <n v="104"/>
    <n v="1"/>
    <x v="0"/>
    <x v="2"/>
    <n v="486.72"/>
    <n v="80"/>
    <n v="0.23076923076923078"/>
    <s v="Inefficient"/>
    <s v="Long"/>
    <s v="Major Delay"/>
  </r>
  <r>
    <x v="2149"/>
    <x v="4"/>
    <x v="2149"/>
    <x v="2"/>
    <x v="3"/>
    <x v="2"/>
    <s v="EMP_16"/>
    <d v="2024-05-25T18:51:00"/>
    <d v="2024-05-25T22:47:00"/>
    <n v="163"/>
    <n v="236"/>
    <n v="1"/>
    <x v="0"/>
    <x v="0"/>
    <n v="147.59"/>
    <n v="73"/>
    <n v="0.69067796610169496"/>
    <s v="Inefficient"/>
    <s v="Very Long"/>
    <s v="Major Delay"/>
  </r>
  <r>
    <x v="2150"/>
    <x v="4"/>
    <x v="2150"/>
    <x v="1"/>
    <x v="3"/>
    <x v="2"/>
    <s v="EMP_62"/>
    <d v="2024-10-04T15:34:00"/>
    <d v="2024-10-04T17:56:00"/>
    <n v="78"/>
    <n v="142"/>
    <n v="1"/>
    <x v="1"/>
    <x v="8"/>
    <n v="54.53"/>
    <n v="64"/>
    <n v="0.54929577464788737"/>
    <s v="Inefficient"/>
    <s v="Very Long"/>
    <s v="Major Delay"/>
  </r>
  <r>
    <x v="2151"/>
    <x v="0"/>
    <x v="2151"/>
    <x v="3"/>
    <x v="3"/>
    <x v="1"/>
    <s v="EMP_119"/>
    <d v="2024-07-02T03:04:00"/>
    <d v="2024-07-02T07:42:00"/>
    <n v="212"/>
    <n v="278"/>
    <n v="1"/>
    <x v="2"/>
    <x v="1"/>
    <n v="126.04"/>
    <n v="66"/>
    <n v="0.76258992805755399"/>
    <s v="Inefficient"/>
    <s v="Very Long"/>
    <s v="Major Delay"/>
  </r>
  <r>
    <x v="2152"/>
    <x v="2"/>
    <x v="2152"/>
    <x v="2"/>
    <x v="2"/>
    <x v="1"/>
    <s v="EMP_63"/>
    <d v="2024-03-17T10:09:00"/>
    <d v="2024-03-17T12:33:00"/>
    <n v="29"/>
    <n v="144"/>
    <n v="1"/>
    <x v="1"/>
    <x v="9"/>
    <n v="166.2"/>
    <n v="115"/>
    <n v="0.2013888888888889"/>
    <s v="Inefficient"/>
    <s v="Very Long"/>
    <s v="Major Delay"/>
  </r>
  <r>
    <x v="2153"/>
    <x v="0"/>
    <x v="2153"/>
    <x v="4"/>
    <x v="1"/>
    <x v="1"/>
    <s v="EMP_130"/>
    <d v="2024-11-19T21:44:00"/>
    <d v="2024-11-19T22:01:00"/>
    <n v="14"/>
    <n v="17"/>
    <n v="1"/>
    <x v="1"/>
    <x v="5"/>
    <n v="179.13"/>
    <n v="3"/>
    <n v="0.82352941176470584"/>
    <s v="Inefficient"/>
    <s v="Short"/>
    <s v="Minor Delay"/>
  </r>
  <r>
    <x v="2154"/>
    <x v="3"/>
    <x v="2154"/>
    <x v="3"/>
    <x v="0"/>
    <x v="4"/>
    <s v="EMP_141"/>
    <d v="2024-03-25T07:49:00"/>
    <d v="2024-03-25T11:17:00"/>
    <n v="116"/>
    <n v="208"/>
    <n v="1"/>
    <x v="0"/>
    <x v="4"/>
    <n v="331.28"/>
    <n v="92"/>
    <n v="0.55769230769230771"/>
    <s v="Inefficient"/>
    <s v="Very Long"/>
    <s v="Major Delay"/>
  </r>
  <r>
    <x v="2155"/>
    <x v="2"/>
    <x v="2155"/>
    <x v="1"/>
    <x v="0"/>
    <x v="2"/>
    <s v="EMP_150"/>
    <d v="2024-08-27T16:04:00"/>
    <d v="2024-08-27T18:10:00"/>
    <n v="90"/>
    <n v="126"/>
    <n v="1"/>
    <x v="1"/>
    <x v="2"/>
    <n v="388.41"/>
    <n v="36"/>
    <n v="0.7142857142857143"/>
    <s v="Inefficient"/>
    <s v="Very Long"/>
    <s v="Major Delay"/>
  </r>
  <r>
    <x v="2156"/>
    <x v="1"/>
    <x v="2156"/>
    <x v="3"/>
    <x v="1"/>
    <x v="2"/>
    <s v="EMP_26"/>
    <d v="2024-01-10T14:47:00"/>
    <d v="2024-01-10T18:22:00"/>
    <n v="144"/>
    <n v="215"/>
    <n v="1"/>
    <x v="0"/>
    <x v="7"/>
    <n v="91.41"/>
    <n v="71"/>
    <n v="0.66976744186046511"/>
    <s v="Inefficient"/>
    <s v="Very Long"/>
    <s v="Major Delay"/>
  </r>
  <r>
    <x v="2157"/>
    <x v="3"/>
    <x v="2157"/>
    <x v="3"/>
    <x v="2"/>
    <x v="1"/>
    <s v="EMP_106"/>
    <d v="2024-08-12T20:29:00"/>
    <d v="2024-08-12T21:57:00"/>
    <n v="29"/>
    <n v="88"/>
    <n v="1"/>
    <x v="2"/>
    <x v="7"/>
    <n v="216.73"/>
    <n v="59"/>
    <n v="0.32954545454545453"/>
    <s v="Inefficient"/>
    <s v="Long"/>
    <s v="Major Delay"/>
  </r>
  <r>
    <x v="2158"/>
    <x v="4"/>
    <x v="2158"/>
    <x v="4"/>
    <x v="3"/>
    <x v="0"/>
    <s v="EMP_110"/>
    <d v="2024-03-20T03:18:00"/>
    <d v="2024-03-20T04:57:00"/>
    <n v="69"/>
    <n v="99"/>
    <n v="1"/>
    <x v="1"/>
    <x v="9"/>
    <n v="154.5"/>
    <n v="30"/>
    <n v="0.69696969696969702"/>
    <s v="Inefficient"/>
    <s v="Long"/>
    <s v="Minor Delay"/>
  </r>
  <r>
    <x v="2159"/>
    <x v="2"/>
    <x v="2159"/>
    <x v="3"/>
    <x v="3"/>
    <x v="3"/>
    <s v="EMP_1"/>
    <d v="2024-05-22T07:35:00"/>
    <d v="2024-05-22T11:29:00"/>
    <n v="191"/>
    <n v="234"/>
    <n v="1"/>
    <x v="0"/>
    <x v="8"/>
    <n v="93.32"/>
    <n v="43"/>
    <n v="0.81623931623931623"/>
    <s v="Inefficient"/>
    <s v="Very Long"/>
    <s v="Major Delay"/>
  </r>
  <r>
    <x v="2160"/>
    <x v="1"/>
    <x v="2160"/>
    <x v="2"/>
    <x v="3"/>
    <x v="2"/>
    <s v="EMP_67"/>
    <d v="2024-04-24T15:30:00"/>
    <d v="2024-04-24T19:43:00"/>
    <n v="141"/>
    <n v="253"/>
    <n v="1"/>
    <x v="1"/>
    <x v="4"/>
    <n v="57.31"/>
    <n v="112"/>
    <n v="0.55731225296442688"/>
    <s v="Inefficient"/>
    <s v="Very Long"/>
    <s v="Major Delay"/>
  </r>
  <r>
    <x v="2161"/>
    <x v="0"/>
    <x v="2161"/>
    <x v="4"/>
    <x v="2"/>
    <x v="3"/>
    <s v="EMP_147"/>
    <d v="2024-09-29T22:33:00"/>
    <d v="2024-09-30T02:20:00"/>
    <n v="154"/>
    <n v="227"/>
    <n v="1"/>
    <x v="0"/>
    <x v="2"/>
    <n v="417.74"/>
    <n v="73"/>
    <n v="0.67841409691629961"/>
    <s v="Inefficient"/>
    <s v="Very Long"/>
    <s v="Major Delay"/>
  </r>
  <r>
    <x v="2162"/>
    <x v="1"/>
    <x v="2162"/>
    <x v="4"/>
    <x v="3"/>
    <x v="2"/>
    <s v="EMP_129"/>
    <d v="2024-11-05T21:15:00"/>
    <d v="2024-11-05T22:29:00"/>
    <n v="72"/>
    <n v="74"/>
    <n v="1"/>
    <x v="2"/>
    <x v="3"/>
    <n v="182.91"/>
    <n v="2"/>
    <n v="0.97297297297297303"/>
    <s v="Inefficient"/>
    <s v="Long"/>
    <s v="Minor Delay"/>
  </r>
  <r>
    <x v="2163"/>
    <x v="2"/>
    <x v="2163"/>
    <x v="1"/>
    <x v="0"/>
    <x v="3"/>
    <s v="EMP_147"/>
    <d v="2024-08-01T04:07:00"/>
    <d v="2024-08-01T06:10:00"/>
    <n v="69"/>
    <n v="123"/>
    <n v="1"/>
    <x v="1"/>
    <x v="9"/>
    <n v="417.4"/>
    <n v="54"/>
    <n v="0.56097560975609762"/>
    <s v="Inefficient"/>
    <s v="Very Long"/>
    <s v="Major Delay"/>
  </r>
  <r>
    <x v="2164"/>
    <x v="2"/>
    <x v="2164"/>
    <x v="4"/>
    <x v="3"/>
    <x v="3"/>
    <s v="EMP_72"/>
    <d v="2024-10-02T06:15:00"/>
    <d v="2024-10-02T07:28:00"/>
    <n v="64"/>
    <n v="73"/>
    <n v="1"/>
    <x v="2"/>
    <x v="8"/>
    <n v="141.22"/>
    <n v="9"/>
    <n v="0.87671232876712324"/>
    <s v="Inefficient"/>
    <s v="Long"/>
    <s v="Minor Delay"/>
  </r>
  <r>
    <x v="2165"/>
    <x v="3"/>
    <x v="2165"/>
    <x v="0"/>
    <x v="3"/>
    <x v="1"/>
    <s v="EMP_5"/>
    <d v="2024-06-21T08:45:00"/>
    <d v="2024-06-21T12:52:00"/>
    <n v="189"/>
    <n v="247"/>
    <n v="1"/>
    <x v="0"/>
    <x v="5"/>
    <n v="153.11000000000001"/>
    <n v="58"/>
    <n v="0.76518218623481782"/>
    <s v="Inefficient"/>
    <s v="Very Long"/>
    <s v="Major Delay"/>
  </r>
  <r>
    <x v="2166"/>
    <x v="0"/>
    <x v="2166"/>
    <x v="4"/>
    <x v="2"/>
    <x v="0"/>
    <s v="EMP_76"/>
    <d v="2024-10-17T22:56:00"/>
    <d v="2024-10-18T01:21:00"/>
    <n v="99"/>
    <n v="145"/>
    <n v="1"/>
    <x v="2"/>
    <x v="1"/>
    <n v="385.66"/>
    <n v="46"/>
    <n v="0.6827586206896552"/>
    <s v="Inefficient"/>
    <s v="Very Long"/>
    <s v="Major Delay"/>
  </r>
  <r>
    <x v="2167"/>
    <x v="4"/>
    <x v="2167"/>
    <x v="3"/>
    <x v="3"/>
    <x v="3"/>
    <s v="EMP_106"/>
    <d v="2024-12-21T01:43:00"/>
    <d v="2024-12-21T06:32:00"/>
    <n v="198"/>
    <n v="289"/>
    <n v="1"/>
    <x v="0"/>
    <x v="7"/>
    <n v="282.81"/>
    <n v="91"/>
    <n v="0.68512110726643594"/>
    <s v="Inefficient"/>
    <s v="Very Long"/>
    <s v="Major Delay"/>
  </r>
  <r>
    <x v="2168"/>
    <x v="3"/>
    <x v="2168"/>
    <x v="4"/>
    <x v="1"/>
    <x v="1"/>
    <s v="EMP_115"/>
    <d v="2024-09-04T12:17:00"/>
    <d v="2024-09-04T15:43:00"/>
    <n v="143"/>
    <n v="206"/>
    <n v="1"/>
    <x v="0"/>
    <x v="9"/>
    <n v="322.08999999999997"/>
    <n v="63"/>
    <n v="0.69417475728155342"/>
    <s v="Inefficient"/>
    <s v="Very Long"/>
    <s v="Major Delay"/>
  </r>
  <r>
    <x v="2169"/>
    <x v="1"/>
    <x v="2169"/>
    <x v="2"/>
    <x v="3"/>
    <x v="2"/>
    <s v="EMP_27"/>
    <d v="2024-02-03T21:57:00"/>
    <d v="2024-02-04T01:29:00"/>
    <n v="172"/>
    <n v="212"/>
    <n v="1"/>
    <x v="0"/>
    <x v="8"/>
    <n v="246.27"/>
    <n v="40"/>
    <n v="0.81132075471698117"/>
    <s v="Inefficient"/>
    <s v="Very Long"/>
    <s v="Major Delay"/>
  </r>
  <r>
    <x v="2170"/>
    <x v="1"/>
    <x v="2170"/>
    <x v="3"/>
    <x v="2"/>
    <x v="0"/>
    <s v="EMP_63"/>
    <d v="2024-09-10T18:55:00"/>
    <d v="2024-09-10T21:50:00"/>
    <n v="108"/>
    <n v="175"/>
    <n v="1"/>
    <x v="0"/>
    <x v="9"/>
    <n v="480.93"/>
    <n v="67"/>
    <n v="0.6171428571428571"/>
    <s v="Inefficient"/>
    <s v="Very Long"/>
    <s v="Major Delay"/>
  </r>
  <r>
    <x v="2171"/>
    <x v="2"/>
    <x v="2171"/>
    <x v="4"/>
    <x v="1"/>
    <x v="4"/>
    <s v="EMP_70"/>
    <d v="2024-11-01T19:08:00"/>
    <d v="2024-11-01T23:56:00"/>
    <n v="238"/>
    <n v="288"/>
    <n v="1"/>
    <x v="1"/>
    <x v="8"/>
    <n v="267.60000000000002"/>
    <n v="50"/>
    <n v="0.82638888888888884"/>
    <s v="Inefficient"/>
    <s v="Very Long"/>
    <s v="Major Delay"/>
  </r>
  <r>
    <x v="2172"/>
    <x v="2"/>
    <x v="2172"/>
    <x v="0"/>
    <x v="2"/>
    <x v="4"/>
    <s v="EMP_130"/>
    <d v="2024-07-15T06:21:00"/>
    <d v="2024-07-15T10:04:00"/>
    <n v="202"/>
    <n v="223"/>
    <n v="1"/>
    <x v="2"/>
    <x v="1"/>
    <n v="51.91"/>
    <n v="21"/>
    <n v="0.905829596412556"/>
    <s v="Inefficient"/>
    <s v="Very Long"/>
    <s v="Minor Delay"/>
  </r>
  <r>
    <x v="2173"/>
    <x v="3"/>
    <x v="2173"/>
    <x v="1"/>
    <x v="3"/>
    <x v="0"/>
    <s v="EMP_114"/>
    <d v="2024-08-18T22:58:00"/>
    <d v="2024-08-19T03:59:00"/>
    <n v="212"/>
    <n v="301"/>
    <n v="1"/>
    <x v="1"/>
    <x v="5"/>
    <n v="399.81"/>
    <n v="89"/>
    <n v="0.70431893687707636"/>
    <s v="Inefficient"/>
    <s v="Very Long"/>
    <s v="Major Delay"/>
  </r>
  <r>
    <x v="2174"/>
    <x v="3"/>
    <x v="2174"/>
    <x v="4"/>
    <x v="1"/>
    <x v="1"/>
    <s v="EMP_24"/>
    <d v="2024-07-07T05:13:00"/>
    <d v="2024-07-07T07:37:00"/>
    <n v="108"/>
    <n v="144"/>
    <n v="1"/>
    <x v="1"/>
    <x v="4"/>
    <n v="229.78"/>
    <n v="36"/>
    <n v="0.75"/>
    <s v="Inefficient"/>
    <s v="Very Long"/>
    <s v="Major Delay"/>
  </r>
  <r>
    <x v="2175"/>
    <x v="0"/>
    <x v="2175"/>
    <x v="4"/>
    <x v="1"/>
    <x v="4"/>
    <s v="EMP_15"/>
    <d v="2024-03-15T07:55:00"/>
    <d v="2024-03-15T11:42:00"/>
    <n v="186"/>
    <n v="227"/>
    <n v="1"/>
    <x v="0"/>
    <x v="0"/>
    <n v="272.5"/>
    <n v="41"/>
    <n v="0.81938325991189431"/>
    <s v="Inefficient"/>
    <s v="Very Long"/>
    <s v="Major Delay"/>
  </r>
  <r>
    <x v="2176"/>
    <x v="4"/>
    <x v="2176"/>
    <x v="0"/>
    <x v="3"/>
    <x v="3"/>
    <s v="EMP_9"/>
    <d v="2024-11-21T09:57:00"/>
    <d v="2024-11-21T13:29:00"/>
    <n v="110"/>
    <n v="212"/>
    <n v="1"/>
    <x v="0"/>
    <x v="8"/>
    <n v="123.52"/>
    <n v="102"/>
    <n v="0.51886792452830188"/>
    <s v="Inefficient"/>
    <s v="Very Long"/>
    <s v="Major Delay"/>
  </r>
  <r>
    <x v="2177"/>
    <x v="3"/>
    <x v="2177"/>
    <x v="2"/>
    <x v="3"/>
    <x v="4"/>
    <s v="EMP_26"/>
    <d v="2024-06-17T22:33:00"/>
    <d v="2024-06-18T00:26:00"/>
    <n v="113"/>
    <n v="113"/>
    <n v="0"/>
    <x v="1"/>
    <x v="3"/>
    <n v="327.27999999999997"/>
    <n v="0"/>
    <n v="1"/>
    <s v="On Target"/>
    <s v="Long"/>
    <s v="On Time"/>
  </r>
  <r>
    <x v="2178"/>
    <x v="4"/>
    <x v="2178"/>
    <x v="4"/>
    <x v="0"/>
    <x v="0"/>
    <s v="EMP_69"/>
    <d v="2024-01-11T02:29:00"/>
    <d v="2024-01-11T06:33:00"/>
    <n v="154"/>
    <n v="244"/>
    <n v="1"/>
    <x v="0"/>
    <x v="4"/>
    <n v="139.1"/>
    <n v="90"/>
    <n v="0.63114754098360659"/>
    <s v="Inefficient"/>
    <s v="Very Long"/>
    <s v="Major Delay"/>
  </r>
  <r>
    <x v="2179"/>
    <x v="1"/>
    <x v="2179"/>
    <x v="2"/>
    <x v="2"/>
    <x v="3"/>
    <s v="EMP_44"/>
    <d v="2024-12-16T07:44:00"/>
    <d v="2024-12-16T10:27:00"/>
    <n v="102"/>
    <n v="163"/>
    <n v="1"/>
    <x v="0"/>
    <x v="7"/>
    <n v="231.62"/>
    <n v="61"/>
    <n v="0.62576687116564422"/>
    <s v="Inefficient"/>
    <s v="Very Long"/>
    <s v="Major Delay"/>
  </r>
  <r>
    <x v="2180"/>
    <x v="0"/>
    <x v="2180"/>
    <x v="2"/>
    <x v="0"/>
    <x v="3"/>
    <s v="EMP_15"/>
    <d v="2024-01-30T01:34:00"/>
    <d v="2024-01-30T03:44:00"/>
    <n v="123"/>
    <n v="130"/>
    <n v="1"/>
    <x v="1"/>
    <x v="2"/>
    <n v="355.66"/>
    <n v="7"/>
    <n v="0.94615384615384612"/>
    <s v="Inefficient"/>
    <s v="Very Long"/>
    <s v="Minor Delay"/>
  </r>
  <r>
    <x v="2181"/>
    <x v="1"/>
    <x v="2181"/>
    <x v="4"/>
    <x v="3"/>
    <x v="0"/>
    <s v="EMP_30"/>
    <d v="2024-03-22T00:26:00"/>
    <d v="2024-03-22T02:19:00"/>
    <n v="32"/>
    <n v="113"/>
    <n v="1"/>
    <x v="0"/>
    <x v="4"/>
    <n v="70.22"/>
    <n v="81"/>
    <n v="0.2831858407079646"/>
    <s v="Inefficient"/>
    <s v="Long"/>
    <s v="Major Delay"/>
  </r>
  <r>
    <x v="2182"/>
    <x v="2"/>
    <x v="2182"/>
    <x v="3"/>
    <x v="2"/>
    <x v="3"/>
    <s v="EMP_16"/>
    <d v="2024-07-06T17:22:00"/>
    <d v="2024-07-06T21:07:00"/>
    <n v="202"/>
    <n v="225"/>
    <n v="1"/>
    <x v="1"/>
    <x v="7"/>
    <n v="74.88"/>
    <n v="23"/>
    <n v="0.89777777777777779"/>
    <s v="Inefficient"/>
    <s v="Very Long"/>
    <s v="Minor Delay"/>
  </r>
  <r>
    <x v="2183"/>
    <x v="2"/>
    <x v="2183"/>
    <x v="2"/>
    <x v="3"/>
    <x v="4"/>
    <s v="EMP_26"/>
    <d v="2024-08-08T05:27:00"/>
    <d v="2024-08-08T11:13:00"/>
    <n v="234"/>
    <n v="346"/>
    <n v="1"/>
    <x v="1"/>
    <x v="5"/>
    <n v="478.75"/>
    <n v="112"/>
    <n v="0.67630057803468213"/>
    <s v="Inefficient"/>
    <s v="Very Long"/>
    <s v="Major Delay"/>
  </r>
  <r>
    <x v="2184"/>
    <x v="4"/>
    <x v="2184"/>
    <x v="3"/>
    <x v="2"/>
    <x v="4"/>
    <s v="EMP_89"/>
    <d v="2024-03-29T00:06:00"/>
    <d v="2024-03-29T01:32:00"/>
    <n v="91"/>
    <n v="86"/>
    <n v="0"/>
    <x v="0"/>
    <x v="8"/>
    <n v="373.45"/>
    <n v="-5"/>
    <n v="1.058139534883721"/>
    <s v="Efficient"/>
    <s v="Long"/>
    <s v="On Time"/>
  </r>
  <r>
    <x v="2185"/>
    <x v="2"/>
    <x v="2185"/>
    <x v="2"/>
    <x v="1"/>
    <x v="3"/>
    <s v="EMP_20"/>
    <d v="2024-11-02T07:28:00"/>
    <d v="2024-11-02T11:17:00"/>
    <n v="122"/>
    <n v="229"/>
    <n v="1"/>
    <x v="1"/>
    <x v="1"/>
    <n v="353.71"/>
    <n v="107"/>
    <n v="0.53275109170305679"/>
    <s v="Inefficient"/>
    <s v="Very Long"/>
    <s v="Major Delay"/>
  </r>
  <r>
    <x v="2186"/>
    <x v="2"/>
    <x v="2186"/>
    <x v="0"/>
    <x v="0"/>
    <x v="1"/>
    <s v="EMP_78"/>
    <d v="2024-08-17T03:25:00"/>
    <d v="2024-08-17T04:22:00"/>
    <n v="44"/>
    <n v="57"/>
    <n v="1"/>
    <x v="2"/>
    <x v="6"/>
    <n v="488.23"/>
    <n v="13"/>
    <n v="0.77192982456140347"/>
    <s v="Inefficient"/>
    <s v="Medium"/>
    <s v="Minor Delay"/>
  </r>
  <r>
    <x v="2187"/>
    <x v="3"/>
    <x v="2187"/>
    <x v="4"/>
    <x v="0"/>
    <x v="0"/>
    <s v="EMP_99"/>
    <d v="2024-07-31T22:53:00"/>
    <d v="2024-08-01T01:10:00"/>
    <n v="78"/>
    <n v="137"/>
    <n v="1"/>
    <x v="0"/>
    <x v="1"/>
    <n v="126.59"/>
    <n v="59"/>
    <n v="0.56934306569343063"/>
    <s v="Inefficient"/>
    <s v="Very Long"/>
    <s v="Major Delay"/>
  </r>
  <r>
    <x v="2188"/>
    <x v="1"/>
    <x v="2188"/>
    <x v="2"/>
    <x v="0"/>
    <x v="4"/>
    <s v="EMP_105"/>
    <d v="2024-12-09T21:55:00"/>
    <d v="2024-12-09T23:42:00"/>
    <n v="92"/>
    <n v="107"/>
    <n v="1"/>
    <x v="0"/>
    <x v="8"/>
    <n v="481.89"/>
    <n v="15"/>
    <n v="0.85981308411214952"/>
    <s v="Inefficient"/>
    <s v="Long"/>
    <s v="Minor Delay"/>
  </r>
  <r>
    <x v="2189"/>
    <x v="0"/>
    <x v="2189"/>
    <x v="3"/>
    <x v="0"/>
    <x v="2"/>
    <s v="EMP_108"/>
    <d v="2024-02-25T10:40:00"/>
    <d v="2024-02-25T13:00:00"/>
    <n v="124"/>
    <n v="140"/>
    <n v="1"/>
    <x v="1"/>
    <x v="9"/>
    <n v="404.3"/>
    <n v="16"/>
    <n v="0.88571428571428568"/>
    <s v="Inefficient"/>
    <s v="Very Long"/>
    <s v="Minor Delay"/>
  </r>
  <r>
    <x v="2190"/>
    <x v="4"/>
    <x v="2190"/>
    <x v="0"/>
    <x v="1"/>
    <x v="4"/>
    <s v="EMP_131"/>
    <d v="2024-11-08T13:29:00"/>
    <d v="2024-11-08T14:51:00"/>
    <n v="80"/>
    <n v="82"/>
    <n v="1"/>
    <x v="1"/>
    <x v="4"/>
    <n v="118.73"/>
    <n v="2"/>
    <n v="0.97560975609756095"/>
    <s v="Inefficient"/>
    <s v="Long"/>
    <s v="Minor Delay"/>
  </r>
  <r>
    <x v="2191"/>
    <x v="0"/>
    <x v="2191"/>
    <x v="4"/>
    <x v="0"/>
    <x v="2"/>
    <s v="EMP_144"/>
    <d v="2024-08-29T02:56:00"/>
    <d v="2024-08-29T05:22:00"/>
    <n v="144"/>
    <n v="146"/>
    <n v="1"/>
    <x v="1"/>
    <x v="1"/>
    <n v="401.69"/>
    <n v="2"/>
    <n v="0.98630136986301364"/>
    <s v="Inefficient"/>
    <s v="Very Long"/>
    <s v="Minor Delay"/>
  </r>
  <r>
    <x v="2192"/>
    <x v="2"/>
    <x v="2192"/>
    <x v="1"/>
    <x v="2"/>
    <x v="0"/>
    <s v="EMP_100"/>
    <d v="2024-12-25T16:05:00"/>
    <d v="2024-12-25T17:39:00"/>
    <n v="52"/>
    <n v="94"/>
    <n v="1"/>
    <x v="0"/>
    <x v="5"/>
    <n v="131.61000000000001"/>
    <n v="42"/>
    <n v="0.55319148936170215"/>
    <s v="Inefficient"/>
    <s v="Long"/>
    <s v="Major Delay"/>
  </r>
  <r>
    <x v="2193"/>
    <x v="3"/>
    <x v="2193"/>
    <x v="3"/>
    <x v="1"/>
    <x v="2"/>
    <s v="EMP_4"/>
    <d v="2024-12-26T08:52:00"/>
    <d v="2024-12-26T14:19:00"/>
    <n v="210"/>
    <n v="327"/>
    <n v="1"/>
    <x v="1"/>
    <x v="2"/>
    <n v="153.30000000000001"/>
    <n v="117"/>
    <n v="0.64220183486238536"/>
    <s v="Inefficient"/>
    <s v="Very Long"/>
    <s v="Major Delay"/>
  </r>
  <r>
    <x v="2194"/>
    <x v="4"/>
    <x v="2194"/>
    <x v="0"/>
    <x v="0"/>
    <x v="3"/>
    <s v="EMP_31"/>
    <d v="2024-09-13T11:04:00"/>
    <d v="2024-09-13T15:24:00"/>
    <n v="222"/>
    <n v="260"/>
    <n v="1"/>
    <x v="0"/>
    <x v="9"/>
    <n v="415.76"/>
    <n v="38"/>
    <n v="0.85384615384615381"/>
    <s v="Inefficient"/>
    <s v="Very Long"/>
    <s v="Major Delay"/>
  </r>
  <r>
    <x v="2195"/>
    <x v="2"/>
    <x v="2195"/>
    <x v="2"/>
    <x v="3"/>
    <x v="1"/>
    <s v="EMP_69"/>
    <d v="2024-02-17T18:50:00"/>
    <d v="2024-02-17T19:52:00"/>
    <n v="40"/>
    <n v="62"/>
    <n v="1"/>
    <x v="0"/>
    <x v="0"/>
    <n v="117.55"/>
    <n v="22"/>
    <n v="0.64516129032258063"/>
    <s v="Inefficient"/>
    <s v="Long"/>
    <s v="Minor Delay"/>
  </r>
  <r>
    <x v="2196"/>
    <x v="0"/>
    <x v="2196"/>
    <x v="4"/>
    <x v="2"/>
    <x v="4"/>
    <s v="EMP_17"/>
    <d v="2024-03-01T06:23:00"/>
    <d v="2024-03-01T10:54:00"/>
    <n v="194"/>
    <n v="271"/>
    <n v="1"/>
    <x v="1"/>
    <x v="6"/>
    <n v="107.72"/>
    <n v="77"/>
    <n v="0.71586715867158668"/>
    <s v="Inefficient"/>
    <s v="Very Long"/>
    <s v="Major Delay"/>
  </r>
  <r>
    <x v="2197"/>
    <x v="1"/>
    <x v="2197"/>
    <x v="4"/>
    <x v="1"/>
    <x v="4"/>
    <s v="EMP_80"/>
    <d v="2024-09-26T03:25:00"/>
    <d v="2024-09-26T06:59:00"/>
    <n v="104"/>
    <n v="214"/>
    <n v="1"/>
    <x v="2"/>
    <x v="2"/>
    <n v="230.21"/>
    <n v="110"/>
    <n v="0.48598130841121495"/>
    <s v="Inefficient"/>
    <s v="Very Long"/>
    <s v="Major Delay"/>
  </r>
  <r>
    <x v="2198"/>
    <x v="0"/>
    <x v="2198"/>
    <x v="1"/>
    <x v="1"/>
    <x v="4"/>
    <s v="EMP_80"/>
    <d v="2024-11-26T01:04:00"/>
    <d v="2024-11-26T05:18:00"/>
    <n v="153"/>
    <n v="254"/>
    <n v="1"/>
    <x v="0"/>
    <x v="9"/>
    <n v="117.54"/>
    <n v="101"/>
    <n v="0.60236220472440949"/>
    <s v="Inefficient"/>
    <s v="Very Long"/>
    <s v="Major Delay"/>
  </r>
  <r>
    <x v="2199"/>
    <x v="3"/>
    <x v="2199"/>
    <x v="3"/>
    <x v="0"/>
    <x v="0"/>
    <s v="EMP_118"/>
    <d v="2024-12-27T21:13:00"/>
    <d v="2024-12-28T01:53:00"/>
    <n v="218"/>
    <n v="280"/>
    <n v="1"/>
    <x v="2"/>
    <x v="2"/>
    <n v="487.94"/>
    <n v="62"/>
    <n v="0.77857142857142858"/>
    <s v="Inefficient"/>
    <s v="Very Long"/>
    <s v="Major Delay"/>
  </r>
  <r>
    <x v="2200"/>
    <x v="3"/>
    <x v="2200"/>
    <x v="3"/>
    <x v="0"/>
    <x v="4"/>
    <s v="EMP_120"/>
    <d v="2024-10-12T02:02:00"/>
    <d v="2024-10-12T04:00:00"/>
    <n v="46"/>
    <n v="118"/>
    <n v="1"/>
    <x v="1"/>
    <x v="0"/>
    <n v="445.83"/>
    <n v="72"/>
    <n v="0.38983050847457629"/>
    <s v="Inefficient"/>
    <s v="Long"/>
    <s v="Major Delay"/>
  </r>
  <r>
    <x v="2201"/>
    <x v="3"/>
    <x v="2201"/>
    <x v="3"/>
    <x v="0"/>
    <x v="0"/>
    <s v="EMP_112"/>
    <d v="2024-12-06T15:01:00"/>
    <d v="2024-12-06T18:22:00"/>
    <n v="193"/>
    <n v="201"/>
    <n v="1"/>
    <x v="0"/>
    <x v="6"/>
    <n v="69.92"/>
    <n v="8"/>
    <n v="0.96019900497512434"/>
    <s v="Inefficient"/>
    <s v="Very Long"/>
    <s v="Minor Delay"/>
  </r>
  <r>
    <x v="2202"/>
    <x v="4"/>
    <x v="2202"/>
    <x v="2"/>
    <x v="2"/>
    <x v="1"/>
    <s v="EMP_75"/>
    <d v="2024-08-08T13:14:00"/>
    <d v="2024-08-08T14:59:00"/>
    <n v="104"/>
    <n v="105"/>
    <n v="1"/>
    <x v="2"/>
    <x v="8"/>
    <n v="303.88"/>
    <n v="1"/>
    <n v="0.99047619047619051"/>
    <s v="Inefficient"/>
    <s v="Long"/>
    <s v="Minor Delay"/>
  </r>
  <r>
    <x v="2203"/>
    <x v="4"/>
    <x v="2203"/>
    <x v="0"/>
    <x v="0"/>
    <x v="0"/>
    <s v="EMP_28"/>
    <d v="2024-10-25T19:45:00"/>
    <d v="2024-10-25T22:55:00"/>
    <n v="92"/>
    <n v="190"/>
    <n v="1"/>
    <x v="1"/>
    <x v="2"/>
    <n v="80.98"/>
    <n v="98"/>
    <n v="0.48421052631578948"/>
    <s v="Inefficient"/>
    <s v="Very Long"/>
    <s v="Major Delay"/>
  </r>
  <r>
    <x v="2204"/>
    <x v="4"/>
    <x v="2204"/>
    <x v="3"/>
    <x v="1"/>
    <x v="1"/>
    <s v="EMP_30"/>
    <d v="2024-08-05T21:57:00"/>
    <d v="2024-08-05T23:33:00"/>
    <n v="81"/>
    <n v="96"/>
    <n v="1"/>
    <x v="2"/>
    <x v="6"/>
    <n v="368.53"/>
    <n v="15"/>
    <n v="0.84375"/>
    <s v="Inefficient"/>
    <s v="Long"/>
    <s v="Minor Delay"/>
  </r>
  <r>
    <x v="2205"/>
    <x v="1"/>
    <x v="2205"/>
    <x v="0"/>
    <x v="3"/>
    <x v="0"/>
    <s v="EMP_45"/>
    <d v="2024-01-26T04:44:00"/>
    <d v="2024-01-26T07:27:00"/>
    <n v="52"/>
    <n v="163"/>
    <n v="1"/>
    <x v="2"/>
    <x v="2"/>
    <n v="438.08"/>
    <n v="111"/>
    <n v="0.31901840490797545"/>
    <s v="Inefficient"/>
    <s v="Very Long"/>
    <s v="Major Delay"/>
  </r>
  <r>
    <x v="2206"/>
    <x v="3"/>
    <x v="2206"/>
    <x v="3"/>
    <x v="3"/>
    <x v="0"/>
    <s v="EMP_137"/>
    <d v="2024-12-26T07:31:00"/>
    <d v="2024-12-26T09:11:00"/>
    <n v="40"/>
    <n v="100"/>
    <n v="1"/>
    <x v="0"/>
    <x v="8"/>
    <n v="427.55"/>
    <n v="60"/>
    <n v="0.4"/>
    <s v="Inefficient"/>
    <s v="Long"/>
    <s v="Major Delay"/>
  </r>
  <r>
    <x v="2207"/>
    <x v="2"/>
    <x v="2207"/>
    <x v="3"/>
    <x v="3"/>
    <x v="3"/>
    <s v="EMP_90"/>
    <d v="2024-04-12T08:23:00"/>
    <d v="2024-04-12T12:25:00"/>
    <n v="233"/>
    <n v="242"/>
    <n v="1"/>
    <x v="1"/>
    <x v="9"/>
    <n v="453.93"/>
    <n v="9"/>
    <n v="0.96280991735537191"/>
    <s v="Inefficient"/>
    <s v="Very Long"/>
    <s v="Minor Delay"/>
  </r>
  <r>
    <x v="2208"/>
    <x v="4"/>
    <x v="2208"/>
    <x v="0"/>
    <x v="1"/>
    <x v="4"/>
    <s v="EMP_124"/>
    <d v="2024-09-27T15:11:00"/>
    <d v="2024-09-27T19:34:00"/>
    <n v="185"/>
    <n v="263"/>
    <n v="1"/>
    <x v="1"/>
    <x v="9"/>
    <n v="466.75"/>
    <n v="78"/>
    <n v="0.70342205323193918"/>
    <s v="Inefficient"/>
    <s v="Very Long"/>
    <s v="Major Delay"/>
  </r>
  <r>
    <x v="2209"/>
    <x v="4"/>
    <x v="2209"/>
    <x v="2"/>
    <x v="3"/>
    <x v="2"/>
    <s v="EMP_69"/>
    <d v="2024-11-20T16:46:00"/>
    <d v="2024-11-20T17:38:00"/>
    <n v="15"/>
    <n v="52"/>
    <n v="1"/>
    <x v="1"/>
    <x v="7"/>
    <n v="54.71"/>
    <n v="37"/>
    <n v="0.28846153846153844"/>
    <s v="Inefficient"/>
    <s v="Medium"/>
    <s v="Major Delay"/>
  </r>
  <r>
    <x v="2210"/>
    <x v="0"/>
    <x v="2210"/>
    <x v="4"/>
    <x v="0"/>
    <x v="0"/>
    <s v="EMP_79"/>
    <d v="2024-02-11T11:37:00"/>
    <d v="2024-02-11T12:18:00"/>
    <n v="11"/>
    <n v="41"/>
    <n v="1"/>
    <x v="2"/>
    <x v="1"/>
    <n v="206.23"/>
    <n v="30"/>
    <n v="0.26829268292682928"/>
    <s v="Inefficient"/>
    <s v="Medium"/>
    <s v="Minor Delay"/>
  </r>
  <r>
    <x v="2211"/>
    <x v="3"/>
    <x v="2211"/>
    <x v="3"/>
    <x v="2"/>
    <x v="1"/>
    <s v="EMP_104"/>
    <d v="2024-04-27T21:48:00"/>
    <d v="2024-04-27T23:27:00"/>
    <n v="69"/>
    <n v="99"/>
    <n v="1"/>
    <x v="2"/>
    <x v="5"/>
    <n v="166.16"/>
    <n v="30"/>
    <n v="0.69696969696969702"/>
    <s v="Inefficient"/>
    <s v="Long"/>
    <s v="Minor Delay"/>
  </r>
  <r>
    <x v="2212"/>
    <x v="4"/>
    <x v="2212"/>
    <x v="0"/>
    <x v="0"/>
    <x v="3"/>
    <s v="EMP_91"/>
    <d v="2024-08-02T11:23:00"/>
    <d v="2024-08-02T14:47:00"/>
    <n v="156"/>
    <n v="204"/>
    <n v="1"/>
    <x v="0"/>
    <x v="6"/>
    <n v="485.65"/>
    <n v="48"/>
    <n v="0.76470588235294112"/>
    <s v="Inefficient"/>
    <s v="Very Long"/>
    <s v="Major Delay"/>
  </r>
  <r>
    <x v="2213"/>
    <x v="4"/>
    <x v="2213"/>
    <x v="2"/>
    <x v="1"/>
    <x v="1"/>
    <s v="EMP_66"/>
    <d v="2024-08-19T10:50:00"/>
    <d v="2024-08-19T12:05:00"/>
    <n v="55"/>
    <n v="75"/>
    <n v="1"/>
    <x v="2"/>
    <x v="0"/>
    <n v="53.53"/>
    <n v="20"/>
    <n v="0.73333333333333328"/>
    <s v="Inefficient"/>
    <s v="Long"/>
    <s v="Minor Delay"/>
  </r>
  <r>
    <x v="2214"/>
    <x v="4"/>
    <x v="2214"/>
    <x v="0"/>
    <x v="3"/>
    <x v="3"/>
    <s v="EMP_108"/>
    <d v="2024-03-09T19:27:00"/>
    <d v="2024-03-09T22:02:00"/>
    <n v="51"/>
    <n v="155"/>
    <n v="1"/>
    <x v="2"/>
    <x v="1"/>
    <n v="209.41"/>
    <n v="104"/>
    <n v="0.32903225806451614"/>
    <s v="Inefficient"/>
    <s v="Very Long"/>
    <s v="Major Delay"/>
  </r>
  <r>
    <x v="2215"/>
    <x v="1"/>
    <x v="2215"/>
    <x v="1"/>
    <x v="0"/>
    <x v="2"/>
    <s v="EMP_67"/>
    <d v="2024-05-18T22:20:00"/>
    <d v="2024-05-18T23:32:00"/>
    <n v="56"/>
    <n v="72"/>
    <n v="1"/>
    <x v="2"/>
    <x v="8"/>
    <n v="105.07"/>
    <n v="16"/>
    <n v="0.77777777777777779"/>
    <s v="Inefficient"/>
    <s v="Long"/>
    <s v="Minor Delay"/>
  </r>
  <r>
    <x v="2216"/>
    <x v="2"/>
    <x v="2216"/>
    <x v="3"/>
    <x v="2"/>
    <x v="0"/>
    <s v="EMP_67"/>
    <d v="2024-05-12T02:28:00"/>
    <d v="2024-05-12T06:10:00"/>
    <n v="142"/>
    <n v="222"/>
    <n v="1"/>
    <x v="0"/>
    <x v="7"/>
    <n v="132.16999999999999"/>
    <n v="80"/>
    <n v="0.63963963963963966"/>
    <s v="Inefficient"/>
    <s v="Very Long"/>
    <s v="Major Delay"/>
  </r>
  <r>
    <x v="2217"/>
    <x v="0"/>
    <x v="2217"/>
    <x v="0"/>
    <x v="3"/>
    <x v="2"/>
    <s v="EMP_99"/>
    <d v="2024-12-27T11:31:00"/>
    <d v="2024-12-27T13:23:00"/>
    <n v="44"/>
    <n v="112"/>
    <n v="1"/>
    <x v="2"/>
    <x v="4"/>
    <n v="60"/>
    <n v="68"/>
    <n v="0.39285714285714285"/>
    <s v="Inefficient"/>
    <s v="Long"/>
    <s v="Major Delay"/>
  </r>
  <r>
    <x v="2218"/>
    <x v="3"/>
    <x v="2218"/>
    <x v="3"/>
    <x v="1"/>
    <x v="2"/>
    <s v="EMP_59"/>
    <d v="2024-07-24T18:47:00"/>
    <d v="2024-07-24T22:51:00"/>
    <n v="200"/>
    <n v="244"/>
    <n v="1"/>
    <x v="0"/>
    <x v="8"/>
    <n v="363.95"/>
    <n v="44"/>
    <n v="0.81967213114754101"/>
    <s v="Inefficient"/>
    <s v="Very Long"/>
    <s v="Major Delay"/>
  </r>
  <r>
    <x v="2219"/>
    <x v="3"/>
    <x v="2219"/>
    <x v="1"/>
    <x v="2"/>
    <x v="4"/>
    <s v="EMP_50"/>
    <d v="2024-02-02T10:27:00"/>
    <d v="2024-02-02T13:35:00"/>
    <n v="79"/>
    <n v="188"/>
    <n v="1"/>
    <x v="2"/>
    <x v="3"/>
    <n v="108.09"/>
    <n v="109"/>
    <n v="0.42021276595744683"/>
    <s v="Inefficient"/>
    <s v="Very Long"/>
    <s v="Major Delay"/>
  </r>
  <r>
    <x v="2220"/>
    <x v="2"/>
    <x v="2220"/>
    <x v="1"/>
    <x v="0"/>
    <x v="2"/>
    <s v="EMP_131"/>
    <d v="2024-03-06T11:48:00"/>
    <d v="2024-03-06T15:35:00"/>
    <n v="214"/>
    <n v="227"/>
    <n v="1"/>
    <x v="0"/>
    <x v="7"/>
    <n v="143.02000000000001"/>
    <n v="13"/>
    <n v="0.94273127753303965"/>
    <s v="Inefficient"/>
    <s v="Very Long"/>
    <s v="Minor Delay"/>
  </r>
  <r>
    <x v="2221"/>
    <x v="4"/>
    <x v="2221"/>
    <x v="3"/>
    <x v="1"/>
    <x v="2"/>
    <s v="EMP_74"/>
    <d v="2024-10-11T13:48:00"/>
    <d v="2024-10-11T15:34:00"/>
    <n v="49"/>
    <n v="106"/>
    <n v="1"/>
    <x v="0"/>
    <x v="2"/>
    <n v="209.25"/>
    <n v="57"/>
    <n v="0.46226415094339623"/>
    <s v="Inefficient"/>
    <s v="Long"/>
    <s v="Major Delay"/>
  </r>
  <r>
    <x v="2222"/>
    <x v="0"/>
    <x v="2222"/>
    <x v="1"/>
    <x v="3"/>
    <x v="2"/>
    <s v="EMP_128"/>
    <d v="2024-10-05T17:48:00"/>
    <d v="2024-10-05T21:06:00"/>
    <n v="178"/>
    <n v="198"/>
    <n v="1"/>
    <x v="2"/>
    <x v="3"/>
    <n v="297.19"/>
    <n v="20"/>
    <n v="0.89898989898989901"/>
    <s v="Inefficient"/>
    <s v="Very Long"/>
    <s v="Minor Delay"/>
  </r>
  <r>
    <x v="2223"/>
    <x v="1"/>
    <x v="2223"/>
    <x v="1"/>
    <x v="2"/>
    <x v="0"/>
    <s v="EMP_69"/>
    <d v="2024-12-01T06:58:00"/>
    <d v="2024-12-01T09:13:00"/>
    <n v="26"/>
    <n v="135"/>
    <n v="1"/>
    <x v="1"/>
    <x v="1"/>
    <n v="163.41999999999999"/>
    <n v="109"/>
    <n v="0.19259259259259259"/>
    <s v="Inefficient"/>
    <s v="Very Long"/>
    <s v="Major Delay"/>
  </r>
  <r>
    <x v="2224"/>
    <x v="0"/>
    <x v="2224"/>
    <x v="3"/>
    <x v="2"/>
    <x v="1"/>
    <s v="EMP_150"/>
    <d v="2024-07-25T16:03:00"/>
    <d v="2024-07-25T20:01:00"/>
    <n v="216"/>
    <n v="238"/>
    <n v="1"/>
    <x v="2"/>
    <x v="4"/>
    <n v="319.02999999999997"/>
    <n v="22"/>
    <n v="0.90756302521008403"/>
    <s v="Inefficient"/>
    <s v="Very Long"/>
    <s v="Minor Delay"/>
  </r>
  <r>
    <x v="2225"/>
    <x v="4"/>
    <x v="2225"/>
    <x v="3"/>
    <x v="0"/>
    <x v="3"/>
    <s v="EMP_103"/>
    <d v="2024-06-21T04:30:00"/>
    <d v="2024-06-21T07:37:00"/>
    <n v="145"/>
    <n v="187"/>
    <n v="1"/>
    <x v="1"/>
    <x v="9"/>
    <n v="357.94"/>
    <n v="42"/>
    <n v="0.77540106951871657"/>
    <s v="Inefficient"/>
    <s v="Very Long"/>
    <s v="Major Delay"/>
  </r>
  <r>
    <x v="2226"/>
    <x v="2"/>
    <x v="2226"/>
    <x v="0"/>
    <x v="1"/>
    <x v="1"/>
    <s v="EMP_34"/>
    <d v="2024-03-04T01:25:00"/>
    <d v="2024-03-04T03:02:00"/>
    <n v="28"/>
    <n v="97"/>
    <n v="1"/>
    <x v="1"/>
    <x v="0"/>
    <n v="474.66"/>
    <n v="69"/>
    <n v="0.28865979381443296"/>
    <s v="Inefficient"/>
    <s v="Long"/>
    <s v="Major Delay"/>
  </r>
  <r>
    <x v="2227"/>
    <x v="3"/>
    <x v="2227"/>
    <x v="3"/>
    <x v="1"/>
    <x v="0"/>
    <s v="EMP_40"/>
    <d v="2024-07-31T21:22:00"/>
    <d v="2024-08-01T00:10:00"/>
    <n v="76"/>
    <n v="168"/>
    <n v="1"/>
    <x v="2"/>
    <x v="6"/>
    <n v="201.93"/>
    <n v="92"/>
    <n v="0.45238095238095238"/>
    <s v="Inefficient"/>
    <s v="Very Long"/>
    <s v="Major Delay"/>
  </r>
  <r>
    <x v="2228"/>
    <x v="2"/>
    <x v="2228"/>
    <x v="4"/>
    <x v="0"/>
    <x v="3"/>
    <s v="EMP_62"/>
    <d v="2024-05-24T23:43:00"/>
    <d v="2024-05-25T00:47:00"/>
    <n v="62"/>
    <n v="64"/>
    <n v="1"/>
    <x v="2"/>
    <x v="2"/>
    <n v="144.58000000000001"/>
    <n v="2"/>
    <n v="0.96875"/>
    <s v="Inefficient"/>
    <s v="Long"/>
    <s v="Minor Delay"/>
  </r>
  <r>
    <x v="2229"/>
    <x v="1"/>
    <x v="2229"/>
    <x v="0"/>
    <x v="3"/>
    <x v="1"/>
    <s v="EMP_78"/>
    <d v="2024-04-27T22:01:00"/>
    <d v="2024-04-27T22:58:00"/>
    <n v="19"/>
    <n v="57"/>
    <n v="1"/>
    <x v="1"/>
    <x v="3"/>
    <n v="245.2"/>
    <n v="38"/>
    <n v="0.33333333333333331"/>
    <s v="Inefficient"/>
    <s v="Medium"/>
    <s v="Major Delay"/>
  </r>
  <r>
    <x v="2230"/>
    <x v="4"/>
    <x v="2230"/>
    <x v="0"/>
    <x v="0"/>
    <x v="3"/>
    <s v="EMP_54"/>
    <d v="2024-01-25T07:56:00"/>
    <d v="2024-01-25T11:39:00"/>
    <n v="163"/>
    <n v="223"/>
    <n v="1"/>
    <x v="1"/>
    <x v="7"/>
    <n v="371.46"/>
    <n v="60"/>
    <n v="0.73094170403587444"/>
    <s v="Inefficient"/>
    <s v="Very Long"/>
    <s v="Major Delay"/>
  </r>
  <r>
    <x v="2231"/>
    <x v="1"/>
    <x v="2231"/>
    <x v="4"/>
    <x v="3"/>
    <x v="3"/>
    <s v="EMP_150"/>
    <d v="2024-01-05T09:47:00"/>
    <d v="2024-01-05T12:10:00"/>
    <n v="99"/>
    <n v="143"/>
    <n v="1"/>
    <x v="0"/>
    <x v="5"/>
    <n v="239.88"/>
    <n v="44"/>
    <n v="0.69230769230769229"/>
    <s v="Inefficient"/>
    <s v="Very Long"/>
    <s v="Major Delay"/>
  </r>
  <r>
    <x v="2232"/>
    <x v="3"/>
    <x v="2232"/>
    <x v="2"/>
    <x v="0"/>
    <x v="0"/>
    <s v="EMP_70"/>
    <d v="2024-04-16T09:35:00"/>
    <d v="2024-04-16T11:00:00"/>
    <n v="72"/>
    <n v="85"/>
    <n v="1"/>
    <x v="0"/>
    <x v="7"/>
    <n v="311.45999999999998"/>
    <n v="13"/>
    <n v="0.84705882352941175"/>
    <s v="Inefficient"/>
    <s v="Long"/>
    <s v="Minor Delay"/>
  </r>
  <r>
    <x v="2233"/>
    <x v="3"/>
    <x v="2233"/>
    <x v="2"/>
    <x v="1"/>
    <x v="3"/>
    <s v="EMP_62"/>
    <d v="2024-08-30T04:02:00"/>
    <d v="2024-08-30T05:49:00"/>
    <n v="25"/>
    <n v="107"/>
    <n v="1"/>
    <x v="1"/>
    <x v="0"/>
    <n v="490.66"/>
    <n v="82"/>
    <n v="0.23364485981308411"/>
    <s v="Inefficient"/>
    <s v="Long"/>
    <s v="Major Delay"/>
  </r>
  <r>
    <x v="2234"/>
    <x v="1"/>
    <x v="2234"/>
    <x v="3"/>
    <x v="0"/>
    <x v="1"/>
    <s v="EMP_42"/>
    <d v="2024-04-27T18:41:00"/>
    <d v="2024-04-27T22:35:00"/>
    <n v="131"/>
    <n v="234"/>
    <n v="1"/>
    <x v="2"/>
    <x v="0"/>
    <n v="454.16"/>
    <n v="103"/>
    <n v="0.55982905982905984"/>
    <s v="Inefficient"/>
    <s v="Very Long"/>
    <s v="Major Delay"/>
  </r>
  <r>
    <x v="2235"/>
    <x v="0"/>
    <x v="2235"/>
    <x v="2"/>
    <x v="2"/>
    <x v="0"/>
    <s v="EMP_133"/>
    <d v="2024-05-01T10:37:00"/>
    <d v="2024-05-01T12:13:00"/>
    <n v="97"/>
    <n v="96"/>
    <n v="0"/>
    <x v="2"/>
    <x v="3"/>
    <n v="267.29000000000002"/>
    <n v="-1"/>
    <n v="1.0104166666666667"/>
    <s v="Efficient"/>
    <s v="Long"/>
    <s v="On Time"/>
  </r>
  <r>
    <x v="2236"/>
    <x v="4"/>
    <x v="2236"/>
    <x v="3"/>
    <x v="1"/>
    <x v="2"/>
    <s v="EMP_37"/>
    <d v="2024-03-27T09:32:00"/>
    <d v="2024-03-27T13:48:00"/>
    <n v="214"/>
    <n v="256"/>
    <n v="1"/>
    <x v="1"/>
    <x v="7"/>
    <n v="134.83000000000001"/>
    <n v="42"/>
    <n v="0.8359375"/>
    <s v="Inefficient"/>
    <s v="Very Long"/>
    <s v="Major Delay"/>
  </r>
  <r>
    <x v="2237"/>
    <x v="2"/>
    <x v="2237"/>
    <x v="3"/>
    <x v="2"/>
    <x v="3"/>
    <s v="EMP_113"/>
    <d v="2024-02-06T03:13:00"/>
    <d v="2024-02-06T06:00:00"/>
    <n v="72"/>
    <n v="167"/>
    <n v="1"/>
    <x v="1"/>
    <x v="5"/>
    <n v="62.96"/>
    <n v="95"/>
    <n v="0.43113772455089822"/>
    <s v="Inefficient"/>
    <s v="Very Long"/>
    <s v="Major Delay"/>
  </r>
  <r>
    <x v="2238"/>
    <x v="0"/>
    <x v="2238"/>
    <x v="0"/>
    <x v="3"/>
    <x v="4"/>
    <s v="EMP_91"/>
    <d v="2024-09-26T11:08:00"/>
    <d v="2024-09-26T14:25:00"/>
    <n v="201"/>
    <n v="197"/>
    <n v="0"/>
    <x v="0"/>
    <x v="1"/>
    <n v="337.02"/>
    <n v="-4"/>
    <n v="1.0203045685279188"/>
    <s v="Efficient"/>
    <s v="Very Long"/>
    <s v="On Time"/>
  </r>
  <r>
    <x v="2239"/>
    <x v="1"/>
    <x v="2239"/>
    <x v="3"/>
    <x v="0"/>
    <x v="4"/>
    <s v="EMP_101"/>
    <d v="2024-04-07T01:35:00"/>
    <d v="2024-04-07T07:12:00"/>
    <n v="232"/>
    <n v="337"/>
    <n v="1"/>
    <x v="2"/>
    <x v="9"/>
    <n v="367.79"/>
    <n v="105"/>
    <n v="0.68842729970326411"/>
    <s v="Inefficient"/>
    <s v="Very Long"/>
    <s v="Major Delay"/>
  </r>
  <r>
    <x v="2240"/>
    <x v="4"/>
    <x v="2240"/>
    <x v="4"/>
    <x v="1"/>
    <x v="2"/>
    <s v="EMP_51"/>
    <d v="2024-11-10T10:05:00"/>
    <d v="2024-11-10T13:25:00"/>
    <n v="129"/>
    <n v="200"/>
    <n v="1"/>
    <x v="2"/>
    <x v="0"/>
    <n v="286.7"/>
    <n v="71"/>
    <n v="0.64500000000000002"/>
    <s v="Inefficient"/>
    <s v="Very Long"/>
    <s v="Major Delay"/>
  </r>
  <r>
    <x v="2241"/>
    <x v="1"/>
    <x v="2241"/>
    <x v="0"/>
    <x v="0"/>
    <x v="4"/>
    <s v="EMP_141"/>
    <d v="2024-01-14T21:46:00"/>
    <d v="2024-01-15T01:34:00"/>
    <n v="111"/>
    <n v="228"/>
    <n v="1"/>
    <x v="2"/>
    <x v="6"/>
    <n v="184.88"/>
    <n v="117"/>
    <n v="0.48684210526315791"/>
    <s v="Inefficient"/>
    <s v="Very Long"/>
    <s v="Major Delay"/>
  </r>
  <r>
    <x v="2242"/>
    <x v="0"/>
    <x v="2242"/>
    <x v="1"/>
    <x v="2"/>
    <x v="1"/>
    <s v="EMP_87"/>
    <d v="2024-09-17T00:07:00"/>
    <d v="2024-09-17T01:48:00"/>
    <n v="71"/>
    <n v="101"/>
    <n v="1"/>
    <x v="1"/>
    <x v="5"/>
    <n v="322.68"/>
    <n v="30"/>
    <n v="0.70297029702970293"/>
    <s v="Inefficient"/>
    <s v="Long"/>
    <s v="Minor Delay"/>
  </r>
  <r>
    <x v="2243"/>
    <x v="1"/>
    <x v="2243"/>
    <x v="4"/>
    <x v="2"/>
    <x v="4"/>
    <s v="EMP_107"/>
    <d v="2024-10-13T13:06:00"/>
    <d v="2024-10-13T15:24:00"/>
    <n v="95"/>
    <n v="138"/>
    <n v="1"/>
    <x v="1"/>
    <x v="1"/>
    <n v="481.05"/>
    <n v="43"/>
    <n v="0.68840579710144922"/>
    <s v="Inefficient"/>
    <s v="Very Long"/>
    <s v="Major Delay"/>
  </r>
  <r>
    <x v="2244"/>
    <x v="4"/>
    <x v="2244"/>
    <x v="3"/>
    <x v="2"/>
    <x v="4"/>
    <s v="EMP_60"/>
    <d v="2024-08-14T17:41:00"/>
    <d v="2024-08-14T20:06:00"/>
    <n v="70"/>
    <n v="145"/>
    <n v="1"/>
    <x v="0"/>
    <x v="7"/>
    <n v="230.41"/>
    <n v="75"/>
    <n v="0.48275862068965519"/>
    <s v="Inefficient"/>
    <s v="Very Long"/>
    <s v="Major Delay"/>
  </r>
  <r>
    <x v="2245"/>
    <x v="0"/>
    <x v="2245"/>
    <x v="2"/>
    <x v="0"/>
    <x v="3"/>
    <s v="EMP_120"/>
    <d v="2024-02-11T21:12:00"/>
    <d v="2024-02-12T00:30:00"/>
    <n v="183"/>
    <n v="198"/>
    <n v="1"/>
    <x v="2"/>
    <x v="9"/>
    <n v="229.21"/>
    <n v="15"/>
    <n v="0.9242424242424242"/>
    <s v="Inefficient"/>
    <s v="Very Long"/>
    <s v="Minor Delay"/>
  </r>
  <r>
    <x v="2246"/>
    <x v="3"/>
    <x v="2246"/>
    <x v="0"/>
    <x v="1"/>
    <x v="1"/>
    <s v="EMP_127"/>
    <d v="2024-06-27T04:20:00"/>
    <d v="2024-06-27T06:42:00"/>
    <n v="34"/>
    <n v="142"/>
    <n v="1"/>
    <x v="2"/>
    <x v="9"/>
    <n v="140.47999999999999"/>
    <n v="108"/>
    <n v="0.23943661971830985"/>
    <s v="Inefficient"/>
    <s v="Very Long"/>
    <s v="Major Delay"/>
  </r>
  <r>
    <x v="2247"/>
    <x v="4"/>
    <x v="2247"/>
    <x v="0"/>
    <x v="2"/>
    <x v="3"/>
    <s v="EMP_39"/>
    <d v="2024-09-20T00:17:00"/>
    <d v="2024-09-20T04:05:00"/>
    <n v="146"/>
    <n v="228"/>
    <n v="1"/>
    <x v="2"/>
    <x v="5"/>
    <n v="245.99"/>
    <n v="82"/>
    <n v="0.64035087719298245"/>
    <s v="Inefficient"/>
    <s v="Very Long"/>
    <s v="Major Delay"/>
  </r>
  <r>
    <x v="2248"/>
    <x v="4"/>
    <x v="2248"/>
    <x v="1"/>
    <x v="3"/>
    <x v="2"/>
    <s v="EMP_35"/>
    <d v="2024-12-05T15:43:00"/>
    <d v="2024-12-05T18:14:00"/>
    <n v="80"/>
    <n v="151"/>
    <n v="1"/>
    <x v="1"/>
    <x v="9"/>
    <n v="457.85"/>
    <n v="71"/>
    <n v="0.5298013245033113"/>
    <s v="Inefficient"/>
    <s v="Very Long"/>
    <s v="Major Delay"/>
  </r>
  <r>
    <x v="2249"/>
    <x v="4"/>
    <x v="2249"/>
    <x v="0"/>
    <x v="1"/>
    <x v="1"/>
    <s v="EMP_125"/>
    <d v="2024-08-12T14:53:00"/>
    <d v="2024-08-12T17:58:00"/>
    <n v="127"/>
    <n v="185"/>
    <n v="1"/>
    <x v="0"/>
    <x v="4"/>
    <n v="326.24"/>
    <n v="58"/>
    <n v="0.68648648648648647"/>
    <s v="Inefficient"/>
    <s v="Very Long"/>
    <s v="Major Delay"/>
  </r>
  <r>
    <x v="2250"/>
    <x v="4"/>
    <x v="2250"/>
    <x v="3"/>
    <x v="3"/>
    <x v="2"/>
    <s v="EMP_120"/>
    <d v="2024-09-17T07:35:00"/>
    <d v="2024-09-17T10:57:00"/>
    <n v="145"/>
    <n v="202"/>
    <n v="1"/>
    <x v="1"/>
    <x v="8"/>
    <n v="362.04"/>
    <n v="57"/>
    <n v="0.71782178217821779"/>
    <s v="Inefficient"/>
    <s v="Very Long"/>
    <s v="Major Delay"/>
  </r>
  <r>
    <x v="2251"/>
    <x v="2"/>
    <x v="2251"/>
    <x v="1"/>
    <x v="2"/>
    <x v="0"/>
    <s v="EMP_15"/>
    <d v="2024-08-29T03:47:00"/>
    <d v="2024-08-29T05:39:00"/>
    <n v="98"/>
    <n v="112"/>
    <n v="1"/>
    <x v="0"/>
    <x v="1"/>
    <n v="408.14"/>
    <n v="14"/>
    <n v="0.875"/>
    <s v="Inefficient"/>
    <s v="Long"/>
    <s v="Minor Delay"/>
  </r>
  <r>
    <x v="2252"/>
    <x v="1"/>
    <x v="2252"/>
    <x v="2"/>
    <x v="1"/>
    <x v="1"/>
    <s v="EMP_127"/>
    <d v="2024-02-19T09:57:00"/>
    <d v="2024-02-19T11:37:00"/>
    <n v="25"/>
    <n v="100"/>
    <n v="1"/>
    <x v="2"/>
    <x v="7"/>
    <n v="109.88"/>
    <n v="75"/>
    <n v="0.25"/>
    <s v="Inefficient"/>
    <s v="Long"/>
    <s v="Major Delay"/>
  </r>
  <r>
    <x v="2253"/>
    <x v="3"/>
    <x v="2253"/>
    <x v="1"/>
    <x v="3"/>
    <x v="2"/>
    <s v="EMP_82"/>
    <d v="2024-12-11T08:31:00"/>
    <d v="2024-12-11T13:43:00"/>
    <n v="207"/>
    <n v="312"/>
    <n v="1"/>
    <x v="2"/>
    <x v="9"/>
    <n v="315.14"/>
    <n v="105"/>
    <n v="0.66346153846153844"/>
    <s v="Inefficient"/>
    <s v="Very Long"/>
    <s v="Major Delay"/>
  </r>
  <r>
    <x v="2254"/>
    <x v="4"/>
    <x v="2254"/>
    <x v="0"/>
    <x v="1"/>
    <x v="2"/>
    <s v="EMP_87"/>
    <d v="2024-01-27T19:52:00"/>
    <d v="2024-01-28T00:32:00"/>
    <n v="197"/>
    <n v="280"/>
    <n v="1"/>
    <x v="2"/>
    <x v="4"/>
    <n v="54.71"/>
    <n v="83"/>
    <n v="0.70357142857142863"/>
    <s v="Inefficient"/>
    <s v="Very Long"/>
    <s v="Major Delay"/>
  </r>
  <r>
    <x v="2255"/>
    <x v="3"/>
    <x v="2255"/>
    <x v="1"/>
    <x v="1"/>
    <x v="2"/>
    <s v="EMP_111"/>
    <d v="2024-11-12T06:23:00"/>
    <d v="2024-11-12T10:18:00"/>
    <n v="220"/>
    <n v="235"/>
    <n v="1"/>
    <x v="1"/>
    <x v="0"/>
    <n v="50.65"/>
    <n v="15"/>
    <n v="0.93617021276595747"/>
    <s v="Inefficient"/>
    <s v="Very Long"/>
    <s v="Minor Delay"/>
  </r>
  <r>
    <x v="2256"/>
    <x v="4"/>
    <x v="2256"/>
    <x v="0"/>
    <x v="1"/>
    <x v="4"/>
    <s v="EMP_78"/>
    <d v="2024-03-03T11:54:00"/>
    <d v="2024-03-03T14:54:00"/>
    <n v="112"/>
    <n v="180"/>
    <n v="1"/>
    <x v="1"/>
    <x v="8"/>
    <n v="79.14"/>
    <n v="68"/>
    <n v="0.62222222222222223"/>
    <s v="Inefficient"/>
    <s v="Very Long"/>
    <s v="Major Delay"/>
  </r>
  <r>
    <x v="2257"/>
    <x v="2"/>
    <x v="2257"/>
    <x v="1"/>
    <x v="3"/>
    <x v="4"/>
    <s v="EMP_78"/>
    <d v="2024-09-14T14:15:00"/>
    <d v="2024-09-14T15:15:00"/>
    <n v="51"/>
    <n v="60"/>
    <n v="1"/>
    <x v="0"/>
    <x v="9"/>
    <n v="421.58"/>
    <n v="9"/>
    <n v="0.85"/>
    <s v="Inefficient"/>
    <s v="Long"/>
    <s v="Minor Delay"/>
  </r>
  <r>
    <x v="2258"/>
    <x v="3"/>
    <x v="2258"/>
    <x v="0"/>
    <x v="2"/>
    <x v="3"/>
    <s v="EMP_145"/>
    <d v="2024-02-11T19:22:00"/>
    <d v="2024-02-11T23:13:00"/>
    <n v="207"/>
    <n v="231"/>
    <n v="1"/>
    <x v="2"/>
    <x v="7"/>
    <n v="355.95"/>
    <n v="24"/>
    <n v="0.89610389610389607"/>
    <s v="Inefficient"/>
    <s v="Very Long"/>
    <s v="Minor Delay"/>
  </r>
  <r>
    <x v="2259"/>
    <x v="2"/>
    <x v="2259"/>
    <x v="0"/>
    <x v="2"/>
    <x v="3"/>
    <s v="EMP_144"/>
    <d v="2024-07-26T23:10:00"/>
    <d v="2024-07-27T03:31:00"/>
    <n v="235"/>
    <n v="261"/>
    <n v="1"/>
    <x v="2"/>
    <x v="6"/>
    <n v="493.23"/>
    <n v="26"/>
    <n v="0.90038314176245215"/>
    <s v="Inefficient"/>
    <s v="Very Long"/>
    <s v="Minor Delay"/>
  </r>
  <r>
    <x v="2260"/>
    <x v="4"/>
    <x v="2260"/>
    <x v="3"/>
    <x v="2"/>
    <x v="1"/>
    <s v="EMP_106"/>
    <d v="2024-06-19T06:21:00"/>
    <d v="2024-06-19T09:29:00"/>
    <n v="87"/>
    <n v="188"/>
    <n v="1"/>
    <x v="0"/>
    <x v="7"/>
    <n v="354.41"/>
    <n v="101"/>
    <n v="0.46276595744680848"/>
    <s v="Inefficient"/>
    <s v="Very Long"/>
    <s v="Major Delay"/>
  </r>
  <r>
    <x v="2261"/>
    <x v="0"/>
    <x v="2261"/>
    <x v="3"/>
    <x v="2"/>
    <x v="4"/>
    <s v="EMP_28"/>
    <d v="2024-07-23T22:46:00"/>
    <d v="2024-07-24T01:07:00"/>
    <n v="127"/>
    <n v="141"/>
    <n v="1"/>
    <x v="0"/>
    <x v="6"/>
    <n v="263.37"/>
    <n v="14"/>
    <n v="0.900709219858156"/>
    <s v="Inefficient"/>
    <s v="Very Long"/>
    <s v="Minor Delay"/>
  </r>
  <r>
    <x v="2262"/>
    <x v="2"/>
    <x v="2262"/>
    <x v="1"/>
    <x v="2"/>
    <x v="3"/>
    <s v="EMP_90"/>
    <d v="2024-11-23T01:46:00"/>
    <d v="2024-11-23T04:59:00"/>
    <n v="193"/>
    <n v="193"/>
    <n v="0"/>
    <x v="1"/>
    <x v="6"/>
    <n v="295"/>
    <n v="0"/>
    <n v="1"/>
    <s v="On Target"/>
    <s v="Very Long"/>
    <s v="On Time"/>
  </r>
  <r>
    <x v="2263"/>
    <x v="3"/>
    <x v="2263"/>
    <x v="0"/>
    <x v="2"/>
    <x v="3"/>
    <s v="EMP_148"/>
    <d v="2024-03-19T10:47:00"/>
    <d v="2024-03-19T12:28:00"/>
    <n v="30"/>
    <n v="101"/>
    <n v="1"/>
    <x v="2"/>
    <x v="5"/>
    <n v="246.6"/>
    <n v="71"/>
    <n v="0.29702970297029702"/>
    <s v="Inefficient"/>
    <s v="Long"/>
    <s v="Major Delay"/>
  </r>
  <r>
    <x v="2264"/>
    <x v="0"/>
    <x v="2264"/>
    <x v="1"/>
    <x v="1"/>
    <x v="2"/>
    <s v="EMP_124"/>
    <d v="2024-06-12T06:52:00"/>
    <d v="2024-06-12T08:52:00"/>
    <n v="122"/>
    <n v="120"/>
    <n v="0"/>
    <x v="1"/>
    <x v="3"/>
    <n v="120"/>
    <n v="-2"/>
    <n v="1.0166666666666666"/>
    <s v="Efficient"/>
    <s v="Very Long"/>
    <s v="On Time"/>
  </r>
  <r>
    <x v="2265"/>
    <x v="1"/>
    <x v="2265"/>
    <x v="3"/>
    <x v="0"/>
    <x v="4"/>
    <s v="EMP_44"/>
    <d v="2024-11-01T16:08:00"/>
    <d v="2024-11-01T21:35:00"/>
    <n v="233"/>
    <n v="327"/>
    <n v="1"/>
    <x v="1"/>
    <x v="3"/>
    <n v="303.42"/>
    <n v="94"/>
    <n v="0.71253822629969421"/>
    <s v="Inefficient"/>
    <s v="Very Long"/>
    <s v="Major Delay"/>
  </r>
  <r>
    <x v="2266"/>
    <x v="1"/>
    <x v="2266"/>
    <x v="0"/>
    <x v="1"/>
    <x v="3"/>
    <s v="EMP_119"/>
    <d v="2024-11-21T02:43:00"/>
    <d v="2024-11-21T03:47:00"/>
    <n v="40"/>
    <n v="64"/>
    <n v="1"/>
    <x v="0"/>
    <x v="5"/>
    <n v="187.82"/>
    <n v="24"/>
    <n v="0.625"/>
    <s v="Inefficient"/>
    <s v="Long"/>
    <s v="Minor Delay"/>
  </r>
  <r>
    <x v="2267"/>
    <x v="1"/>
    <x v="2267"/>
    <x v="3"/>
    <x v="0"/>
    <x v="2"/>
    <s v="EMP_14"/>
    <d v="2024-09-28T05:15:00"/>
    <d v="2024-09-28T07:51:00"/>
    <n v="76"/>
    <n v="156"/>
    <n v="1"/>
    <x v="1"/>
    <x v="7"/>
    <n v="385.52"/>
    <n v="80"/>
    <n v="0.48717948717948717"/>
    <s v="Inefficient"/>
    <s v="Very Long"/>
    <s v="Major Delay"/>
  </r>
  <r>
    <x v="2268"/>
    <x v="4"/>
    <x v="2268"/>
    <x v="3"/>
    <x v="3"/>
    <x v="2"/>
    <s v="EMP_75"/>
    <d v="2024-11-11T05:41:00"/>
    <d v="2024-11-11T06:58:00"/>
    <n v="49"/>
    <n v="77"/>
    <n v="1"/>
    <x v="1"/>
    <x v="6"/>
    <n v="270.06"/>
    <n v="28"/>
    <n v="0.63636363636363635"/>
    <s v="Inefficient"/>
    <s v="Long"/>
    <s v="Minor Delay"/>
  </r>
  <r>
    <x v="2269"/>
    <x v="4"/>
    <x v="2269"/>
    <x v="3"/>
    <x v="3"/>
    <x v="3"/>
    <s v="EMP_137"/>
    <d v="2024-10-25T04:27:00"/>
    <d v="2024-10-25T07:57:00"/>
    <n v="203"/>
    <n v="210"/>
    <n v="1"/>
    <x v="2"/>
    <x v="8"/>
    <n v="447.13"/>
    <n v="7"/>
    <n v="0.96666666666666667"/>
    <s v="Inefficient"/>
    <s v="Very Long"/>
    <s v="Minor Delay"/>
  </r>
  <r>
    <x v="2270"/>
    <x v="0"/>
    <x v="2270"/>
    <x v="1"/>
    <x v="1"/>
    <x v="4"/>
    <s v="EMP_7"/>
    <d v="2024-08-02T15:22:00"/>
    <d v="2024-08-02T19:01:00"/>
    <n v="101"/>
    <n v="219"/>
    <n v="1"/>
    <x v="2"/>
    <x v="4"/>
    <n v="80.02"/>
    <n v="118"/>
    <n v="0.46118721461187212"/>
    <s v="Inefficient"/>
    <s v="Very Long"/>
    <s v="Major Delay"/>
  </r>
  <r>
    <x v="2271"/>
    <x v="0"/>
    <x v="2271"/>
    <x v="0"/>
    <x v="3"/>
    <x v="2"/>
    <s v="EMP_126"/>
    <d v="2024-04-25T02:59:00"/>
    <d v="2024-04-25T05:20:00"/>
    <n v="91"/>
    <n v="141"/>
    <n v="1"/>
    <x v="1"/>
    <x v="6"/>
    <n v="78.400000000000006"/>
    <n v="50"/>
    <n v="0.64539007092198586"/>
    <s v="Inefficient"/>
    <s v="Very Long"/>
    <s v="Major Delay"/>
  </r>
  <r>
    <x v="2272"/>
    <x v="3"/>
    <x v="2272"/>
    <x v="3"/>
    <x v="1"/>
    <x v="2"/>
    <s v="EMP_37"/>
    <d v="2024-07-03T06:48:00"/>
    <d v="2024-07-03T08:34:00"/>
    <n v="106"/>
    <n v="106"/>
    <n v="0"/>
    <x v="1"/>
    <x v="1"/>
    <n v="467.94"/>
    <n v="0"/>
    <n v="1"/>
    <s v="On Target"/>
    <s v="Long"/>
    <s v="On Time"/>
  </r>
  <r>
    <x v="2273"/>
    <x v="1"/>
    <x v="2273"/>
    <x v="3"/>
    <x v="0"/>
    <x v="4"/>
    <s v="EMP_128"/>
    <d v="2024-07-13T03:11:00"/>
    <d v="2024-07-13T05:24:00"/>
    <n v="127"/>
    <n v="133"/>
    <n v="1"/>
    <x v="0"/>
    <x v="5"/>
    <n v="257.41000000000003"/>
    <n v="6"/>
    <n v="0.95488721804511278"/>
    <s v="Inefficient"/>
    <s v="Very Long"/>
    <s v="Minor Delay"/>
  </r>
  <r>
    <x v="2274"/>
    <x v="2"/>
    <x v="2274"/>
    <x v="3"/>
    <x v="3"/>
    <x v="1"/>
    <s v="EMP_50"/>
    <d v="2024-03-27T08:11:00"/>
    <d v="2024-03-27T10:33:00"/>
    <n v="131"/>
    <n v="142"/>
    <n v="1"/>
    <x v="2"/>
    <x v="6"/>
    <n v="267.70999999999998"/>
    <n v="11"/>
    <n v="0.92253521126760563"/>
    <s v="Inefficient"/>
    <s v="Very Long"/>
    <s v="Minor Delay"/>
  </r>
  <r>
    <x v="2275"/>
    <x v="3"/>
    <x v="2275"/>
    <x v="3"/>
    <x v="3"/>
    <x v="1"/>
    <s v="EMP_139"/>
    <d v="2024-03-11T08:19:00"/>
    <d v="2024-03-11T12:30:00"/>
    <n v="240"/>
    <n v="251"/>
    <n v="1"/>
    <x v="0"/>
    <x v="5"/>
    <n v="239.3"/>
    <n v="11"/>
    <n v="0.95617529880478092"/>
    <s v="Inefficient"/>
    <s v="Very Long"/>
    <s v="Minor Delay"/>
  </r>
  <r>
    <x v="2276"/>
    <x v="3"/>
    <x v="2276"/>
    <x v="3"/>
    <x v="0"/>
    <x v="1"/>
    <s v="EMP_12"/>
    <d v="2024-12-02T04:25:00"/>
    <d v="2024-12-02T09:22:00"/>
    <n v="232"/>
    <n v="297"/>
    <n v="1"/>
    <x v="1"/>
    <x v="4"/>
    <n v="280.35000000000002"/>
    <n v="65"/>
    <n v="0.78114478114478114"/>
    <s v="Inefficient"/>
    <s v="Very Long"/>
    <s v="Major Delay"/>
  </r>
  <r>
    <x v="2277"/>
    <x v="0"/>
    <x v="2277"/>
    <x v="2"/>
    <x v="3"/>
    <x v="2"/>
    <s v="EMP_45"/>
    <d v="2024-04-12T23:12:00"/>
    <d v="2024-04-13T02:58:00"/>
    <n v="227"/>
    <n v="226"/>
    <n v="0"/>
    <x v="0"/>
    <x v="9"/>
    <n v="367.85"/>
    <n v="-1"/>
    <n v="1.0044247787610618"/>
    <s v="Efficient"/>
    <s v="Very Long"/>
    <s v="On Time"/>
  </r>
  <r>
    <x v="2278"/>
    <x v="4"/>
    <x v="2278"/>
    <x v="3"/>
    <x v="1"/>
    <x v="3"/>
    <s v="EMP_67"/>
    <d v="2024-11-25T16:49:00"/>
    <d v="2024-11-25T18:56:00"/>
    <n v="34"/>
    <n v="127"/>
    <n v="1"/>
    <x v="2"/>
    <x v="7"/>
    <n v="110.44"/>
    <n v="93"/>
    <n v="0.26771653543307089"/>
    <s v="Inefficient"/>
    <s v="Very Long"/>
    <s v="Major Delay"/>
  </r>
  <r>
    <x v="2279"/>
    <x v="3"/>
    <x v="2279"/>
    <x v="2"/>
    <x v="2"/>
    <x v="0"/>
    <s v="EMP_40"/>
    <d v="2024-10-23T09:36:00"/>
    <d v="2024-10-23T11:40:00"/>
    <n v="121"/>
    <n v="124"/>
    <n v="1"/>
    <x v="0"/>
    <x v="7"/>
    <n v="423.99"/>
    <n v="3"/>
    <n v="0.97580645161290325"/>
    <s v="Inefficient"/>
    <s v="Very Long"/>
    <s v="Minor Delay"/>
  </r>
  <r>
    <x v="2280"/>
    <x v="3"/>
    <x v="2280"/>
    <x v="3"/>
    <x v="3"/>
    <x v="2"/>
    <s v="EMP_122"/>
    <d v="2024-08-29T13:52:00"/>
    <d v="2024-08-29T17:36:00"/>
    <n v="106"/>
    <n v="224"/>
    <n v="1"/>
    <x v="2"/>
    <x v="3"/>
    <n v="295.70999999999998"/>
    <n v="118"/>
    <n v="0.4732142857142857"/>
    <s v="Inefficient"/>
    <s v="Very Long"/>
    <s v="Major Delay"/>
  </r>
  <r>
    <x v="2281"/>
    <x v="1"/>
    <x v="2281"/>
    <x v="2"/>
    <x v="2"/>
    <x v="4"/>
    <s v="EMP_127"/>
    <d v="2024-10-16T18:47:00"/>
    <d v="2024-10-16T21:41:00"/>
    <n v="90"/>
    <n v="174"/>
    <n v="1"/>
    <x v="1"/>
    <x v="8"/>
    <n v="230.66"/>
    <n v="84"/>
    <n v="0.51724137931034486"/>
    <s v="Inefficient"/>
    <s v="Very Long"/>
    <s v="Major Delay"/>
  </r>
  <r>
    <x v="2282"/>
    <x v="2"/>
    <x v="2282"/>
    <x v="4"/>
    <x v="0"/>
    <x v="2"/>
    <s v="EMP_37"/>
    <d v="2024-04-22T11:58:00"/>
    <d v="2024-04-22T16:22:00"/>
    <n v="145"/>
    <n v="264"/>
    <n v="1"/>
    <x v="0"/>
    <x v="8"/>
    <n v="473.77"/>
    <n v="119"/>
    <n v="0.5492424242424242"/>
    <s v="Inefficient"/>
    <s v="Very Long"/>
    <s v="Major Delay"/>
  </r>
  <r>
    <x v="2283"/>
    <x v="1"/>
    <x v="2283"/>
    <x v="0"/>
    <x v="2"/>
    <x v="3"/>
    <s v="EMP_81"/>
    <d v="2024-01-10T01:51:00"/>
    <d v="2024-01-10T03:04:00"/>
    <n v="74"/>
    <n v="73"/>
    <n v="0"/>
    <x v="2"/>
    <x v="4"/>
    <n v="218.93"/>
    <n v="-1"/>
    <n v="1.0136986301369864"/>
    <s v="Efficient"/>
    <s v="Long"/>
    <s v="On Time"/>
  </r>
  <r>
    <x v="2284"/>
    <x v="2"/>
    <x v="2284"/>
    <x v="1"/>
    <x v="0"/>
    <x v="3"/>
    <s v="EMP_1"/>
    <d v="2024-02-14T05:49:00"/>
    <d v="2024-02-14T08:51:00"/>
    <n v="114"/>
    <n v="182"/>
    <n v="1"/>
    <x v="2"/>
    <x v="9"/>
    <n v="356.1"/>
    <n v="68"/>
    <n v="0.62637362637362637"/>
    <s v="Inefficient"/>
    <s v="Very Long"/>
    <s v="Major Delay"/>
  </r>
  <r>
    <x v="2285"/>
    <x v="1"/>
    <x v="2285"/>
    <x v="4"/>
    <x v="1"/>
    <x v="4"/>
    <s v="EMP_42"/>
    <d v="2024-11-17T10:54:00"/>
    <d v="2024-11-17T12:03:00"/>
    <n v="59"/>
    <n v="69"/>
    <n v="1"/>
    <x v="2"/>
    <x v="6"/>
    <n v="200.31"/>
    <n v="10"/>
    <n v="0.85507246376811596"/>
    <s v="Inefficient"/>
    <s v="Long"/>
    <s v="Minor Delay"/>
  </r>
  <r>
    <x v="2286"/>
    <x v="3"/>
    <x v="2286"/>
    <x v="0"/>
    <x v="2"/>
    <x v="3"/>
    <s v="EMP_53"/>
    <d v="2024-06-07T13:18:00"/>
    <d v="2024-06-07T15:57:00"/>
    <n v="142"/>
    <n v="159"/>
    <n v="1"/>
    <x v="0"/>
    <x v="9"/>
    <n v="152.08000000000001"/>
    <n v="17"/>
    <n v="0.89308176100628933"/>
    <s v="Inefficient"/>
    <s v="Very Long"/>
    <s v="Minor Delay"/>
  </r>
  <r>
    <x v="2287"/>
    <x v="0"/>
    <x v="2287"/>
    <x v="0"/>
    <x v="3"/>
    <x v="3"/>
    <s v="EMP_50"/>
    <d v="2024-04-16T00:34:00"/>
    <d v="2024-04-16T02:52:00"/>
    <n v="33"/>
    <n v="138"/>
    <n v="1"/>
    <x v="0"/>
    <x v="0"/>
    <n v="178.68"/>
    <n v="105"/>
    <n v="0.2391304347826087"/>
    <s v="Inefficient"/>
    <s v="Very Long"/>
    <s v="Major Delay"/>
  </r>
  <r>
    <x v="2288"/>
    <x v="4"/>
    <x v="2288"/>
    <x v="1"/>
    <x v="2"/>
    <x v="4"/>
    <s v="EMP_33"/>
    <d v="2024-07-06T02:16:00"/>
    <d v="2024-07-06T03:59:00"/>
    <n v="40"/>
    <n v="103"/>
    <n v="1"/>
    <x v="1"/>
    <x v="1"/>
    <n v="173.21"/>
    <n v="63"/>
    <n v="0.38834951456310679"/>
    <s v="Inefficient"/>
    <s v="Long"/>
    <s v="Major Delay"/>
  </r>
  <r>
    <x v="2289"/>
    <x v="4"/>
    <x v="2289"/>
    <x v="1"/>
    <x v="0"/>
    <x v="0"/>
    <s v="EMP_97"/>
    <d v="2024-01-24T15:31:00"/>
    <d v="2024-01-24T18:30:00"/>
    <n v="70"/>
    <n v="179"/>
    <n v="1"/>
    <x v="2"/>
    <x v="0"/>
    <n v="89.16"/>
    <n v="109"/>
    <n v="0.39106145251396646"/>
    <s v="Inefficient"/>
    <s v="Very Long"/>
    <s v="Major Delay"/>
  </r>
  <r>
    <x v="2290"/>
    <x v="3"/>
    <x v="2290"/>
    <x v="4"/>
    <x v="3"/>
    <x v="1"/>
    <s v="EMP_54"/>
    <d v="2024-11-23T09:51:00"/>
    <d v="2024-11-23T11:27:00"/>
    <n v="49"/>
    <n v="96"/>
    <n v="1"/>
    <x v="1"/>
    <x v="5"/>
    <n v="415.62"/>
    <n v="47"/>
    <n v="0.51041666666666663"/>
    <s v="Inefficient"/>
    <s v="Long"/>
    <s v="Major Delay"/>
  </r>
  <r>
    <x v="2291"/>
    <x v="2"/>
    <x v="2291"/>
    <x v="4"/>
    <x v="0"/>
    <x v="3"/>
    <s v="EMP_84"/>
    <d v="2024-10-11T06:45:00"/>
    <d v="2024-10-11T08:20:00"/>
    <n v="34"/>
    <n v="95"/>
    <n v="1"/>
    <x v="1"/>
    <x v="4"/>
    <n v="164.73"/>
    <n v="61"/>
    <n v="0.35789473684210527"/>
    <s v="Inefficient"/>
    <s v="Long"/>
    <s v="Major Delay"/>
  </r>
  <r>
    <x v="2292"/>
    <x v="0"/>
    <x v="2292"/>
    <x v="4"/>
    <x v="1"/>
    <x v="3"/>
    <s v="EMP_114"/>
    <d v="2024-01-31T00:11:00"/>
    <d v="2024-01-31T04:39:00"/>
    <n v="236"/>
    <n v="268"/>
    <n v="1"/>
    <x v="1"/>
    <x v="4"/>
    <n v="482.25"/>
    <n v="32"/>
    <n v="0.88059701492537312"/>
    <s v="Inefficient"/>
    <s v="Very Long"/>
    <s v="Major Delay"/>
  </r>
  <r>
    <x v="2293"/>
    <x v="4"/>
    <x v="2293"/>
    <x v="3"/>
    <x v="1"/>
    <x v="4"/>
    <s v="EMP_37"/>
    <d v="2024-12-14T03:55:00"/>
    <d v="2024-12-14T08:17:00"/>
    <n v="200"/>
    <n v="262"/>
    <n v="1"/>
    <x v="2"/>
    <x v="3"/>
    <n v="374"/>
    <n v="62"/>
    <n v="0.76335877862595425"/>
    <s v="Inefficient"/>
    <s v="Very Long"/>
    <s v="Major Delay"/>
  </r>
  <r>
    <x v="2294"/>
    <x v="1"/>
    <x v="2294"/>
    <x v="0"/>
    <x v="3"/>
    <x v="3"/>
    <s v="EMP_105"/>
    <d v="2024-02-20T18:29:00"/>
    <d v="2024-02-20T21:52:00"/>
    <n v="138"/>
    <n v="203"/>
    <n v="1"/>
    <x v="0"/>
    <x v="9"/>
    <n v="51.46"/>
    <n v="65"/>
    <n v="0.67980295566502458"/>
    <s v="Inefficient"/>
    <s v="Very Long"/>
    <s v="Major Delay"/>
  </r>
  <r>
    <x v="2295"/>
    <x v="3"/>
    <x v="2295"/>
    <x v="0"/>
    <x v="3"/>
    <x v="4"/>
    <s v="EMP_44"/>
    <d v="2024-08-16T03:21:00"/>
    <d v="2024-08-16T05:01:00"/>
    <n v="56"/>
    <n v="100"/>
    <n v="1"/>
    <x v="0"/>
    <x v="5"/>
    <n v="82.22"/>
    <n v="44"/>
    <n v="0.56000000000000005"/>
    <s v="Inefficient"/>
    <s v="Long"/>
    <s v="Major Delay"/>
  </r>
  <r>
    <x v="2296"/>
    <x v="4"/>
    <x v="2296"/>
    <x v="0"/>
    <x v="2"/>
    <x v="4"/>
    <s v="EMP_3"/>
    <d v="2024-08-13T16:03:00"/>
    <d v="2024-08-13T17:02:00"/>
    <n v="54"/>
    <n v="59"/>
    <n v="1"/>
    <x v="2"/>
    <x v="7"/>
    <n v="261.56"/>
    <n v="5"/>
    <n v="0.9152542372881356"/>
    <s v="Inefficient"/>
    <s v="Medium"/>
    <s v="Minor Delay"/>
  </r>
  <r>
    <x v="2297"/>
    <x v="1"/>
    <x v="2297"/>
    <x v="4"/>
    <x v="0"/>
    <x v="4"/>
    <s v="EMP_47"/>
    <d v="2024-03-10T23:48:00"/>
    <d v="2024-03-11T03:23:00"/>
    <n v="117"/>
    <n v="215"/>
    <n v="1"/>
    <x v="2"/>
    <x v="8"/>
    <n v="373"/>
    <n v="98"/>
    <n v="0.54418604651162794"/>
    <s v="Inefficient"/>
    <s v="Very Long"/>
    <s v="Major Delay"/>
  </r>
  <r>
    <x v="2298"/>
    <x v="3"/>
    <x v="2298"/>
    <x v="1"/>
    <x v="1"/>
    <x v="2"/>
    <s v="EMP_124"/>
    <d v="2024-09-20T10:43:00"/>
    <d v="2024-09-20T12:15:00"/>
    <n v="23"/>
    <n v="92"/>
    <n v="1"/>
    <x v="2"/>
    <x v="9"/>
    <n v="277.31"/>
    <n v="69"/>
    <n v="0.25"/>
    <s v="Inefficient"/>
    <s v="Long"/>
    <s v="Major Delay"/>
  </r>
  <r>
    <x v="2299"/>
    <x v="4"/>
    <x v="2299"/>
    <x v="1"/>
    <x v="0"/>
    <x v="1"/>
    <s v="EMP_70"/>
    <d v="2024-06-29T21:59:00"/>
    <d v="2024-06-30T01:42:00"/>
    <n v="151"/>
    <n v="223"/>
    <n v="1"/>
    <x v="0"/>
    <x v="4"/>
    <n v="423.08"/>
    <n v="72"/>
    <n v="0.67713004484304928"/>
    <s v="Inefficient"/>
    <s v="Very Long"/>
    <s v="Major Delay"/>
  </r>
  <r>
    <x v="2300"/>
    <x v="0"/>
    <x v="2300"/>
    <x v="1"/>
    <x v="2"/>
    <x v="2"/>
    <s v="EMP_84"/>
    <d v="2024-06-07T11:40:00"/>
    <d v="2024-06-07T13:12:00"/>
    <n v="32"/>
    <n v="92"/>
    <n v="1"/>
    <x v="2"/>
    <x v="4"/>
    <n v="444.41"/>
    <n v="60"/>
    <n v="0.34782608695652173"/>
    <s v="Inefficient"/>
    <s v="Long"/>
    <s v="Major Delay"/>
  </r>
  <r>
    <x v="2301"/>
    <x v="2"/>
    <x v="2301"/>
    <x v="1"/>
    <x v="1"/>
    <x v="1"/>
    <s v="EMP_149"/>
    <d v="2024-05-24T20:22:00"/>
    <d v="2024-05-24T22:09:00"/>
    <n v="62"/>
    <n v="107"/>
    <n v="1"/>
    <x v="1"/>
    <x v="5"/>
    <n v="491.19"/>
    <n v="45"/>
    <n v="0.57943925233644855"/>
    <s v="Inefficient"/>
    <s v="Long"/>
    <s v="Major Delay"/>
  </r>
  <r>
    <x v="2302"/>
    <x v="2"/>
    <x v="2302"/>
    <x v="3"/>
    <x v="1"/>
    <x v="0"/>
    <s v="EMP_35"/>
    <d v="2024-08-17T07:15:00"/>
    <d v="2024-08-17T07:50:00"/>
    <n v="28"/>
    <n v="35"/>
    <n v="1"/>
    <x v="2"/>
    <x v="1"/>
    <n v="208.77"/>
    <n v="7"/>
    <n v="0.8"/>
    <s v="Inefficient"/>
    <s v="Medium"/>
    <s v="Minor Delay"/>
  </r>
  <r>
    <x v="2303"/>
    <x v="4"/>
    <x v="2303"/>
    <x v="2"/>
    <x v="3"/>
    <x v="4"/>
    <s v="EMP_107"/>
    <d v="2024-10-12T23:46:00"/>
    <d v="2024-10-13T03:33:00"/>
    <n v="124"/>
    <n v="227"/>
    <n v="1"/>
    <x v="0"/>
    <x v="8"/>
    <n v="402.98"/>
    <n v="103"/>
    <n v="0.54625550660792954"/>
    <s v="Inefficient"/>
    <s v="Very Long"/>
    <s v="Major Delay"/>
  </r>
  <r>
    <x v="2304"/>
    <x v="4"/>
    <x v="2304"/>
    <x v="4"/>
    <x v="1"/>
    <x v="0"/>
    <s v="EMP_141"/>
    <d v="2024-06-02T10:47:00"/>
    <d v="2024-06-02T14:41:00"/>
    <n v="115"/>
    <n v="234"/>
    <n v="1"/>
    <x v="0"/>
    <x v="2"/>
    <n v="131.32"/>
    <n v="119"/>
    <n v="0.49145299145299143"/>
    <s v="Inefficient"/>
    <s v="Very Long"/>
    <s v="Major Delay"/>
  </r>
  <r>
    <x v="2305"/>
    <x v="3"/>
    <x v="2305"/>
    <x v="2"/>
    <x v="3"/>
    <x v="3"/>
    <s v="EMP_39"/>
    <d v="2024-01-27T08:17:00"/>
    <d v="2024-01-27T09:30:00"/>
    <n v="42"/>
    <n v="73"/>
    <n v="1"/>
    <x v="2"/>
    <x v="4"/>
    <n v="484.59"/>
    <n v="31"/>
    <n v="0.57534246575342463"/>
    <s v="Inefficient"/>
    <s v="Long"/>
    <s v="Major Delay"/>
  </r>
  <r>
    <x v="2306"/>
    <x v="4"/>
    <x v="2306"/>
    <x v="3"/>
    <x v="0"/>
    <x v="0"/>
    <s v="EMP_140"/>
    <d v="2024-06-29T10:50:00"/>
    <d v="2024-06-29T12:52:00"/>
    <n v="118"/>
    <n v="122"/>
    <n v="1"/>
    <x v="2"/>
    <x v="7"/>
    <n v="426.46"/>
    <n v="4"/>
    <n v="0.96721311475409832"/>
    <s v="Inefficient"/>
    <s v="Very Long"/>
    <s v="Minor Delay"/>
  </r>
  <r>
    <x v="2307"/>
    <x v="0"/>
    <x v="2307"/>
    <x v="4"/>
    <x v="1"/>
    <x v="4"/>
    <s v="EMP_50"/>
    <d v="2024-10-16T03:50:00"/>
    <d v="2024-10-16T06:55:00"/>
    <n v="124"/>
    <n v="185"/>
    <n v="1"/>
    <x v="0"/>
    <x v="9"/>
    <n v="312.05"/>
    <n v="61"/>
    <n v="0.67027027027027031"/>
    <s v="Inefficient"/>
    <s v="Very Long"/>
    <s v="Major Delay"/>
  </r>
  <r>
    <x v="2308"/>
    <x v="2"/>
    <x v="2308"/>
    <x v="0"/>
    <x v="2"/>
    <x v="3"/>
    <s v="EMP_1"/>
    <d v="2024-08-04T00:34:00"/>
    <d v="2024-08-04T01:58:00"/>
    <n v="22"/>
    <n v="84"/>
    <n v="1"/>
    <x v="1"/>
    <x v="0"/>
    <n v="228.82"/>
    <n v="62"/>
    <n v="0.26190476190476192"/>
    <s v="Inefficient"/>
    <s v="Long"/>
    <s v="Major Delay"/>
  </r>
  <r>
    <x v="2309"/>
    <x v="3"/>
    <x v="2309"/>
    <x v="2"/>
    <x v="3"/>
    <x v="0"/>
    <s v="EMP_39"/>
    <d v="2024-05-18T12:05:00"/>
    <d v="2024-05-18T15:30:00"/>
    <n v="89"/>
    <n v="205"/>
    <n v="1"/>
    <x v="2"/>
    <x v="1"/>
    <n v="429.12"/>
    <n v="116"/>
    <n v="0.43414634146341463"/>
    <s v="Inefficient"/>
    <s v="Very Long"/>
    <s v="Major Delay"/>
  </r>
  <r>
    <x v="2310"/>
    <x v="0"/>
    <x v="2310"/>
    <x v="2"/>
    <x v="0"/>
    <x v="2"/>
    <s v="EMP_43"/>
    <d v="2024-08-12T12:02:00"/>
    <d v="2024-08-12T13:34:00"/>
    <n v="41"/>
    <n v="92"/>
    <n v="1"/>
    <x v="2"/>
    <x v="5"/>
    <n v="228.6"/>
    <n v="51"/>
    <n v="0.44565217391304346"/>
    <s v="Inefficient"/>
    <s v="Long"/>
    <s v="Major Delay"/>
  </r>
  <r>
    <x v="2311"/>
    <x v="1"/>
    <x v="2311"/>
    <x v="0"/>
    <x v="0"/>
    <x v="4"/>
    <s v="EMP_6"/>
    <d v="2024-04-26T10:05:00"/>
    <d v="2024-04-26T11:41:00"/>
    <n v="19"/>
    <n v="96"/>
    <n v="1"/>
    <x v="0"/>
    <x v="8"/>
    <n v="249.79"/>
    <n v="77"/>
    <n v="0.19791666666666666"/>
    <s v="Inefficient"/>
    <s v="Long"/>
    <s v="Major Delay"/>
  </r>
  <r>
    <x v="2312"/>
    <x v="4"/>
    <x v="2312"/>
    <x v="2"/>
    <x v="0"/>
    <x v="4"/>
    <s v="EMP_122"/>
    <d v="2024-09-21T21:21:00"/>
    <d v="2024-09-22T01:09:00"/>
    <n v="114"/>
    <n v="228"/>
    <n v="1"/>
    <x v="2"/>
    <x v="9"/>
    <n v="414.62"/>
    <n v="114"/>
    <n v="0.5"/>
    <s v="Inefficient"/>
    <s v="Very Long"/>
    <s v="Major Delay"/>
  </r>
  <r>
    <x v="2313"/>
    <x v="0"/>
    <x v="2313"/>
    <x v="4"/>
    <x v="0"/>
    <x v="4"/>
    <s v="EMP_94"/>
    <d v="2024-08-28T09:07:00"/>
    <d v="2024-08-28T13:20:00"/>
    <n v="192"/>
    <n v="253"/>
    <n v="1"/>
    <x v="2"/>
    <x v="1"/>
    <n v="175.02"/>
    <n v="61"/>
    <n v="0.75889328063241102"/>
    <s v="Inefficient"/>
    <s v="Very Long"/>
    <s v="Major Delay"/>
  </r>
  <r>
    <x v="2314"/>
    <x v="4"/>
    <x v="2314"/>
    <x v="0"/>
    <x v="1"/>
    <x v="0"/>
    <s v="EMP_139"/>
    <d v="2024-08-11T18:18:00"/>
    <d v="2024-08-11T20:13:00"/>
    <n v="115"/>
    <n v="115"/>
    <n v="0"/>
    <x v="2"/>
    <x v="9"/>
    <n v="209.47"/>
    <n v="0"/>
    <n v="1"/>
    <s v="On Target"/>
    <s v="Long"/>
    <s v="On Time"/>
  </r>
  <r>
    <x v="2315"/>
    <x v="4"/>
    <x v="2315"/>
    <x v="3"/>
    <x v="3"/>
    <x v="4"/>
    <s v="EMP_32"/>
    <d v="2024-03-26T18:00:00"/>
    <d v="2024-03-26T21:44:00"/>
    <n v="128"/>
    <n v="224"/>
    <n v="1"/>
    <x v="1"/>
    <x v="7"/>
    <n v="335.01"/>
    <n v="96"/>
    <n v="0.5714285714285714"/>
    <s v="Inefficient"/>
    <s v="Very Long"/>
    <s v="Major Delay"/>
  </r>
  <r>
    <x v="2316"/>
    <x v="2"/>
    <x v="2316"/>
    <x v="2"/>
    <x v="3"/>
    <x v="1"/>
    <s v="EMP_9"/>
    <d v="2024-07-09T10:00:00"/>
    <d v="2024-07-09T14:11:00"/>
    <n v="223"/>
    <n v="251"/>
    <n v="1"/>
    <x v="1"/>
    <x v="6"/>
    <n v="482.97"/>
    <n v="28"/>
    <n v="0.88844621513944222"/>
    <s v="Inefficient"/>
    <s v="Very Long"/>
    <s v="Minor Delay"/>
  </r>
  <r>
    <x v="2317"/>
    <x v="0"/>
    <x v="2317"/>
    <x v="3"/>
    <x v="2"/>
    <x v="4"/>
    <s v="EMP_20"/>
    <d v="2024-08-31T22:36:00"/>
    <d v="2024-09-01T02:24:00"/>
    <n v="204"/>
    <n v="228"/>
    <n v="1"/>
    <x v="2"/>
    <x v="7"/>
    <n v="394.86"/>
    <n v="24"/>
    <n v="0.89473684210526316"/>
    <s v="Inefficient"/>
    <s v="Very Long"/>
    <s v="Minor Delay"/>
  </r>
  <r>
    <x v="2318"/>
    <x v="0"/>
    <x v="2318"/>
    <x v="3"/>
    <x v="3"/>
    <x v="3"/>
    <s v="EMP_106"/>
    <d v="2024-01-22T11:07:00"/>
    <d v="2024-01-22T14:00:00"/>
    <n v="79"/>
    <n v="173"/>
    <n v="1"/>
    <x v="1"/>
    <x v="2"/>
    <n v="493.21"/>
    <n v="94"/>
    <n v="0.45664739884393063"/>
    <s v="Inefficient"/>
    <s v="Very Long"/>
    <s v="Major Delay"/>
  </r>
  <r>
    <x v="2319"/>
    <x v="3"/>
    <x v="2319"/>
    <x v="4"/>
    <x v="3"/>
    <x v="1"/>
    <s v="EMP_142"/>
    <d v="2024-02-25T03:21:00"/>
    <d v="2024-02-25T08:06:00"/>
    <n v="212"/>
    <n v="285"/>
    <n v="1"/>
    <x v="2"/>
    <x v="2"/>
    <n v="328.87"/>
    <n v="73"/>
    <n v="0.743859649122807"/>
    <s v="Inefficient"/>
    <s v="Very Long"/>
    <s v="Major Delay"/>
  </r>
  <r>
    <x v="2320"/>
    <x v="2"/>
    <x v="2320"/>
    <x v="4"/>
    <x v="3"/>
    <x v="0"/>
    <s v="EMP_110"/>
    <d v="2024-03-18T01:20:00"/>
    <d v="2024-03-18T04:39:00"/>
    <n v="162"/>
    <n v="199"/>
    <n v="1"/>
    <x v="0"/>
    <x v="5"/>
    <n v="268.62"/>
    <n v="37"/>
    <n v="0.81407035175879394"/>
    <s v="Inefficient"/>
    <s v="Very Long"/>
    <s v="Major Delay"/>
  </r>
  <r>
    <x v="2321"/>
    <x v="4"/>
    <x v="2321"/>
    <x v="4"/>
    <x v="0"/>
    <x v="1"/>
    <s v="EMP_52"/>
    <d v="2024-12-24T11:29:00"/>
    <d v="2024-12-24T13:55:00"/>
    <n v="132"/>
    <n v="146"/>
    <n v="1"/>
    <x v="0"/>
    <x v="5"/>
    <n v="161.47999999999999"/>
    <n v="14"/>
    <n v="0.90410958904109584"/>
    <s v="Inefficient"/>
    <s v="Very Long"/>
    <s v="Minor Delay"/>
  </r>
  <r>
    <x v="2322"/>
    <x v="1"/>
    <x v="2322"/>
    <x v="3"/>
    <x v="0"/>
    <x v="4"/>
    <s v="EMP_100"/>
    <d v="2024-01-30T15:07:00"/>
    <d v="2024-01-30T16:55:00"/>
    <n v="16"/>
    <n v="108"/>
    <n v="1"/>
    <x v="0"/>
    <x v="9"/>
    <n v="407.59"/>
    <n v="92"/>
    <n v="0.14814814814814814"/>
    <s v="Inefficient"/>
    <s v="Long"/>
    <s v="Major Delay"/>
  </r>
  <r>
    <x v="2323"/>
    <x v="4"/>
    <x v="2323"/>
    <x v="0"/>
    <x v="2"/>
    <x v="4"/>
    <s v="EMP_88"/>
    <d v="2024-01-16T01:20:00"/>
    <d v="2024-01-16T05:33:00"/>
    <n v="158"/>
    <n v="253"/>
    <n v="1"/>
    <x v="0"/>
    <x v="7"/>
    <n v="320.51"/>
    <n v="95"/>
    <n v="0.62450592885375489"/>
    <s v="Inefficient"/>
    <s v="Very Long"/>
    <s v="Major Delay"/>
  </r>
  <r>
    <x v="2324"/>
    <x v="1"/>
    <x v="2324"/>
    <x v="2"/>
    <x v="1"/>
    <x v="1"/>
    <s v="EMP_121"/>
    <d v="2024-04-30T21:21:00"/>
    <d v="2024-05-01T02:04:00"/>
    <n v="232"/>
    <n v="283"/>
    <n v="1"/>
    <x v="1"/>
    <x v="4"/>
    <n v="137.26"/>
    <n v="51"/>
    <n v="0.81978798586572443"/>
    <s v="Inefficient"/>
    <s v="Very Long"/>
    <s v="Major Delay"/>
  </r>
  <r>
    <x v="2325"/>
    <x v="4"/>
    <x v="2325"/>
    <x v="1"/>
    <x v="2"/>
    <x v="2"/>
    <s v="EMP_106"/>
    <d v="2024-08-17T22:12:00"/>
    <d v="2024-08-18T00:04:00"/>
    <n v="31"/>
    <n v="112"/>
    <n v="1"/>
    <x v="1"/>
    <x v="5"/>
    <n v="462.19"/>
    <n v="81"/>
    <n v="0.2767857142857143"/>
    <s v="Inefficient"/>
    <s v="Long"/>
    <s v="Major Delay"/>
  </r>
  <r>
    <x v="2326"/>
    <x v="2"/>
    <x v="2326"/>
    <x v="2"/>
    <x v="2"/>
    <x v="1"/>
    <s v="EMP_79"/>
    <d v="2024-09-05T17:11:00"/>
    <d v="2024-09-05T21:29:00"/>
    <n v="146"/>
    <n v="258"/>
    <n v="1"/>
    <x v="2"/>
    <x v="2"/>
    <n v="379.38"/>
    <n v="112"/>
    <n v="0.56589147286821706"/>
    <s v="Inefficient"/>
    <s v="Very Long"/>
    <s v="Major Delay"/>
  </r>
  <r>
    <x v="2327"/>
    <x v="2"/>
    <x v="2327"/>
    <x v="2"/>
    <x v="3"/>
    <x v="2"/>
    <s v="EMP_57"/>
    <d v="2024-05-31T17:50:00"/>
    <d v="2024-05-31T21:35:00"/>
    <n v="124"/>
    <n v="225"/>
    <n v="1"/>
    <x v="1"/>
    <x v="6"/>
    <n v="212.24"/>
    <n v="101"/>
    <n v="0.55111111111111111"/>
    <s v="Inefficient"/>
    <s v="Very Long"/>
    <s v="Major Delay"/>
  </r>
  <r>
    <x v="2328"/>
    <x v="3"/>
    <x v="2328"/>
    <x v="4"/>
    <x v="1"/>
    <x v="0"/>
    <s v="EMP_92"/>
    <d v="2024-01-05T22:35:00"/>
    <d v="2024-01-06T00:30:00"/>
    <n v="105"/>
    <n v="115"/>
    <n v="1"/>
    <x v="2"/>
    <x v="8"/>
    <n v="139.63"/>
    <n v="10"/>
    <n v="0.91304347826086951"/>
    <s v="Inefficient"/>
    <s v="Long"/>
    <s v="Minor Delay"/>
  </r>
  <r>
    <x v="2329"/>
    <x v="3"/>
    <x v="2329"/>
    <x v="2"/>
    <x v="3"/>
    <x v="0"/>
    <s v="EMP_45"/>
    <d v="2024-03-09T09:24:00"/>
    <d v="2024-03-09T11:49:00"/>
    <n v="113"/>
    <n v="145"/>
    <n v="1"/>
    <x v="2"/>
    <x v="9"/>
    <n v="468.53"/>
    <n v="32"/>
    <n v="0.77931034482758621"/>
    <s v="Inefficient"/>
    <s v="Very Long"/>
    <s v="Major Delay"/>
  </r>
  <r>
    <x v="2330"/>
    <x v="4"/>
    <x v="2330"/>
    <x v="2"/>
    <x v="2"/>
    <x v="1"/>
    <s v="EMP_146"/>
    <d v="2024-03-30T15:05:00"/>
    <d v="2024-03-30T15:57:00"/>
    <n v="23"/>
    <n v="52"/>
    <n v="1"/>
    <x v="0"/>
    <x v="1"/>
    <n v="453.49"/>
    <n v="29"/>
    <n v="0.44230769230769229"/>
    <s v="Inefficient"/>
    <s v="Medium"/>
    <s v="Minor Delay"/>
  </r>
  <r>
    <x v="2331"/>
    <x v="1"/>
    <x v="2331"/>
    <x v="1"/>
    <x v="3"/>
    <x v="2"/>
    <s v="EMP_41"/>
    <d v="2024-04-13T06:49:00"/>
    <d v="2024-04-13T08:10:00"/>
    <n v="28"/>
    <n v="81"/>
    <n v="1"/>
    <x v="2"/>
    <x v="8"/>
    <n v="261.62"/>
    <n v="53"/>
    <n v="0.34567901234567899"/>
    <s v="Inefficient"/>
    <s v="Long"/>
    <s v="Major Delay"/>
  </r>
  <r>
    <x v="2332"/>
    <x v="1"/>
    <x v="2332"/>
    <x v="2"/>
    <x v="1"/>
    <x v="2"/>
    <s v="EMP_21"/>
    <d v="2024-05-29T21:35:00"/>
    <d v="2024-05-30T02:00:00"/>
    <n v="167"/>
    <n v="265"/>
    <n v="1"/>
    <x v="1"/>
    <x v="1"/>
    <n v="257.57"/>
    <n v="98"/>
    <n v="0.63018867924528299"/>
    <s v="Inefficient"/>
    <s v="Very Long"/>
    <s v="Major Delay"/>
  </r>
  <r>
    <x v="2333"/>
    <x v="2"/>
    <x v="2333"/>
    <x v="2"/>
    <x v="3"/>
    <x v="4"/>
    <s v="EMP_24"/>
    <d v="2024-09-12T04:44:00"/>
    <d v="2024-09-12T07:33:00"/>
    <n v="99"/>
    <n v="169"/>
    <n v="1"/>
    <x v="2"/>
    <x v="2"/>
    <n v="316.76"/>
    <n v="70"/>
    <n v="0.58579881656804733"/>
    <s v="Inefficient"/>
    <s v="Very Long"/>
    <s v="Major Delay"/>
  </r>
  <r>
    <x v="2334"/>
    <x v="3"/>
    <x v="2334"/>
    <x v="1"/>
    <x v="1"/>
    <x v="2"/>
    <s v="EMP_136"/>
    <d v="2024-06-23T13:53:00"/>
    <d v="2024-06-23T15:07:00"/>
    <n v="11"/>
    <n v="74"/>
    <n v="1"/>
    <x v="2"/>
    <x v="9"/>
    <n v="318.08"/>
    <n v="63"/>
    <n v="0.14864864864864866"/>
    <s v="Inefficient"/>
    <s v="Long"/>
    <s v="Major Delay"/>
  </r>
  <r>
    <x v="2335"/>
    <x v="4"/>
    <x v="2335"/>
    <x v="4"/>
    <x v="2"/>
    <x v="4"/>
    <s v="EMP_111"/>
    <d v="2024-04-06T22:01:00"/>
    <d v="2024-04-06T23:51:00"/>
    <n v="23"/>
    <n v="110"/>
    <n v="1"/>
    <x v="2"/>
    <x v="3"/>
    <n v="176.52"/>
    <n v="87"/>
    <n v="0.20909090909090908"/>
    <s v="Inefficient"/>
    <s v="Long"/>
    <s v="Major Delay"/>
  </r>
  <r>
    <x v="2336"/>
    <x v="2"/>
    <x v="2336"/>
    <x v="4"/>
    <x v="1"/>
    <x v="0"/>
    <s v="EMP_126"/>
    <d v="2024-10-17T10:38:00"/>
    <d v="2024-10-17T13:22:00"/>
    <n v="156"/>
    <n v="164"/>
    <n v="1"/>
    <x v="0"/>
    <x v="3"/>
    <n v="194.13"/>
    <n v="8"/>
    <n v="0.95121951219512191"/>
    <s v="Inefficient"/>
    <s v="Very Long"/>
    <s v="Minor Delay"/>
  </r>
  <r>
    <x v="2337"/>
    <x v="0"/>
    <x v="2337"/>
    <x v="2"/>
    <x v="1"/>
    <x v="3"/>
    <s v="EMP_129"/>
    <d v="2024-09-08T20:05:00"/>
    <d v="2024-09-09T00:39:00"/>
    <n v="223"/>
    <n v="274"/>
    <n v="1"/>
    <x v="0"/>
    <x v="0"/>
    <n v="122.85"/>
    <n v="51"/>
    <n v="0.81386861313868608"/>
    <s v="Inefficient"/>
    <s v="Very Long"/>
    <s v="Major Delay"/>
  </r>
  <r>
    <x v="2338"/>
    <x v="0"/>
    <x v="2338"/>
    <x v="3"/>
    <x v="0"/>
    <x v="1"/>
    <s v="EMP_22"/>
    <d v="2024-08-08T06:12:00"/>
    <d v="2024-08-08T08:08:00"/>
    <n v="110"/>
    <n v="116"/>
    <n v="1"/>
    <x v="0"/>
    <x v="6"/>
    <n v="91.11"/>
    <n v="6"/>
    <n v="0.94827586206896552"/>
    <s v="Inefficient"/>
    <s v="Long"/>
    <s v="Minor Delay"/>
  </r>
  <r>
    <x v="2339"/>
    <x v="2"/>
    <x v="2339"/>
    <x v="1"/>
    <x v="1"/>
    <x v="4"/>
    <s v="EMP_29"/>
    <d v="2024-03-18T17:24:00"/>
    <d v="2024-03-18T22:42:00"/>
    <n v="219"/>
    <n v="318"/>
    <n v="1"/>
    <x v="2"/>
    <x v="8"/>
    <n v="187.42"/>
    <n v="99"/>
    <n v="0.68867924528301883"/>
    <s v="Inefficient"/>
    <s v="Very Long"/>
    <s v="Major Delay"/>
  </r>
  <r>
    <x v="2340"/>
    <x v="0"/>
    <x v="2340"/>
    <x v="2"/>
    <x v="3"/>
    <x v="3"/>
    <s v="EMP_58"/>
    <d v="2024-12-21T20:35:00"/>
    <d v="2024-12-21T22:10:00"/>
    <n v="77"/>
    <n v="95"/>
    <n v="1"/>
    <x v="0"/>
    <x v="1"/>
    <n v="459.25"/>
    <n v="18"/>
    <n v="0.81052631578947365"/>
    <s v="Inefficient"/>
    <s v="Long"/>
    <s v="Minor Delay"/>
  </r>
  <r>
    <x v="2341"/>
    <x v="2"/>
    <x v="2341"/>
    <x v="3"/>
    <x v="3"/>
    <x v="3"/>
    <s v="EMP_3"/>
    <d v="2024-11-02T13:19:00"/>
    <d v="2024-11-02T15:50:00"/>
    <n v="88"/>
    <n v="151"/>
    <n v="1"/>
    <x v="0"/>
    <x v="3"/>
    <n v="258.95"/>
    <n v="63"/>
    <n v="0.58278145695364236"/>
    <s v="Inefficient"/>
    <s v="Very Long"/>
    <s v="Major Delay"/>
  </r>
  <r>
    <x v="2342"/>
    <x v="1"/>
    <x v="2342"/>
    <x v="1"/>
    <x v="3"/>
    <x v="2"/>
    <s v="EMP_77"/>
    <d v="2024-01-09T03:33:00"/>
    <d v="2024-01-09T04:38:00"/>
    <n v="54"/>
    <n v="65"/>
    <n v="1"/>
    <x v="0"/>
    <x v="5"/>
    <n v="299.88"/>
    <n v="11"/>
    <n v="0.83076923076923082"/>
    <s v="Inefficient"/>
    <s v="Long"/>
    <s v="Minor Delay"/>
  </r>
  <r>
    <x v="2343"/>
    <x v="4"/>
    <x v="2343"/>
    <x v="0"/>
    <x v="1"/>
    <x v="4"/>
    <s v="EMP_76"/>
    <d v="2024-07-08T18:39:00"/>
    <d v="2024-07-08T21:17:00"/>
    <n v="44"/>
    <n v="158"/>
    <n v="1"/>
    <x v="1"/>
    <x v="6"/>
    <n v="341"/>
    <n v="114"/>
    <n v="0.27848101265822783"/>
    <s v="Inefficient"/>
    <s v="Very Long"/>
    <s v="Major Delay"/>
  </r>
  <r>
    <x v="2344"/>
    <x v="2"/>
    <x v="2344"/>
    <x v="4"/>
    <x v="1"/>
    <x v="4"/>
    <s v="EMP_66"/>
    <d v="2024-04-26T13:17:00"/>
    <d v="2024-04-26T14:47:00"/>
    <n v="14"/>
    <n v="90"/>
    <n v="1"/>
    <x v="0"/>
    <x v="9"/>
    <n v="390.03"/>
    <n v="76"/>
    <n v="0.15555555555555556"/>
    <s v="Inefficient"/>
    <s v="Long"/>
    <s v="Major Delay"/>
  </r>
  <r>
    <x v="2345"/>
    <x v="2"/>
    <x v="2345"/>
    <x v="0"/>
    <x v="2"/>
    <x v="1"/>
    <s v="EMP_134"/>
    <d v="2024-10-14T01:51:00"/>
    <d v="2024-10-14T04:45:00"/>
    <n v="139"/>
    <n v="174"/>
    <n v="1"/>
    <x v="2"/>
    <x v="0"/>
    <n v="357.65"/>
    <n v="35"/>
    <n v="0.79885057471264365"/>
    <s v="Inefficient"/>
    <s v="Very Long"/>
    <s v="Major Delay"/>
  </r>
  <r>
    <x v="2346"/>
    <x v="3"/>
    <x v="2346"/>
    <x v="3"/>
    <x v="3"/>
    <x v="1"/>
    <s v="EMP_139"/>
    <d v="2024-10-09T16:39:00"/>
    <d v="2024-10-09T20:48:00"/>
    <n v="129"/>
    <n v="249"/>
    <n v="1"/>
    <x v="1"/>
    <x v="2"/>
    <n v="251.76"/>
    <n v="120"/>
    <n v="0.51807228915662651"/>
    <s v="Inefficient"/>
    <s v="Very Long"/>
    <s v="Major Delay"/>
  </r>
  <r>
    <x v="2347"/>
    <x v="0"/>
    <x v="2347"/>
    <x v="4"/>
    <x v="0"/>
    <x v="1"/>
    <s v="EMP_143"/>
    <d v="2024-01-31T10:28:00"/>
    <d v="2024-01-31T12:47:00"/>
    <n v="38"/>
    <n v="139"/>
    <n v="1"/>
    <x v="2"/>
    <x v="3"/>
    <n v="301.63"/>
    <n v="101"/>
    <n v="0.2733812949640288"/>
    <s v="Inefficient"/>
    <s v="Very Long"/>
    <s v="Major Delay"/>
  </r>
  <r>
    <x v="2348"/>
    <x v="3"/>
    <x v="2348"/>
    <x v="2"/>
    <x v="2"/>
    <x v="1"/>
    <s v="EMP_26"/>
    <d v="2024-10-13T03:48:00"/>
    <d v="2024-10-13T07:01:00"/>
    <n v="174"/>
    <n v="193"/>
    <n v="1"/>
    <x v="0"/>
    <x v="3"/>
    <n v="272.79000000000002"/>
    <n v="19"/>
    <n v="0.9015544041450777"/>
    <s v="Inefficient"/>
    <s v="Very Long"/>
    <s v="Minor Delay"/>
  </r>
  <r>
    <x v="2349"/>
    <x v="2"/>
    <x v="2349"/>
    <x v="2"/>
    <x v="2"/>
    <x v="2"/>
    <s v="EMP_11"/>
    <d v="2024-09-17T04:13:00"/>
    <d v="2024-09-17T06:29:00"/>
    <n v="34"/>
    <n v="136"/>
    <n v="1"/>
    <x v="0"/>
    <x v="0"/>
    <n v="321.58999999999997"/>
    <n v="102"/>
    <n v="0.25"/>
    <s v="Inefficient"/>
    <s v="Very Long"/>
    <s v="Major Delay"/>
  </r>
  <r>
    <x v="2350"/>
    <x v="3"/>
    <x v="2350"/>
    <x v="2"/>
    <x v="2"/>
    <x v="3"/>
    <s v="EMP_24"/>
    <d v="2024-11-12T08:30:00"/>
    <d v="2024-11-12T11:39:00"/>
    <n v="118"/>
    <n v="189"/>
    <n v="1"/>
    <x v="0"/>
    <x v="4"/>
    <n v="365.69"/>
    <n v="71"/>
    <n v="0.6243386243386243"/>
    <s v="Inefficient"/>
    <s v="Very Long"/>
    <s v="Major Delay"/>
  </r>
  <r>
    <x v="2351"/>
    <x v="4"/>
    <x v="2351"/>
    <x v="2"/>
    <x v="1"/>
    <x v="2"/>
    <s v="EMP_47"/>
    <d v="2024-05-09T03:23:00"/>
    <d v="2024-05-09T07:57:00"/>
    <n v="198"/>
    <n v="274"/>
    <n v="1"/>
    <x v="2"/>
    <x v="3"/>
    <n v="165.71"/>
    <n v="76"/>
    <n v="0.72262773722627738"/>
    <s v="Inefficient"/>
    <s v="Very Long"/>
    <s v="Major Delay"/>
  </r>
  <r>
    <x v="2352"/>
    <x v="3"/>
    <x v="2352"/>
    <x v="4"/>
    <x v="0"/>
    <x v="0"/>
    <s v="EMP_35"/>
    <d v="2024-04-23T01:28:00"/>
    <d v="2024-04-23T05:17:00"/>
    <n v="113"/>
    <n v="229"/>
    <n v="1"/>
    <x v="2"/>
    <x v="1"/>
    <n v="61.66"/>
    <n v="116"/>
    <n v="0.49344978165938863"/>
    <s v="Inefficient"/>
    <s v="Very Long"/>
    <s v="Major Delay"/>
  </r>
  <r>
    <x v="2353"/>
    <x v="1"/>
    <x v="2353"/>
    <x v="1"/>
    <x v="1"/>
    <x v="0"/>
    <s v="EMP_25"/>
    <d v="2024-11-14T01:35:00"/>
    <d v="2024-11-14T05:50:00"/>
    <n v="209"/>
    <n v="255"/>
    <n v="1"/>
    <x v="0"/>
    <x v="2"/>
    <n v="352.79"/>
    <n v="46"/>
    <n v="0.81960784313725488"/>
    <s v="Inefficient"/>
    <s v="Very Long"/>
    <s v="Major Delay"/>
  </r>
  <r>
    <x v="2354"/>
    <x v="2"/>
    <x v="2354"/>
    <x v="2"/>
    <x v="3"/>
    <x v="3"/>
    <s v="EMP_29"/>
    <d v="2024-08-25T03:52:00"/>
    <d v="2024-08-25T06:30:00"/>
    <n v="152"/>
    <n v="158"/>
    <n v="1"/>
    <x v="1"/>
    <x v="0"/>
    <n v="106.87"/>
    <n v="6"/>
    <n v="0.96202531645569622"/>
    <s v="Inefficient"/>
    <s v="Very Long"/>
    <s v="Minor Delay"/>
  </r>
  <r>
    <x v="2355"/>
    <x v="1"/>
    <x v="2355"/>
    <x v="1"/>
    <x v="1"/>
    <x v="1"/>
    <s v="EMP_48"/>
    <d v="2024-12-04T12:00:00"/>
    <d v="2024-12-04T14:36:00"/>
    <n v="143"/>
    <n v="156"/>
    <n v="1"/>
    <x v="2"/>
    <x v="7"/>
    <n v="276.63"/>
    <n v="13"/>
    <n v="0.91666666666666663"/>
    <s v="Inefficient"/>
    <s v="Very Long"/>
    <s v="Minor Delay"/>
  </r>
  <r>
    <x v="2356"/>
    <x v="3"/>
    <x v="2356"/>
    <x v="0"/>
    <x v="2"/>
    <x v="3"/>
    <s v="EMP_99"/>
    <d v="2024-05-26T02:50:00"/>
    <d v="2024-05-26T06:41:00"/>
    <n v="218"/>
    <n v="231"/>
    <n v="1"/>
    <x v="2"/>
    <x v="2"/>
    <n v="237.53"/>
    <n v="13"/>
    <n v="0.94372294372294374"/>
    <s v="Inefficient"/>
    <s v="Very Long"/>
    <s v="Minor Delay"/>
  </r>
  <r>
    <x v="2357"/>
    <x v="0"/>
    <x v="2357"/>
    <x v="1"/>
    <x v="3"/>
    <x v="0"/>
    <s v="EMP_102"/>
    <d v="2024-02-23T07:42:00"/>
    <d v="2024-02-23T09:40:00"/>
    <n v="105"/>
    <n v="118"/>
    <n v="1"/>
    <x v="2"/>
    <x v="3"/>
    <n v="84.72"/>
    <n v="13"/>
    <n v="0.88983050847457623"/>
    <s v="Inefficient"/>
    <s v="Long"/>
    <s v="Minor Delay"/>
  </r>
  <r>
    <x v="2358"/>
    <x v="3"/>
    <x v="2358"/>
    <x v="4"/>
    <x v="2"/>
    <x v="0"/>
    <s v="EMP_43"/>
    <d v="2024-11-12T18:18:00"/>
    <d v="2024-11-12T22:09:00"/>
    <n v="220"/>
    <n v="231"/>
    <n v="1"/>
    <x v="2"/>
    <x v="2"/>
    <n v="109.69"/>
    <n v="11"/>
    <n v="0.95238095238095233"/>
    <s v="Inefficient"/>
    <s v="Very Long"/>
    <s v="Minor Delay"/>
  </r>
  <r>
    <x v="2359"/>
    <x v="0"/>
    <x v="2359"/>
    <x v="4"/>
    <x v="0"/>
    <x v="0"/>
    <s v="EMP_147"/>
    <d v="2024-07-21T00:23:00"/>
    <d v="2024-07-21T05:10:00"/>
    <n v="179"/>
    <n v="287"/>
    <n v="1"/>
    <x v="1"/>
    <x v="5"/>
    <n v="162.79"/>
    <n v="108"/>
    <n v="0.62369337979094075"/>
    <s v="Inefficient"/>
    <s v="Very Long"/>
    <s v="Major Delay"/>
  </r>
  <r>
    <x v="2360"/>
    <x v="3"/>
    <x v="2360"/>
    <x v="4"/>
    <x v="2"/>
    <x v="3"/>
    <s v="EMP_18"/>
    <d v="2024-11-08T10:19:00"/>
    <d v="2024-11-08T15:26:00"/>
    <n v="205"/>
    <n v="307"/>
    <n v="1"/>
    <x v="2"/>
    <x v="7"/>
    <n v="379.91"/>
    <n v="102"/>
    <n v="0.66775244299674263"/>
    <s v="Inefficient"/>
    <s v="Very Long"/>
    <s v="Major Delay"/>
  </r>
  <r>
    <x v="2361"/>
    <x v="4"/>
    <x v="2361"/>
    <x v="0"/>
    <x v="3"/>
    <x v="1"/>
    <s v="EMP_26"/>
    <d v="2024-12-10T22:21:00"/>
    <d v="2024-12-11T02:54:00"/>
    <n v="157"/>
    <n v="273"/>
    <n v="1"/>
    <x v="2"/>
    <x v="1"/>
    <n v="173.65"/>
    <n v="116"/>
    <n v="0.57509157509157505"/>
    <s v="Inefficient"/>
    <s v="Very Long"/>
    <s v="Major Delay"/>
  </r>
  <r>
    <x v="2362"/>
    <x v="0"/>
    <x v="2362"/>
    <x v="0"/>
    <x v="1"/>
    <x v="1"/>
    <s v="EMP_89"/>
    <d v="2024-06-17T00:04:00"/>
    <d v="2024-06-17T05:12:00"/>
    <n v="235"/>
    <n v="308"/>
    <n v="1"/>
    <x v="1"/>
    <x v="5"/>
    <n v="139.15"/>
    <n v="73"/>
    <n v="0.76298701298701299"/>
    <s v="Inefficient"/>
    <s v="Very Long"/>
    <s v="Major Delay"/>
  </r>
  <r>
    <x v="2363"/>
    <x v="3"/>
    <x v="2363"/>
    <x v="1"/>
    <x v="3"/>
    <x v="3"/>
    <s v="EMP_88"/>
    <d v="2024-01-01T15:03:00"/>
    <d v="2024-01-01T16:25:00"/>
    <n v="72"/>
    <n v="82"/>
    <n v="1"/>
    <x v="0"/>
    <x v="3"/>
    <n v="284.06"/>
    <n v="10"/>
    <n v="0.87804878048780488"/>
    <s v="Inefficient"/>
    <s v="Long"/>
    <s v="Minor Delay"/>
  </r>
  <r>
    <x v="2364"/>
    <x v="0"/>
    <x v="2364"/>
    <x v="2"/>
    <x v="0"/>
    <x v="4"/>
    <s v="EMP_54"/>
    <d v="2024-09-22T17:32:00"/>
    <d v="2024-09-22T20:00:00"/>
    <n v="34"/>
    <n v="148"/>
    <n v="1"/>
    <x v="2"/>
    <x v="0"/>
    <n v="240.54"/>
    <n v="114"/>
    <n v="0.22972972972972974"/>
    <s v="Inefficient"/>
    <s v="Very Long"/>
    <s v="Major Delay"/>
  </r>
  <r>
    <x v="2365"/>
    <x v="1"/>
    <x v="2365"/>
    <x v="1"/>
    <x v="1"/>
    <x v="0"/>
    <s v="EMP_90"/>
    <d v="2024-08-02T03:40:00"/>
    <d v="2024-08-02T08:39:00"/>
    <n v="226"/>
    <n v="299"/>
    <n v="1"/>
    <x v="1"/>
    <x v="1"/>
    <n v="195.16"/>
    <n v="73"/>
    <n v="0.7558528428093646"/>
    <s v="Inefficient"/>
    <s v="Very Long"/>
    <s v="Major Delay"/>
  </r>
  <r>
    <x v="2366"/>
    <x v="0"/>
    <x v="2366"/>
    <x v="0"/>
    <x v="2"/>
    <x v="4"/>
    <s v="EMP_18"/>
    <d v="2024-07-15T11:07:00"/>
    <d v="2024-07-15T14:29:00"/>
    <n v="178"/>
    <n v="202"/>
    <n v="1"/>
    <x v="1"/>
    <x v="5"/>
    <n v="240.41"/>
    <n v="24"/>
    <n v="0.88118811881188119"/>
    <s v="Inefficient"/>
    <s v="Very Long"/>
    <s v="Minor Delay"/>
  </r>
  <r>
    <x v="2367"/>
    <x v="1"/>
    <x v="2367"/>
    <x v="4"/>
    <x v="1"/>
    <x v="2"/>
    <s v="EMP_15"/>
    <d v="2024-09-07T02:34:00"/>
    <d v="2024-09-07T03:59:00"/>
    <n v="30"/>
    <n v="85"/>
    <n v="1"/>
    <x v="2"/>
    <x v="1"/>
    <n v="248.29"/>
    <n v="55"/>
    <n v="0.35294117647058826"/>
    <s v="Inefficient"/>
    <s v="Long"/>
    <s v="Major Delay"/>
  </r>
  <r>
    <x v="2368"/>
    <x v="3"/>
    <x v="2368"/>
    <x v="3"/>
    <x v="0"/>
    <x v="2"/>
    <s v="EMP_24"/>
    <d v="2024-12-19T11:59:00"/>
    <d v="2024-12-19T16:56:00"/>
    <n v="221"/>
    <n v="297"/>
    <n v="1"/>
    <x v="2"/>
    <x v="5"/>
    <n v="239.31"/>
    <n v="76"/>
    <n v="0.74410774410774416"/>
    <s v="Inefficient"/>
    <s v="Very Long"/>
    <s v="Major Delay"/>
  </r>
  <r>
    <x v="2369"/>
    <x v="2"/>
    <x v="2369"/>
    <x v="3"/>
    <x v="3"/>
    <x v="1"/>
    <s v="EMP_78"/>
    <d v="2024-09-14T14:32:00"/>
    <d v="2024-09-14T18:02:00"/>
    <n v="202"/>
    <n v="210"/>
    <n v="1"/>
    <x v="1"/>
    <x v="0"/>
    <n v="219.49"/>
    <n v="8"/>
    <n v="0.96190476190476193"/>
    <s v="Inefficient"/>
    <s v="Very Long"/>
    <s v="Minor Delay"/>
  </r>
  <r>
    <x v="2370"/>
    <x v="0"/>
    <x v="2370"/>
    <x v="0"/>
    <x v="3"/>
    <x v="3"/>
    <s v="EMP_57"/>
    <d v="2024-06-14T17:02:00"/>
    <d v="2024-06-14T18:54:00"/>
    <n v="36"/>
    <n v="112"/>
    <n v="1"/>
    <x v="0"/>
    <x v="1"/>
    <n v="435.9"/>
    <n v="76"/>
    <n v="0.32142857142857145"/>
    <s v="Inefficient"/>
    <s v="Long"/>
    <s v="Major Delay"/>
  </r>
  <r>
    <x v="2371"/>
    <x v="4"/>
    <x v="2371"/>
    <x v="4"/>
    <x v="3"/>
    <x v="0"/>
    <s v="EMP_142"/>
    <d v="2024-01-14T22:46:00"/>
    <d v="2024-01-15T01:22:00"/>
    <n v="77"/>
    <n v="156"/>
    <n v="1"/>
    <x v="2"/>
    <x v="0"/>
    <n v="207.83"/>
    <n v="79"/>
    <n v="0.49358974358974361"/>
    <s v="Inefficient"/>
    <s v="Very Long"/>
    <s v="Major Delay"/>
  </r>
  <r>
    <x v="2372"/>
    <x v="1"/>
    <x v="2372"/>
    <x v="2"/>
    <x v="2"/>
    <x v="3"/>
    <s v="EMP_72"/>
    <d v="2024-01-31T11:13:00"/>
    <d v="2024-01-31T12:17:00"/>
    <n v="67"/>
    <n v="64"/>
    <n v="0"/>
    <x v="2"/>
    <x v="4"/>
    <n v="497.07"/>
    <n v="-3"/>
    <n v="1.046875"/>
    <s v="Efficient"/>
    <s v="Long"/>
    <s v="On Time"/>
  </r>
  <r>
    <x v="2373"/>
    <x v="1"/>
    <x v="2373"/>
    <x v="2"/>
    <x v="2"/>
    <x v="2"/>
    <s v="EMP_77"/>
    <d v="2024-10-01T09:51:00"/>
    <d v="2024-10-01T11:35:00"/>
    <n v="40"/>
    <n v="104"/>
    <n v="1"/>
    <x v="2"/>
    <x v="4"/>
    <n v="50.32"/>
    <n v="64"/>
    <n v="0.38461538461538464"/>
    <s v="Inefficient"/>
    <s v="Long"/>
    <s v="Major Delay"/>
  </r>
  <r>
    <x v="2374"/>
    <x v="0"/>
    <x v="2374"/>
    <x v="1"/>
    <x v="0"/>
    <x v="0"/>
    <s v="EMP_65"/>
    <d v="2024-10-25T22:23:00"/>
    <d v="2024-10-26T01:47:00"/>
    <n v="131"/>
    <n v="204"/>
    <n v="1"/>
    <x v="0"/>
    <x v="7"/>
    <n v="156"/>
    <n v="73"/>
    <n v="0.64215686274509809"/>
    <s v="Inefficient"/>
    <s v="Very Long"/>
    <s v="Major Delay"/>
  </r>
  <r>
    <x v="2375"/>
    <x v="4"/>
    <x v="2375"/>
    <x v="3"/>
    <x v="0"/>
    <x v="1"/>
    <s v="EMP_114"/>
    <d v="2024-06-14T20:36:00"/>
    <d v="2024-06-15T01:07:00"/>
    <n v="232"/>
    <n v="271"/>
    <n v="1"/>
    <x v="0"/>
    <x v="9"/>
    <n v="360.57"/>
    <n v="39"/>
    <n v="0.85608856088560881"/>
    <s v="Inefficient"/>
    <s v="Very Long"/>
    <s v="Major Delay"/>
  </r>
  <r>
    <x v="2376"/>
    <x v="3"/>
    <x v="2376"/>
    <x v="2"/>
    <x v="2"/>
    <x v="2"/>
    <s v="EMP_46"/>
    <d v="2024-08-31T04:33:00"/>
    <d v="2024-08-31T07:45:00"/>
    <n v="122"/>
    <n v="192"/>
    <n v="1"/>
    <x v="2"/>
    <x v="6"/>
    <n v="50.95"/>
    <n v="70"/>
    <n v="0.63541666666666663"/>
    <s v="Inefficient"/>
    <s v="Very Long"/>
    <s v="Major Delay"/>
  </r>
  <r>
    <x v="2377"/>
    <x v="1"/>
    <x v="2377"/>
    <x v="2"/>
    <x v="1"/>
    <x v="3"/>
    <s v="EMP_139"/>
    <d v="2024-01-11T15:02:00"/>
    <d v="2024-01-11T17:31:00"/>
    <n v="52"/>
    <n v="149"/>
    <n v="1"/>
    <x v="0"/>
    <x v="4"/>
    <n v="494.55"/>
    <n v="97"/>
    <n v="0.34899328859060402"/>
    <s v="Inefficient"/>
    <s v="Very Long"/>
    <s v="Major Delay"/>
  </r>
  <r>
    <x v="2378"/>
    <x v="3"/>
    <x v="2378"/>
    <x v="4"/>
    <x v="3"/>
    <x v="2"/>
    <s v="EMP_26"/>
    <d v="2024-09-12T07:47:00"/>
    <d v="2024-09-12T10:56:00"/>
    <n v="102"/>
    <n v="189"/>
    <n v="1"/>
    <x v="1"/>
    <x v="2"/>
    <n v="51.71"/>
    <n v="87"/>
    <n v="0.53968253968253965"/>
    <s v="Inefficient"/>
    <s v="Very Long"/>
    <s v="Major Delay"/>
  </r>
  <r>
    <x v="2379"/>
    <x v="0"/>
    <x v="2379"/>
    <x v="1"/>
    <x v="1"/>
    <x v="3"/>
    <s v="EMP_105"/>
    <d v="2024-03-02T10:36:00"/>
    <d v="2024-03-02T15:09:00"/>
    <n v="165"/>
    <n v="273"/>
    <n v="1"/>
    <x v="1"/>
    <x v="4"/>
    <n v="362.43"/>
    <n v="108"/>
    <n v="0.60439560439560436"/>
    <s v="Inefficient"/>
    <s v="Very Long"/>
    <s v="Major Delay"/>
  </r>
  <r>
    <x v="2380"/>
    <x v="1"/>
    <x v="2380"/>
    <x v="1"/>
    <x v="3"/>
    <x v="2"/>
    <s v="EMP_92"/>
    <d v="2024-02-13T06:35:00"/>
    <d v="2024-02-13T07:32:00"/>
    <n v="59"/>
    <n v="57"/>
    <n v="0"/>
    <x v="2"/>
    <x v="4"/>
    <n v="89.72"/>
    <n v="-2"/>
    <n v="1.0350877192982457"/>
    <s v="Efficient"/>
    <s v="Medium"/>
    <s v="On Time"/>
  </r>
  <r>
    <x v="2381"/>
    <x v="1"/>
    <x v="2381"/>
    <x v="1"/>
    <x v="3"/>
    <x v="0"/>
    <s v="EMP_60"/>
    <d v="2024-01-17T22:36:00"/>
    <d v="2024-01-18T01:31:00"/>
    <n v="60"/>
    <n v="175"/>
    <n v="1"/>
    <x v="0"/>
    <x v="5"/>
    <n v="277.64999999999998"/>
    <n v="115"/>
    <n v="0.34285714285714286"/>
    <s v="Inefficient"/>
    <s v="Very Long"/>
    <s v="Major Delay"/>
  </r>
  <r>
    <x v="2382"/>
    <x v="3"/>
    <x v="2382"/>
    <x v="4"/>
    <x v="3"/>
    <x v="4"/>
    <s v="EMP_42"/>
    <d v="2024-06-22T01:28:00"/>
    <d v="2024-06-22T03:23:00"/>
    <n v="65"/>
    <n v="115"/>
    <n v="1"/>
    <x v="1"/>
    <x v="0"/>
    <n v="116.11"/>
    <n v="50"/>
    <n v="0.56521739130434778"/>
    <s v="Inefficient"/>
    <s v="Long"/>
    <s v="Major Delay"/>
  </r>
  <r>
    <x v="2383"/>
    <x v="1"/>
    <x v="2383"/>
    <x v="3"/>
    <x v="3"/>
    <x v="3"/>
    <s v="EMP_141"/>
    <d v="2024-10-31T16:54:00"/>
    <d v="2024-10-31T20:27:00"/>
    <n v="117"/>
    <n v="213"/>
    <n v="1"/>
    <x v="1"/>
    <x v="7"/>
    <n v="140.53"/>
    <n v="96"/>
    <n v="0.54929577464788737"/>
    <s v="Inefficient"/>
    <s v="Very Long"/>
    <s v="Major Delay"/>
  </r>
  <r>
    <x v="2384"/>
    <x v="4"/>
    <x v="2384"/>
    <x v="3"/>
    <x v="2"/>
    <x v="0"/>
    <s v="EMP_96"/>
    <d v="2024-10-13T12:28:00"/>
    <d v="2024-10-13T16:05:00"/>
    <n v="219"/>
    <n v="217"/>
    <n v="0"/>
    <x v="1"/>
    <x v="5"/>
    <n v="269.85000000000002"/>
    <n v="-2"/>
    <n v="1.0092165898617511"/>
    <s v="Efficient"/>
    <s v="Very Long"/>
    <s v="On Time"/>
  </r>
  <r>
    <x v="2385"/>
    <x v="0"/>
    <x v="2385"/>
    <x v="0"/>
    <x v="2"/>
    <x v="0"/>
    <s v="EMP_120"/>
    <d v="2024-11-02T05:43:00"/>
    <d v="2024-11-02T10:07:00"/>
    <n v="201"/>
    <n v="264"/>
    <n v="1"/>
    <x v="1"/>
    <x v="9"/>
    <n v="157.9"/>
    <n v="63"/>
    <n v="0.76136363636363635"/>
    <s v="Inefficient"/>
    <s v="Very Long"/>
    <s v="Major Delay"/>
  </r>
  <r>
    <x v="2386"/>
    <x v="2"/>
    <x v="2386"/>
    <x v="3"/>
    <x v="3"/>
    <x v="2"/>
    <s v="EMP_44"/>
    <d v="2024-06-15T17:53:00"/>
    <d v="2024-06-15T22:13:00"/>
    <n v="186"/>
    <n v="260"/>
    <n v="1"/>
    <x v="2"/>
    <x v="6"/>
    <n v="469.27"/>
    <n v="74"/>
    <n v="0.7153846153846154"/>
    <s v="Inefficient"/>
    <s v="Very Long"/>
    <s v="Major Delay"/>
  </r>
  <r>
    <x v="2387"/>
    <x v="0"/>
    <x v="2387"/>
    <x v="3"/>
    <x v="0"/>
    <x v="2"/>
    <s v="EMP_74"/>
    <d v="2024-01-01T03:23:00"/>
    <d v="2024-01-01T05:26:00"/>
    <n v="112"/>
    <n v="123"/>
    <n v="1"/>
    <x v="1"/>
    <x v="2"/>
    <n v="124.53"/>
    <n v="11"/>
    <n v="0.91056910569105687"/>
    <s v="Inefficient"/>
    <s v="Very Long"/>
    <s v="Minor Delay"/>
  </r>
  <r>
    <x v="2388"/>
    <x v="1"/>
    <x v="2388"/>
    <x v="2"/>
    <x v="3"/>
    <x v="1"/>
    <s v="EMP_109"/>
    <d v="2024-02-29T13:04:00"/>
    <d v="2024-02-29T14:03:00"/>
    <n v="51"/>
    <n v="59"/>
    <n v="1"/>
    <x v="1"/>
    <x v="0"/>
    <n v="63.21"/>
    <n v="8"/>
    <n v="0.86440677966101698"/>
    <s v="Inefficient"/>
    <s v="Medium"/>
    <s v="Minor Delay"/>
  </r>
  <r>
    <x v="2389"/>
    <x v="3"/>
    <x v="2389"/>
    <x v="4"/>
    <x v="3"/>
    <x v="0"/>
    <s v="EMP_147"/>
    <d v="2024-01-08T21:18:00"/>
    <d v="2024-01-09T00:23:00"/>
    <n v="136"/>
    <n v="185"/>
    <n v="1"/>
    <x v="0"/>
    <x v="3"/>
    <n v="484.85"/>
    <n v="49"/>
    <n v="0.73513513513513518"/>
    <s v="Inefficient"/>
    <s v="Very Long"/>
    <s v="Major Delay"/>
  </r>
  <r>
    <x v="2390"/>
    <x v="4"/>
    <x v="2390"/>
    <x v="2"/>
    <x v="0"/>
    <x v="4"/>
    <s v="EMP_17"/>
    <d v="2024-02-08T08:11:00"/>
    <d v="2024-02-08T10:53:00"/>
    <n v="103"/>
    <n v="162"/>
    <n v="1"/>
    <x v="2"/>
    <x v="6"/>
    <n v="136.41"/>
    <n v="59"/>
    <n v="0.63580246913580252"/>
    <s v="Inefficient"/>
    <s v="Very Long"/>
    <s v="Major Delay"/>
  </r>
  <r>
    <x v="2391"/>
    <x v="1"/>
    <x v="2391"/>
    <x v="4"/>
    <x v="2"/>
    <x v="1"/>
    <s v="EMP_113"/>
    <d v="2024-11-18T13:02:00"/>
    <d v="2024-11-18T15:23:00"/>
    <n v="112"/>
    <n v="141"/>
    <n v="1"/>
    <x v="1"/>
    <x v="6"/>
    <n v="392.14"/>
    <n v="29"/>
    <n v="0.79432624113475181"/>
    <s v="Inefficient"/>
    <s v="Very Long"/>
    <s v="Minor Delay"/>
  </r>
  <r>
    <x v="2392"/>
    <x v="3"/>
    <x v="2392"/>
    <x v="4"/>
    <x v="2"/>
    <x v="0"/>
    <s v="EMP_55"/>
    <d v="2024-02-06T21:08:00"/>
    <d v="2024-02-07T02:22:00"/>
    <n v="220"/>
    <n v="314"/>
    <n v="1"/>
    <x v="2"/>
    <x v="6"/>
    <n v="52.85"/>
    <n v="94"/>
    <n v="0.70063694267515919"/>
    <s v="Inefficient"/>
    <s v="Very Long"/>
    <s v="Major Delay"/>
  </r>
  <r>
    <x v="2393"/>
    <x v="0"/>
    <x v="2393"/>
    <x v="1"/>
    <x v="2"/>
    <x v="0"/>
    <s v="EMP_39"/>
    <d v="2024-12-06T13:54:00"/>
    <d v="2024-12-06T18:36:00"/>
    <n v="183"/>
    <n v="282"/>
    <n v="1"/>
    <x v="1"/>
    <x v="5"/>
    <n v="342.56"/>
    <n v="99"/>
    <n v="0.64893617021276595"/>
    <s v="Inefficient"/>
    <s v="Very Long"/>
    <s v="Major Delay"/>
  </r>
  <r>
    <x v="2394"/>
    <x v="0"/>
    <x v="2394"/>
    <x v="2"/>
    <x v="2"/>
    <x v="1"/>
    <s v="EMP_6"/>
    <d v="2024-01-15T17:18:00"/>
    <d v="2024-01-15T19:37:00"/>
    <n v="74"/>
    <n v="139"/>
    <n v="1"/>
    <x v="0"/>
    <x v="3"/>
    <n v="106.58"/>
    <n v="65"/>
    <n v="0.53237410071942448"/>
    <s v="Inefficient"/>
    <s v="Very Long"/>
    <s v="Major Delay"/>
  </r>
  <r>
    <x v="2395"/>
    <x v="0"/>
    <x v="2395"/>
    <x v="3"/>
    <x v="2"/>
    <x v="4"/>
    <s v="EMP_132"/>
    <d v="2024-12-21T05:13:00"/>
    <d v="2024-12-21T10:31:00"/>
    <n v="222"/>
    <n v="318"/>
    <n v="1"/>
    <x v="0"/>
    <x v="0"/>
    <n v="243.21"/>
    <n v="96"/>
    <n v="0.69811320754716977"/>
    <s v="Inefficient"/>
    <s v="Very Long"/>
    <s v="Major Delay"/>
  </r>
  <r>
    <x v="2396"/>
    <x v="1"/>
    <x v="2396"/>
    <x v="2"/>
    <x v="2"/>
    <x v="3"/>
    <s v="EMP_36"/>
    <d v="2024-12-18T16:01:00"/>
    <d v="2024-12-18T19:40:00"/>
    <n v="107"/>
    <n v="219"/>
    <n v="1"/>
    <x v="2"/>
    <x v="7"/>
    <n v="362.58"/>
    <n v="112"/>
    <n v="0.48858447488584472"/>
    <s v="Inefficient"/>
    <s v="Very Long"/>
    <s v="Major Delay"/>
  </r>
  <r>
    <x v="2397"/>
    <x v="1"/>
    <x v="2397"/>
    <x v="3"/>
    <x v="2"/>
    <x v="3"/>
    <s v="EMP_85"/>
    <d v="2024-11-18T23:56:00"/>
    <d v="2024-11-19T02:48:00"/>
    <n v="156"/>
    <n v="172"/>
    <n v="1"/>
    <x v="1"/>
    <x v="1"/>
    <n v="451.97"/>
    <n v="16"/>
    <n v="0.90697674418604646"/>
    <s v="Inefficient"/>
    <s v="Very Long"/>
    <s v="Minor Delay"/>
  </r>
  <r>
    <x v="2398"/>
    <x v="1"/>
    <x v="2398"/>
    <x v="2"/>
    <x v="0"/>
    <x v="2"/>
    <s v="EMP_24"/>
    <d v="2024-07-19T13:56:00"/>
    <d v="2024-07-19T15:23:00"/>
    <n v="62"/>
    <n v="87"/>
    <n v="1"/>
    <x v="2"/>
    <x v="6"/>
    <n v="197.63"/>
    <n v="25"/>
    <n v="0.71264367816091956"/>
    <s v="Inefficient"/>
    <s v="Long"/>
    <s v="Minor Delay"/>
  </r>
  <r>
    <x v="2399"/>
    <x v="1"/>
    <x v="2399"/>
    <x v="4"/>
    <x v="1"/>
    <x v="1"/>
    <s v="EMP_130"/>
    <d v="2024-04-20T13:01:00"/>
    <d v="2024-04-20T18:00:00"/>
    <n v="221"/>
    <n v="299"/>
    <n v="1"/>
    <x v="1"/>
    <x v="9"/>
    <n v="180.05"/>
    <n v="78"/>
    <n v="0.73913043478260865"/>
    <s v="Inefficient"/>
    <s v="Very Long"/>
    <s v="Major Delay"/>
  </r>
  <r>
    <x v="2400"/>
    <x v="1"/>
    <x v="2400"/>
    <x v="2"/>
    <x v="3"/>
    <x v="3"/>
    <s v="EMP_118"/>
    <d v="2024-12-26T13:07:00"/>
    <d v="2024-12-26T17:12:00"/>
    <n v="223"/>
    <n v="245"/>
    <n v="1"/>
    <x v="0"/>
    <x v="5"/>
    <n v="165.54"/>
    <n v="22"/>
    <n v="0.91020408163265309"/>
    <s v="Inefficient"/>
    <s v="Very Long"/>
    <s v="Minor Delay"/>
  </r>
  <r>
    <x v="2401"/>
    <x v="0"/>
    <x v="2401"/>
    <x v="2"/>
    <x v="0"/>
    <x v="3"/>
    <s v="EMP_9"/>
    <d v="2024-07-23T12:18:00"/>
    <d v="2024-07-23T16:09:00"/>
    <n v="160"/>
    <n v="231"/>
    <n v="1"/>
    <x v="1"/>
    <x v="7"/>
    <n v="58.32"/>
    <n v="71"/>
    <n v="0.69264069264069261"/>
    <s v="Inefficient"/>
    <s v="Very Long"/>
    <s v="Major Delay"/>
  </r>
  <r>
    <x v="2402"/>
    <x v="2"/>
    <x v="2402"/>
    <x v="1"/>
    <x v="3"/>
    <x v="2"/>
    <s v="EMP_147"/>
    <d v="2024-09-11T15:41:00"/>
    <d v="2024-09-11T18:30:00"/>
    <n v="136"/>
    <n v="169"/>
    <n v="1"/>
    <x v="2"/>
    <x v="3"/>
    <n v="137.93"/>
    <n v="33"/>
    <n v="0.80473372781065089"/>
    <s v="Inefficient"/>
    <s v="Very Long"/>
    <s v="Major Delay"/>
  </r>
  <r>
    <x v="2403"/>
    <x v="3"/>
    <x v="2403"/>
    <x v="0"/>
    <x v="1"/>
    <x v="0"/>
    <s v="EMP_35"/>
    <d v="2024-04-27T23:53:00"/>
    <d v="2024-04-28T01:23:00"/>
    <n v="39"/>
    <n v="90"/>
    <n v="1"/>
    <x v="1"/>
    <x v="4"/>
    <n v="333.67"/>
    <n v="51"/>
    <n v="0.43333333333333335"/>
    <s v="Inefficient"/>
    <s v="Long"/>
    <s v="Major Delay"/>
  </r>
  <r>
    <x v="2404"/>
    <x v="2"/>
    <x v="2404"/>
    <x v="0"/>
    <x v="3"/>
    <x v="2"/>
    <s v="EMP_44"/>
    <d v="2024-10-02T14:07:00"/>
    <d v="2024-10-02T17:13:00"/>
    <n v="69"/>
    <n v="186"/>
    <n v="1"/>
    <x v="2"/>
    <x v="6"/>
    <n v="272.85000000000002"/>
    <n v="117"/>
    <n v="0.37096774193548387"/>
    <s v="Inefficient"/>
    <s v="Very Long"/>
    <s v="Major Delay"/>
  </r>
  <r>
    <x v="2405"/>
    <x v="4"/>
    <x v="2405"/>
    <x v="4"/>
    <x v="0"/>
    <x v="4"/>
    <s v="EMP_68"/>
    <d v="2024-08-15T17:49:00"/>
    <d v="2024-08-15T20:49:00"/>
    <n v="111"/>
    <n v="180"/>
    <n v="1"/>
    <x v="2"/>
    <x v="3"/>
    <n v="270.43"/>
    <n v="69"/>
    <n v="0.6166666666666667"/>
    <s v="Inefficient"/>
    <s v="Very Long"/>
    <s v="Major Delay"/>
  </r>
  <r>
    <x v="2406"/>
    <x v="0"/>
    <x v="2406"/>
    <x v="3"/>
    <x v="3"/>
    <x v="4"/>
    <s v="EMP_42"/>
    <d v="2024-04-06T22:17:00"/>
    <d v="2024-04-07T01:48:00"/>
    <n v="105"/>
    <n v="211"/>
    <n v="1"/>
    <x v="2"/>
    <x v="3"/>
    <n v="335.84"/>
    <n v="106"/>
    <n v="0.49763033175355448"/>
    <s v="Inefficient"/>
    <s v="Very Long"/>
    <s v="Major Delay"/>
  </r>
  <r>
    <x v="2407"/>
    <x v="4"/>
    <x v="2407"/>
    <x v="4"/>
    <x v="1"/>
    <x v="4"/>
    <s v="EMP_83"/>
    <d v="2024-04-18T19:17:00"/>
    <d v="2024-04-19T00:51:00"/>
    <n v="220"/>
    <n v="334"/>
    <n v="1"/>
    <x v="2"/>
    <x v="7"/>
    <n v="337.09"/>
    <n v="114"/>
    <n v="0.6586826347305389"/>
    <s v="Inefficient"/>
    <s v="Very Long"/>
    <s v="Major Delay"/>
  </r>
  <r>
    <x v="2408"/>
    <x v="1"/>
    <x v="2408"/>
    <x v="3"/>
    <x v="3"/>
    <x v="2"/>
    <s v="EMP_130"/>
    <d v="2024-07-09T17:51:00"/>
    <d v="2024-07-09T20:58:00"/>
    <n v="139"/>
    <n v="187"/>
    <n v="1"/>
    <x v="2"/>
    <x v="9"/>
    <n v="489.28"/>
    <n v="48"/>
    <n v="0.74331550802139035"/>
    <s v="Inefficient"/>
    <s v="Very Long"/>
    <s v="Major Delay"/>
  </r>
  <r>
    <x v="2409"/>
    <x v="2"/>
    <x v="2409"/>
    <x v="3"/>
    <x v="2"/>
    <x v="3"/>
    <s v="EMP_149"/>
    <d v="2024-10-19T21:50:00"/>
    <d v="2024-10-20T01:40:00"/>
    <n v="136"/>
    <n v="230"/>
    <n v="1"/>
    <x v="0"/>
    <x v="2"/>
    <n v="481.44"/>
    <n v="94"/>
    <n v="0.59130434782608698"/>
    <s v="Inefficient"/>
    <s v="Very Long"/>
    <s v="Major Delay"/>
  </r>
  <r>
    <x v="2410"/>
    <x v="3"/>
    <x v="2410"/>
    <x v="4"/>
    <x v="1"/>
    <x v="1"/>
    <s v="EMP_127"/>
    <d v="2024-04-22T00:30:00"/>
    <d v="2024-04-22T02:07:00"/>
    <n v="52"/>
    <n v="97"/>
    <n v="1"/>
    <x v="1"/>
    <x v="5"/>
    <n v="440.85"/>
    <n v="45"/>
    <n v="0.53608247422680411"/>
    <s v="Inefficient"/>
    <s v="Long"/>
    <s v="Major Delay"/>
  </r>
  <r>
    <x v="2411"/>
    <x v="0"/>
    <x v="2411"/>
    <x v="4"/>
    <x v="2"/>
    <x v="0"/>
    <s v="EMP_88"/>
    <d v="2024-11-19T06:52:00"/>
    <d v="2024-11-19T08:38:00"/>
    <n v="91"/>
    <n v="106"/>
    <n v="1"/>
    <x v="1"/>
    <x v="3"/>
    <n v="411.2"/>
    <n v="15"/>
    <n v="0.85849056603773588"/>
    <s v="Inefficient"/>
    <s v="Long"/>
    <s v="Minor Delay"/>
  </r>
  <r>
    <x v="2412"/>
    <x v="3"/>
    <x v="2412"/>
    <x v="0"/>
    <x v="0"/>
    <x v="2"/>
    <s v="EMP_5"/>
    <d v="2024-09-11T19:57:00"/>
    <d v="2024-09-12T01:03:00"/>
    <n v="226"/>
    <n v="306"/>
    <n v="1"/>
    <x v="0"/>
    <x v="4"/>
    <n v="261.2"/>
    <n v="80"/>
    <n v="0.73856209150326801"/>
    <s v="Inefficient"/>
    <s v="Very Long"/>
    <s v="Major Delay"/>
  </r>
  <r>
    <x v="2413"/>
    <x v="1"/>
    <x v="2413"/>
    <x v="0"/>
    <x v="2"/>
    <x v="1"/>
    <s v="EMP_134"/>
    <d v="2024-06-30T17:25:00"/>
    <d v="2024-06-30T22:43:00"/>
    <n v="224"/>
    <n v="318"/>
    <n v="1"/>
    <x v="1"/>
    <x v="3"/>
    <n v="418.32"/>
    <n v="94"/>
    <n v="0.70440251572327039"/>
    <s v="Inefficient"/>
    <s v="Very Long"/>
    <s v="Major Delay"/>
  </r>
  <r>
    <x v="2414"/>
    <x v="1"/>
    <x v="2414"/>
    <x v="2"/>
    <x v="3"/>
    <x v="4"/>
    <s v="EMP_95"/>
    <d v="2024-04-18T16:06:00"/>
    <d v="2024-04-18T20:16:00"/>
    <n v="135"/>
    <n v="250"/>
    <n v="1"/>
    <x v="1"/>
    <x v="4"/>
    <n v="462.71"/>
    <n v="115"/>
    <n v="0.54"/>
    <s v="Inefficient"/>
    <s v="Very Long"/>
    <s v="Major Delay"/>
  </r>
  <r>
    <x v="2415"/>
    <x v="4"/>
    <x v="2415"/>
    <x v="4"/>
    <x v="1"/>
    <x v="2"/>
    <s v="EMP_150"/>
    <d v="2024-10-05T10:25:00"/>
    <d v="2024-10-05T13:33:00"/>
    <n v="156"/>
    <n v="188"/>
    <n v="1"/>
    <x v="1"/>
    <x v="3"/>
    <n v="363.73"/>
    <n v="32"/>
    <n v="0.82978723404255317"/>
    <s v="Inefficient"/>
    <s v="Very Long"/>
    <s v="Major Delay"/>
  </r>
  <r>
    <x v="2416"/>
    <x v="0"/>
    <x v="2416"/>
    <x v="1"/>
    <x v="2"/>
    <x v="1"/>
    <s v="EMP_134"/>
    <d v="2024-09-09T10:40:00"/>
    <d v="2024-09-09T13:23:00"/>
    <n v="84"/>
    <n v="163"/>
    <n v="1"/>
    <x v="1"/>
    <x v="0"/>
    <n v="286.62"/>
    <n v="79"/>
    <n v="0.51533742331288346"/>
    <s v="Inefficient"/>
    <s v="Very Long"/>
    <s v="Major Delay"/>
  </r>
  <r>
    <x v="2417"/>
    <x v="2"/>
    <x v="2417"/>
    <x v="1"/>
    <x v="0"/>
    <x v="4"/>
    <s v="EMP_27"/>
    <d v="2024-10-24T13:10:00"/>
    <d v="2024-10-24T16:08:00"/>
    <n v="171"/>
    <n v="178"/>
    <n v="1"/>
    <x v="0"/>
    <x v="8"/>
    <n v="360.38"/>
    <n v="7"/>
    <n v="0.9606741573033708"/>
    <s v="Inefficient"/>
    <s v="Very Long"/>
    <s v="Minor Delay"/>
  </r>
  <r>
    <x v="2418"/>
    <x v="4"/>
    <x v="2418"/>
    <x v="2"/>
    <x v="0"/>
    <x v="1"/>
    <s v="EMP_35"/>
    <d v="2024-04-09T10:09:00"/>
    <d v="2024-04-09T13:26:00"/>
    <n v="184"/>
    <n v="197"/>
    <n v="1"/>
    <x v="2"/>
    <x v="8"/>
    <n v="377.54"/>
    <n v="13"/>
    <n v="0.93401015228426398"/>
    <s v="Inefficient"/>
    <s v="Very Long"/>
    <s v="Minor Delay"/>
  </r>
  <r>
    <x v="2419"/>
    <x v="3"/>
    <x v="2419"/>
    <x v="1"/>
    <x v="3"/>
    <x v="1"/>
    <s v="EMP_126"/>
    <d v="2024-01-13T03:07:00"/>
    <d v="2024-01-13T05:27:00"/>
    <n v="127"/>
    <n v="140"/>
    <n v="1"/>
    <x v="1"/>
    <x v="7"/>
    <n v="279.62"/>
    <n v="13"/>
    <n v="0.90714285714285714"/>
    <s v="Inefficient"/>
    <s v="Very Long"/>
    <s v="Minor Delay"/>
  </r>
  <r>
    <x v="2420"/>
    <x v="0"/>
    <x v="2420"/>
    <x v="4"/>
    <x v="3"/>
    <x v="0"/>
    <s v="EMP_60"/>
    <d v="2024-07-30T22:37:00"/>
    <d v="2024-07-31T02:21:00"/>
    <n v="114"/>
    <n v="224"/>
    <n v="1"/>
    <x v="1"/>
    <x v="8"/>
    <n v="486.64"/>
    <n v="110"/>
    <n v="0.5089285714285714"/>
    <s v="Inefficient"/>
    <s v="Very Long"/>
    <s v="Major Delay"/>
  </r>
  <r>
    <x v="2421"/>
    <x v="2"/>
    <x v="2421"/>
    <x v="2"/>
    <x v="2"/>
    <x v="2"/>
    <s v="EMP_9"/>
    <d v="2024-06-27T11:59:00"/>
    <d v="2024-06-27T13:01:00"/>
    <n v="27"/>
    <n v="62"/>
    <n v="1"/>
    <x v="2"/>
    <x v="5"/>
    <n v="123.5"/>
    <n v="35"/>
    <n v="0.43548387096774194"/>
    <s v="Inefficient"/>
    <s v="Long"/>
    <s v="Major Delay"/>
  </r>
  <r>
    <x v="2422"/>
    <x v="2"/>
    <x v="2422"/>
    <x v="0"/>
    <x v="2"/>
    <x v="1"/>
    <s v="EMP_131"/>
    <d v="2024-12-21T08:50:00"/>
    <d v="2024-12-21T14:23:00"/>
    <n v="223"/>
    <n v="333"/>
    <n v="1"/>
    <x v="0"/>
    <x v="2"/>
    <n v="59.92"/>
    <n v="110"/>
    <n v="0.66966966966966968"/>
    <s v="Inefficient"/>
    <s v="Very Long"/>
    <s v="Major Delay"/>
  </r>
  <r>
    <x v="2423"/>
    <x v="0"/>
    <x v="2423"/>
    <x v="0"/>
    <x v="0"/>
    <x v="2"/>
    <s v="EMP_83"/>
    <d v="2024-08-06T08:31:00"/>
    <d v="2024-08-06T11:59:00"/>
    <n v="134"/>
    <n v="208"/>
    <n v="1"/>
    <x v="1"/>
    <x v="7"/>
    <n v="137.96"/>
    <n v="74"/>
    <n v="0.64423076923076927"/>
    <s v="Inefficient"/>
    <s v="Very Long"/>
    <s v="Major Delay"/>
  </r>
  <r>
    <x v="2424"/>
    <x v="1"/>
    <x v="2424"/>
    <x v="0"/>
    <x v="0"/>
    <x v="2"/>
    <s v="EMP_131"/>
    <d v="2024-04-20T11:41:00"/>
    <d v="2024-04-20T15:55:00"/>
    <n v="157"/>
    <n v="254"/>
    <n v="1"/>
    <x v="1"/>
    <x v="3"/>
    <n v="452.55"/>
    <n v="97"/>
    <n v="0.61811023622047245"/>
    <s v="Inefficient"/>
    <s v="Very Long"/>
    <s v="Major Delay"/>
  </r>
  <r>
    <x v="2425"/>
    <x v="1"/>
    <x v="2425"/>
    <x v="2"/>
    <x v="0"/>
    <x v="3"/>
    <s v="EMP_77"/>
    <d v="2024-07-03T09:03:00"/>
    <d v="2024-07-03T12:37:00"/>
    <n v="206"/>
    <n v="214"/>
    <n v="1"/>
    <x v="0"/>
    <x v="4"/>
    <n v="241.59"/>
    <n v="8"/>
    <n v="0.96261682242990654"/>
    <s v="Inefficient"/>
    <s v="Very Long"/>
    <s v="Minor Delay"/>
  </r>
  <r>
    <x v="2426"/>
    <x v="2"/>
    <x v="2426"/>
    <x v="4"/>
    <x v="1"/>
    <x v="3"/>
    <s v="EMP_115"/>
    <d v="2024-09-23T00:28:00"/>
    <d v="2024-09-23T02:35:00"/>
    <n v="43"/>
    <n v="127"/>
    <n v="1"/>
    <x v="2"/>
    <x v="0"/>
    <n v="455.06"/>
    <n v="84"/>
    <n v="0.33858267716535434"/>
    <s v="Inefficient"/>
    <s v="Very Long"/>
    <s v="Major Delay"/>
  </r>
  <r>
    <x v="2427"/>
    <x v="0"/>
    <x v="2427"/>
    <x v="0"/>
    <x v="1"/>
    <x v="1"/>
    <s v="EMP_47"/>
    <d v="2024-11-18T09:15:00"/>
    <d v="2024-11-18T12:02:00"/>
    <n v="158"/>
    <n v="167"/>
    <n v="1"/>
    <x v="0"/>
    <x v="9"/>
    <n v="196.93"/>
    <n v="9"/>
    <n v="0.94610778443113774"/>
    <s v="Inefficient"/>
    <s v="Very Long"/>
    <s v="Minor Delay"/>
  </r>
  <r>
    <x v="2428"/>
    <x v="4"/>
    <x v="2428"/>
    <x v="3"/>
    <x v="3"/>
    <x v="2"/>
    <s v="EMP_35"/>
    <d v="2024-06-11T22:56:00"/>
    <d v="2024-06-12T04:30:00"/>
    <n v="229"/>
    <n v="334"/>
    <n v="1"/>
    <x v="2"/>
    <x v="1"/>
    <n v="220.48"/>
    <n v="105"/>
    <n v="0.68562874251497008"/>
    <s v="Inefficient"/>
    <s v="Very Long"/>
    <s v="Major Delay"/>
  </r>
  <r>
    <x v="2429"/>
    <x v="1"/>
    <x v="2429"/>
    <x v="3"/>
    <x v="1"/>
    <x v="0"/>
    <s v="EMP_56"/>
    <d v="2024-09-08T16:37:00"/>
    <d v="2024-09-08T20:30:00"/>
    <n v="178"/>
    <n v="233"/>
    <n v="1"/>
    <x v="2"/>
    <x v="4"/>
    <n v="389.28"/>
    <n v="55"/>
    <n v="0.76394849785407726"/>
    <s v="Inefficient"/>
    <s v="Very Long"/>
    <s v="Major Delay"/>
  </r>
  <r>
    <x v="2430"/>
    <x v="2"/>
    <x v="2430"/>
    <x v="2"/>
    <x v="0"/>
    <x v="3"/>
    <s v="EMP_80"/>
    <d v="2024-10-24T07:16:00"/>
    <d v="2024-10-24T10:14:00"/>
    <n v="84"/>
    <n v="178"/>
    <n v="1"/>
    <x v="0"/>
    <x v="2"/>
    <n v="206.05"/>
    <n v="94"/>
    <n v="0.47191011235955055"/>
    <s v="Inefficient"/>
    <s v="Very Long"/>
    <s v="Major Delay"/>
  </r>
  <r>
    <x v="2431"/>
    <x v="1"/>
    <x v="2431"/>
    <x v="2"/>
    <x v="1"/>
    <x v="4"/>
    <s v="EMP_7"/>
    <d v="2024-07-04T03:00:00"/>
    <d v="2024-07-04T06:43:00"/>
    <n v="220"/>
    <n v="223"/>
    <n v="1"/>
    <x v="2"/>
    <x v="2"/>
    <n v="293.45999999999998"/>
    <n v="3"/>
    <n v="0.98654708520179368"/>
    <s v="Inefficient"/>
    <s v="Very Long"/>
    <s v="Minor Delay"/>
  </r>
  <r>
    <x v="2432"/>
    <x v="3"/>
    <x v="2432"/>
    <x v="4"/>
    <x v="3"/>
    <x v="1"/>
    <s v="EMP_20"/>
    <d v="2024-01-22T16:14:00"/>
    <d v="2024-01-22T18:13:00"/>
    <n v="111"/>
    <n v="119"/>
    <n v="1"/>
    <x v="2"/>
    <x v="3"/>
    <n v="279.23"/>
    <n v="8"/>
    <n v="0.9327731092436975"/>
    <s v="Inefficient"/>
    <s v="Long"/>
    <s v="Minor Delay"/>
  </r>
  <r>
    <x v="2433"/>
    <x v="2"/>
    <x v="2433"/>
    <x v="3"/>
    <x v="0"/>
    <x v="4"/>
    <s v="EMP_17"/>
    <d v="2024-01-28T10:57:00"/>
    <d v="2024-01-28T15:55:00"/>
    <n v="207"/>
    <n v="298"/>
    <n v="1"/>
    <x v="1"/>
    <x v="8"/>
    <n v="299"/>
    <n v="91"/>
    <n v="0.69463087248322153"/>
    <s v="Inefficient"/>
    <s v="Very Long"/>
    <s v="Major Delay"/>
  </r>
  <r>
    <x v="2434"/>
    <x v="3"/>
    <x v="2434"/>
    <x v="1"/>
    <x v="3"/>
    <x v="4"/>
    <s v="EMP_103"/>
    <d v="2024-02-13T21:00:00"/>
    <d v="2024-02-14T01:30:00"/>
    <n v="156"/>
    <n v="270"/>
    <n v="1"/>
    <x v="2"/>
    <x v="4"/>
    <n v="334.71"/>
    <n v="114"/>
    <n v="0.57777777777777772"/>
    <s v="Inefficient"/>
    <s v="Very Long"/>
    <s v="Major Delay"/>
  </r>
  <r>
    <x v="2435"/>
    <x v="3"/>
    <x v="2435"/>
    <x v="0"/>
    <x v="2"/>
    <x v="1"/>
    <s v="EMP_11"/>
    <d v="2024-03-11T13:39:00"/>
    <d v="2024-03-11T17:59:00"/>
    <n v="159"/>
    <n v="260"/>
    <n v="1"/>
    <x v="1"/>
    <x v="1"/>
    <n v="66.819999999999993"/>
    <n v="101"/>
    <n v="0.61153846153846159"/>
    <s v="Inefficient"/>
    <s v="Very Long"/>
    <s v="Major Delay"/>
  </r>
  <r>
    <x v="2436"/>
    <x v="2"/>
    <x v="2436"/>
    <x v="0"/>
    <x v="0"/>
    <x v="1"/>
    <s v="EMP_124"/>
    <d v="2024-08-03T16:21:00"/>
    <d v="2024-08-03T21:18:00"/>
    <n v="181"/>
    <n v="297"/>
    <n v="1"/>
    <x v="1"/>
    <x v="7"/>
    <n v="325.45999999999998"/>
    <n v="116"/>
    <n v="0.60942760942760943"/>
    <s v="Inefficient"/>
    <s v="Very Long"/>
    <s v="Major Delay"/>
  </r>
  <r>
    <x v="2437"/>
    <x v="2"/>
    <x v="2437"/>
    <x v="3"/>
    <x v="3"/>
    <x v="3"/>
    <s v="EMP_137"/>
    <d v="2024-11-29T15:22:00"/>
    <d v="2024-11-29T17:39:00"/>
    <n v="116"/>
    <n v="137"/>
    <n v="1"/>
    <x v="1"/>
    <x v="7"/>
    <n v="268.94"/>
    <n v="21"/>
    <n v="0.84671532846715325"/>
    <s v="Inefficient"/>
    <s v="Very Long"/>
    <s v="Minor Delay"/>
  </r>
  <r>
    <x v="2438"/>
    <x v="4"/>
    <x v="2438"/>
    <x v="3"/>
    <x v="3"/>
    <x v="1"/>
    <s v="EMP_19"/>
    <d v="2024-01-10T08:51:00"/>
    <d v="2024-01-10T11:21:00"/>
    <n v="48"/>
    <n v="150"/>
    <n v="1"/>
    <x v="0"/>
    <x v="1"/>
    <n v="454.01"/>
    <n v="102"/>
    <n v="0.32"/>
    <s v="Inefficient"/>
    <s v="Very Long"/>
    <s v="Major Delay"/>
  </r>
  <r>
    <x v="2439"/>
    <x v="2"/>
    <x v="2439"/>
    <x v="3"/>
    <x v="3"/>
    <x v="2"/>
    <s v="EMP_95"/>
    <d v="2024-09-21T15:29:00"/>
    <d v="2024-09-21T19:06:00"/>
    <n v="209"/>
    <n v="217"/>
    <n v="1"/>
    <x v="2"/>
    <x v="7"/>
    <n v="311.35000000000002"/>
    <n v="8"/>
    <n v="0.96313364055299544"/>
    <s v="Inefficient"/>
    <s v="Very Long"/>
    <s v="Minor Delay"/>
  </r>
  <r>
    <x v="2440"/>
    <x v="0"/>
    <x v="2440"/>
    <x v="3"/>
    <x v="3"/>
    <x v="1"/>
    <s v="EMP_148"/>
    <d v="2024-04-10T10:03:00"/>
    <d v="2024-04-10T11:49:00"/>
    <n v="110"/>
    <n v="106"/>
    <n v="0"/>
    <x v="1"/>
    <x v="3"/>
    <n v="300.13"/>
    <n v="-4"/>
    <n v="1.0377358490566038"/>
    <s v="Efficient"/>
    <s v="Long"/>
    <s v="On Time"/>
  </r>
  <r>
    <x v="2441"/>
    <x v="1"/>
    <x v="2441"/>
    <x v="1"/>
    <x v="1"/>
    <x v="1"/>
    <s v="EMP_135"/>
    <d v="2024-05-03T09:23:00"/>
    <d v="2024-05-03T12:06:00"/>
    <n v="168"/>
    <n v="163"/>
    <n v="0"/>
    <x v="1"/>
    <x v="3"/>
    <n v="209.58"/>
    <n v="-5"/>
    <n v="1.0306748466257669"/>
    <s v="Efficient"/>
    <s v="Very Long"/>
    <s v="On Time"/>
  </r>
  <r>
    <x v="2442"/>
    <x v="2"/>
    <x v="2442"/>
    <x v="1"/>
    <x v="1"/>
    <x v="3"/>
    <s v="EMP_41"/>
    <d v="2024-06-24T01:08:00"/>
    <d v="2024-06-24T01:49:00"/>
    <n v="18"/>
    <n v="41"/>
    <n v="1"/>
    <x v="1"/>
    <x v="9"/>
    <n v="402.27"/>
    <n v="23"/>
    <n v="0.43902439024390244"/>
    <s v="Inefficient"/>
    <s v="Medium"/>
    <s v="Minor Delay"/>
  </r>
  <r>
    <x v="2443"/>
    <x v="1"/>
    <x v="2443"/>
    <x v="2"/>
    <x v="3"/>
    <x v="0"/>
    <s v="EMP_100"/>
    <d v="2024-04-30T10:06:00"/>
    <d v="2024-04-30T11:26:00"/>
    <n v="41"/>
    <n v="80"/>
    <n v="1"/>
    <x v="2"/>
    <x v="2"/>
    <n v="385.19"/>
    <n v="39"/>
    <n v="0.51249999999999996"/>
    <s v="Inefficient"/>
    <s v="Long"/>
    <s v="Major Delay"/>
  </r>
  <r>
    <x v="2444"/>
    <x v="1"/>
    <x v="2444"/>
    <x v="4"/>
    <x v="0"/>
    <x v="0"/>
    <s v="EMP_71"/>
    <d v="2024-06-22T04:18:00"/>
    <d v="2024-06-22T05:03:00"/>
    <n v="42"/>
    <n v="45"/>
    <n v="1"/>
    <x v="0"/>
    <x v="7"/>
    <n v="355.78"/>
    <n v="3"/>
    <n v="0.93333333333333335"/>
    <s v="Inefficient"/>
    <s v="Medium"/>
    <s v="Minor Delay"/>
  </r>
  <r>
    <x v="2445"/>
    <x v="4"/>
    <x v="2445"/>
    <x v="2"/>
    <x v="1"/>
    <x v="1"/>
    <s v="EMP_43"/>
    <d v="2024-06-22T08:44:00"/>
    <d v="2024-06-22T09:12:00"/>
    <n v="26"/>
    <n v="28"/>
    <n v="1"/>
    <x v="2"/>
    <x v="5"/>
    <n v="379.08"/>
    <n v="2"/>
    <n v="0.9285714285714286"/>
    <s v="Inefficient"/>
    <s v="Short"/>
    <s v="Minor Delay"/>
  </r>
  <r>
    <x v="2446"/>
    <x v="1"/>
    <x v="2446"/>
    <x v="0"/>
    <x v="2"/>
    <x v="3"/>
    <s v="EMP_101"/>
    <d v="2024-07-16T03:41:00"/>
    <d v="2024-07-16T07:53:00"/>
    <n v="226"/>
    <n v="252"/>
    <n v="1"/>
    <x v="1"/>
    <x v="4"/>
    <n v="281.19"/>
    <n v="26"/>
    <n v="0.89682539682539686"/>
    <s v="Inefficient"/>
    <s v="Very Long"/>
    <s v="Minor Delay"/>
  </r>
  <r>
    <x v="2447"/>
    <x v="3"/>
    <x v="2447"/>
    <x v="4"/>
    <x v="0"/>
    <x v="1"/>
    <s v="EMP_52"/>
    <d v="2024-05-28T07:05:00"/>
    <d v="2024-05-28T11:56:00"/>
    <n v="211"/>
    <n v="291"/>
    <n v="1"/>
    <x v="0"/>
    <x v="2"/>
    <n v="435.03"/>
    <n v="80"/>
    <n v="0.72508591065292094"/>
    <s v="Inefficient"/>
    <s v="Very Long"/>
    <s v="Major Delay"/>
  </r>
  <r>
    <x v="2448"/>
    <x v="0"/>
    <x v="2448"/>
    <x v="4"/>
    <x v="0"/>
    <x v="0"/>
    <s v="EMP_9"/>
    <d v="2024-02-26T15:15:00"/>
    <d v="2024-02-26T19:57:00"/>
    <n v="228"/>
    <n v="282"/>
    <n v="1"/>
    <x v="1"/>
    <x v="9"/>
    <n v="128.79"/>
    <n v="54"/>
    <n v="0.80851063829787229"/>
    <s v="Inefficient"/>
    <s v="Very Long"/>
    <s v="Major Delay"/>
  </r>
  <r>
    <x v="2449"/>
    <x v="1"/>
    <x v="2449"/>
    <x v="4"/>
    <x v="1"/>
    <x v="4"/>
    <s v="EMP_17"/>
    <d v="2024-10-24T15:30:00"/>
    <d v="2024-10-24T18:36:00"/>
    <n v="68"/>
    <n v="186"/>
    <n v="1"/>
    <x v="2"/>
    <x v="0"/>
    <n v="112.92"/>
    <n v="118"/>
    <n v="0.36559139784946237"/>
    <s v="Inefficient"/>
    <s v="Very Long"/>
    <s v="Major Delay"/>
  </r>
  <r>
    <x v="2450"/>
    <x v="2"/>
    <x v="2450"/>
    <x v="3"/>
    <x v="2"/>
    <x v="1"/>
    <s v="EMP_67"/>
    <d v="2024-08-28T21:40:00"/>
    <d v="2024-08-29T01:19:00"/>
    <n v="124"/>
    <n v="219"/>
    <n v="1"/>
    <x v="2"/>
    <x v="4"/>
    <n v="494.56"/>
    <n v="95"/>
    <n v="0.56621004566210043"/>
    <s v="Inefficient"/>
    <s v="Very Long"/>
    <s v="Major Delay"/>
  </r>
  <r>
    <x v="2451"/>
    <x v="3"/>
    <x v="2451"/>
    <x v="3"/>
    <x v="0"/>
    <x v="2"/>
    <s v="EMP_110"/>
    <d v="2024-09-08T14:29:00"/>
    <d v="2024-09-08T18:23:00"/>
    <n v="179"/>
    <n v="234"/>
    <n v="1"/>
    <x v="0"/>
    <x v="2"/>
    <n v="189.43"/>
    <n v="55"/>
    <n v="0.7649572649572649"/>
    <s v="Inefficient"/>
    <s v="Very Long"/>
    <s v="Major Delay"/>
  </r>
  <r>
    <x v="2452"/>
    <x v="3"/>
    <x v="2452"/>
    <x v="4"/>
    <x v="1"/>
    <x v="2"/>
    <s v="EMP_37"/>
    <d v="2024-11-13T02:55:00"/>
    <d v="2024-11-13T08:15:00"/>
    <n v="209"/>
    <n v="320"/>
    <n v="1"/>
    <x v="1"/>
    <x v="3"/>
    <n v="96.71"/>
    <n v="111"/>
    <n v="0.65312499999999996"/>
    <s v="Inefficient"/>
    <s v="Very Long"/>
    <s v="Major Delay"/>
  </r>
  <r>
    <x v="2453"/>
    <x v="1"/>
    <x v="2453"/>
    <x v="3"/>
    <x v="2"/>
    <x v="1"/>
    <s v="EMP_111"/>
    <d v="2024-05-25T08:41:00"/>
    <d v="2024-05-25T13:42:00"/>
    <n v="225"/>
    <n v="301"/>
    <n v="1"/>
    <x v="1"/>
    <x v="5"/>
    <n v="466.41"/>
    <n v="76"/>
    <n v="0.74750830564784054"/>
    <s v="Inefficient"/>
    <s v="Very Long"/>
    <s v="Major Delay"/>
  </r>
  <r>
    <x v="2454"/>
    <x v="4"/>
    <x v="2454"/>
    <x v="2"/>
    <x v="2"/>
    <x v="4"/>
    <s v="EMP_61"/>
    <d v="2024-06-01T00:57:00"/>
    <d v="2024-06-01T03:22:00"/>
    <n v="73"/>
    <n v="145"/>
    <n v="1"/>
    <x v="2"/>
    <x v="9"/>
    <n v="66.14"/>
    <n v="72"/>
    <n v="0.50344827586206897"/>
    <s v="Inefficient"/>
    <s v="Very Long"/>
    <s v="Major Delay"/>
  </r>
  <r>
    <x v="2455"/>
    <x v="0"/>
    <x v="2455"/>
    <x v="1"/>
    <x v="2"/>
    <x v="3"/>
    <s v="EMP_92"/>
    <d v="2024-08-28T02:57:00"/>
    <d v="2024-08-28T04:55:00"/>
    <n v="102"/>
    <n v="118"/>
    <n v="1"/>
    <x v="1"/>
    <x v="5"/>
    <n v="147.28"/>
    <n v="16"/>
    <n v="0.86440677966101698"/>
    <s v="Inefficient"/>
    <s v="Long"/>
    <s v="Minor Delay"/>
  </r>
  <r>
    <x v="2456"/>
    <x v="4"/>
    <x v="2456"/>
    <x v="0"/>
    <x v="0"/>
    <x v="2"/>
    <s v="EMP_3"/>
    <d v="2024-11-08T16:45:00"/>
    <d v="2024-11-08T19:54:00"/>
    <n v="91"/>
    <n v="189"/>
    <n v="1"/>
    <x v="2"/>
    <x v="0"/>
    <n v="194.22"/>
    <n v="98"/>
    <n v="0.48148148148148145"/>
    <s v="Inefficient"/>
    <s v="Very Long"/>
    <s v="Major Delay"/>
  </r>
  <r>
    <x v="2457"/>
    <x v="4"/>
    <x v="2457"/>
    <x v="1"/>
    <x v="1"/>
    <x v="4"/>
    <s v="EMP_119"/>
    <d v="2024-03-23T20:02:00"/>
    <d v="2024-03-24T01:12:00"/>
    <n v="224"/>
    <n v="310"/>
    <n v="1"/>
    <x v="0"/>
    <x v="8"/>
    <n v="223.12"/>
    <n v="86"/>
    <n v="0.72258064516129028"/>
    <s v="Inefficient"/>
    <s v="Very Long"/>
    <s v="Major Delay"/>
  </r>
  <r>
    <x v="2458"/>
    <x v="3"/>
    <x v="2458"/>
    <x v="4"/>
    <x v="1"/>
    <x v="2"/>
    <s v="EMP_90"/>
    <d v="2024-05-21T05:09:00"/>
    <d v="2024-05-21T07:15:00"/>
    <n v="83"/>
    <n v="126"/>
    <n v="1"/>
    <x v="0"/>
    <x v="1"/>
    <n v="159.41"/>
    <n v="43"/>
    <n v="0.65873015873015872"/>
    <s v="Inefficient"/>
    <s v="Very Long"/>
    <s v="Major Delay"/>
  </r>
  <r>
    <x v="2459"/>
    <x v="2"/>
    <x v="2459"/>
    <x v="2"/>
    <x v="0"/>
    <x v="4"/>
    <s v="EMP_108"/>
    <d v="2024-02-18T09:57:00"/>
    <d v="2024-02-18T13:59:00"/>
    <n v="139"/>
    <n v="242"/>
    <n v="1"/>
    <x v="2"/>
    <x v="3"/>
    <n v="210.84"/>
    <n v="103"/>
    <n v="0.57438016528925617"/>
    <s v="Inefficient"/>
    <s v="Very Long"/>
    <s v="Major Delay"/>
  </r>
  <r>
    <x v="2460"/>
    <x v="2"/>
    <x v="2460"/>
    <x v="1"/>
    <x v="1"/>
    <x v="4"/>
    <s v="EMP_43"/>
    <d v="2024-11-23T08:27:00"/>
    <d v="2024-11-23T12:00:00"/>
    <n v="140"/>
    <n v="213"/>
    <n v="1"/>
    <x v="0"/>
    <x v="4"/>
    <n v="249.5"/>
    <n v="73"/>
    <n v="0.65727699530516437"/>
    <s v="Inefficient"/>
    <s v="Very Long"/>
    <s v="Major Delay"/>
  </r>
  <r>
    <x v="2461"/>
    <x v="0"/>
    <x v="2461"/>
    <x v="2"/>
    <x v="1"/>
    <x v="4"/>
    <s v="EMP_13"/>
    <d v="2024-03-24T16:44:00"/>
    <d v="2024-03-24T20:54:00"/>
    <n v="140"/>
    <n v="250"/>
    <n v="1"/>
    <x v="1"/>
    <x v="9"/>
    <n v="291.73"/>
    <n v="110"/>
    <n v="0.56000000000000005"/>
    <s v="Inefficient"/>
    <s v="Very Long"/>
    <s v="Major Delay"/>
  </r>
  <r>
    <x v="2462"/>
    <x v="3"/>
    <x v="2462"/>
    <x v="4"/>
    <x v="0"/>
    <x v="0"/>
    <s v="EMP_54"/>
    <d v="2024-04-22T12:18:00"/>
    <d v="2024-04-22T14:49:00"/>
    <n v="73"/>
    <n v="151"/>
    <n v="1"/>
    <x v="2"/>
    <x v="3"/>
    <n v="285.32"/>
    <n v="78"/>
    <n v="0.48344370860927155"/>
    <s v="Inefficient"/>
    <s v="Very Long"/>
    <s v="Major Delay"/>
  </r>
  <r>
    <x v="2463"/>
    <x v="2"/>
    <x v="2463"/>
    <x v="3"/>
    <x v="3"/>
    <x v="4"/>
    <s v="EMP_89"/>
    <d v="2024-02-17T01:54:00"/>
    <d v="2024-02-17T04:40:00"/>
    <n v="159"/>
    <n v="166"/>
    <n v="1"/>
    <x v="2"/>
    <x v="7"/>
    <n v="310.43"/>
    <n v="7"/>
    <n v="0.95783132530120485"/>
    <s v="Inefficient"/>
    <s v="Very Long"/>
    <s v="Minor Delay"/>
  </r>
  <r>
    <x v="2464"/>
    <x v="4"/>
    <x v="2464"/>
    <x v="4"/>
    <x v="0"/>
    <x v="1"/>
    <s v="EMP_130"/>
    <d v="2024-09-07T13:29:00"/>
    <d v="2024-09-07T17:12:00"/>
    <n v="207"/>
    <n v="223"/>
    <n v="1"/>
    <x v="1"/>
    <x v="0"/>
    <n v="251.88"/>
    <n v="16"/>
    <n v="0.9282511210762332"/>
    <s v="Inefficient"/>
    <s v="Very Long"/>
    <s v="Minor Delay"/>
  </r>
  <r>
    <x v="2465"/>
    <x v="0"/>
    <x v="2465"/>
    <x v="4"/>
    <x v="1"/>
    <x v="3"/>
    <s v="EMP_58"/>
    <d v="2024-01-01T05:33:00"/>
    <d v="2024-01-01T08:58:00"/>
    <n v="112"/>
    <n v="205"/>
    <n v="1"/>
    <x v="1"/>
    <x v="5"/>
    <n v="302.47000000000003"/>
    <n v="93"/>
    <n v="0.54634146341463419"/>
    <s v="Inefficient"/>
    <s v="Very Long"/>
    <s v="Major Delay"/>
  </r>
  <r>
    <x v="2466"/>
    <x v="1"/>
    <x v="2466"/>
    <x v="4"/>
    <x v="0"/>
    <x v="4"/>
    <s v="EMP_28"/>
    <d v="2024-07-19T15:29:00"/>
    <d v="2024-07-19T16:22:00"/>
    <n v="33"/>
    <n v="53"/>
    <n v="1"/>
    <x v="1"/>
    <x v="2"/>
    <n v="369.76"/>
    <n v="20"/>
    <n v="0.62264150943396224"/>
    <s v="Inefficient"/>
    <s v="Medium"/>
    <s v="Minor Delay"/>
  </r>
  <r>
    <x v="2467"/>
    <x v="3"/>
    <x v="2467"/>
    <x v="1"/>
    <x v="2"/>
    <x v="3"/>
    <s v="EMP_83"/>
    <d v="2024-09-21T11:58:00"/>
    <d v="2024-09-21T15:44:00"/>
    <n v="119"/>
    <n v="226"/>
    <n v="1"/>
    <x v="2"/>
    <x v="2"/>
    <n v="69.72"/>
    <n v="107"/>
    <n v="0.52654867256637172"/>
    <s v="Inefficient"/>
    <s v="Very Long"/>
    <s v="Major Delay"/>
  </r>
  <r>
    <x v="2468"/>
    <x v="1"/>
    <x v="2468"/>
    <x v="2"/>
    <x v="3"/>
    <x v="0"/>
    <s v="EMP_73"/>
    <d v="2024-01-10T17:41:00"/>
    <d v="2024-01-10T19:16:00"/>
    <n v="80"/>
    <n v="95"/>
    <n v="1"/>
    <x v="1"/>
    <x v="7"/>
    <n v="172.08"/>
    <n v="15"/>
    <n v="0.84210526315789469"/>
    <s v="Inefficient"/>
    <s v="Long"/>
    <s v="Minor Delay"/>
  </r>
  <r>
    <x v="2469"/>
    <x v="2"/>
    <x v="2469"/>
    <x v="2"/>
    <x v="2"/>
    <x v="0"/>
    <s v="EMP_57"/>
    <d v="2024-12-11T00:39:00"/>
    <d v="2024-12-11T01:23:00"/>
    <n v="30"/>
    <n v="44"/>
    <n v="1"/>
    <x v="1"/>
    <x v="8"/>
    <n v="466.67"/>
    <n v="14"/>
    <n v="0.68181818181818177"/>
    <s v="Inefficient"/>
    <s v="Medium"/>
    <s v="Minor Delay"/>
  </r>
  <r>
    <x v="2470"/>
    <x v="0"/>
    <x v="2470"/>
    <x v="0"/>
    <x v="0"/>
    <x v="0"/>
    <s v="EMP_118"/>
    <d v="2024-03-12T20:00:00"/>
    <d v="2024-03-13T00:50:00"/>
    <n v="220"/>
    <n v="290"/>
    <n v="1"/>
    <x v="0"/>
    <x v="9"/>
    <n v="430.08"/>
    <n v="70"/>
    <n v="0.75862068965517238"/>
    <s v="Inefficient"/>
    <s v="Very Long"/>
    <s v="Major Delay"/>
  </r>
  <r>
    <x v="2471"/>
    <x v="0"/>
    <x v="2471"/>
    <x v="1"/>
    <x v="1"/>
    <x v="1"/>
    <s v="EMP_101"/>
    <d v="2024-01-13T17:28:00"/>
    <d v="2024-01-13T21:59:00"/>
    <n v="173"/>
    <n v="271"/>
    <n v="1"/>
    <x v="1"/>
    <x v="9"/>
    <n v="135.05000000000001"/>
    <n v="98"/>
    <n v="0.63837638376383765"/>
    <s v="Inefficient"/>
    <s v="Very Long"/>
    <s v="Major Delay"/>
  </r>
  <r>
    <x v="2472"/>
    <x v="2"/>
    <x v="2472"/>
    <x v="1"/>
    <x v="0"/>
    <x v="3"/>
    <s v="EMP_76"/>
    <d v="2024-02-20T23:12:00"/>
    <d v="2024-02-21T01:15:00"/>
    <n v="113"/>
    <n v="123"/>
    <n v="1"/>
    <x v="2"/>
    <x v="7"/>
    <n v="385.35"/>
    <n v="10"/>
    <n v="0.91869918699186992"/>
    <s v="Inefficient"/>
    <s v="Very Long"/>
    <s v="Minor Delay"/>
  </r>
  <r>
    <x v="2473"/>
    <x v="1"/>
    <x v="2473"/>
    <x v="2"/>
    <x v="3"/>
    <x v="4"/>
    <s v="EMP_46"/>
    <d v="2024-05-18T19:46:00"/>
    <d v="2024-05-18T22:45:00"/>
    <n v="184"/>
    <n v="179"/>
    <n v="0"/>
    <x v="2"/>
    <x v="5"/>
    <n v="210.66"/>
    <n v="-5"/>
    <n v="1.0279329608938548"/>
    <s v="Efficient"/>
    <s v="Very Long"/>
    <s v="On Time"/>
  </r>
  <r>
    <x v="2474"/>
    <x v="0"/>
    <x v="2474"/>
    <x v="2"/>
    <x v="0"/>
    <x v="3"/>
    <s v="EMP_55"/>
    <d v="2024-05-18T02:45:00"/>
    <d v="2024-05-18T07:58:00"/>
    <n v="224"/>
    <n v="313"/>
    <n v="1"/>
    <x v="1"/>
    <x v="9"/>
    <n v="68.540000000000006"/>
    <n v="89"/>
    <n v="0.71565495207667729"/>
    <s v="Inefficient"/>
    <s v="Very Long"/>
    <s v="Major Delay"/>
  </r>
  <r>
    <x v="2475"/>
    <x v="0"/>
    <x v="2475"/>
    <x v="2"/>
    <x v="1"/>
    <x v="2"/>
    <s v="EMP_79"/>
    <d v="2024-03-28T23:13:00"/>
    <d v="2024-03-29T01:41:00"/>
    <n v="71"/>
    <n v="148"/>
    <n v="1"/>
    <x v="2"/>
    <x v="6"/>
    <n v="233.12"/>
    <n v="77"/>
    <n v="0.47972972972972971"/>
    <s v="Inefficient"/>
    <s v="Very Long"/>
    <s v="Major Delay"/>
  </r>
  <r>
    <x v="2476"/>
    <x v="1"/>
    <x v="2476"/>
    <x v="1"/>
    <x v="2"/>
    <x v="0"/>
    <s v="EMP_66"/>
    <d v="2024-01-30T12:03:00"/>
    <d v="2024-01-30T15:49:00"/>
    <n v="214"/>
    <n v="226"/>
    <n v="1"/>
    <x v="2"/>
    <x v="0"/>
    <n v="204.34"/>
    <n v="12"/>
    <n v="0.94690265486725667"/>
    <s v="Inefficient"/>
    <s v="Very Long"/>
    <s v="Minor Delay"/>
  </r>
  <r>
    <x v="2477"/>
    <x v="2"/>
    <x v="2477"/>
    <x v="2"/>
    <x v="1"/>
    <x v="3"/>
    <s v="EMP_106"/>
    <d v="2024-07-13T05:50:00"/>
    <d v="2024-07-13T07:14:00"/>
    <n v="60"/>
    <n v="84"/>
    <n v="1"/>
    <x v="2"/>
    <x v="0"/>
    <n v="353.05"/>
    <n v="24"/>
    <n v="0.7142857142857143"/>
    <s v="Inefficient"/>
    <s v="Long"/>
    <s v="Minor Delay"/>
  </r>
  <r>
    <x v="2478"/>
    <x v="0"/>
    <x v="2478"/>
    <x v="3"/>
    <x v="0"/>
    <x v="1"/>
    <s v="EMP_1"/>
    <d v="2024-09-28T04:49:00"/>
    <d v="2024-09-28T10:37:00"/>
    <n v="239"/>
    <n v="348"/>
    <n v="1"/>
    <x v="1"/>
    <x v="2"/>
    <n v="322.91000000000003"/>
    <n v="109"/>
    <n v="0.68678160919540232"/>
    <s v="Inefficient"/>
    <s v="Very Long"/>
    <s v="Major Delay"/>
  </r>
  <r>
    <x v="2479"/>
    <x v="0"/>
    <x v="2479"/>
    <x v="0"/>
    <x v="2"/>
    <x v="4"/>
    <s v="EMP_150"/>
    <d v="2024-09-01T00:25:00"/>
    <d v="2024-09-01T03:58:00"/>
    <n v="95"/>
    <n v="213"/>
    <n v="1"/>
    <x v="0"/>
    <x v="1"/>
    <n v="357.55"/>
    <n v="118"/>
    <n v="0.4460093896713615"/>
    <s v="Inefficient"/>
    <s v="Very Long"/>
    <s v="Major Delay"/>
  </r>
  <r>
    <x v="2480"/>
    <x v="1"/>
    <x v="2480"/>
    <x v="0"/>
    <x v="1"/>
    <x v="0"/>
    <s v="EMP_128"/>
    <d v="2024-03-06T19:43:00"/>
    <d v="2024-03-07T00:04:00"/>
    <n v="206"/>
    <n v="261"/>
    <n v="1"/>
    <x v="0"/>
    <x v="1"/>
    <n v="335.37"/>
    <n v="55"/>
    <n v="0.78927203065134099"/>
    <s v="Inefficient"/>
    <s v="Very Long"/>
    <s v="Major Delay"/>
  </r>
  <r>
    <x v="2481"/>
    <x v="1"/>
    <x v="2481"/>
    <x v="2"/>
    <x v="2"/>
    <x v="2"/>
    <s v="EMP_40"/>
    <d v="2024-11-01T06:51:00"/>
    <d v="2024-11-01T10:55:00"/>
    <n v="211"/>
    <n v="244"/>
    <n v="1"/>
    <x v="2"/>
    <x v="7"/>
    <n v="166.41"/>
    <n v="33"/>
    <n v="0.86475409836065575"/>
    <s v="Inefficient"/>
    <s v="Very Long"/>
    <s v="Major Delay"/>
  </r>
  <r>
    <x v="2482"/>
    <x v="1"/>
    <x v="2482"/>
    <x v="2"/>
    <x v="2"/>
    <x v="0"/>
    <s v="EMP_44"/>
    <d v="2024-01-04T03:16:00"/>
    <d v="2024-01-04T05:46:00"/>
    <n v="130"/>
    <n v="150"/>
    <n v="1"/>
    <x v="1"/>
    <x v="9"/>
    <n v="167.83"/>
    <n v="20"/>
    <n v="0.8666666666666667"/>
    <s v="Inefficient"/>
    <s v="Very Long"/>
    <s v="Minor Delay"/>
  </r>
  <r>
    <x v="2483"/>
    <x v="1"/>
    <x v="2483"/>
    <x v="1"/>
    <x v="2"/>
    <x v="1"/>
    <s v="EMP_103"/>
    <d v="2024-12-19T23:17:00"/>
    <d v="2024-12-20T03:20:00"/>
    <n v="148"/>
    <n v="243"/>
    <n v="1"/>
    <x v="0"/>
    <x v="1"/>
    <n v="59.95"/>
    <n v="95"/>
    <n v="0.60905349794238683"/>
    <s v="Inefficient"/>
    <s v="Very Long"/>
    <s v="Major Delay"/>
  </r>
  <r>
    <x v="2484"/>
    <x v="1"/>
    <x v="2484"/>
    <x v="2"/>
    <x v="0"/>
    <x v="4"/>
    <s v="EMP_41"/>
    <d v="2024-08-16T09:01:00"/>
    <d v="2024-08-16T12:47:00"/>
    <n v="131"/>
    <n v="226"/>
    <n v="1"/>
    <x v="0"/>
    <x v="8"/>
    <n v="92.53"/>
    <n v="95"/>
    <n v="0.57964601769911506"/>
    <s v="Inefficient"/>
    <s v="Very Long"/>
    <s v="Major Delay"/>
  </r>
  <r>
    <x v="2485"/>
    <x v="3"/>
    <x v="2485"/>
    <x v="2"/>
    <x v="1"/>
    <x v="2"/>
    <s v="EMP_126"/>
    <d v="2024-01-14T09:45:00"/>
    <d v="2024-01-14T13:53:00"/>
    <n v="224"/>
    <n v="248"/>
    <n v="1"/>
    <x v="0"/>
    <x v="5"/>
    <n v="344.1"/>
    <n v="24"/>
    <n v="0.90322580645161288"/>
    <s v="Inefficient"/>
    <s v="Very Long"/>
    <s v="Minor Delay"/>
  </r>
  <r>
    <x v="2486"/>
    <x v="4"/>
    <x v="2486"/>
    <x v="1"/>
    <x v="3"/>
    <x v="2"/>
    <s v="EMP_79"/>
    <d v="2024-11-10T22:49:00"/>
    <d v="2024-11-11T00:51:00"/>
    <n v="45"/>
    <n v="122"/>
    <n v="1"/>
    <x v="1"/>
    <x v="1"/>
    <n v="298.33"/>
    <n v="77"/>
    <n v="0.36885245901639346"/>
    <s v="Inefficient"/>
    <s v="Very Long"/>
    <s v="Major Delay"/>
  </r>
  <r>
    <x v="2487"/>
    <x v="3"/>
    <x v="2487"/>
    <x v="2"/>
    <x v="1"/>
    <x v="0"/>
    <s v="EMP_41"/>
    <d v="2024-07-16T06:26:00"/>
    <d v="2024-07-16T07:58:00"/>
    <n v="48"/>
    <n v="92"/>
    <n v="1"/>
    <x v="0"/>
    <x v="4"/>
    <n v="91.67"/>
    <n v="44"/>
    <n v="0.52173913043478259"/>
    <s v="Inefficient"/>
    <s v="Long"/>
    <s v="Major Delay"/>
  </r>
  <r>
    <x v="2488"/>
    <x v="3"/>
    <x v="2488"/>
    <x v="2"/>
    <x v="2"/>
    <x v="2"/>
    <s v="EMP_47"/>
    <d v="2024-02-25T00:21:00"/>
    <d v="2024-02-25T04:43:00"/>
    <n v="186"/>
    <n v="262"/>
    <n v="1"/>
    <x v="1"/>
    <x v="3"/>
    <n v="245"/>
    <n v="76"/>
    <n v="0.70992366412213737"/>
    <s v="Inefficient"/>
    <s v="Very Long"/>
    <s v="Major Delay"/>
  </r>
  <r>
    <x v="2489"/>
    <x v="3"/>
    <x v="2489"/>
    <x v="0"/>
    <x v="1"/>
    <x v="3"/>
    <s v="EMP_62"/>
    <d v="2024-01-14T04:06:00"/>
    <d v="2024-01-14T07:21:00"/>
    <n v="128"/>
    <n v="195"/>
    <n v="1"/>
    <x v="0"/>
    <x v="8"/>
    <n v="473.13"/>
    <n v="67"/>
    <n v="0.65641025641025641"/>
    <s v="Inefficient"/>
    <s v="Very Long"/>
    <s v="Major Delay"/>
  </r>
  <r>
    <x v="2490"/>
    <x v="1"/>
    <x v="2490"/>
    <x v="2"/>
    <x v="3"/>
    <x v="4"/>
    <s v="EMP_100"/>
    <d v="2024-09-15T17:00:00"/>
    <d v="2024-09-15T19:08:00"/>
    <n v="38"/>
    <n v="128"/>
    <n v="1"/>
    <x v="1"/>
    <x v="2"/>
    <n v="110.51"/>
    <n v="90"/>
    <n v="0.296875"/>
    <s v="Inefficient"/>
    <s v="Very Long"/>
    <s v="Major Delay"/>
  </r>
  <r>
    <x v="2491"/>
    <x v="3"/>
    <x v="2491"/>
    <x v="3"/>
    <x v="2"/>
    <x v="1"/>
    <s v="EMP_33"/>
    <d v="2024-02-18T16:06:00"/>
    <d v="2024-02-18T19:19:00"/>
    <n v="133"/>
    <n v="193"/>
    <n v="1"/>
    <x v="0"/>
    <x v="9"/>
    <n v="132.4"/>
    <n v="60"/>
    <n v="0.68911917098445596"/>
    <s v="Inefficient"/>
    <s v="Very Long"/>
    <s v="Major Delay"/>
  </r>
  <r>
    <x v="2492"/>
    <x v="1"/>
    <x v="2492"/>
    <x v="2"/>
    <x v="1"/>
    <x v="1"/>
    <s v="EMP_96"/>
    <d v="2024-04-14T00:57:00"/>
    <d v="2024-04-14T02:46:00"/>
    <n v="29"/>
    <n v="109"/>
    <n v="1"/>
    <x v="0"/>
    <x v="8"/>
    <n v="406.57"/>
    <n v="80"/>
    <n v="0.26605504587155965"/>
    <s v="Inefficient"/>
    <s v="Long"/>
    <s v="Major Delay"/>
  </r>
  <r>
    <x v="2493"/>
    <x v="0"/>
    <x v="2493"/>
    <x v="1"/>
    <x v="3"/>
    <x v="2"/>
    <s v="EMP_145"/>
    <d v="2024-12-13T15:55:00"/>
    <d v="2024-12-13T19:17:00"/>
    <n v="93"/>
    <n v="202"/>
    <n v="1"/>
    <x v="2"/>
    <x v="7"/>
    <n v="56.92"/>
    <n v="109"/>
    <n v="0.46039603960396042"/>
    <s v="Inefficient"/>
    <s v="Very Long"/>
    <s v="Major Delay"/>
  </r>
  <r>
    <x v="2494"/>
    <x v="0"/>
    <x v="2494"/>
    <x v="3"/>
    <x v="0"/>
    <x v="2"/>
    <s v="EMP_122"/>
    <d v="2024-01-23T09:38:00"/>
    <d v="2024-01-23T10:55:00"/>
    <n v="21"/>
    <n v="77"/>
    <n v="1"/>
    <x v="2"/>
    <x v="6"/>
    <n v="221.98"/>
    <n v="56"/>
    <n v="0.27272727272727271"/>
    <s v="Inefficient"/>
    <s v="Long"/>
    <s v="Major Delay"/>
  </r>
  <r>
    <x v="2495"/>
    <x v="1"/>
    <x v="2495"/>
    <x v="1"/>
    <x v="3"/>
    <x v="0"/>
    <s v="EMP_14"/>
    <d v="2024-01-29T09:48:00"/>
    <d v="2024-01-29T10:58:00"/>
    <n v="33"/>
    <n v="70"/>
    <n v="1"/>
    <x v="2"/>
    <x v="2"/>
    <n v="143.87"/>
    <n v="37"/>
    <n v="0.47142857142857142"/>
    <s v="Inefficient"/>
    <s v="Long"/>
    <s v="Major Delay"/>
  </r>
  <r>
    <x v="2496"/>
    <x v="1"/>
    <x v="2496"/>
    <x v="0"/>
    <x v="3"/>
    <x v="4"/>
    <s v="EMP_27"/>
    <d v="2024-04-30T05:47:00"/>
    <d v="2024-04-30T10:00:00"/>
    <n v="227"/>
    <n v="253"/>
    <n v="1"/>
    <x v="1"/>
    <x v="8"/>
    <n v="335.42"/>
    <n v="26"/>
    <n v="0.89723320158102771"/>
    <s v="Inefficient"/>
    <s v="Very Long"/>
    <s v="Minor Delay"/>
  </r>
  <r>
    <x v="2497"/>
    <x v="4"/>
    <x v="2497"/>
    <x v="1"/>
    <x v="1"/>
    <x v="4"/>
    <s v="EMP_123"/>
    <d v="2024-03-25T10:02:00"/>
    <d v="2024-03-25T14:26:00"/>
    <n v="167"/>
    <n v="264"/>
    <n v="1"/>
    <x v="1"/>
    <x v="5"/>
    <n v="451.91"/>
    <n v="97"/>
    <n v="0.63257575757575757"/>
    <s v="Inefficient"/>
    <s v="Very Long"/>
    <s v="Major Delay"/>
  </r>
  <r>
    <x v="2498"/>
    <x v="0"/>
    <x v="2498"/>
    <x v="3"/>
    <x v="1"/>
    <x v="4"/>
    <s v="EMP_12"/>
    <d v="2024-07-12T09:03:00"/>
    <d v="2024-07-12T12:57:00"/>
    <n v="169"/>
    <n v="234"/>
    <n v="1"/>
    <x v="0"/>
    <x v="9"/>
    <n v="334.07"/>
    <n v="65"/>
    <n v="0.72222222222222221"/>
    <s v="Inefficient"/>
    <s v="Very Long"/>
    <s v="Major Delay"/>
  </r>
  <r>
    <x v="2499"/>
    <x v="4"/>
    <x v="2499"/>
    <x v="4"/>
    <x v="2"/>
    <x v="2"/>
    <s v="EMP_63"/>
    <d v="2024-02-02T01:40:00"/>
    <d v="2024-02-02T03:16:00"/>
    <n v="89"/>
    <n v="96"/>
    <n v="1"/>
    <x v="2"/>
    <x v="9"/>
    <n v="274.87"/>
    <n v="7"/>
    <n v="0.92708333333333337"/>
    <s v="Inefficient"/>
    <s v="Long"/>
    <s v="Minor Del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AC599D-306F-4398-9192-34F7E6806EB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sk_Type">
  <location ref="F3:H9" firstHeaderRow="0" firstDataRow="1" firstDataCol="1"/>
  <pivotFields count="20">
    <pivotField showAll="0"/>
    <pivotField showAll="0"/>
    <pivotField showAll="0"/>
    <pivotField axis="axisRow"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dataField="1" showAll="0"/>
    <pivotField dataField="1" showAll="0"/>
    <pivotField showAll="0"/>
    <pivotField showAll="0"/>
    <pivotField showAll="0"/>
    <pivotField showAll="0"/>
    <pivotField numFmtId="2"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Average of Actual_Time_Minutes" fld="10" subtotal="average" baseField="3" baseItem="2" numFmtId="164"/>
    <dataField name="Average of Delay_Flag" fld="11" subtotal="average" baseField="3" baseItem="2" numFmtId="2"/>
  </dataFields>
  <formats count="8">
    <format dxfId="122">
      <pivotArea type="all" dataOnly="0" outline="0" fieldPosition="0"/>
    </format>
    <format dxfId="121">
      <pivotArea outline="0" collapsedLevelsAreSubtotals="1" fieldPosition="0"/>
    </format>
    <format dxfId="120">
      <pivotArea field="3" type="button" dataOnly="0" labelOnly="1" outline="0" axis="axisRow" fieldPosition="0"/>
    </format>
    <format dxfId="119">
      <pivotArea dataOnly="0" labelOnly="1" fieldPosition="0">
        <references count="1">
          <reference field="3" count="0"/>
        </references>
      </pivotArea>
    </format>
    <format dxfId="118">
      <pivotArea dataOnly="0" labelOnly="1" grandRow="1" outline="0" fieldPosition="0"/>
    </format>
    <format dxfId="117">
      <pivotArea dataOnly="0" labelOnly="1" outline="0" fieldPosition="0">
        <references count="1">
          <reference field="4294967294" count="2">
            <x v="0"/>
            <x v="1"/>
          </reference>
        </references>
      </pivotArea>
    </format>
    <format dxfId="116">
      <pivotArea outline="0" collapsedLevelsAreSubtotals="1" fieldPosition="0">
        <references count="1">
          <reference field="4294967294" count="1" selected="0">
            <x v="0"/>
          </reference>
        </references>
      </pivotArea>
    </format>
    <format dxfId="1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0567C-A716-4CC7-8460-5FFD9B064B7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
  <location ref="A12:D18" firstHeaderRow="0" firstDataRow="1" firstDataCol="1"/>
  <pivotFields count="20">
    <pivotField showAll="0"/>
    <pivotField showAll="0"/>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6">
        <item x="1"/>
        <item x="4"/>
        <item x="2"/>
        <item x="0"/>
        <item x="3"/>
        <item t="default"/>
      </items>
    </pivotField>
    <pivotField showAll="0">
      <items count="5">
        <item x="3"/>
        <item x="1"/>
        <item x="0"/>
        <item x="2"/>
        <item t="default"/>
      </items>
    </pivotField>
    <pivotField axis="axisRow" showAll="0">
      <items count="6">
        <item x="0"/>
        <item x="2"/>
        <item x="1"/>
        <item x="4"/>
        <item x="3"/>
        <item t="default"/>
      </items>
    </pivotField>
    <pivotField showAll="0"/>
    <pivotField numFmtId="22" showAll="0"/>
    <pivotField numFmtId="22" showAll="0"/>
    <pivotField showAll="0"/>
    <pivotField showAll="0"/>
    <pivotField dataField="1" showAll="0"/>
    <pivotField showAll="0"/>
    <pivotField showAll="0"/>
    <pivotField dataField="1" showAll="0"/>
    <pivotField showAll="0"/>
    <pivotField numFmtId="2" showAll="0"/>
    <pivotField showAll="0"/>
    <pivotField showAll="0"/>
    <pivotField showAll="0"/>
  </pivotFields>
  <rowFields count="1">
    <field x="5"/>
  </rowFields>
  <rowItems count="6">
    <i>
      <x/>
    </i>
    <i>
      <x v="1"/>
    </i>
    <i>
      <x v="2"/>
    </i>
    <i>
      <x v="3"/>
    </i>
    <i>
      <x v="4"/>
    </i>
    <i t="grand">
      <x/>
    </i>
  </rowItems>
  <colFields count="1">
    <field x="-2"/>
  </colFields>
  <colItems count="3">
    <i>
      <x/>
    </i>
    <i i="1">
      <x v="1"/>
    </i>
    <i i="2">
      <x v="2"/>
    </i>
  </colItems>
  <dataFields count="3">
    <dataField name="Count of Task_ID" fld="2" subtotal="count" baseField="0" baseItem="0"/>
    <dataField name="Average of Delay_Flag" fld="11" subtotal="average" baseField="5" baseItem="0" numFmtId="2"/>
    <dataField name="Average of Cost_Per_Task" fld="14" subtotal="average" baseField="5" baseItem="0" numFmtId="165"/>
  </dataFields>
  <formats count="8">
    <format dxfId="130">
      <pivotArea type="all" dataOnly="0" outline="0" fieldPosition="0"/>
    </format>
    <format dxfId="129">
      <pivotArea outline="0" collapsedLevelsAreSubtotals="1" fieldPosition="0"/>
    </format>
    <format dxfId="128">
      <pivotArea field="5" type="button" dataOnly="0" labelOnly="1" outline="0" axis="axisRow" fieldPosition="0"/>
    </format>
    <format dxfId="127">
      <pivotArea dataOnly="0" labelOnly="1" fieldPosition="0">
        <references count="1">
          <reference field="5" count="0"/>
        </references>
      </pivotArea>
    </format>
    <format dxfId="126">
      <pivotArea dataOnly="0" labelOnly="1" grandRow="1" outline="0" fieldPosition="0"/>
    </format>
    <format dxfId="125">
      <pivotArea dataOnly="0" labelOnly="1" outline="0" fieldPosition="0">
        <references count="1">
          <reference field="4294967294" count="3">
            <x v="0"/>
            <x v="1"/>
            <x v="2"/>
          </reference>
        </references>
      </pivotArea>
    </format>
    <format dxfId="124">
      <pivotArea outline="0" collapsedLevelsAreSubtotals="1" fieldPosition="0">
        <references count="1">
          <reference field="4294967294" count="1" selected="0">
            <x v="2"/>
          </reference>
        </references>
      </pivotArea>
    </format>
    <format dxfId="1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8B607-A7D4-4F59-90FE-3C32E8E99C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cess_Name">
  <location ref="A3:C9" firstHeaderRow="0" firstDataRow="1" firstDataCol="1"/>
  <pivotFields count="15">
    <pivotField showAll="0"/>
    <pivotField axis="axisRow" showAll="0">
      <items count="6">
        <item x="0"/>
        <item x="1"/>
        <item x="2"/>
        <item x="4"/>
        <item x="3"/>
        <item t="default"/>
      </items>
    </pivotField>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numFmtId="22" showAll="0"/>
    <pivotField numFmtId="22" showAll="0"/>
    <pivotField showAll="0"/>
    <pivotField showAll="0"/>
    <pivotField dataField="1"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Count of Task_ID" fld="2" subtotal="count" baseField="0" baseItem="0"/>
    <dataField name="Average of Delay_Flag" fld="11" subtotal="average" baseField="1" baseItem="1" numFmtId="10"/>
  </dataFields>
  <formats count="8">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outline="0" fieldPosition="0">
        <references count="1">
          <reference field="4294967294" count="2">
            <x v="0"/>
            <x v="1"/>
          </reference>
        </references>
      </pivotArea>
    </format>
    <format dxfId="132">
      <pivotArea outline="0" collapsedLevelsAreSubtotals="1" fieldPosition="0">
        <references count="1">
          <reference field="4294967294" count="1" selected="0">
            <x v="1"/>
          </reference>
        </references>
      </pivotArea>
    </format>
    <format dxfId="13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45C4DB-3F6C-48BC-BCAE-1EE73C17139F}"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_Workload">
  <location ref="A21:B32" firstHeaderRow="1" firstDataRow="1" firstDataCol="1"/>
  <pivotFields count="20">
    <pivotField showAll="0"/>
    <pivotField showAll="0"/>
    <pivotField showAll="0"/>
    <pivotField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showAll="0"/>
    <pivotField dataField="1" showAll="0"/>
    <pivotField showAll="0"/>
    <pivotField axis="axisRow" showAll="0">
      <items count="11">
        <item x="0"/>
        <item x="6"/>
        <item x="3"/>
        <item x="5"/>
        <item x="1"/>
        <item x="4"/>
        <item x="9"/>
        <item x="2"/>
        <item x="7"/>
        <item x="8"/>
        <item t="default"/>
      </items>
    </pivotField>
    <pivotField showAll="0"/>
    <pivotField showAll="0"/>
    <pivotField numFmtId="2" showAll="0"/>
    <pivotField showAll="0"/>
    <pivotField showAll="0"/>
    <pivotField showAll="0"/>
  </pivotFields>
  <rowFields count="1">
    <field x="13"/>
  </rowFields>
  <rowItems count="11">
    <i>
      <x/>
    </i>
    <i>
      <x v="1"/>
    </i>
    <i>
      <x v="2"/>
    </i>
    <i>
      <x v="3"/>
    </i>
    <i>
      <x v="4"/>
    </i>
    <i>
      <x v="5"/>
    </i>
    <i>
      <x v="6"/>
    </i>
    <i>
      <x v="7"/>
    </i>
    <i>
      <x v="8"/>
    </i>
    <i>
      <x v="9"/>
    </i>
    <i t="grand">
      <x/>
    </i>
  </rowItems>
  <colItems count="1">
    <i/>
  </colItems>
  <dataFields count="1">
    <dataField name="Average of Delay_Flag" fld="11" subtotal="average" baseField="13" baseItem="0" numFmtId="2"/>
  </dataFields>
  <formats count="8">
    <format dxfId="146">
      <pivotArea outline="0" collapsedLevelsAreSubtotals="1" fieldPosition="0"/>
    </format>
    <format dxfId="145">
      <pivotArea type="all" dataOnly="0" outline="0" fieldPosition="0"/>
    </format>
    <format dxfId="144">
      <pivotArea outline="0" collapsedLevelsAreSubtotals="1" fieldPosition="0"/>
    </format>
    <format dxfId="143">
      <pivotArea field="13" type="button" dataOnly="0" labelOnly="1" outline="0" axis="axisRow" fieldPosition="0"/>
    </format>
    <format dxfId="142">
      <pivotArea dataOnly="0" labelOnly="1" fieldPosition="0">
        <references count="1">
          <reference field="13" count="0"/>
        </references>
      </pivotArea>
    </format>
    <format dxfId="141">
      <pivotArea dataOnly="0" labelOnly="1" grandRow="1" outline="0" fieldPosition="0"/>
    </format>
    <format dxfId="140">
      <pivotArea dataOnly="0" labelOnly="1" outline="0" axis="axisValues" fieldPosition="0"/>
    </format>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8391CE-CA0E-4D1D-9EC9-9AA5B94FA45F}"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pproval_Level">
  <location ref="F12:H16" firstHeaderRow="0" firstDataRow="1" firstDataCol="1"/>
  <pivotFields count="20">
    <pivotField showAll="0"/>
    <pivotField showAll="0"/>
    <pivotField showAll="0"/>
    <pivotField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dataField="1" showAll="0"/>
    <pivotField dataField="1" showAll="0"/>
    <pivotField axis="axisRow" showAll="0">
      <items count="4">
        <item x="0"/>
        <item x="1"/>
        <item x="2"/>
        <item t="default"/>
      </items>
    </pivotField>
    <pivotField showAll="0"/>
    <pivotField showAll="0"/>
    <pivotField showAll="0"/>
    <pivotField numFmtId="2" showAll="0"/>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Average of Actual_Time_Minutes" fld="10" subtotal="average" baseField="12" baseItem="0" numFmtId="164"/>
    <dataField name="Average of Delay_Flag" fld="11" subtotal="average" baseField="12" baseItem="0" numFmtId="2"/>
  </dataFields>
  <formats count="8">
    <format dxfId="154">
      <pivotArea outline="0" collapsedLevelsAreSubtotals="1" fieldPosition="0">
        <references count="1">
          <reference field="4294967294" count="1" selected="0">
            <x v="0"/>
          </reference>
        </references>
      </pivotArea>
    </format>
    <format dxfId="153">
      <pivotArea type="all" dataOnly="0" outline="0" fieldPosition="0"/>
    </format>
    <format dxfId="152">
      <pivotArea outline="0" collapsedLevelsAreSubtotals="1" fieldPosition="0"/>
    </format>
    <format dxfId="151">
      <pivotArea field="12" type="button" dataOnly="0" labelOnly="1" outline="0" axis="axisRow" fieldPosition="0"/>
    </format>
    <format dxfId="150">
      <pivotArea dataOnly="0" labelOnly="1" fieldPosition="0">
        <references count="1">
          <reference field="12" count="0"/>
        </references>
      </pivotArea>
    </format>
    <format dxfId="149">
      <pivotArea dataOnly="0" labelOnly="1" grandRow="1" outline="0" fieldPosition="0"/>
    </format>
    <format dxfId="148">
      <pivotArea dataOnly="0" labelOnly="1" outline="0" fieldPosition="0">
        <references count="1">
          <reference field="4294967294" count="2">
            <x v="0"/>
            <x v="1"/>
          </reference>
        </references>
      </pivotArea>
    </format>
    <format dxfId="14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D88AF4-F9DF-41BB-8E36-6DA01F1B055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B50" firstHeaderRow="1" firstDataRow="1" firstDataCol="1"/>
  <pivotFields count="20">
    <pivotField showAll="0"/>
    <pivotField showAll="0"/>
    <pivotField dataField="1" showAll="0">
      <items count="25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showAll="0"/>
    <pivotField showAll="0"/>
    <pivotField showAll="0"/>
    <pivotField showAll="0"/>
    <pivotField showAll="0"/>
    <pivotField showAll="0"/>
    <pivotField numFmtId="2" showAll="0"/>
    <pivotField showAll="0"/>
    <pivotField showAll="0"/>
    <pivotField showAll="0"/>
  </pivotFields>
  <rowFields count="1">
    <field x="3"/>
  </rowFields>
  <rowItems count="6">
    <i>
      <x/>
    </i>
    <i>
      <x v="1"/>
    </i>
    <i>
      <x v="2"/>
    </i>
    <i>
      <x v="3"/>
    </i>
    <i>
      <x v="4"/>
    </i>
    <i t="grand">
      <x/>
    </i>
  </rowItems>
  <colItems count="1">
    <i/>
  </colItems>
  <dataFields count="1">
    <dataField name="Count of Task_ID" fld="2"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605A4C-B439-4648-BEE2-827C82C0D89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B41" firstHeaderRow="1" firstDataRow="1" firstDataCol="1"/>
  <pivotFields count="20">
    <pivotField showAll="0"/>
    <pivotField showAll="0"/>
    <pivotField showAll="0"/>
    <pivotField showAll="0">
      <items count="6">
        <item x="1"/>
        <item x="4"/>
        <item x="2"/>
        <item x="0"/>
        <item x="3"/>
        <item t="default"/>
      </items>
    </pivotField>
    <pivotField showAll="0">
      <items count="5">
        <item x="3"/>
        <item x="1"/>
        <item x="0"/>
        <item x="2"/>
        <item t="default"/>
      </items>
    </pivotField>
    <pivotField axis="axisRow" showAll="0">
      <items count="6">
        <item x="0"/>
        <item x="2"/>
        <item x="1"/>
        <item x="4"/>
        <item x="3"/>
        <item t="default"/>
      </items>
    </pivotField>
    <pivotField showAll="0"/>
    <pivotField numFmtId="22" showAll="0"/>
    <pivotField numFmtId="22" showAll="0"/>
    <pivotField showAll="0"/>
    <pivotField showAll="0"/>
    <pivotField showAll="0"/>
    <pivotField showAll="0"/>
    <pivotField showAll="0"/>
    <pivotField dataField="1" showAll="0"/>
    <pivotField showAll="0"/>
    <pivotField numFmtId="2" showAll="0"/>
    <pivotField showAll="0"/>
    <pivotField showAll="0"/>
    <pivotField showAll="0"/>
  </pivotFields>
  <rowFields count="1">
    <field x="5"/>
  </rowFields>
  <rowItems count="6">
    <i>
      <x/>
    </i>
    <i>
      <x v="1"/>
    </i>
    <i>
      <x v="2"/>
    </i>
    <i>
      <x v="3"/>
    </i>
    <i>
      <x v="4"/>
    </i>
    <i t="grand">
      <x/>
    </i>
  </rowItems>
  <colItems count="1">
    <i/>
  </colItems>
  <dataFields count="1">
    <dataField name="Sum of Cost_Per_Task" fld="14" baseField="0" baseItem="0" numFmtId="165"/>
  </dataFields>
  <formats count="2">
    <format dxfId="109">
      <pivotArea outline="0" collapsedLevelsAreSubtotals="1" fieldPosition="0"/>
    </format>
    <format dxfId="10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CC7755-DABC-4340-892C-348DFCB2CBA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32" firstHeaderRow="1" firstDataRow="1" firstDataCol="1"/>
  <pivotFields count="20">
    <pivotField showAll="0"/>
    <pivotField showAll="0"/>
    <pivotField showAll="0"/>
    <pivotField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showAll="0"/>
    <pivotField dataField="1" showAll="0"/>
    <pivotField showAll="0"/>
    <pivotField axis="axisRow" showAll="0">
      <items count="11">
        <item x="0"/>
        <item x="6"/>
        <item x="3"/>
        <item x="5"/>
        <item x="1"/>
        <item x="4"/>
        <item x="9"/>
        <item x="2"/>
        <item x="7"/>
        <item x="8"/>
        <item t="default"/>
      </items>
    </pivotField>
    <pivotField showAll="0"/>
    <pivotField showAll="0"/>
    <pivotField numFmtId="2" showAll="0"/>
    <pivotField showAll="0"/>
    <pivotField showAll="0"/>
    <pivotField showAll="0"/>
  </pivotFields>
  <rowFields count="1">
    <field x="13"/>
  </rowFields>
  <rowItems count="11">
    <i>
      <x/>
    </i>
    <i>
      <x v="1"/>
    </i>
    <i>
      <x v="2"/>
    </i>
    <i>
      <x v="3"/>
    </i>
    <i>
      <x v="4"/>
    </i>
    <i>
      <x v="5"/>
    </i>
    <i>
      <x v="6"/>
    </i>
    <i>
      <x v="7"/>
    </i>
    <i>
      <x v="8"/>
    </i>
    <i>
      <x v="9"/>
    </i>
    <i t="grand">
      <x/>
    </i>
  </rowItems>
  <colItems count="1">
    <i/>
  </colItems>
  <dataFields count="1">
    <dataField name="Average of Delay_Flag" fld="11" subtotal="average" baseField="13"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B107BE-7551-46EE-8C8F-B707F32AAB3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8" firstHeaderRow="1" firstDataRow="1" firstDataCol="1"/>
  <pivotFields count="20">
    <pivotField showAll="0"/>
    <pivotField showAll="0"/>
    <pivotField showAll="0"/>
    <pivotField axis="axisRow"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dataField="1" showAll="0"/>
    <pivotField showAll="0"/>
    <pivotField showAll="0"/>
    <pivotField showAll="0"/>
    <pivotField showAll="0"/>
    <pivotField showAll="0"/>
    <pivotField numFmtId="2" showAll="0"/>
    <pivotField showAll="0"/>
    <pivotField showAll="0"/>
    <pivotField showAll="0"/>
  </pivotFields>
  <rowFields count="1">
    <field x="3"/>
  </rowFields>
  <rowItems count="6">
    <i>
      <x/>
    </i>
    <i>
      <x v="1"/>
    </i>
    <i>
      <x v="2"/>
    </i>
    <i>
      <x v="3"/>
    </i>
    <i>
      <x v="4"/>
    </i>
    <i t="grand">
      <x/>
    </i>
  </rowItems>
  <colItems count="1">
    <i/>
  </colItems>
  <dataFields count="1">
    <dataField name="Average of Actual_Time_Minutes" fld="10" subtotal="average" baseField="3" baseItem="0" numFmtId="164"/>
  </dataFields>
  <formats count="1">
    <format dxfId="1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A6AC74-4375-45B5-903F-4BD4B79CD85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20">
    <pivotField showAll="0"/>
    <pivotField axis="axisRow" showAll="0">
      <items count="6">
        <item x="0"/>
        <item x="1"/>
        <item x="2"/>
        <item x="4"/>
        <item x="3"/>
        <item t="default"/>
      </items>
    </pivotField>
    <pivotField showAll="0"/>
    <pivotField showAll="0">
      <items count="6">
        <item x="1"/>
        <item x="4"/>
        <item x="2"/>
        <item x="0"/>
        <item x="3"/>
        <item t="default"/>
      </items>
    </pivotField>
    <pivotField showAll="0">
      <items count="5">
        <item x="3"/>
        <item x="1"/>
        <item x="0"/>
        <item x="2"/>
        <item t="default"/>
      </items>
    </pivotField>
    <pivotField showAll="0">
      <items count="6">
        <item x="0"/>
        <item x="2"/>
        <item x="1"/>
        <item x="4"/>
        <item x="3"/>
        <item t="default"/>
      </items>
    </pivotField>
    <pivotField showAll="0"/>
    <pivotField numFmtId="22" showAll="0"/>
    <pivotField numFmtId="22" showAll="0"/>
    <pivotField showAll="0"/>
    <pivotField showAll="0"/>
    <pivotField dataField="1" showAll="0"/>
    <pivotField showAll="0"/>
    <pivotField showAll="0"/>
    <pivotField showAll="0"/>
    <pivotField showAll="0"/>
    <pivotField numFmtId="2" showAll="0"/>
    <pivotField showAll="0"/>
    <pivotField showAll="0"/>
    <pivotField showAll="0"/>
  </pivotFields>
  <rowFields count="1">
    <field x="1"/>
  </rowFields>
  <rowItems count="6">
    <i>
      <x/>
    </i>
    <i>
      <x v="1"/>
    </i>
    <i>
      <x v="2"/>
    </i>
    <i>
      <x v="3"/>
    </i>
    <i>
      <x v="4"/>
    </i>
    <i t="grand">
      <x/>
    </i>
  </rowItems>
  <colItems count="1">
    <i/>
  </colItems>
  <dataFields count="1">
    <dataField name="Average of Delay_Flag" fld="11" subtotal="average" baseField="1" baseItem="0" numFmtId="166"/>
  </dataFields>
  <chartFormats count="2">
    <chartFormat chart="5"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5E2809B-C4AC-4AED-9836-208F40A1F8A3}" sourceName="Department">
  <pivotTables>
    <pivotTable tabId="4" name="PivotTable2"/>
    <pivotTable tabId="4" name="PivotTable3"/>
    <pivotTable tabId="4" name="PivotTable4"/>
    <pivotTable tabId="4" name="PivotTable5"/>
    <pivotTable tabId="7" name="PivotTable1"/>
    <pivotTable tabId="7" name="PivotTable2"/>
    <pivotTable tabId="7" name="PivotTable3"/>
    <pivotTable tabId="7" name="PivotTable4"/>
    <pivotTable tabId="7" name="PivotTable5"/>
  </pivotTables>
  <data>
    <tabular pivotCacheId="1650110154">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_Type" xr10:uid="{3759253F-8522-4360-B951-4231679CF4E2}" sourceName="Task_Type">
  <pivotTables>
    <pivotTable tabId="4" name="PivotTable2"/>
    <pivotTable tabId="4" name="PivotTable3"/>
    <pivotTable tabId="4" name="PivotTable4"/>
    <pivotTable tabId="4" name="PivotTable5"/>
    <pivotTable tabId="7" name="PivotTable1"/>
    <pivotTable tabId="7" name="PivotTable2"/>
    <pivotTable tabId="7" name="PivotTable3"/>
    <pivotTable tabId="7" name="PivotTable4"/>
    <pivotTable tabId="7" name="PivotTable5"/>
  </pivotTables>
  <data>
    <tabular pivotCacheId="1650110154">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Level" xr10:uid="{A8C95560-B0EF-49B2-B1CD-82F7B56F4597}" sourceName="Priority_Level">
  <pivotTables>
    <pivotTable tabId="4" name="PivotTable2"/>
    <pivotTable tabId="4" name="PivotTable3"/>
    <pivotTable tabId="4" name="PivotTable4"/>
    <pivotTable tabId="4" name="PivotTable5"/>
    <pivotTable tabId="7" name="PivotTable1"/>
    <pivotTable tabId="7" name="PivotTable2"/>
    <pivotTable tabId="7" name="PivotTable3"/>
    <pivotTable tabId="7" name="PivotTable4"/>
    <pivotTable tabId="7" name="PivotTable5"/>
  </pivotTables>
  <data>
    <tabular pivotCacheId="165011015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3E027A3-8ABE-4395-B9CF-D024092DD0D5}" cache="Slicer_Department" caption="Department" columnCount="5" style="Slicer Style 4" rowHeight="251883"/>
  <slicer name="Task_Type" xr10:uid="{541D03F8-CB07-4F74-AB1D-29D0798F226A}" cache="Slicer_Task_Type" caption="Task_Type" columnCount="5" style="Slicer Style 4" rowHeight="251883"/>
  <slicer name="Priority_Level" xr10:uid="{7A258080-6865-4E58-8169-040730472C99}" cache="Slicer_Priority_Level" caption="Priority_Level" columnCount="4" style="Slicer Style 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10F4-180E-44BB-A756-131EA89AD5D1}">
  <dimension ref="A1:O2501"/>
  <sheetViews>
    <sheetView workbookViewId="0">
      <selection activeCell="F17" sqref="F17"/>
    </sheetView>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t="s">
        <v>20</v>
      </c>
      <c r="G2" t="s">
        <v>21</v>
      </c>
      <c r="H2" s="1">
        <v>45316.199305555558</v>
      </c>
      <c r="I2" s="1">
        <v>45316.356249999997</v>
      </c>
      <c r="J2">
        <v>208</v>
      </c>
      <c r="K2">
        <v>226</v>
      </c>
      <c r="L2">
        <v>1</v>
      </c>
      <c r="M2" t="s">
        <v>22</v>
      </c>
      <c r="N2">
        <v>1</v>
      </c>
      <c r="O2">
        <v>155.16999999999999</v>
      </c>
    </row>
    <row r="3" spans="1:15" x14ac:dyDescent="0.35">
      <c r="A3" t="s">
        <v>23</v>
      </c>
      <c r="B3" t="s">
        <v>24</v>
      </c>
      <c r="C3" t="s">
        <v>25</v>
      </c>
      <c r="D3" t="s">
        <v>26</v>
      </c>
      <c r="E3" t="s">
        <v>19</v>
      </c>
      <c r="F3" t="s">
        <v>27</v>
      </c>
      <c r="G3" t="s">
        <v>28</v>
      </c>
      <c r="H3" s="1">
        <v>45436.122916666667</v>
      </c>
      <c r="I3" s="1">
        <v>45436.263194444444</v>
      </c>
      <c r="J3">
        <v>194</v>
      </c>
      <c r="K3">
        <v>202</v>
      </c>
      <c r="L3">
        <v>1</v>
      </c>
      <c r="M3" t="s">
        <v>29</v>
      </c>
      <c r="N3">
        <v>5</v>
      </c>
      <c r="O3">
        <v>231.54</v>
      </c>
    </row>
    <row r="4" spans="1:15" x14ac:dyDescent="0.35">
      <c r="A4" t="s">
        <v>30</v>
      </c>
      <c r="B4" t="s">
        <v>31</v>
      </c>
      <c r="C4" t="s">
        <v>32</v>
      </c>
      <c r="D4" t="s">
        <v>18</v>
      </c>
      <c r="E4" t="s">
        <v>33</v>
      </c>
      <c r="F4" t="s">
        <v>34</v>
      </c>
      <c r="G4" t="s">
        <v>35</v>
      </c>
      <c r="H4" s="1">
        <v>45373.148611111108</v>
      </c>
      <c r="I4" s="1">
        <v>45373.368750000001</v>
      </c>
      <c r="J4">
        <v>214</v>
      </c>
      <c r="K4">
        <v>317</v>
      </c>
      <c r="L4">
        <v>1</v>
      </c>
      <c r="M4" t="s">
        <v>22</v>
      </c>
      <c r="N4">
        <v>8</v>
      </c>
      <c r="O4">
        <v>280.95</v>
      </c>
    </row>
    <row r="5" spans="1:15" x14ac:dyDescent="0.35">
      <c r="A5" t="s">
        <v>36</v>
      </c>
      <c r="B5" t="s">
        <v>16</v>
      </c>
      <c r="C5" t="s">
        <v>37</v>
      </c>
      <c r="D5" t="s">
        <v>18</v>
      </c>
      <c r="E5" t="s">
        <v>38</v>
      </c>
      <c r="F5" t="s">
        <v>39</v>
      </c>
      <c r="G5" t="s">
        <v>40</v>
      </c>
      <c r="H5" s="1">
        <v>45453.442361111112</v>
      </c>
      <c r="I5" s="1">
        <v>45453.566666666666</v>
      </c>
      <c r="J5">
        <v>176</v>
      </c>
      <c r="K5">
        <v>179</v>
      </c>
      <c r="L5">
        <v>1</v>
      </c>
      <c r="M5" t="s">
        <v>41</v>
      </c>
      <c r="N5">
        <v>1</v>
      </c>
      <c r="O5">
        <v>413.74</v>
      </c>
    </row>
    <row r="6" spans="1:15" x14ac:dyDescent="0.35">
      <c r="A6" t="s">
        <v>42</v>
      </c>
      <c r="B6" t="s">
        <v>16</v>
      </c>
      <c r="C6" t="s">
        <v>43</v>
      </c>
      <c r="D6" t="s">
        <v>44</v>
      </c>
      <c r="E6" t="s">
        <v>38</v>
      </c>
      <c r="F6" t="s">
        <v>34</v>
      </c>
      <c r="G6" t="s">
        <v>45</v>
      </c>
      <c r="H6" s="1">
        <v>45475.484722222223</v>
      </c>
      <c r="I6" s="1">
        <v>45475.65</v>
      </c>
      <c r="J6">
        <v>197</v>
      </c>
      <c r="K6">
        <v>238</v>
      </c>
      <c r="L6">
        <v>1</v>
      </c>
      <c r="M6" t="s">
        <v>41</v>
      </c>
      <c r="N6">
        <v>3</v>
      </c>
      <c r="O6">
        <v>152.30000000000001</v>
      </c>
    </row>
    <row r="7" spans="1:15" x14ac:dyDescent="0.35">
      <c r="A7" t="s">
        <v>46</v>
      </c>
      <c r="B7" t="s">
        <v>16</v>
      </c>
      <c r="C7" t="s">
        <v>47</v>
      </c>
      <c r="D7" t="s">
        <v>48</v>
      </c>
      <c r="E7" t="s">
        <v>19</v>
      </c>
      <c r="F7" t="s">
        <v>39</v>
      </c>
      <c r="G7" t="s">
        <v>49</v>
      </c>
      <c r="H7" s="1">
        <v>45435.468055555553</v>
      </c>
      <c r="I7" s="1">
        <v>45435.625694444447</v>
      </c>
      <c r="J7">
        <v>199</v>
      </c>
      <c r="K7">
        <v>227</v>
      </c>
      <c r="L7">
        <v>1</v>
      </c>
      <c r="M7" t="s">
        <v>29</v>
      </c>
      <c r="N7">
        <v>5</v>
      </c>
      <c r="O7">
        <v>160.06</v>
      </c>
    </row>
    <row r="8" spans="1:15" x14ac:dyDescent="0.35">
      <c r="A8" t="s">
        <v>50</v>
      </c>
      <c r="B8" t="s">
        <v>51</v>
      </c>
      <c r="C8" t="s">
        <v>52</v>
      </c>
      <c r="D8" t="s">
        <v>44</v>
      </c>
      <c r="E8" t="s">
        <v>38</v>
      </c>
      <c r="F8" t="s">
        <v>20</v>
      </c>
      <c r="G8" t="s">
        <v>53</v>
      </c>
      <c r="H8" s="1">
        <v>45470.88958333333</v>
      </c>
      <c r="I8" s="1">
        <v>45470.968055555553</v>
      </c>
      <c r="J8">
        <v>84</v>
      </c>
      <c r="K8">
        <v>113</v>
      </c>
      <c r="L8">
        <v>1</v>
      </c>
      <c r="M8" t="s">
        <v>41</v>
      </c>
      <c r="N8">
        <v>6</v>
      </c>
      <c r="O8">
        <v>440.88</v>
      </c>
    </row>
    <row r="9" spans="1:15" x14ac:dyDescent="0.35">
      <c r="A9" t="s">
        <v>54</v>
      </c>
      <c r="B9" t="s">
        <v>51</v>
      </c>
      <c r="C9" t="s">
        <v>55</v>
      </c>
      <c r="D9" t="s">
        <v>56</v>
      </c>
      <c r="E9" t="s">
        <v>19</v>
      </c>
      <c r="F9" t="s">
        <v>57</v>
      </c>
      <c r="G9" t="s">
        <v>58</v>
      </c>
      <c r="H9" s="1">
        <v>45517.322222222225</v>
      </c>
      <c r="I9" s="1">
        <v>45517.489583333336</v>
      </c>
      <c r="J9">
        <v>204</v>
      </c>
      <c r="K9">
        <v>241</v>
      </c>
      <c r="L9">
        <v>1</v>
      </c>
      <c r="M9" t="s">
        <v>22</v>
      </c>
      <c r="N9">
        <v>4</v>
      </c>
      <c r="O9">
        <v>406.61</v>
      </c>
    </row>
    <row r="10" spans="1:15" x14ac:dyDescent="0.35">
      <c r="A10" t="s">
        <v>59</v>
      </c>
      <c r="B10" t="s">
        <v>51</v>
      </c>
      <c r="C10" t="s">
        <v>60</v>
      </c>
      <c r="D10" t="s">
        <v>44</v>
      </c>
      <c r="E10" t="s">
        <v>19</v>
      </c>
      <c r="F10" t="s">
        <v>20</v>
      </c>
      <c r="G10" t="s">
        <v>61</v>
      </c>
      <c r="H10" s="1">
        <v>45653.893055555556</v>
      </c>
      <c r="I10" s="1">
        <v>45654.015277777777</v>
      </c>
      <c r="J10">
        <v>59</v>
      </c>
      <c r="K10">
        <v>176</v>
      </c>
      <c r="L10">
        <v>1</v>
      </c>
      <c r="M10" t="s">
        <v>41</v>
      </c>
      <c r="N10">
        <v>2</v>
      </c>
      <c r="O10">
        <v>180.92</v>
      </c>
    </row>
    <row r="11" spans="1:15" x14ac:dyDescent="0.35">
      <c r="A11" t="s">
        <v>62</v>
      </c>
      <c r="B11" t="s">
        <v>63</v>
      </c>
      <c r="C11" t="s">
        <v>64</v>
      </c>
      <c r="D11" t="s">
        <v>26</v>
      </c>
      <c r="E11" t="s">
        <v>33</v>
      </c>
      <c r="F11" t="s">
        <v>39</v>
      </c>
      <c r="G11" t="s">
        <v>65</v>
      </c>
      <c r="H11" s="1">
        <v>45460.051388888889</v>
      </c>
      <c r="I11" s="1">
        <v>45460.109027777777</v>
      </c>
      <c r="J11">
        <v>23</v>
      </c>
      <c r="K11">
        <v>83</v>
      </c>
      <c r="L11">
        <v>1</v>
      </c>
      <c r="M11" t="s">
        <v>41</v>
      </c>
      <c r="N11">
        <v>1</v>
      </c>
      <c r="O11">
        <v>313.08999999999997</v>
      </c>
    </row>
    <row r="12" spans="1:15" x14ac:dyDescent="0.35">
      <c r="A12" t="s">
        <v>66</v>
      </c>
      <c r="B12" t="s">
        <v>16</v>
      </c>
      <c r="C12" t="s">
        <v>67</v>
      </c>
      <c r="D12" t="s">
        <v>26</v>
      </c>
      <c r="E12" t="s">
        <v>38</v>
      </c>
      <c r="F12" t="s">
        <v>34</v>
      </c>
      <c r="G12" t="s">
        <v>68</v>
      </c>
      <c r="H12" s="1">
        <v>45488.070138888892</v>
      </c>
      <c r="I12" s="1">
        <v>45488.239583333336</v>
      </c>
      <c r="J12">
        <v>235</v>
      </c>
      <c r="K12">
        <v>244</v>
      </c>
      <c r="L12">
        <v>1</v>
      </c>
      <c r="M12" t="s">
        <v>29</v>
      </c>
      <c r="N12">
        <v>9</v>
      </c>
      <c r="O12">
        <v>290.33999999999997</v>
      </c>
    </row>
    <row r="13" spans="1:15" x14ac:dyDescent="0.35">
      <c r="A13" t="s">
        <v>69</v>
      </c>
      <c r="B13" t="s">
        <v>24</v>
      </c>
      <c r="C13" t="s">
        <v>70</v>
      </c>
      <c r="D13" t="s">
        <v>26</v>
      </c>
      <c r="E13" t="s">
        <v>38</v>
      </c>
      <c r="F13" t="s">
        <v>34</v>
      </c>
      <c r="G13" t="s">
        <v>40</v>
      </c>
      <c r="H13" s="1">
        <v>45401.915277777778</v>
      </c>
      <c r="I13" s="1">
        <v>45402.033333333333</v>
      </c>
      <c r="J13">
        <v>167</v>
      </c>
      <c r="K13">
        <v>170</v>
      </c>
      <c r="L13">
        <v>1</v>
      </c>
      <c r="M13" t="s">
        <v>22</v>
      </c>
      <c r="N13">
        <v>3</v>
      </c>
      <c r="O13">
        <v>428.89</v>
      </c>
    </row>
    <row r="14" spans="1:15" x14ac:dyDescent="0.35">
      <c r="A14" t="s">
        <v>71</v>
      </c>
      <c r="B14" t="s">
        <v>63</v>
      </c>
      <c r="C14" t="s">
        <v>72</v>
      </c>
      <c r="D14" t="s">
        <v>44</v>
      </c>
      <c r="E14" t="s">
        <v>38</v>
      </c>
      <c r="F14" t="s">
        <v>27</v>
      </c>
      <c r="G14" t="s">
        <v>73</v>
      </c>
      <c r="H14" s="1">
        <v>45370.369444444441</v>
      </c>
      <c r="I14" s="1">
        <v>45370.456250000003</v>
      </c>
      <c r="J14">
        <v>103</v>
      </c>
      <c r="K14">
        <v>125</v>
      </c>
      <c r="L14">
        <v>1</v>
      </c>
      <c r="M14" t="s">
        <v>22</v>
      </c>
      <c r="N14">
        <v>5</v>
      </c>
      <c r="O14">
        <v>386.51</v>
      </c>
    </row>
    <row r="15" spans="1:15" x14ac:dyDescent="0.35">
      <c r="A15" t="s">
        <v>74</v>
      </c>
      <c r="B15" t="s">
        <v>24</v>
      </c>
      <c r="C15" t="s">
        <v>75</v>
      </c>
      <c r="D15" t="s">
        <v>44</v>
      </c>
      <c r="E15" t="s">
        <v>19</v>
      </c>
      <c r="F15" t="s">
        <v>27</v>
      </c>
      <c r="G15" t="s">
        <v>76</v>
      </c>
      <c r="H15" s="1">
        <v>45380.129166666666</v>
      </c>
      <c r="I15" s="1">
        <v>45380.369444444441</v>
      </c>
      <c r="J15">
        <v>229</v>
      </c>
      <c r="K15">
        <v>346</v>
      </c>
      <c r="L15">
        <v>1</v>
      </c>
      <c r="M15" t="s">
        <v>29</v>
      </c>
      <c r="N15">
        <v>3</v>
      </c>
      <c r="O15">
        <v>138.07</v>
      </c>
    </row>
    <row r="16" spans="1:15" x14ac:dyDescent="0.35">
      <c r="A16" t="s">
        <v>77</v>
      </c>
      <c r="B16" t="s">
        <v>51</v>
      </c>
      <c r="C16" t="s">
        <v>78</v>
      </c>
      <c r="D16" t="s">
        <v>44</v>
      </c>
      <c r="E16" t="s">
        <v>38</v>
      </c>
      <c r="F16" t="s">
        <v>39</v>
      </c>
      <c r="G16" t="s">
        <v>79</v>
      </c>
      <c r="H16" s="1">
        <v>45630.914583333331</v>
      </c>
      <c r="I16" s="1">
        <v>45631.054166666669</v>
      </c>
      <c r="J16">
        <v>133</v>
      </c>
      <c r="K16">
        <v>201</v>
      </c>
      <c r="L16">
        <v>1</v>
      </c>
      <c r="M16" t="s">
        <v>22</v>
      </c>
      <c r="N16">
        <v>10</v>
      </c>
      <c r="O16">
        <v>144.80000000000001</v>
      </c>
    </row>
    <row r="17" spans="1:15" x14ac:dyDescent="0.35">
      <c r="A17" t="s">
        <v>80</v>
      </c>
      <c r="B17" t="s">
        <v>31</v>
      </c>
      <c r="C17" t="s">
        <v>81</v>
      </c>
      <c r="D17" t="s">
        <v>18</v>
      </c>
      <c r="E17" t="s">
        <v>33</v>
      </c>
      <c r="F17" t="s">
        <v>57</v>
      </c>
      <c r="G17" t="s">
        <v>82</v>
      </c>
      <c r="H17" s="1">
        <v>45587.011111111111</v>
      </c>
      <c r="I17" s="1">
        <v>45587.107638888891</v>
      </c>
      <c r="J17">
        <v>65</v>
      </c>
      <c r="K17">
        <v>139</v>
      </c>
      <c r="L17">
        <v>1</v>
      </c>
      <c r="M17" t="s">
        <v>29</v>
      </c>
      <c r="N17">
        <v>4</v>
      </c>
      <c r="O17">
        <v>487.35</v>
      </c>
    </row>
    <row r="18" spans="1:15" x14ac:dyDescent="0.35">
      <c r="A18" t="s">
        <v>83</v>
      </c>
      <c r="B18" t="s">
        <v>51</v>
      </c>
      <c r="C18" t="s">
        <v>84</v>
      </c>
      <c r="D18" t="s">
        <v>44</v>
      </c>
      <c r="E18" t="s">
        <v>85</v>
      </c>
      <c r="F18" t="s">
        <v>39</v>
      </c>
      <c r="G18" t="s">
        <v>35</v>
      </c>
      <c r="H18" s="1">
        <v>45653.331250000003</v>
      </c>
      <c r="I18" s="1">
        <v>45653.42083333333</v>
      </c>
      <c r="J18">
        <v>81</v>
      </c>
      <c r="K18">
        <v>129</v>
      </c>
      <c r="L18">
        <v>1</v>
      </c>
      <c r="M18" t="s">
        <v>29</v>
      </c>
      <c r="N18">
        <v>4</v>
      </c>
      <c r="O18">
        <v>192.46</v>
      </c>
    </row>
    <row r="19" spans="1:15" x14ac:dyDescent="0.35">
      <c r="A19" t="s">
        <v>86</v>
      </c>
      <c r="B19" t="s">
        <v>31</v>
      </c>
      <c r="C19" t="s">
        <v>87</v>
      </c>
      <c r="D19" t="s">
        <v>26</v>
      </c>
      <c r="E19" t="s">
        <v>33</v>
      </c>
      <c r="F19" t="s">
        <v>39</v>
      </c>
      <c r="G19" t="s">
        <v>88</v>
      </c>
      <c r="H19" s="1">
        <v>45527.553472222222</v>
      </c>
      <c r="I19" s="1">
        <v>45527.656944444447</v>
      </c>
      <c r="J19">
        <v>105</v>
      </c>
      <c r="K19">
        <v>149</v>
      </c>
      <c r="L19">
        <v>1</v>
      </c>
      <c r="M19" t="s">
        <v>22</v>
      </c>
      <c r="N19">
        <v>9</v>
      </c>
      <c r="O19">
        <v>427.43</v>
      </c>
    </row>
    <row r="20" spans="1:15" x14ac:dyDescent="0.35">
      <c r="A20" t="s">
        <v>89</v>
      </c>
      <c r="B20" t="s">
        <v>24</v>
      </c>
      <c r="C20" t="s">
        <v>90</v>
      </c>
      <c r="D20" t="s">
        <v>48</v>
      </c>
      <c r="E20" t="s">
        <v>38</v>
      </c>
      <c r="F20" t="s">
        <v>20</v>
      </c>
      <c r="G20" t="s">
        <v>91</v>
      </c>
      <c r="H20" s="1">
        <v>45306.581250000003</v>
      </c>
      <c r="I20" s="1">
        <v>45306.605555555558</v>
      </c>
      <c r="J20">
        <v>24</v>
      </c>
      <c r="K20">
        <v>35</v>
      </c>
      <c r="L20">
        <v>1</v>
      </c>
      <c r="M20" t="s">
        <v>29</v>
      </c>
      <c r="N20">
        <v>6</v>
      </c>
      <c r="O20">
        <v>273.64999999999998</v>
      </c>
    </row>
    <row r="21" spans="1:15" x14ac:dyDescent="0.35">
      <c r="A21" t="s">
        <v>92</v>
      </c>
      <c r="B21" t="s">
        <v>51</v>
      </c>
      <c r="C21" t="s">
        <v>93</v>
      </c>
      <c r="D21" t="s">
        <v>18</v>
      </c>
      <c r="E21" t="s">
        <v>19</v>
      </c>
      <c r="F21" t="s">
        <v>27</v>
      </c>
      <c r="G21" t="s">
        <v>94</v>
      </c>
      <c r="H21" s="1">
        <v>45631.109027777777</v>
      </c>
      <c r="I21" s="1">
        <v>45631.226388888892</v>
      </c>
      <c r="J21">
        <v>160</v>
      </c>
      <c r="K21">
        <v>169</v>
      </c>
      <c r="L21">
        <v>1</v>
      </c>
      <c r="M21" t="s">
        <v>29</v>
      </c>
      <c r="N21">
        <v>5</v>
      </c>
      <c r="O21">
        <v>109.32</v>
      </c>
    </row>
    <row r="22" spans="1:15" x14ac:dyDescent="0.35">
      <c r="A22" t="s">
        <v>95</v>
      </c>
      <c r="B22" t="s">
        <v>31</v>
      </c>
      <c r="C22" t="s">
        <v>96</v>
      </c>
      <c r="D22" t="s">
        <v>18</v>
      </c>
      <c r="E22" t="s">
        <v>38</v>
      </c>
      <c r="F22" t="s">
        <v>57</v>
      </c>
      <c r="G22" t="s">
        <v>97</v>
      </c>
      <c r="H22" s="1">
        <v>45357.587500000001</v>
      </c>
      <c r="I22" s="1">
        <v>45357.808333333334</v>
      </c>
      <c r="J22">
        <v>233</v>
      </c>
      <c r="K22">
        <v>318</v>
      </c>
      <c r="L22">
        <v>1</v>
      </c>
      <c r="M22" t="s">
        <v>29</v>
      </c>
      <c r="N22">
        <v>5</v>
      </c>
      <c r="O22">
        <v>335.36</v>
      </c>
    </row>
    <row r="23" spans="1:15" x14ac:dyDescent="0.35">
      <c r="A23" t="s">
        <v>98</v>
      </c>
      <c r="B23" t="s">
        <v>16</v>
      </c>
      <c r="C23" t="s">
        <v>99</v>
      </c>
      <c r="D23" t="s">
        <v>56</v>
      </c>
      <c r="E23" t="s">
        <v>33</v>
      </c>
      <c r="F23" t="s">
        <v>57</v>
      </c>
      <c r="G23" t="s">
        <v>100</v>
      </c>
      <c r="H23" s="1">
        <v>45353.934027777781</v>
      </c>
      <c r="I23" s="1">
        <v>45354.171527777777</v>
      </c>
      <c r="J23">
        <v>236</v>
      </c>
      <c r="K23">
        <v>342</v>
      </c>
      <c r="L23">
        <v>1</v>
      </c>
      <c r="M23" t="s">
        <v>41</v>
      </c>
      <c r="N23">
        <v>10</v>
      </c>
      <c r="O23">
        <v>245.28</v>
      </c>
    </row>
    <row r="24" spans="1:15" x14ac:dyDescent="0.35">
      <c r="A24" t="s">
        <v>101</v>
      </c>
      <c r="B24" t="s">
        <v>31</v>
      </c>
      <c r="C24" t="s">
        <v>102</v>
      </c>
      <c r="D24" t="s">
        <v>26</v>
      </c>
      <c r="E24" t="s">
        <v>85</v>
      </c>
      <c r="F24" t="s">
        <v>20</v>
      </c>
      <c r="G24" t="s">
        <v>103</v>
      </c>
      <c r="H24" s="1">
        <v>45408.61041666667</v>
      </c>
      <c r="I24" s="1">
        <v>45408.75</v>
      </c>
      <c r="J24">
        <v>94</v>
      </c>
      <c r="K24">
        <v>201</v>
      </c>
      <c r="L24">
        <v>1</v>
      </c>
      <c r="M24" t="s">
        <v>41</v>
      </c>
      <c r="N24">
        <v>6</v>
      </c>
      <c r="O24">
        <v>237.15</v>
      </c>
    </row>
    <row r="25" spans="1:15" x14ac:dyDescent="0.35">
      <c r="A25" t="s">
        <v>104</v>
      </c>
      <c r="B25" t="s">
        <v>16</v>
      </c>
      <c r="C25" t="s">
        <v>105</v>
      </c>
      <c r="D25" t="s">
        <v>48</v>
      </c>
      <c r="E25" t="s">
        <v>19</v>
      </c>
      <c r="F25" t="s">
        <v>57</v>
      </c>
      <c r="G25" t="s">
        <v>45</v>
      </c>
      <c r="H25" s="1">
        <v>45403.602083333331</v>
      </c>
      <c r="I25" s="1">
        <v>45403.777777777781</v>
      </c>
      <c r="J25">
        <v>206</v>
      </c>
      <c r="K25">
        <v>253</v>
      </c>
      <c r="L25">
        <v>1</v>
      </c>
      <c r="M25" t="s">
        <v>41</v>
      </c>
      <c r="N25">
        <v>5</v>
      </c>
      <c r="O25">
        <v>469.47</v>
      </c>
    </row>
    <row r="26" spans="1:15" x14ac:dyDescent="0.35">
      <c r="A26" t="s">
        <v>106</v>
      </c>
      <c r="B26" t="s">
        <v>51</v>
      </c>
      <c r="C26" t="s">
        <v>107</v>
      </c>
      <c r="D26" t="s">
        <v>48</v>
      </c>
      <c r="E26" t="s">
        <v>85</v>
      </c>
      <c r="F26" t="s">
        <v>27</v>
      </c>
      <c r="G26" t="s">
        <v>108</v>
      </c>
      <c r="H26" s="1">
        <v>45393.829861111109</v>
      </c>
      <c r="I26" s="1">
        <v>45393.927777777775</v>
      </c>
      <c r="J26">
        <v>25</v>
      </c>
      <c r="K26">
        <v>141</v>
      </c>
      <c r="L26">
        <v>1</v>
      </c>
      <c r="M26" t="s">
        <v>22</v>
      </c>
      <c r="N26">
        <v>4</v>
      </c>
      <c r="O26">
        <v>196.04</v>
      </c>
    </row>
    <row r="27" spans="1:15" x14ac:dyDescent="0.35">
      <c r="A27" t="s">
        <v>109</v>
      </c>
      <c r="B27" t="s">
        <v>24</v>
      </c>
      <c r="C27" t="s">
        <v>110</v>
      </c>
      <c r="D27" t="s">
        <v>18</v>
      </c>
      <c r="E27" t="s">
        <v>38</v>
      </c>
      <c r="F27" t="s">
        <v>39</v>
      </c>
      <c r="G27" t="s">
        <v>111</v>
      </c>
      <c r="H27" s="1">
        <v>45533.286805555559</v>
      </c>
      <c r="I27" s="1">
        <v>45533.407638888886</v>
      </c>
      <c r="J27">
        <v>62</v>
      </c>
      <c r="K27">
        <v>174</v>
      </c>
      <c r="L27">
        <v>1</v>
      </c>
      <c r="M27" t="s">
        <v>41</v>
      </c>
      <c r="N27">
        <v>5</v>
      </c>
      <c r="O27">
        <v>202.24</v>
      </c>
    </row>
    <row r="28" spans="1:15" x14ac:dyDescent="0.35">
      <c r="A28" t="s">
        <v>112</v>
      </c>
      <c r="B28" t="s">
        <v>31</v>
      </c>
      <c r="C28" t="s">
        <v>113</v>
      </c>
      <c r="D28" t="s">
        <v>18</v>
      </c>
      <c r="E28" t="s">
        <v>19</v>
      </c>
      <c r="F28" t="s">
        <v>57</v>
      </c>
      <c r="G28" t="s">
        <v>114</v>
      </c>
      <c r="H28" s="1">
        <v>45419.814583333333</v>
      </c>
      <c r="I28" s="1">
        <v>45420.030555555553</v>
      </c>
      <c r="J28">
        <v>200</v>
      </c>
      <c r="K28">
        <v>311</v>
      </c>
      <c r="L28">
        <v>1</v>
      </c>
      <c r="M28" t="s">
        <v>29</v>
      </c>
      <c r="N28">
        <v>7</v>
      </c>
      <c r="O28">
        <v>53.42</v>
      </c>
    </row>
    <row r="29" spans="1:15" x14ac:dyDescent="0.35">
      <c r="A29" t="s">
        <v>115</v>
      </c>
      <c r="B29" t="s">
        <v>31</v>
      </c>
      <c r="C29" t="s">
        <v>116</v>
      </c>
      <c r="D29" t="s">
        <v>18</v>
      </c>
      <c r="E29" t="s">
        <v>33</v>
      </c>
      <c r="F29" t="s">
        <v>34</v>
      </c>
      <c r="G29" t="s">
        <v>117</v>
      </c>
      <c r="H29" s="1">
        <v>45609.992361111108</v>
      </c>
      <c r="I29" s="1">
        <v>45610.030555555553</v>
      </c>
      <c r="J29">
        <v>28</v>
      </c>
      <c r="K29">
        <v>55</v>
      </c>
      <c r="L29">
        <v>1</v>
      </c>
      <c r="M29" t="s">
        <v>29</v>
      </c>
      <c r="N29">
        <v>8</v>
      </c>
      <c r="O29">
        <v>341.32</v>
      </c>
    </row>
    <row r="30" spans="1:15" x14ac:dyDescent="0.35">
      <c r="A30" t="s">
        <v>118</v>
      </c>
      <c r="B30" t="s">
        <v>31</v>
      </c>
      <c r="C30" t="s">
        <v>119</v>
      </c>
      <c r="D30" t="s">
        <v>26</v>
      </c>
      <c r="E30" t="s">
        <v>33</v>
      </c>
      <c r="F30" t="s">
        <v>27</v>
      </c>
      <c r="G30" t="s">
        <v>120</v>
      </c>
      <c r="H30" s="1">
        <v>45411.848611111112</v>
      </c>
      <c r="I30" s="1">
        <v>45411.918055555558</v>
      </c>
      <c r="J30">
        <v>73</v>
      </c>
      <c r="K30">
        <v>100</v>
      </c>
      <c r="L30">
        <v>1</v>
      </c>
      <c r="M30" t="s">
        <v>22</v>
      </c>
      <c r="N30">
        <v>3</v>
      </c>
      <c r="O30">
        <v>355.81</v>
      </c>
    </row>
    <row r="31" spans="1:15" x14ac:dyDescent="0.35">
      <c r="A31" t="s">
        <v>121</v>
      </c>
      <c r="B31" t="s">
        <v>63</v>
      </c>
      <c r="C31" t="s">
        <v>122</v>
      </c>
      <c r="D31" t="s">
        <v>18</v>
      </c>
      <c r="E31" t="s">
        <v>19</v>
      </c>
      <c r="F31" t="s">
        <v>27</v>
      </c>
      <c r="G31" t="s">
        <v>123</v>
      </c>
      <c r="H31" s="1">
        <v>45329.448611111111</v>
      </c>
      <c r="I31" s="1">
        <v>45329.681944444441</v>
      </c>
      <c r="J31">
        <v>236</v>
      </c>
      <c r="K31">
        <v>336</v>
      </c>
      <c r="L31">
        <v>1</v>
      </c>
      <c r="M31" t="s">
        <v>41</v>
      </c>
      <c r="N31">
        <v>7</v>
      </c>
      <c r="O31">
        <v>334.2</v>
      </c>
    </row>
    <row r="32" spans="1:15" x14ac:dyDescent="0.35">
      <c r="A32" t="s">
        <v>124</v>
      </c>
      <c r="B32" t="s">
        <v>31</v>
      </c>
      <c r="C32" t="s">
        <v>125</v>
      </c>
      <c r="D32" t="s">
        <v>48</v>
      </c>
      <c r="E32" t="s">
        <v>19</v>
      </c>
      <c r="F32" t="s">
        <v>20</v>
      </c>
      <c r="G32" t="s">
        <v>126</v>
      </c>
      <c r="H32" s="1">
        <v>45536.031944444447</v>
      </c>
      <c r="I32" s="1">
        <v>45536.172222222223</v>
      </c>
      <c r="J32">
        <v>88</v>
      </c>
      <c r="K32">
        <v>202</v>
      </c>
      <c r="L32">
        <v>1</v>
      </c>
      <c r="M32" t="s">
        <v>29</v>
      </c>
      <c r="N32">
        <v>7</v>
      </c>
      <c r="O32">
        <v>285.27</v>
      </c>
    </row>
    <row r="33" spans="1:15" x14ac:dyDescent="0.35">
      <c r="A33" t="s">
        <v>127</v>
      </c>
      <c r="B33" t="s">
        <v>31</v>
      </c>
      <c r="C33" t="s">
        <v>128</v>
      </c>
      <c r="D33" t="s">
        <v>18</v>
      </c>
      <c r="E33" t="s">
        <v>33</v>
      </c>
      <c r="F33" t="s">
        <v>27</v>
      </c>
      <c r="G33" t="s">
        <v>129</v>
      </c>
      <c r="H33" s="1">
        <v>45425.44027777778</v>
      </c>
      <c r="I33" s="1">
        <v>45425.575694444444</v>
      </c>
      <c r="J33">
        <v>161</v>
      </c>
      <c r="K33">
        <v>195</v>
      </c>
      <c r="L33">
        <v>1</v>
      </c>
      <c r="M33" t="s">
        <v>41</v>
      </c>
      <c r="N33">
        <v>10</v>
      </c>
      <c r="O33">
        <v>98.6</v>
      </c>
    </row>
    <row r="34" spans="1:15" x14ac:dyDescent="0.35">
      <c r="A34" t="s">
        <v>130</v>
      </c>
      <c r="B34" t="s">
        <v>51</v>
      </c>
      <c r="C34" t="s">
        <v>131</v>
      </c>
      <c r="D34" t="s">
        <v>44</v>
      </c>
      <c r="E34" t="s">
        <v>85</v>
      </c>
      <c r="F34" t="s">
        <v>27</v>
      </c>
      <c r="G34" t="s">
        <v>132</v>
      </c>
      <c r="H34" s="1">
        <v>45607</v>
      </c>
      <c r="I34" s="1">
        <v>45607.166666666664</v>
      </c>
      <c r="J34">
        <v>211</v>
      </c>
      <c r="K34">
        <v>240</v>
      </c>
      <c r="L34">
        <v>1</v>
      </c>
      <c r="M34" t="s">
        <v>22</v>
      </c>
      <c r="N34">
        <v>3</v>
      </c>
      <c r="O34">
        <v>181.64</v>
      </c>
    </row>
    <row r="35" spans="1:15" x14ac:dyDescent="0.35">
      <c r="A35" t="s">
        <v>133</v>
      </c>
      <c r="B35" t="s">
        <v>24</v>
      </c>
      <c r="C35" t="s">
        <v>134</v>
      </c>
      <c r="D35" t="s">
        <v>18</v>
      </c>
      <c r="E35" t="s">
        <v>19</v>
      </c>
      <c r="F35" t="s">
        <v>20</v>
      </c>
      <c r="G35" t="s">
        <v>61</v>
      </c>
      <c r="H35" s="1">
        <v>45498.651388888888</v>
      </c>
      <c r="I35" s="1">
        <v>45498.774305555555</v>
      </c>
      <c r="J35">
        <v>131</v>
      </c>
      <c r="K35">
        <v>177</v>
      </c>
      <c r="L35">
        <v>1</v>
      </c>
      <c r="M35" t="s">
        <v>22</v>
      </c>
      <c r="N35">
        <v>9</v>
      </c>
      <c r="O35">
        <v>270.29000000000002</v>
      </c>
    </row>
    <row r="36" spans="1:15" x14ac:dyDescent="0.35">
      <c r="A36" t="s">
        <v>135</v>
      </c>
      <c r="B36" t="s">
        <v>24</v>
      </c>
      <c r="C36" t="s">
        <v>136</v>
      </c>
      <c r="D36" t="s">
        <v>48</v>
      </c>
      <c r="E36" t="s">
        <v>19</v>
      </c>
      <c r="F36" t="s">
        <v>39</v>
      </c>
      <c r="G36" t="s">
        <v>137</v>
      </c>
      <c r="H36" s="1">
        <v>45545.034722222219</v>
      </c>
      <c r="I36" s="1">
        <v>45545.084027777775</v>
      </c>
      <c r="J36">
        <v>63</v>
      </c>
      <c r="K36">
        <v>71</v>
      </c>
      <c r="L36">
        <v>1</v>
      </c>
      <c r="M36" t="s">
        <v>29</v>
      </c>
      <c r="N36">
        <v>5</v>
      </c>
      <c r="O36">
        <v>384.66</v>
      </c>
    </row>
    <row r="37" spans="1:15" x14ac:dyDescent="0.35">
      <c r="A37" t="s">
        <v>138</v>
      </c>
      <c r="B37" t="s">
        <v>31</v>
      </c>
      <c r="C37" t="s">
        <v>139</v>
      </c>
      <c r="D37" t="s">
        <v>44</v>
      </c>
      <c r="E37" t="s">
        <v>33</v>
      </c>
      <c r="F37" t="s">
        <v>57</v>
      </c>
      <c r="G37" t="s">
        <v>140</v>
      </c>
      <c r="H37" s="1">
        <v>45558.669444444444</v>
      </c>
      <c r="I37" s="1">
        <v>45558.793055555558</v>
      </c>
      <c r="J37">
        <v>163</v>
      </c>
      <c r="K37">
        <v>178</v>
      </c>
      <c r="L37">
        <v>1</v>
      </c>
      <c r="M37" t="s">
        <v>22</v>
      </c>
      <c r="N37">
        <v>6</v>
      </c>
      <c r="O37">
        <v>194.45</v>
      </c>
    </row>
    <row r="38" spans="1:15" x14ac:dyDescent="0.35">
      <c r="A38" t="s">
        <v>141</v>
      </c>
      <c r="B38" t="s">
        <v>31</v>
      </c>
      <c r="C38" t="s">
        <v>142</v>
      </c>
      <c r="D38" t="s">
        <v>56</v>
      </c>
      <c r="E38" t="s">
        <v>19</v>
      </c>
      <c r="F38" t="s">
        <v>39</v>
      </c>
      <c r="G38" t="s">
        <v>143</v>
      </c>
      <c r="H38" s="1">
        <v>45616.811111111114</v>
      </c>
      <c r="I38" s="1">
        <v>45616.878472222219</v>
      </c>
      <c r="J38">
        <v>86</v>
      </c>
      <c r="K38">
        <v>97</v>
      </c>
      <c r="L38">
        <v>1</v>
      </c>
      <c r="M38" t="s">
        <v>41</v>
      </c>
      <c r="N38">
        <v>4</v>
      </c>
      <c r="O38">
        <v>94.41</v>
      </c>
    </row>
    <row r="39" spans="1:15" x14ac:dyDescent="0.35">
      <c r="A39" t="s">
        <v>144</v>
      </c>
      <c r="B39" t="s">
        <v>24</v>
      </c>
      <c r="C39" t="s">
        <v>145</v>
      </c>
      <c r="D39" t="s">
        <v>48</v>
      </c>
      <c r="E39" t="s">
        <v>33</v>
      </c>
      <c r="F39" t="s">
        <v>57</v>
      </c>
      <c r="G39" t="s">
        <v>146</v>
      </c>
      <c r="H39" s="1">
        <v>45529.279166666667</v>
      </c>
      <c r="I39" s="1">
        <v>45529.459027777775</v>
      </c>
      <c r="J39">
        <v>229</v>
      </c>
      <c r="K39">
        <v>259</v>
      </c>
      <c r="L39">
        <v>1</v>
      </c>
      <c r="M39" t="s">
        <v>41</v>
      </c>
      <c r="N39">
        <v>2</v>
      </c>
      <c r="O39">
        <v>159.5</v>
      </c>
    </row>
    <row r="40" spans="1:15" x14ac:dyDescent="0.35">
      <c r="A40" t="s">
        <v>147</v>
      </c>
      <c r="B40" t="s">
        <v>31</v>
      </c>
      <c r="C40" t="s">
        <v>148</v>
      </c>
      <c r="D40" t="s">
        <v>48</v>
      </c>
      <c r="E40" t="s">
        <v>19</v>
      </c>
      <c r="F40" t="s">
        <v>34</v>
      </c>
      <c r="G40" t="s">
        <v>149</v>
      </c>
      <c r="H40" s="1">
        <v>45340.675000000003</v>
      </c>
      <c r="I40" s="1">
        <v>45340.804861111108</v>
      </c>
      <c r="J40">
        <v>108</v>
      </c>
      <c r="K40">
        <v>187</v>
      </c>
      <c r="L40">
        <v>1</v>
      </c>
      <c r="M40" t="s">
        <v>29</v>
      </c>
      <c r="N40">
        <v>10</v>
      </c>
      <c r="O40">
        <v>376.48</v>
      </c>
    </row>
    <row r="41" spans="1:15" x14ac:dyDescent="0.35">
      <c r="A41" t="s">
        <v>150</v>
      </c>
      <c r="B41" t="s">
        <v>51</v>
      </c>
      <c r="C41" t="s">
        <v>151</v>
      </c>
      <c r="D41" t="s">
        <v>48</v>
      </c>
      <c r="E41" t="s">
        <v>38</v>
      </c>
      <c r="F41" t="s">
        <v>20</v>
      </c>
      <c r="G41" t="s">
        <v>152</v>
      </c>
      <c r="H41" s="1">
        <v>45316.730555555558</v>
      </c>
      <c r="I41" s="1">
        <v>45316.839583333334</v>
      </c>
      <c r="J41">
        <v>154</v>
      </c>
      <c r="K41">
        <v>157</v>
      </c>
      <c r="L41">
        <v>1</v>
      </c>
      <c r="M41" t="s">
        <v>29</v>
      </c>
      <c r="N41">
        <v>4</v>
      </c>
      <c r="O41">
        <v>388.34</v>
      </c>
    </row>
    <row r="42" spans="1:15" x14ac:dyDescent="0.35">
      <c r="A42" t="s">
        <v>153</v>
      </c>
      <c r="B42" t="s">
        <v>51</v>
      </c>
      <c r="C42" t="s">
        <v>154</v>
      </c>
      <c r="D42" t="s">
        <v>44</v>
      </c>
      <c r="E42" t="s">
        <v>33</v>
      </c>
      <c r="F42" t="s">
        <v>34</v>
      </c>
      <c r="G42" t="s">
        <v>155</v>
      </c>
      <c r="H42" s="1">
        <v>45624.042361111111</v>
      </c>
      <c r="I42" s="1">
        <v>45624.190972222219</v>
      </c>
      <c r="J42">
        <v>201</v>
      </c>
      <c r="K42">
        <v>214</v>
      </c>
      <c r="L42">
        <v>1</v>
      </c>
      <c r="M42" t="s">
        <v>22</v>
      </c>
      <c r="N42">
        <v>5</v>
      </c>
      <c r="O42">
        <v>291.08</v>
      </c>
    </row>
    <row r="43" spans="1:15" x14ac:dyDescent="0.35">
      <c r="A43" t="s">
        <v>156</v>
      </c>
      <c r="B43" t="s">
        <v>16</v>
      </c>
      <c r="C43" t="s">
        <v>157</v>
      </c>
      <c r="D43" t="s">
        <v>48</v>
      </c>
      <c r="E43" t="s">
        <v>33</v>
      </c>
      <c r="F43" t="s">
        <v>27</v>
      </c>
      <c r="G43" t="s">
        <v>158</v>
      </c>
      <c r="H43" s="1">
        <v>45308.708333333336</v>
      </c>
      <c r="I43" s="1">
        <v>45308.865277777775</v>
      </c>
      <c r="J43">
        <v>161</v>
      </c>
      <c r="K43">
        <v>226</v>
      </c>
      <c r="L43">
        <v>1</v>
      </c>
      <c r="M43" t="s">
        <v>41</v>
      </c>
      <c r="N43">
        <v>7</v>
      </c>
      <c r="O43">
        <v>439.36</v>
      </c>
    </row>
    <row r="44" spans="1:15" x14ac:dyDescent="0.35">
      <c r="A44" t="s">
        <v>159</v>
      </c>
      <c r="B44" t="s">
        <v>31</v>
      </c>
      <c r="C44" t="s">
        <v>160</v>
      </c>
      <c r="D44" t="s">
        <v>44</v>
      </c>
      <c r="E44" t="s">
        <v>38</v>
      </c>
      <c r="F44" t="s">
        <v>20</v>
      </c>
      <c r="G44" t="s">
        <v>161</v>
      </c>
      <c r="H44" s="1">
        <v>45406.240972222222</v>
      </c>
      <c r="I44" s="1">
        <v>45406.336805555555</v>
      </c>
      <c r="J44">
        <v>111</v>
      </c>
      <c r="K44">
        <v>138</v>
      </c>
      <c r="L44">
        <v>1</v>
      </c>
      <c r="M44" t="s">
        <v>22</v>
      </c>
      <c r="N44">
        <v>2</v>
      </c>
      <c r="O44">
        <v>333.11</v>
      </c>
    </row>
    <row r="45" spans="1:15" x14ac:dyDescent="0.35">
      <c r="A45" t="s">
        <v>162</v>
      </c>
      <c r="B45" t="s">
        <v>31</v>
      </c>
      <c r="C45" t="s">
        <v>163</v>
      </c>
      <c r="D45" t="s">
        <v>48</v>
      </c>
      <c r="E45" t="s">
        <v>85</v>
      </c>
      <c r="F45" t="s">
        <v>34</v>
      </c>
      <c r="G45" t="s">
        <v>164</v>
      </c>
      <c r="H45" s="1">
        <v>45465.821527777778</v>
      </c>
      <c r="I45" s="1">
        <v>45466.001388888886</v>
      </c>
      <c r="J45">
        <v>210</v>
      </c>
      <c r="K45">
        <v>259</v>
      </c>
      <c r="L45">
        <v>1</v>
      </c>
      <c r="M45" t="s">
        <v>22</v>
      </c>
      <c r="N45">
        <v>5</v>
      </c>
      <c r="O45">
        <v>474.62</v>
      </c>
    </row>
    <row r="46" spans="1:15" x14ac:dyDescent="0.35">
      <c r="A46" t="s">
        <v>165</v>
      </c>
      <c r="B46" t="s">
        <v>63</v>
      </c>
      <c r="C46" t="s">
        <v>166</v>
      </c>
      <c r="D46" t="s">
        <v>18</v>
      </c>
      <c r="E46" t="s">
        <v>19</v>
      </c>
      <c r="F46" t="s">
        <v>34</v>
      </c>
      <c r="G46" t="s">
        <v>167</v>
      </c>
      <c r="H46" s="1">
        <v>45463.996527777781</v>
      </c>
      <c r="I46" s="1">
        <v>45464.079861111109</v>
      </c>
      <c r="J46">
        <v>62</v>
      </c>
      <c r="K46">
        <v>120</v>
      </c>
      <c r="L46">
        <v>1</v>
      </c>
      <c r="M46" t="s">
        <v>22</v>
      </c>
      <c r="N46">
        <v>8</v>
      </c>
      <c r="O46">
        <v>173.69</v>
      </c>
    </row>
    <row r="47" spans="1:15" x14ac:dyDescent="0.35">
      <c r="A47" t="s">
        <v>168</v>
      </c>
      <c r="B47" t="s">
        <v>63</v>
      </c>
      <c r="C47" t="s">
        <v>169</v>
      </c>
      <c r="D47" t="s">
        <v>26</v>
      </c>
      <c r="E47" t="s">
        <v>19</v>
      </c>
      <c r="F47" t="s">
        <v>34</v>
      </c>
      <c r="G47" t="s">
        <v>170</v>
      </c>
      <c r="H47" s="1">
        <v>45621.273611111108</v>
      </c>
      <c r="I47" s="1">
        <v>45621.339583333334</v>
      </c>
      <c r="J47">
        <v>82</v>
      </c>
      <c r="K47">
        <v>95</v>
      </c>
      <c r="L47">
        <v>1</v>
      </c>
      <c r="M47" t="s">
        <v>22</v>
      </c>
      <c r="N47">
        <v>5</v>
      </c>
      <c r="O47">
        <v>170.79</v>
      </c>
    </row>
    <row r="48" spans="1:15" x14ac:dyDescent="0.35">
      <c r="A48" t="s">
        <v>171</v>
      </c>
      <c r="B48" t="s">
        <v>24</v>
      </c>
      <c r="C48" t="s">
        <v>172</v>
      </c>
      <c r="D48" t="s">
        <v>48</v>
      </c>
      <c r="E48" t="s">
        <v>33</v>
      </c>
      <c r="F48" t="s">
        <v>57</v>
      </c>
      <c r="G48" t="s">
        <v>173</v>
      </c>
      <c r="H48" s="1">
        <v>45300.022222222222</v>
      </c>
      <c r="I48" s="1">
        <v>45300.12222222222</v>
      </c>
      <c r="J48">
        <v>76</v>
      </c>
      <c r="K48">
        <v>144</v>
      </c>
      <c r="L48">
        <v>1</v>
      </c>
      <c r="M48" t="s">
        <v>22</v>
      </c>
      <c r="N48">
        <v>6</v>
      </c>
      <c r="O48">
        <v>482.99</v>
      </c>
    </row>
    <row r="49" spans="1:15" x14ac:dyDescent="0.35">
      <c r="A49" t="s">
        <v>174</v>
      </c>
      <c r="B49" t="s">
        <v>31</v>
      </c>
      <c r="C49" t="s">
        <v>175</v>
      </c>
      <c r="D49" t="s">
        <v>48</v>
      </c>
      <c r="E49" t="s">
        <v>19</v>
      </c>
      <c r="F49" t="s">
        <v>57</v>
      </c>
      <c r="G49" t="s">
        <v>53</v>
      </c>
      <c r="H49" s="1">
        <v>45446.170138888891</v>
      </c>
      <c r="I49" s="1">
        <v>45446.397222222222</v>
      </c>
      <c r="J49">
        <v>228</v>
      </c>
      <c r="K49">
        <v>327</v>
      </c>
      <c r="L49">
        <v>1</v>
      </c>
      <c r="M49" t="s">
        <v>29</v>
      </c>
      <c r="N49">
        <v>3</v>
      </c>
      <c r="O49">
        <v>205.93</v>
      </c>
    </row>
    <row r="50" spans="1:15" x14ac:dyDescent="0.35">
      <c r="A50" t="s">
        <v>176</v>
      </c>
      <c r="B50" t="s">
        <v>24</v>
      </c>
      <c r="C50" t="s">
        <v>177</v>
      </c>
      <c r="D50" t="s">
        <v>44</v>
      </c>
      <c r="E50" t="s">
        <v>85</v>
      </c>
      <c r="F50" t="s">
        <v>57</v>
      </c>
      <c r="G50" t="s">
        <v>123</v>
      </c>
      <c r="H50" s="1">
        <v>45467.522916666669</v>
      </c>
      <c r="I50" s="1">
        <v>45467.634722222225</v>
      </c>
      <c r="J50">
        <v>83</v>
      </c>
      <c r="K50">
        <v>161</v>
      </c>
      <c r="L50">
        <v>1</v>
      </c>
      <c r="M50" t="s">
        <v>22</v>
      </c>
      <c r="N50">
        <v>1</v>
      </c>
      <c r="O50">
        <v>197.84</v>
      </c>
    </row>
    <row r="51" spans="1:15" x14ac:dyDescent="0.35">
      <c r="A51" t="s">
        <v>178</v>
      </c>
      <c r="B51" t="s">
        <v>16</v>
      </c>
      <c r="C51" t="s">
        <v>179</v>
      </c>
      <c r="D51" t="s">
        <v>18</v>
      </c>
      <c r="E51" t="s">
        <v>33</v>
      </c>
      <c r="F51" t="s">
        <v>57</v>
      </c>
      <c r="G51" t="s">
        <v>167</v>
      </c>
      <c r="H51" s="1">
        <v>45486.054861111108</v>
      </c>
      <c r="I51" s="1">
        <v>45486.224999999999</v>
      </c>
      <c r="J51">
        <v>195</v>
      </c>
      <c r="K51">
        <v>245</v>
      </c>
      <c r="L51">
        <v>1</v>
      </c>
      <c r="M51" t="s">
        <v>29</v>
      </c>
      <c r="N51">
        <v>6</v>
      </c>
      <c r="O51">
        <v>252.59</v>
      </c>
    </row>
    <row r="52" spans="1:15" x14ac:dyDescent="0.35">
      <c r="A52" t="s">
        <v>180</v>
      </c>
      <c r="B52" t="s">
        <v>63</v>
      </c>
      <c r="C52" t="s">
        <v>181</v>
      </c>
      <c r="D52" t="s">
        <v>26</v>
      </c>
      <c r="E52" t="s">
        <v>33</v>
      </c>
      <c r="F52" t="s">
        <v>57</v>
      </c>
      <c r="G52" t="s">
        <v>182</v>
      </c>
      <c r="H52" s="1">
        <v>45511.107638888891</v>
      </c>
      <c r="I52" s="1">
        <v>45511.191666666666</v>
      </c>
      <c r="J52">
        <v>52</v>
      </c>
      <c r="K52">
        <v>121</v>
      </c>
      <c r="L52">
        <v>1</v>
      </c>
      <c r="M52" t="s">
        <v>41</v>
      </c>
      <c r="N52">
        <v>1</v>
      </c>
      <c r="O52">
        <v>122.07</v>
      </c>
    </row>
    <row r="53" spans="1:15" x14ac:dyDescent="0.35">
      <c r="A53" t="s">
        <v>183</v>
      </c>
      <c r="B53" t="s">
        <v>51</v>
      </c>
      <c r="C53" t="s">
        <v>184</v>
      </c>
      <c r="D53" t="s">
        <v>26</v>
      </c>
      <c r="E53" t="s">
        <v>85</v>
      </c>
      <c r="F53" t="s">
        <v>27</v>
      </c>
      <c r="G53" t="s">
        <v>185</v>
      </c>
      <c r="H53" s="1">
        <v>45362.543749999997</v>
      </c>
      <c r="I53" s="1">
        <v>45362.645138888889</v>
      </c>
      <c r="J53">
        <v>48</v>
      </c>
      <c r="K53">
        <v>146</v>
      </c>
      <c r="L53">
        <v>1</v>
      </c>
      <c r="M53" t="s">
        <v>41</v>
      </c>
      <c r="N53">
        <v>2</v>
      </c>
      <c r="O53">
        <v>54.31</v>
      </c>
    </row>
    <row r="54" spans="1:15" x14ac:dyDescent="0.35">
      <c r="A54" t="s">
        <v>186</v>
      </c>
      <c r="B54" t="s">
        <v>51</v>
      </c>
      <c r="C54" t="s">
        <v>187</v>
      </c>
      <c r="D54" t="s">
        <v>26</v>
      </c>
      <c r="E54" t="s">
        <v>38</v>
      </c>
      <c r="F54" t="s">
        <v>39</v>
      </c>
      <c r="G54" t="s">
        <v>188</v>
      </c>
      <c r="H54" s="1">
        <v>45482.309027777781</v>
      </c>
      <c r="I54" s="1">
        <v>45482.431250000001</v>
      </c>
      <c r="J54">
        <v>174</v>
      </c>
      <c r="K54">
        <v>176</v>
      </c>
      <c r="L54">
        <v>1</v>
      </c>
      <c r="M54" t="s">
        <v>22</v>
      </c>
      <c r="N54">
        <v>8</v>
      </c>
      <c r="O54">
        <v>322.24</v>
      </c>
    </row>
    <row r="55" spans="1:15" x14ac:dyDescent="0.35">
      <c r="A55" t="s">
        <v>189</v>
      </c>
      <c r="B55" t="s">
        <v>16</v>
      </c>
      <c r="C55" t="s">
        <v>190</v>
      </c>
      <c r="D55" t="s">
        <v>18</v>
      </c>
      <c r="E55" t="s">
        <v>33</v>
      </c>
      <c r="F55" t="s">
        <v>57</v>
      </c>
      <c r="G55" t="s">
        <v>191</v>
      </c>
      <c r="H55" s="1">
        <v>45516.650694444441</v>
      </c>
      <c r="I55" s="1">
        <v>45516.740972222222</v>
      </c>
      <c r="J55">
        <v>67</v>
      </c>
      <c r="K55">
        <v>130</v>
      </c>
      <c r="L55">
        <v>1</v>
      </c>
      <c r="M55" t="s">
        <v>22</v>
      </c>
      <c r="N55">
        <v>2</v>
      </c>
      <c r="O55">
        <v>448.59</v>
      </c>
    </row>
    <row r="56" spans="1:15" x14ac:dyDescent="0.35">
      <c r="A56" t="s">
        <v>192</v>
      </c>
      <c r="B56" t="s">
        <v>16</v>
      </c>
      <c r="C56" t="s">
        <v>193</v>
      </c>
      <c r="D56" t="s">
        <v>48</v>
      </c>
      <c r="E56" t="s">
        <v>19</v>
      </c>
      <c r="F56" t="s">
        <v>27</v>
      </c>
      <c r="G56" t="s">
        <v>194</v>
      </c>
      <c r="H56" s="1">
        <v>45375.515277777777</v>
      </c>
      <c r="I56" s="1">
        <v>45375.675694444442</v>
      </c>
      <c r="J56">
        <v>183</v>
      </c>
      <c r="K56">
        <v>231</v>
      </c>
      <c r="L56">
        <v>1</v>
      </c>
      <c r="M56" t="s">
        <v>41</v>
      </c>
      <c r="N56">
        <v>1</v>
      </c>
      <c r="O56">
        <v>51.05</v>
      </c>
    </row>
    <row r="57" spans="1:15" x14ac:dyDescent="0.35">
      <c r="A57" t="s">
        <v>195</v>
      </c>
      <c r="B57" t="s">
        <v>63</v>
      </c>
      <c r="C57" t="s">
        <v>196</v>
      </c>
      <c r="D57" t="s">
        <v>44</v>
      </c>
      <c r="E57" t="s">
        <v>85</v>
      </c>
      <c r="F57" t="s">
        <v>27</v>
      </c>
      <c r="G57" t="s">
        <v>170</v>
      </c>
      <c r="H57" s="1">
        <v>45621.458333333336</v>
      </c>
      <c r="I57" s="1">
        <v>45621.557638888888</v>
      </c>
      <c r="J57">
        <v>71</v>
      </c>
      <c r="K57">
        <v>143</v>
      </c>
      <c r="L57">
        <v>1</v>
      </c>
      <c r="M57" t="s">
        <v>22</v>
      </c>
      <c r="N57">
        <v>1</v>
      </c>
      <c r="O57">
        <v>116.5</v>
      </c>
    </row>
    <row r="58" spans="1:15" x14ac:dyDescent="0.35">
      <c r="A58" t="s">
        <v>197</v>
      </c>
      <c r="B58" t="s">
        <v>16</v>
      </c>
      <c r="C58" t="s">
        <v>198</v>
      </c>
      <c r="D58" t="s">
        <v>48</v>
      </c>
      <c r="E58" t="s">
        <v>33</v>
      </c>
      <c r="F58" t="s">
        <v>39</v>
      </c>
      <c r="G58" t="s">
        <v>137</v>
      </c>
      <c r="H58" s="1">
        <v>45355.861111111109</v>
      </c>
      <c r="I58" s="1">
        <v>45355.893055555556</v>
      </c>
      <c r="J58">
        <v>42</v>
      </c>
      <c r="K58">
        <v>46</v>
      </c>
      <c r="L58">
        <v>1</v>
      </c>
      <c r="M58" t="s">
        <v>22</v>
      </c>
      <c r="N58">
        <v>8</v>
      </c>
      <c r="O58">
        <v>148.44</v>
      </c>
    </row>
    <row r="59" spans="1:15" x14ac:dyDescent="0.35">
      <c r="A59" t="s">
        <v>199</v>
      </c>
      <c r="B59" t="s">
        <v>31</v>
      </c>
      <c r="C59" t="s">
        <v>200</v>
      </c>
      <c r="D59" t="s">
        <v>56</v>
      </c>
      <c r="E59" t="s">
        <v>85</v>
      </c>
      <c r="F59" t="s">
        <v>20</v>
      </c>
      <c r="G59" t="s">
        <v>201</v>
      </c>
      <c r="H59" s="1">
        <v>45538.448611111111</v>
      </c>
      <c r="I59" s="1">
        <v>45538.478472222225</v>
      </c>
      <c r="J59">
        <v>40</v>
      </c>
      <c r="K59">
        <v>43</v>
      </c>
      <c r="L59">
        <v>1</v>
      </c>
      <c r="M59" t="s">
        <v>41</v>
      </c>
      <c r="N59">
        <v>4</v>
      </c>
      <c r="O59">
        <v>258.24</v>
      </c>
    </row>
    <row r="60" spans="1:15" x14ac:dyDescent="0.35">
      <c r="A60" t="s">
        <v>202</v>
      </c>
      <c r="B60" t="s">
        <v>24</v>
      </c>
      <c r="C60" t="s">
        <v>203</v>
      </c>
      <c r="D60" t="s">
        <v>26</v>
      </c>
      <c r="E60" t="s">
        <v>19</v>
      </c>
      <c r="F60" t="s">
        <v>27</v>
      </c>
      <c r="G60" t="s">
        <v>204</v>
      </c>
      <c r="H60" s="1">
        <v>45330.066666666666</v>
      </c>
      <c r="I60" s="1">
        <v>45330.160416666666</v>
      </c>
      <c r="J60">
        <v>70</v>
      </c>
      <c r="K60">
        <v>135</v>
      </c>
      <c r="L60">
        <v>1</v>
      </c>
      <c r="M60" t="s">
        <v>41</v>
      </c>
      <c r="N60">
        <v>2</v>
      </c>
      <c r="O60">
        <v>202.6</v>
      </c>
    </row>
    <row r="61" spans="1:15" x14ac:dyDescent="0.35">
      <c r="A61" t="s">
        <v>205</v>
      </c>
      <c r="B61" t="s">
        <v>24</v>
      </c>
      <c r="C61" t="s">
        <v>206</v>
      </c>
      <c r="D61" t="s">
        <v>56</v>
      </c>
      <c r="E61" t="s">
        <v>85</v>
      </c>
      <c r="F61" t="s">
        <v>57</v>
      </c>
      <c r="G61" t="s">
        <v>207</v>
      </c>
      <c r="H61" s="1">
        <v>45454.024305555555</v>
      </c>
      <c r="I61" s="1">
        <v>45454.178472222222</v>
      </c>
      <c r="J61">
        <v>187</v>
      </c>
      <c r="K61">
        <v>222</v>
      </c>
      <c r="L61">
        <v>1</v>
      </c>
      <c r="M61" t="s">
        <v>41</v>
      </c>
      <c r="N61">
        <v>9</v>
      </c>
      <c r="O61">
        <v>60.36</v>
      </c>
    </row>
    <row r="62" spans="1:15" x14ac:dyDescent="0.35">
      <c r="A62" t="s">
        <v>208</v>
      </c>
      <c r="B62" t="s">
        <v>31</v>
      </c>
      <c r="C62" t="s">
        <v>209</v>
      </c>
      <c r="D62" t="s">
        <v>18</v>
      </c>
      <c r="E62" t="s">
        <v>33</v>
      </c>
      <c r="F62" t="s">
        <v>57</v>
      </c>
      <c r="G62" t="s">
        <v>210</v>
      </c>
      <c r="H62" s="1">
        <v>45462.682638888888</v>
      </c>
      <c r="I62" s="1">
        <v>45462.836805555555</v>
      </c>
      <c r="J62">
        <v>207</v>
      </c>
      <c r="K62">
        <v>222</v>
      </c>
      <c r="L62">
        <v>1</v>
      </c>
      <c r="M62" t="s">
        <v>22</v>
      </c>
      <c r="N62">
        <v>5</v>
      </c>
      <c r="O62">
        <v>441.27</v>
      </c>
    </row>
    <row r="63" spans="1:15" x14ac:dyDescent="0.35">
      <c r="A63" t="s">
        <v>211</v>
      </c>
      <c r="B63" t="s">
        <v>24</v>
      </c>
      <c r="C63" t="s">
        <v>212</v>
      </c>
      <c r="D63" t="s">
        <v>18</v>
      </c>
      <c r="E63" t="s">
        <v>33</v>
      </c>
      <c r="F63" t="s">
        <v>39</v>
      </c>
      <c r="G63" t="s">
        <v>213</v>
      </c>
      <c r="H63" s="1">
        <v>45493.711805555555</v>
      </c>
      <c r="I63" s="1">
        <v>45493.787499999999</v>
      </c>
      <c r="J63">
        <v>88</v>
      </c>
      <c r="K63">
        <v>109</v>
      </c>
      <c r="L63">
        <v>1</v>
      </c>
      <c r="M63" t="s">
        <v>29</v>
      </c>
      <c r="N63">
        <v>9</v>
      </c>
      <c r="O63">
        <v>464.98</v>
      </c>
    </row>
    <row r="64" spans="1:15" x14ac:dyDescent="0.35">
      <c r="A64" t="s">
        <v>214</v>
      </c>
      <c r="B64" t="s">
        <v>63</v>
      </c>
      <c r="C64" t="s">
        <v>215</v>
      </c>
      <c r="D64" t="s">
        <v>44</v>
      </c>
      <c r="E64" t="s">
        <v>38</v>
      </c>
      <c r="F64" t="s">
        <v>27</v>
      </c>
      <c r="G64" t="s">
        <v>100</v>
      </c>
      <c r="H64" s="1">
        <v>45431.071527777778</v>
      </c>
      <c r="I64" s="1">
        <v>45431.270833333336</v>
      </c>
      <c r="J64">
        <v>192</v>
      </c>
      <c r="K64">
        <v>287</v>
      </c>
      <c r="L64">
        <v>1</v>
      </c>
      <c r="M64" t="s">
        <v>41</v>
      </c>
      <c r="N64">
        <v>10</v>
      </c>
      <c r="O64">
        <v>269.70999999999998</v>
      </c>
    </row>
    <row r="65" spans="1:15" x14ac:dyDescent="0.35">
      <c r="A65" t="s">
        <v>216</v>
      </c>
      <c r="B65" t="s">
        <v>51</v>
      </c>
      <c r="C65" t="s">
        <v>217</v>
      </c>
      <c r="D65" t="s">
        <v>26</v>
      </c>
      <c r="E65" t="s">
        <v>85</v>
      </c>
      <c r="F65" t="s">
        <v>57</v>
      </c>
      <c r="G65" t="s">
        <v>103</v>
      </c>
      <c r="H65" s="1">
        <v>45297.018750000003</v>
      </c>
      <c r="I65" s="1">
        <v>45297.088888888888</v>
      </c>
      <c r="J65">
        <v>22</v>
      </c>
      <c r="K65">
        <v>101</v>
      </c>
      <c r="L65">
        <v>1</v>
      </c>
      <c r="M65" t="s">
        <v>22</v>
      </c>
      <c r="N65">
        <v>7</v>
      </c>
      <c r="O65">
        <v>497.43</v>
      </c>
    </row>
    <row r="66" spans="1:15" x14ac:dyDescent="0.35">
      <c r="A66" t="s">
        <v>218</v>
      </c>
      <c r="B66" t="s">
        <v>24</v>
      </c>
      <c r="C66" t="s">
        <v>219</v>
      </c>
      <c r="D66" t="s">
        <v>26</v>
      </c>
      <c r="E66" t="s">
        <v>38</v>
      </c>
      <c r="F66" t="s">
        <v>20</v>
      </c>
      <c r="G66" t="s">
        <v>191</v>
      </c>
      <c r="H66" s="1">
        <v>45370.963888888888</v>
      </c>
      <c r="I66" s="1">
        <v>45371.057638888888</v>
      </c>
      <c r="J66">
        <v>68</v>
      </c>
      <c r="K66">
        <v>135</v>
      </c>
      <c r="L66">
        <v>1</v>
      </c>
      <c r="M66" t="s">
        <v>29</v>
      </c>
      <c r="N66">
        <v>9</v>
      </c>
      <c r="O66">
        <v>269.23</v>
      </c>
    </row>
    <row r="67" spans="1:15" x14ac:dyDescent="0.35">
      <c r="A67" t="s">
        <v>220</v>
      </c>
      <c r="B67" t="s">
        <v>16</v>
      </c>
      <c r="C67" t="s">
        <v>221</v>
      </c>
      <c r="D67" t="s">
        <v>48</v>
      </c>
      <c r="E67" t="s">
        <v>38</v>
      </c>
      <c r="F67" t="s">
        <v>34</v>
      </c>
      <c r="G67" t="s">
        <v>222</v>
      </c>
      <c r="H67" s="1">
        <v>45532.058333333334</v>
      </c>
      <c r="I67" s="1">
        <v>45532.201388888891</v>
      </c>
      <c r="J67">
        <v>180</v>
      </c>
      <c r="K67">
        <v>206</v>
      </c>
      <c r="L67">
        <v>1</v>
      </c>
      <c r="M67" t="s">
        <v>22</v>
      </c>
      <c r="N67">
        <v>10</v>
      </c>
      <c r="O67">
        <v>250.3</v>
      </c>
    </row>
    <row r="68" spans="1:15" x14ac:dyDescent="0.35">
      <c r="A68" t="s">
        <v>223</v>
      </c>
      <c r="B68" t="s">
        <v>24</v>
      </c>
      <c r="C68" t="s">
        <v>224</v>
      </c>
      <c r="D68" t="s">
        <v>44</v>
      </c>
      <c r="E68" t="s">
        <v>19</v>
      </c>
      <c r="F68" t="s">
        <v>20</v>
      </c>
      <c r="G68" t="s">
        <v>225</v>
      </c>
      <c r="H68" s="1">
        <v>45571.938194444447</v>
      </c>
      <c r="I68" s="1">
        <v>45572.063194444447</v>
      </c>
      <c r="J68">
        <v>184</v>
      </c>
      <c r="K68">
        <v>180</v>
      </c>
      <c r="L68">
        <v>0</v>
      </c>
      <c r="M68" t="s">
        <v>29</v>
      </c>
      <c r="N68">
        <v>9</v>
      </c>
      <c r="O68">
        <v>235.12</v>
      </c>
    </row>
    <row r="69" spans="1:15" x14ac:dyDescent="0.35">
      <c r="A69" t="s">
        <v>226</v>
      </c>
      <c r="B69" t="s">
        <v>24</v>
      </c>
      <c r="C69" t="s">
        <v>227</v>
      </c>
      <c r="D69" t="s">
        <v>56</v>
      </c>
      <c r="E69" t="s">
        <v>38</v>
      </c>
      <c r="F69" t="s">
        <v>57</v>
      </c>
      <c r="G69" t="s">
        <v>228</v>
      </c>
      <c r="H69" s="1">
        <v>45600.792361111111</v>
      </c>
      <c r="I69" s="1">
        <v>45600.843055555553</v>
      </c>
      <c r="J69">
        <v>70</v>
      </c>
      <c r="K69">
        <v>73</v>
      </c>
      <c r="L69">
        <v>1</v>
      </c>
      <c r="M69" t="s">
        <v>41</v>
      </c>
      <c r="N69">
        <v>2</v>
      </c>
      <c r="O69">
        <v>180.6</v>
      </c>
    </row>
    <row r="70" spans="1:15" x14ac:dyDescent="0.35">
      <c r="A70" t="s">
        <v>229</v>
      </c>
      <c r="B70" t="s">
        <v>31</v>
      </c>
      <c r="C70" t="s">
        <v>230</v>
      </c>
      <c r="D70" t="s">
        <v>18</v>
      </c>
      <c r="E70" t="s">
        <v>38</v>
      </c>
      <c r="F70" t="s">
        <v>20</v>
      </c>
      <c r="G70" t="s">
        <v>231</v>
      </c>
      <c r="H70" s="1">
        <v>45613.119444444441</v>
      </c>
      <c r="I70" s="1">
        <v>45613.306250000001</v>
      </c>
      <c r="J70">
        <v>210</v>
      </c>
      <c r="K70">
        <v>269</v>
      </c>
      <c r="L70">
        <v>1</v>
      </c>
      <c r="M70" t="s">
        <v>41</v>
      </c>
      <c r="N70">
        <v>9</v>
      </c>
      <c r="O70">
        <v>309.64</v>
      </c>
    </row>
    <row r="71" spans="1:15" x14ac:dyDescent="0.35">
      <c r="A71" t="s">
        <v>232</v>
      </c>
      <c r="B71" t="s">
        <v>63</v>
      </c>
      <c r="C71" t="s">
        <v>233</v>
      </c>
      <c r="D71" t="s">
        <v>26</v>
      </c>
      <c r="E71" t="s">
        <v>38</v>
      </c>
      <c r="F71" t="s">
        <v>34</v>
      </c>
      <c r="G71" t="s">
        <v>234</v>
      </c>
      <c r="H71" s="1">
        <v>45532.625694444447</v>
      </c>
      <c r="I71" s="1">
        <v>45532.723611111112</v>
      </c>
      <c r="J71">
        <v>114</v>
      </c>
      <c r="K71">
        <v>141</v>
      </c>
      <c r="L71">
        <v>1</v>
      </c>
      <c r="M71" t="s">
        <v>29</v>
      </c>
      <c r="N71">
        <v>2</v>
      </c>
      <c r="O71">
        <v>164.67</v>
      </c>
    </row>
    <row r="72" spans="1:15" x14ac:dyDescent="0.35">
      <c r="A72" t="s">
        <v>235</v>
      </c>
      <c r="B72" t="s">
        <v>63</v>
      </c>
      <c r="C72" t="s">
        <v>236</v>
      </c>
      <c r="D72" t="s">
        <v>18</v>
      </c>
      <c r="E72" t="s">
        <v>33</v>
      </c>
      <c r="F72" t="s">
        <v>27</v>
      </c>
      <c r="G72" t="s">
        <v>237</v>
      </c>
      <c r="H72" s="1">
        <v>45294.027083333334</v>
      </c>
      <c r="I72" s="1">
        <v>45294.21875</v>
      </c>
      <c r="J72">
        <v>174</v>
      </c>
      <c r="K72">
        <v>276</v>
      </c>
      <c r="L72">
        <v>1</v>
      </c>
      <c r="M72" t="s">
        <v>41</v>
      </c>
      <c r="N72">
        <v>2</v>
      </c>
      <c r="O72">
        <v>488.9</v>
      </c>
    </row>
    <row r="73" spans="1:15" x14ac:dyDescent="0.35">
      <c r="A73" t="s">
        <v>238</v>
      </c>
      <c r="B73" t="s">
        <v>51</v>
      </c>
      <c r="C73" t="s">
        <v>239</v>
      </c>
      <c r="D73" t="s">
        <v>56</v>
      </c>
      <c r="E73" t="s">
        <v>33</v>
      </c>
      <c r="F73" t="s">
        <v>57</v>
      </c>
      <c r="G73" t="s">
        <v>240</v>
      </c>
      <c r="H73" s="1">
        <v>45338.510416666664</v>
      </c>
      <c r="I73" s="1">
        <v>45338.590277777781</v>
      </c>
      <c r="J73">
        <v>109</v>
      </c>
      <c r="K73">
        <v>115</v>
      </c>
      <c r="L73">
        <v>1</v>
      </c>
      <c r="M73" t="s">
        <v>29</v>
      </c>
      <c r="N73">
        <v>1</v>
      </c>
      <c r="O73">
        <v>473.42</v>
      </c>
    </row>
    <row r="74" spans="1:15" x14ac:dyDescent="0.35">
      <c r="A74" t="s">
        <v>241</v>
      </c>
      <c r="B74" t="s">
        <v>16</v>
      </c>
      <c r="C74" t="s">
        <v>242</v>
      </c>
      <c r="D74" t="s">
        <v>26</v>
      </c>
      <c r="E74" t="s">
        <v>19</v>
      </c>
      <c r="F74" t="s">
        <v>20</v>
      </c>
      <c r="G74" t="s">
        <v>114</v>
      </c>
      <c r="H74" s="1">
        <v>45536.334722222222</v>
      </c>
      <c r="I74" s="1">
        <v>45536.40902777778</v>
      </c>
      <c r="J74">
        <v>99</v>
      </c>
      <c r="K74">
        <v>107</v>
      </c>
      <c r="L74">
        <v>1</v>
      </c>
      <c r="M74" t="s">
        <v>22</v>
      </c>
      <c r="N74">
        <v>5</v>
      </c>
      <c r="O74">
        <v>366.29</v>
      </c>
    </row>
    <row r="75" spans="1:15" x14ac:dyDescent="0.35">
      <c r="A75" t="s">
        <v>243</v>
      </c>
      <c r="B75" t="s">
        <v>31</v>
      </c>
      <c r="C75" t="s">
        <v>244</v>
      </c>
      <c r="D75" t="s">
        <v>18</v>
      </c>
      <c r="E75" t="s">
        <v>33</v>
      </c>
      <c r="F75" t="s">
        <v>57</v>
      </c>
      <c r="G75" t="s">
        <v>140</v>
      </c>
      <c r="H75" s="1">
        <v>45299.486111111109</v>
      </c>
      <c r="I75" s="1">
        <v>45299.508333333331</v>
      </c>
      <c r="J75">
        <v>21</v>
      </c>
      <c r="K75">
        <v>32</v>
      </c>
      <c r="L75">
        <v>1</v>
      </c>
      <c r="M75" t="s">
        <v>29</v>
      </c>
      <c r="N75">
        <v>3</v>
      </c>
      <c r="O75">
        <v>380.23</v>
      </c>
    </row>
    <row r="76" spans="1:15" x14ac:dyDescent="0.35">
      <c r="A76" t="s">
        <v>245</v>
      </c>
      <c r="B76" t="s">
        <v>24</v>
      </c>
      <c r="C76" t="s">
        <v>246</v>
      </c>
      <c r="D76" t="s">
        <v>18</v>
      </c>
      <c r="E76" t="s">
        <v>19</v>
      </c>
      <c r="F76" t="s">
        <v>27</v>
      </c>
      <c r="G76" t="s">
        <v>240</v>
      </c>
      <c r="H76" s="1">
        <v>45384.580555555556</v>
      </c>
      <c r="I76" s="1">
        <v>45384.675694444442</v>
      </c>
      <c r="J76">
        <v>65</v>
      </c>
      <c r="K76">
        <v>137</v>
      </c>
      <c r="L76">
        <v>1</v>
      </c>
      <c r="M76" t="s">
        <v>29</v>
      </c>
      <c r="N76">
        <v>5</v>
      </c>
      <c r="O76">
        <v>336.77</v>
      </c>
    </row>
    <row r="77" spans="1:15" x14ac:dyDescent="0.35">
      <c r="A77" t="s">
        <v>247</v>
      </c>
      <c r="B77" t="s">
        <v>16</v>
      </c>
      <c r="C77" t="s">
        <v>248</v>
      </c>
      <c r="D77" t="s">
        <v>56</v>
      </c>
      <c r="E77" t="s">
        <v>19</v>
      </c>
      <c r="F77" t="s">
        <v>20</v>
      </c>
      <c r="G77" t="s">
        <v>234</v>
      </c>
      <c r="H77" s="1">
        <v>45359.296527777777</v>
      </c>
      <c r="I77" s="1">
        <v>45359.501388888886</v>
      </c>
      <c r="J77">
        <v>177</v>
      </c>
      <c r="K77">
        <v>295</v>
      </c>
      <c r="L77">
        <v>1</v>
      </c>
      <c r="M77" t="s">
        <v>29</v>
      </c>
      <c r="N77">
        <v>1</v>
      </c>
      <c r="O77">
        <v>54.3</v>
      </c>
    </row>
    <row r="78" spans="1:15" x14ac:dyDescent="0.35">
      <c r="A78" t="s">
        <v>249</v>
      </c>
      <c r="B78" t="s">
        <v>24</v>
      </c>
      <c r="C78" t="s">
        <v>250</v>
      </c>
      <c r="D78" t="s">
        <v>44</v>
      </c>
      <c r="E78" t="s">
        <v>38</v>
      </c>
      <c r="F78" t="s">
        <v>20</v>
      </c>
      <c r="G78" t="s">
        <v>251</v>
      </c>
      <c r="H78" s="1">
        <v>45566.59375</v>
      </c>
      <c r="I78" s="1">
        <v>45566.654166666667</v>
      </c>
      <c r="J78">
        <v>86</v>
      </c>
      <c r="K78">
        <v>87</v>
      </c>
      <c r="L78">
        <v>1</v>
      </c>
      <c r="M78" t="s">
        <v>41</v>
      </c>
      <c r="N78">
        <v>9</v>
      </c>
      <c r="O78">
        <v>365.36</v>
      </c>
    </row>
    <row r="79" spans="1:15" x14ac:dyDescent="0.35">
      <c r="A79" t="s">
        <v>252</v>
      </c>
      <c r="B79" t="s">
        <v>16</v>
      </c>
      <c r="C79" t="s">
        <v>253</v>
      </c>
      <c r="D79" t="s">
        <v>26</v>
      </c>
      <c r="E79" t="s">
        <v>19</v>
      </c>
      <c r="F79" t="s">
        <v>34</v>
      </c>
      <c r="G79" t="s">
        <v>254</v>
      </c>
      <c r="H79" s="1">
        <v>45360.263194444444</v>
      </c>
      <c r="I79" s="1">
        <v>45360.376388888886</v>
      </c>
      <c r="J79">
        <v>88</v>
      </c>
      <c r="K79">
        <v>163</v>
      </c>
      <c r="L79">
        <v>1</v>
      </c>
      <c r="M79" t="s">
        <v>41</v>
      </c>
      <c r="N79">
        <v>7</v>
      </c>
      <c r="O79">
        <v>321.79000000000002</v>
      </c>
    </row>
    <row r="80" spans="1:15" x14ac:dyDescent="0.35">
      <c r="A80" t="s">
        <v>255</v>
      </c>
      <c r="B80" t="s">
        <v>51</v>
      </c>
      <c r="C80" t="s">
        <v>256</v>
      </c>
      <c r="D80" t="s">
        <v>18</v>
      </c>
      <c r="E80" t="s">
        <v>33</v>
      </c>
      <c r="F80" t="s">
        <v>20</v>
      </c>
      <c r="G80" t="s">
        <v>170</v>
      </c>
      <c r="H80" s="1">
        <v>45448.253472222219</v>
      </c>
      <c r="I80" s="1">
        <v>45448.35</v>
      </c>
      <c r="J80">
        <v>139</v>
      </c>
      <c r="K80">
        <v>139</v>
      </c>
      <c r="L80">
        <v>0</v>
      </c>
      <c r="M80" t="s">
        <v>29</v>
      </c>
      <c r="N80">
        <v>2</v>
      </c>
      <c r="O80">
        <v>299.98</v>
      </c>
    </row>
    <row r="81" spans="1:15" x14ac:dyDescent="0.35">
      <c r="A81" t="s">
        <v>257</v>
      </c>
      <c r="B81" t="s">
        <v>63</v>
      </c>
      <c r="C81" t="s">
        <v>258</v>
      </c>
      <c r="D81" t="s">
        <v>56</v>
      </c>
      <c r="E81" t="s">
        <v>85</v>
      </c>
      <c r="F81" t="s">
        <v>34</v>
      </c>
      <c r="G81" t="s">
        <v>259</v>
      </c>
      <c r="H81" s="1">
        <v>45595.907638888886</v>
      </c>
      <c r="I81" s="1">
        <v>45595.960416666669</v>
      </c>
      <c r="J81">
        <v>17</v>
      </c>
      <c r="K81">
        <v>76</v>
      </c>
      <c r="L81">
        <v>1</v>
      </c>
      <c r="M81" t="s">
        <v>22</v>
      </c>
      <c r="N81">
        <v>6</v>
      </c>
      <c r="O81">
        <v>286.49</v>
      </c>
    </row>
    <row r="82" spans="1:15" x14ac:dyDescent="0.35">
      <c r="A82" t="s">
        <v>260</v>
      </c>
      <c r="B82" t="s">
        <v>31</v>
      </c>
      <c r="C82" t="s">
        <v>261</v>
      </c>
      <c r="D82" t="s">
        <v>26</v>
      </c>
      <c r="E82" t="s">
        <v>38</v>
      </c>
      <c r="F82" t="s">
        <v>39</v>
      </c>
      <c r="G82" t="s">
        <v>262</v>
      </c>
      <c r="H82" s="1">
        <v>45317.468055555553</v>
      </c>
      <c r="I82" s="1">
        <v>45317.619444444441</v>
      </c>
      <c r="J82">
        <v>105</v>
      </c>
      <c r="K82">
        <v>218</v>
      </c>
      <c r="L82">
        <v>1</v>
      </c>
      <c r="M82" t="s">
        <v>29</v>
      </c>
      <c r="N82">
        <v>9</v>
      </c>
      <c r="O82">
        <v>393.35</v>
      </c>
    </row>
    <row r="83" spans="1:15" x14ac:dyDescent="0.35">
      <c r="A83" t="s">
        <v>263</v>
      </c>
      <c r="B83" t="s">
        <v>31</v>
      </c>
      <c r="C83" t="s">
        <v>264</v>
      </c>
      <c r="D83" t="s">
        <v>18</v>
      </c>
      <c r="E83" t="s">
        <v>19</v>
      </c>
      <c r="F83" t="s">
        <v>39</v>
      </c>
      <c r="G83" t="s">
        <v>265</v>
      </c>
      <c r="H83" s="1">
        <v>45295.655555555553</v>
      </c>
      <c r="I83" s="1">
        <v>45295.663888888892</v>
      </c>
      <c r="J83">
        <v>15</v>
      </c>
      <c r="K83">
        <v>12</v>
      </c>
      <c r="L83">
        <v>0</v>
      </c>
      <c r="M83" t="s">
        <v>22</v>
      </c>
      <c r="N83">
        <v>4</v>
      </c>
      <c r="O83">
        <v>415.23</v>
      </c>
    </row>
    <row r="84" spans="1:15" x14ac:dyDescent="0.35">
      <c r="A84" t="s">
        <v>266</v>
      </c>
      <c r="B84" t="s">
        <v>16</v>
      </c>
      <c r="C84" t="s">
        <v>267</v>
      </c>
      <c r="D84" t="s">
        <v>56</v>
      </c>
      <c r="E84" t="s">
        <v>19</v>
      </c>
      <c r="F84" t="s">
        <v>20</v>
      </c>
      <c r="G84" t="s">
        <v>268</v>
      </c>
      <c r="H84" s="1">
        <v>45448.652083333334</v>
      </c>
      <c r="I84" s="1">
        <v>45448.711111111108</v>
      </c>
      <c r="J84">
        <v>77</v>
      </c>
      <c r="K84">
        <v>85</v>
      </c>
      <c r="L84">
        <v>1</v>
      </c>
      <c r="M84" t="s">
        <v>41</v>
      </c>
      <c r="N84">
        <v>1</v>
      </c>
      <c r="O84">
        <v>124.2</v>
      </c>
    </row>
    <row r="85" spans="1:15" x14ac:dyDescent="0.35">
      <c r="A85" t="s">
        <v>269</v>
      </c>
      <c r="B85" t="s">
        <v>16</v>
      </c>
      <c r="C85" t="s">
        <v>270</v>
      </c>
      <c r="D85" t="s">
        <v>44</v>
      </c>
      <c r="E85" t="s">
        <v>33</v>
      </c>
      <c r="F85" t="s">
        <v>27</v>
      </c>
      <c r="G85" t="s">
        <v>88</v>
      </c>
      <c r="H85" s="1">
        <v>45639.65</v>
      </c>
      <c r="I85" s="1">
        <v>45639.737500000003</v>
      </c>
      <c r="J85">
        <v>78</v>
      </c>
      <c r="K85">
        <v>126</v>
      </c>
      <c r="L85">
        <v>1</v>
      </c>
      <c r="M85" t="s">
        <v>22</v>
      </c>
      <c r="N85">
        <v>2</v>
      </c>
      <c r="O85">
        <v>421.04</v>
      </c>
    </row>
    <row r="86" spans="1:15" x14ac:dyDescent="0.35">
      <c r="A86" t="s">
        <v>271</v>
      </c>
      <c r="B86" t="s">
        <v>16</v>
      </c>
      <c r="C86" t="s">
        <v>272</v>
      </c>
      <c r="D86" t="s">
        <v>18</v>
      </c>
      <c r="E86" t="s">
        <v>19</v>
      </c>
      <c r="F86" t="s">
        <v>20</v>
      </c>
      <c r="G86" t="s">
        <v>82</v>
      </c>
      <c r="H86" s="1">
        <v>45442.916666666664</v>
      </c>
      <c r="I86" s="1">
        <v>45443.034722222219</v>
      </c>
      <c r="J86">
        <v>124</v>
      </c>
      <c r="K86">
        <v>170</v>
      </c>
      <c r="L86">
        <v>1</v>
      </c>
      <c r="M86" t="s">
        <v>41</v>
      </c>
      <c r="N86">
        <v>9</v>
      </c>
      <c r="O86">
        <v>130.94</v>
      </c>
    </row>
    <row r="87" spans="1:15" x14ac:dyDescent="0.35">
      <c r="A87" t="s">
        <v>273</v>
      </c>
      <c r="B87" t="s">
        <v>31</v>
      </c>
      <c r="C87" t="s">
        <v>274</v>
      </c>
      <c r="D87" t="s">
        <v>26</v>
      </c>
      <c r="E87" t="s">
        <v>33</v>
      </c>
      <c r="F87" t="s">
        <v>57</v>
      </c>
      <c r="G87" t="s">
        <v>35</v>
      </c>
      <c r="H87" s="1">
        <v>45356.904861111114</v>
      </c>
      <c r="I87" s="1">
        <v>45357.131944444445</v>
      </c>
      <c r="J87">
        <v>225</v>
      </c>
      <c r="K87">
        <v>327</v>
      </c>
      <c r="L87">
        <v>1</v>
      </c>
      <c r="M87" t="s">
        <v>29</v>
      </c>
      <c r="N87">
        <v>9</v>
      </c>
      <c r="O87">
        <v>283.08999999999997</v>
      </c>
    </row>
    <row r="88" spans="1:15" x14ac:dyDescent="0.35">
      <c r="A88" t="s">
        <v>275</v>
      </c>
      <c r="B88" t="s">
        <v>63</v>
      </c>
      <c r="C88" t="s">
        <v>276</v>
      </c>
      <c r="D88" t="s">
        <v>48</v>
      </c>
      <c r="E88" t="s">
        <v>33</v>
      </c>
      <c r="F88" t="s">
        <v>34</v>
      </c>
      <c r="G88" t="s">
        <v>170</v>
      </c>
      <c r="H88" s="1">
        <v>45543.675000000003</v>
      </c>
      <c r="I88" s="1">
        <v>45543.8125</v>
      </c>
      <c r="J88">
        <v>124</v>
      </c>
      <c r="K88">
        <v>198</v>
      </c>
      <c r="L88">
        <v>1</v>
      </c>
      <c r="M88" t="s">
        <v>41</v>
      </c>
      <c r="N88">
        <v>1</v>
      </c>
      <c r="O88">
        <v>83.88</v>
      </c>
    </row>
    <row r="89" spans="1:15" x14ac:dyDescent="0.35">
      <c r="A89" t="s">
        <v>277</v>
      </c>
      <c r="B89" t="s">
        <v>63</v>
      </c>
      <c r="C89" t="s">
        <v>278</v>
      </c>
      <c r="D89" t="s">
        <v>48</v>
      </c>
      <c r="E89" t="s">
        <v>19</v>
      </c>
      <c r="F89" t="s">
        <v>57</v>
      </c>
      <c r="G89" t="s">
        <v>240</v>
      </c>
      <c r="H89" s="1">
        <v>45339.750694444447</v>
      </c>
      <c r="I89" s="1">
        <v>45339.818749999999</v>
      </c>
      <c r="J89">
        <v>85</v>
      </c>
      <c r="K89">
        <v>98</v>
      </c>
      <c r="L89">
        <v>1</v>
      </c>
      <c r="M89" t="s">
        <v>41</v>
      </c>
      <c r="N89">
        <v>1</v>
      </c>
      <c r="O89">
        <v>225.67</v>
      </c>
    </row>
    <row r="90" spans="1:15" x14ac:dyDescent="0.35">
      <c r="A90" t="s">
        <v>279</v>
      </c>
      <c r="B90" t="s">
        <v>24</v>
      </c>
      <c r="C90" t="s">
        <v>280</v>
      </c>
      <c r="D90" t="s">
        <v>44</v>
      </c>
      <c r="E90" t="s">
        <v>38</v>
      </c>
      <c r="F90" t="s">
        <v>27</v>
      </c>
      <c r="G90" t="s">
        <v>185</v>
      </c>
      <c r="H90" s="1">
        <v>45364.84097222222</v>
      </c>
      <c r="I90" s="1">
        <v>45364.986111111109</v>
      </c>
      <c r="J90">
        <v>181</v>
      </c>
      <c r="K90">
        <v>209</v>
      </c>
      <c r="L90">
        <v>1</v>
      </c>
      <c r="M90" t="s">
        <v>41</v>
      </c>
      <c r="N90">
        <v>8</v>
      </c>
      <c r="O90">
        <v>172.21</v>
      </c>
    </row>
    <row r="91" spans="1:15" x14ac:dyDescent="0.35">
      <c r="A91" t="s">
        <v>281</v>
      </c>
      <c r="B91" t="s">
        <v>16</v>
      </c>
      <c r="C91" t="s">
        <v>282</v>
      </c>
      <c r="D91" t="s">
        <v>26</v>
      </c>
      <c r="E91" t="s">
        <v>85</v>
      </c>
      <c r="F91" t="s">
        <v>39</v>
      </c>
      <c r="G91" t="s">
        <v>283</v>
      </c>
      <c r="H91" s="1">
        <v>45644.556944444441</v>
      </c>
      <c r="I91" s="1">
        <v>45644.633333333331</v>
      </c>
      <c r="J91">
        <v>113</v>
      </c>
      <c r="K91">
        <v>110</v>
      </c>
      <c r="L91">
        <v>0</v>
      </c>
      <c r="M91" t="s">
        <v>41</v>
      </c>
      <c r="N91">
        <v>6</v>
      </c>
      <c r="O91">
        <v>364.89</v>
      </c>
    </row>
    <row r="92" spans="1:15" x14ac:dyDescent="0.35">
      <c r="A92" t="s">
        <v>284</v>
      </c>
      <c r="B92" t="s">
        <v>24</v>
      </c>
      <c r="C92" t="s">
        <v>285</v>
      </c>
      <c r="D92" t="s">
        <v>18</v>
      </c>
      <c r="E92" t="s">
        <v>33</v>
      </c>
      <c r="F92" t="s">
        <v>39</v>
      </c>
      <c r="G92" t="s">
        <v>231</v>
      </c>
      <c r="H92" s="1">
        <v>45418.647222222222</v>
      </c>
      <c r="I92" s="1">
        <v>45418.690972222219</v>
      </c>
      <c r="J92">
        <v>36</v>
      </c>
      <c r="K92">
        <v>63</v>
      </c>
      <c r="L92">
        <v>1</v>
      </c>
      <c r="M92" t="s">
        <v>41</v>
      </c>
      <c r="N92">
        <v>9</v>
      </c>
      <c r="O92">
        <v>177.53</v>
      </c>
    </row>
    <row r="93" spans="1:15" x14ac:dyDescent="0.35">
      <c r="A93" t="s">
        <v>286</v>
      </c>
      <c r="B93" t="s">
        <v>51</v>
      </c>
      <c r="C93" t="s">
        <v>287</v>
      </c>
      <c r="D93" t="s">
        <v>56</v>
      </c>
      <c r="E93" t="s">
        <v>33</v>
      </c>
      <c r="F93" t="s">
        <v>20</v>
      </c>
      <c r="G93" t="s">
        <v>288</v>
      </c>
      <c r="H93" s="1">
        <v>45480.303472222222</v>
      </c>
      <c r="I93" s="1">
        <v>45480.509027777778</v>
      </c>
      <c r="J93">
        <v>221</v>
      </c>
      <c r="K93">
        <v>296</v>
      </c>
      <c r="L93">
        <v>1</v>
      </c>
      <c r="M93" t="s">
        <v>29</v>
      </c>
      <c r="N93">
        <v>8</v>
      </c>
      <c r="O93">
        <v>260.11</v>
      </c>
    </row>
    <row r="94" spans="1:15" x14ac:dyDescent="0.35">
      <c r="A94" t="s">
        <v>289</v>
      </c>
      <c r="B94" t="s">
        <v>63</v>
      </c>
      <c r="C94" t="s">
        <v>290</v>
      </c>
      <c r="D94" t="s">
        <v>44</v>
      </c>
      <c r="E94" t="s">
        <v>38</v>
      </c>
      <c r="F94" t="s">
        <v>20</v>
      </c>
      <c r="G94" t="s">
        <v>140</v>
      </c>
      <c r="H94" s="1">
        <v>45611.158333333333</v>
      </c>
      <c r="I94" s="1">
        <v>45611.300694444442</v>
      </c>
      <c r="J94">
        <v>177</v>
      </c>
      <c r="K94">
        <v>205</v>
      </c>
      <c r="L94">
        <v>1</v>
      </c>
      <c r="M94" t="s">
        <v>22</v>
      </c>
      <c r="N94">
        <v>7</v>
      </c>
      <c r="O94">
        <v>481.12</v>
      </c>
    </row>
    <row r="95" spans="1:15" x14ac:dyDescent="0.35">
      <c r="A95" t="s">
        <v>291</v>
      </c>
      <c r="B95" t="s">
        <v>31</v>
      </c>
      <c r="C95" t="s">
        <v>292</v>
      </c>
      <c r="D95" t="s">
        <v>26</v>
      </c>
      <c r="E95" t="s">
        <v>38</v>
      </c>
      <c r="F95" t="s">
        <v>34</v>
      </c>
      <c r="G95" t="s">
        <v>293</v>
      </c>
      <c r="H95" s="1">
        <v>45555.742361111108</v>
      </c>
      <c r="I95" s="1">
        <v>45555.818055555559</v>
      </c>
      <c r="J95">
        <v>17</v>
      </c>
      <c r="K95">
        <v>109</v>
      </c>
      <c r="L95">
        <v>1</v>
      </c>
      <c r="M95" t="s">
        <v>22</v>
      </c>
      <c r="N95">
        <v>5</v>
      </c>
      <c r="O95">
        <v>65.099999999999994</v>
      </c>
    </row>
    <row r="96" spans="1:15" x14ac:dyDescent="0.35">
      <c r="A96" t="s">
        <v>294</v>
      </c>
      <c r="B96" t="s">
        <v>51</v>
      </c>
      <c r="C96" t="s">
        <v>295</v>
      </c>
      <c r="D96" t="s">
        <v>26</v>
      </c>
      <c r="E96" t="s">
        <v>19</v>
      </c>
      <c r="F96" t="s">
        <v>20</v>
      </c>
      <c r="G96" t="s">
        <v>296</v>
      </c>
      <c r="H96" s="1">
        <v>45392.742361111108</v>
      </c>
      <c r="I96" s="1">
        <v>45392.929166666669</v>
      </c>
      <c r="J96">
        <v>184</v>
      </c>
      <c r="K96">
        <v>269</v>
      </c>
      <c r="L96">
        <v>1</v>
      </c>
      <c r="M96" t="s">
        <v>22</v>
      </c>
      <c r="N96">
        <v>9</v>
      </c>
      <c r="O96">
        <v>209.72</v>
      </c>
    </row>
    <row r="97" spans="1:15" x14ac:dyDescent="0.35">
      <c r="A97" t="s">
        <v>297</v>
      </c>
      <c r="B97" t="s">
        <v>24</v>
      </c>
      <c r="C97" t="s">
        <v>298</v>
      </c>
      <c r="D97" t="s">
        <v>44</v>
      </c>
      <c r="E97" t="s">
        <v>33</v>
      </c>
      <c r="F97" t="s">
        <v>27</v>
      </c>
      <c r="G97" t="s">
        <v>299</v>
      </c>
      <c r="H97" s="1">
        <v>45587.465277777781</v>
      </c>
      <c r="I97" s="1">
        <v>45587.529861111114</v>
      </c>
      <c r="J97">
        <v>77</v>
      </c>
      <c r="K97">
        <v>93</v>
      </c>
      <c r="L97">
        <v>1</v>
      </c>
      <c r="M97" t="s">
        <v>41</v>
      </c>
      <c r="N97">
        <v>1</v>
      </c>
      <c r="O97">
        <v>130.12</v>
      </c>
    </row>
    <row r="98" spans="1:15" x14ac:dyDescent="0.35">
      <c r="A98" t="s">
        <v>300</v>
      </c>
      <c r="B98" t="s">
        <v>51</v>
      </c>
      <c r="C98" t="s">
        <v>301</v>
      </c>
      <c r="D98" t="s">
        <v>18</v>
      </c>
      <c r="E98" t="s">
        <v>38</v>
      </c>
      <c r="F98" t="s">
        <v>20</v>
      </c>
      <c r="G98" t="s">
        <v>82</v>
      </c>
      <c r="H98" s="1">
        <v>45312.626388888886</v>
      </c>
      <c r="I98" s="1">
        <v>45312.6875</v>
      </c>
      <c r="J98">
        <v>30</v>
      </c>
      <c r="K98">
        <v>88</v>
      </c>
      <c r="L98">
        <v>1</v>
      </c>
      <c r="M98" t="s">
        <v>41</v>
      </c>
      <c r="N98">
        <v>5</v>
      </c>
      <c r="O98">
        <v>174.12</v>
      </c>
    </row>
    <row r="99" spans="1:15" x14ac:dyDescent="0.35">
      <c r="A99" t="s">
        <v>302</v>
      </c>
      <c r="B99" t="s">
        <v>63</v>
      </c>
      <c r="C99" t="s">
        <v>303</v>
      </c>
      <c r="D99" t="s">
        <v>48</v>
      </c>
      <c r="E99" t="s">
        <v>33</v>
      </c>
      <c r="F99" t="s">
        <v>57</v>
      </c>
      <c r="G99" t="s">
        <v>140</v>
      </c>
      <c r="H99" s="1">
        <v>45435.529166666667</v>
      </c>
      <c r="I99" s="1">
        <v>45435.675694444442</v>
      </c>
      <c r="J99">
        <v>161</v>
      </c>
      <c r="K99">
        <v>211</v>
      </c>
      <c r="L99">
        <v>1</v>
      </c>
      <c r="M99" t="s">
        <v>29</v>
      </c>
      <c r="N99">
        <v>8</v>
      </c>
      <c r="O99">
        <v>411.13</v>
      </c>
    </row>
    <row r="100" spans="1:15" x14ac:dyDescent="0.35">
      <c r="A100" t="s">
        <v>304</v>
      </c>
      <c r="B100" t="s">
        <v>31</v>
      </c>
      <c r="C100" t="s">
        <v>305</v>
      </c>
      <c r="D100" t="s">
        <v>48</v>
      </c>
      <c r="E100" t="s">
        <v>33</v>
      </c>
      <c r="F100" t="s">
        <v>34</v>
      </c>
      <c r="G100" t="s">
        <v>82</v>
      </c>
      <c r="H100" s="1">
        <v>45380.923611111109</v>
      </c>
      <c r="I100" s="1">
        <v>45381.042361111111</v>
      </c>
      <c r="J100">
        <v>77</v>
      </c>
      <c r="K100">
        <v>171</v>
      </c>
      <c r="L100">
        <v>1</v>
      </c>
      <c r="M100" t="s">
        <v>29</v>
      </c>
      <c r="N100">
        <v>6</v>
      </c>
      <c r="O100">
        <v>113.26</v>
      </c>
    </row>
    <row r="101" spans="1:15" x14ac:dyDescent="0.35">
      <c r="A101" t="s">
        <v>306</v>
      </c>
      <c r="B101" t="s">
        <v>51</v>
      </c>
      <c r="C101" t="s">
        <v>307</v>
      </c>
      <c r="D101" t="s">
        <v>44</v>
      </c>
      <c r="E101" t="s">
        <v>38</v>
      </c>
      <c r="F101" t="s">
        <v>39</v>
      </c>
      <c r="G101" t="s">
        <v>308</v>
      </c>
      <c r="H101" s="1">
        <v>45613.231944444444</v>
      </c>
      <c r="I101" s="1">
        <v>45613.469444444447</v>
      </c>
      <c r="J101">
        <v>235</v>
      </c>
      <c r="K101">
        <v>342</v>
      </c>
      <c r="L101">
        <v>1</v>
      </c>
      <c r="M101" t="s">
        <v>29</v>
      </c>
      <c r="N101">
        <v>3</v>
      </c>
      <c r="O101">
        <v>161.09</v>
      </c>
    </row>
    <row r="102" spans="1:15" x14ac:dyDescent="0.35">
      <c r="A102" t="s">
        <v>309</v>
      </c>
      <c r="B102" t="s">
        <v>31</v>
      </c>
      <c r="C102" t="s">
        <v>310</v>
      </c>
      <c r="D102" t="s">
        <v>18</v>
      </c>
      <c r="E102" t="s">
        <v>85</v>
      </c>
      <c r="F102" t="s">
        <v>57</v>
      </c>
      <c r="G102" t="s">
        <v>311</v>
      </c>
      <c r="H102" s="1">
        <v>45452.056250000001</v>
      </c>
      <c r="I102" s="1">
        <v>45452.21597222222</v>
      </c>
      <c r="J102">
        <v>152</v>
      </c>
      <c r="K102">
        <v>230</v>
      </c>
      <c r="L102">
        <v>1</v>
      </c>
      <c r="M102" t="s">
        <v>41</v>
      </c>
      <c r="N102">
        <v>5</v>
      </c>
      <c r="O102">
        <v>375.96</v>
      </c>
    </row>
    <row r="103" spans="1:15" x14ac:dyDescent="0.35">
      <c r="A103" t="s">
        <v>312</v>
      </c>
      <c r="B103" t="s">
        <v>24</v>
      </c>
      <c r="C103" t="s">
        <v>313</v>
      </c>
      <c r="D103" t="s">
        <v>26</v>
      </c>
      <c r="E103" t="s">
        <v>38</v>
      </c>
      <c r="F103" t="s">
        <v>20</v>
      </c>
      <c r="G103" t="s">
        <v>262</v>
      </c>
      <c r="H103" s="1">
        <v>45459.254861111112</v>
      </c>
      <c r="I103" s="1">
        <v>45459.388194444444</v>
      </c>
      <c r="J103">
        <v>161</v>
      </c>
      <c r="K103">
        <v>192</v>
      </c>
      <c r="L103">
        <v>1</v>
      </c>
      <c r="M103" t="s">
        <v>22</v>
      </c>
      <c r="N103">
        <v>3</v>
      </c>
      <c r="O103">
        <v>431.74</v>
      </c>
    </row>
    <row r="104" spans="1:15" x14ac:dyDescent="0.35">
      <c r="A104" t="s">
        <v>314</v>
      </c>
      <c r="B104" t="s">
        <v>16</v>
      </c>
      <c r="C104" t="s">
        <v>315</v>
      </c>
      <c r="D104" t="s">
        <v>56</v>
      </c>
      <c r="E104" t="s">
        <v>19</v>
      </c>
      <c r="F104" t="s">
        <v>20</v>
      </c>
      <c r="G104" t="s">
        <v>316</v>
      </c>
      <c r="H104" s="1">
        <v>45319.220138888886</v>
      </c>
      <c r="I104" s="1">
        <v>45319.415277777778</v>
      </c>
      <c r="J104">
        <v>176</v>
      </c>
      <c r="K104">
        <v>281</v>
      </c>
      <c r="L104">
        <v>1</v>
      </c>
      <c r="M104" t="s">
        <v>22</v>
      </c>
      <c r="N104">
        <v>2</v>
      </c>
      <c r="O104">
        <v>492.06</v>
      </c>
    </row>
    <row r="105" spans="1:15" x14ac:dyDescent="0.35">
      <c r="A105" t="s">
        <v>317</v>
      </c>
      <c r="B105" t="s">
        <v>31</v>
      </c>
      <c r="C105" t="s">
        <v>318</v>
      </c>
      <c r="D105" t="s">
        <v>26</v>
      </c>
      <c r="E105" t="s">
        <v>19</v>
      </c>
      <c r="F105" t="s">
        <v>20</v>
      </c>
      <c r="G105" t="s">
        <v>182</v>
      </c>
      <c r="H105" s="1">
        <v>45513.147222222222</v>
      </c>
      <c r="I105" s="1">
        <v>45513.197222222225</v>
      </c>
      <c r="J105">
        <v>40</v>
      </c>
      <c r="K105">
        <v>72</v>
      </c>
      <c r="L105">
        <v>1</v>
      </c>
      <c r="M105" t="s">
        <v>22</v>
      </c>
      <c r="N105">
        <v>6</v>
      </c>
      <c r="O105">
        <v>104.17</v>
      </c>
    </row>
    <row r="106" spans="1:15" x14ac:dyDescent="0.35">
      <c r="A106" t="s">
        <v>319</v>
      </c>
      <c r="B106" t="s">
        <v>16</v>
      </c>
      <c r="C106" t="s">
        <v>320</v>
      </c>
      <c r="D106" t="s">
        <v>18</v>
      </c>
      <c r="E106" t="s">
        <v>33</v>
      </c>
      <c r="F106" t="s">
        <v>57</v>
      </c>
      <c r="G106" t="s">
        <v>321</v>
      </c>
      <c r="H106" s="1">
        <v>45402.842361111114</v>
      </c>
      <c r="I106" s="1">
        <v>45402.956944444442</v>
      </c>
      <c r="J106">
        <v>98</v>
      </c>
      <c r="K106">
        <v>165</v>
      </c>
      <c r="L106">
        <v>1</v>
      </c>
      <c r="M106" t="s">
        <v>22</v>
      </c>
      <c r="N106">
        <v>9</v>
      </c>
      <c r="O106">
        <v>418.01</v>
      </c>
    </row>
    <row r="107" spans="1:15" x14ac:dyDescent="0.35">
      <c r="A107" t="s">
        <v>322</v>
      </c>
      <c r="B107" t="s">
        <v>31</v>
      </c>
      <c r="C107" t="s">
        <v>323</v>
      </c>
      <c r="D107" t="s">
        <v>26</v>
      </c>
      <c r="E107" t="s">
        <v>19</v>
      </c>
      <c r="F107" t="s">
        <v>39</v>
      </c>
      <c r="G107" t="s">
        <v>231</v>
      </c>
      <c r="H107" s="1">
        <v>45479.771527777775</v>
      </c>
      <c r="I107" s="1">
        <v>45479.92291666667</v>
      </c>
      <c r="J107">
        <v>213</v>
      </c>
      <c r="K107">
        <v>218</v>
      </c>
      <c r="L107">
        <v>1</v>
      </c>
      <c r="M107" t="s">
        <v>41</v>
      </c>
      <c r="N107">
        <v>5</v>
      </c>
      <c r="O107">
        <v>275.48</v>
      </c>
    </row>
    <row r="108" spans="1:15" x14ac:dyDescent="0.35">
      <c r="A108" t="s">
        <v>324</v>
      </c>
      <c r="B108" t="s">
        <v>31</v>
      </c>
      <c r="C108" t="s">
        <v>325</v>
      </c>
      <c r="D108" t="s">
        <v>48</v>
      </c>
      <c r="E108" t="s">
        <v>19</v>
      </c>
      <c r="F108" t="s">
        <v>39</v>
      </c>
      <c r="G108" t="s">
        <v>262</v>
      </c>
      <c r="H108" s="1">
        <v>45318.119444444441</v>
      </c>
      <c r="I108" s="1">
        <v>45318.189583333333</v>
      </c>
      <c r="J108">
        <v>97</v>
      </c>
      <c r="K108">
        <v>101</v>
      </c>
      <c r="L108">
        <v>1</v>
      </c>
      <c r="M108" t="s">
        <v>29</v>
      </c>
      <c r="N108">
        <v>3</v>
      </c>
      <c r="O108">
        <v>138.36000000000001</v>
      </c>
    </row>
    <row r="109" spans="1:15" x14ac:dyDescent="0.35">
      <c r="A109" t="s">
        <v>326</v>
      </c>
      <c r="B109" t="s">
        <v>63</v>
      </c>
      <c r="C109" t="s">
        <v>327</v>
      </c>
      <c r="D109" t="s">
        <v>44</v>
      </c>
      <c r="E109" t="s">
        <v>33</v>
      </c>
      <c r="F109" t="s">
        <v>57</v>
      </c>
      <c r="G109" t="s">
        <v>45</v>
      </c>
      <c r="H109" s="1">
        <v>45439.51458333333</v>
      </c>
      <c r="I109" s="1">
        <v>45439.59097222222</v>
      </c>
      <c r="J109">
        <v>50</v>
      </c>
      <c r="K109">
        <v>110</v>
      </c>
      <c r="L109">
        <v>1</v>
      </c>
      <c r="M109" t="s">
        <v>22</v>
      </c>
      <c r="N109">
        <v>9</v>
      </c>
      <c r="O109">
        <v>211.4</v>
      </c>
    </row>
    <row r="110" spans="1:15" x14ac:dyDescent="0.35">
      <c r="A110" t="s">
        <v>328</v>
      </c>
      <c r="B110" t="s">
        <v>51</v>
      </c>
      <c r="C110" t="s">
        <v>329</v>
      </c>
      <c r="D110" t="s">
        <v>26</v>
      </c>
      <c r="E110" t="s">
        <v>33</v>
      </c>
      <c r="F110" t="s">
        <v>20</v>
      </c>
      <c r="G110" t="s">
        <v>330</v>
      </c>
      <c r="H110" s="1">
        <v>45374.762499999997</v>
      </c>
      <c r="I110" s="1">
        <v>45374.980555555558</v>
      </c>
      <c r="J110">
        <v>216</v>
      </c>
      <c r="K110">
        <v>314</v>
      </c>
      <c r="L110">
        <v>1</v>
      </c>
      <c r="M110" t="s">
        <v>41</v>
      </c>
      <c r="N110">
        <v>8</v>
      </c>
      <c r="O110">
        <v>361.12</v>
      </c>
    </row>
    <row r="111" spans="1:15" x14ac:dyDescent="0.35">
      <c r="A111" t="s">
        <v>331</v>
      </c>
      <c r="B111" t="s">
        <v>24</v>
      </c>
      <c r="C111" t="s">
        <v>332</v>
      </c>
      <c r="D111" t="s">
        <v>18</v>
      </c>
      <c r="E111" t="s">
        <v>19</v>
      </c>
      <c r="F111" t="s">
        <v>39</v>
      </c>
      <c r="G111" t="s">
        <v>265</v>
      </c>
      <c r="H111" s="1">
        <v>45588.393750000003</v>
      </c>
      <c r="I111" s="1">
        <v>45588.53402777778</v>
      </c>
      <c r="J111">
        <v>136</v>
      </c>
      <c r="K111">
        <v>202</v>
      </c>
      <c r="L111">
        <v>1</v>
      </c>
      <c r="M111" t="s">
        <v>29</v>
      </c>
      <c r="N111">
        <v>6</v>
      </c>
      <c r="O111">
        <v>155.22</v>
      </c>
    </row>
    <row r="112" spans="1:15" x14ac:dyDescent="0.35">
      <c r="A112" t="s">
        <v>333</v>
      </c>
      <c r="B112" t="s">
        <v>31</v>
      </c>
      <c r="C112" t="s">
        <v>334</v>
      </c>
      <c r="D112" t="s">
        <v>48</v>
      </c>
      <c r="E112" t="s">
        <v>85</v>
      </c>
      <c r="F112" t="s">
        <v>20</v>
      </c>
      <c r="G112" t="s">
        <v>335</v>
      </c>
      <c r="H112" s="1">
        <v>45473.029166666667</v>
      </c>
      <c r="I112" s="1">
        <v>45473.142361111109</v>
      </c>
      <c r="J112">
        <v>50</v>
      </c>
      <c r="K112">
        <v>163</v>
      </c>
      <c r="L112">
        <v>1</v>
      </c>
      <c r="M112" t="s">
        <v>22</v>
      </c>
      <c r="N112">
        <v>9</v>
      </c>
      <c r="O112">
        <v>387.75</v>
      </c>
    </row>
    <row r="113" spans="1:15" x14ac:dyDescent="0.35">
      <c r="A113" t="s">
        <v>336</v>
      </c>
      <c r="B113" t="s">
        <v>16</v>
      </c>
      <c r="C113" t="s">
        <v>337</v>
      </c>
      <c r="D113" t="s">
        <v>26</v>
      </c>
      <c r="E113" t="s">
        <v>19</v>
      </c>
      <c r="F113" t="s">
        <v>27</v>
      </c>
      <c r="G113" t="s">
        <v>338</v>
      </c>
      <c r="H113" s="1">
        <v>45627.95</v>
      </c>
      <c r="I113" s="1">
        <v>45627.984027777777</v>
      </c>
      <c r="J113">
        <v>13</v>
      </c>
      <c r="K113">
        <v>49</v>
      </c>
      <c r="L113">
        <v>1</v>
      </c>
      <c r="M113" t="s">
        <v>29</v>
      </c>
      <c r="N113">
        <v>3</v>
      </c>
      <c r="O113">
        <v>234.36</v>
      </c>
    </row>
    <row r="114" spans="1:15" x14ac:dyDescent="0.35">
      <c r="A114" t="s">
        <v>339</v>
      </c>
      <c r="B114" t="s">
        <v>24</v>
      </c>
      <c r="C114" t="s">
        <v>340</v>
      </c>
      <c r="D114" t="s">
        <v>56</v>
      </c>
      <c r="E114" t="s">
        <v>38</v>
      </c>
      <c r="F114" t="s">
        <v>27</v>
      </c>
      <c r="G114" t="s">
        <v>149</v>
      </c>
      <c r="H114" s="1">
        <v>45614.089583333334</v>
      </c>
      <c r="I114" s="1">
        <v>45614.272916666669</v>
      </c>
      <c r="J114">
        <v>207</v>
      </c>
      <c r="K114">
        <v>264</v>
      </c>
      <c r="L114">
        <v>1</v>
      </c>
      <c r="M114" t="s">
        <v>41</v>
      </c>
      <c r="N114">
        <v>6</v>
      </c>
      <c r="O114">
        <v>378.4</v>
      </c>
    </row>
    <row r="115" spans="1:15" x14ac:dyDescent="0.35">
      <c r="A115" t="s">
        <v>341</v>
      </c>
      <c r="B115" t="s">
        <v>51</v>
      </c>
      <c r="C115" t="s">
        <v>342</v>
      </c>
      <c r="D115" t="s">
        <v>48</v>
      </c>
      <c r="E115" t="s">
        <v>38</v>
      </c>
      <c r="F115" t="s">
        <v>39</v>
      </c>
      <c r="G115" t="s">
        <v>343</v>
      </c>
      <c r="H115" s="1">
        <v>45302.133333333331</v>
      </c>
      <c r="I115" s="1">
        <v>45302.311111111114</v>
      </c>
      <c r="J115">
        <v>206</v>
      </c>
      <c r="K115">
        <v>256</v>
      </c>
      <c r="L115">
        <v>1</v>
      </c>
      <c r="M115" t="s">
        <v>22</v>
      </c>
      <c r="N115">
        <v>10</v>
      </c>
      <c r="O115">
        <v>404.91</v>
      </c>
    </row>
    <row r="116" spans="1:15" x14ac:dyDescent="0.35">
      <c r="A116" t="s">
        <v>344</v>
      </c>
      <c r="B116" t="s">
        <v>24</v>
      </c>
      <c r="C116" t="s">
        <v>345</v>
      </c>
      <c r="D116" t="s">
        <v>18</v>
      </c>
      <c r="E116" t="s">
        <v>19</v>
      </c>
      <c r="F116" t="s">
        <v>57</v>
      </c>
      <c r="G116" t="s">
        <v>268</v>
      </c>
      <c r="H116" s="1">
        <v>45617.32708333333</v>
      </c>
      <c r="I116" s="1">
        <v>45617.42291666667</v>
      </c>
      <c r="J116">
        <v>93</v>
      </c>
      <c r="K116">
        <v>138</v>
      </c>
      <c r="L116">
        <v>1</v>
      </c>
      <c r="M116" t="s">
        <v>22</v>
      </c>
      <c r="N116">
        <v>4</v>
      </c>
      <c r="O116">
        <v>424.76</v>
      </c>
    </row>
    <row r="117" spans="1:15" x14ac:dyDescent="0.35">
      <c r="A117" t="s">
        <v>346</v>
      </c>
      <c r="B117" t="s">
        <v>63</v>
      </c>
      <c r="C117" t="s">
        <v>347</v>
      </c>
      <c r="D117" t="s">
        <v>44</v>
      </c>
      <c r="E117" t="s">
        <v>38</v>
      </c>
      <c r="F117" t="s">
        <v>20</v>
      </c>
      <c r="G117" t="s">
        <v>335</v>
      </c>
      <c r="H117" s="1">
        <v>45386.015972222223</v>
      </c>
      <c r="I117" s="1">
        <v>45386.205555555556</v>
      </c>
      <c r="J117">
        <v>156</v>
      </c>
      <c r="K117">
        <v>273</v>
      </c>
      <c r="L117">
        <v>1</v>
      </c>
      <c r="M117" t="s">
        <v>41</v>
      </c>
      <c r="N117">
        <v>6</v>
      </c>
      <c r="O117">
        <v>63.64</v>
      </c>
    </row>
    <row r="118" spans="1:15" x14ac:dyDescent="0.35">
      <c r="A118" t="s">
        <v>348</v>
      </c>
      <c r="B118" t="s">
        <v>16</v>
      </c>
      <c r="C118" t="s">
        <v>349</v>
      </c>
      <c r="D118" t="s">
        <v>44</v>
      </c>
      <c r="E118" t="s">
        <v>19</v>
      </c>
      <c r="F118" t="s">
        <v>57</v>
      </c>
      <c r="G118" t="s">
        <v>191</v>
      </c>
      <c r="H118" s="1">
        <v>45360.074999999997</v>
      </c>
      <c r="I118" s="1">
        <v>45360.214583333334</v>
      </c>
      <c r="J118">
        <v>117</v>
      </c>
      <c r="K118">
        <v>201</v>
      </c>
      <c r="L118">
        <v>1</v>
      </c>
      <c r="M118" t="s">
        <v>29</v>
      </c>
      <c r="N118">
        <v>1</v>
      </c>
      <c r="O118">
        <v>145.69</v>
      </c>
    </row>
    <row r="119" spans="1:15" x14ac:dyDescent="0.35">
      <c r="A119" t="s">
        <v>350</v>
      </c>
      <c r="B119" t="s">
        <v>24</v>
      </c>
      <c r="C119" t="s">
        <v>351</v>
      </c>
      <c r="D119" t="s">
        <v>44</v>
      </c>
      <c r="E119" t="s">
        <v>19</v>
      </c>
      <c r="F119" t="s">
        <v>34</v>
      </c>
      <c r="G119" t="s">
        <v>129</v>
      </c>
      <c r="H119" s="1">
        <v>45339.005555555559</v>
      </c>
      <c r="I119" s="1">
        <v>45339.19027777778</v>
      </c>
      <c r="J119">
        <v>192</v>
      </c>
      <c r="K119">
        <v>266</v>
      </c>
      <c r="L119">
        <v>1</v>
      </c>
      <c r="M119" t="s">
        <v>22</v>
      </c>
      <c r="N119">
        <v>10</v>
      </c>
      <c r="O119">
        <v>282.42</v>
      </c>
    </row>
    <row r="120" spans="1:15" x14ac:dyDescent="0.35">
      <c r="A120" t="s">
        <v>352</v>
      </c>
      <c r="B120" t="s">
        <v>51</v>
      </c>
      <c r="C120" t="s">
        <v>353</v>
      </c>
      <c r="D120" t="s">
        <v>44</v>
      </c>
      <c r="E120" t="s">
        <v>85</v>
      </c>
      <c r="F120" t="s">
        <v>20</v>
      </c>
      <c r="G120" t="s">
        <v>354</v>
      </c>
      <c r="H120" s="1">
        <v>45577.52847222222</v>
      </c>
      <c r="I120" s="1">
        <v>45577.665277777778</v>
      </c>
      <c r="J120">
        <v>114</v>
      </c>
      <c r="K120">
        <v>197</v>
      </c>
      <c r="L120">
        <v>1</v>
      </c>
      <c r="M120" t="s">
        <v>29</v>
      </c>
      <c r="N120">
        <v>7</v>
      </c>
      <c r="O120">
        <v>147.5</v>
      </c>
    </row>
    <row r="121" spans="1:15" x14ac:dyDescent="0.35">
      <c r="A121" t="s">
        <v>355</v>
      </c>
      <c r="B121" t="s">
        <v>51</v>
      </c>
      <c r="C121" t="s">
        <v>356</v>
      </c>
      <c r="D121" t="s">
        <v>44</v>
      </c>
      <c r="E121" t="s">
        <v>38</v>
      </c>
      <c r="F121" t="s">
        <v>20</v>
      </c>
      <c r="G121" t="s">
        <v>28</v>
      </c>
      <c r="H121" s="1">
        <v>45325.011111111111</v>
      </c>
      <c r="I121" s="1">
        <v>45325.18472222222</v>
      </c>
      <c r="J121">
        <v>143</v>
      </c>
      <c r="K121">
        <v>250</v>
      </c>
      <c r="L121">
        <v>1</v>
      </c>
      <c r="M121" t="s">
        <v>22</v>
      </c>
      <c r="N121">
        <v>6</v>
      </c>
      <c r="O121">
        <v>310.88</v>
      </c>
    </row>
    <row r="122" spans="1:15" x14ac:dyDescent="0.35">
      <c r="A122" t="s">
        <v>357</v>
      </c>
      <c r="B122" t="s">
        <v>31</v>
      </c>
      <c r="C122" t="s">
        <v>358</v>
      </c>
      <c r="D122" t="s">
        <v>48</v>
      </c>
      <c r="E122" t="s">
        <v>85</v>
      </c>
      <c r="F122" t="s">
        <v>34</v>
      </c>
      <c r="G122" t="s">
        <v>359</v>
      </c>
      <c r="H122" s="1">
        <v>45429.842361111114</v>
      </c>
      <c r="I122" s="1">
        <v>45430.001388888886</v>
      </c>
      <c r="J122">
        <v>117</v>
      </c>
      <c r="K122">
        <v>229</v>
      </c>
      <c r="L122">
        <v>1</v>
      </c>
      <c r="M122" t="s">
        <v>22</v>
      </c>
      <c r="N122">
        <v>7</v>
      </c>
      <c r="O122">
        <v>351.16</v>
      </c>
    </row>
    <row r="123" spans="1:15" x14ac:dyDescent="0.35">
      <c r="A123" t="s">
        <v>360</v>
      </c>
      <c r="B123" t="s">
        <v>51</v>
      </c>
      <c r="C123" t="s">
        <v>361</v>
      </c>
      <c r="D123" t="s">
        <v>48</v>
      </c>
      <c r="E123" t="s">
        <v>85</v>
      </c>
      <c r="F123" t="s">
        <v>39</v>
      </c>
      <c r="G123" t="s">
        <v>117</v>
      </c>
      <c r="H123" s="1">
        <v>45415.998611111114</v>
      </c>
      <c r="I123" s="1">
        <v>45416.201388888891</v>
      </c>
      <c r="J123">
        <v>227</v>
      </c>
      <c r="K123">
        <v>292</v>
      </c>
      <c r="L123">
        <v>1</v>
      </c>
      <c r="M123" t="s">
        <v>41</v>
      </c>
      <c r="N123">
        <v>3</v>
      </c>
      <c r="O123">
        <v>72.95</v>
      </c>
    </row>
    <row r="124" spans="1:15" x14ac:dyDescent="0.35">
      <c r="A124" t="s">
        <v>362</v>
      </c>
      <c r="B124" t="s">
        <v>51</v>
      </c>
      <c r="C124" t="s">
        <v>363</v>
      </c>
      <c r="D124" t="s">
        <v>18</v>
      </c>
      <c r="E124" t="s">
        <v>85</v>
      </c>
      <c r="F124" t="s">
        <v>39</v>
      </c>
      <c r="G124" t="s">
        <v>364</v>
      </c>
      <c r="H124" s="1">
        <v>45599.26666666667</v>
      </c>
      <c r="I124" s="1">
        <v>45599.43472222222</v>
      </c>
      <c r="J124">
        <v>132</v>
      </c>
      <c r="K124">
        <v>242</v>
      </c>
      <c r="L124">
        <v>1</v>
      </c>
      <c r="M124" t="s">
        <v>41</v>
      </c>
      <c r="N124">
        <v>8</v>
      </c>
      <c r="O124">
        <v>489.88</v>
      </c>
    </row>
    <row r="125" spans="1:15" x14ac:dyDescent="0.35">
      <c r="A125" t="s">
        <v>365</v>
      </c>
      <c r="B125" t="s">
        <v>51</v>
      </c>
      <c r="C125" t="s">
        <v>366</v>
      </c>
      <c r="D125" t="s">
        <v>44</v>
      </c>
      <c r="E125" t="s">
        <v>85</v>
      </c>
      <c r="F125" t="s">
        <v>39</v>
      </c>
      <c r="G125" t="s">
        <v>108</v>
      </c>
      <c r="H125" s="1">
        <v>45354.289583333331</v>
      </c>
      <c r="I125" s="1">
        <v>45354.387499999997</v>
      </c>
      <c r="J125">
        <v>55</v>
      </c>
      <c r="K125">
        <v>141</v>
      </c>
      <c r="L125">
        <v>1</v>
      </c>
      <c r="M125" t="s">
        <v>22</v>
      </c>
      <c r="N125">
        <v>1</v>
      </c>
      <c r="O125">
        <v>479.95</v>
      </c>
    </row>
    <row r="126" spans="1:15" x14ac:dyDescent="0.35">
      <c r="A126" t="s">
        <v>367</v>
      </c>
      <c r="B126" t="s">
        <v>63</v>
      </c>
      <c r="C126" t="s">
        <v>368</v>
      </c>
      <c r="D126" t="s">
        <v>44</v>
      </c>
      <c r="E126" t="s">
        <v>33</v>
      </c>
      <c r="F126" t="s">
        <v>27</v>
      </c>
      <c r="G126" t="s">
        <v>88</v>
      </c>
      <c r="H126" s="1">
        <v>45294.135416666664</v>
      </c>
      <c r="I126" s="1">
        <v>45294.333333333336</v>
      </c>
      <c r="J126">
        <v>237</v>
      </c>
      <c r="K126">
        <v>285</v>
      </c>
      <c r="L126">
        <v>1</v>
      </c>
      <c r="M126" t="s">
        <v>22</v>
      </c>
      <c r="N126">
        <v>7</v>
      </c>
      <c r="O126">
        <v>367.89</v>
      </c>
    </row>
    <row r="127" spans="1:15" x14ac:dyDescent="0.35">
      <c r="A127" t="s">
        <v>369</v>
      </c>
      <c r="B127" t="s">
        <v>63</v>
      </c>
      <c r="C127" t="s">
        <v>370</v>
      </c>
      <c r="D127" t="s">
        <v>18</v>
      </c>
      <c r="E127" t="s">
        <v>33</v>
      </c>
      <c r="F127" t="s">
        <v>57</v>
      </c>
      <c r="G127" t="s">
        <v>371</v>
      </c>
      <c r="H127" s="1">
        <v>45306.918055555558</v>
      </c>
      <c r="I127" s="1">
        <v>45307.09375</v>
      </c>
      <c r="J127">
        <v>174</v>
      </c>
      <c r="K127">
        <v>253</v>
      </c>
      <c r="L127">
        <v>1</v>
      </c>
      <c r="M127" t="s">
        <v>29</v>
      </c>
      <c r="N127">
        <v>6</v>
      </c>
      <c r="O127">
        <v>467.99</v>
      </c>
    </row>
    <row r="128" spans="1:15" x14ac:dyDescent="0.35">
      <c r="A128" t="s">
        <v>372</v>
      </c>
      <c r="B128" t="s">
        <v>24</v>
      </c>
      <c r="C128" t="s">
        <v>373</v>
      </c>
      <c r="D128" t="s">
        <v>26</v>
      </c>
      <c r="E128" t="s">
        <v>38</v>
      </c>
      <c r="F128" t="s">
        <v>34</v>
      </c>
      <c r="G128" t="s">
        <v>146</v>
      </c>
      <c r="H128" s="1">
        <v>45615.776388888888</v>
      </c>
      <c r="I128" s="1">
        <v>45615.9375</v>
      </c>
      <c r="J128">
        <v>233</v>
      </c>
      <c r="K128">
        <v>232</v>
      </c>
      <c r="L128">
        <v>0</v>
      </c>
      <c r="M128" t="s">
        <v>41</v>
      </c>
      <c r="N128">
        <v>3</v>
      </c>
      <c r="O128">
        <v>443.42</v>
      </c>
    </row>
    <row r="129" spans="1:15" x14ac:dyDescent="0.35">
      <c r="A129" t="s">
        <v>374</v>
      </c>
      <c r="B129" t="s">
        <v>24</v>
      </c>
      <c r="C129" t="s">
        <v>375</v>
      </c>
      <c r="D129" t="s">
        <v>56</v>
      </c>
      <c r="E129" t="s">
        <v>33</v>
      </c>
      <c r="F129" t="s">
        <v>57</v>
      </c>
      <c r="G129" t="s">
        <v>376</v>
      </c>
      <c r="H129" s="1">
        <v>45470.751388888886</v>
      </c>
      <c r="I129" s="1">
        <v>45470.862500000003</v>
      </c>
      <c r="J129">
        <v>65</v>
      </c>
      <c r="K129">
        <v>160</v>
      </c>
      <c r="L129">
        <v>1</v>
      </c>
      <c r="M129" t="s">
        <v>22</v>
      </c>
      <c r="N129">
        <v>5</v>
      </c>
      <c r="O129">
        <v>180.84</v>
      </c>
    </row>
    <row r="130" spans="1:15" x14ac:dyDescent="0.35">
      <c r="A130" t="s">
        <v>377</v>
      </c>
      <c r="B130" t="s">
        <v>16</v>
      </c>
      <c r="C130" t="s">
        <v>378</v>
      </c>
      <c r="D130" t="s">
        <v>26</v>
      </c>
      <c r="E130" t="s">
        <v>19</v>
      </c>
      <c r="F130" t="s">
        <v>34</v>
      </c>
      <c r="G130" t="s">
        <v>204</v>
      </c>
      <c r="H130" s="1">
        <v>45487.431250000001</v>
      </c>
      <c r="I130" s="1">
        <v>45487.506249999999</v>
      </c>
      <c r="J130">
        <v>93</v>
      </c>
      <c r="K130">
        <v>108</v>
      </c>
      <c r="L130">
        <v>1</v>
      </c>
      <c r="M130" t="s">
        <v>41</v>
      </c>
      <c r="N130">
        <v>5</v>
      </c>
      <c r="O130">
        <v>76.06</v>
      </c>
    </row>
    <row r="131" spans="1:15" x14ac:dyDescent="0.35">
      <c r="A131" t="s">
        <v>379</v>
      </c>
      <c r="B131" t="s">
        <v>31</v>
      </c>
      <c r="C131" t="s">
        <v>380</v>
      </c>
      <c r="D131" t="s">
        <v>18</v>
      </c>
      <c r="E131" t="s">
        <v>85</v>
      </c>
      <c r="F131" t="s">
        <v>57</v>
      </c>
      <c r="G131" t="s">
        <v>35</v>
      </c>
      <c r="H131" s="1">
        <v>45602.6</v>
      </c>
      <c r="I131" s="1">
        <v>45602.750694444447</v>
      </c>
      <c r="J131">
        <v>157</v>
      </c>
      <c r="K131">
        <v>217</v>
      </c>
      <c r="L131">
        <v>1</v>
      </c>
      <c r="M131" t="s">
        <v>29</v>
      </c>
      <c r="N131">
        <v>5</v>
      </c>
      <c r="O131">
        <v>484.96</v>
      </c>
    </row>
    <row r="132" spans="1:15" x14ac:dyDescent="0.35">
      <c r="A132" t="s">
        <v>381</v>
      </c>
      <c r="B132" t="s">
        <v>31</v>
      </c>
      <c r="C132" t="s">
        <v>382</v>
      </c>
      <c r="D132" t="s">
        <v>48</v>
      </c>
      <c r="E132" t="s">
        <v>38</v>
      </c>
      <c r="F132" t="s">
        <v>27</v>
      </c>
      <c r="G132" t="s">
        <v>383</v>
      </c>
      <c r="H132" s="1">
        <v>45421.430555555555</v>
      </c>
      <c r="I132" s="1">
        <v>45421.552777777775</v>
      </c>
      <c r="J132">
        <v>178</v>
      </c>
      <c r="K132">
        <v>176</v>
      </c>
      <c r="L132">
        <v>0</v>
      </c>
      <c r="M132" t="s">
        <v>29</v>
      </c>
      <c r="N132">
        <v>3</v>
      </c>
      <c r="O132">
        <v>269.91000000000003</v>
      </c>
    </row>
    <row r="133" spans="1:15" x14ac:dyDescent="0.35">
      <c r="A133" t="s">
        <v>384</v>
      </c>
      <c r="B133" t="s">
        <v>31</v>
      </c>
      <c r="C133" t="s">
        <v>385</v>
      </c>
      <c r="D133" t="s">
        <v>18</v>
      </c>
      <c r="E133" t="s">
        <v>19</v>
      </c>
      <c r="F133" t="s">
        <v>57</v>
      </c>
      <c r="G133" t="s">
        <v>371</v>
      </c>
      <c r="H133" s="1">
        <v>45550.134027777778</v>
      </c>
      <c r="I133" s="1">
        <v>45550.22152777778</v>
      </c>
      <c r="J133">
        <v>97</v>
      </c>
      <c r="K133">
        <v>126</v>
      </c>
      <c r="L133">
        <v>1</v>
      </c>
      <c r="M133" t="s">
        <v>41</v>
      </c>
      <c r="N133">
        <v>4</v>
      </c>
      <c r="O133">
        <v>319.45</v>
      </c>
    </row>
    <row r="134" spans="1:15" x14ac:dyDescent="0.35">
      <c r="A134" t="s">
        <v>386</v>
      </c>
      <c r="B134" t="s">
        <v>24</v>
      </c>
      <c r="C134" t="s">
        <v>387</v>
      </c>
      <c r="D134" t="s">
        <v>44</v>
      </c>
      <c r="E134" t="s">
        <v>38</v>
      </c>
      <c r="F134" t="s">
        <v>57</v>
      </c>
      <c r="G134" t="s">
        <v>388</v>
      </c>
      <c r="H134" s="1">
        <v>45492.467361111114</v>
      </c>
      <c r="I134" s="1">
        <v>45492.525000000001</v>
      </c>
      <c r="J134">
        <v>72</v>
      </c>
      <c r="K134">
        <v>83</v>
      </c>
      <c r="L134">
        <v>1</v>
      </c>
      <c r="M134" t="s">
        <v>29</v>
      </c>
      <c r="N134">
        <v>6</v>
      </c>
      <c r="O134">
        <v>410.05</v>
      </c>
    </row>
    <row r="135" spans="1:15" x14ac:dyDescent="0.35">
      <c r="A135" t="s">
        <v>389</v>
      </c>
      <c r="B135" t="s">
        <v>31</v>
      </c>
      <c r="C135" t="s">
        <v>390</v>
      </c>
      <c r="D135" t="s">
        <v>56</v>
      </c>
      <c r="E135" t="s">
        <v>33</v>
      </c>
      <c r="F135" t="s">
        <v>27</v>
      </c>
      <c r="G135" t="s">
        <v>388</v>
      </c>
      <c r="H135" s="1">
        <v>45394.469444444447</v>
      </c>
      <c r="I135" s="1">
        <v>45394.609027777777</v>
      </c>
      <c r="J135">
        <v>116</v>
      </c>
      <c r="K135">
        <v>201</v>
      </c>
      <c r="L135">
        <v>1</v>
      </c>
      <c r="M135" t="s">
        <v>22</v>
      </c>
      <c r="N135">
        <v>8</v>
      </c>
      <c r="O135">
        <v>400.61</v>
      </c>
    </row>
    <row r="136" spans="1:15" x14ac:dyDescent="0.35">
      <c r="A136" t="s">
        <v>391</v>
      </c>
      <c r="B136" t="s">
        <v>63</v>
      </c>
      <c r="C136" t="s">
        <v>392</v>
      </c>
      <c r="D136" t="s">
        <v>48</v>
      </c>
      <c r="E136" t="s">
        <v>85</v>
      </c>
      <c r="F136" t="s">
        <v>27</v>
      </c>
      <c r="G136" t="s">
        <v>354</v>
      </c>
      <c r="H136" s="1">
        <v>45608.371527777781</v>
      </c>
      <c r="I136" s="1">
        <v>45608.497916666667</v>
      </c>
      <c r="J136">
        <v>73</v>
      </c>
      <c r="K136">
        <v>182</v>
      </c>
      <c r="L136">
        <v>1</v>
      </c>
      <c r="M136" t="s">
        <v>41</v>
      </c>
      <c r="N136">
        <v>10</v>
      </c>
      <c r="O136">
        <v>358.97</v>
      </c>
    </row>
    <row r="137" spans="1:15" x14ac:dyDescent="0.35">
      <c r="A137" t="s">
        <v>393</v>
      </c>
      <c r="B137" t="s">
        <v>51</v>
      </c>
      <c r="C137" t="s">
        <v>394</v>
      </c>
      <c r="D137" t="s">
        <v>56</v>
      </c>
      <c r="E137" t="s">
        <v>38</v>
      </c>
      <c r="F137" t="s">
        <v>57</v>
      </c>
      <c r="G137" t="s">
        <v>49</v>
      </c>
      <c r="H137" s="1">
        <v>45353.922222222223</v>
      </c>
      <c r="I137" s="1">
        <v>45354.040277777778</v>
      </c>
      <c r="J137">
        <v>127</v>
      </c>
      <c r="K137">
        <v>170</v>
      </c>
      <c r="L137">
        <v>1</v>
      </c>
      <c r="M137" t="s">
        <v>22</v>
      </c>
      <c r="N137">
        <v>3</v>
      </c>
      <c r="O137">
        <v>58.7</v>
      </c>
    </row>
    <row r="138" spans="1:15" x14ac:dyDescent="0.35">
      <c r="A138" t="s">
        <v>395</v>
      </c>
      <c r="B138" t="s">
        <v>51</v>
      </c>
      <c r="C138" t="s">
        <v>396</v>
      </c>
      <c r="D138" t="s">
        <v>48</v>
      </c>
      <c r="E138" t="s">
        <v>38</v>
      </c>
      <c r="F138" t="s">
        <v>20</v>
      </c>
      <c r="G138" t="s">
        <v>397</v>
      </c>
      <c r="H138" s="1">
        <v>45385.354861111111</v>
      </c>
      <c r="I138" s="1">
        <v>45385.470138888886</v>
      </c>
      <c r="J138">
        <v>148</v>
      </c>
      <c r="K138">
        <v>166</v>
      </c>
      <c r="L138">
        <v>1</v>
      </c>
      <c r="M138" t="s">
        <v>41</v>
      </c>
      <c r="N138">
        <v>10</v>
      </c>
      <c r="O138">
        <v>219.67</v>
      </c>
    </row>
    <row r="139" spans="1:15" x14ac:dyDescent="0.35">
      <c r="A139" t="s">
        <v>398</v>
      </c>
      <c r="B139" t="s">
        <v>24</v>
      </c>
      <c r="C139" t="s">
        <v>399</v>
      </c>
      <c r="D139" t="s">
        <v>56</v>
      </c>
      <c r="E139" t="s">
        <v>19</v>
      </c>
      <c r="F139" t="s">
        <v>57</v>
      </c>
      <c r="G139" t="s">
        <v>173</v>
      </c>
      <c r="H139" s="1">
        <v>45518.162499999999</v>
      </c>
      <c r="I139" s="1">
        <v>45518.293055555558</v>
      </c>
      <c r="J139">
        <v>104</v>
      </c>
      <c r="K139">
        <v>188</v>
      </c>
      <c r="L139">
        <v>1</v>
      </c>
      <c r="M139" t="s">
        <v>29</v>
      </c>
      <c r="N139">
        <v>4</v>
      </c>
      <c r="O139">
        <v>100.05</v>
      </c>
    </row>
    <row r="140" spans="1:15" x14ac:dyDescent="0.35">
      <c r="A140" t="s">
        <v>400</v>
      </c>
      <c r="B140" t="s">
        <v>31</v>
      </c>
      <c r="C140" t="s">
        <v>401</v>
      </c>
      <c r="D140" t="s">
        <v>44</v>
      </c>
      <c r="E140" t="s">
        <v>33</v>
      </c>
      <c r="F140" t="s">
        <v>57</v>
      </c>
      <c r="G140" t="s">
        <v>402</v>
      </c>
      <c r="H140" s="1">
        <v>45597.943055555559</v>
      </c>
      <c r="I140" s="1">
        <v>45598.081944444442</v>
      </c>
      <c r="J140">
        <v>141</v>
      </c>
      <c r="K140">
        <v>200</v>
      </c>
      <c r="L140">
        <v>1</v>
      </c>
      <c r="M140" t="s">
        <v>22</v>
      </c>
      <c r="N140">
        <v>7</v>
      </c>
      <c r="O140">
        <v>195.12</v>
      </c>
    </row>
    <row r="141" spans="1:15" x14ac:dyDescent="0.35">
      <c r="A141" t="s">
        <v>403</v>
      </c>
      <c r="B141" t="s">
        <v>16</v>
      </c>
      <c r="C141" t="s">
        <v>404</v>
      </c>
      <c r="D141" t="s">
        <v>44</v>
      </c>
      <c r="E141" t="s">
        <v>85</v>
      </c>
      <c r="F141" t="s">
        <v>20</v>
      </c>
      <c r="G141" t="s">
        <v>61</v>
      </c>
      <c r="H141" s="1">
        <v>45496.365972222222</v>
      </c>
      <c r="I141" s="1">
        <v>45496.560416666667</v>
      </c>
      <c r="J141">
        <v>226</v>
      </c>
      <c r="K141">
        <v>280</v>
      </c>
      <c r="L141">
        <v>1</v>
      </c>
      <c r="M141" t="s">
        <v>41</v>
      </c>
      <c r="N141">
        <v>6</v>
      </c>
      <c r="O141">
        <v>347.58</v>
      </c>
    </row>
    <row r="142" spans="1:15" x14ac:dyDescent="0.35">
      <c r="A142" t="s">
        <v>405</v>
      </c>
      <c r="B142" t="s">
        <v>31</v>
      </c>
      <c r="C142" t="s">
        <v>406</v>
      </c>
      <c r="D142" t="s">
        <v>44</v>
      </c>
      <c r="E142" t="s">
        <v>85</v>
      </c>
      <c r="F142" t="s">
        <v>34</v>
      </c>
      <c r="G142" t="s">
        <v>407</v>
      </c>
      <c r="H142" s="1">
        <v>45329.134722222225</v>
      </c>
      <c r="I142" s="1">
        <v>45329.294444444444</v>
      </c>
      <c r="J142">
        <v>150</v>
      </c>
      <c r="K142">
        <v>230</v>
      </c>
      <c r="L142">
        <v>1</v>
      </c>
      <c r="M142" t="s">
        <v>41</v>
      </c>
      <c r="N142">
        <v>8</v>
      </c>
      <c r="O142">
        <v>413.26</v>
      </c>
    </row>
    <row r="143" spans="1:15" x14ac:dyDescent="0.35">
      <c r="A143" t="s">
        <v>408</v>
      </c>
      <c r="B143" t="s">
        <v>16</v>
      </c>
      <c r="C143" t="s">
        <v>409</v>
      </c>
      <c r="D143" t="s">
        <v>44</v>
      </c>
      <c r="E143" t="s">
        <v>19</v>
      </c>
      <c r="F143" t="s">
        <v>20</v>
      </c>
      <c r="G143" t="s">
        <v>410</v>
      </c>
      <c r="H143" s="1">
        <v>45538.206250000003</v>
      </c>
      <c r="I143" s="1">
        <v>45538.258333333331</v>
      </c>
      <c r="J143">
        <v>10</v>
      </c>
      <c r="K143">
        <v>75</v>
      </c>
      <c r="L143">
        <v>1</v>
      </c>
      <c r="M143" t="s">
        <v>22</v>
      </c>
      <c r="N143">
        <v>6</v>
      </c>
      <c r="O143">
        <v>366.55</v>
      </c>
    </row>
    <row r="144" spans="1:15" x14ac:dyDescent="0.35">
      <c r="A144" t="s">
        <v>411</v>
      </c>
      <c r="B144" t="s">
        <v>63</v>
      </c>
      <c r="C144" t="s">
        <v>412</v>
      </c>
      <c r="D144" t="s">
        <v>18</v>
      </c>
      <c r="E144" t="s">
        <v>85</v>
      </c>
      <c r="F144" t="s">
        <v>34</v>
      </c>
      <c r="G144" t="s">
        <v>407</v>
      </c>
      <c r="H144" s="1">
        <v>45573.18472222222</v>
      </c>
      <c r="I144" s="1">
        <v>45573.354166666664</v>
      </c>
      <c r="J144">
        <v>172</v>
      </c>
      <c r="K144">
        <v>244</v>
      </c>
      <c r="L144">
        <v>1</v>
      </c>
      <c r="M144" t="s">
        <v>29</v>
      </c>
      <c r="N144">
        <v>3</v>
      </c>
      <c r="O144">
        <v>85.77</v>
      </c>
    </row>
    <row r="145" spans="1:15" x14ac:dyDescent="0.35">
      <c r="A145" t="s">
        <v>413</v>
      </c>
      <c r="B145" t="s">
        <v>63</v>
      </c>
      <c r="C145" t="s">
        <v>414</v>
      </c>
      <c r="D145" t="s">
        <v>18</v>
      </c>
      <c r="E145" t="s">
        <v>19</v>
      </c>
      <c r="F145" t="s">
        <v>34</v>
      </c>
      <c r="G145" t="s">
        <v>415</v>
      </c>
      <c r="H145" s="1">
        <v>45577.776388888888</v>
      </c>
      <c r="I145" s="1">
        <v>45577.949305555558</v>
      </c>
      <c r="J145">
        <v>155</v>
      </c>
      <c r="K145">
        <v>249</v>
      </c>
      <c r="L145">
        <v>1</v>
      </c>
      <c r="M145" t="s">
        <v>29</v>
      </c>
      <c r="N145">
        <v>7</v>
      </c>
      <c r="O145">
        <v>430.32</v>
      </c>
    </row>
    <row r="146" spans="1:15" x14ac:dyDescent="0.35">
      <c r="A146" t="s">
        <v>416</v>
      </c>
      <c r="B146" t="s">
        <v>63</v>
      </c>
      <c r="C146" t="s">
        <v>417</v>
      </c>
      <c r="D146" t="s">
        <v>26</v>
      </c>
      <c r="E146" t="s">
        <v>33</v>
      </c>
      <c r="F146" t="s">
        <v>57</v>
      </c>
      <c r="G146" t="s">
        <v>418</v>
      </c>
      <c r="H146" s="1">
        <v>45455.570138888892</v>
      </c>
      <c r="I146" s="1">
        <v>45455.625</v>
      </c>
      <c r="J146">
        <v>84</v>
      </c>
      <c r="K146">
        <v>79</v>
      </c>
      <c r="L146">
        <v>0</v>
      </c>
      <c r="M146" t="s">
        <v>41</v>
      </c>
      <c r="N146">
        <v>2</v>
      </c>
      <c r="O146">
        <v>118.78</v>
      </c>
    </row>
    <row r="147" spans="1:15" x14ac:dyDescent="0.35">
      <c r="A147" t="s">
        <v>419</v>
      </c>
      <c r="B147" t="s">
        <v>31</v>
      </c>
      <c r="C147" t="s">
        <v>420</v>
      </c>
      <c r="D147" t="s">
        <v>18</v>
      </c>
      <c r="E147" t="s">
        <v>19</v>
      </c>
      <c r="F147" t="s">
        <v>27</v>
      </c>
      <c r="G147" t="s">
        <v>262</v>
      </c>
      <c r="H147" s="1">
        <v>45419.852083333331</v>
      </c>
      <c r="I147" s="1">
        <v>45420.09652777778</v>
      </c>
      <c r="J147">
        <v>236</v>
      </c>
      <c r="K147">
        <v>352</v>
      </c>
      <c r="L147">
        <v>1</v>
      </c>
      <c r="M147" t="s">
        <v>22</v>
      </c>
      <c r="N147">
        <v>6</v>
      </c>
      <c r="O147">
        <v>115.31</v>
      </c>
    </row>
    <row r="148" spans="1:15" x14ac:dyDescent="0.35">
      <c r="A148" t="s">
        <v>421</v>
      </c>
      <c r="B148" t="s">
        <v>31</v>
      </c>
      <c r="C148" t="s">
        <v>422</v>
      </c>
      <c r="D148" t="s">
        <v>56</v>
      </c>
      <c r="E148" t="s">
        <v>85</v>
      </c>
      <c r="F148" t="s">
        <v>39</v>
      </c>
      <c r="G148" t="s">
        <v>76</v>
      </c>
      <c r="H148" s="1">
        <v>45309.585416666669</v>
      </c>
      <c r="I148" s="1">
        <v>45309.743055555555</v>
      </c>
      <c r="J148">
        <v>179</v>
      </c>
      <c r="K148">
        <v>227</v>
      </c>
      <c r="L148">
        <v>1</v>
      </c>
      <c r="M148" t="s">
        <v>22</v>
      </c>
      <c r="N148">
        <v>2</v>
      </c>
      <c r="O148">
        <v>295.18</v>
      </c>
    </row>
    <row r="149" spans="1:15" x14ac:dyDescent="0.35">
      <c r="A149" t="s">
        <v>423</v>
      </c>
      <c r="B149" t="s">
        <v>16</v>
      </c>
      <c r="C149" t="s">
        <v>424</v>
      </c>
      <c r="D149" t="s">
        <v>56</v>
      </c>
      <c r="E149" t="s">
        <v>38</v>
      </c>
      <c r="F149" t="s">
        <v>34</v>
      </c>
      <c r="G149" t="s">
        <v>188</v>
      </c>
      <c r="H149" s="1">
        <v>45575.65902777778</v>
      </c>
      <c r="I149" s="1">
        <v>45575.850694444445</v>
      </c>
      <c r="J149">
        <v>188</v>
      </c>
      <c r="K149">
        <v>276</v>
      </c>
      <c r="L149">
        <v>1</v>
      </c>
      <c r="M149" t="s">
        <v>41</v>
      </c>
      <c r="N149">
        <v>4</v>
      </c>
      <c r="O149">
        <v>221.35</v>
      </c>
    </row>
    <row r="150" spans="1:15" x14ac:dyDescent="0.35">
      <c r="A150" t="s">
        <v>425</v>
      </c>
      <c r="B150" t="s">
        <v>16</v>
      </c>
      <c r="C150" t="s">
        <v>426</v>
      </c>
      <c r="D150" t="s">
        <v>18</v>
      </c>
      <c r="E150" t="s">
        <v>19</v>
      </c>
      <c r="F150" t="s">
        <v>34</v>
      </c>
      <c r="G150" t="s">
        <v>427</v>
      </c>
      <c r="H150" s="1">
        <v>45467.295138888891</v>
      </c>
      <c r="I150" s="1">
        <v>45467.46597222222</v>
      </c>
      <c r="J150">
        <v>174</v>
      </c>
      <c r="K150">
        <v>246</v>
      </c>
      <c r="L150">
        <v>1</v>
      </c>
      <c r="M150" t="s">
        <v>29</v>
      </c>
      <c r="N150">
        <v>7</v>
      </c>
      <c r="O150">
        <v>80.099999999999994</v>
      </c>
    </row>
    <row r="151" spans="1:15" x14ac:dyDescent="0.35">
      <c r="A151" t="s">
        <v>428</v>
      </c>
      <c r="B151" t="s">
        <v>31</v>
      </c>
      <c r="C151" t="s">
        <v>429</v>
      </c>
      <c r="D151" t="s">
        <v>18</v>
      </c>
      <c r="E151" t="s">
        <v>19</v>
      </c>
      <c r="F151" t="s">
        <v>57</v>
      </c>
      <c r="G151" t="s">
        <v>430</v>
      </c>
      <c r="H151" s="1">
        <v>45390.915277777778</v>
      </c>
      <c r="I151" s="1">
        <v>45390.991666666669</v>
      </c>
      <c r="J151">
        <v>53</v>
      </c>
      <c r="K151">
        <v>110</v>
      </c>
      <c r="L151">
        <v>1</v>
      </c>
      <c r="M151" t="s">
        <v>22</v>
      </c>
      <c r="N151">
        <v>3</v>
      </c>
      <c r="O151">
        <v>471.22</v>
      </c>
    </row>
    <row r="152" spans="1:15" x14ac:dyDescent="0.35">
      <c r="A152" t="s">
        <v>431</v>
      </c>
      <c r="B152" t="s">
        <v>63</v>
      </c>
      <c r="C152" t="s">
        <v>432</v>
      </c>
      <c r="D152" t="s">
        <v>44</v>
      </c>
      <c r="E152" t="s">
        <v>85</v>
      </c>
      <c r="F152" t="s">
        <v>34</v>
      </c>
      <c r="G152" t="s">
        <v>225</v>
      </c>
      <c r="H152" s="1">
        <v>45639.788888888892</v>
      </c>
      <c r="I152" s="1">
        <v>45639.979861111111</v>
      </c>
      <c r="J152">
        <v>157</v>
      </c>
      <c r="K152">
        <v>275</v>
      </c>
      <c r="L152">
        <v>1</v>
      </c>
      <c r="M152" t="s">
        <v>41</v>
      </c>
      <c r="N152">
        <v>1</v>
      </c>
      <c r="O152">
        <v>298.23</v>
      </c>
    </row>
    <row r="153" spans="1:15" x14ac:dyDescent="0.35">
      <c r="A153" t="s">
        <v>433</v>
      </c>
      <c r="B153" t="s">
        <v>31</v>
      </c>
      <c r="C153" t="s">
        <v>434</v>
      </c>
      <c r="D153" t="s">
        <v>18</v>
      </c>
      <c r="E153" t="s">
        <v>19</v>
      </c>
      <c r="F153" t="s">
        <v>34</v>
      </c>
      <c r="G153" t="s">
        <v>343</v>
      </c>
      <c r="H153" s="1">
        <v>45292.156944444447</v>
      </c>
      <c r="I153" s="1">
        <v>45292.279861111114</v>
      </c>
      <c r="J153">
        <v>163</v>
      </c>
      <c r="K153">
        <v>177</v>
      </c>
      <c r="L153">
        <v>1</v>
      </c>
      <c r="M153" t="s">
        <v>41</v>
      </c>
      <c r="N153">
        <v>6</v>
      </c>
      <c r="O153">
        <v>293.52</v>
      </c>
    </row>
    <row r="154" spans="1:15" x14ac:dyDescent="0.35">
      <c r="A154" t="s">
        <v>435</v>
      </c>
      <c r="B154" t="s">
        <v>24</v>
      </c>
      <c r="C154" t="s">
        <v>436</v>
      </c>
      <c r="D154" t="s">
        <v>48</v>
      </c>
      <c r="E154" t="s">
        <v>85</v>
      </c>
      <c r="F154" t="s">
        <v>34</v>
      </c>
      <c r="G154" t="s">
        <v>40</v>
      </c>
      <c r="H154" s="1">
        <v>45551.65902777778</v>
      </c>
      <c r="I154" s="1">
        <v>45551.753472222219</v>
      </c>
      <c r="J154">
        <v>82</v>
      </c>
      <c r="K154">
        <v>136</v>
      </c>
      <c r="L154">
        <v>1</v>
      </c>
      <c r="M154" t="s">
        <v>29</v>
      </c>
      <c r="N154">
        <v>3</v>
      </c>
      <c r="O154">
        <v>205.91</v>
      </c>
    </row>
    <row r="155" spans="1:15" x14ac:dyDescent="0.35">
      <c r="A155" t="s">
        <v>437</v>
      </c>
      <c r="B155" t="s">
        <v>16</v>
      </c>
      <c r="C155" t="s">
        <v>438</v>
      </c>
      <c r="D155" t="s">
        <v>56</v>
      </c>
      <c r="E155" t="s">
        <v>33</v>
      </c>
      <c r="F155" t="s">
        <v>39</v>
      </c>
      <c r="G155" t="s">
        <v>167</v>
      </c>
      <c r="H155" s="1">
        <v>45523.322222222225</v>
      </c>
      <c r="I155" s="1">
        <v>45523.513194444444</v>
      </c>
      <c r="J155">
        <v>156</v>
      </c>
      <c r="K155">
        <v>275</v>
      </c>
      <c r="L155">
        <v>1</v>
      </c>
      <c r="M155" t="s">
        <v>29</v>
      </c>
      <c r="N155">
        <v>8</v>
      </c>
      <c r="O155">
        <v>326.32</v>
      </c>
    </row>
    <row r="156" spans="1:15" x14ac:dyDescent="0.35">
      <c r="A156" t="s">
        <v>439</v>
      </c>
      <c r="B156" t="s">
        <v>16</v>
      </c>
      <c r="C156" t="s">
        <v>440</v>
      </c>
      <c r="D156" t="s">
        <v>48</v>
      </c>
      <c r="E156" t="s">
        <v>19</v>
      </c>
      <c r="F156" t="s">
        <v>27</v>
      </c>
      <c r="G156" t="s">
        <v>114</v>
      </c>
      <c r="H156" s="1">
        <v>45469.907638888886</v>
      </c>
      <c r="I156" s="1">
        <v>45470.095833333333</v>
      </c>
      <c r="J156">
        <v>235</v>
      </c>
      <c r="K156">
        <v>271</v>
      </c>
      <c r="L156">
        <v>1</v>
      </c>
      <c r="M156" t="s">
        <v>22</v>
      </c>
      <c r="N156">
        <v>8</v>
      </c>
      <c r="O156">
        <v>328.17</v>
      </c>
    </row>
    <row r="157" spans="1:15" x14ac:dyDescent="0.35">
      <c r="A157" t="s">
        <v>441</v>
      </c>
      <c r="B157" t="s">
        <v>24</v>
      </c>
      <c r="C157" t="s">
        <v>442</v>
      </c>
      <c r="D157" t="s">
        <v>18</v>
      </c>
      <c r="E157" t="s">
        <v>19</v>
      </c>
      <c r="F157" t="s">
        <v>57</v>
      </c>
      <c r="G157" t="s">
        <v>140</v>
      </c>
      <c r="H157" s="1">
        <v>45480.615972222222</v>
      </c>
      <c r="I157" s="1">
        <v>45480.840277777781</v>
      </c>
      <c r="J157">
        <v>206</v>
      </c>
      <c r="K157">
        <v>323</v>
      </c>
      <c r="L157">
        <v>1</v>
      </c>
      <c r="M157" t="s">
        <v>22</v>
      </c>
      <c r="N157">
        <v>2</v>
      </c>
      <c r="O157">
        <v>282.45999999999998</v>
      </c>
    </row>
    <row r="158" spans="1:15" x14ac:dyDescent="0.35">
      <c r="A158" t="s">
        <v>443</v>
      </c>
      <c r="B158" t="s">
        <v>51</v>
      </c>
      <c r="C158" t="s">
        <v>444</v>
      </c>
      <c r="D158" t="s">
        <v>44</v>
      </c>
      <c r="E158" t="s">
        <v>19</v>
      </c>
      <c r="F158" t="s">
        <v>27</v>
      </c>
      <c r="G158" t="s">
        <v>445</v>
      </c>
      <c r="H158" s="1">
        <v>45324.727777777778</v>
      </c>
      <c r="I158" s="1">
        <v>45324.852083333331</v>
      </c>
      <c r="J158">
        <v>143</v>
      </c>
      <c r="K158">
        <v>179</v>
      </c>
      <c r="L158">
        <v>1</v>
      </c>
      <c r="M158" t="s">
        <v>22</v>
      </c>
      <c r="N158">
        <v>3</v>
      </c>
      <c r="O158">
        <v>79.540000000000006</v>
      </c>
    </row>
    <row r="159" spans="1:15" x14ac:dyDescent="0.35">
      <c r="A159" t="s">
        <v>446</v>
      </c>
      <c r="B159" t="s">
        <v>24</v>
      </c>
      <c r="C159" t="s">
        <v>447</v>
      </c>
      <c r="D159" t="s">
        <v>18</v>
      </c>
      <c r="E159" t="s">
        <v>19</v>
      </c>
      <c r="F159" t="s">
        <v>27</v>
      </c>
      <c r="G159" t="s">
        <v>152</v>
      </c>
      <c r="H159" s="1">
        <v>45372.769444444442</v>
      </c>
      <c r="I159" s="1">
        <v>45372.854861111111</v>
      </c>
      <c r="J159">
        <v>27</v>
      </c>
      <c r="K159">
        <v>123</v>
      </c>
      <c r="L159">
        <v>1</v>
      </c>
      <c r="M159" t="s">
        <v>29</v>
      </c>
      <c r="N159">
        <v>2</v>
      </c>
      <c r="O159">
        <v>364.1</v>
      </c>
    </row>
    <row r="160" spans="1:15" x14ac:dyDescent="0.35">
      <c r="A160" t="s">
        <v>448</v>
      </c>
      <c r="B160" t="s">
        <v>51</v>
      </c>
      <c r="C160" t="s">
        <v>449</v>
      </c>
      <c r="D160" t="s">
        <v>26</v>
      </c>
      <c r="E160" t="s">
        <v>19</v>
      </c>
      <c r="F160" t="s">
        <v>34</v>
      </c>
      <c r="G160" t="s">
        <v>167</v>
      </c>
      <c r="H160" s="1">
        <v>45366.322222222225</v>
      </c>
      <c r="I160" s="1">
        <v>45366.489583333336</v>
      </c>
      <c r="J160">
        <v>123</v>
      </c>
      <c r="K160">
        <v>241</v>
      </c>
      <c r="L160">
        <v>1</v>
      </c>
      <c r="M160" t="s">
        <v>29</v>
      </c>
      <c r="N160">
        <v>2</v>
      </c>
      <c r="O160">
        <v>119.18</v>
      </c>
    </row>
    <row r="161" spans="1:15" x14ac:dyDescent="0.35">
      <c r="A161" t="s">
        <v>450</v>
      </c>
      <c r="B161" t="s">
        <v>16</v>
      </c>
      <c r="C161" t="s">
        <v>451</v>
      </c>
      <c r="D161" t="s">
        <v>56</v>
      </c>
      <c r="E161" t="s">
        <v>85</v>
      </c>
      <c r="F161" t="s">
        <v>39</v>
      </c>
      <c r="G161" t="s">
        <v>445</v>
      </c>
      <c r="H161" s="1">
        <v>45339.817361111112</v>
      </c>
      <c r="I161" s="1">
        <v>45339.998611111114</v>
      </c>
      <c r="J161">
        <v>213</v>
      </c>
      <c r="K161">
        <v>261</v>
      </c>
      <c r="L161">
        <v>1</v>
      </c>
      <c r="M161" t="s">
        <v>29</v>
      </c>
      <c r="N161">
        <v>2</v>
      </c>
      <c r="O161">
        <v>57.55</v>
      </c>
    </row>
    <row r="162" spans="1:15" x14ac:dyDescent="0.35">
      <c r="A162" t="s">
        <v>452</v>
      </c>
      <c r="B162" t="s">
        <v>16</v>
      </c>
      <c r="C162" t="s">
        <v>453</v>
      </c>
      <c r="D162" t="s">
        <v>56</v>
      </c>
      <c r="E162" t="s">
        <v>19</v>
      </c>
      <c r="F162" t="s">
        <v>39</v>
      </c>
      <c r="G162" t="s">
        <v>210</v>
      </c>
      <c r="H162" s="1">
        <v>45323.223611111112</v>
      </c>
      <c r="I162" s="1">
        <v>45323.317361111112</v>
      </c>
      <c r="J162">
        <v>64</v>
      </c>
      <c r="K162">
        <v>135</v>
      </c>
      <c r="L162">
        <v>1</v>
      </c>
      <c r="M162" t="s">
        <v>41</v>
      </c>
      <c r="N162">
        <v>7</v>
      </c>
      <c r="O162">
        <v>444.4</v>
      </c>
    </row>
    <row r="163" spans="1:15" x14ac:dyDescent="0.35">
      <c r="A163" t="s">
        <v>454</v>
      </c>
      <c r="B163" t="s">
        <v>51</v>
      </c>
      <c r="C163" t="s">
        <v>455</v>
      </c>
      <c r="D163" t="s">
        <v>56</v>
      </c>
      <c r="E163" t="s">
        <v>33</v>
      </c>
      <c r="F163" t="s">
        <v>20</v>
      </c>
      <c r="G163" t="s">
        <v>456</v>
      </c>
      <c r="H163" s="1">
        <v>45448.806944444441</v>
      </c>
      <c r="I163" s="1">
        <v>45449</v>
      </c>
      <c r="J163">
        <v>162</v>
      </c>
      <c r="K163">
        <v>278</v>
      </c>
      <c r="L163">
        <v>1</v>
      </c>
      <c r="M163" t="s">
        <v>29</v>
      </c>
      <c r="N163">
        <v>7</v>
      </c>
      <c r="O163">
        <v>273.51</v>
      </c>
    </row>
    <row r="164" spans="1:15" x14ac:dyDescent="0.35">
      <c r="A164" t="s">
        <v>457</v>
      </c>
      <c r="B164" t="s">
        <v>63</v>
      </c>
      <c r="C164" t="s">
        <v>458</v>
      </c>
      <c r="D164" t="s">
        <v>56</v>
      </c>
      <c r="E164" t="s">
        <v>19</v>
      </c>
      <c r="F164" t="s">
        <v>39</v>
      </c>
      <c r="G164" t="s">
        <v>459</v>
      </c>
      <c r="H164" s="1">
        <v>45347.974999999999</v>
      </c>
      <c r="I164" s="1">
        <v>45348.017361111109</v>
      </c>
      <c r="J164">
        <v>48</v>
      </c>
      <c r="K164">
        <v>61</v>
      </c>
      <c r="L164">
        <v>1</v>
      </c>
      <c r="M164" t="s">
        <v>29</v>
      </c>
      <c r="N164">
        <v>1</v>
      </c>
      <c r="O164">
        <v>55.58</v>
      </c>
    </row>
    <row r="165" spans="1:15" x14ac:dyDescent="0.35">
      <c r="A165" t="s">
        <v>460</v>
      </c>
      <c r="B165" t="s">
        <v>63</v>
      </c>
      <c r="C165" t="s">
        <v>461</v>
      </c>
      <c r="D165" t="s">
        <v>48</v>
      </c>
      <c r="E165" t="s">
        <v>19</v>
      </c>
      <c r="F165" t="s">
        <v>20</v>
      </c>
      <c r="G165" t="s">
        <v>462</v>
      </c>
      <c r="H165" s="1">
        <v>45576.054861111108</v>
      </c>
      <c r="I165" s="1">
        <v>45576.095833333333</v>
      </c>
      <c r="J165">
        <v>17</v>
      </c>
      <c r="K165">
        <v>59</v>
      </c>
      <c r="L165">
        <v>1</v>
      </c>
      <c r="M165" t="s">
        <v>41</v>
      </c>
      <c r="N165">
        <v>7</v>
      </c>
      <c r="O165">
        <v>371.13</v>
      </c>
    </row>
    <row r="166" spans="1:15" x14ac:dyDescent="0.35">
      <c r="A166" t="s">
        <v>463</v>
      </c>
      <c r="B166" t="s">
        <v>63</v>
      </c>
      <c r="C166" t="s">
        <v>464</v>
      </c>
      <c r="D166" t="s">
        <v>44</v>
      </c>
      <c r="E166" t="s">
        <v>85</v>
      </c>
      <c r="F166" t="s">
        <v>20</v>
      </c>
      <c r="G166" t="s">
        <v>465</v>
      </c>
      <c r="H166" s="1">
        <v>45458.813888888886</v>
      </c>
      <c r="I166" s="1">
        <v>45458.921527777777</v>
      </c>
      <c r="J166">
        <v>108</v>
      </c>
      <c r="K166">
        <v>155</v>
      </c>
      <c r="L166">
        <v>1</v>
      </c>
      <c r="M166" t="s">
        <v>41</v>
      </c>
      <c r="N166">
        <v>1</v>
      </c>
      <c r="O166">
        <v>288.11</v>
      </c>
    </row>
    <row r="167" spans="1:15" x14ac:dyDescent="0.35">
      <c r="A167" t="s">
        <v>466</v>
      </c>
      <c r="B167" t="s">
        <v>16</v>
      </c>
      <c r="C167" t="s">
        <v>467</v>
      </c>
      <c r="D167" t="s">
        <v>44</v>
      </c>
      <c r="E167" t="s">
        <v>85</v>
      </c>
      <c r="F167" t="s">
        <v>34</v>
      </c>
      <c r="G167" t="s">
        <v>204</v>
      </c>
      <c r="H167" s="1">
        <v>45362.080555555556</v>
      </c>
      <c r="I167" s="1">
        <v>45362.267361111109</v>
      </c>
      <c r="J167">
        <v>201</v>
      </c>
      <c r="K167">
        <v>269</v>
      </c>
      <c r="L167">
        <v>1</v>
      </c>
      <c r="M167" t="s">
        <v>29</v>
      </c>
      <c r="N167">
        <v>3</v>
      </c>
      <c r="O167">
        <v>329.26</v>
      </c>
    </row>
    <row r="168" spans="1:15" x14ac:dyDescent="0.35">
      <c r="A168" t="s">
        <v>468</v>
      </c>
      <c r="B168" t="s">
        <v>24</v>
      </c>
      <c r="C168" t="s">
        <v>469</v>
      </c>
      <c r="D168" t="s">
        <v>56</v>
      </c>
      <c r="E168" t="s">
        <v>33</v>
      </c>
      <c r="F168" t="s">
        <v>20</v>
      </c>
      <c r="G168" t="s">
        <v>470</v>
      </c>
      <c r="H168" s="1">
        <v>45307.78125</v>
      </c>
      <c r="I168" s="1">
        <v>45307.896527777775</v>
      </c>
      <c r="J168">
        <v>141</v>
      </c>
      <c r="K168">
        <v>166</v>
      </c>
      <c r="L168">
        <v>1</v>
      </c>
      <c r="M168" t="s">
        <v>29</v>
      </c>
      <c r="N168">
        <v>3</v>
      </c>
      <c r="O168">
        <v>481.28</v>
      </c>
    </row>
    <row r="169" spans="1:15" x14ac:dyDescent="0.35">
      <c r="A169" t="s">
        <v>471</v>
      </c>
      <c r="B169" t="s">
        <v>51</v>
      </c>
      <c r="C169" t="s">
        <v>472</v>
      </c>
      <c r="D169" t="s">
        <v>48</v>
      </c>
      <c r="E169" t="s">
        <v>33</v>
      </c>
      <c r="F169" t="s">
        <v>27</v>
      </c>
      <c r="G169" t="s">
        <v>473</v>
      </c>
      <c r="H169" s="1">
        <v>45596.49722222222</v>
      </c>
      <c r="I169" s="1">
        <v>45596.568749999999</v>
      </c>
      <c r="J169">
        <v>95</v>
      </c>
      <c r="K169">
        <v>103</v>
      </c>
      <c r="L169">
        <v>1</v>
      </c>
      <c r="M169" t="s">
        <v>29</v>
      </c>
      <c r="N169">
        <v>4</v>
      </c>
      <c r="O169">
        <v>495.69</v>
      </c>
    </row>
    <row r="170" spans="1:15" x14ac:dyDescent="0.35">
      <c r="A170" t="s">
        <v>474</v>
      </c>
      <c r="B170" t="s">
        <v>24</v>
      </c>
      <c r="C170" t="s">
        <v>475</v>
      </c>
      <c r="D170" t="s">
        <v>44</v>
      </c>
      <c r="E170" t="s">
        <v>33</v>
      </c>
      <c r="F170" t="s">
        <v>27</v>
      </c>
      <c r="G170" t="s">
        <v>476</v>
      </c>
      <c r="H170" s="1">
        <v>45400.683333333334</v>
      </c>
      <c r="I170" s="1">
        <v>45400.790277777778</v>
      </c>
      <c r="J170">
        <v>159</v>
      </c>
      <c r="K170">
        <v>154</v>
      </c>
      <c r="L170">
        <v>0</v>
      </c>
      <c r="M170" t="s">
        <v>41</v>
      </c>
      <c r="N170">
        <v>8</v>
      </c>
      <c r="O170">
        <v>285.58</v>
      </c>
    </row>
    <row r="171" spans="1:15" x14ac:dyDescent="0.35">
      <c r="A171" t="s">
        <v>477</v>
      </c>
      <c r="B171" t="s">
        <v>63</v>
      </c>
      <c r="C171" t="s">
        <v>478</v>
      </c>
      <c r="D171" t="s">
        <v>48</v>
      </c>
      <c r="E171" t="s">
        <v>85</v>
      </c>
      <c r="F171" t="s">
        <v>39</v>
      </c>
      <c r="G171" t="s">
        <v>73</v>
      </c>
      <c r="H171" s="1">
        <v>45441.058333333334</v>
      </c>
      <c r="I171" s="1">
        <v>45441.300694444442</v>
      </c>
      <c r="J171">
        <v>238</v>
      </c>
      <c r="K171">
        <v>349</v>
      </c>
      <c r="L171">
        <v>1</v>
      </c>
      <c r="M171" t="s">
        <v>29</v>
      </c>
      <c r="N171">
        <v>7</v>
      </c>
      <c r="O171">
        <v>177.94</v>
      </c>
    </row>
    <row r="172" spans="1:15" x14ac:dyDescent="0.35">
      <c r="A172" t="s">
        <v>479</v>
      </c>
      <c r="B172" t="s">
        <v>63</v>
      </c>
      <c r="C172" t="s">
        <v>480</v>
      </c>
      <c r="D172" t="s">
        <v>44</v>
      </c>
      <c r="E172" t="s">
        <v>19</v>
      </c>
      <c r="F172" t="s">
        <v>34</v>
      </c>
      <c r="G172" t="s">
        <v>94</v>
      </c>
      <c r="H172" s="1">
        <v>45387.675694444442</v>
      </c>
      <c r="I172" s="1">
        <v>45387.815972222219</v>
      </c>
      <c r="J172">
        <v>117</v>
      </c>
      <c r="K172">
        <v>202</v>
      </c>
      <c r="L172">
        <v>1</v>
      </c>
      <c r="M172" t="s">
        <v>29</v>
      </c>
      <c r="N172">
        <v>1</v>
      </c>
      <c r="O172">
        <v>188.28</v>
      </c>
    </row>
    <row r="173" spans="1:15" x14ac:dyDescent="0.35">
      <c r="A173" t="s">
        <v>481</v>
      </c>
      <c r="B173" t="s">
        <v>63</v>
      </c>
      <c r="C173" t="s">
        <v>482</v>
      </c>
      <c r="D173" t="s">
        <v>48</v>
      </c>
      <c r="E173" t="s">
        <v>38</v>
      </c>
      <c r="F173" t="s">
        <v>27</v>
      </c>
      <c r="G173" t="s">
        <v>293</v>
      </c>
      <c r="H173" s="1">
        <v>45547.511805555558</v>
      </c>
      <c r="I173" s="1">
        <v>45547.576388888891</v>
      </c>
      <c r="J173">
        <v>75</v>
      </c>
      <c r="K173">
        <v>93</v>
      </c>
      <c r="L173">
        <v>1</v>
      </c>
      <c r="M173" t="s">
        <v>41</v>
      </c>
      <c r="N173">
        <v>8</v>
      </c>
      <c r="O173">
        <v>314.64</v>
      </c>
    </row>
    <row r="174" spans="1:15" x14ac:dyDescent="0.35">
      <c r="A174" t="s">
        <v>483</v>
      </c>
      <c r="B174" t="s">
        <v>63</v>
      </c>
      <c r="C174" t="s">
        <v>484</v>
      </c>
      <c r="D174" t="s">
        <v>56</v>
      </c>
      <c r="E174" t="s">
        <v>33</v>
      </c>
      <c r="F174" t="s">
        <v>39</v>
      </c>
      <c r="G174" t="s">
        <v>485</v>
      </c>
      <c r="H174" s="1">
        <v>45636.513888888891</v>
      </c>
      <c r="I174" s="1">
        <v>45636.602777777778</v>
      </c>
      <c r="J174">
        <v>61</v>
      </c>
      <c r="K174">
        <v>128</v>
      </c>
      <c r="L174">
        <v>1</v>
      </c>
      <c r="M174" t="s">
        <v>41</v>
      </c>
      <c r="N174">
        <v>2</v>
      </c>
      <c r="O174">
        <v>403.15</v>
      </c>
    </row>
    <row r="175" spans="1:15" x14ac:dyDescent="0.35">
      <c r="A175" t="s">
        <v>486</v>
      </c>
      <c r="B175" t="s">
        <v>51</v>
      </c>
      <c r="C175" t="s">
        <v>487</v>
      </c>
      <c r="D175" t="s">
        <v>18</v>
      </c>
      <c r="E175" t="s">
        <v>33</v>
      </c>
      <c r="F175" t="s">
        <v>57</v>
      </c>
      <c r="G175" t="s">
        <v>94</v>
      </c>
      <c r="H175" s="1">
        <v>45573.981944444444</v>
      </c>
      <c r="I175" s="1">
        <v>45574.154166666667</v>
      </c>
      <c r="J175">
        <v>155</v>
      </c>
      <c r="K175">
        <v>248</v>
      </c>
      <c r="L175">
        <v>1</v>
      </c>
      <c r="M175" t="s">
        <v>29</v>
      </c>
      <c r="N175">
        <v>8</v>
      </c>
      <c r="O175">
        <v>87.14</v>
      </c>
    </row>
    <row r="176" spans="1:15" x14ac:dyDescent="0.35">
      <c r="A176" t="s">
        <v>488</v>
      </c>
      <c r="B176" t="s">
        <v>63</v>
      </c>
      <c r="C176" t="s">
        <v>489</v>
      </c>
      <c r="D176" t="s">
        <v>18</v>
      </c>
      <c r="E176" t="s">
        <v>33</v>
      </c>
      <c r="F176" t="s">
        <v>39</v>
      </c>
      <c r="G176" t="s">
        <v>126</v>
      </c>
      <c r="H176" s="1">
        <v>45374.927083333336</v>
      </c>
      <c r="I176" s="1">
        <v>45374.945833333331</v>
      </c>
      <c r="J176">
        <v>29</v>
      </c>
      <c r="K176">
        <v>27</v>
      </c>
      <c r="L176">
        <v>0</v>
      </c>
      <c r="M176" t="s">
        <v>41</v>
      </c>
      <c r="N176">
        <v>10</v>
      </c>
      <c r="O176">
        <v>80.58</v>
      </c>
    </row>
    <row r="177" spans="1:15" x14ac:dyDescent="0.35">
      <c r="A177" t="s">
        <v>490</v>
      </c>
      <c r="B177" t="s">
        <v>24</v>
      </c>
      <c r="C177" t="s">
        <v>491</v>
      </c>
      <c r="D177" t="s">
        <v>26</v>
      </c>
      <c r="E177" t="s">
        <v>85</v>
      </c>
      <c r="F177" t="s">
        <v>27</v>
      </c>
      <c r="G177" t="s">
        <v>158</v>
      </c>
      <c r="H177" s="1">
        <v>45557.27847222222</v>
      </c>
      <c r="I177" s="1">
        <v>45557.463888888888</v>
      </c>
      <c r="J177">
        <v>151</v>
      </c>
      <c r="K177">
        <v>267</v>
      </c>
      <c r="L177">
        <v>1</v>
      </c>
      <c r="M177" t="s">
        <v>29</v>
      </c>
      <c r="N177">
        <v>4</v>
      </c>
      <c r="O177">
        <v>285.13</v>
      </c>
    </row>
    <row r="178" spans="1:15" x14ac:dyDescent="0.35">
      <c r="A178" t="s">
        <v>492</v>
      </c>
      <c r="B178" t="s">
        <v>16</v>
      </c>
      <c r="C178" t="s">
        <v>493</v>
      </c>
      <c r="D178" t="s">
        <v>18</v>
      </c>
      <c r="E178" t="s">
        <v>19</v>
      </c>
      <c r="F178" t="s">
        <v>57</v>
      </c>
      <c r="G178" t="s">
        <v>129</v>
      </c>
      <c r="H178" s="1">
        <v>45431.630555555559</v>
      </c>
      <c r="I178" s="1">
        <v>45431.681944444441</v>
      </c>
      <c r="J178">
        <v>55</v>
      </c>
      <c r="K178">
        <v>74</v>
      </c>
      <c r="L178">
        <v>1</v>
      </c>
      <c r="M178" t="s">
        <v>29</v>
      </c>
      <c r="N178">
        <v>9</v>
      </c>
      <c r="O178">
        <v>189.56</v>
      </c>
    </row>
    <row r="179" spans="1:15" x14ac:dyDescent="0.35">
      <c r="A179" t="s">
        <v>494</v>
      </c>
      <c r="B179" t="s">
        <v>16</v>
      </c>
      <c r="C179" t="s">
        <v>495</v>
      </c>
      <c r="D179" t="s">
        <v>48</v>
      </c>
      <c r="E179" t="s">
        <v>38</v>
      </c>
      <c r="F179" t="s">
        <v>57</v>
      </c>
      <c r="G179" t="s">
        <v>383</v>
      </c>
      <c r="H179" s="1">
        <v>45568.258333333331</v>
      </c>
      <c r="I179" s="1">
        <v>45568.277083333334</v>
      </c>
      <c r="J179">
        <v>21</v>
      </c>
      <c r="K179">
        <v>27</v>
      </c>
      <c r="L179">
        <v>1</v>
      </c>
      <c r="M179" t="s">
        <v>22</v>
      </c>
      <c r="N179">
        <v>1</v>
      </c>
      <c r="O179">
        <v>189.85</v>
      </c>
    </row>
    <row r="180" spans="1:15" x14ac:dyDescent="0.35">
      <c r="A180" t="s">
        <v>496</v>
      </c>
      <c r="B180" t="s">
        <v>16</v>
      </c>
      <c r="C180" t="s">
        <v>497</v>
      </c>
      <c r="D180" t="s">
        <v>56</v>
      </c>
      <c r="E180" t="s">
        <v>85</v>
      </c>
      <c r="F180" t="s">
        <v>39</v>
      </c>
      <c r="G180" t="s">
        <v>251</v>
      </c>
      <c r="H180" s="1">
        <v>45369.887499999997</v>
      </c>
      <c r="I180" s="1">
        <v>45370.071527777778</v>
      </c>
      <c r="J180">
        <v>197</v>
      </c>
      <c r="K180">
        <v>265</v>
      </c>
      <c r="L180">
        <v>1</v>
      </c>
      <c r="M180" t="s">
        <v>22</v>
      </c>
      <c r="N180">
        <v>1</v>
      </c>
      <c r="O180">
        <v>479.16</v>
      </c>
    </row>
    <row r="181" spans="1:15" x14ac:dyDescent="0.35">
      <c r="A181" t="s">
        <v>498</v>
      </c>
      <c r="B181" t="s">
        <v>63</v>
      </c>
      <c r="C181" t="s">
        <v>499</v>
      </c>
      <c r="D181" t="s">
        <v>56</v>
      </c>
      <c r="E181" t="s">
        <v>38</v>
      </c>
      <c r="F181" t="s">
        <v>34</v>
      </c>
      <c r="G181" t="s">
        <v>500</v>
      </c>
      <c r="H181" s="1">
        <v>45544.259027777778</v>
      </c>
      <c r="I181" s="1">
        <v>45544.425694444442</v>
      </c>
      <c r="J181">
        <v>213</v>
      </c>
      <c r="K181">
        <v>240</v>
      </c>
      <c r="L181">
        <v>1</v>
      </c>
      <c r="M181" t="s">
        <v>29</v>
      </c>
      <c r="N181">
        <v>7</v>
      </c>
      <c r="O181">
        <v>124.97</v>
      </c>
    </row>
    <row r="182" spans="1:15" x14ac:dyDescent="0.35">
      <c r="A182" t="s">
        <v>501</v>
      </c>
      <c r="B182" t="s">
        <v>51</v>
      </c>
      <c r="C182" t="s">
        <v>502</v>
      </c>
      <c r="D182" t="s">
        <v>18</v>
      </c>
      <c r="E182" t="s">
        <v>85</v>
      </c>
      <c r="F182" t="s">
        <v>20</v>
      </c>
      <c r="G182" t="s">
        <v>330</v>
      </c>
      <c r="H182" s="1">
        <v>45588.663194444445</v>
      </c>
      <c r="I182" s="1">
        <v>45588.798611111109</v>
      </c>
      <c r="J182">
        <v>105</v>
      </c>
      <c r="K182">
        <v>195</v>
      </c>
      <c r="L182">
        <v>1</v>
      </c>
      <c r="M182" t="s">
        <v>41</v>
      </c>
      <c r="N182">
        <v>5</v>
      </c>
      <c r="O182">
        <v>105.18</v>
      </c>
    </row>
    <row r="183" spans="1:15" x14ac:dyDescent="0.35">
      <c r="A183" t="s">
        <v>503</v>
      </c>
      <c r="B183" t="s">
        <v>24</v>
      </c>
      <c r="C183" t="s">
        <v>504</v>
      </c>
      <c r="D183" t="s">
        <v>56</v>
      </c>
      <c r="E183" t="s">
        <v>19</v>
      </c>
      <c r="F183" t="s">
        <v>20</v>
      </c>
      <c r="G183" t="s">
        <v>505</v>
      </c>
      <c r="H183" s="1">
        <v>45498.116666666669</v>
      </c>
      <c r="I183" s="1">
        <v>45498.269444444442</v>
      </c>
      <c r="J183">
        <v>127</v>
      </c>
      <c r="K183">
        <v>220</v>
      </c>
      <c r="L183">
        <v>1</v>
      </c>
      <c r="M183" t="s">
        <v>22</v>
      </c>
      <c r="N183">
        <v>10</v>
      </c>
      <c r="O183">
        <v>279.64</v>
      </c>
    </row>
    <row r="184" spans="1:15" x14ac:dyDescent="0.35">
      <c r="A184" t="s">
        <v>506</v>
      </c>
      <c r="B184" t="s">
        <v>63</v>
      </c>
      <c r="C184" t="s">
        <v>507</v>
      </c>
      <c r="D184" t="s">
        <v>44</v>
      </c>
      <c r="E184" t="s">
        <v>19</v>
      </c>
      <c r="F184" t="s">
        <v>34</v>
      </c>
      <c r="G184" t="s">
        <v>473</v>
      </c>
      <c r="H184" s="1">
        <v>45478.882638888892</v>
      </c>
      <c r="I184" s="1">
        <v>45478.981944444444</v>
      </c>
      <c r="J184">
        <v>125</v>
      </c>
      <c r="K184">
        <v>143</v>
      </c>
      <c r="L184">
        <v>1</v>
      </c>
      <c r="M184" t="s">
        <v>41</v>
      </c>
      <c r="N184">
        <v>7</v>
      </c>
      <c r="O184">
        <v>157.05000000000001</v>
      </c>
    </row>
    <row r="185" spans="1:15" x14ac:dyDescent="0.35">
      <c r="A185" t="s">
        <v>508</v>
      </c>
      <c r="B185" t="s">
        <v>63</v>
      </c>
      <c r="C185" t="s">
        <v>509</v>
      </c>
      <c r="D185" t="s">
        <v>44</v>
      </c>
      <c r="E185" t="s">
        <v>38</v>
      </c>
      <c r="F185" t="s">
        <v>27</v>
      </c>
      <c r="G185" t="s">
        <v>170</v>
      </c>
      <c r="H185" s="1">
        <v>45323.927777777775</v>
      </c>
      <c r="I185" s="1">
        <v>45324.086805555555</v>
      </c>
      <c r="J185">
        <v>119</v>
      </c>
      <c r="K185">
        <v>229</v>
      </c>
      <c r="L185">
        <v>1</v>
      </c>
      <c r="M185" t="s">
        <v>29</v>
      </c>
      <c r="N185">
        <v>7</v>
      </c>
      <c r="O185">
        <v>58.47</v>
      </c>
    </row>
    <row r="186" spans="1:15" x14ac:dyDescent="0.35">
      <c r="A186" t="s">
        <v>510</v>
      </c>
      <c r="B186" t="s">
        <v>63</v>
      </c>
      <c r="C186" t="s">
        <v>511</v>
      </c>
      <c r="D186" t="s">
        <v>26</v>
      </c>
      <c r="E186" t="s">
        <v>19</v>
      </c>
      <c r="F186" t="s">
        <v>57</v>
      </c>
      <c r="G186" t="s">
        <v>512</v>
      </c>
      <c r="H186" s="1">
        <v>45527.292361111111</v>
      </c>
      <c r="I186" s="1">
        <v>45527.395138888889</v>
      </c>
      <c r="J186">
        <v>153</v>
      </c>
      <c r="K186">
        <v>148</v>
      </c>
      <c r="L186">
        <v>0</v>
      </c>
      <c r="M186" t="s">
        <v>29</v>
      </c>
      <c r="N186">
        <v>9</v>
      </c>
      <c r="O186">
        <v>442.49</v>
      </c>
    </row>
    <row r="187" spans="1:15" x14ac:dyDescent="0.35">
      <c r="A187" t="s">
        <v>513</v>
      </c>
      <c r="B187" t="s">
        <v>16</v>
      </c>
      <c r="C187" t="s">
        <v>514</v>
      </c>
      <c r="D187" t="s">
        <v>26</v>
      </c>
      <c r="E187" t="s">
        <v>33</v>
      </c>
      <c r="F187" t="s">
        <v>34</v>
      </c>
      <c r="G187" t="s">
        <v>262</v>
      </c>
      <c r="H187" s="1">
        <v>45631.125694444447</v>
      </c>
      <c r="I187" s="1">
        <v>45631.231249999997</v>
      </c>
      <c r="J187">
        <v>112</v>
      </c>
      <c r="K187">
        <v>152</v>
      </c>
      <c r="L187">
        <v>1</v>
      </c>
      <c r="M187" t="s">
        <v>29</v>
      </c>
      <c r="N187">
        <v>10</v>
      </c>
      <c r="O187">
        <v>235</v>
      </c>
    </row>
    <row r="188" spans="1:15" x14ac:dyDescent="0.35">
      <c r="A188" t="s">
        <v>515</v>
      </c>
      <c r="B188" t="s">
        <v>63</v>
      </c>
      <c r="C188" t="s">
        <v>516</v>
      </c>
      <c r="D188" t="s">
        <v>48</v>
      </c>
      <c r="E188" t="s">
        <v>38</v>
      </c>
      <c r="F188" t="s">
        <v>34</v>
      </c>
      <c r="G188" t="s">
        <v>161</v>
      </c>
      <c r="H188" s="1">
        <v>45308.315972222219</v>
      </c>
      <c r="I188" s="1">
        <v>45308.507638888892</v>
      </c>
      <c r="J188">
        <v>178</v>
      </c>
      <c r="K188">
        <v>276</v>
      </c>
      <c r="L188">
        <v>1</v>
      </c>
      <c r="M188" t="s">
        <v>29</v>
      </c>
      <c r="N188">
        <v>6</v>
      </c>
      <c r="O188">
        <v>423.58</v>
      </c>
    </row>
    <row r="189" spans="1:15" x14ac:dyDescent="0.35">
      <c r="A189" t="s">
        <v>517</v>
      </c>
      <c r="B189" t="s">
        <v>31</v>
      </c>
      <c r="C189" t="s">
        <v>518</v>
      </c>
      <c r="D189" t="s">
        <v>56</v>
      </c>
      <c r="E189" t="s">
        <v>19</v>
      </c>
      <c r="F189" t="s">
        <v>34</v>
      </c>
      <c r="G189" t="s">
        <v>140</v>
      </c>
      <c r="H189" s="1">
        <v>45318.011805555558</v>
      </c>
      <c r="I189" s="1">
        <v>45318.075694444444</v>
      </c>
      <c r="J189">
        <v>55</v>
      </c>
      <c r="K189">
        <v>92</v>
      </c>
      <c r="L189">
        <v>1</v>
      </c>
      <c r="M189" t="s">
        <v>22</v>
      </c>
      <c r="N189">
        <v>4</v>
      </c>
      <c r="O189">
        <v>303.55</v>
      </c>
    </row>
    <row r="190" spans="1:15" x14ac:dyDescent="0.35">
      <c r="A190" t="s">
        <v>519</v>
      </c>
      <c r="B190" t="s">
        <v>51</v>
      </c>
      <c r="C190" t="s">
        <v>520</v>
      </c>
      <c r="D190" t="s">
        <v>48</v>
      </c>
      <c r="E190" t="s">
        <v>85</v>
      </c>
      <c r="F190" t="s">
        <v>57</v>
      </c>
      <c r="G190" t="s">
        <v>521</v>
      </c>
      <c r="H190" s="1">
        <v>45524.833333333336</v>
      </c>
      <c r="I190" s="1">
        <v>45525.003472222219</v>
      </c>
      <c r="J190">
        <v>230</v>
      </c>
      <c r="K190">
        <v>245</v>
      </c>
      <c r="L190">
        <v>1</v>
      </c>
      <c r="M190" t="s">
        <v>29</v>
      </c>
      <c r="N190">
        <v>3</v>
      </c>
      <c r="O190">
        <v>495.34</v>
      </c>
    </row>
    <row r="191" spans="1:15" x14ac:dyDescent="0.35">
      <c r="A191" t="s">
        <v>522</v>
      </c>
      <c r="B191" t="s">
        <v>24</v>
      </c>
      <c r="C191" t="s">
        <v>523</v>
      </c>
      <c r="D191" t="s">
        <v>56</v>
      </c>
      <c r="E191" t="s">
        <v>33</v>
      </c>
      <c r="F191" t="s">
        <v>27</v>
      </c>
      <c r="G191" t="s">
        <v>427</v>
      </c>
      <c r="H191" s="1">
        <v>45459.246527777781</v>
      </c>
      <c r="I191" s="1">
        <v>45459.37222222222</v>
      </c>
      <c r="J191">
        <v>90</v>
      </c>
      <c r="K191">
        <v>181</v>
      </c>
      <c r="L191">
        <v>1</v>
      </c>
      <c r="M191" t="s">
        <v>29</v>
      </c>
      <c r="N191">
        <v>6</v>
      </c>
      <c r="O191">
        <v>467.42</v>
      </c>
    </row>
    <row r="192" spans="1:15" x14ac:dyDescent="0.35">
      <c r="A192" t="s">
        <v>524</v>
      </c>
      <c r="B192" t="s">
        <v>31</v>
      </c>
      <c r="C192" t="s">
        <v>525</v>
      </c>
      <c r="D192" t="s">
        <v>48</v>
      </c>
      <c r="E192" t="s">
        <v>38</v>
      </c>
      <c r="F192" t="s">
        <v>27</v>
      </c>
      <c r="G192" t="s">
        <v>526</v>
      </c>
      <c r="H192" s="1">
        <v>45417.486111111109</v>
      </c>
      <c r="I192" s="1">
        <v>45417.598611111112</v>
      </c>
      <c r="J192">
        <v>124</v>
      </c>
      <c r="K192">
        <v>162</v>
      </c>
      <c r="L192">
        <v>1</v>
      </c>
      <c r="M192" t="s">
        <v>29</v>
      </c>
      <c r="N192">
        <v>6</v>
      </c>
      <c r="O192">
        <v>253.48</v>
      </c>
    </row>
    <row r="193" spans="1:15" x14ac:dyDescent="0.35">
      <c r="A193" t="s">
        <v>527</v>
      </c>
      <c r="B193" t="s">
        <v>31</v>
      </c>
      <c r="C193" t="s">
        <v>528</v>
      </c>
      <c r="D193" t="s">
        <v>18</v>
      </c>
      <c r="E193" t="s">
        <v>33</v>
      </c>
      <c r="F193" t="s">
        <v>20</v>
      </c>
      <c r="G193" t="s">
        <v>470</v>
      </c>
      <c r="H193" s="1">
        <v>45325.913194444445</v>
      </c>
      <c r="I193" s="1">
        <v>45325.960416666669</v>
      </c>
      <c r="J193">
        <v>28</v>
      </c>
      <c r="K193">
        <v>68</v>
      </c>
      <c r="L193">
        <v>1</v>
      </c>
      <c r="M193" t="s">
        <v>22</v>
      </c>
      <c r="N193">
        <v>3</v>
      </c>
      <c r="O193">
        <v>487.61</v>
      </c>
    </row>
    <row r="194" spans="1:15" x14ac:dyDescent="0.35">
      <c r="A194" t="s">
        <v>529</v>
      </c>
      <c r="B194" t="s">
        <v>24</v>
      </c>
      <c r="C194" t="s">
        <v>530</v>
      </c>
      <c r="D194" t="s">
        <v>44</v>
      </c>
      <c r="E194" t="s">
        <v>38</v>
      </c>
      <c r="F194" t="s">
        <v>39</v>
      </c>
      <c r="G194" t="s">
        <v>123</v>
      </c>
      <c r="H194" s="1">
        <v>45544.646527777775</v>
      </c>
      <c r="I194" s="1">
        <v>45544.759027777778</v>
      </c>
      <c r="J194">
        <v>50</v>
      </c>
      <c r="K194">
        <v>162</v>
      </c>
      <c r="L194">
        <v>1</v>
      </c>
      <c r="M194" t="s">
        <v>22</v>
      </c>
      <c r="N194">
        <v>10</v>
      </c>
      <c r="O194">
        <v>241.08</v>
      </c>
    </row>
    <row r="195" spans="1:15" x14ac:dyDescent="0.35">
      <c r="A195" t="s">
        <v>531</v>
      </c>
      <c r="B195" t="s">
        <v>31</v>
      </c>
      <c r="C195" t="s">
        <v>532</v>
      </c>
      <c r="D195" t="s">
        <v>26</v>
      </c>
      <c r="E195" t="s">
        <v>38</v>
      </c>
      <c r="F195" t="s">
        <v>27</v>
      </c>
      <c r="G195" t="s">
        <v>167</v>
      </c>
      <c r="H195" s="1">
        <v>45469.114583333336</v>
      </c>
      <c r="I195" s="1">
        <v>45469.261805555558</v>
      </c>
      <c r="J195">
        <v>151</v>
      </c>
      <c r="K195">
        <v>212</v>
      </c>
      <c r="L195">
        <v>1</v>
      </c>
      <c r="M195" t="s">
        <v>41</v>
      </c>
      <c r="N195">
        <v>1</v>
      </c>
      <c r="O195">
        <v>241.78</v>
      </c>
    </row>
    <row r="196" spans="1:15" x14ac:dyDescent="0.35">
      <c r="A196" t="s">
        <v>533</v>
      </c>
      <c r="B196" t="s">
        <v>51</v>
      </c>
      <c r="C196" t="s">
        <v>534</v>
      </c>
      <c r="D196" t="s">
        <v>18</v>
      </c>
      <c r="E196" t="s">
        <v>85</v>
      </c>
      <c r="F196" t="s">
        <v>27</v>
      </c>
      <c r="G196" t="s">
        <v>316</v>
      </c>
      <c r="H196" s="1">
        <v>45559.345138888886</v>
      </c>
      <c r="I196" s="1">
        <v>45559.4375</v>
      </c>
      <c r="J196">
        <v>86</v>
      </c>
      <c r="K196">
        <v>133</v>
      </c>
      <c r="L196">
        <v>1</v>
      </c>
      <c r="M196" t="s">
        <v>29</v>
      </c>
      <c r="N196">
        <v>4</v>
      </c>
      <c r="O196">
        <v>421.88</v>
      </c>
    </row>
    <row r="197" spans="1:15" x14ac:dyDescent="0.35">
      <c r="A197" t="s">
        <v>535</v>
      </c>
      <c r="B197" t="s">
        <v>16</v>
      </c>
      <c r="C197" t="s">
        <v>536</v>
      </c>
      <c r="D197" t="s">
        <v>18</v>
      </c>
      <c r="E197" t="s">
        <v>19</v>
      </c>
      <c r="F197" t="s">
        <v>34</v>
      </c>
      <c r="G197" t="s">
        <v>283</v>
      </c>
      <c r="H197" s="1">
        <v>45504.198611111111</v>
      </c>
      <c r="I197" s="1">
        <v>45504.316666666666</v>
      </c>
      <c r="J197">
        <v>59</v>
      </c>
      <c r="K197">
        <v>170</v>
      </c>
      <c r="L197">
        <v>1</v>
      </c>
      <c r="M197" t="s">
        <v>22</v>
      </c>
      <c r="N197">
        <v>7</v>
      </c>
      <c r="O197">
        <v>273.55</v>
      </c>
    </row>
    <row r="198" spans="1:15" x14ac:dyDescent="0.35">
      <c r="A198" t="s">
        <v>537</v>
      </c>
      <c r="B198" t="s">
        <v>51</v>
      </c>
      <c r="C198" t="s">
        <v>538</v>
      </c>
      <c r="D198" t="s">
        <v>18</v>
      </c>
      <c r="E198" t="s">
        <v>85</v>
      </c>
      <c r="F198" t="s">
        <v>57</v>
      </c>
      <c r="G198" t="s">
        <v>539</v>
      </c>
      <c r="H198" s="1">
        <v>45457.638888888891</v>
      </c>
      <c r="I198" s="1">
        <v>45457.727777777778</v>
      </c>
      <c r="J198">
        <v>50</v>
      </c>
      <c r="K198">
        <v>128</v>
      </c>
      <c r="L198">
        <v>1</v>
      </c>
      <c r="M198" t="s">
        <v>41</v>
      </c>
      <c r="N198">
        <v>6</v>
      </c>
      <c r="O198">
        <v>440.56</v>
      </c>
    </row>
    <row r="199" spans="1:15" x14ac:dyDescent="0.35">
      <c r="A199" t="s">
        <v>540</v>
      </c>
      <c r="B199" t="s">
        <v>24</v>
      </c>
      <c r="C199" t="s">
        <v>541</v>
      </c>
      <c r="D199" t="s">
        <v>56</v>
      </c>
      <c r="E199" t="s">
        <v>33</v>
      </c>
      <c r="F199" t="s">
        <v>20</v>
      </c>
      <c r="G199" t="s">
        <v>100</v>
      </c>
      <c r="H199" s="1">
        <v>45424.414583333331</v>
      </c>
      <c r="I199" s="1">
        <v>45424.539583333331</v>
      </c>
      <c r="J199">
        <v>126</v>
      </c>
      <c r="K199">
        <v>180</v>
      </c>
      <c r="L199">
        <v>1</v>
      </c>
      <c r="M199" t="s">
        <v>41</v>
      </c>
      <c r="N199">
        <v>9</v>
      </c>
      <c r="O199">
        <v>216.35</v>
      </c>
    </row>
    <row r="200" spans="1:15" x14ac:dyDescent="0.35">
      <c r="A200" t="s">
        <v>542</v>
      </c>
      <c r="B200" t="s">
        <v>24</v>
      </c>
      <c r="C200" t="s">
        <v>543</v>
      </c>
      <c r="D200" t="s">
        <v>44</v>
      </c>
      <c r="E200" t="s">
        <v>33</v>
      </c>
      <c r="F200" t="s">
        <v>39</v>
      </c>
      <c r="G200" t="s">
        <v>231</v>
      </c>
      <c r="H200" s="1">
        <v>45468.20416666667</v>
      </c>
      <c r="I200" s="1">
        <v>45468.319444444445</v>
      </c>
      <c r="J200">
        <v>148</v>
      </c>
      <c r="K200">
        <v>166</v>
      </c>
      <c r="L200">
        <v>1</v>
      </c>
      <c r="M200" t="s">
        <v>41</v>
      </c>
      <c r="N200">
        <v>6</v>
      </c>
      <c r="O200">
        <v>148.25</v>
      </c>
    </row>
    <row r="201" spans="1:15" x14ac:dyDescent="0.35">
      <c r="A201" t="s">
        <v>544</v>
      </c>
      <c r="B201" t="s">
        <v>16</v>
      </c>
      <c r="C201" t="s">
        <v>545</v>
      </c>
      <c r="D201" t="s">
        <v>56</v>
      </c>
      <c r="E201" t="s">
        <v>19</v>
      </c>
      <c r="F201" t="s">
        <v>27</v>
      </c>
      <c r="G201" t="s">
        <v>546</v>
      </c>
      <c r="H201" s="1">
        <v>45549.754861111112</v>
      </c>
      <c r="I201" s="1">
        <v>45549.950694444444</v>
      </c>
      <c r="J201">
        <v>177</v>
      </c>
      <c r="K201">
        <v>282</v>
      </c>
      <c r="L201">
        <v>1</v>
      </c>
      <c r="M201" t="s">
        <v>29</v>
      </c>
      <c r="N201">
        <v>10</v>
      </c>
      <c r="O201">
        <v>448.45</v>
      </c>
    </row>
    <row r="202" spans="1:15" x14ac:dyDescent="0.35">
      <c r="A202" t="s">
        <v>547</v>
      </c>
      <c r="B202" t="s">
        <v>24</v>
      </c>
      <c r="C202" t="s">
        <v>548</v>
      </c>
      <c r="D202" t="s">
        <v>48</v>
      </c>
      <c r="E202" t="s">
        <v>85</v>
      </c>
      <c r="F202" t="s">
        <v>27</v>
      </c>
      <c r="G202" t="s">
        <v>539</v>
      </c>
      <c r="H202" s="1">
        <v>45541.156944444447</v>
      </c>
      <c r="I202" s="1">
        <v>45541.331944444442</v>
      </c>
      <c r="J202">
        <v>164</v>
      </c>
      <c r="K202">
        <v>252</v>
      </c>
      <c r="L202">
        <v>1</v>
      </c>
      <c r="M202" t="s">
        <v>41</v>
      </c>
      <c r="N202">
        <v>10</v>
      </c>
      <c r="O202">
        <v>238.71</v>
      </c>
    </row>
    <row r="203" spans="1:15" x14ac:dyDescent="0.35">
      <c r="A203" t="s">
        <v>549</v>
      </c>
      <c r="B203" t="s">
        <v>51</v>
      </c>
      <c r="C203" t="s">
        <v>550</v>
      </c>
      <c r="D203" t="s">
        <v>26</v>
      </c>
      <c r="E203" t="s">
        <v>33</v>
      </c>
      <c r="F203" t="s">
        <v>27</v>
      </c>
      <c r="G203" t="s">
        <v>152</v>
      </c>
      <c r="H203" s="1">
        <v>45388.832638888889</v>
      </c>
      <c r="I203" s="1">
        <v>45388.922222222223</v>
      </c>
      <c r="J203">
        <v>112</v>
      </c>
      <c r="K203">
        <v>129</v>
      </c>
      <c r="L203">
        <v>1</v>
      </c>
      <c r="M203" t="s">
        <v>41</v>
      </c>
      <c r="N203">
        <v>7</v>
      </c>
      <c r="O203">
        <v>66.680000000000007</v>
      </c>
    </row>
    <row r="204" spans="1:15" x14ac:dyDescent="0.35">
      <c r="A204" t="s">
        <v>551</v>
      </c>
      <c r="B204" t="s">
        <v>63</v>
      </c>
      <c r="C204" t="s">
        <v>552</v>
      </c>
      <c r="D204" t="s">
        <v>48</v>
      </c>
      <c r="E204" t="s">
        <v>19</v>
      </c>
      <c r="F204" t="s">
        <v>39</v>
      </c>
      <c r="G204" t="s">
        <v>100</v>
      </c>
      <c r="H204" s="1">
        <v>45301.80972222222</v>
      </c>
      <c r="I204" s="1">
        <v>45301.881249999999</v>
      </c>
      <c r="J204">
        <v>56</v>
      </c>
      <c r="K204">
        <v>103</v>
      </c>
      <c r="L204">
        <v>1</v>
      </c>
      <c r="M204" t="s">
        <v>29</v>
      </c>
      <c r="N204">
        <v>2</v>
      </c>
      <c r="O204">
        <v>375.19</v>
      </c>
    </row>
    <row r="205" spans="1:15" x14ac:dyDescent="0.35">
      <c r="A205" t="s">
        <v>553</v>
      </c>
      <c r="B205" t="s">
        <v>63</v>
      </c>
      <c r="C205" t="s">
        <v>554</v>
      </c>
      <c r="D205" t="s">
        <v>18</v>
      </c>
      <c r="E205" t="s">
        <v>19</v>
      </c>
      <c r="F205" t="s">
        <v>39</v>
      </c>
      <c r="G205" t="s">
        <v>388</v>
      </c>
      <c r="H205" s="1">
        <v>45320.959027777775</v>
      </c>
      <c r="I205" s="1">
        <v>45321.09097222222</v>
      </c>
      <c r="J205">
        <v>134</v>
      </c>
      <c r="K205">
        <v>190</v>
      </c>
      <c r="L205">
        <v>1</v>
      </c>
      <c r="M205" t="s">
        <v>29</v>
      </c>
      <c r="N205">
        <v>10</v>
      </c>
      <c r="O205">
        <v>470.49</v>
      </c>
    </row>
    <row r="206" spans="1:15" x14ac:dyDescent="0.35">
      <c r="A206" t="s">
        <v>555</v>
      </c>
      <c r="B206" t="s">
        <v>16</v>
      </c>
      <c r="C206" t="s">
        <v>556</v>
      </c>
      <c r="D206" t="s">
        <v>56</v>
      </c>
      <c r="E206" t="s">
        <v>85</v>
      </c>
      <c r="F206" t="s">
        <v>27</v>
      </c>
      <c r="G206" t="s">
        <v>500</v>
      </c>
      <c r="H206" s="1">
        <v>45509.799305555556</v>
      </c>
      <c r="I206" s="1">
        <v>45509.979861111111</v>
      </c>
      <c r="J206">
        <v>155</v>
      </c>
      <c r="K206">
        <v>260</v>
      </c>
      <c r="L206">
        <v>1</v>
      </c>
      <c r="M206" t="s">
        <v>22</v>
      </c>
      <c r="N206">
        <v>3</v>
      </c>
      <c r="O206">
        <v>111.02</v>
      </c>
    </row>
    <row r="207" spans="1:15" x14ac:dyDescent="0.35">
      <c r="A207" t="s">
        <v>557</v>
      </c>
      <c r="B207" t="s">
        <v>51</v>
      </c>
      <c r="C207" t="s">
        <v>558</v>
      </c>
      <c r="D207" t="s">
        <v>44</v>
      </c>
      <c r="E207" t="s">
        <v>19</v>
      </c>
      <c r="F207" t="s">
        <v>39</v>
      </c>
      <c r="G207" t="s">
        <v>146</v>
      </c>
      <c r="H207" s="1">
        <v>45542.604861111111</v>
      </c>
      <c r="I207" s="1">
        <v>45542.651388888888</v>
      </c>
      <c r="J207">
        <v>18</v>
      </c>
      <c r="K207">
        <v>67</v>
      </c>
      <c r="L207">
        <v>1</v>
      </c>
      <c r="M207" t="s">
        <v>22</v>
      </c>
      <c r="N207">
        <v>7</v>
      </c>
      <c r="O207">
        <v>155.9</v>
      </c>
    </row>
    <row r="208" spans="1:15" x14ac:dyDescent="0.35">
      <c r="A208" t="s">
        <v>559</v>
      </c>
      <c r="B208" t="s">
        <v>16</v>
      </c>
      <c r="C208" t="s">
        <v>560</v>
      </c>
      <c r="D208" t="s">
        <v>26</v>
      </c>
      <c r="E208" t="s">
        <v>85</v>
      </c>
      <c r="F208" t="s">
        <v>27</v>
      </c>
      <c r="G208" t="s">
        <v>539</v>
      </c>
      <c r="H208" s="1">
        <v>45498.189583333333</v>
      </c>
      <c r="I208" s="1">
        <v>45498.286805555559</v>
      </c>
      <c r="J208">
        <v>58</v>
      </c>
      <c r="K208">
        <v>140</v>
      </c>
      <c r="L208">
        <v>1</v>
      </c>
      <c r="M208" t="s">
        <v>41</v>
      </c>
      <c r="N208">
        <v>8</v>
      </c>
      <c r="O208">
        <v>136.52000000000001</v>
      </c>
    </row>
    <row r="209" spans="1:15" x14ac:dyDescent="0.35">
      <c r="A209" t="s">
        <v>561</v>
      </c>
      <c r="B209" t="s">
        <v>16</v>
      </c>
      <c r="C209" t="s">
        <v>562</v>
      </c>
      <c r="D209" t="s">
        <v>18</v>
      </c>
      <c r="E209" t="s">
        <v>19</v>
      </c>
      <c r="F209" t="s">
        <v>27</v>
      </c>
      <c r="G209" t="s">
        <v>228</v>
      </c>
      <c r="H209" s="1">
        <v>45558.061805555553</v>
      </c>
      <c r="I209" s="1">
        <v>45558.226388888892</v>
      </c>
      <c r="J209">
        <v>131</v>
      </c>
      <c r="K209">
        <v>237</v>
      </c>
      <c r="L209">
        <v>1</v>
      </c>
      <c r="M209" t="s">
        <v>29</v>
      </c>
      <c r="N209">
        <v>6</v>
      </c>
      <c r="O209">
        <v>85.44</v>
      </c>
    </row>
    <row r="210" spans="1:15" x14ac:dyDescent="0.35">
      <c r="A210" t="s">
        <v>563</v>
      </c>
      <c r="B210" t="s">
        <v>31</v>
      </c>
      <c r="C210" t="s">
        <v>564</v>
      </c>
      <c r="D210" t="s">
        <v>48</v>
      </c>
      <c r="E210" t="s">
        <v>19</v>
      </c>
      <c r="F210" t="s">
        <v>20</v>
      </c>
      <c r="G210" t="s">
        <v>103</v>
      </c>
      <c r="H210" s="1">
        <v>45485.423611111109</v>
      </c>
      <c r="I210" s="1">
        <v>45485.587500000001</v>
      </c>
      <c r="J210">
        <v>232</v>
      </c>
      <c r="K210">
        <v>236</v>
      </c>
      <c r="L210">
        <v>1</v>
      </c>
      <c r="M210" t="s">
        <v>22</v>
      </c>
      <c r="N210">
        <v>1</v>
      </c>
      <c r="O210">
        <v>280.93</v>
      </c>
    </row>
    <row r="211" spans="1:15" x14ac:dyDescent="0.35">
      <c r="A211" t="s">
        <v>565</v>
      </c>
      <c r="B211" t="s">
        <v>16</v>
      </c>
      <c r="C211" t="s">
        <v>566</v>
      </c>
      <c r="D211" t="s">
        <v>44</v>
      </c>
      <c r="E211" t="s">
        <v>33</v>
      </c>
      <c r="F211" t="s">
        <v>20</v>
      </c>
      <c r="G211" t="s">
        <v>173</v>
      </c>
      <c r="H211" s="1">
        <v>45424.759027777778</v>
      </c>
      <c r="I211" s="1">
        <v>45424.847916666666</v>
      </c>
      <c r="J211">
        <v>114</v>
      </c>
      <c r="K211">
        <v>128</v>
      </c>
      <c r="L211">
        <v>1</v>
      </c>
      <c r="M211" t="s">
        <v>41</v>
      </c>
      <c r="N211">
        <v>1</v>
      </c>
      <c r="O211">
        <v>256.35000000000002</v>
      </c>
    </row>
    <row r="212" spans="1:15" x14ac:dyDescent="0.35">
      <c r="A212" t="s">
        <v>567</v>
      </c>
      <c r="B212" t="s">
        <v>16</v>
      </c>
      <c r="C212" t="s">
        <v>568</v>
      </c>
      <c r="D212" t="s">
        <v>26</v>
      </c>
      <c r="E212" t="s">
        <v>38</v>
      </c>
      <c r="F212" t="s">
        <v>20</v>
      </c>
      <c r="G212" t="s">
        <v>140</v>
      </c>
      <c r="H212" s="1">
        <v>45484.574305555558</v>
      </c>
      <c r="I212" s="1">
        <v>45484.659722222219</v>
      </c>
      <c r="J212">
        <v>10</v>
      </c>
      <c r="K212">
        <v>123</v>
      </c>
      <c r="L212">
        <v>1</v>
      </c>
      <c r="M212" t="s">
        <v>41</v>
      </c>
      <c r="N212">
        <v>7</v>
      </c>
      <c r="O212">
        <v>476.33</v>
      </c>
    </row>
    <row r="213" spans="1:15" x14ac:dyDescent="0.35">
      <c r="A213" t="s">
        <v>569</v>
      </c>
      <c r="B213" t="s">
        <v>24</v>
      </c>
      <c r="C213" t="s">
        <v>570</v>
      </c>
      <c r="D213" t="s">
        <v>18</v>
      </c>
      <c r="E213" t="s">
        <v>85</v>
      </c>
      <c r="F213" t="s">
        <v>39</v>
      </c>
      <c r="G213" t="s">
        <v>111</v>
      </c>
      <c r="H213" s="1">
        <v>45556.336111111108</v>
      </c>
      <c r="I213" s="1">
        <v>45556.461805555555</v>
      </c>
      <c r="J213">
        <v>89</v>
      </c>
      <c r="K213">
        <v>181</v>
      </c>
      <c r="L213">
        <v>1</v>
      </c>
      <c r="M213" t="s">
        <v>22</v>
      </c>
      <c r="N213">
        <v>4</v>
      </c>
      <c r="O213">
        <v>235.85</v>
      </c>
    </row>
    <row r="214" spans="1:15" x14ac:dyDescent="0.35">
      <c r="A214" t="s">
        <v>571</v>
      </c>
      <c r="B214" t="s">
        <v>16</v>
      </c>
      <c r="C214" t="s">
        <v>572</v>
      </c>
      <c r="D214" t="s">
        <v>48</v>
      </c>
      <c r="E214" t="s">
        <v>19</v>
      </c>
      <c r="F214" t="s">
        <v>27</v>
      </c>
      <c r="G214" t="s">
        <v>335</v>
      </c>
      <c r="H214" s="1">
        <v>45610.384027777778</v>
      </c>
      <c r="I214" s="1">
        <v>45610.59375</v>
      </c>
      <c r="J214">
        <v>218</v>
      </c>
      <c r="K214">
        <v>302</v>
      </c>
      <c r="L214">
        <v>1</v>
      </c>
      <c r="M214" t="s">
        <v>22</v>
      </c>
      <c r="N214">
        <v>2</v>
      </c>
      <c r="O214">
        <v>84.79</v>
      </c>
    </row>
    <row r="215" spans="1:15" x14ac:dyDescent="0.35">
      <c r="A215" t="s">
        <v>573</v>
      </c>
      <c r="B215" t="s">
        <v>51</v>
      </c>
      <c r="C215" t="s">
        <v>574</v>
      </c>
      <c r="D215" t="s">
        <v>56</v>
      </c>
      <c r="E215" t="s">
        <v>19</v>
      </c>
      <c r="F215" t="s">
        <v>27</v>
      </c>
      <c r="G215" t="s">
        <v>476</v>
      </c>
      <c r="H215" s="1">
        <v>45533.12777777778</v>
      </c>
      <c r="I215" s="1">
        <v>45533.196527777778</v>
      </c>
      <c r="J215">
        <v>81</v>
      </c>
      <c r="K215">
        <v>99</v>
      </c>
      <c r="L215">
        <v>1</v>
      </c>
      <c r="M215" t="s">
        <v>29</v>
      </c>
      <c r="N215">
        <v>4</v>
      </c>
      <c r="O215">
        <v>415.19</v>
      </c>
    </row>
    <row r="216" spans="1:15" x14ac:dyDescent="0.35">
      <c r="A216" t="s">
        <v>575</v>
      </c>
      <c r="B216" t="s">
        <v>51</v>
      </c>
      <c r="C216" t="s">
        <v>576</v>
      </c>
      <c r="D216" t="s">
        <v>18</v>
      </c>
      <c r="E216" t="s">
        <v>19</v>
      </c>
      <c r="F216" t="s">
        <v>39</v>
      </c>
      <c r="G216" t="s">
        <v>577</v>
      </c>
      <c r="H216" s="1">
        <v>45334.120833333334</v>
      </c>
      <c r="I216" s="1">
        <v>45334.253472222219</v>
      </c>
      <c r="J216">
        <v>88</v>
      </c>
      <c r="K216">
        <v>191</v>
      </c>
      <c r="L216">
        <v>1</v>
      </c>
      <c r="M216" t="s">
        <v>29</v>
      </c>
      <c r="N216">
        <v>8</v>
      </c>
      <c r="O216">
        <v>58.59</v>
      </c>
    </row>
    <row r="217" spans="1:15" x14ac:dyDescent="0.35">
      <c r="A217" t="s">
        <v>578</v>
      </c>
      <c r="B217" t="s">
        <v>51</v>
      </c>
      <c r="C217" t="s">
        <v>579</v>
      </c>
      <c r="D217" t="s">
        <v>18</v>
      </c>
      <c r="E217" t="s">
        <v>19</v>
      </c>
      <c r="F217" t="s">
        <v>57</v>
      </c>
      <c r="G217" t="s">
        <v>123</v>
      </c>
      <c r="H217" s="1">
        <v>45387.241666666669</v>
      </c>
      <c r="I217" s="1">
        <v>45387.418055555558</v>
      </c>
      <c r="J217">
        <v>186</v>
      </c>
      <c r="K217">
        <v>254</v>
      </c>
      <c r="L217">
        <v>1</v>
      </c>
      <c r="M217" t="s">
        <v>29</v>
      </c>
      <c r="N217">
        <v>6</v>
      </c>
      <c r="O217">
        <v>161.52000000000001</v>
      </c>
    </row>
    <row r="218" spans="1:15" x14ac:dyDescent="0.35">
      <c r="A218" t="s">
        <v>580</v>
      </c>
      <c r="B218" t="s">
        <v>24</v>
      </c>
      <c r="C218" t="s">
        <v>581</v>
      </c>
      <c r="D218" t="s">
        <v>48</v>
      </c>
      <c r="E218" t="s">
        <v>38</v>
      </c>
      <c r="F218" t="s">
        <v>34</v>
      </c>
      <c r="G218" t="s">
        <v>456</v>
      </c>
      <c r="H218" s="1">
        <v>45434.638194444444</v>
      </c>
      <c r="I218" s="1">
        <v>45434.681250000001</v>
      </c>
      <c r="J218">
        <v>56</v>
      </c>
      <c r="K218">
        <v>62</v>
      </c>
      <c r="L218">
        <v>1</v>
      </c>
      <c r="M218" t="s">
        <v>41</v>
      </c>
      <c r="N218">
        <v>7</v>
      </c>
      <c r="O218">
        <v>347.6</v>
      </c>
    </row>
    <row r="219" spans="1:15" x14ac:dyDescent="0.35">
      <c r="A219" t="s">
        <v>582</v>
      </c>
      <c r="B219" t="s">
        <v>24</v>
      </c>
      <c r="C219" t="s">
        <v>583</v>
      </c>
      <c r="D219" t="s">
        <v>44</v>
      </c>
      <c r="E219" t="s">
        <v>38</v>
      </c>
      <c r="F219" t="s">
        <v>57</v>
      </c>
      <c r="G219" t="s">
        <v>521</v>
      </c>
      <c r="H219" s="1">
        <v>45633.994444444441</v>
      </c>
      <c r="I219" s="1">
        <v>45634.094444444447</v>
      </c>
      <c r="J219">
        <v>122</v>
      </c>
      <c r="K219">
        <v>144</v>
      </c>
      <c r="L219">
        <v>1</v>
      </c>
      <c r="M219" t="s">
        <v>29</v>
      </c>
      <c r="N219">
        <v>6</v>
      </c>
      <c r="O219">
        <v>184.99</v>
      </c>
    </row>
    <row r="220" spans="1:15" x14ac:dyDescent="0.35">
      <c r="A220" t="s">
        <v>584</v>
      </c>
      <c r="B220" t="s">
        <v>51</v>
      </c>
      <c r="C220" t="s">
        <v>585</v>
      </c>
      <c r="D220" t="s">
        <v>44</v>
      </c>
      <c r="E220" t="s">
        <v>19</v>
      </c>
      <c r="F220" t="s">
        <v>57</v>
      </c>
      <c r="G220" t="s">
        <v>237</v>
      </c>
      <c r="H220" s="1">
        <v>45571.354861111111</v>
      </c>
      <c r="I220" s="1">
        <v>45571.463194444441</v>
      </c>
      <c r="J220">
        <v>65</v>
      </c>
      <c r="K220">
        <v>156</v>
      </c>
      <c r="L220">
        <v>1</v>
      </c>
      <c r="M220" t="s">
        <v>22</v>
      </c>
      <c r="N220">
        <v>7</v>
      </c>
      <c r="O220">
        <v>195.6</v>
      </c>
    </row>
    <row r="221" spans="1:15" x14ac:dyDescent="0.35">
      <c r="A221" t="s">
        <v>586</v>
      </c>
      <c r="B221" t="s">
        <v>51</v>
      </c>
      <c r="C221" t="s">
        <v>587</v>
      </c>
      <c r="D221" t="s">
        <v>18</v>
      </c>
      <c r="E221" t="s">
        <v>85</v>
      </c>
      <c r="F221" t="s">
        <v>57</v>
      </c>
      <c r="G221" t="s">
        <v>117</v>
      </c>
      <c r="H221" s="1">
        <v>45411.503472222219</v>
      </c>
      <c r="I221" s="1">
        <v>45411.630555555559</v>
      </c>
      <c r="J221">
        <v>112</v>
      </c>
      <c r="K221">
        <v>183</v>
      </c>
      <c r="L221">
        <v>1</v>
      </c>
      <c r="M221" t="s">
        <v>29</v>
      </c>
      <c r="N221">
        <v>6</v>
      </c>
      <c r="O221">
        <v>387.51</v>
      </c>
    </row>
    <row r="222" spans="1:15" x14ac:dyDescent="0.35">
      <c r="A222" t="s">
        <v>588</v>
      </c>
      <c r="B222" t="s">
        <v>63</v>
      </c>
      <c r="C222" t="s">
        <v>589</v>
      </c>
      <c r="D222" t="s">
        <v>18</v>
      </c>
      <c r="E222" t="s">
        <v>19</v>
      </c>
      <c r="F222" t="s">
        <v>57</v>
      </c>
      <c r="G222" t="s">
        <v>296</v>
      </c>
      <c r="H222" s="1">
        <v>45477.693749999999</v>
      </c>
      <c r="I222" s="1">
        <v>45477.801388888889</v>
      </c>
      <c r="J222">
        <v>157</v>
      </c>
      <c r="K222">
        <v>155</v>
      </c>
      <c r="L222">
        <v>0</v>
      </c>
      <c r="M222" t="s">
        <v>41</v>
      </c>
      <c r="N222">
        <v>6</v>
      </c>
      <c r="O222">
        <v>358.87</v>
      </c>
    </row>
    <row r="223" spans="1:15" x14ac:dyDescent="0.35">
      <c r="A223" t="s">
        <v>590</v>
      </c>
      <c r="B223" t="s">
        <v>31</v>
      </c>
      <c r="C223" t="s">
        <v>591</v>
      </c>
      <c r="D223" t="s">
        <v>44</v>
      </c>
      <c r="E223" t="s">
        <v>19</v>
      </c>
      <c r="F223" t="s">
        <v>39</v>
      </c>
      <c r="G223" t="s">
        <v>354</v>
      </c>
      <c r="H223" s="1">
        <v>45408.115277777775</v>
      </c>
      <c r="I223" s="1">
        <v>45408.201388888891</v>
      </c>
      <c r="J223">
        <v>128</v>
      </c>
      <c r="K223">
        <v>124</v>
      </c>
      <c r="L223">
        <v>0</v>
      </c>
      <c r="M223" t="s">
        <v>41</v>
      </c>
      <c r="N223">
        <v>1</v>
      </c>
      <c r="O223">
        <v>308.68</v>
      </c>
    </row>
    <row r="224" spans="1:15" x14ac:dyDescent="0.35">
      <c r="A224" t="s">
        <v>592</v>
      </c>
      <c r="B224" t="s">
        <v>24</v>
      </c>
      <c r="C224" t="s">
        <v>593</v>
      </c>
      <c r="D224" t="s">
        <v>56</v>
      </c>
      <c r="E224" t="s">
        <v>38</v>
      </c>
      <c r="F224" t="s">
        <v>20</v>
      </c>
      <c r="G224" t="s">
        <v>594</v>
      </c>
      <c r="H224" s="1">
        <v>45320.051388888889</v>
      </c>
      <c r="I224" s="1">
        <v>45320.13958333333</v>
      </c>
      <c r="J224">
        <v>13</v>
      </c>
      <c r="K224">
        <v>127</v>
      </c>
      <c r="L224">
        <v>1</v>
      </c>
      <c r="M224" t="s">
        <v>29</v>
      </c>
      <c r="N224">
        <v>9</v>
      </c>
      <c r="O224">
        <v>497.37</v>
      </c>
    </row>
    <row r="225" spans="1:15" x14ac:dyDescent="0.35">
      <c r="A225" t="s">
        <v>595</v>
      </c>
      <c r="B225" t="s">
        <v>63</v>
      </c>
      <c r="C225" t="s">
        <v>596</v>
      </c>
      <c r="D225" t="s">
        <v>26</v>
      </c>
      <c r="E225" t="s">
        <v>33</v>
      </c>
      <c r="F225" t="s">
        <v>57</v>
      </c>
      <c r="G225" t="s">
        <v>228</v>
      </c>
      <c r="H225" s="1">
        <v>45516.965277777781</v>
      </c>
      <c r="I225" s="1">
        <v>45517.063194444447</v>
      </c>
      <c r="J225">
        <v>35</v>
      </c>
      <c r="K225">
        <v>141</v>
      </c>
      <c r="L225">
        <v>1</v>
      </c>
      <c r="M225" t="s">
        <v>22</v>
      </c>
      <c r="N225">
        <v>4</v>
      </c>
      <c r="O225">
        <v>56.41</v>
      </c>
    </row>
    <row r="226" spans="1:15" x14ac:dyDescent="0.35">
      <c r="A226" t="s">
        <v>597</v>
      </c>
      <c r="B226" t="s">
        <v>24</v>
      </c>
      <c r="C226" t="s">
        <v>598</v>
      </c>
      <c r="D226" t="s">
        <v>56</v>
      </c>
      <c r="E226" t="s">
        <v>38</v>
      </c>
      <c r="F226" t="s">
        <v>57</v>
      </c>
      <c r="G226" t="s">
        <v>599</v>
      </c>
      <c r="H226" s="1">
        <v>45434.3125</v>
      </c>
      <c r="I226" s="1">
        <v>45434.510416666664</v>
      </c>
      <c r="J226">
        <v>187</v>
      </c>
      <c r="K226">
        <v>285</v>
      </c>
      <c r="L226">
        <v>1</v>
      </c>
      <c r="M226" t="s">
        <v>41</v>
      </c>
      <c r="N226">
        <v>9</v>
      </c>
      <c r="O226">
        <v>417.75</v>
      </c>
    </row>
    <row r="227" spans="1:15" x14ac:dyDescent="0.35">
      <c r="A227" t="s">
        <v>600</v>
      </c>
      <c r="B227" t="s">
        <v>24</v>
      </c>
      <c r="C227" t="s">
        <v>601</v>
      </c>
      <c r="D227" t="s">
        <v>26</v>
      </c>
      <c r="E227" t="s">
        <v>85</v>
      </c>
      <c r="F227" t="s">
        <v>39</v>
      </c>
      <c r="G227" t="s">
        <v>602</v>
      </c>
      <c r="H227" s="1">
        <v>45394.038194444445</v>
      </c>
      <c r="I227" s="1">
        <v>45394.163194444445</v>
      </c>
      <c r="J227">
        <v>166</v>
      </c>
      <c r="K227">
        <v>180</v>
      </c>
      <c r="L227">
        <v>1</v>
      </c>
      <c r="M227" t="s">
        <v>22</v>
      </c>
      <c r="N227">
        <v>6</v>
      </c>
      <c r="O227">
        <v>241.19</v>
      </c>
    </row>
    <row r="228" spans="1:15" x14ac:dyDescent="0.35">
      <c r="A228" t="s">
        <v>603</v>
      </c>
      <c r="B228" t="s">
        <v>24</v>
      </c>
      <c r="C228" t="s">
        <v>604</v>
      </c>
      <c r="D228" t="s">
        <v>44</v>
      </c>
      <c r="E228" t="s">
        <v>19</v>
      </c>
      <c r="F228" t="s">
        <v>34</v>
      </c>
      <c r="G228" t="s">
        <v>132</v>
      </c>
      <c r="H228" s="1">
        <v>45446.275694444441</v>
      </c>
      <c r="I228" s="1">
        <v>45446.395138888889</v>
      </c>
      <c r="J228">
        <v>56</v>
      </c>
      <c r="K228">
        <v>172</v>
      </c>
      <c r="L228">
        <v>1</v>
      </c>
      <c r="M228" t="s">
        <v>41</v>
      </c>
      <c r="N228">
        <v>5</v>
      </c>
      <c r="O228">
        <v>262.04000000000002</v>
      </c>
    </row>
    <row r="229" spans="1:15" x14ac:dyDescent="0.35">
      <c r="A229" t="s">
        <v>605</v>
      </c>
      <c r="B229" t="s">
        <v>24</v>
      </c>
      <c r="C229" t="s">
        <v>606</v>
      </c>
      <c r="D229" t="s">
        <v>26</v>
      </c>
      <c r="E229" t="s">
        <v>19</v>
      </c>
      <c r="F229" t="s">
        <v>34</v>
      </c>
      <c r="G229" t="s">
        <v>146</v>
      </c>
      <c r="H229" s="1">
        <v>45450.770833333336</v>
      </c>
      <c r="I229" s="1">
        <v>45450.9</v>
      </c>
      <c r="J229">
        <v>157</v>
      </c>
      <c r="K229">
        <v>186</v>
      </c>
      <c r="L229">
        <v>1</v>
      </c>
      <c r="M229" t="s">
        <v>22</v>
      </c>
      <c r="N229">
        <v>3</v>
      </c>
      <c r="O229">
        <v>456.17</v>
      </c>
    </row>
    <row r="230" spans="1:15" x14ac:dyDescent="0.35">
      <c r="A230" t="s">
        <v>607</v>
      </c>
      <c r="B230" t="s">
        <v>31</v>
      </c>
      <c r="C230" t="s">
        <v>608</v>
      </c>
      <c r="D230" t="s">
        <v>44</v>
      </c>
      <c r="E230" t="s">
        <v>85</v>
      </c>
      <c r="F230" t="s">
        <v>34</v>
      </c>
      <c r="G230" t="s">
        <v>201</v>
      </c>
      <c r="H230" s="1">
        <v>45644.162499999999</v>
      </c>
      <c r="I230" s="1">
        <v>45644.277083333334</v>
      </c>
      <c r="J230">
        <v>64</v>
      </c>
      <c r="K230">
        <v>165</v>
      </c>
      <c r="L230">
        <v>1</v>
      </c>
      <c r="M230" t="s">
        <v>29</v>
      </c>
      <c r="N230">
        <v>3</v>
      </c>
      <c r="O230">
        <v>466.9</v>
      </c>
    </row>
    <row r="231" spans="1:15" x14ac:dyDescent="0.35">
      <c r="A231" t="s">
        <v>609</v>
      </c>
      <c r="B231" t="s">
        <v>31</v>
      </c>
      <c r="C231" t="s">
        <v>610</v>
      </c>
      <c r="D231" t="s">
        <v>26</v>
      </c>
      <c r="E231" t="s">
        <v>38</v>
      </c>
      <c r="F231" t="s">
        <v>34</v>
      </c>
      <c r="G231" t="s">
        <v>354</v>
      </c>
      <c r="H231" s="1">
        <v>45376.814583333333</v>
      </c>
      <c r="I231" s="1">
        <v>45376.945138888892</v>
      </c>
      <c r="J231">
        <v>157</v>
      </c>
      <c r="K231">
        <v>188</v>
      </c>
      <c r="L231">
        <v>1</v>
      </c>
      <c r="M231" t="s">
        <v>22</v>
      </c>
      <c r="N231">
        <v>9</v>
      </c>
      <c r="O231">
        <v>188.88</v>
      </c>
    </row>
    <row r="232" spans="1:15" x14ac:dyDescent="0.35">
      <c r="A232" t="s">
        <v>611</v>
      </c>
      <c r="B232" t="s">
        <v>16</v>
      </c>
      <c r="C232" t="s">
        <v>612</v>
      </c>
      <c r="D232" t="s">
        <v>48</v>
      </c>
      <c r="E232" t="s">
        <v>33</v>
      </c>
      <c r="F232" t="s">
        <v>27</v>
      </c>
      <c r="G232" t="s">
        <v>158</v>
      </c>
      <c r="H232" s="1">
        <v>45305.333333333336</v>
      </c>
      <c r="I232" s="1">
        <v>45305.549305555556</v>
      </c>
      <c r="J232">
        <v>228</v>
      </c>
      <c r="K232">
        <v>311</v>
      </c>
      <c r="L232">
        <v>1</v>
      </c>
      <c r="M232" t="s">
        <v>22</v>
      </c>
      <c r="N232">
        <v>10</v>
      </c>
      <c r="O232">
        <v>412.75</v>
      </c>
    </row>
    <row r="233" spans="1:15" x14ac:dyDescent="0.35">
      <c r="A233" t="s">
        <v>613</v>
      </c>
      <c r="B233" t="s">
        <v>51</v>
      </c>
      <c r="C233" t="s">
        <v>614</v>
      </c>
      <c r="D233" t="s">
        <v>18</v>
      </c>
      <c r="E233" t="s">
        <v>38</v>
      </c>
      <c r="F233" t="s">
        <v>57</v>
      </c>
      <c r="G233" t="s">
        <v>615</v>
      </c>
      <c r="H233" s="1">
        <v>45508.968055555553</v>
      </c>
      <c r="I233" s="1">
        <v>45509.072916666664</v>
      </c>
      <c r="J233">
        <v>67</v>
      </c>
      <c r="K233">
        <v>151</v>
      </c>
      <c r="L233">
        <v>1</v>
      </c>
      <c r="M233" t="s">
        <v>41</v>
      </c>
      <c r="N233">
        <v>5</v>
      </c>
      <c r="O233">
        <v>130.94999999999999</v>
      </c>
    </row>
    <row r="234" spans="1:15" x14ac:dyDescent="0.35">
      <c r="A234" t="s">
        <v>616</v>
      </c>
      <c r="B234" t="s">
        <v>51</v>
      </c>
      <c r="C234" t="s">
        <v>617</v>
      </c>
      <c r="D234" t="s">
        <v>56</v>
      </c>
      <c r="E234" t="s">
        <v>33</v>
      </c>
      <c r="F234" t="s">
        <v>34</v>
      </c>
      <c r="G234" t="s">
        <v>259</v>
      </c>
      <c r="H234" s="1">
        <v>45337.555555555555</v>
      </c>
      <c r="I234" s="1">
        <v>45337.722222222219</v>
      </c>
      <c r="J234">
        <v>163</v>
      </c>
      <c r="K234">
        <v>240</v>
      </c>
      <c r="L234">
        <v>1</v>
      </c>
      <c r="M234" t="s">
        <v>41</v>
      </c>
      <c r="N234">
        <v>2</v>
      </c>
      <c r="O234">
        <v>427.52</v>
      </c>
    </row>
    <row r="235" spans="1:15" x14ac:dyDescent="0.35">
      <c r="A235" t="s">
        <v>618</v>
      </c>
      <c r="B235" t="s">
        <v>51</v>
      </c>
      <c r="C235" t="s">
        <v>619</v>
      </c>
      <c r="D235" t="s">
        <v>44</v>
      </c>
      <c r="E235" t="s">
        <v>19</v>
      </c>
      <c r="F235" t="s">
        <v>57</v>
      </c>
      <c r="G235" t="s">
        <v>402</v>
      </c>
      <c r="H235" s="1">
        <v>45384.329861111109</v>
      </c>
      <c r="I235" s="1">
        <v>45384.527777777781</v>
      </c>
      <c r="J235">
        <v>207</v>
      </c>
      <c r="K235">
        <v>285</v>
      </c>
      <c r="L235">
        <v>1</v>
      </c>
      <c r="M235" t="s">
        <v>22</v>
      </c>
      <c r="N235">
        <v>4</v>
      </c>
      <c r="O235">
        <v>89.47</v>
      </c>
    </row>
    <row r="236" spans="1:15" x14ac:dyDescent="0.35">
      <c r="A236" t="s">
        <v>620</v>
      </c>
      <c r="B236" t="s">
        <v>16</v>
      </c>
      <c r="C236" t="s">
        <v>621</v>
      </c>
      <c r="D236" t="s">
        <v>48</v>
      </c>
      <c r="E236" t="s">
        <v>19</v>
      </c>
      <c r="F236" t="s">
        <v>57</v>
      </c>
      <c r="G236" t="s">
        <v>622</v>
      </c>
      <c r="H236" s="1">
        <v>45460.701388888891</v>
      </c>
      <c r="I236" s="1">
        <v>45460.814583333333</v>
      </c>
      <c r="J236">
        <v>118</v>
      </c>
      <c r="K236">
        <v>163</v>
      </c>
      <c r="L236">
        <v>1</v>
      </c>
      <c r="M236" t="s">
        <v>29</v>
      </c>
      <c r="N236">
        <v>10</v>
      </c>
      <c r="O236">
        <v>267.75</v>
      </c>
    </row>
    <row r="237" spans="1:15" x14ac:dyDescent="0.35">
      <c r="A237" t="s">
        <v>623</v>
      </c>
      <c r="B237" t="s">
        <v>51</v>
      </c>
      <c r="C237" t="s">
        <v>624</v>
      </c>
      <c r="D237" t="s">
        <v>48</v>
      </c>
      <c r="E237" t="s">
        <v>19</v>
      </c>
      <c r="F237" t="s">
        <v>34</v>
      </c>
      <c r="G237" t="s">
        <v>143</v>
      </c>
      <c r="H237" s="1">
        <v>45523.540972222225</v>
      </c>
      <c r="I237" s="1">
        <v>45523.732638888891</v>
      </c>
      <c r="J237">
        <v>157</v>
      </c>
      <c r="K237">
        <v>276</v>
      </c>
      <c r="L237">
        <v>1</v>
      </c>
      <c r="M237" t="s">
        <v>41</v>
      </c>
      <c r="N237">
        <v>7</v>
      </c>
      <c r="O237">
        <v>183.41</v>
      </c>
    </row>
    <row r="238" spans="1:15" x14ac:dyDescent="0.35">
      <c r="A238" t="s">
        <v>625</v>
      </c>
      <c r="B238" t="s">
        <v>31</v>
      </c>
      <c r="C238" t="s">
        <v>626</v>
      </c>
      <c r="D238" t="s">
        <v>26</v>
      </c>
      <c r="E238" t="s">
        <v>33</v>
      </c>
      <c r="F238" t="s">
        <v>39</v>
      </c>
      <c r="G238" t="s">
        <v>415</v>
      </c>
      <c r="H238" s="1">
        <v>45493.004861111112</v>
      </c>
      <c r="I238" s="1">
        <v>45493.150694444441</v>
      </c>
      <c r="J238">
        <v>153</v>
      </c>
      <c r="K238">
        <v>210</v>
      </c>
      <c r="L238">
        <v>1</v>
      </c>
      <c r="M238" t="s">
        <v>22</v>
      </c>
      <c r="N238">
        <v>10</v>
      </c>
      <c r="O238">
        <v>386.66</v>
      </c>
    </row>
    <row r="239" spans="1:15" x14ac:dyDescent="0.35">
      <c r="A239" t="s">
        <v>627</v>
      </c>
      <c r="B239" t="s">
        <v>16</v>
      </c>
      <c r="C239" t="s">
        <v>628</v>
      </c>
      <c r="D239" t="s">
        <v>26</v>
      </c>
      <c r="E239" t="s">
        <v>19</v>
      </c>
      <c r="F239" t="s">
        <v>57</v>
      </c>
      <c r="G239" t="s">
        <v>231</v>
      </c>
      <c r="H239" s="1">
        <v>45642.859027777777</v>
      </c>
      <c r="I239" s="1">
        <v>45642.949305555558</v>
      </c>
      <c r="J239">
        <v>122</v>
      </c>
      <c r="K239">
        <v>130</v>
      </c>
      <c r="L239">
        <v>1</v>
      </c>
      <c r="M239" t="s">
        <v>29</v>
      </c>
      <c r="N239">
        <v>2</v>
      </c>
      <c r="O239">
        <v>213.76</v>
      </c>
    </row>
    <row r="240" spans="1:15" x14ac:dyDescent="0.35">
      <c r="A240" t="s">
        <v>629</v>
      </c>
      <c r="B240" t="s">
        <v>31</v>
      </c>
      <c r="C240" t="s">
        <v>630</v>
      </c>
      <c r="D240" t="s">
        <v>56</v>
      </c>
      <c r="E240" t="s">
        <v>38</v>
      </c>
      <c r="F240" t="s">
        <v>20</v>
      </c>
      <c r="G240" t="s">
        <v>631</v>
      </c>
      <c r="H240" s="1">
        <v>45523.921527777777</v>
      </c>
      <c r="I240" s="1">
        <v>45524.010416666664</v>
      </c>
      <c r="J240">
        <v>108</v>
      </c>
      <c r="K240">
        <v>128</v>
      </c>
      <c r="L240">
        <v>1</v>
      </c>
      <c r="M240" t="s">
        <v>29</v>
      </c>
      <c r="N240">
        <v>5</v>
      </c>
      <c r="O240">
        <v>280.94</v>
      </c>
    </row>
    <row r="241" spans="1:15" x14ac:dyDescent="0.35">
      <c r="A241" t="s">
        <v>632</v>
      </c>
      <c r="B241" t="s">
        <v>16</v>
      </c>
      <c r="C241" t="s">
        <v>633</v>
      </c>
      <c r="D241" t="s">
        <v>56</v>
      </c>
      <c r="E241" t="s">
        <v>19</v>
      </c>
      <c r="F241" t="s">
        <v>34</v>
      </c>
      <c r="G241" t="s">
        <v>111</v>
      </c>
      <c r="H241" s="1">
        <v>45362.074305555558</v>
      </c>
      <c r="I241" s="1">
        <v>45362.138194444444</v>
      </c>
      <c r="J241">
        <v>97</v>
      </c>
      <c r="K241">
        <v>92</v>
      </c>
      <c r="L241">
        <v>0</v>
      </c>
      <c r="M241" t="s">
        <v>22</v>
      </c>
      <c r="N241">
        <v>2</v>
      </c>
      <c r="O241">
        <v>70.17</v>
      </c>
    </row>
    <row r="242" spans="1:15" x14ac:dyDescent="0.35">
      <c r="A242" t="s">
        <v>634</v>
      </c>
      <c r="B242" t="s">
        <v>16</v>
      </c>
      <c r="C242" t="s">
        <v>635</v>
      </c>
      <c r="D242" t="s">
        <v>26</v>
      </c>
      <c r="E242" t="s">
        <v>19</v>
      </c>
      <c r="F242" t="s">
        <v>34</v>
      </c>
      <c r="G242" t="s">
        <v>120</v>
      </c>
      <c r="H242" s="1">
        <v>45562.956944444442</v>
      </c>
      <c r="I242" s="1">
        <v>45563.05972222222</v>
      </c>
      <c r="J242">
        <v>40</v>
      </c>
      <c r="K242">
        <v>148</v>
      </c>
      <c r="L242">
        <v>1</v>
      </c>
      <c r="M242" t="s">
        <v>29</v>
      </c>
      <c r="N242">
        <v>3</v>
      </c>
      <c r="O242">
        <v>439.1</v>
      </c>
    </row>
    <row r="243" spans="1:15" x14ac:dyDescent="0.35">
      <c r="A243" t="s">
        <v>636</v>
      </c>
      <c r="B243" t="s">
        <v>63</v>
      </c>
      <c r="C243" t="s">
        <v>637</v>
      </c>
      <c r="D243" t="s">
        <v>48</v>
      </c>
      <c r="E243" t="s">
        <v>33</v>
      </c>
      <c r="F243" t="s">
        <v>39</v>
      </c>
      <c r="G243" t="s">
        <v>254</v>
      </c>
      <c r="H243" s="1">
        <v>45446.392361111109</v>
      </c>
      <c r="I243" s="1">
        <v>45446.583333333336</v>
      </c>
      <c r="J243">
        <v>216</v>
      </c>
      <c r="K243">
        <v>275</v>
      </c>
      <c r="L243">
        <v>1</v>
      </c>
      <c r="M243" t="s">
        <v>29</v>
      </c>
      <c r="N243">
        <v>9</v>
      </c>
      <c r="O243">
        <v>283.27999999999997</v>
      </c>
    </row>
    <row r="244" spans="1:15" x14ac:dyDescent="0.35">
      <c r="A244" t="s">
        <v>638</v>
      </c>
      <c r="B244" t="s">
        <v>51</v>
      </c>
      <c r="C244" t="s">
        <v>639</v>
      </c>
      <c r="D244" t="s">
        <v>48</v>
      </c>
      <c r="E244" t="s">
        <v>33</v>
      </c>
      <c r="F244" t="s">
        <v>34</v>
      </c>
      <c r="G244" t="s">
        <v>640</v>
      </c>
      <c r="H244" s="1">
        <v>45433.043055555558</v>
      </c>
      <c r="I244" s="1">
        <v>45433.261111111111</v>
      </c>
      <c r="J244">
        <v>206</v>
      </c>
      <c r="K244">
        <v>314</v>
      </c>
      <c r="L244">
        <v>1</v>
      </c>
      <c r="M244" t="s">
        <v>22</v>
      </c>
      <c r="N244">
        <v>9</v>
      </c>
      <c r="O244">
        <v>322.16000000000003</v>
      </c>
    </row>
    <row r="245" spans="1:15" x14ac:dyDescent="0.35">
      <c r="A245" t="s">
        <v>641</v>
      </c>
      <c r="B245" t="s">
        <v>16</v>
      </c>
      <c r="C245" t="s">
        <v>642</v>
      </c>
      <c r="D245" t="s">
        <v>26</v>
      </c>
      <c r="E245" t="s">
        <v>85</v>
      </c>
      <c r="F245" t="s">
        <v>20</v>
      </c>
      <c r="G245" t="s">
        <v>640</v>
      </c>
      <c r="H245" s="1">
        <v>45482.552777777775</v>
      </c>
      <c r="I245" s="1">
        <v>45482.714583333334</v>
      </c>
      <c r="J245">
        <v>138</v>
      </c>
      <c r="K245">
        <v>233</v>
      </c>
      <c r="L245">
        <v>1</v>
      </c>
      <c r="M245" t="s">
        <v>22</v>
      </c>
      <c r="N245">
        <v>8</v>
      </c>
      <c r="O245">
        <v>287.24</v>
      </c>
    </row>
    <row r="246" spans="1:15" x14ac:dyDescent="0.35">
      <c r="A246" t="s">
        <v>643</v>
      </c>
      <c r="B246" t="s">
        <v>63</v>
      </c>
      <c r="C246" t="s">
        <v>644</v>
      </c>
      <c r="D246" t="s">
        <v>18</v>
      </c>
      <c r="E246" t="s">
        <v>19</v>
      </c>
      <c r="F246" t="s">
        <v>27</v>
      </c>
      <c r="G246" t="s">
        <v>364</v>
      </c>
      <c r="H246" s="1">
        <v>45415.583333333336</v>
      </c>
      <c r="I246" s="1">
        <v>45415.722916666666</v>
      </c>
      <c r="J246">
        <v>138</v>
      </c>
      <c r="K246">
        <v>201</v>
      </c>
      <c r="L246">
        <v>1</v>
      </c>
      <c r="M246" t="s">
        <v>29</v>
      </c>
      <c r="N246">
        <v>3</v>
      </c>
      <c r="O246">
        <v>81.63</v>
      </c>
    </row>
    <row r="247" spans="1:15" x14ac:dyDescent="0.35">
      <c r="A247" t="s">
        <v>645</v>
      </c>
      <c r="B247" t="s">
        <v>51</v>
      </c>
      <c r="C247" t="s">
        <v>646</v>
      </c>
      <c r="D247" t="s">
        <v>26</v>
      </c>
      <c r="E247" t="s">
        <v>38</v>
      </c>
      <c r="F247" t="s">
        <v>34</v>
      </c>
      <c r="G247" t="s">
        <v>647</v>
      </c>
      <c r="H247" s="1">
        <v>45486.211805555555</v>
      </c>
      <c r="I247" s="1">
        <v>45486.401388888888</v>
      </c>
      <c r="J247">
        <v>176</v>
      </c>
      <c r="K247">
        <v>273</v>
      </c>
      <c r="L247">
        <v>1</v>
      </c>
      <c r="M247" t="s">
        <v>41</v>
      </c>
      <c r="N247">
        <v>10</v>
      </c>
      <c r="O247">
        <v>387.59</v>
      </c>
    </row>
    <row r="248" spans="1:15" x14ac:dyDescent="0.35">
      <c r="A248" t="s">
        <v>648</v>
      </c>
      <c r="B248" t="s">
        <v>51</v>
      </c>
      <c r="C248" t="s">
        <v>649</v>
      </c>
      <c r="D248" t="s">
        <v>26</v>
      </c>
      <c r="E248" t="s">
        <v>33</v>
      </c>
      <c r="F248" t="s">
        <v>27</v>
      </c>
      <c r="G248" t="s">
        <v>650</v>
      </c>
      <c r="H248" s="1">
        <v>45566.479861111111</v>
      </c>
      <c r="I248" s="1">
        <v>45566.652083333334</v>
      </c>
      <c r="J248">
        <v>176</v>
      </c>
      <c r="K248">
        <v>248</v>
      </c>
      <c r="L248">
        <v>1</v>
      </c>
      <c r="M248" t="s">
        <v>41</v>
      </c>
      <c r="N248">
        <v>4</v>
      </c>
      <c r="O248">
        <v>405.81</v>
      </c>
    </row>
    <row r="249" spans="1:15" x14ac:dyDescent="0.35">
      <c r="A249" t="s">
        <v>651</v>
      </c>
      <c r="B249" t="s">
        <v>51</v>
      </c>
      <c r="C249" t="s">
        <v>652</v>
      </c>
      <c r="D249" t="s">
        <v>18</v>
      </c>
      <c r="E249" t="s">
        <v>33</v>
      </c>
      <c r="F249" t="s">
        <v>39</v>
      </c>
      <c r="G249" t="s">
        <v>470</v>
      </c>
      <c r="H249" s="1">
        <v>45312.052777777775</v>
      </c>
      <c r="I249" s="1">
        <v>45312.206944444442</v>
      </c>
      <c r="J249">
        <v>114</v>
      </c>
      <c r="K249">
        <v>222</v>
      </c>
      <c r="L249">
        <v>1</v>
      </c>
      <c r="M249" t="s">
        <v>22</v>
      </c>
      <c r="N249">
        <v>6</v>
      </c>
      <c r="O249">
        <v>297.48</v>
      </c>
    </row>
    <row r="250" spans="1:15" x14ac:dyDescent="0.35">
      <c r="A250" t="s">
        <v>653</v>
      </c>
      <c r="B250" t="s">
        <v>16</v>
      </c>
      <c r="C250" t="s">
        <v>654</v>
      </c>
      <c r="D250" t="s">
        <v>18</v>
      </c>
      <c r="E250" t="s">
        <v>85</v>
      </c>
      <c r="F250" t="s">
        <v>27</v>
      </c>
      <c r="G250" t="s">
        <v>40</v>
      </c>
      <c r="H250" s="1">
        <v>45597.253472222219</v>
      </c>
      <c r="I250" s="1">
        <v>45597.387499999997</v>
      </c>
      <c r="J250">
        <v>148</v>
      </c>
      <c r="K250">
        <v>193</v>
      </c>
      <c r="L250">
        <v>1</v>
      </c>
      <c r="M250" t="s">
        <v>41</v>
      </c>
      <c r="N250">
        <v>1</v>
      </c>
      <c r="O250">
        <v>419</v>
      </c>
    </row>
    <row r="251" spans="1:15" x14ac:dyDescent="0.35">
      <c r="A251" t="s">
        <v>655</v>
      </c>
      <c r="B251" t="s">
        <v>16</v>
      </c>
      <c r="C251" t="s">
        <v>656</v>
      </c>
      <c r="D251" t="s">
        <v>18</v>
      </c>
      <c r="E251" t="s">
        <v>19</v>
      </c>
      <c r="F251" t="s">
        <v>34</v>
      </c>
      <c r="G251" t="s">
        <v>521</v>
      </c>
      <c r="H251" s="1">
        <v>45501.330555555556</v>
      </c>
      <c r="I251" s="1">
        <v>45501.34652777778</v>
      </c>
      <c r="J251">
        <v>24</v>
      </c>
      <c r="K251">
        <v>23</v>
      </c>
      <c r="L251">
        <v>0</v>
      </c>
      <c r="M251" t="s">
        <v>22</v>
      </c>
      <c r="N251">
        <v>2</v>
      </c>
      <c r="O251">
        <v>53.22</v>
      </c>
    </row>
    <row r="252" spans="1:15" x14ac:dyDescent="0.35">
      <c r="A252" t="s">
        <v>657</v>
      </c>
      <c r="B252" t="s">
        <v>31</v>
      </c>
      <c r="C252" t="s">
        <v>658</v>
      </c>
      <c r="D252" t="s">
        <v>44</v>
      </c>
      <c r="E252" t="s">
        <v>85</v>
      </c>
      <c r="F252" t="s">
        <v>39</v>
      </c>
      <c r="G252" t="s">
        <v>485</v>
      </c>
      <c r="H252" s="1">
        <v>45533.84097222222</v>
      </c>
      <c r="I252" s="1">
        <v>45533.950694444444</v>
      </c>
      <c r="J252">
        <v>146</v>
      </c>
      <c r="K252">
        <v>158</v>
      </c>
      <c r="L252">
        <v>1</v>
      </c>
      <c r="M252" t="s">
        <v>41</v>
      </c>
      <c r="N252">
        <v>8</v>
      </c>
      <c r="O252">
        <v>459.52</v>
      </c>
    </row>
    <row r="253" spans="1:15" x14ac:dyDescent="0.35">
      <c r="A253" t="s">
        <v>659</v>
      </c>
      <c r="B253" t="s">
        <v>16</v>
      </c>
      <c r="C253" t="s">
        <v>660</v>
      </c>
      <c r="D253" t="s">
        <v>44</v>
      </c>
      <c r="E253" t="s">
        <v>85</v>
      </c>
      <c r="F253" t="s">
        <v>20</v>
      </c>
      <c r="G253" t="s">
        <v>143</v>
      </c>
      <c r="H253" s="1">
        <v>45364.004166666666</v>
      </c>
      <c r="I253" s="1">
        <v>45364.161111111112</v>
      </c>
      <c r="J253">
        <v>154</v>
      </c>
      <c r="K253">
        <v>226</v>
      </c>
      <c r="L253">
        <v>1</v>
      </c>
      <c r="M253" t="s">
        <v>41</v>
      </c>
      <c r="N253">
        <v>4</v>
      </c>
      <c r="O253">
        <v>65.099999999999994</v>
      </c>
    </row>
    <row r="254" spans="1:15" x14ac:dyDescent="0.35">
      <c r="A254" t="s">
        <v>661</v>
      </c>
      <c r="B254" t="s">
        <v>51</v>
      </c>
      <c r="C254" t="s">
        <v>662</v>
      </c>
      <c r="D254" t="s">
        <v>26</v>
      </c>
      <c r="E254" t="s">
        <v>85</v>
      </c>
      <c r="F254" t="s">
        <v>39</v>
      </c>
      <c r="G254" t="s">
        <v>234</v>
      </c>
      <c r="H254" s="1">
        <v>45453.52847222222</v>
      </c>
      <c r="I254" s="1">
        <v>45453.591666666667</v>
      </c>
      <c r="J254">
        <v>24</v>
      </c>
      <c r="K254">
        <v>91</v>
      </c>
      <c r="L254">
        <v>1</v>
      </c>
      <c r="M254" t="s">
        <v>29</v>
      </c>
      <c r="N254">
        <v>9</v>
      </c>
      <c r="O254">
        <v>379.48</v>
      </c>
    </row>
    <row r="255" spans="1:15" x14ac:dyDescent="0.35">
      <c r="A255" t="s">
        <v>663</v>
      </c>
      <c r="B255" t="s">
        <v>63</v>
      </c>
      <c r="C255" t="s">
        <v>664</v>
      </c>
      <c r="D255" t="s">
        <v>18</v>
      </c>
      <c r="E255" t="s">
        <v>33</v>
      </c>
      <c r="F255" t="s">
        <v>27</v>
      </c>
      <c r="G255" t="s">
        <v>615</v>
      </c>
      <c r="H255" s="1">
        <v>45317.618750000001</v>
      </c>
      <c r="I255" s="1">
        <v>45317.737500000003</v>
      </c>
      <c r="J255">
        <v>114</v>
      </c>
      <c r="K255">
        <v>171</v>
      </c>
      <c r="L255">
        <v>1</v>
      </c>
      <c r="M255" t="s">
        <v>41</v>
      </c>
      <c r="N255">
        <v>10</v>
      </c>
      <c r="O255">
        <v>299.58</v>
      </c>
    </row>
    <row r="256" spans="1:15" x14ac:dyDescent="0.35">
      <c r="A256" t="s">
        <v>665</v>
      </c>
      <c r="B256" t="s">
        <v>24</v>
      </c>
      <c r="C256" t="s">
        <v>666</v>
      </c>
      <c r="D256" t="s">
        <v>26</v>
      </c>
      <c r="E256" t="s">
        <v>19</v>
      </c>
      <c r="F256" t="s">
        <v>34</v>
      </c>
      <c r="G256" t="s">
        <v>402</v>
      </c>
      <c r="H256" s="1">
        <v>45485.263888888891</v>
      </c>
      <c r="I256" s="1">
        <v>45485.313888888886</v>
      </c>
      <c r="J256">
        <v>28</v>
      </c>
      <c r="K256">
        <v>72</v>
      </c>
      <c r="L256">
        <v>1</v>
      </c>
      <c r="M256" t="s">
        <v>22</v>
      </c>
      <c r="N256">
        <v>10</v>
      </c>
      <c r="O256">
        <v>373.71</v>
      </c>
    </row>
    <row r="257" spans="1:15" x14ac:dyDescent="0.35">
      <c r="A257" t="s">
        <v>667</v>
      </c>
      <c r="B257" t="s">
        <v>63</v>
      </c>
      <c r="C257" t="s">
        <v>668</v>
      </c>
      <c r="D257" t="s">
        <v>18</v>
      </c>
      <c r="E257" t="s">
        <v>38</v>
      </c>
      <c r="F257" t="s">
        <v>39</v>
      </c>
      <c r="G257" t="s">
        <v>669</v>
      </c>
      <c r="H257" s="1">
        <v>45558.020833333336</v>
      </c>
      <c r="I257" s="1">
        <v>45558.154861111114</v>
      </c>
      <c r="J257">
        <v>115</v>
      </c>
      <c r="K257">
        <v>193</v>
      </c>
      <c r="L257">
        <v>1</v>
      </c>
      <c r="M257" t="s">
        <v>29</v>
      </c>
      <c r="N257">
        <v>8</v>
      </c>
      <c r="O257">
        <v>447.27</v>
      </c>
    </row>
    <row r="258" spans="1:15" x14ac:dyDescent="0.35">
      <c r="A258" t="s">
        <v>670</v>
      </c>
      <c r="B258" t="s">
        <v>51</v>
      </c>
      <c r="C258" t="s">
        <v>671</v>
      </c>
      <c r="D258" t="s">
        <v>26</v>
      </c>
      <c r="E258" t="s">
        <v>85</v>
      </c>
      <c r="F258" t="s">
        <v>27</v>
      </c>
      <c r="G258" t="s">
        <v>354</v>
      </c>
      <c r="H258" s="1">
        <v>45293.261111111111</v>
      </c>
      <c r="I258" s="1">
        <v>45293.330555555556</v>
      </c>
      <c r="J258">
        <v>53</v>
      </c>
      <c r="K258">
        <v>100</v>
      </c>
      <c r="L258">
        <v>1</v>
      </c>
      <c r="M258" t="s">
        <v>22</v>
      </c>
      <c r="N258">
        <v>7</v>
      </c>
      <c r="O258">
        <v>227.94</v>
      </c>
    </row>
    <row r="259" spans="1:15" x14ac:dyDescent="0.35">
      <c r="A259" t="s">
        <v>672</v>
      </c>
      <c r="B259" t="s">
        <v>31</v>
      </c>
      <c r="C259" t="s">
        <v>673</v>
      </c>
      <c r="D259" t="s">
        <v>48</v>
      </c>
      <c r="E259" t="s">
        <v>33</v>
      </c>
      <c r="F259" t="s">
        <v>57</v>
      </c>
      <c r="G259" t="s">
        <v>40</v>
      </c>
      <c r="H259" s="1">
        <v>45310.462500000001</v>
      </c>
      <c r="I259" s="1">
        <v>45310.469444444447</v>
      </c>
      <c r="J259">
        <v>11</v>
      </c>
      <c r="K259">
        <v>10</v>
      </c>
      <c r="L259">
        <v>0</v>
      </c>
      <c r="M259" t="s">
        <v>29</v>
      </c>
      <c r="N259">
        <v>10</v>
      </c>
      <c r="O259">
        <v>496.1</v>
      </c>
    </row>
    <row r="260" spans="1:15" x14ac:dyDescent="0.35">
      <c r="A260" t="s">
        <v>674</v>
      </c>
      <c r="B260" t="s">
        <v>63</v>
      </c>
      <c r="C260" t="s">
        <v>675</v>
      </c>
      <c r="D260" t="s">
        <v>48</v>
      </c>
      <c r="E260" t="s">
        <v>38</v>
      </c>
      <c r="F260" t="s">
        <v>57</v>
      </c>
      <c r="G260" t="s">
        <v>676</v>
      </c>
      <c r="H260" s="1">
        <v>45410.152083333334</v>
      </c>
      <c r="I260" s="1">
        <v>45410.223611111112</v>
      </c>
      <c r="J260">
        <v>74</v>
      </c>
      <c r="K260">
        <v>103</v>
      </c>
      <c r="L260">
        <v>1</v>
      </c>
      <c r="M260" t="s">
        <v>29</v>
      </c>
      <c r="N260">
        <v>3</v>
      </c>
      <c r="O260">
        <v>312.01</v>
      </c>
    </row>
    <row r="261" spans="1:15" x14ac:dyDescent="0.35">
      <c r="A261" t="s">
        <v>677</v>
      </c>
      <c r="B261" t="s">
        <v>24</v>
      </c>
      <c r="C261" t="s">
        <v>678</v>
      </c>
      <c r="D261" t="s">
        <v>26</v>
      </c>
      <c r="E261" t="s">
        <v>38</v>
      </c>
      <c r="F261" t="s">
        <v>57</v>
      </c>
      <c r="G261" t="s">
        <v>308</v>
      </c>
      <c r="H261" s="1">
        <v>45500.866666666669</v>
      </c>
      <c r="I261" s="1">
        <v>45501.020138888889</v>
      </c>
      <c r="J261">
        <v>178</v>
      </c>
      <c r="K261">
        <v>221</v>
      </c>
      <c r="L261">
        <v>1</v>
      </c>
      <c r="M261" t="s">
        <v>29</v>
      </c>
      <c r="N261">
        <v>4</v>
      </c>
      <c r="O261">
        <v>345.99</v>
      </c>
    </row>
    <row r="262" spans="1:15" x14ac:dyDescent="0.35">
      <c r="A262" t="s">
        <v>679</v>
      </c>
      <c r="B262" t="s">
        <v>31</v>
      </c>
      <c r="C262" t="s">
        <v>680</v>
      </c>
      <c r="D262" t="s">
        <v>44</v>
      </c>
      <c r="E262" t="s">
        <v>85</v>
      </c>
      <c r="F262" t="s">
        <v>34</v>
      </c>
      <c r="G262" t="s">
        <v>681</v>
      </c>
      <c r="H262" s="1">
        <v>45536.289583333331</v>
      </c>
      <c r="I262" s="1">
        <v>45536.431250000001</v>
      </c>
      <c r="J262">
        <v>110</v>
      </c>
      <c r="K262">
        <v>204</v>
      </c>
      <c r="L262">
        <v>1</v>
      </c>
      <c r="M262" t="s">
        <v>41</v>
      </c>
      <c r="N262">
        <v>9</v>
      </c>
      <c r="O262">
        <v>457.84</v>
      </c>
    </row>
    <row r="263" spans="1:15" x14ac:dyDescent="0.35">
      <c r="A263" t="s">
        <v>682</v>
      </c>
      <c r="B263" t="s">
        <v>31</v>
      </c>
      <c r="C263" t="s">
        <v>683</v>
      </c>
      <c r="D263" t="s">
        <v>48</v>
      </c>
      <c r="E263" t="s">
        <v>19</v>
      </c>
      <c r="F263" t="s">
        <v>39</v>
      </c>
      <c r="G263" t="s">
        <v>684</v>
      </c>
      <c r="H263" s="1">
        <v>45624.53402777778</v>
      </c>
      <c r="I263" s="1">
        <v>45624.663888888892</v>
      </c>
      <c r="J263">
        <v>131</v>
      </c>
      <c r="K263">
        <v>187</v>
      </c>
      <c r="L263">
        <v>1</v>
      </c>
      <c r="M263" t="s">
        <v>41</v>
      </c>
      <c r="N263">
        <v>4</v>
      </c>
      <c r="O263">
        <v>171.18</v>
      </c>
    </row>
    <row r="264" spans="1:15" x14ac:dyDescent="0.35">
      <c r="A264" t="s">
        <v>685</v>
      </c>
      <c r="B264" t="s">
        <v>51</v>
      </c>
      <c r="C264" t="s">
        <v>686</v>
      </c>
      <c r="D264" t="s">
        <v>56</v>
      </c>
      <c r="E264" t="s">
        <v>33</v>
      </c>
      <c r="F264" t="s">
        <v>57</v>
      </c>
      <c r="G264" t="s">
        <v>120</v>
      </c>
      <c r="H264" s="1">
        <v>45397.415972222225</v>
      </c>
      <c r="I264" s="1">
        <v>45397.544444444444</v>
      </c>
      <c r="J264">
        <v>147</v>
      </c>
      <c r="K264">
        <v>185</v>
      </c>
      <c r="L264">
        <v>1</v>
      </c>
      <c r="M264" t="s">
        <v>22</v>
      </c>
      <c r="N264">
        <v>5</v>
      </c>
      <c r="O264">
        <v>387.03</v>
      </c>
    </row>
    <row r="265" spans="1:15" x14ac:dyDescent="0.35">
      <c r="A265" t="s">
        <v>687</v>
      </c>
      <c r="B265" t="s">
        <v>31</v>
      </c>
      <c r="C265" t="s">
        <v>688</v>
      </c>
      <c r="D265" t="s">
        <v>48</v>
      </c>
      <c r="E265" t="s">
        <v>85</v>
      </c>
      <c r="F265" t="s">
        <v>34</v>
      </c>
      <c r="G265" t="s">
        <v>354</v>
      </c>
      <c r="H265" s="1">
        <v>45605.931250000001</v>
      </c>
      <c r="I265" s="1">
        <v>45606.018055555556</v>
      </c>
      <c r="J265">
        <v>24</v>
      </c>
      <c r="K265">
        <v>125</v>
      </c>
      <c r="L265">
        <v>1</v>
      </c>
      <c r="M265" t="s">
        <v>41</v>
      </c>
      <c r="N265">
        <v>9</v>
      </c>
      <c r="O265">
        <v>225.57</v>
      </c>
    </row>
    <row r="266" spans="1:15" x14ac:dyDescent="0.35">
      <c r="A266" t="s">
        <v>689</v>
      </c>
      <c r="B266" t="s">
        <v>51</v>
      </c>
      <c r="C266" t="s">
        <v>690</v>
      </c>
      <c r="D266" t="s">
        <v>56</v>
      </c>
      <c r="E266" t="s">
        <v>19</v>
      </c>
      <c r="F266" t="s">
        <v>57</v>
      </c>
      <c r="G266" t="s">
        <v>691</v>
      </c>
      <c r="H266" s="1">
        <v>45428.906944444447</v>
      </c>
      <c r="I266" s="1">
        <v>45428.963888888888</v>
      </c>
      <c r="J266">
        <v>31</v>
      </c>
      <c r="K266">
        <v>82</v>
      </c>
      <c r="L266">
        <v>1</v>
      </c>
      <c r="M266" t="s">
        <v>29</v>
      </c>
      <c r="N266">
        <v>2</v>
      </c>
      <c r="O266">
        <v>104.31</v>
      </c>
    </row>
    <row r="267" spans="1:15" x14ac:dyDescent="0.35">
      <c r="A267" t="s">
        <v>692</v>
      </c>
      <c r="B267" t="s">
        <v>51</v>
      </c>
      <c r="C267" t="s">
        <v>693</v>
      </c>
      <c r="D267" t="s">
        <v>56</v>
      </c>
      <c r="E267" t="s">
        <v>19</v>
      </c>
      <c r="F267" t="s">
        <v>27</v>
      </c>
      <c r="G267" t="s">
        <v>316</v>
      </c>
      <c r="H267" s="1">
        <v>45386.435416666667</v>
      </c>
      <c r="I267" s="1">
        <v>45386.681250000001</v>
      </c>
      <c r="J267">
        <v>236</v>
      </c>
      <c r="K267">
        <v>354</v>
      </c>
      <c r="L267">
        <v>1</v>
      </c>
      <c r="M267" t="s">
        <v>29</v>
      </c>
      <c r="N267">
        <v>1</v>
      </c>
      <c r="O267">
        <v>416.86</v>
      </c>
    </row>
    <row r="268" spans="1:15" x14ac:dyDescent="0.35">
      <c r="A268" t="s">
        <v>694</v>
      </c>
      <c r="B268" t="s">
        <v>31</v>
      </c>
      <c r="C268" t="s">
        <v>695</v>
      </c>
      <c r="D268" t="s">
        <v>26</v>
      </c>
      <c r="E268" t="s">
        <v>19</v>
      </c>
      <c r="F268" t="s">
        <v>27</v>
      </c>
      <c r="G268" t="s">
        <v>338</v>
      </c>
      <c r="H268" s="1">
        <v>45409.1</v>
      </c>
      <c r="I268" s="1">
        <v>45409.315972222219</v>
      </c>
      <c r="J268">
        <v>222</v>
      </c>
      <c r="K268">
        <v>311</v>
      </c>
      <c r="L268">
        <v>1</v>
      </c>
      <c r="M268" t="s">
        <v>29</v>
      </c>
      <c r="N268">
        <v>2</v>
      </c>
      <c r="O268">
        <v>236.46</v>
      </c>
    </row>
    <row r="269" spans="1:15" x14ac:dyDescent="0.35">
      <c r="A269" t="s">
        <v>696</v>
      </c>
      <c r="B269" t="s">
        <v>51</v>
      </c>
      <c r="C269" t="s">
        <v>697</v>
      </c>
      <c r="D269" t="s">
        <v>48</v>
      </c>
      <c r="E269" t="s">
        <v>19</v>
      </c>
      <c r="F269" t="s">
        <v>39</v>
      </c>
      <c r="G269" t="s">
        <v>194</v>
      </c>
      <c r="H269" s="1">
        <v>45369.204861111109</v>
      </c>
      <c r="I269" s="1">
        <v>45369.254166666666</v>
      </c>
      <c r="J269">
        <v>33</v>
      </c>
      <c r="K269">
        <v>71</v>
      </c>
      <c r="L269">
        <v>1</v>
      </c>
      <c r="M269" t="s">
        <v>41</v>
      </c>
      <c r="N269">
        <v>4</v>
      </c>
      <c r="O269">
        <v>393.13</v>
      </c>
    </row>
    <row r="270" spans="1:15" x14ac:dyDescent="0.35">
      <c r="A270" t="s">
        <v>698</v>
      </c>
      <c r="B270" t="s">
        <v>51</v>
      </c>
      <c r="C270" t="s">
        <v>699</v>
      </c>
      <c r="D270" t="s">
        <v>44</v>
      </c>
      <c r="E270" t="s">
        <v>33</v>
      </c>
      <c r="F270" t="s">
        <v>27</v>
      </c>
      <c r="G270" t="s">
        <v>700</v>
      </c>
      <c r="H270" s="1">
        <v>45498.000694444447</v>
      </c>
      <c r="I270" s="1">
        <v>45498.105555555558</v>
      </c>
      <c r="J270">
        <v>132</v>
      </c>
      <c r="K270">
        <v>151</v>
      </c>
      <c r="L270">
        <v>1</v>
      </c>
      <c r="M270" t="s">
        <v>22</v>
      </c>
      <c r="N270">
        <v>7</v>
      </c>
      <c r="O270">
        <v>227.97</v>
      </c>
    </row>
    <row r="271" spans="1:15" x14ac:dyDescent="0.35">
      <c r="A271" t="s">
        <v>701</v>
      </c>
      <c r="B271" t="s">
        <v>31</v>
      </c>
      <c r="C271" t="s">
        <v>702</v>
      </c>
      <c r="D271" t="s">
        <v>44</v>
      </c>
      <c r="E271" t="s">
        <v>19</v>
      </c>
      <c r="F271" t="s">
        <v>34</v>
      </c>
      <c r="G271" t="s">
        <v>296</v>
      </c>
      <c r="H271" s="1">
        <v>45441.726388888892</v>
      </c>
      <c r="I271" s="1">
        <v>45441.931944444441</v>
      </c>
      <c r="J271">
        <v>222</v>
      </c>
      <c r="K271">
        <v>296</v>
      </c>
      <c r="L271">
        <v>1</v>
      </c>
      <c r="M271" t="s">
        <v>22</v>
      </c>
      <c r="N271">
        <v>4</v>
      </c>
      <c r="O271">
        <v>371.48</v>
      </c>
    </row>
    <row r="272" spans="1:15" x14ac:dyDescent="0.35">
      <c r="A272" t="s">
        <v>703</v>
      </c>
      <c r="B272" t="s">
        <v>51</v>
      </c>
      <c r="C272" t="s">
        <v>704</v>
      </c>
      <c r="D272" t="s">
        <v>18</v>
      </c>
      <c r="E272" t="s">
        <v>19</v>
      </c>
      <c r="F272" t="s">
        <v>20</v>
      </c>
      <c r="G272" t="s">
        <v>108</v>
      </c>
      <c r="H272" s="1">
        <v>45623.23541666667</v>
      </c>
      <c r="I272" s="1">
        <v>45623.415277777778</v>
      </c>
      <c r="J272">
        <v>203</v>
      </c>
      <c r="K272">
        <v>259</v>
      </c>
      <c r="L272">
        <v>1</v>
      </c>
      <c r="M272" t="s">
        <v>22</v>
      </c>
      <c r="N272">
        <v>2</v>
      </c>
      <c r="O272">
        <v>125.05</v>
      </c>
    </row>
    <row r="273" spans="1:15" x14ac:dyDescent="0.35">
      <c r="A273" t="s">
        <v>705</v>
      </c>
      <c r="B273" t="s">
        <v>63</v>
      </c>
      <c r="C273" t="s">
        <v>706</v>
      </c>
      <c r="D273" t="s">
        <v>48</v>
      </c>
      <c r="E273" t="s">
        <v>33</v>
      </c>
      <c r="F273" t="s">
        <v>34</v>
      </c>
      <c r="G273" t="s">
        <v>129</v>
      </c>
      <c r="H273" s="1">
        <v>45378.67083333333</v>
      </c>
      <c r="I273" s="1">
        <v>45378.789583333331</v>
      </c>
      <c r="J273">
        <v>168</v>
      </c>
      <c r="K273">
        <v>171</v>
      </c>
      <c r="L273">
        <v>1</v>
      </c>
      <c r="M273" t="s">
        <v>41</v>
      </c>
      <c r="N273">
        <v>10</v>
      </c>
      <c r="O273">
        <v>367.23</v>
      </c>
    </row>
    <row r="274" spans="1:15" x14ac:dyDescent="0.35">
      <c r="A274" t="s">
        <v>707</v>
      </c>
      <c r="B274" t="s">
        <v>16</v>
      </c>
      <c r="C274" t="s">
        <v>708</v>
      </c>
      <c r="D274" t="s">
        <v>56</v>
      </c>
      <c r="E274" t="s">
        <v>33</v>
      </c>
      <c r="F274" t="s">
        <v>39</v>
      </c>
      <c r="G274" t="s">
        <v>210</v>
      </c>
      <c r="H274" s="1">
        <v>45625.22152777778</v>
      </c>
      <c r="I274" s="1">
        <v>45625.446527777778</v>
      </c>
      <c r="J274">
        <v>215</v>
      </c>
      <c r="K274">
        <v>324</v>
      </c>
      <c r="L274">
        <v>1</v>
      </c>
      <c r="M274" t="s">
        <v>41</v>
      </c>
      <c r="N274">
        <v>10</v>
      </c>
      <c r="O274">
        <v>156.22999999999999</v>
      </c>
    </row>
    <row r="275" spans="1:15" x14ac:dyDescent="0.35">
      <c r="A275" t="s">
        <v>709</v>
      </c>
      <c r="B275" t="s">
        <v>63</v>
      </c>
      <c r="C275" t="s">
        <v>710</v>
      </c>
      <c r="D275" t="s">
        <v>18</v>
      </c>
      <c r="E275" t="s">
        <v>19</v>
      </c>
      <c r="F275" t="s">
        <v>39</v>
      </c>
      <c r="G275" t="s">
        <v>308</v>
      </c>
      <c r="H275" s="1">
        <v>45556.075694444444</v>
      </c>
      <c r="I275" s="1">
        <v>45556.167361111111</v>
      </c>
      <c r="J275">
        <v>137</v>
      </c>
      <c r="K275">
        <v>132</v>
      </c>
      <c r="L275">
        <v>0</v>
      </c>
      <c r="M275" t="s">
        <v>22</v>
      </c>
      <c r="N275">
        <v>1</v>
      </c>
      <c r="O275">
        <v>267.16000000000003</v>
      </c>
    </row>
    <row r="276" spans="1:15" x14ac:dyDescent="0.35">
      <c r="A276" t="s">
        <v>711</v>
      </c>
      <c r="B276" t="s">
        <v>16</v>
      </c>
      <c r="C276" t="s">
        <v>712</v>
      </c>
      <c r="D276" t="s">
        <v>48</v>
      </c>
      <c r="E276" t="s">
        <v>33</v>
      </c>
      <c r="F276" t="s">
        <v>20</v>
      </c>
      <c r="G276" t="s">
        <v>383</v>
      </c>
      <c r="H276" s="1">
        <v>45367.269444444442</v>
      </c>
      <c r="I276" s="1">
        <v>45367.429166666669</v>
      </c>
      <c r="J276">
        <v>136</v>
      </c>
      <c r="K276">
        <v>230</v>
      </c>
      <c r="L276">
        <v>1</v>
      </c>
      <c r="M276" t="s">
        <v>22</v>
      </c>
      <c r="N276">
        <v>2</v>
      </c>
      <c r="O276">
        <v>331.39</v>
      </c>
    </row>
    <row r="277" spans="1:15" x14ac:dyDescent="0.35">
      <c r="A277" t="s">
        <v>713</v>
      </c>
      <c r="B277" t="s">
        <v>51</v>
      </c>
      <c r="C277" t="s">
        <v>714</v>
      </c>
      <c r="D277" t="s">
        <v>18</v>
      </c>
      <c r="E277" t="s">
        <v>19</v>
      </c>
      <c r="F277" t="s">
        <v>27</v>
      </c>
      <c r="G277" t="s">
        <v>470</v>
      </c>
      <c r="H277" s="1">
        <v>45415.725694444445</v>
      </c>
      <c r="I277" s="1">
        <v>45415.813194444447</v>
      </c>
      <c r="J277">
        <v>17</v>
      </c>
      <c r="K277">
        <v>126</v>
      </c>
      <c r="L277">
        <v>1</v>
      </c>
      <c r="M277" t="s">
        <v>22</v>
      </c>
      <c r="N277">
        <v>4</v>
      </c>
      <c r="O277">
        <v>145.96</v>
      </c>
    </row>
    <row r="278" spans="1:15" x14ac:dyDescent="0.35">
      <c r="A278" t="s">
        <v>715</v>
      </c>
      <c r="B278" t="s">
        <v>63</v>
      </c>
      <c r="C278" t="s">
        <v>716</v>
      </c>
      <c r="D278" t="s">
        <v>26</v>
      </c>
      <c r="E278" t="s">
        <v>19</v>
      </c>
      <c r="F278" t="s">
        <v>34</v>
      </c>
      <c r="G278" t="s">
        <v>182</v>
      </c>
      <c r="H278" s="1">
        <v>45620.218055555553</v>
      </c>
      <c r="I278" s="1">
        <v>45620.383333333331</v>
      </c>
      <c r="J278">
        <v>229</v>
      </c>
      <c r="K278">
        <v>238</v>
      </c>
      <c r="L278">
        <v>1</v>
      </c>
      <c r="M278" t="s">
        <v>29</v>
      </c>
      <c r="N278">
        <v>8</v>
      </c>
      <c r="O278">
        <v>168.09</v>
      </c>
    </row>
    <row r="279" spans="1:15" x14ac:dyDescent="0.35">
      <c r="A279" t="s">
        <v>717</v>
      </c>
      <c r="B279" t="s">
        <v>63</v>
      </c>
      <c r="C279" t="s">
        <v>718</v>
      </c>
      <c r="D279" t="s">
        <v>48</v>
      </c>
      <c r="E279" t="s">
        <v>33</v>
      </c>
      <c r="F279" t="s">
        <v>34</v>
      </c>
      <c r="G279" t="s">
        <v>335</v>
      </c>
      <c r="H279" s="1">
        <v>45304.847916666666</v>
      </c>
      <c r="I279" s="1">
        <v>45305.034722222219</v>
      </c>
      <c r="J279">
        <v>193</v>
      </c>
      <c r="K279">
        <v>269</v>
      </c>
      <c r="L279">
        <v>1</v>
      </c>
      <c r="M279" t="s">
        <v>29</v>
      </c>
      <c r="N279">
        <v>4</v>
      </c>
      <c r="O279">
        <v>321.02</v>
      </c>
    </row>
    <row r="280" spans="1:15" x14ac:dyDescent="0.35">
      <c r="A280" t="s">
        <v>719</v>
      </c>
      <c r="B280" t="s">
        <v>51</v>
      </c>
      <c r="C280" t="s">
        <v>720</v>
      </c>
      <c r="D280" t="s">
        <v>56</v>
      </c>
      <c r="E280" t="s">
        <v>85</v>
      </c>
      <c r="F280" t="s">
        <v>39</v>
      </c>
      <c r="G280" t="s">
        <v>473</v>
      </c>
      <c r="H280" s="1">
        <v>45622.220833333333</v>
      </c>
      <c r="I280" s="1">
        <v>45622.399305555555</v>
      </c>
      <c r="J280">
        <v>159</v>
      </c>
      <c r="K280">
        <v>257</v>
      </c>
      <c r="L280">
        <v>1</v>
      </c>
      <c r="M280" t="s">
        <v>29</v>
      </c>
      <c r="N280">
        <v>10</v>
      </c>
      <c r="O280">
        <v>262.70999999999998</v>
      </c>
    </row>
    <row r="281" spans="1:15" x14ac:dyDescent="0.35">
      <c r="A281" t="s">
        <v>721</v>
      </c>
      <c r="B281" t="s">
        <v>16</v>
      </c>
      <c r="C281" t="s">
        <v>722</v>
      </c>
      <c r="D281" t="s">
        <v>26</v>
      </c>
      <c r="E281" t="s">
        <v>38</v>
      </c>
      <c r="F281" t="s">
        <v>57</v>
      </c>
      <c r="G281" t="s">
        <v>335</v>
      </c>
      <c r="H281" s="1">
        <v>45491.029166666667</v>
      </c>
      <c r="I281" s="1">
        <v>45491.084722222222</v>
      </c>
      <c r="J281">
        <v>57</v>
      </c>
      <c r="K281">
        <v>80</v>
      </c>
      <c r="L281">
        <v>1</v>
      </c>
      <c r="M281" t="s">
        <v>29</v>
      </c>
      <c r="N281">
        <v>8</v>
      </c>
      <c r="O281">
        <v>454.03</v>
      </c>
    </row>
    <row r="282" spans="1:15" x14ac:dyDescent="0.35">
      <c r="A282" t="s">
        <v>723</v>
      </c>
      <c r="B282" t="s">
        <v>63</v>
      </c>
      <c r="C282" t="s">
        <v>724</v>
      </c>
      <c r="D282" t="s">
        <v>26</v>
      </c>
      <c r="E282" t="s">
        <v>19</v>
      </c>
      <c r="F282" t="s">
        <v>20</v>
      </c>
      <c r="G282" t="s">
        <v>335</v>
      </c>
      <c r="H282" s="1">
        <v>45419.956944444442</v>
      </c>
      <c r="I282" s="1">
        <v>45420.021527777775</v>
      </c>
      <c r="J282">
        <v>23</v>
      </c>
      <c r="K282">
        <v>93</v>
      </c>
      <c r="L282">
        <v>1</v>
      </c>
      <c r="M282" t="s">
        <v>41</v>
      </c>
      <c r="N282">
        <v>1</v>
      </c>
      <c r="O282">
        <v>333.48</v>
      </c>
    </row>
    <row r="283" spans="1:15" x14ac:dyDescent="0.35">
      <c r="A283" t="s">
        <v>725</v>
      </c>
      <c r="B283" t="s">
        <v>24</v>
      </c>
      <c r="C283" t="s">
        <v>726</v>
      </c>
      <c r="D283" t="s">
        <v>26</v>
      </c>
      <c r="E283" t="s">
        <v>85</v>
      </c>
      <c r="F283" t="s">
        <v>57</v>
      </c>
      <c r="G283" t="s">
        <v>88</v>
      </c>
      <c r="H283" s="1">
        <v>45299.984027777777</v>
      </c>
      <c r="I283" s="1">
        <v>45300.127083333333</v>
      </c>
      <c r="J283">
        <v>190</v>
      </c>
      <c r="K283">
        <v>206</v>
      </c>
      <c r="L283">
        <v>1</v>
      </c>
      <c r="M283" t="s">
        <v>22</v>
      </c>
      <c r="N283">
        <v>1</v>
      </c>
      <c r="O283">
        <v>143.80000000000001</v>
      </c>
    </row>
    <row r="284" spans="1:15" x14ac:dyDescent="0.35">
      <c r="A284" t="s">
        <v>727</v>
      </c>
      <c r="B284" t="s">
        <v>51</v>
      </c>
      <c r="C284" t="s">
        <v>728</v>
      </c>
      <c r="D284" t="s">
        <v>44</v>
      </c>
      <c r="E284" t="s">
        <v>85</v>
      </c>
      <c r="F284" t="s">
        <v>20</v>
      </c>
      <c r="G284" t="s">
        <v>167</v>
      </c>
      <c r="H284" s="1">
        <v>45561.838888888888</v>
      </c>
      <c r="I284" s="1">
        <v>45561.897222222222</v>
      </c>
      <c r="J284">
        <v>70</v>
      </c>
      <c r="K284">
        <v>84</v>
      </c>
      <c r="L284">
        <v>1</v>
      </c>
      <c r="M284" t="s">
        <v>29</v>
      </c>
      <c r="N284">
        <v>10</v>
      </c>
      <c r="O284">
        <v>432.35</v>
      </c>
    </row>
    <row r="285" spans="1:15" x14ac:dyDescent="0.35">
      <c r="A285" t="s">
        <v>729</v>
      </c>
      <c r="B285" t="s">
        <v>16</v>
      </c>
      <c r="C285" t="s">
        <v>730</v>
      </c>
      <c r="D285" t="s">
        <v>56</v>
      </c>
      <c r="E285" t="s">
        <v>19</v>
      </c>
      <c r="F285" t="s">
        <v>20</v>
      </c>
      <c r="G285" t="s">
        <v>191</v>
      </c>
      <c r="H285" s="1">
        <v>45612.57708333333</v>
      </c>
      <c r="I285" s="1">
        <v>45612.772222222222</v>
      </c>
      <c r="J285">
        <v>198</v>
      </c>
      <c r="K285">
        <v>281</v>
      </c>
      <c r="L285">
        <v>1</v>
      </c>
      <c r="M285" t="s">
        <v>29</v>
      </c>
      <c r="N285">
        <v>5</v>
      </c>
      <c r="O285">
        <v>212.34</v>
      </c>
    </row>
    <row r="286" spans="1:15" x14ac:dyDescent="0.35">
      <c r="A286" t="s">
        <v>731</v>
      </c>
      <c r="B286" t="s">
        <v>31</v>
      </c>
      <c r="C286" t="s">
        <v>732</v>
      </c>
      <c r="D286" t="s">
        <v>18</v>
      </c>
      <c r="E286" t="s">
        <v>85</v>
      </c>
      <c r="F286" t="s">
        <v>34</v>
      </c>
      <c r="G286" t="s">
        <v>299</v>
      </c>
      <c r="H286" s="1">
        <v>45400.595833333333</v>
      </c>
      <c r="I286" s="1">
        <v>45400.777777777781</v>
      </c>
      <c r="J286">
        <v>216</v>
      </c>
      <c r="K286">
        <v>262</v>
      </c>
      <c r="L286">
        <v>1</v>
      </c>
      <c r="M286" t="s">
        <v>22</v>
      </c>
      <c r="N286">
        <v>5</v>
      </c>
      <c r="O286">
        <v>437.73</v>
      </c>
    </row>
    <row r="287" spans="1:15" x14ac:dyDescent="0.35">
      <c r="A287" t="s">
        <v>733</v>
      </c>
      <c r="B287" t="s">
        <v>16</v>
      </c>
      <c r="C287" t="s">
        <v>734</v>
      </c>
      <c r="D287" t="s">
        <v>26</v>
      </c>
      <c r="E287" t="s">
        <v>33</v>
      </c>
      <c r="F287" t="s">
        <v>39</v>
      </c>
      <c r="G287" t="s">
        <v>97</v>
      </c>
      <c r="H287" s="1">
        <v>45509.101388888892</v>
      </c>
      <c r="I287" s="1">
        <v>45509.295138888891</v>
      </c>
      <c r="J287">
        <v>217</v>
      </c>
      <c r="K287">
        <v>279</v>
      </c>
      <c r="L287">
        <v>1</v>
      </c>
      <c r="M287" t="s">
        <v>41</v>
      </c>
      <c r="N287">
        <v>3</v>
      </c>
      <c r="O287">
        <v>395.67</v>
      </c>
    </row>
    <row r="288" spans="1:15" x14ac:dyDescent="0.35">
      <c r="A288" t="s">
        <v>735</v>
      </c>
      <c r="B288" t="s">
        <v>31</v>
      </c>
      <c r="C288" t="s">
        <v>736</v>
      </c>
      <c r="D288" t="s">
        <v>26</v>
      </c>
      <c r="E288" t="s">
        <v>38</v>
      </c>
      <c r="F288" t="s">
        <v>27</v>
      </c>
      <c r="G288" t="s">
        <v>684</v>
      </c>
      <c r="H288" s="1">
        <v>45497.680555555555</v>
      </c>
      <c r="I288" s="1">
        <v>45497.726388888892</v>
      </c>
      <c r="J288">
        <v>20</v>
      </c>
      <c r="K288">
        <v>66</v>
      </c>
      <c r="L288">
        <v>1</v>
      </c>
      <c r="M288" t="s">
        <v>29</v>
      </c>
      <c r="N288">
        <v>8</v>
      </c>
      <c r="O288">
        <v>61.81</v>
      </c>
    </row>
    <row r="289" spans="1:15" x14ac:dyDescent="0.35">
      <c r="A289" t="s">
        <v>737</v>
      </c>
      <c r="B289" t="s">
        <v>51</v>
      </c>
      <c r="C289" t="s">
        <v>738</v>
      </c>
      <c r="D289" t="s">
        <v>26</v>
      </c>
      <c r="E289" t="s">
        <v>85</v>
      </c>
      <c r="F289" t="s">
        <v>20</v>
      </c>
      <c r="G289" t="s">
        <v>222</v>
      </c>
      <c r="H289" s="1">
        <v>45386.519444444442</v>
      </c>
      <c r="I289" s="1">
        <v>45386.765972222223</v>
      </c>
      <c r="J289">
        <v>237</v>
      </c>
      <c r="K289">
        <v>355</v>
      </c>
      <c r="L289">
        <v>1</v>
      </c>
      <c r="M289" t="s">
        <v>29</v>
      </c>
      <c r="N289">
        <v>5</v>
      </c>
      <c r="O289">
        <v>380.3</v>
      </c>
    </row>
    <row r="290" spans="1:15" x14ac:dyDescent="0.35">
      <c r="A290" t="s">
        <v>739</v>
      </c>
      <c r="B290" t="s">
        <v>63</v>
      </c>
      <c r="C290" t="s">
        <v>740</v>
      </c>
      <c r="D290" t="s">
        <v>48</v>
      </c>
      <c r="E290" t="s">
        <v>33</v>
      </c>
      <c r="F290" t="s">
        <v>39</v>
      </c>
      <c r="G290" t="s">
        <v>684</v>
      </c>
      <c r="H290" s="1">
        <v>45365.211805555555</v>
      </c>
      <c r="I290" s="1">
        <v>45365.287499999999</v>
      </c>
      <c r="J290">
        <v>114</v>
      </c>
      <c r="K290">
        <v>109</v>
      </c>
      <c r="L290">
        <v>0</v>
      </c>
      <c r="M290" t="s">
        <v>22</v>
      </c>
      <c r="N290">
        <v>7</v>
      </c>
      <c r="O290">
        <v>484.13</v>
      </c>
    </row>
    <row r="291" spans="1:15" x14ac:dyDescent="0.35">
      <c r="A291" t="s">
        <v>741</v>
      </c>
      <c r="B291" t="s">
        <v>24</v>
      </c>
      <c r="C291" t="s">
        <v>742</v>
      </c>
      <c r="D291" t="s">
        <v>18</v>
      </c>
      <c r="E291" t="s">
        <v>85</v>
      </c>
      <c r="F291" t="s">
        <v>34</v>
      </c>
      <c r="G291" t="s">
        <v>58</v>
      </c>
      <c r="H291" s="1">
        <v>45360.099305555559</v>
      </c>
      <c r="I291" s="1">
        <v>45360.247916666667</v>
      </c>
      <c r="J291">
        <v>195</v>
      </c>
      <c r="K291">
        <v>214</v>
      </c>
      <c r="L291">
        <v>1</v>
      </c>
      <c r="M291" t="s">
        <v>41</v>
      </c>
      <c r="N291">
        <v>1</v>
      </c>
      <c r="O291">
        <v>441.5</v>
      </c>
    </row>
    <row r="292" spans="1:15" x14ac:dyDescent="0.35">
      <c r="A292" t="s">
        <v>743</v>
      </c>
      <c r="B292" t="s">
        <v>24</v>
      </c>
      <c r="C292" t="s">
        <v>744</v>
      </c>
      <c r="D292" t="s">
        <v>44</v>
      </c>
      <c r="E292" t="s">
        <v>38</v>
      </c>
      <c r="F292" t="s">
        <v>34</v>
      </c>
      <c r="G292" t="s">
        <v>111</v>
      </c>
      <c r="H292" s="1">
        <v>45328.588888888888</v>
      </c>
      <c r="I292" s="1">
        <v>45328.711111111108</v>
      </c>
      <c r="J292">
        <v>103</v>
      </c>
      <c r="K292">
        <v>176</v>
      </c>
      <c r="L292">
        <v>1</v>
      </c>
      <c r="M292" t="s">
        <v>22</v>
      </c>
      <c r="N292">
        <v>8</v>
      </c>
      <c r="O292">
        <v>267.27</v>
      </c>
    </row>
    <row r="293" spans="1:15" x14ac:dyDescent="0.35">
      <c r="A293" t="s">
        <v>745</v>
      </c>
      <c r="B293" t="s">
        <v>63</v>
      </c>
      <c r="C293" t="s">
        <v>746</v>
      </c>
      <c r="D293" t="s">
        <v>48</v>
      </c>
      <c r="E293" t="s">
        <v>19</v>
      </c>
      <c r="F293" t="s">
        <v>27</v>
      </c>
      <c r="G293" t="s">
        <v>237</v>
      </c>
      <c r="H293" s="1">
        <v>45607.277777777781</v>
      </c>
      <c r="I293" s="1">
        <v>45607.368750000001</v>
      </c>
      <c r="J293">
        <v>72</v>
      </c>
      <c r="K293">
        <v>131</v>
      </c>
      <c r="L293">
        <v>1</v>
      </c>
      <c r="M293" t="s">
        <v>29</v>
      </c>
      <c r="N293">
        <v>2</v>
      </c>
      <c r="O293">
        <v>154.49</v>
      </c>
    </row>
    <row r="294" spans="1:15" x14ac:dyDescent="0.35">
      <c r="A294" t="s">
        <v>747</v>
      </c>
      <c r="B294" t="s">
        <v>63</v>
      </c>
      <c r="C294" t="s">
        <v>748</v>
      </c>
      <c r="D294" t="s">
        <v>48</v>
      </c>
      <c r="E294" t="s">
        <v>33</v>
      </c>
      <c r="F294" t="s">
        <v>39</v>
      </c>
      <c r="G294" t="s">
        <v>749</v>
      </c>
      <c r="H294" s="1">
        <v>45369.743055555555</v>
      </c>
      <c r="I294" s="1">
        <v>45369.972916666666</v>
      </c>
      <c r="J294">
        <v>236</v>
      </c>
      <c r="K294">
        <v>331</v>
      </c>
      <c r="L294">
        <v>1</v>
      </c>
      <c r="M294" t="s">
        <v>41</v>
      </c>
      <c r="N294">
        <v>5</v>
      </c>
      <c r="O294">
        <v>300.10000000000002</v>
      </c>
    </row>
    <row r="295" spans="1:15" x14ac:dyDescent="0.35">
      <c r="A295" t="s">
        <v>750</v>
      </c>
      <c r="B295" t="s">
        <v>24</v>
      </c>
      <c r="C295" t="s">
        <v>751</v>
      </c>
      <c r="D295" t="s">
        <v>44</v>
      </c>
      <c r="E295" t="s">
        <v>38</v>
      </c>
      <c r="F295" t="s">
        <v>20</v>
      </c>
      <c r="G295" t="s">
        <v>330</v>
      </c>
      <c r="H295" s="1">
        <v>45433.499305555553</v>
      </c>
      <c r="I295" s="1">
        <v>45433.602777777778</v>
      </c>
      <c r="J295">
        <v>118</v>
      </c>
      <c r="K295">
        <v>149</v>
      </c>
      <c r="L295">
        <v>1</v>
      </c>
      <c r="M295" t="s">
        <v>41</v>
      </c>
      <c r="N295">
        <v>7</v>
      </c>
      <c r="O295">
        <v>464.1</v>
      </c>
    </row>
    <row r="296" spans="1:15" x14ac:dyDescent="0.35">
      <c r="A296" t="s">
        <v>752</v>
      </c>
      <c r="B296" t="s">
        <v>16</v>
      </c>
      <c r="C296" t="s">
        <v>753</v>
      </c>
      <c r="D296" t="s">
        <v>26</v>
      </c>
      <c r="E296" t="s">
        <v>85</v>
      </c>
      <c r="F296" t="s">
        <v>34</v>
      </c>
      <c r="G296" t="s">
        <v>754</v>
      </c>
      <c r="H296" s="1">
        <v>45372.392361111109</v>
      </c>
      <c r="I296" s="1">
        <v>45372.481249999997</v>
      </c>
      <c r="J296">
        <v>20</v>
      </c>
      <c r="K296">
        <v>128</v>
      </c>
      <c r="L296">
        <v>1</v>
      </c>
      <c r="M296" t="s">
        <v>29</v>
      </c>
      <c r="N296">
        <v>2</v>
      </c>
      <c r="O296">
        <v>464.47</v>
      </c>
    </row>
    <row r="297" spans="1:15" x14ac:dyDescent="0.35">
      <c r="A297" t="s">
        <v>755</v>
      </c>
      <c r="B297" t="s">
        <v>51</v>
      </c>
      <c r="C297" t="s">
        <v>756</v>
      </c>
      <c r="D297" t="s">
        <v>18</v>
      </c>
      <c r="E297" t="s">
        <v>85</v>
      </c>
      <c r="F297" t="s">
        <v>27</v>
      </c>
      <c r="G297" t="s">
        <v>111</v>
      </c>
      <c r="H297" s="1">
        <v>45358.173611111109</v>
      </c>
      <c r="I297" s="1">
        <v>45358.332638888889</v>
      </c>
      <c r="J297">
        <v>229</v>
      </c>
      <c r="K297">
        <v>229</v>
      </c>
      <c r="L297">
        <v>0</v>
      </c>
      <c r="M297" t="s">
        <v>41</v>
      </c>
      <c r="N297">
        <v>10</v>
      </c>
      <c r="O297">
        <v>254.78</v>
      </c>
    </row>
    <row r="298" spans="1:15" x14ac:dyDescent="0.35">
      <c r="A298" t="s">
        <v>757</v>
      </c>
      <c r="B298" t="s">
        <v>51</v>
      </c>
      <c r="C298" t="s">
        <v>758</v>
      </c>
      <c r="D298" t="s">
        <v>18</v>
      </c>
      <c r="E298" t="s">
        <v>85</v>
      </c>
      <c r="F298" t="s">
        <v>27</v>
      </c>
      <c r="G298" t="s">
        <v>462</v>
      </c>
      <c r="H298" s="1">
        <v>45384.081944444442</v>
      </c>
      <c r="I298" s="1">
        <v>45384.115972222222</v>
      </c>
      <c r="J298">
        <v>51</v>
      </c>
      <c r="K298">
        <v>49</v>
      </c>
      <c r="L298">
        <v>0</v>
      </c>
      <c r="M298" t="s">
        <v>29</v>
      </c>
      <c r="N298">
        <v>9</v>
      </c>
      <c r="O298">
        <v>419.24</v>
      </c>
    </row>
    <row r="299" spans="1:15" x14ac:dyDescent="0.35">
      <c r="A299" t="s">
        <v>759</v>
      </c>
      <c r="B299" t="s">
        <v>24</v>
      </c>
      <c r="C299" t="s">
        <v>760</v>
      </c>
      <c r="D299" t="s">
        <v>48</v>
      </c>
      <c r="E299" t="s">
        <v>38</v>
      </c>
      <c r="F299" t="s">
        <v>27</v>
      </c>
      <c r="G299" t="s">
        <v>476</v>
      </c>
      <c r="H299" s="1">
        <v>45424.570138888892</v>
      </c>
      <c r="I299" s="1">
        <v>45424.65347222222</v>
      </c>
      <c r="J299">
        <v>73</v>
      </c>
      <c r="K299">
        <v>120</v>
      </c>
      <c r="L299">
        <v>1</v>
      </c>
      <c r="M299" t="s">
        <v>41</v>
      </c>
      <c r="N299">
        <v>5</v>
      </c>
      <c r="O299">
        <v>249.11</v>
      </c>
    </row>
    <row r="300" spans="1:15" x14ac:dyDescent="0.35">
      <c r="A300" t="s">
        <v>761</v>
      </c>
      <c r="B300" t="s">
        <v>24</v>
      </c>
      <c r="C300" t="s">
        <v>762</v>
      </c>
      <c r="D300" t="s">
        <v>56</v>
      </c>
      <c r="E300" t="s">
        <v>38</v>
      </c>
      <c r="F300" t="s">
        <v>20</v>
      </c>
      <c r="G300" t="s">
        <v>68</v>
      </c>
      <c r="H300" s="1">
        <v>45448.202777777777</v>
      </c>
      <c r="I300" s="1">
        <v>45448.277083333334</v>
      </c>
      <c r="J300">
        <v>106</v>
      </c>
      <c r="K300">
        <v>107</v>
      </c>
      <c r="L300">
        <v>1</v>
      </c>
      <c r="M300" t="s">
        <v>22</v>
      </c>
      <c r="N300">
        <v>1</v>
      </c>
      <c r="O300">
        <v>298.56</v>
      </c>
    </row>
    <row r="301" spans="1:15" x14ac:dyDescent="0.35">
      <c r="A301" t="s">
        <v>763</v>
      </c>
      <c r="B301" t="s">
        <v>63</v>
      </c>
      <c r="C301" t="s">
        <v>764</v>
      </c>
      <c r="D301" t="s">
        <v>48</v>
      </c>
      <c r="E301" t="s">
        <v>33</v>
      </c>
      <c r="F301" t="s">
        <v>39</v>
      </c>
      <c r="G301" t="s">
        <v>647</v>
      </c>
      <c r="H301" s="1">
        <v>45642.806944444441</v>
      </c>
      <c r="I301" s="1">
        <v>45642.896527777775</v>
      </c>
      <c r="J301">
        <v>120</v>
      </c>
      <c r="K301">
        <v>129</v>
      </c>
      <c r="L301">
        <v>1</v>
      </c>
      <c r="M301" t="s">
        <v>22</v>
      </c>
      <c r="N301">
        <v>2</v>
      </c>
      <c r="O301">
        <v>455.72</v>
      </c>
    </row>
    <row r="302" spans="1:15" x14ac:dyDescent="0.35">
      <c r="A302" t="s">
        <v>765</v>
      </c>
      <c r="B302" t="s">
        <v>31</v>
      </c>
      <c r="C302" t="s">
        <v>766</v>
      </c>
      <c r="D302" t="s">
        <v>18</v>
      </c>
      <c r="E302" t="s">
        <v>38</v>
      </c>
      <c r="F302" t="s">
        <v>39</v>
      </c>
      <c r="G302" t="s">
        <v>188</v>
      </c>
      <c r="H302" s="1">
        <v>45419.642361111109</v>
      </c>
      <c r="I302" s="1">
        <v>45419.794444444444</v>
      </c>
      <c r="J302">
        <v>100</v>
      </c>
      <c r="K302">
        <v>219</v>
      </c>
      <c r="L302">
        <v>1</v>
      </c>
      <c r="M302" t="s">
        <v>41</v>
      </c>
      <c r="N302">
        <v>10</v>
      </c>
      <c r="O302">
        <v>251.29</v>
      </c>
    </row>
    <row r="303" spans="1:15" x14ac:dyDescent="0.35">
      <c r="A303" t="s">
        <v>767</v>
      </c>
      <c r="B303" t="s">
        <v>24</v>
      </c>
      <c r="C303" t="s">
        <v>768</v>
      </c>
      <c r="D303" t="s">
        <v>48</v>
      </c>
      <c r="E303" t="s">
        <v>85</v>
      </c>
      <c r="F303" t="s">
        <v>34</v>
      </c>
      <c r="G303" t="s">
        <v>354</v>
      </c>
      <c r="H303" s="1">
        <v>45640.697916666664</v>
      </c>
      <c r="I303" s="1">
        <v>45640.866666666669</v>
      </c>
      <c r="J303">
        <v>189</v>
      </c>
      <c r="K303">
        <v>243</v>
      </c>
      <c r="L303">
        <v>1</v>
      </c>
      <c r="M303" t="s">
        <v>29</v>
      </c>
      <c r="N303">
        <v>3</v>
      </c>
      <c r="O303">
        <v>473.82</v>
      </c>
    </row>
    <row r="304" spans="1:15" x14ac:dyDescent="0.35">
      <c r="A304" t="s">
        <v>769</v>
      </c>
      <c r="B304" t="s">
        <v>31</v>
      </c>
      <c r="C304" t="s">
        <v>770</v>
      </c>
      <c r="D304" t="s">
        <v>48</v>
      </c>
      <c r="E304" t="s">
        <v>85</v>
      </c>
      <c r="F304" t="s">
        <v>34</v>
      </c>
      <c r="G304" t="s">
        <v>167</v>
      </c>
      <c r="H304" s="1">
        <v>45407.722222222219</v>
      </c>
      <c r="I304" s="1">
        <v>45407.886111111111</v>
      </c>
      <c r="J304">
        <v>194</v>
      </c>
      <c r="K304">
        <v>236</v>
      </c>
      <c r="L304">
        <v>1</v>
      </c>
      <c r="M304" t="s">
        <v>41</v>
      </c>
      <c r="N304">
        <v>7</v>
      </c>
      <c r="O304">
        <v>255.6</v>
      </c>
    </row>
    <row r="305" spans="1:15" x14ac:dyDescent="0.35">
      <c r="A305" t="s">
        <v>771</v>
      </c>
      <c r="B305" t="s">
        <v>51</v>
      </c>
      <c r="C305" t="s">
        <v>772</v>
      </c>
      <c r="D305" t="s">
        <v>18</v>
      </c>
      <c r="E305" t="s">
        <v>38</v>
      </c>
      <c r="F305" t="s">
        <v>39</v>
      </c>
      <c r="G305" t="s">
        <v>676</v>
      </c>
      <c r="H305" s="1">
        <v>45348.671527777777</v>
      </c>
      <c r="I305" s="1">
        <v>45348.849305555559</v>
      </c>
      <c r="J305">
        <v>159</v>
      </c>
      <c r="K305">
        <v>256</v>
      </c>
      <c r="L305">
        <v>1</v>
      </c>
      <c r="M305" t="s">
        <v>22</v>
      </c>
      <c r="N305">
        <v>1</v>
      </c>
      <c r="O305">
        <v>368.13</v>
      </c>
    </row>
    <row r="306" spans="1:15" x14ac:dyDescent="0.35">
      <c r="A306" t="s">
        <v>773</v>
      </c>
      <c r="B306" t="s">
        <v>51</v>
      </c>
      <c r="C306" t="s">
        <v>774</v>
      </c>
      <c r="D306" t="s">
        <v>18</v>
      </c>
      <c r="E306" t="s">
        <v>33</v>
      </c>
      <c r="F306" t="s">
        <v>39</v>
      </c>
      <c r="G306" t="s">
        <v>91</v>
      </c>
      <c r="H306" s="1">
        <v>45559.746527777781</v>
      </c>
      <c r="I306" s="1">
        <v>45559.845833333333</v>
      </c>
      <c r="J306">
        <v>104</v>
      </c>
      <c r="K306">
        <v>143</v>
      </c>
      <c r="L306">
        <v>1</v>
      </c>
      <c r="M306" t="s">
        <v>22</v>
      </c>
      <c r="N306">
        <v>9</v>
      </c>
      <c r="O306">
        <v>134.16999999999999</v>
      </c>
    </row>
    <row r="307" spans="1:15" x14ac:dyDescent="0.35">
      <c r="A307" t="s">
        <v>775</v>
      </c>
      <c r="B307" t="s">
        <v>63</v>
      </c>
      <c r="C307" t="s">
        <v>776</v>
      </c>
      <c r="D307" t="s">
        <v>44</v>
      </c>
      <c r="E307" t="s">
        <v>38</v>
      </c>
      <c r="F307" t="s">
        <v>57</v>
      </c>
      <c r="G307" t="s">
        <v>777</v>
      </c>
      <c r="H307" s="1">
        <v>45466.748611111114</v>
      </c>
      <c r="I307" s="1">
        <v>45466.848611111112</v>
      </c>
      <c r="J307">
        <v>87</v>
      </c>
      <c r="K307">
        <v>144</v>
      </c>
      <c r="L307">
        <v>1</v>
      </c>
      <c r="M307" t="s">
        <v>41</v>
      </c>
      <c r="N307">
        <v>4</v>
      </c>
      <c r="O307">
        <v>382.21</v>
      </c>
    </row>
    <row r="308" spans="1:15" x14ac:dyDescent="0.35">
      <c r="A308" t="s">
        <v>778</v>
      </c>
      <c r="B308" t="s">
        <v>16</v>
      </c>
      <c r="C308" t="s">
        <v>779</v>
      </c>
      <c r="D308" t="s">
        <v>44</v>
      </c>
      <c r="E308" t="s">
        <v>38</v>
      </c>
      <c r="F308" t="s">
        <v>34</v>
      </c>
      <c r="G308" t="s">
        <v>681</v>
      </c>
      <c r="H308" s="1">
        <v>45380.513888888891</v>
      </c>
      <c r="I308" s="1">
        <v>45380.679861111108</v>
      </c>
      <c r="J308">
        <v>135</v>
      </c>
      <c r="K308">
        <v>239</v>
      </c>
      <c r="L308">
        <v>1</v>
      </c>
      <c r="M308" t="s">
        <v>41</v>
      </c>
      <c r="N308">
        <v>3</v>
      </c>
      <c r="O308">
        <v>378.49</v>
      </c>
    </row>
    <row r="309" spans="1:15" x14ac:dyDescent="0.35">
      <c r="A309" t="s">
        <v>780</v>
      </c>
      <c r="B309" t="s">
        <v>63</v>
      </c>
      <c r="C309" t="s">
        <v>781</v>
      </c>
      <c r="D309" t="s">
        <v>56</v>
      </c>
      <c r="E309" t="s">
        <v>33</v>
      </c>
      <c r="F309" t="s">
        <v>39</v>
      </c>
      <c r="G309" t="s">
        <v>782</v>
      </c>
      <c r="H309" s="1">
        <v>45620.32708333333</v>
      </c>
      <c r="I309" s="1">
        <v>45620.473611111112</v>
      </c>
      <c r="J309">
        <v>150</v>
      </c>
      <c r="K309">
        <v>211</v>
      </c>
      <c r="L309">
        <v>1</v>
      </c>
      <c r="M309" t="s">
        <v>41</v>
      </c>
      <c r="N309">
        <v>8</v>
      </c>
      <c r="O309">
        <v>441.9</v>
      </c>
    </row>
    <row r="310" spans="1:15" x14ac:dyDescent="0.35">
      <c r="A310" t="s">
        <v>783</v>
      </c>
      <c r="B310" t="s">
        <v>51</v>
      </c>
      <c r="C310" t="s">
        <v>784</v>
      </c>
      <c r="D310" t="s">
        <v>48</v>
      </c>
      <c r="E310" t="s">
        <v>38</v>
      </c>
      <c r="F310" t="s">
        <v>39</v>
      </c>
      <c r="G310" t="s">
        <v>785</v>
      </c>
      <c r="H310" s="1">
        <v>45296.009027777778</v>
      </c>
      <c r="I310" s="1">
        <v>45296.199305555558</v>
      </c>
      <c r="J310">
        <v>175</v>
      </c>
      <c r="K310">
        <v>274</v>
      </c>
      <c r="L310">
        <v>1</v>
      </c>
      <c r="M310" t="s">
        <v>41</v>
      </c>
      <c r="N310">
        <v>8</v>
      </c>
      <c r="O310">
        <v>482.26</v>
      </c>
    </row>
    <row r="311" spans="1:15" x14ac:dyDescent="0.35">
      <c r="A311" t="s">
        <v>786</v>
      </c>
      <c r="B311" t="s">
        <v>51</v>
      </c>
      <c r="C311" t="s">
        <v>787</v>
      </c>
      <c r="D311" t="s">
        <v>48</v>
      </c>
      <c r="E311" t="s">
        <v>33</v>
      </c>
      <c r="F311" t="s">
        <v>20</v>
      </c>
      <c r="G311" t="s">
        <v>456</v>
      </c>
      <c r="H311" s="1">
        <v>45367.614583333336</v>
      </c>
      <c r="I311" s="1">
        <v>45367.638194444444</v>
      </c>
      <c r="J311">
        <v>28</v>
      </c>
      <c r="K311">
        <v>34</v>
      </c>
      <c r="L311">
        <v>1</v>
      </c>
      <c r="M311" t="s">
        <v>22</v>
      </c>
      <c r="N311">
        <v>5</v>
      </c>
      <c r="O311">
        <v>197.88</v>
      </c>
    </row>
    <row r="312" spans="1:15" x14ac:dyDescent="0.35">
      <c r="A312" t="s">
        <v>788</v>
      </c>
      <c r="B312" t="s">
        <v>16</v>
      </c>
      <c r="C312" t="s">
        <v>789</v>
      </c>
      <c r="D312" t="s">
        <v>44</v>
      </c>
      <c r="E312" t="s">
        <v>85</v>
      </c>
      <c r="F312" t="s">
        <v>39</v>
      </c>
      <c r="G312" t="s">
        <v>79</v>
      </c>
      <c r="H312" s="1">
        <v>45554.508333333331</v>
      </c>
      <c r="I312" s="1">
        <v>45554.684027777781</v>
      </c>
      <c r="J312">
        <v>161</v>
      </c>
      <c r="K312">
        <v>253</v>
      </c>
      <c r="L312">
        <v>1</v>
      </c>
      <c r="M312" t="s">
        <v>41</v>
      </c>
      <c r="N312">
        <v>2</v>
      </c>
      <c r="O312">
        <v>60.24</v>
      </c>
    </row>
    <row r="313" spans="1:15" x14ac:dyDescent="0.35">
      <c r="A313" t="s">
        <v>790</v>
      </c>
      <c r="B313" t="s">
        <v>51</v>
      </c>
      <c r="C313" t="s">
        <v>791</v>
      </c>
      <c r="D313" t="s">
        <v>26</v>
      </c>
      <c r="E313" t="s">
        <v>33</v>
      </c>
      <c r="F313" t="s">
        <v>27</v>
      </c>
      <c r="G313" t="s">
        <v>500</v>
      </c>
      <c r="H313" s="1">
        <v>45469.550694444442</v>
      </c>
      <c r="I313" s="1">
        <v>45469.720833333333</v>
      </c>
      <c r="J313">
        <v>188</v>
      </c>
      <c r="K313">
        <v>245</v>
      </c>
      <c r="L313">
        <v>1</v>
      </c>
      <c r="M313" t="s">
        <v>41</v>
      </c>
      <c r="N313">
        <v>7</v>
      </c>
      <c r="O313">
        <v>486.83</v>
      </c>
    </row>
    <row r="314" spans="1:15" x14ac:dyDescent="0.35">
      <c r="A314" t="s">
        <v>792</v>
      </c>
      <c r="B314" t="s">
        <v>24</v>
      </c>
      <c r="C314" t="s">
        <v>793</v>
      </c>
      <c r="D314" t="s">
        <v>18</v>
      </c>
      <c r="E314" t="s">
        <v>19</v>
      </c>
      <c r="F314" t="s">
        <v>20</v>
      </c>
      <c r="G314" t="s">
        <v>94</v>
      </c>
      <c r="H314" s="1">
        <v>45522.8</v>
      </c>
      <c r="I314" s="1">
        <v>45522.930555555555</v>
      </c>
      <c r="J314">
        <v>104</v>
      </c>
      <c r="K314">
        <v>188</v>
      </c>
      <c r="L314">
        <v>1</v>
      </c>
      <c r="M314" t="s">
        <v>41</v>
      </c>
      <c r="N314">
        <v>6</v>
      </c>
      <c r="O314">
        <v>288.10000000000002</v>
      </c>
    </row>
    <row r="315" spans="1:15" x14ac:dyDescent="0.35">
      <c r="A315" t="s">
        <v>794</v>
      </c>
      <c r="B315" t="s">
        <v>63</v>
      </c>
      <c r="C315" t="s">
        <v>795</v>
      </c>
      <c r="D315" t="s">
        <v>56</v>
      </c>
      <c r="E315" t="s">
        <v>38</v>
      </c>
      <c r="F315" t="s">
        <v>20</v>
      </c>
      <c r="G315" t="s">
        <v>359</v>
      </c>
      <c r="H315" s="1">
        <v>45628.449305555558</v>
      </c>
      <c r="I315" s="1">
        <v>45628.560416666667</v>
      </c>
      <c r="J315">
        <v>83</v>
      </c>
      <c r="K315">
        <v>160</v>
      </c>
      <c r="L315">
        <v>1</v>
      </c>
      <c r="M315" t="s">
        <v>41</v>
      </c>
      <c r="N315">
        <v>1</v>
      </c>
      <c r="O315">
        <v>128.43</v>
      </c>
    </row>
    <row r="316" spans="1:15" x14ac:dyDescent="0.35">
      <c r="A316" t="s">
        <v>796</v>
      </c>
      <c r="B316" t="s">
        <v>24</v>
      </c>
      <c r="C316" t="s">
        <v>797</v>
      </c>
      <c r="D316" t="s">
        <v>56</v>
      </c>
      <c r="E316" t="s">
        <v>33</v>
      </c>
      <c r="F316" t="s">
        <v>27</v>
      </c>
      <c r="G316" t="s">
        <v>61</v>
      </c>
      <c r="H316" s="1">
        <v>45469.308333333334</v>
      </c>
      <c r="I316" s="1">
        <v>45469.318749999999</v>
      </c>
      <c r="J316">
        <v>20</v>
      </c>
      <c r="K316">
        <v>15</v>
      </c>
      <c r="L316">
        <v>0</v>
      </c>
      <c r="M316" t="s">
        <v>22</v>
      </c>
      <c r="N316">
        <v>4</v>
      </c>
      <c r="O316">
        <v>263.05</v>
      </c>
    </row>
    <row r="317" spans="1:15" x14ac:dyDescent="0.35">
      <c r="A317" t="s">
        <v>798</v>
      </c>
      <c r="B317" t="s">
        <v>51</v>
      </c>
      <c r="C317" t="s">
        <v>799</v>
      </c>
      <c r="D317" t="s">
        <v>48</v>
      </c>
      <c r="E317" t="s">
        <v>85</v>
      </c>
      <c r="F317" t="s">
        <v>20</v>
      </c>
      <c r="G317" t="s">
        <v>296</v>
      </c>
      <c r="H317" s="1">
        <v>45387.509722222225</v>
      </c>
      <c r="I317" s="1">
        <v>45387.6</v>
      </c>
      <c r="J317">
        <v>106</v>
      </c>
      <c r="K317">
        <v>130</v>
      </c>
      <c r="L317">
        <v>1</v>
      </c>
      <c r="M317" t="s">
        <v>22</v>
      </c>
      <c r="N317">
        <v>6</v>
      </c>
      <c r="O317">
        <v>476.64</v>
      </c>
    </row>
    <row r="318" spans="1:15" x14ac:dyDescent="0.35">
      <c r="A318" t="s">
        <v>800</v>
      </c>
      <c r="B318" t="s">
        <v>51</v>
      </c>
      <c r="C318" t="s">
        <v>801</v>
      </c>
      <c r="D318" t="s">
        <v>44</v>
      </c>
      <c r="E318" t="s">
        <v>38</v>
      </c>
      <c r="F318" t="s">
        <v>27</v>
      </c>
      <c r="G318" t="s">
        <v>146</v>
      </c>
      <c r="H318" s="1">
        <v>45611.361805555556</v>
      </c>
      <c r="I318" s="1">
        <v>45611.592361111114</v>
      </c>
      <c r="J318">
        <v>233</v>
      </c>
      <c r="K318">
        <v>332</v>
      </c>
      <c r="L318">
        <v>1</v>
      </c>
      <c r="M318" t="s">
        <v>41</v>
      </c>
      <c r="N318">
        <v>6</v>
      </c>
      <c r="O318">
        <v>256.93</v>
      </c>
    </row>
    <row r="319" spans="1:15" x14ac:dyDescent="0.35">
      <c r="A319" t="s">
        <v>802</v>
      </c>
      <c r="B319" t="s">
        <v>63</v>
      </c>
      <c r="C319" t="s">
        <v>803</v>
      </c>
      <c r="D319" t="s">
        <v>26</v>
      </c>
      <c r="E319" t="s">
        <v>33</v>
      </c>
      <c r="F319" t="s">
        <v>20</v>
      </c>
      <c r="G319" t="s">
        <v>213</v>
      </c>
      <c r="H319" s="1">
        <v>45455.007638888892</v>
      </c>
      <c r="I319" s="1">
        <v>45455.154861111114</v>
      </c>
      <c r="J319">
        <v>211</v>
      </c>
      <c r="K319">
        <v>212</v>
      </c>
      <c r="L319">
        <v>1</v>
      </c>
      <c r="M319" t="s">
        <v>29</v>
      </c>
      <c r="N319">
        <v>3</v>
      </c>
      <c r="O319">
        <v>134.96</v>
      </c>
    </row>
    <row r="320" spans="1:15" x14ac:dyDescent="0.35">
      <c r="A320" t="s">
        <v>804</v>
      </c>
      <c r="B320" t="s">
        <v>24</v>
      </c>
      <c r="C320" t="s">
        <v>805</v>
      </c>
      <c r="D320" t="s">
        <v>56</v>
      </c>
      <c r="E320" t="s">
        <v>38</v>
      </c>
      <c r="F320" t="s">
        <v>57</v>
      </c>
      <c r="G320" t="s">
        <v>415</v>
      </c>
      <c r="H320" s="1">
        <v>45656.960416666669</v>
      </c>
      <c r="I320" s="1">
        <v>45657.001388888886</v>
      </c>
      <c r="J320">
        <v>45</v>
      </c>
      <c r="K320">
        <v>59</v>
      </c>
      <c r="L320">
        <v>1</v>
      </c>
      <c r="M320" t="s">
        <v>22</v>
      </c>
      <c r="N320">
        <v>1</v>
      </c>
      <c r="O320">
        <v>372.72</v>
      </c>
    </row>
    <row r="321" spans="1:15" x14ac:dyDescent="0.35">
      <c r="A321" t="s">
        <v>806</v>
      </c>
      <c r="B321" t="s">
        <v>24</v>
      </c>
      <c r="C321" t="s">
        <v>807</v>
      </c>
      <c r="D321" t="s">
        <v>26</v>
      </c>
      <c r="E321" t="s">
        <v>38</v>
      </c>
      <c r="F321" t="s">
        <v>57</v>
      </c>
      <c r="G321" t="s">
        <v>782</v>
      </c>
      <c r="H321" s="1">
        <v>45652.881249999999</v>
      </c>
      <c r="I321" s="1">
        <v>45653.004861111112</v>
      </c>
      <c r="J321">
        <v>158</v>
      </c>
      <c r="K321">
        <v>178</v>
      </c>
      <c r="L321">
        <v>1</v>
      </c>
      <c r="M321" t="s">
        <v>29</v>
      </c>
      <c r="N321">
        <v>3</v>
      </c>
      <c r="O321">
        <v>331.05</v>
      </c>
    </row>
    <row r="322" spans="1:15" x14ac:dyDescent="0.35">
      <c r="A322" t="s">
        <v>808</v>
      </c>
      <c r="B322" t="s">
        <v>63</v>
      </c>
      <c r="C322" t="s">
        <v>809</v>
      </c>
      <c r="D322" t="s">
        <v>56</v>
      </c>
      <c r="E322" t="s">
        <v>19</v>
      </c>
      <c r="F322" t="s">
        <v>57</v>
      </c>
      <c r="G322" t="s">
        <v>810</v>
      </c>
      <c r="H322" s="1">
        <v>45476.993750000001</v>
      </c>
      <c r="I322" s="1">
        <v>45477.198611111111</v>
      </c>
      <c r="J322">
        <v>224</v>
      </c>
      <c r="K322">
        <v>295</v>
      </c>
      <c r="L322">
        <v>1</v>
      </c>
      <c r="M322" t="s">
        <v>29</v>
      </c>
      <c r="N322">
        <v>9</v>
      </c>
      <c r="O322">
        <v>319.94</v>
      </c>
    </row>
    <row r="323" spans="1:15" x14ac:dyDescent="0.35">
      <c r="A323" t="s">
        <v>811</v>
      </c>
      <c r="B323" t="s">
        <v>31</v>
      </c>
      <c r="C323" t="s">
        <v>812</v>
      </c>
      <c r="D323" t="s">
        <v>48</v>
      </c>
      <c r="E323" t="s">
        <v>38</v>
      </c>
      <c r="F323" t="s">
        <v>39</v>
      </c>
      <c r="G323" t="s">
        <v>749</v>
      </c>
      <c r="H323" s="1">
        <v>45609.320138888892</v>
      </c>
      <c r="I323" s="1">
        <v>45609.520138888889</v>
      </c>
      <c r="J323">
        <v>207</v>
      </c>
      <c r="K323">
        <v>288</v>
      </c>
      <c r="L323">
        <v>1</v>
      </c>
      <c r="M323" t="s">
        <v>29</v>
      </c>
      <c r="N323">
        <v>2</v>
      </c>
      <c r="O323">
        <v>87.99</v>
      </c>
    </row>
    <row r="324" spans="1:15" x14ac:dyDescent="0.35">
      <c r="A324" t="s">
        <v>813</v>
      </c>
      <c r="B324" t="s">
        <v>24</v>
      </c>
      <c r="C324" t="s">
        <v>814</v>
      </c>
      <c r="D324" t="s">
        <v>18</v>
      </c>
      <c r="E324" t="s">
        <v>33</v>
      </c>
      <c r="F324" t="s">
        <v>57</v>
      </c>
      <c r="G324" t="s">
        <v>594</v>
      </c>
      <c r="H324" s="1">
        <v>45489.400694444441</v>
      </c>
      <c r="I324" s="1">
        <v>45489.588194444441</v>
      </c>
      <c r="J324">
        <v>167</v>
      </c>
      <c r="K324">
        <v>270</v>
      </c>
      <c r="L324">
        <v>1</v>
      </c>
      <c r="M324" t="s">
        <v>41</v>
      </c>
      <c r="N324">
        <v>4</v>
      </c>
      <c r="O324">
        <v>62.85</v>
      </c>
    </row>
    <row r="325" spans="1:15" x14ac:dyDescent="0.35">
      <c r="A325" t="s">
        <v>815</v>
      </c>
      <c r="B325" t="s">
        <v>63</v>
      </c>
      <c r="C325" t="s">
        <v>816</v>
      </c>
      <c r="D325" t="s">
        <v>18</v>
      </c>
      <c r="E325" t="s">
        <v>38</v>
      </c>
      <c r="F325" t="s">
        <v>27</v>
      </c>
      <c r="G325" t="s">
        <v>817</v>
      </c>
      <c r="H325" s="1">
        <v>45608.196527777778</v>
      </c>
      <c r="I325" s="1">
        <v>45608.261805555558</v>
      </c>
      <c r="J325">
        <v>62</v>
      </c>
      <c r="K325">
        <v>94</v>
      </c>
      <c r="L325">
        <v>1</v>
      </c>
      <c r="M325" t="s">
        <v>41</v>
      </c>
      <c r="N325">
        <v>1</v>
      </c>
      <c r="O325">
        <v>426.8</v>
      </c>
    </row>
    <row r="326" spans="1:15" x14ac:dyDescent="0.35">
      <c r="A326" t="s">
        <v>818</v>
      </c>
      <c r="B326" t="s">
        <v>31</v>
      </c>
      <c r="C326" t="s">
        <v>819</v>
      </c>
      <c r="D326" t="s">
        <v>44</v>
      </c>
      <c r="E326" t="s">
        <v>85</v>
      </c>
      <c r="F326" t="s">
        <v>57</v>
      </c>
      <c r="G326" t="s">
        <v>103</v>
      </c>
      <c r="H326" s="1">
        <v>45302.484722222223</v>
      </c>
      <c r="I326" s="1">
        <v>45302.576388888891</v>
      </c>
      <c r="J326">
        <v>126</v>
      </c>
      <c r="K326">
        <v>132</v>
      </c>
      <c r="L326">
        <v>1</v>
      </c>
      <c r="M326" t="s">
        <v>22</v>
      </c>
      <c r="N326">
        <v>1</v>
      </c>
      <c r="O326">
        <v>130.21</v>
      </c>
    </row>
    <row r="327" spans="1:15" x14ac:dyDescent="0.35">
      <c r="A327" t="s">
        <v>820</v>
      </c>
      <c r="B327" t="s">
        <v>63</v>
      </c>
      <c r="C327" t="s">
        <v>821</v>
      </c>
      <c r="D327" t="s">
        <v>18</v>
      </c>
      <c r="E327" t="s">
        <v>19</v>
      </c>
      <c r="F327" t="s">
        <v>57</v>
      </c>
      <c r="G327" t="s">
        <v>170</v>
      </c>
      <c r="H327" s="1">
        <v>45443.572916666664</v>
      </c>
      <c r="I327" s="1">
        <v>45443.60833333333</v>
      </c>
      <c r="J327">
        <v>53</v>
      </c>
      <c r="K327">
        <v>51</v>
      </c>
      <c r="L327">
        <v>0</v>
      </c>
      <c r="M327" t="s">
        <v>22</v>
      </c>
      <c r="N327">
        <v>8</v>
      </c>
      <c r="O327">
        <v>365.34</v>
      </c>
    </row>
    <row r="328" spans="1:15" x14ac:dyDescent="0.35">
      <c r="A328" t="s">
        <v>822</v>
      </c>
      <c r="B328" t="s">
        <v>51</v>
      </c>
      <c r="C328" t="s">
        <v>823</v>
      </c>
      <c r="D328" t="s">
        <v>44</v>
      </c>
      <c r="E328" t="s">
        <v>33</v>
      </c>
      <c r="F328" t="s">
        <v>34</v>
      </c>
      <c r="G328" t="s">
        <v>237</v>
      </c>
      <c r="H328" s="1">
        <v>45412.645833333336</v>
      </c>
      <c r="I328" s="1">
        <v>45412.770833333336</v>
      </c>
      <c r="J328">
        <v>75</v>
      </c>
      <c r="K328">
        <v>180</v>
      </c>
      <c r="L328">
        <v>1</v>
      </c>
      <c r="M328" t="s">
        <v>41</v>
      </c>
      <c r="N328">
        <v>2</v>
      </c>
      <c r="O328">
        <v>197.29</v>
      </c>
    </row>
    <row r="329" spans="1:15" x14ac:dyDescent="0.35">
      <c r="A329" t="s">
        <v>824</v>
      </c>
      <c r="B329" t="s">
        <v>24</v>
      </c>
      <c r="C329" t="s">
        <v>825</v>
      </c>
      <c r="D329" t="s">
        <v>26</v>
      </c>
      <c r="E329" t="s">
        <v>85</v>
      </c>
      <c r="F329" t="s">
        <v>27</v>
      </c>
      <c r="G329" t="s">
        <v>640</v>
      </c>
      <c r="H329" s="1">
        <v>45516.75277777778</v>
      </c>
      <c r="I329" s="1">
        <v>45516.825694444444</v>
      </c>
      <c r="J329">
        <v>59</v>
      </c>
      <c r="K329">
        <v>105</v>
      </c>
      <c r="L329">
        <v>1</v>
      </c>
      <c r="M329" t="s">
        <v>29</v>
      </c>
      <c r="N329">
        <v>1</v>
      </c>
      <c r="O329">
        <v>478.04</v>
      </c>
    </row>
    <row r="330" spans="1:15" x14ac:dyDescent="0.35">
      <c r="A330" t="s">
        <v>826</v>
      </c>
      <c r="B330" t="s">
        <v>51</v>
      </c>
      <c r="C330" t="s">
        <v>827</v>
      </c>
      <c r="D330" t="s">
        <v>48</v>
      </c>
      <c r="E330" t="s">
        <v>19</v>
      </c>
      <c r="F330" t="s">
        <v>27</v>
      </c>
      <c r="G330" t="s">
        <v>149</v>
      </c>
      <c r="H330" s="1">
        <v>45439.602777777778</v>
      </c>
      <c r="I330" s="1">
        <v>45439.682638888888</v>
      </c>
      <c r="J330">
        <v>94</v>
      </c>
      <c r="K330">
        <v>115</v>
      </c>
      <c r="L330">
        <v>1</v>
      </c>
      <c r="M330" t="s">
        <v>22</v>
      </c>
      <c r="N330">
        <v>9</v>
      </c>
      <c r="O330">
        <v>494.16</v>
      </c>
    </row>
    <row r="331" spans="1:15" x14ac:dyDescent="0.35">
      <c r="A331" t="s">
        <v>828</v>
      </c>
      <c r="B331" t="s">
        <v>16</v>
      </c>
      <c r="C331" t="s">
        <v>829</v>
      </c>
      <c r="D331" t="s">
        <v>56</v>
      </c>
      <c r="E331" t="s">
        <v>33</v>
      </c>
      <c r="F331" t="s">
        <v>57</v>
      </c>
      <c r="G331" t="s">
        <v>299</v>
      </c>
      <c r="H331" s="1">
        <v>45429.306944444441</v>
      </c>
      <c r="I331" s="1">
        <v>45429.444444444445</v>
      </c>
      <c r="J331">
        <v>131</v>
      </c>
      <c r="K331">
        <v>198</v>
      </c>
      <c r="L331">
        <v>1</v>
      </c>
      <c r="M331" t="s">
        <v>41</v>
      </c>
      <c r="N331">
        <v>6</v>
      </c>
      <c r="O331">
        <v>127.69</v>
      </c>
    </row>
    <row r="332" spans="1:15" x14ac:dyDescent="0.35">
      <c r="A332" t="s">
        <v>830</v>
      </c>
      <c r="B332" t="s">
        <v>16</v>
      </c>
      <c r="C332" t="s">
        <v>831</v>
      </c>
      <c r="D332" t="s">
        <v>18</v>
      </c>
      <c r="E332" t="s">
        <v>33</v>
      </c>
      <c r="F332" t="s">
        <v>20</v>
      </c>
      <c r="G332" t="s">
        <v>188</v>
      </c>
      <c r="H332" s="1">
        <v>45548.88958333333</v>
      </c>
      <c r="I332" s="1">
        <v>45549.040277777778</v>
      </c>
      <c r="J332">
        <v>173</v>
      </c>
      <c r="K332">
        <v>217</v>
      </c>
      <c r="L332">
        <v>1</v>
      </c>
      <c r="M332" t="s">
        <v>22</v>
      </c>
      <c r="N332">
        <v>6</v>
      </c>
      <c r="O332">
        <v>353.68</v>
      </c>
    </row>
    <row r="333" spans="1:15" x14ac:dyDescent="0.35">
      <c r="A333" t="s">
        <v>832</v>
      </c>
      <c r="B333" t="s">
        <v>31</v>
      </c>
      <c r="C333" t="s">
        <v>833</v>
      </c>
      <c r="D333" t="s">
        <v>44</v>
      </c>
      <c r="E333" t="s">
        <v>19</v>
      </c>
      <c r="F333" t="s">
        <v>34</v>
      </c>
      <c r="G333" t="s">
        <v>415</v>
      </c>
      <c r="H333" s="1">
        <v>45602.094444444447</v>
      </c>
      <c r="I333" s="1">
        <v>45602.25277777778</v>
      </c>
      <c r="J333">
        <v>228</v>
      </c>
      <c r="K333">
        <v>228</v>
      </c>
      <c r="L333">
        <v>0</v>
      </c>
      <c r="M333" t="s">
        <v>29</v>
      </c>
      <c r="N333">
        <v>7</v>
      </c>
      <c r="O333">
        <v>253.29</v>
      </c>
    </row>
    <row r="334" spans="1:15" x14ac:dyDescent="0.35">
      <c r="A334" t="s">
        <v>834</v>
      </c>
      <c r="B334" t="s">
        <v>16</v>
      </c>
      <c r="C334" t="s">
        <v>835</v>
      </c>
      <c r="D334" t="s">
        <v>48</v>
      </c>
      <c r="E334" t="s">
        <v>19</v>
      </c>
      <c r="F334" t="s">
        <v>57</v>
      </c>
      <c r="G334" t="s">
        <v>430</v>
      </c>
      <c r="H334" s="1">
        <v>45531.552777777775</v>
      </c>
      <c r="I334" s="1">
        <v>45531.697916666664</v>
      </c>
      <c r="J334">
        <v>121</v>
      </c>
      <c r="K334">
        <v>209</v>
      </c>
      <c r="L334">
        <v>1</v>
      </c>
      <c r="M334" t="s">
        <v>41</v>
      </c>
      <c r="N334">
        <v>7</v>
      </c>
      <c r="O334">
        <v>394.46</v>
      </c>
    </row>
    <row r="335" spans="1:15" x14ac:dyDescent="0.35">
      <c r="A335" t="s">
        <v>836</v>
      </c>
      <c r="B335" t="s">
        <v>24</v>
      </c>
      <c r="C335" t="s">
        <v>837</v>
      </c>
      <c r="D335" t="s">
        <v>26</v>
      </c>
      <c r="E335" t="s">
        <v>85</v>
      </c>
      <c r="F335" t="s">
        <v>39</v>
      </c>
      <c r="G335" t="s">
        <v>170</v>
      </c>
      <c r="H335" s="1">
        <v>45390.445833333331</v>
      </c>
      <c r="I335" s="1">
        <v>45390.577777777777</v>
      </c>
      <c r="J335">
        <v>74</v>
      </c>
      <c r="K335">
        <v>190</v>
      </c>
      <c r="L335">
        <v>1</v>
      </c>
      <c r="M335" t="s">
        <v>22</v>
      </c>
      <c r="N335">
        <v>2</v>
      </c>
      <c r="O335">
        <v>378.69</v>
      </c>
    </row>
    <row r="336" spans="1:15" x14ac:dyDescent="0.35">
      <c r="A336" t="s">
        <v>838</v>
      </c>
      <c r="B336" t="s">
        <v>63</v>
      </c>
      <c r="C336" t="s">
        <v>839</v>
      </c>
      <c r="D336" t="s">
        <v>18</v>
      </c>
      <c r="E336" t="s">
        <v>33</v>
      </c>
      <c r="F336" t="s">
        <v>57</v>
      </c>
      <c r="G336" t="s">
        <v>782</v>
      </c>
      <c r="H336" s="1">
        <v>45320.586111111108</v>
      </c>
      <c r="I336" s="1">
        <v>45320.712500000001</v>
      </c>
      <c r="J336">
        <v>185</v>
      </c>
      <c r="K336">
        <v>182</v>
      </c>
      <c r="L336">
        <v>0</v>
      </c>
      <c r="M336" t="s">
        <v>41</v>
      </c>
      <c r="N336">
        <v>9</v>
      </c>
      <c r="O336">
        <v>258.99</v>
      </c>
    </row>
    <row r="337" spans="1:15" x14ac:dyDescent="0.35">
      <c r="A337" t="s">
        <v>840</v>
      </c>
      <c r="B337" t="s">
        <v>31</v>
      </c>
      <c r="C337" t="s">
        <v>841</v>
      </c>
      <c r="D337" t="s">
        <v>26</v>
      </c>
      <c r="E337" t="s">
        <v>38</v>
      </c>
      <c r="F337" t="s">
        <v>27</v>
      </c>
      <c r="G337" t="s">
        <v>842</v>
      </c>
      <c r="H337" s="1">
        <v>45371.549305555556</v>
      </c>
      <c r="I337" s="1">
        <v>45371.642361111109</v>
      </c>
      <c r="J337">
        <v>111</v>
      </c>
      <c r="K337">
        <v>134</v>
      </c>
      <c r="L337">
        <v>1</v>
      </c>
      <c r="M337" t="s">
        <v>22</v>
      </c>
      <c r="N337">
        <v>8</v>
      </c>
      <c r="O337">
        <v>325.7</v>
      </c>
    </row>
    <row r="338" spans="1:15" x14ac:dyDescent="0.35">
      <c r="A338" t="s">
        <v>843</v>
      </c>
      <c r="B338" t="s">
        <v>24</v>
      </c>
      <c r="C338" t="s">
        <v>844</v>
      </c>
      <c r="D338" t="s">
        <v>26</v>
      </c>
      <c r="E338" t="s">
        <v>38</v>
      </c>
      <c r="F338" t="s">
        <v>20</v>
      </c>
      <c r="G338" t="s">
        <v>308</v>
      </c>
      <c r="H338" s="1">
        <v>45613.768055555556</v>
      </c>
      <c r="I338" s="1">
        <v>45613.90902777778</v>
      </c>
      <c r="J338">
        <v>137</v>
      </c>
      <c r="K338">
        <v>203</v>
      </c>
      <c r="L338">
        <v>1</v>
      </c>
      <c r="M338" t="s">
        <v>29</v>
      </c>
      <c r="N338">
        <v>5</v>
      </c>
      <c r="O338">
        <v>113.07</v>
      </c>
    </row>
    <row r="339" spans="1:15" x14ac:dyDescent="0.35">
      <c r="A339" t="s">
        <v>845</v>
      </c>
      <c r="B339" t="s">
        <v>24</v>
      </c>
      <c r="C339" t="s">
        <v>846</v>
      </c>
      <c r="D339" t="s">
        <v>48</v>
      </c>
      <c r="E339" t="s">
        <v>85</v>
      </c>
      <c r="F339" t="s">
        <v>39</v>
      </c>
      <c r="G339" t="s">
        <v>615</v>
      </c>
      <c r="H339" s="1">
        <v>45571.236111111109</v>
      </c>
      <c r="I339" s="1">
        <v>45571.377083333333</v>
      </c>
      <c r="J339">
        <v>196</v>
      </c>
      <c r="K339">
        <v>203</v>
      </c>
      <c r="L339">
        <v>1</v>
      </c>
      <c r="M339" t="s">
        <v>41</v>
      </c>
      <c r="N339">
        <v>10</v>
      </c>
      <c r="O339">
        <v>138.86000000000001</v>
      </c>
    </row>
    <row r="340" spans="1:15" x14ac:dyDescent="0.35">
      <c r="A340" t="s">
        <v>847</v>
      </c>
      <c r="B340" t="s">
        <v>63</v>
      </c>
      <c r="C340" t="s">
        <v>848</v>
      </c>
      <c r="D340" t="s">
        <v>26</v>
      </c>
      <c r="E340" t="s">
        <v>38</v>
      </c>
      <c r="F340" t="s">
        <v>57</v>
      </c>
      <c r="G340" t="s">
        <v>465</v>
      </c>
      <c r="H340" s="1">
        <v>45557.256249999999</v>
      </c>
      <c r="I340" s="1">
        <v>45557.413194444445</v>
      </c>
      <c r="J340">
        <v>221</v>
      </c>
      <c r="K340">
        <v>226</v>
      </c>
      <c r="L340">
        <v>1</v>
      </c>
      <c r="M340" t="s">
        <v>22</v>
      </c>
      <c r="N340">
        <v>8</v>
      </c>
      <c r="O340">
        <v>495.86</v>
      </c>
    </row>
    <row r="341" spans="1:15" x14ac:dyDescent="0.35">
      <c r="A341" t="s">
        <v>849</v>
      </c>
      <c r="B341" t="s">
        <v>31</v>
      </c>
      <c r="C341" t="s">
        <v>850</v>
      </c>
      <c r="D341" t="s">
        <v>44</v>
      </c>
      <c r="E341" t="s">
        <v>33</v>
      </c>
      <c r="F341" t="s">
        <v>39</v>
      </c>
      <c r="G341" t="s">
        <v>407</v>
      </c>
      <c r="H341" s="1">
        <v>45625.34097222222</v>
      </c>
      <c r="I341" s="1">
        <v>45625.416666666664</v>
      </c>
      <c r="J341">
        <v>25</v>
      </c>
      <c r="K341">
        <v>109</v>
      </c>
      <c r="L341">
        <v>1</v>
      </c>
      <c r="M341" t="s">
        <v>41</v>
      </c>
      <c r="N341">
        <v>2</v>
      </c>
      <c r="O341">
        <v>56.95</v>
      </c>
    </row>
    <row r="342" spans="1:15" x14ac:dyDescent="0.35">
      <c r="A342" t="s">
        <v>851</v>
      </c>
      <c r="B342" t="s">
        <v>16</v>
      </c>
      <c r="C342" t="s">
        <v>852</v>
      </c>
      <c r="D342" t="s">
        <v>56</v>
      </c>
      <c r="E342" t="s">
        <v>38</v>
      </c>
      <c r="F342" t="s">
        <v>57</v>
      </c>
      <c r="G342" t="s">
        <v>853</v>
      </c>
      <c r="H342" s="1">
        <v>45525.818055555559</v>
      </c>
      <c r="I342" s="1">
        <v>45525.993055555555</v>
      </c>
      <c r="J342">
        <v>139</v>
      </c>
      <c r="K342">
        <v>252</v>
      </c>
      <c r="L342">
        <v>1</v>
      </c>
      <c r="M342" t="s">
        <v>41</v>
      </c>
      <c r="N342">
        <v>1</v>
      </c>
      <c r="O342">
        <v>132.63999999999999</v>
      </c>
    </row>
    <row r="343" spans="1:15" x14ac:dyDescent="0.35">
      <c r="A343" t="s">
        <v>854</v>
      </c>
      <c r="B343" t="s">
        <v>63</v>
      </c>
      <c r="C343" t="s">
        <v>855</v>
      </c>
      <c r="D343" t="s">
        <v>56</v>
      </c>
      <c r="E343" t="s">
        <v>19</v>
      </c>
      <c r="F343" t="s">
        <v>27</v>
      </c>
      <c r="G343" t="s">
        <v>45</v>
      </c>
      <c r="H343" s="1">
        <v>45624.647222222222</v>
      </c>
      <c r="I343" s="1">
        <v>45624.818055555559</v>
      </c>
      <c r="J343">
        <v>171</v>
      </c>
      <c r="K343">
        <v>246</v>
      </c>
      <c r="L343">
        <v>1</v>
      </c>
      <c r="M343" t="s">
        <v>22</v>
      </c>
      <c r="N343">
        <v>10</v>
      </c>
      <c r="O343">
        <v>467</v>
      </c>
    </row>
    <row r="344" spans="1:15" x14ac:dyDescent="0.35">
      <c r="A344" t="s">
        <v>856</v>
      </c>
      <c r="B344" t="s">
        <v>24</v>
      </c>
      <c r="C344" t="s">
        <v>857</v>
      </c>
      <c r="D344" t="s">
        <v>56</v>
      </c>
      <c r="E344" t="s">
        <v>85</v>
      </c>
      <c r="F344" t="s">
        <v>27</v>
      </c>
      <c r="G344" t="s">
        <v>120</v>
      </c>
      <c r="H344" s="1">
        <v>45468.868055555555</v>
      </c>
      <c r="I344" s="1">
        <v>45469.000694444447</v>
      </c>
      <c r="J344">
        <v>194</v>
      </c>
      <c r="K344">
        <v>191</v>
      </c>
      <c r="L344">
        <v>0</v>
      </c>
      <c r="M344" t="s">
        <v>29</v>
      </c>
      <c r="N344">
        <v>7</v>
      </c>
      <c r="O344">
        <v>240.6</v>
      </c>
    </row>
    <row r="345" spans="1:15" x14ac:dyDescent="0.35">
      <c r="A345" t="s">
        <v>858</v>
      </c>
      <c r="B345" t="s">
        <v>51</v>
      </c>
      <c r="C345" t="s">
        <v>859</v>
      </c>
      <c r="D345" t="s">
        <v>44</v>
      </c>
      <c r="E345" t="s">
        <v>33</v>
      </c>
      <c r="F345" t="s">
        <v>20</v>
      </c>
      <c r="G345" t="s">
        <v>415</v>
      </c>
      <c r="H345" s="1">
        <v>45608.725694444445</v>
      </c>
      <c r="I345" s="1">
        <v>45608.770833333336</v>
      </c>
      <c r="J345">
        <v>21</v>
      </c>
      <c r="K345">
        <v>65</v>
      </c>
      <c r="L345">
        <v>1</v>
      </c>
      <c r="M345" t="s">
        <v>41</v>
      </c>
      <c r="N345">
        <v>7</v>
      </c>
      <c r="O345">
        <v>261.39999999999998</v>
      </c>
    </row>
    <row r="346" spans="1:15" x14ac:dyDescent="0.35">
      <c r="A346" t="s">
        <v>860</v>
      </c>
      <c r="B346" t="s">
        <v>31</v>
      </c>
      <c r="C346" t="s">
        <v>861</v>
      </c>
      <c r="D346" t="s">
        <v>44</v>
      </c>
      <c r="E346" t="s">
        <v>38</v>
      </c>
      <c r="F346" t="s">
        <v>27</v>
      </c>
      <c r="G346" t="s">
        <v>397</v>
      </c>
      <c r="H346" s="1">
        <v>45498.989583333336</v>
      </c>
      <c r="I346" s="1">
        <v>45499.12222222222</v>
      </c>
      <c r="J346">
        <v>115</v>
      </c>
      <c r="K346">
        <v>191</v>
      </c>
      <c r="L346">
        <v>1</v>
      </c>
      <c r="M346" t="s">
        <v>29</v>
      </c>
      <c r="N346">
        <v>5</v>
      </c>
      <c r="O346">
        <v>319.36</v>
      </c>
    </row>
    <row r="347" spans="1:15" x14ac:dyDescent="0.35">
      <c r="A347" t="s">
        <v>862</v>
      </c>
      <c r="B347" t="s">
        <v>51</v>
      </c>
      <c r="C347" t="s">
        <v>863</v>
      </c>
      <c r="D347" t="s">
        <v>48</v>
      </c>
      <c r="E347" t="s">
        <v>19</v>
      </c>
      <c r="F347" t="s">
        <v>20</v>
      </c>
      <c r="G347" t="s">
        <v>615</v>
      </c>
      <c r="H347" s="1">
        <v>45578.970833333333</v>
      </c>
      <c r="I347" s="1">
        <v>45579.119444444441</v>
      </c>
      <c r="J347">
        <v>167</v>
      </c>
      <c r="K347">
        <v>214</v>
      </c>
      <c r="L347">
        <v>1</v>
      </c>
      <c r="M347" t="s">
        <v>22</v>
      </c>
      <c r="N347">
        <v>1</v>
      </c>
      <c r="O347">
        <v>429.25</v>
      </c>
    </row>
    <row r="348" spans="1:15" x14ac:dyDescent="0.35">
      <c r="A348" t="s">
        <v>864</v>
      </c>
      <c r="B348" t="s">
        <v>63</v>
      </c>
      <c r="C348" t="s">
        <v>865</v>
      </c>
      <c r="D348" t="s">
        <v>44</v>
      </c>
      <c r="E348" t="s">
        <v>33</v>
      </c>
      <c r="F348" t="s">
        <v>39</v>
      </c>
      <c r="G348" t="s">
        <v>126</v>
      </c>
      <c r="H348" s="1">
        <v>45518.98541666667</v>
      </c>
      <c r="I348" s="1">
        <v>45519.13958333333</v>
      </c>
      <c r="J348">
        <v>192</v>
      </c>
      <c r="K348">
        <v>222</v>
      </c>
      <c r="L348">
        <v>1</v>
      </c>
      <c r="M348" t="s">
        <v>41</v>
      </c>
      <c r="N348">
        <v>2</v>
      </c>
      <c r="O348">
        <v>253.2</v>
      </c>
    </row>
    <row r="349" spans="1:15" x14ac:dyDescent="0.35">
      <c r="A349" t="s">
        <v>866</v>
      </c>
      <c r="B349" t="s">
        <v>51</v>
      </c>
      <c r="C349" t="s">
        <v>867</v>
      </c>
      <c r="D349" t="s">
        <v>26</v>
      </c>
      <c r="E349" t="s">
        <v>85</v>
      </c>
      <c r="F349" t="s">
        <v>20</v>
      </c>
      <c r="G349" t="s">
        <v>161</v>
      </c>
      <c r="H349" s="1">
        <v>45366.888888888891</v>
      </c>
      <c r="I349" s="1">
        <v>45366.976388888892</v>
      </c>
      <c r="J349">
        <v>57</v>
      </c>
      <c r="K349">
        <v>126</v>
      </c>
      <c r="L349">
        <v>1</v>
      </c>
      <c r="M349" t="s">
        <v>22</v>
      </c>
      <c r="N349">
        <v>1</v>
      </c>
      <c r="O349">
        <v>173.45</v>
      </c>
    </row>
    <row r="350" spans="1:15" x14ac:dyDescent="0.35">
      <c r="A350" t="s">
        <v>868</v>
      </c>
      <c r="B350" t="s">
        <v>24</v>
      </c>
      <c r="C350" t="s">
        <v>869</v>
      </c>
      <c r="D350" t="s">
        <v>26</v>
      </c>
      <c r="E350" t="s">
        <v>38</v>
      </c>
      <c r="F350" t="s">
        <v>57</v>
      </c>
      <c r="G350" t="s">
        <v>462</v>
      </c>
      <c r="H350" s="1">
        <v>45629.704861111109</v>
      </c>
      <c r="I350" s="1">
        <v>45629.879166666666</v>
      </c>
      <c r="J350">
        <v>218</v>
      </c>
      <c r="K350">
        <v>251</v>
      </c>
      <c r="L350">
        <v>1</v>
      </c>
      <c r="M350" t="s">
        <v>22</v>
      </c>
      <c r="N350">
        <v>7</v>
      </c>
      <c r="O350">
        <v>90.28</v>
      </c>
    </row>
    <row r="351" spans="1:15" x14ac:dyDescent="0.35">
      <c r="A351" t="s">
        <v>870</v>
      </c>
      <c r="B351" t="s">
        <v>51</v>
      </c>
      <c r="C351" t="s">
        <v>871</v>
      </c>
      <c r="D351" t="s">
        <v>18</v>
      </c>
      <c r="E351" t="s">
        <v>19</v>
      </c>
      <c r="F351" t="s">
        <v>27</v>
      </c>
      <c r="G351" t="s">
        <v>161</v>
      </c>
      <c r="H351" s="1">
        <v>45403.468055555553</v>
      </c>
      <c r="I351" s="1">
        <v>45403.636111111111</v>
      </c>
      <c r="J351">
        <v>209</v>
      </c>
      <c r="K351">
        <v>242</v>
      </c>
      <c r="L351">
        <v>1</v>
      </c>
      <c r="M351" t="s">
        <v>22</v>
      </c>
      <c r="N351">
        <v>8</v>
      </c>
      <c r="O351">
        <v>230.69</v>
      </c>
    </row>
    <row r="352" spans="1:15" x14ac:dyDescent="0.35">
      <c r="A352" t="s">
        <v>872</v>
      </c>
      <c r="B352" t="s">
        <v>16</v>
      </c>
      <c r="C352" t="s">
        <v>873</v>
      </c>
      <c r="D352" t="s">
        <v>18</v>
      </c>
      <c r="E352" t="s">
        <v>38</v>
      </c>
      <c r="F352" t="s">
        <v>34</v>
      </c>
      <c r="G352" t="s">
        <v>407</v>
      </c>
      <c r="H352" s="1">
        <v>45625.909722222219</v>
      </c>
      <c r="I352" s="1">
        <v>45626.006249999999</v>
      </c>
      <c r="J352">
        <v>128</v>
      </c>
      <c r="K352">
        <v>139</v>
      </c>
      <c r="L352">
        <v>1</v>
      </c>
      <c r="M352" t="s">
        <v>29</v>
      </c>
      <c r="N352">
        <v>6</v>
      </c>
      <c r="O352">
        <v>479.53</v>
      </c>
    </row>
    <row r="353" spans="1:15" x14ac:dyDescent="0.35">
      <c r="A353" t="s">
        <v>874</v>
      </c>
      <c r="B353" t="s">
        <v>31</v>
      </c>
      <c r="C353" t="s">
        <v>875</v>
      </c>
      <c r="D353" t="s">
        <v>56</v>
      </c>
      <c r="E353" t="s">
        <v>85</v>
      </c>
      <c r="F353" t="s">
        <v>39</v>
      </c>
      <c r="G353" t="s">
        <v>470</v>
      </c>
      <c r="H353" s="1">
        <v>45545.57708333333</v>
      </c>
      <c r="I353" s="1">
        <v>45545.797222222223</v>
      </c>
      <c r="J353">
        <v>224</v>
      </c>
      <c r="K353">
        <v>317</v>
      </c>
      <c r="L353">
        <v>1</v>
      </c>
      <c r="M353" t="s">
        <v>22</v>
      </c>
      <c r="N353">
        <v>10</v>
      </c>
      <c r="O353">
        <v>344.55</v>
      </c>
    </row>
    <row r="354" spans="1:15" x14ac:dyDescent="0.35">
      <c r="A354" t="s">
        <v>876</v>
      </c>
      <c r="B354" t="s">
        <v>16</v>
      </c>
      <c r="C354" t="s">
        <v>877</v>
      </c>
      <c r="D354" t="s">
        <v>56</v>
      </c>
      <c r="E354" t="s">
        <v>85</v>
      </c>
      <c r="F354" t="s">
        <v>39</v>
      </c>
      <c r="G354" t="s">
        <v>684</v>
      </c>
      <c r="H354" s="1">
        <v>45306.71875</v>
      </c>
      <c r="I354" s="1">
        <v>45306.911111111112</v>
      </c>
      <c r="J354">
        <v>200</v>
      </c>
      <c r="K354">
        <v>277</v>
      </c>
      <c r="L354">
        <v>1</v>
      </c>
      <c r="M354" t="s">
        <v>29</v>
      </c>
      <c r="N354">
        <v>2</v>
      </c>
      <c r="O354">
        <v>99.92</v>
      </c>
    </row>
    <row r="355" spans="1:15" x14ac:dyDescent="0.35">
      <c r="A355" t="s">
        <v>878</v>
      </c>
      <c r="B355" t="s">
        <v>51</v>
      </c>
      <c r="C355" t="s">
        <v>879</v>
      </c>
      <c r="D355" t="s">
        <v>18</v>
      </c>
      <c r="E355" t="s">
        <v>19</v>
      </c>
      <c r="F355" t="s">
        <v>34</v>
      </c>
      <c r="G355" t="s">
        <v>53</v>
      </c>
      <c r="H355" s="1">
        <v>45641.270833333336</v>
      </c>
      <c r="I355" s="1">
        <v>45641.397916666669</v>
      </c>
      <c r="J355">
        <v>93</v>
      </c>
      <c r="K355">
        <v>183</v>
      </c>
      <c r="L355">
        <v>1</v>
      </c>
      <c r="M355" t="s">
        <v>29</v>
      </c>
      <c r="N355">
        <v>8</v>
      </c>
      <c r="O355">
        <v>455.49</v>
      </c>
    </row>
    <row r="356" spans="1:15" x14ac:dyDescent="0.35">
      <c r="A356" t="s">
        <v>880</v>
      </c>
      <c r="B356" t="s">
        <v>31</v>
      </c>
      <c r="C356" t="s">
        <v>881</v>
      </c>
      <c r="D356" t="s">
        <v>56</v>
      </c>
      <c r="E356" t="s">
        <v>19</v>
      </c>
      <c r="F356" t="s">
        <v>57</v>
      </c>
      <c r="G356" t="s">
        <v>311</v>
      </c>
      <c r="H356" s="1">
        <v>45462.802083333336</v>
      </c>
      <c r="I356" s="1">
        <v>45463.011805555558</v>
      </c>
      <c r="J356">
        <v>219</v>
      </c>
      <c r="K356">
        <v>302</v>
      </c>
      <c r="L356">
        <v>1</v>
      </c>
      <c r="M356" t="s">
        <v>22</v>
      </c>
      <c r="N356">
        <v>3</v>
      </c>
      <c r="O356">
        <v>384.66</v>
      </c>
    </row>
    <row r="357" spans="1:15" x14ac:dyDescent="0.35">
      <c r="A357" t="s">
        <v>882</v>
      </c>
      <c r="B357" t="s">
        <v>16</v>
      </c>
      <c r="C357" t="s">
        <v>883</v>
      </c>
      <c r="D357" t="s">
        <v>56</v>
      </c>
      <c r="E357" t="s">
        <v>19</v>
      </c>
      <c r="F357" t="s">
        <v>57</v>
      </c>
      <c r="G357" t="s">
        <v>146</v>
      </c>
      <c r="H357" s="1">
        <v>45317.477777777778</v>
      </c>
      <c r="I357" s="1">
        <v>45317.536111111112</v>
      </c>
      <c r="J357">
        <v>77</v>
      </c>
      <c r="K357">
        <v>84</v>
      </c>
      <c r="L357">
        <v>1</v>
      </c>
      <c r="M357" t="s">
        <v>29</v>
      </c>
      <c r="N357">
        <v>2</v>
      </c>
      <c r="O357">
        <v>55.51</v>
      </c>
    </row>
    <row r="358" spans="1:15" x14ac:dyDescent="0.35">
      <c r="A358" t="s">
        <v>884</v>
      </c>
      <c r="B358" t="s">
        <v>31</v>
      </c>
      <c r="C358" t="s">
        <v>885</v>
      </c>
      <c r="D358" t="s">
        <v>56</v>
      </c>
      <c r="E358" t="s">
        <v>33</v>
      </c>
      <c r="F358" t="s">
        <v>20</v>
      </c>
      <c r="G358" t="s">
        <v>853</v>
      </c>
      <c r="H358" s="1">
        <v>45376.553472222222</v>
      </c>
      <c r="I358" s="1">
        <v>45376.749305555553</v>
      </c>
      <c r="J358">
        <v>238</v>
      </c>
      <c r="K358">
        <v>282</v>
      </c>
      <c r="L358">
        <v>1</v>
      </c>
      <c r="M358" t="s">
        <v>29</v>
      </c>
      <c r="N358">
        <v>5</v>
      </c>
      <c r="O358">
        <v>358.33</v>
      </c>
    </row>
    <row r="359" spans="1:15" x14ac:dyDescent="0.35">
      <c r="A359" t="s">
        <v>886</v>
      </c>
      <c r="B359" t="s">
        <v>16</v>
      </c>
      <c r="C359" t="s">
        <v>887</v>
      </c>
      <c r="D359" t="s">
        <v>48</v>
      </c>
      <c r="E359" t="s">
        <v>33</v>
      </c>
      <c r="F359" t="s">
        <v>57</v>
      </c>
      <c r="G359" t="s">
        <v>465</v>
      </c>
      <c r="H359" s="1">
        <v>45599.15902777778</v>
      </c>
      <c r="I359" s="1">
        <v>45599.275000000001</v>
      </c>
      <c r="J359">
        <v>97</v>
      </c>
      <c r="K359">
        <v>167</v>
      </c>
      <c r="L359">
        <v>1</v>
      </c>
      <c r="M359" t="s">
        <v>41</v>
      </c>
      <c r="N359">
        <v>2</v>
      </c>
      <c r="O359">
        <v>108.14</v>
      </c>
    </row>
    <row r="360" spans="1:15" x14ac:dyDescent="0.35">
      <c r="A360" t="s">
        <v>888</v>
      </c>
      <c r="B360" t="s">
        <v>63</v>
      </c>
      <c r="C360" t="s">
        <v>889</v>
      </c>
      <c r="D360" t="s">
        <v>18</v>
      </c>
      <c r="E360" t="s">
        <v>19</v>
      </c>
      <c r="F360" t="s">
        <v>27</v>
      </c>
      <c r="G360" t="s">
        <v>512</v>
      </c>
      <c r="H360" s="1">
        <v>45489.928472222222</v>
      </c>
      <c r="I360" s="1">
        <v>45490.086805555555</v>
      </c>
      <c r="J360">
        <v>152</v>
      </c>
      <c r="K360">
        <v>228</v>
      </c>
      <c r="L360">
        <v>1</v>
      </c>
      <c r="M360" t="s">
        <v>29</v>
      </c>
      <c r="N360">
        <v>2</v>
      </c>
      <c r="O360">
        <v>129.86000000000001</v>
      </c>
    </row>
    <row r="361" spans="1:15" x14ac:dyDescent="0.35">
      <c r="A361" t="s">
        <v>890</v>
      </c>
      <c r="B361" t="s">
        <v>16</v>
      </c>
      <c r="C361" t="s">
        <v>891</v>
      </c>
      <c r="D361" t="s">
        <v>48</v>
      </c>
      <c r="E361" t="s">
        <v>19</v>
      </c>
      <c r="F361" t="s">
        <v>27</v>
      </c>
      <c r="G361" t="s">
        <v>100</v>
      </c>
      <c r="H361" s="1">
        <v>45491.419444444444</v>
      </c>
      <c r="I361" s="1">
        <v>45491.615972222222</v>
      </c>
      <c r="J361">
        <v>212</v>
      </c>
      <c r="K361">
        <v>283</v>
      </c>
      <c r="L361">
        <v>1</v>
      </c>
      <c r="M361" t="s">
        <v>41</v>
      </c>
      <c r="N361">
        <v>2</v>
      </c>
      <c r="O361">
        <v>451.49</v>
      </c>
    </row>
    <row r="362" spans="1:15" x14ac:dyDescent="0.35">
      <c r="A362" t="s">
        <v>892</v>
      </c>
      <c r="B362" t="s">
        <v>63</v>
      </c>
      <c r="C362" t="s">
        <v>893</v>
      </c>
      <c r="D362" t="s">
        <v>56</v>
      </c>
      <c r="E362" t="s">
        <v>85</v>
      </c>
      <c r="F362" t="s">
        <v>39</v>
      </c>
      <c r="G362" t="s">
        <v>894</v>
      </c>
      <c r="H362" s="1">
        <v>45581.92291666667</v>
      </c>
      <c r="I362" s="1">
        <v>45581.996527777781</v>
      </c>
      <c r="J362">
        <v>13</v>
      </c>
      <c r="K362">
        <v>106</v>
      </c>
      <c r="L362">
        <v>1</v>
      </c>
      <c r="M362" t="s">
        <v>29</v>
      </c>
      <c r="N362">
        <v>3</v>
      </c>
      <c r="O362">
        <v>398.06</v>
      </c>
    </row>
    <row r="363" spans="1:15" x14ac:dyDescent="0.35">
      <c r="A363" t="s">
        <v>895</v>
      </c>
      <c r="B363" t="s">
        <v>16</v>
      </c>
      <c r="C363" t="s">
        <v>896</v>
      </c>
      <c r="D363" t="s">
        <v>18</v>
      </c>
      <c r="E363" t="s">
        <v>85</v>
      </c>
      <c r="F363" t="s">
        <v>57</v>
      </c>
      <c r="G363" t="s">
        <v>897</v>
      </c>
      <c r="H363" s="1">
        <v>45344.760416666664</v>
      </c>
      <c r="I363" s="1">
        <v>45344.895833333336</v>
      </c>
      <c r="J363">
        <v>153</v>
      </c>
      <c r="K363">
        <v>195</v>
      </c>
      <c r="L363">
        <v>1</v>
      </c>
      <c r="M363" t="s">
        <v>29</v>
      </c>
      <c r="N363">
        <v>9</v>
      </c>
      <c r="O363">
        <v>99.03</v>
      </c>
    </row>
    <row r="364" spans="1:15" x14ac:dyDescent="0.35">
      <c r="A364" t="s">
        <v>898</v>
      </c>
      <c r="B364" t="s">
        <v>16</v>
      </c>
      <c r="C364" t="s">
        <v>899</v>
      </c>
      <c r="D364" t="s">
        <v>18</v>
      </c>
      <c r="E364" t="s">
        <v>19</v>
      </c>
      <c r="F364" t="s">
        <v>34</v>
      </c>
      <c r="G364" t="s">
        <v>283</v>
      </c>
      <c r="H364" s="1">
        <v>45600.31527777778</v>
      </c>
      <c r="I364" s="1">
        <v>45600.442361111112</v>
      </c>
      <c r="J364">
        <v>169</v>
      </c>
      <c r="K364">
        <v>183</v>
      </c>
      <c r="L364">
        <v>1</v>
      </c>
      <c r="M364" t="s">
        <v>22</v>
      </c>
      <c r="N364">
        <v>5</v>
      </c>
      <c r="O364">
        <v>440.03</v>
      </c>
    </row>
    <row r="365" spans="1:15" x14ac:dyDescent="0.35">
      <c r="A365" t="s">
        <v>900</v>
      </c>
      <c r="B365" t="s">
        <v>24</v>
      </c>
      <c r="C365" t="s">
        <v>901</v>
      </c>
      <c r="D365" t="s">
        <v>48</v>
      </c>
      <c r="E365" t="s">
        <v>19</v>
      </c>
      <c r="F365" t="s">
        <v>20</v>
      </c>
      <c r="G365" t="s">
        <v>669</v>
      </c>
      <c r="H365" s="1">
        <v>45296.345833333333</v>
      </c>
      <c r="I365" s="1">
        <v>45296.549305555556</v>
      </c>
      <c r="J365">
        <v>194</v>
      </c>
      <c r="K365">
        <v>293</v>
      </c>
      <c r="L365">
        <v>1</v>
      </c>
      <c r="M365" t="s">
        <v>22</v>
      </c>
      <c r="N365">
        <v>7</v>
      </c>
      <c r="O365">
        <v>340.72</v>
      </c>
    </row>
    <row r="366" spans="1:15" x14ac:dyDescent="0.35">
      <c r="A366" t="s">
        <v>902</v>
      </c>
      <c r="B366" t="s">
        <v>16</v>
      </c>
      <c r="C366" t="s">
        <v>903</v>
      </c>
      <c r="D366" t="s">
        <v>56</v>
      </c>
      <c r="E366" t="s">
        <v>33</v>
      </c>
      <c r="F366" t="s">
        <v>34</v>
      </c>
      <c r="G366" t="s">
        <v>359</v>
      </c>
      <c r="H366" s="1">
        <v>45392.40347222222</v>
      </c>
      <c r="I366" s="1">
        <v>45392.540972222225</v>
      </c>
      <c r="J366">
        <v>141</v>
      </c>
      <c r="K366">
        <v>198</v>
      </c>
      <c r="L366">
        <v>1</v>
      </c>
      <c r="M366" t="s">
        <v>22</v>
      </c>
      <c r="N366">
        <v>1</v>
      </c>
      <c r="O366">
        <v>234.14</v>
      </c>
    </row>
    <row r="367" spans="1:15" x14ac:dyDescent="0.35">
      <c r="A367" t="s">
        <v>904</v>
      </c>
      <c r="B367" t="s">
        <v>31</v>
      </c>
      <c r="C367" t="s">
        <v>905</v>
      </c>
      <c r="D367" t="s">
        <v>44</v>
      </c>
      <c r="E367" t="s">
        <v>19</v>
      </c>
      <c r="F367" t="s">
        <v>20</v>
      </c>
      <c r="G367" t="s">
        <v>111</v>
      </c>
      <c r="H367" s="1">
        <v>45593.842361111114</v>
      </c>
      <c r="I367" s="1">
        <v>45593.915277777778</v>
      </c>
      <c r="J367">
        <v>77</v>
      </c>
      <c r="K367">
        <v>105</v>
      </c>
      <c r="L367">
        <v>1</v>
      </c>
      <c r="M367" t="s">
        <v>22</v>
      </c>
      <c r="N367">
        <v>9</v>
      </c>
      <c r="O367">
        <v>82.7</v>
      </c>
    </row>
    <row r="368" spans="1:15" x14ac:dyDescent="0.35">
      <c r="A368" t="s">
        <v>906</v>
      </c>
      <c r="B368" t="s">
        <v>24</v>
      </c>
      <c r="C368" t="s">
        <v>907</v>
      </c>
      <c r="D368" t="s">
        <v>48</v>
      </c>
      <c r="E368" t="s">
        <v>85</v>
      </c>
      <c r="F368" t="s">
        <v>39</v>
      </c>
      <c r="G368" t="s">
        <v>35</v>
      </c>
      <c r="H368" s="1">
        <v>45612.556250000001</v>
      </c>
      <c r="I368" s="1">
        <v>45612.742361111108</v>
      </c>
      <c r="J368">
        <v>228</v>
      </c>
      <c r="K368">
        <v>268</v>
      </c>
      <c r="L368">
        <v>1</v>
      </c>
      <c r="M368" t="s">
        <v>22</v>
      </c>
      <c r="N368">
        <v>7</v>
      </c>
      <c r="O368">
        <v>343.92</v>
      </c>
    </row>
    <row r="369" spans="1:15" x14ac:dyDescent="0.35">
      <c r="A369" t="s">
        <v>908</v>
      </c>
      <c r="B369" t="s">
        <v>51</v>
      </c>
      <c r="C369" t="s">
        <v>909</v>
      </c>
      <c r="D369" t="s">
        <v>26</v>
      </c>
      <c r="E369" t="s">
        <v>38</v>
      </c>
      <c r="F369" t="s">
        <v>27</v>
      </c>
      <c r="G369" t="s">
        <v>640</v>
      </c>
      <c r="H369" s="1">
        <v>45325.384027777778</v>
      </c>
      <c r="I369" s="1">
        <v>45325.553472222222</v>
      </c>
      <c r="J369">
        <v>220</v>
      </c>
      <c r="K369">
        <v>244</v>
      </c>
      <c r="L369">
        <v>1</v>
      </c>
      <c r="M369" t="s">
        <v>41</v>
      </c>
      <c r="N369">
        <v>5</v>
      </c>
      <c r="O369">
        <v>119.22</v>
      </c>
    </row>
    <row r="370" spans="1:15" x14ac:dyDescent="0.35">
      <c r="A370" t="s">
        <v>910</v>
      </c>
      <c r="B370" t="s">
        <v>63</v>
      </c>
      <c r="C370" t="s">
        <v>911</v>
      </c>
      <c r="D370" t="s">
        <v>44</v>
      </c>
      <c r="E370" t="s">
        <v>85</v>
      </c>
      <c r="F370" t="s">
        <v>34</v>
      </c>
      <c r="G370" t="s">
        <v>167</v>
      </c>
      <c r="H370" s="1">
        <v>45442.652777777781</v>
      </c>
      <c r="I370" s="1">
        <v>45442.818749999999</v>
      </c>
      <c r="J370">
        <v>197</v>
      </c>
      <c r="K370">
        <v>239</v>
      </c>
      <c r="L370">
        <v>1</v>
      </c>
      <c r="M370" t="s">
        <v>22</v>
      </c>
      <c r="N370">
        <v>9</v>
      </c>
      <c r="O370">
        <v>385.36</v>
      </c>
    </row>
    <row r="371" spans="1:15" x14ac:dyDescent="0.35">
      <c r="A371" t="s">
        <v>912</v>
      </c>
      <c r="B371" t="s">
        <v>24</v>
      </c>
      <c r="C371" t="s">
        <v>913</v>
      </c>
      <c r="D371" t="s">
        <v>48</v>
      </c>
      <c r="E371" t="s">
        <v>33</v>
      </c>
      <c r="F371" t="s">
        <v>39</v>
      </c>
      <c r="G371" t="s">
        <v>170</v>
      </c>
      <c r="H371" s="1">
        <v>45550.109027777777</v>
      </c>
      <c r="I371" s="1">
        <v>45550.177083333336</v>
      </c>
      <c r="J371">
        <v>52</v>
      </c>
      <c r="K371">
        <v>98</v>
      </c>
      <c r="L371">
        <v>1</v>
      </c>
      <c r="M371" t="s">
        <v>22</v>
      </c>
      <c r="N371">
        <v>2</v>
      </c>
      <c r="O371">
        <v>52.77</v>
      </c>
    </row>
    <row r="372" spans="1:15" x14ac:dyDescent="0.35">
      <c r="A372" t="s">
        <v>914</v>
      </c>
      <c r="B372" t="s">
        <v>16</v>
      </c>
      <c r="C372" t="s">
        <v>915</v>
      </c>
      <c r="D372" t="s">
        <v>26</v>
      </c>
      <c r="E372" t="s">
        <v>38</v>
      </c>
      <c r="F372" t="s">
        <v>39</v>
      </c>
      <c r="G372" t="s">
        <v>916</v>
      </c>
      <c r="H372" s="1">
        <v>45417.017361111109</v>
      </c>
      <c r="I372" s="1">
        <v>45417.18472222222</v>
      </c>
      <c r="J372">
        <v>180</v>
      </c>
      <c r="K372">
        <v>241</v>
      </c>
      <c r="L372">
        <v>1</v>
      </c>
      <c r="M372" t="s">
        <v>41</v>
      </c>
      <c r="N372">
        <v>6</v>
      </c>
      <c r="O372">
        <v>212.97</v>
      </c>
    </row>
    <row r="373" spans="1:15" x14ac:dyDescent="0.35">
      <c r="A373" t="s">
        <v>917</v>
      </c>
      <c r="B373" t="s">
        <v>24</v>
      </c>
      <c r="C373" t="s">
        <v>918</v>
      </c>
      <c r="D373" t="s">
        <v>44</v>
      </c>
      <c r="E373" t="s">
        <v>19</v>
      </c>
      <c r="F373" t="s">
        <v>34</v>
      </c>
      <c r="G373" t="s">
        <v>316</v>
      </c>
      <c r="H373" s="1">
        <v>45329.651388888888</v>
      </c>
      <c r="I373" s="1">
        <v>45329.763194444444</v>
      </c>
      <c r="J373">
        <v>117</v>
      </c>
      <c r="K373">
        <v>161</v>
      </c>
      <c r="L373">
        <v>1</v>
      </c>
      <c r="M373" t="s">
        <v>22</v>
      </c>
      <c r="N373">
        <v>7</v>
      </c>
      <c r="O373">
        <v>185.41</v>
      </c>
    </row>
    <row r="374" spans="1:15" x14ac:dyDescent="0.35">
      <c r="A374" t="s">
        <v>919</v>
      </c>
      <c r="B374" t="s">
        <v>16</v>
      </c>
      <c r="C374" t="s">
        <v>920</v>
      </c>
      <c r="D374" t="s">
        <v>44</v>
      </c>
      <c r="E374" t="s">
        <v>33</v>
      </c>
      <c r="F374" t="s">
        <v>57</v>
      </c>
      <c r="G374" t="s">
        <v>640</v>
      </c>
      <c r="H374" s="1">
        <v>45333.75</v>
      </c>
      <c r="I374" s="1">
        <v>45333.807638888888</v>
      </c>
      <c r="J374">
        <v>47</v>
      </c>
      <c r="K374">
        <v>83</v>
      </c>
      <c r="L374">
        <v>1</v>
      </c>
      <c r="M374" t="s">
        <v>29</v>
      </c>
      <c r="N374">
        <v>5</v>
      </c>
      <c r="O374">
        <v>354.78</v>
      </c>
    </row>
    <row r="375" spans="1:15" x14ac:dyDescent="0.35">
      <c r="A375" t="s">
        <v>921</v>
      </c>
      <c r="B375" t="s">
        <v>24</v>
      </c>
      <c r="C375" t="s">
        <v>922</v>
      </c>
      <c r="D375" t="s">
        <v>44</v>
      </c>
      <c r="E375" t="s">
        <v>85</v>
      </c>
      <c r="F375" t="s">
        <v>34</v>
      </c>
      <c r="G375" t="s">
        <v>916</v>
      </c>
      <c r="H375" s="1">
        <v>45338.207638888889</v>
      </c>
      <c r="I375" s="1">
        <v>45338.438888888886</v>
      </c>
      <c r="J375">
        <v>234</v>
      </c>
      <c r="K375">
        <v>333</v>
      </c>
      <c r="L375">
        <v>1</v>
      </c>
      <c r="M375" t="s">
        <v>29</v>
      </c>
      <c r="N375">
        <v>1</v>
      </c>
      <c r="O375">
        <v>270.88</v>
      </c>
    </row>
    <row r="376" spans="1:15" x14ac:dyDescent="0.35">
      <c r="A376" t="s">
        <v>923</v>
      </c>
      <c r="B376" t="s">
        <v>16</v>
      </c>
      <c r="C376" t="s">
        <v>924</v>
      </c>
      <c r="D376" t="s">
        <v>26</v>
      </c>
      <c r="E376" t="s">
        <v>33</v>
      </c>
      <c r="F376" t="s">
        <v>39</v>
      </c>
      <c r="G376" t="s">
        <v>485</v>
      </c>
      <c r="H376" s="1">
        <v>45462.168055555558</v>
      </c>
      <c r="I376" s="1">
        <v>45462.344444444447</v>
      </c>
      <c r="J376">
        <v>176</v>
      </c>
      <c r="K376">
        <v>254</v>
      </c>
      <c r="L376">
        <v>1</v>
      </c>
      <c r="M376" t="s">
        <v>22</v>
      </c>
      <c r="N376">
        <v>2</v>
      </c>
      <c r="O376">
        <v>215.19</v>
      </c>
    </row>
    <row r="377" spans="1:15" x14ac:dyDescent="0.35">
      <c r="A377" t="s">
        <v>925</v>
      </c>
      <c r="B377" t="s">
        <v>16</v>
      </c>
      <c r="C377" t="s">
        <v>926</v>
      </c>
      <c r="D377" t="s">
        <v>26</v>
      </c>
      <c r="E377" t="s">
        <v>19</v>
      </c>
      <c r="F377" t="s">
        <v>34</v>
      </c>
      <c r="G377" t="s">
        <v>853</v>
      </c>
      <c r="H377" s="1">
        <v>45634.447916666664</v>
      </c>
      <c r="I377" s="1">
        <v>45634.559027777781</v>
      </c>
      <c r="J377">
        <v>74</v>
      </c>
      <c r="K377">
        <v>160</v>
      </c>
      <c r="L377">
        <v>1</v>
      </c>
      <c r="M377" t="s">
        <v>22</v>
      </c>
      <c r="N377">
        <v>7</v>
      </c>
      <c r="O377">
        <v>398.96</v>
      </c>
    </row>
    <row r="378" spans="1:15" x14ac:dyDescent="0.35">
      <c r="A378" t="s">
        <v>927</v>
      </c>
      <c r="B378" t="s">
        <v>51</v>
      </c>
      <c r="C378" t="s">
        <v>928</v>
      </c>
      <c r="D378" t="s">
        <v>18</v>
      </c>
      <c r="E378" t="s">
        <v>33</v>
      </c>
      <c r="F378" t="s">
        <v>39</v>
      </c>
      <c r="G378" t="s">
        <v>170</v>
      </c>
      <c r="H378" s="1">
        <v>45438.501388888886</v>
      </c>
      <c r="I378" s="1">
        <v>45438.669444444444</v>
      </c>
      <c r="J378">
        <v>211</v>
      </c>
      <c r="K378">
        <v>242</v>
      </c>
      <c r="L378">
        <v>1</v>
      </c>
      <c r="M378" t="s">
        <v>41</v>
      </c>
      <c r="N378">
        <v>4</v>
      </c>
      <c r="O378">
        <v>478.13</v>
      </c>
    </row>
    <row r="379" spans="1:15" x14ac:dyDescent="0.35">
      <c r="A379" t="s">
        <v>929</v>
      </c>
      <c r="B379" t="s">
        <v>31</v>
      </c>
      <c r="C379" t="s">
        <v>930</v>
      </c>
      <c r="D379" t="s">
        <v>56</v>
      </c>
      <c r="E379" t="s">
        <v>19</v>
      </c>
      <c r="F379" t="s">
        <v>20</v>
      </c>
      <c r="G379" t="s">
        <v>49</v>
      </c>
      <c r="H379" s="1">
        <v>45343.557638888888</v>
      </c>
      <c r="I379" s="1">
        <v>45343.626388888886</v>
      </c>
      <c r="J379">
        <v>101</v>
      </c>
      <c r="K379">
        <v>99</v>
      </c>
      <c r="L379">
        <v>0</v>
      </c>
      <c r="M379" t="s">
        <v>22</v>
      </c>
      <c r="N379">
        <v>9</v>
      </c>
      <c r="O379">
        <v>129.22999999999999</v>
      </c>
    </row>
    <row r="380" spans="1:15" x14ac:dyDescent="0.35">
      <c r="A380" t="s">
        <v>931</v>
      </c>
      <c r="B380" t="s">
        <v>16</v>
      </c>
      <c r="C380" t="s">
        <v>932</v>
      </c>
      <c r="D380" t="s">
        <v>56</v>
      </c>
      <c r="E380" t="s">
        <v>33</v>
      </c>
      <c r="F380" t="s">
        <v>57</v>
      </c>
      <c r="G380" t="s">
        <v>376</v>
      </c>
      <c r="H380" s="1">
        <v>45513.413194444445</v>
      </c>
      <c r="I380" s="1">
        <v>45513.428472222222</v>
      </c>
      <c r="J380">
        <v>12</v>
      </c>
      <c r="K380">
        <v>22</v>
      </c>
      <c r="L380">
        <v>1</v>
      </c>
      <c r="M380" t="s">
        <v>29</v>
      </c>
      <c r="N380">
        <v>1</v>
      </c>
      <c r="O380">
        <v>431.8</v>
      </c>
    </row>
    <row r="381" spans="1:15" x14ac:dyDescent="0.35">
      <c r="A381" t="s">
        <v>933</v>
      </c>
      <c r="B381" t="s">
        <v>31</v>
      </c>
      <c r="C381" t="s">
        <v>934</v>
      </c>
      <c r="D381" t="s">
        <v>48</v>
      </c>
      <c r="E381" t="s">
        <v>38</v>
      </c>
      <c r="F381" t="s">
        <v>39</v>
      </c>
      <c r="G381" t="s">
        <v>210</v>
      </c>
      <c r="H381" s="1">
        <v>45515.227777777778</v>
      </c>
      <c r="I381" s="1">
        <v>45515.316666666666</v>
      </c>
      <c r="J381">
        <v>88</v>
      </c>
      <c r="K381">
        <v>128</v>
      </c>
      <c r="L381">
        <v>1</v>
      </c>
      <c r="M381" t="s">
        <v>41</v>
      </c>
      <c r="N381">
        <v>10</v>
      </c>
      <c r="O381">
        <v>118.51</v>
      </c>
    </row>
    <row r="382" spans="1:15" x14ac:dyDescent="0.35">
      <c r="A382" t="s">
        <v>935</v>
      </c>
      <c r="B382" t="s">
        <v>16</v>
      </c>
      <c r="C382" t="s">
        <v>936</v>
      </c>
      <c r="D382" t="s">
        <v>18</v>
      </c>
      <c r="E382" t="s">
        <v>85</v>
      </c>
      <c r="F382" t="s">
        <v>57</v>
      </c>
      <c r="G382" t="s">
        <v>120</v>
      </c>
      <c r="H382" s="1">
        <v>45648.441666666666</v>
      </c>
      <c r="I382" s="1">
        <v>45648.622916666667</v>
      </c>
      <c r="J382">
        <v>235</v>
      </c>
      <c r="K382">
        <v>261</v>
      </c>
      <c r="L382">
        <v>1</v>
      </c>
      <c r="M382" t="s">
        <v>22</v>
      </c>
      <c r="N382">
        <v>4</v>
      </c>
      <c r="O382">
        <v>116.52</v>
      </c>
    </row>
    <row r="383" spans="1:15" x14ac:dyDescent="0.35">
      <c r="A383" t="s">
        <v>937</v>
      </c>
      <c r="B383" t="s">
        <v>24</v>
      </c>
      <c r="C383" t="s">
        <v>938</v>
      </c>
      <c r="D383" t="s">
        <v>48</v>
      </c>
      <c r="E383" t="s">
        <v>85</v>
      </c>
      <c r="F383" t="s">
        <v>57</v>
      </c>
      <c r="G383" t="s">
        <v>94</v>
      </c>
      <c r="H383" s="1">
        <v>45340.649305555555</v>
      </c>
      <c r="I383" s="1">
        <v>45340.745138888888</v>
      </c>
      <c r="J383">
        <v>133</v>
      </c>
      <c r="K383">
        <v>138</v>
      </c>
      <c r="L383">
        <v>1</v>
      </c>
      <c r="M383" t="s">
        <v>22</v>
      </c>
      <c r="N383">
        <v>8</v>
      </c>
      <c r="O383">
        <v>264.39</v>
      </c>
    </row>
    <row r="384" spans="1:15" x14ac:dyDescent="0.35">
      <c r="A384" t="s">
        <v>939</v>
      </c>
      <c r="B384" t="s">
        <v>16</v>
      </c>
      <c r="C384" t="s">
        <v>940</v>
      </c>
      <c r="D384" t="s">
        <v>44</v>
      </c>
      <c r="E384" t="s">
        <v>33</v>
      </c>
      <c r="F384" t="s">
        <v>27</v>
      </c>
      <c r="G384" t="s">
        <v>28</v>
      </c>
      <c r="H384" s="1">
        <v>45337.436111111114</v>
      </c>
      <c r="I384" s="1">
        <v>45337.508333333331</v>
      </c>
      <c r="J384">
        <v>70</v>
      </c>
      <c r="K384">
        <v>104</v>
      </c>
      <c r="L384">
        <v>1</v>
      </c>
      <c r="M384" t="s">
        <v>41</v>
      </c>
      <c r="N384">
        <v>1</v>
      </c>
      <c r="O384">
        <v>233.89</v>
      </c>
    </row>
    <row r="385" spans="1:15" x14ac:dyDescent="0.35">
      <c r="A385" t="s">
        <v>941</v>
      </c>
      <c r="B385" t="s">
        <v>31</v>
      </c>
      <c r="C385" t="s">
        <v>942</v>
      </c>
      <c r="D385" t="s">
        <v>56</v>
      </c>
      <c r="E385" t="s">
        <v>38</v>
      </c>
      <c r="F385" t="s">
        <v>57</v>
      </c>
      <c r="G385" t="s">
        <v>73</v>
      </c>
      <c r="H385" s="1">
        <v>45329.494444444441</v>
      </c>
      <c r="I385" s="1">
        <v>45329.693055555559</v>
      </c>
      <c r="J385">
        <v>192</v>
      </c>
      <c r="K385">
        <v>286</v>
      </c>
      <c r="L385">
        <v>1</v>
      </c>
      <c r="M385" t="s">
        <v>29</v>
      </c>
      <c r="N385">
        <v>9</v>
      </c>
      <c r="O385">
        <v>165.96</v>
      </c>
    </row>
    <row r="386" spans="1:15" x14ac:dyDescent="0.35">
      <c r="A386" t="s">
        <v>943</v>
      </c>
      <c r="B386" t="s">
        <v>31</v>
      </c>
      <c r="C386" t="s">
        <v>944</v>
      </c>
      <c r="D386" t="s">
        <v>56</v>
      </c>
      <c r="E386" t="s">
        <v>85</v>
      </c>
      <c r="F386" t="s">
        <v>39</v>
      </c>
      <c r="G386" t="s">
        <v>311</v>
      </c>
      <c r="H386" s="1">
        <v>45322.413888888892</v>
      </c>
      <c r="I386" s="1">
        <v>45322.6</v>
      </c>
      <c r="J386">
        <v>201</v>
      </c>
      <c r="K386">
        <v>268</v>
      </c>
      <c r="L386">
        <v>1</v>
      </c>
      <c r="M386" t="s">
        <v>41</v>
      </c>
      <c r="N386">
        <v>4</v>
      </c>
      <c r="O386">
        <v>286.62</v>
      </c>
    </row>
    <row r="387" spans="1:15" x14ac:dyDescent="0.35">
      <c r="A387" t="s">
        <v>945</v>
      </c>
      <c r="B387" t="s">
        <v>63</v>
      </c>
      <c r="C387" t="s">
        <v>946</v>
      </c>
      <c r="D387" t="s">
        <v>44</v>
      </c>
      <c r="E387" t="s">
        <v>33</v>
      </c>
      <c r="F387" t="s">
        <v>20</v>
      </c>
      <c r="G387" t="s">
        <v>120</v>
      </c>
      <c r="H387" s="1">
        <v>45628.109027777777</v>
      </c>
      <c r="I387" s="1">
        <v>45628.269444444442</v>
      </c>
      <c r="J387">
        <v>222</v>
      </c>
      <c r="K387">
        <v>231</v>
      </c>
      <c r="L387">
        <v>1</v>
      </c>
      <c r="M387" t="s">
        <v>29</v>
      </c>
      <c r="N387">
        <v>7</v>
      </c>
      <c r="O387">
        <v>219.35</v>
      </c>
    </row>
    <row r="388" spans="1:15" x14ac:dyDescent="0.35">
      <c r="A388" t="s">
        <v>947</v>
      </c>
      <c r="B388" t="s">
        <v>51</v>
      </c>
      <c r="C388" t="s">
        <v>948</v>
      </c>
      <c r="D388" t="s">
        <v>18</v>
      </c>
      <c r="E388" t="s">
        <v>85</v>
      </c>
      <c r="F388" t="s">
        <v>27</v>
      </c>
      <c r="G388" t="s">
        <v>296</v>
      </c>
      <c r="H388" s="1">
        <v>45367.03125</v>
      </c>
      <c r="I388" s="1">
        <v>45367.195833333331</v>
      </c>
      <c r="J388">
        <v>208</v>
      </c>
      <c r="K388">
        <v>237</v>
      </c>
      <c r="L388">
        <v>1</v>
      </c>
      <c r="M388" t="s">
        <v>29</v>
      </c>
      <c r="N388">
        <v>9</v>
      </c>
      <c r="O388">
        <v>437.83</v>
      </c>
    </row>
    <row r="389" spans="1:15" x14ac:dyDescent="0.35">
      <c r="A389" t="s">
        <v>949</v>
      </c>
      <c r="B389" t="s">
        <v>63</v>
      </c>
      <c r="C389" t="s">
        <v>950</v>
      </c>
      <c r="D389" t="s">
        <v>26</v>
      </c>
      <c r="E389" t="s">
        <v>33</v>
      </c>
      <c r="F389" t="s">
        <v>27</v>
      </c>
      <c r="G389" t="s">
        <v>129</v>
      </c>
      <c r="H389" s="1">
        <v>45513.106249999997</v>
      </c>
      <c r="I389" s="1">
        <v>45513.262499999997</v>
      </c>
      <c r="J389">
        <v>190</v>
      </c>
      <c r="K389">
        <v>225</v>
      </c>
      <c r="L389">
        <v>1</v>
      </c>
      <c r="M389" t="s">
        <v>22</v>
      </c>
      <c r="N389">
        <v>1</v>
      </c>
      <c r="O389">
        <v>305.02</v>
      </c>
    </row>
    <row r="390" spans="1:15" x14ac:dyDescent="0.35">
      <c r="A390" t="s">
        <v>951</v>
      </c>
      <c r="B390" t="s">
        <v>31</v>
      </c>
      <c r="C390" t="s">
        <v>952</v>
      </c>
      <c r="D390" t="s">
        <v>48</v>
      </c>
      <c r="E390" t="s">
        <v>19</v>
      </c>
      <c r="F390" t="s">
        <v>27</v>
      </c>
      <c r="G390" t="s">
        <v>415</v>
      </c>
      <c r="H390" s="1">
        <v>45384.763194444444</v>
      </c>
      <c r="I390" s="1">
        <v>45384.97152777778</v>
      </c>
      <c r="J390">
        <v>192</v>
      </c>
      <c r="K390">
        <v>300</v>
      </c>
      <c r="L390">
        <v>1</v>
      </c>
      <c r="M390" t="s">
        <v>41</v>
      </c>
      <c r="N390">
        <v>3</v>
      </c>
      <c r="O390">
        <v>114.58</v>
      </c>
    </row>
    <row r="391" spans="1:15" x14ac:dyDescent="0.35">
      <c r="A391" t="s">
        <v>953</v>
      </c>
      <c r="B391" t="s">
        <v>24</v>
      </c>
      <c r="C391" t="s">
        <v>954</v>
      </c>
      <c r="D391" t="s">
        <v>44</v>
      </c>
      <c r="E391" t="s">
        <v>85</v>
      </c>
      <c r="F391" t="s">
        <v>34</v>
      </c>
      <c r="G391" t="s">
        <v>684</v>
      </c>
      <c r="H391" s="1">
        <v>45622.020138888889</v>
      </c>
      <c r="I391" s="1">
        <v>45622.147916666669</v>
      </c>
      <c r="J391">
        <v>97</v>
      </c>
      <c r="K391">
        <v>184</v>
      </c>
      <c r="L391">
        <v>1</v>
      </c>
      <c r="M391" t="s">
        <v>29</v>
      </c>
      <c r="N391">
        <v>2</v>
      </c>
      <c r="O391">
        <v>113.79</v>
      </c>
    </row>
    <row r="392" spans="1:15" x14ac:dyDescent="0.35">
      <c r="A392" t="s">
        <v>955</v>
      </c>
      <c r="B392" t="s">
        <v>16</v>
      </c>
      <c r="C392" t="s">
        <v>956</v>
      </c>
      <c r="D392" t="s">
        <v>48</v>
      </c>
      <c r="E392" t="s">
        <v>33</v>
      </c>
      <c r="F392" t="s">
        <v>27</v>
      </c>
      <c r="G392" t="s">
        <v>143</v>
      </c>
      <c r="H392" s="1">
        <v>45447.852777777778</v>
      </c>
      <c r="I392" s="1">
        <v>45447.939583333333</v>
      </c>
      <c r="J392">
        <v>60</v>
      </c>
      <c r="K392">
        <v>125</v>
      </c>
      <c r="L392">
        <v>1</v>
      </c>
      <c r="M392" t="s">
        <v>22</v>
      </c>
      <c r="N392">
        <v>4</v>
      </c>
      <c r="O392">
        <v>455.54</v>
      </c>
    </row>
    <row r="393" spans="1:15" x14ac:dyDescent="0.35">
      <c r="A393" t="s">
        <v>957</v>
      </c>
      <c r="B393" t="s">
        <v>63</v>
      </c>
      <c r="C393" t="s">
        <v>958</v>
      </c>
      <c r="D393" t="s">
        <v>44</v>
      </c>
      <c r="E393" t="s">
        <v>85</v>
      </c>
      <c r="F393" t="s">
        <v>34</v>
      </c>
      <c r="G393" t="s">
        <v>164</v>
      </c>
      <c r="H393" s="1">
        <v>45352.479166666664</v>
      </c>
      <c r="I393" s="1">
        <v>45352.494444444441</v>
      </c>
      <c r="J393">
        <v>14</v>
      </c>
      <c r="K393">
        <v>22</v>
      </c>
      <c r="L393">
        <v>1</v>
      </c>
      <c r="M393" t="s">
        <v>41</v>
      </c>
      <c r="N393">
        <v>1</v>
      </c>
      <c r="O393">
        <v>387.98</v>
      </c>
    </row>
    <row r="394" spans="1:15" x14ac:dyDescent="0.35">
      <c r="A394" t="s">
        <v>959</v>
      </c>
      <c r="B394" t="s">
        <v>16</v>
      </c>
      <c r="C394" t="s">
        <v>960</v>
      </c>
      <c r="D394" t="s">
        <v>18</v>
      </c>
      <c r="E394" t="s">
        <v>85</v>
      </c>
      <c r="F394" t="s">
        <v>27</v>
      </c>
      <c r="G394" t="s">
        <v>465</v>
      </c>
      <c r="H394" s="1">
        <v>45354.682638888888</v>
      </c>
      <c r="I394" s="1">
        <v>45354.785416666666</v>
      </c>
      <c r="J394">
        <v>68</v>
      </c>
      <c r="K394">
        <v>148</v>
      </c>
      <c r="L394">
        <v>1</v>
      </c>
      <c r="M394" t="s">
        <v>41</v>
      </c>
      <c r="N394">
        <v>5</v>
      </c>
      <c r="O394">
        <v>289.06</v>
      </c>
    </row>
    <row r="395" spans="1:15" x14ac:dyDescent="0.35">
      <c r="A395" t="s">
        <v>961</v>
      </c>
      <c r="B395" t="s">
        <v>31</v>
      </c>
      <c r="C395" t="s">
        <v>962</v>
      </c>
      <c r="D395" t="s">
        <v>48</v>
      </c>
      <c r="E395" t="s">
        <v>33</v>
      </c>
      <c r="F395" t="s">
        <v>20</v>
      </c>
      <c r="G395" t="s">
        <v>207</v>
      </c>
      <c r="H395" s="1">
        <v>45480.10833333333</v>
      </c>
      <c r="I395" s="1">
        <v>45480.252083333333</v>
      </c>
      <c r="J395">
        <v>151</v>
      </c>
      <c r="K395">
        <v>207</v>
      </c>
      <c r="L395">
        <v>1</v>
      </c>
      <c r="M395" t="s">
        <v>22</v>
      </c>
      <c r="N395">
        <v>6</v>
      </c>
      <c r="O395">
        <v>472.74</v>
      </c>
    </row>
    <row r="396" spans="1:15" x14ac:dyDescent="0.35">
      <c r="A396" t="s">
        <v>963</v>
      </c>
      <c r="B396" t="s">
        <v>51</v>
      </c>
      <c r="C396" t="s">
        <v>964</v>
      </c>
      <c r="D396" t="s">
        <v>26</v>
      </c>
      <c r="E396" t="s">
        <v>38</v>
      </c>
      <c r="F396" t="s">
        <v>20</v>
      </c>
      <c r="G396" t="s">
        <v>700</v>
      </c>
      <c r="H396" s="1">
        <v>45334.322916666664</v>
      </c>
      <c r="I396" s="1">
        <v>45334.405555555553</v>
      </c>
      <c r="J396">
        <v>13</v>
      </c>
      <c r="K396">
        <v>119</v>
      </c>
      <c r="L396">
        <v>1</v>
      </c>
      <c r="M396" t="s">
        <v>41</v>
      </c>
      <c r="N396">
        <v>8</v>
      </c>
      <c r="O396">
        <v>188.32</v>
      </c>
    </row>
    <row r="397" spans="1:15" x14ac:dyDescent="0.35">
      <c r="A397" t="s">
        <v>965</v>
      </c>
      <c r="B397" t="s">
        <v>63</v>
      </c>
      <c r="C397" t="s">
        <v>966</v>
      </c>
      <c r="D397" t="s">
        <v>56</v>
      </c>
      <c r="E397" t="s">
        <v>33</v>
      </c>
      <c r="F397" t="s">
        <v>57</v>
      </c>
      <c r="G397" t="s">
        <v>111</v>
      </c>
      <c r="H397" s="1">
        <v>45439.402083333334</v>
      </c>
      <c r="I397" s="1">
        <v>45439.525694444441</v>
      </c>
      <c r="J397">
        <v>172</v>
      </c>
      <c r="K397">
        <v>178</v>
      </c>
      <c r="L397">
        <v>1</v>
      </c>
      <c r="M397" t="s">
        <v>22</v>
      </c>
      <c r="N397">
        <v>7</v>
      </c>
      <c r="O397">
        <v>205.62</v>
      </c>
    </row>
    <row r="398" spans="1:15" x14ac:dyDescent="0.35">
      <c r="A398" t="s">
        <v>967</v>
      </c>
      <c r="B398" t="s">
        <v>31</v>
      </c>
      <c r="C398" t="s">
        <v>968</v>
      </c>
      <c r="D398" t="s">
        <v>56</v>
      </c>
      <c r="E398" t="s">
        <v>85</v>
      </c>
      <c r="F398" t="s">
        <v>20</v>
      </c>
      <c r="G398" t="s">
        <v>158</v>
      </c>
      <c r="H398" s="1">
        <v>45562.760416666664</v>
      </c>
      <c r="I398" s="1">
        <v>45562.893750000003</v>
      </c>
      <c r="J398">
        <v>135</v>
      </c>
      <c r="K398">
        <v>192</v>
      </c>
      <c r="L398">
        <v>1</v>
      </c>
      <c r="M398" t="s">
        <v>41</v>
      </c>
      <c r="N398">
        <v>4</v>
      </c>
      <c r="O398">
        <v>75.400000000000006</v>
      </c>
    </row>
    <row r="399" spans="1:15" x14ac:dyDescent="0.35">
      <c r="A399" t="s">
        <v>969</v>
      </c>
      <c r="B399" t="s">
        <v>31</v>
      </c>
      <c r="C399" t="s">
        <v>970</v>
      </c>
      <c r="D399" t="s">
        <v>56</v>
      </c>
      <c r="E399" t="s">
        <v>38</v>
      </c>
      <c r="F399" t="s">
        <v>34</v>
      </c>
      <c r="G399" t="s">
        <v>402</v>
      </c>
      <c r="H399" s="1">
        <v>45365.586805555555</v>
      </c>
      <c r="I399" s="1">
        <v>45365.628472222219</v>
      </c>
      <c r="J399">
        <v>23</v>
      </c>
      <c r="K399">
        <v>60</v>
      </c>
      <c r="L399">
        <v>1</v>
      </c>
      <c r="M399" t="s">
        <v>41</v>
      </c>
      <c r="N399">
        <v>8</v>
      </c>
      <c r="O399">
        <v>404.27</v>
      </c>
    </row>
    <row r="400" spans="1:15" x14ac:dyDescent="0.35">
      <c r="A400" t="s">
        <v>971</v>
      </c>
      <c r="B400" t="s">
        <v>31</v>
      </c>
      <c r="C400" t="s">
        <v>972</v>
      </c>
      <c r="D400" t="s">
        <v>56</v>
      </c>
      <c r="E400" t="s">
        <v>85</v>
      </c>
      <c r="F400" t="s">
        <v>20</v>
      </c>
      <c r="G400" t="s">
        <v>415</v>
      </c>
      <c r="H400" s="1">
        <v>45359.963194444441</v>
      </c>
      <c r="I400" s="1">
        <v>45360.146527777775</v>
      </c>
      <c r="J400">
        <v>195</v>
      </c>
      <c r="K400">
        <v>264</v>
      </c>
      <c r="L400">
        <v>1</v>
      </c>
      <c r="M400" t="s">
        <v>29</v>
      </c>
      <c r="N400">
        <v>3</v>
      </c>
      <c r="O400">
        <v>181.11</v>
      </c>
    </row>
    <row r="401" spans="1:15" x14ac:dyDescent="0.35">
      <c r="A401" t="s">
        <v>973</v>
      </c>
      <c r="B401" t="s">
        <v>51</v>
      </c>
      <c r="C401" t="s">
        <v>974</v>
      </c>
      <c r="D401" t="s">
        <v>56</v>
      </c>
      <c r="E401" t="s">
        <v>33</v>
      </c>
      <c r="F401" t="s">
        <v>57</v>
      </c>
      <c r="G401" t="s">
        <v>188</v>
      </c>
      <c r="H401" s="1">
        <v>45561.611805555556</v>
      </c>
      <c r="I401" s="1">
        <v>45561.840277777781</v>
      </c>
      <c r="J401">
        <v>237</v>
      </c>
      <c r="K401">
        <v>329</v>
      </c>
      <c r="L401">
        <v>1</v>
      </c>
      <c r="M401" t="s">
        <v>41</v>
      </c>
      <c r="N401">
        <v>1</v>
      </c>
      <c r="O401">
        <v>225.72</v>
      </c>
    </row>
    <row r="402" spans="1:15" x14ac:dyDescent="0.35">
      <c r="A402" t="s">
        <v>975</v>
      </c>
      <c r="B402" t="s">
        <v>24</v>
      </c>
      <c r="C402" t="s">
        <v>976</v>
      </c>
      <c r="D402" t="s">
        <v>26</v>
      </c>
      <c r="E402" t="s">
        <v>38</v>
      </c>
      <c r="F402" t="s">
        <v>34</v>
      </c>
      <c r="G402" t="s">
        <v>669</v>
      </c>
      <c r="H402" s="1">
        <v>45505.865972222222</v>
      </c>
      <c r="I402" s="1">
        <v>45506.013194444444</v>
      </c>
      <c r="J402">
        <v>99</v>
      </c>
      <c r="K402">
        <v>212</v>
      </c>
      <c r="L402">
        <v>1</v>
      </c>
      <c r="M402" t="s">
        <v>41</v>
      </c>
      <c r="N402">
        <v>10</v>
      </c>
      <c r="O402">
        <v>276.36</v>
      </c>
    </row>
    <row r="403" spans="1:15" x14ac:dyDescent="0.35">
      <c r="A403" t="s">
        <v>977</v>
      </c>
      <c r="B403" t="s">
        <v>16</v>
      </c>
      <c r="C403" t="s">
        <v>978</v>
      </c>
      <c r="D403" t="s">
        <v>48</v>
      </c>
      <c r="E403" t="s">
        <v>33</v>
      </c>
      <c r="F403" t="s">
        <v>57</v>
      </c>
      <c r="G403" t="s">
        <v>111</v>
      </c>
      <c r="H403" s="1">
        <v>45408.798611111109</v>
      </c>
      <c r="I403" s="1">
        <v>45408.845138888886</v>
      </c>
      <c r="J403">
        <v>46</v>
      </c>
      <c r="K403">
        <v>67</v>
      </c>
      <c r="L403">
        <v>1</v>
      </c>
      <c r="M403" t="s">
        <v>41</v>
      </c>
      <c r="N403">
        <v>2</v>
      </c>
      <c r="O403">
        <v>237.14</v>
      </c>
    </row>
    <row r="404" spans="1:15" x14ac:dyDescent="0.35">
      <c r="A404" t="s">
        <v>979</v>
      </c>
      <c r="B404" t="s">
        <v>16</v>
      </c>
      <c r="C404" t="s">
        <v>980</v>
      </c>
      <c r="D404" t="s">
        <v>48</v>
      </c>
      <c r="E404" t="s">
        <v>38</v>
      </c>
      <c r="F404" t="s">
        <v>20</v>
      </c>
      <c r="G404" t="s">
        <v>111</v>
      </c>
      <c r="H404" s="1">
        <v>45299.574999999997</v>
      </c>
      <c r="I404" s="1">
        <v>45299.792361111111</v>
      </c>
      <c r="J404">
        <v>203</v>
      </c>
      <c r="K404">
        <v>313</v>
      </c>
      <c r="L404">
        <v>1</v>
      </c>
      <c r="M404" t="s">
        <v>29</v>
      </c>
      <c r="N404">
        <v>5</v>
      </c>
      <c r="O404">
        <v>267.86</v>
      </c>
    </row>
    <row r="405" spans="1:15" x14ac:dyDescent="0.35">
      <c r="A405" t="s">
        <v>981</v>
      </c>
      <c r="B405" t="s">
        <v>16</v>
      </c>
      <c r="C405" t="s">
        <v>982</v>
      </c>
      <c r="D405" t="s">
        <v>18</v>
      </c>
      <c r="E405" t="s">
        <v>19</v>
      </c>
      <c r="F405" t="s">
        <v>34</v>
      </c>
      <c r="G405" t="s">
        <v>983</v>
      </c>
      <c r="H405" s="1">
        <v>45598.28402777778</v>
      </c>
      <c r="I405" s="1">
        <v>45598.384722222225</v>
      </c>
      <c r="J405">
        <v>49</v>
      </c>
      <c r="K405">
        <v>145</v>
      </c>
      <c r="L405">
        <v>1</v>
      </c>
      <c r="M405" t="s">
        <v>22</v>
      </c>
      <c r="N405">
        <v>1</v>
      </c>
      <c r="O405">
        <v>224.65</v>
      </c>
    </row>
    <row r="406" spans="1:15" x14ac:dyDescent="0.35">
      <c r="A406" t="s">
        <v>984</v>
      </c>
      <c r="B406" t="s">
        <v>31</v>
      </c>
      <c r="C406" t="s">
        <v>985</v>
      </c>
      <c r="D406" t="s">
        <v>44</v>
      </c>
      <c r="E406" t="s">
        <v>85</v>
      </c>
      <c r="F406" t="s">
        <v>34</v>
      </c>
      <c r="G406" t="s">
        <v>445</v>
      </c>
      <c r="H406" s="1">
        <v>45326.352777777778</v>
      </c>
      <c r="I406" s="1">
        <v>45326.427083333336</v>
      </c>
      <c r="J406">
        <v>32</v>
      </c>
      <c r="K406">
        <v>107</v>
      </c>
      <c r="L406">
        <v>1</v>
      </c>
      <c r="M406" t="s">
        <v>29</v>
      </c>
      <c r="N406">
        <v>4</v>
      </c>
      <c r="O406">
        <v>403.12</v>
      </c>
    </row>
    <row r="407" spans="1:15" x14ac:dyDescent="0.35">
      <c r="A407" t="s">
        <v>986</v>
      </c>
      <c r="B407" t="s">
        <v>16</v>
      </c>
      <c r="C407" t="s">
        <v>987</v>
      </c>
      <c r="D407" t="s">
        <v>48</v>
      </c>
      <c r="E407" t="s">
        <v>85</v>
      </c>
      <c r="F407" t="s">
        <v>34</v>
      </c>
      <c r="G407" t="s">
        <v>988</v>
      </c>
      <c r="H407" s="1">
        <v>45305.584722222222</v>
      </c>
      <c r="I407" s="1">
        <v>45305.709722222222</v>
      </c>
      <c r="J407">
        <v>125</v>
      </c>
      <c r="K407">
        <v>180</v>
      </c>
      <c r="L407">
        <v>1</v>
      </c>
      <c r="M407" t="s">
        <v>22</v>
      </c>
      <c r="N407">
        <v>4</v>
      </c>
      <c r="O407">
        <v>138.25</v>
      </c>
    </row>
    <row r="408" spans="1:15" x14ac:dyDescent="0.35">
      <c r="A408" t="s">
        <v>989</v>
      </c>
      <c r="B408" t="s">
        <v>63</v>
      </c>
      <c r="C408" t="s">
        <v>990</v>
      </c>
      <c r="D408" t="s">
        <v>44</v>
      </c>
      <c r="E408" t="s">
        <v>85</v>
      </c>
      <c r="F408" t="s">
        <v>20</v>
      </c>
      <c r="G408" t="s">
        <v>470</v>
      </c>
      <c r="H408" s="1">
        <v>45571.640972222223</v>
      </c>
      <c r="I408" s="1">
        <v>45571.807638888888</v>
      </c>
      <c r="J408">
        <v>146</v>
      </c>
      <c r="K408">
        <v>240</v>
      </c>
      <c r="L408">
        <v>1</v>
      </c>
      <c r="M408" t="s">
        <v>41</v>
      </c>
      <c r="N408">
        <v>1</v>
      </c>
      <c r="O408">
        <v>297.13</v>
      </c>
    </row>
    <row r="409" spans="1:15" x14ac:dyDescent="0.35">
      <c r="A409" t="s">
        <v>991</v>
      </c>
      <c r="B409" t="s">
        <v>24</v>
      </c>
      <c r="C409" t="s">
        <v>992</v>
      </c>
      <c r="D409" t="s">
        <v>56</v>
      </c>
      <c r="E409" t="s">
        <v>85</v>
      </c>
      <c r="F409" t="s">
        <v>34</v>
      </c>
      <c r="G409" t="s">
        <v>364</v>
      </c>
      <c r="H409" s="1">
        <v>45528.595138888886</v>
      </c>
      <c r="I409" s="1">
        <v>45528.622916666667</v>
      </c>
      <c r="J409">
        <v>23</v>
      </c>
      <c r="K409">
        <v>40</v>
      </c>
      <c r="L409">
        <v>1</v>
      </c>
      <c r="M409" t="s">
        <v>29</v>
      </c>
      <c r="N409">
        <v>3</v>
      </c>
      <c r="O409">
        <v>495.92</v>
      </c>
    </row>
    <row r="410" spans="1:15" x14ac:dyDescent="0.35">
      <c r="A410" t="s">
        <v>993</v>
      </c>
      <c r="B410" t="s">
        <v>51</v>
      </c>
      <c r="C410" t="s">
        <v>994</v>
      </c>
      <c r="D410" t="s">
        <v>18</v>
      </c>
      <c r="E410" t="s">
        <v>85</v>
      </c>
      <c r="F410" t="s">
        <v>57</v>
      </c>
      <c r="G410" t="s">
        <v>61</v>
      </c>
      <c r="H410" s="1">
        <v>45649.8125</v>
      </c>
      <c r="I410" s="1">
        <v>45649.9375</v>
      </c>
      <c r="J410">
        <v>174</v>
      </c>
      <c r="K410">
        <v>180</v>
      </c>
      <c r="L410">
        <v>1</v>
      </c>
      <c r="M410" t="s">
        <v>29</v>
      </c>
      <c r="N410">
        <v>10</v>
      </c>
      <c r="O410">
        <v>483.15</v>
      </c>
    </row>
    <row r="411" spans="1:15" x14ac:dyDescent="0.35">
      <c r="A411" t="s">
        <v>995</v>
      </c>
      <c r="B411" t="s">
        <v>51</v>
      </c>
      <c r="C411" t="s">
        <v>996</v>
      </c>
      <c r="D411" t="s">
        <v>18</v>
      </c>
      <c r="E411" t="s">
        <v>38</v>
      </c>
      <c r="F411" t="s">
        <v>20</v>
      </c>
      <c r="G411" t="s">
        <v>476</v>
      </c>
      <c r="H411" s="1">
        <v>45564.503472222219</v>
      </c>
      <c r="I411" s="1">
        <v>45564.538888888892</v>
      </c>
      <c r="J411">
        <v>46</v>
      </c>
      <c r="K411">
        <v>51</v>
      </c>
      <c r="L411">
        <v>1</v>
      </c>
      <c r="M411" t="s">
        <v>41</v>
      </c>
      <c r="N411">
        <v>3</v>
      </c>
      <c r="O411">
        <v>80.25</v>
      </c>
    </row>
    <row r="412" spans="1:15" x14ac:dyDescent="0.35">
      <c r="A412" t="s">
        <v>997</v>
      </c>
      <c r="B412" t="s">
        <v>24</v>
      </c>
      <c r="C412" t="s">
        <v>998</v>
      </c>
      <c r="D412" t="s">
        <v>18</v>
      </c>
      <c r="E412" t="s">
        <v>19</v>
      </c>
      <c r="F412" t="s">
        <v>57</v>
      </c>
      <c r="G412" t="s">
        <v>999</v>
      </c>
      <c r="H412" s="1">
        <v>45297.651388888888</v>
      </c>
      <c r="I412" s="1">
        <v>45297.740972222222</v>
      </c>
      <c r="J412">
        <v>39</v>
      </c>
      <c r="K412">
        <v>129</v>
      </c>
      <c r="L412">
        <v>1</v>
      </c>
      <c r="M412" t="s">
        <v>41</v>
      </c>
      <c r="N412">
        <v>9</v>
      </c>
      <c r="O412">
        <v>304.20999999999998</v>
      </c>
    </row>
    <row r="413" spans="1:15" x14ac:dyDescent="0.35">
      <c r="A413" t="s">
        <v>1000</v>
      </c>
      <c r="B413" t="s">
        <v>24</v>
      </c>
      <c r="C413" t="s">
        <v>1001</v>
      </c>
      <c r="D413" t="s">
        <v>44</v>
      </c>
      <c r="E413" t="s">
        <v>33</v>
      </c>
      <c r="F413" t="s">
        <v>57</v>
      </c>
      <c r="G413" t="s">
        <v>430</v>
      </c>
      <c r="H413" s="1">
        <v>45560.467361111114</v>
      </c>
      <c r="I413" s="1">
        <v>45560.56527777778</v>
      </c>
      <c r="J413">
        <v>141</v>
      </c>
      <c r="K413">
        <v>141</v>
      </c>
      <c r="L413">
        <v>0</v>
      </c>
      <c r="M413" t="s">
        <v>41</v>
      </c>
      <c r="N413">
        <v>1</v>
      </c>
      <c r="O413">
        <v>268.32</v>
      </c>
    </row>
    <row r="414" spans="1:15" x14ac:dyDescent="0.35">
      <c r="A414" t="s">
        <v>1002</v>
      </c>
      <c r="B414" t="s">
        <v>51</v>
      </c>
      <c r="C414" t="s">
        <v>1003</v>
      </c>
      <c r="D414" t="s">
        <v>44</v>
      </c>
      <c r="E414" t="s">
        <v>19</v>
      </c>
      <c r="F414" t="s">
        <v>27</v>
      </c>
      <c r="G414" t="s">
        <v>225</v>
      </c>
      <c r="H414" s="1">
        <v>45384.443055555559</v>
      </c>
      <c r="I414" s="1">
        <v>45384.524305555555</v>
      </c>
      <c r="J414">
        <v>113</v>
      </c>
      <c r="K414">
        <v>117</v>
      </c>
      <c r="L414">
        <v>1</v>
      </c>
      <c r="M414" t="s">
        <v>29</v>
      </c>
      <c r="N414">
        <v>5</v>
      </c>
      <c r="O414">
        <v>86.41</v>
      </c>
    </row>
    <row r="415" spans="1:15" x14ac:dyDescent="0.35">
      <c r="A415" t="s">
        <v>1004</v>
      </c>
      <c r="B415" t="s">
        <v>51</v>
      </c>
      <c r="C415" t="s">
        <v>1005</v>
      </c>
      <c r="D415" t="s">
        <v>48</v>
      </c>
      <c r="E415" t="s">
        <v>38</v>
      </c>
      <c r="F415" t="s">
        <v>34</v>
      </c>
      <c r="G415" t="s">
        <v>123</v>
      </c>
      <c r="H415" s="1">
        <v>45294.821527777778</v>
      </c>
      <c r="I415" s="1">
        <v>45294.96597222222</v>
      </c>
      <c r="J415">
        <v>156</v>
      </c>
      <c r="K415">
        <v>208</v>
      </c>
      <c r="L415">
        <v>1</v>
      </c>
      <c r="M415" t="s">
        <v>29</v>
      </c>
      <c r="N415">
        <v>7</v>
      </c>
      <c r="O415">
        <v>230.29</v>
      </c>
    </row>
    <row r="416" spans="1:15" x14ac:dyDescent="0.35">
      <c r="A416" t="s">
        <v>1006</v>
      </c>
      <c r="B416" t="s">
        <v>31</v>
      </c>
      <c r="C416" t="s">
        <v>1007</v>
      </c>
      <c r="D416" t="s">
        <v>56</v>
      </c>
      <c r="E416" t="s">
        <v>19</v>
      </c>
      <c r="F416" t="s">
        <v>57</v>
      </c>
      <c r="G416" t="s">
        <v>68</v>
      </c>
      <c r="H416" s="1">
        <v>45598.862500000003</v>
      </c>
      <c r="I416" s="1">
        <v>45598.97152777778</v>
      </c>
      <c r="J416">
        <v>155</v>
      </c>
      <c r="K416">
        <v>157</v>
      </c>
      <c r="L416">
        <v>1</v>
      </c>
      <c r="M416" t="s">
        <v>41</v>
      </c>
      <c r="N416">
        <v>6</v>
      </c>
      <c r="O416">
        <v>262.92</v>
      </c>
    </row>
    <row r="417" spans="1:15" x14ac:dyDescent="0.35">
      <c r="A417" t="s">
        <v>1008</v>
      </c>
      <c r="B417" t="s">
        <v>51</v>
      </c>
      <c r="C417" t="s">
        <v>1009</v>
      </c>
      <c r="D417" t="s">
        <v>56</v>
      </c>
      <c r="E417" t="s">
        <v>19</v>
      </c>
      <c r="F417" t="s">
        <v>27</v>
      </c>
      <c r="G417" t="s">
        <v>170</v>
      </c>
      <c r="H417" s="1">
        <v>45503.493750000001</v>
      </c>
      <c r="I417" s="1">
        <v>45503.629166666666</v>
      </c>
      <c r="J417">
        <v>86</v>
      </c>
      <c r="K417">
        <v>195</v>
      </c>
      <c r="L417">
        <v>1</v>
      </c>
      <c r="M417" t="s">
        <v>41</v>
      </c>
      <c r="N417">
        <v>3</v>
      </c>
      <c r="O417">
        <v>256.70999999999998</v>
      </c>
    </row>
    <row r="418" spans="1:15" x14ac:dyDescent="0.35">
      <c r="A418" t="s">
        <v>1010</v>
      </c>
      <c r="B418" t="s">
        <v>24</v>
      </c>
      <c r="C418" t="s">
        <v>1011</v>
      </c>
      <c r="D418" t="s">
        <v>44</v>
      </c>
      <c r="E418" t="s">
        <v>33</v>
      </c>
      <c r="F418" t="s">
        <v>20</v>
      </c>
      <c r="G418" t="s">
        <v>407</v>
      </c>
      <c r="H418" s="1">
        <v>45351.037499999999</v>
      </c>
      <c r="I418" s="1">
        <v>45351.068749999999</v>
      </c>
      <c r="J418">
        <v>22</v>
      </c>
      <c r="K418">
        <v>45</v>
      </c>
      <c r="L418">
        <v>1</v>
      </c>
      <c r="M418" t="s">
        <v>29</v>
      </c>
      <c r="N418">
        <v>5</v>
      </c>
      <c r="O418">
        <v>178.14</v>
      </c>
    </row>
    <row r="419" spans="1:15" x14ac:dyDescent="0.35">
      <c r="A419" t="s">
        <v>1012</v>
      </c>
      <c r="B419" t="s">
        <v>63</v>
      </c>
      <c r="C419" t="s">
        <v>1013</v>
      </c>
      <c r="D419" t="s">
        <v>26</v>
      </c>
      <c r="E419" t="s">
        <v>33</v>
      </c>
      <c r="F419" t="s">
        <v>34</v>
      </c>
      <c r="G419" t="s">
        <v>445</v>
      </c>
      <c r="H419" s="1">
        <v>45459.104166666664</v>
      </c>
      <c r="I419" s="1">
        <v>45459.199999999997</v>
      </c>
      <c r="J419">
        <v>54</v>
      </c>
      <c r="K419">
        <v>138</v>
      </c>
      <c r="L419">
        <v>1</v>
      </c>
      <c r="M419" t="s">
        <v>22</v>
      </c>
      <c r="N419">
        <v>9</v>
      </c>
      <c r="O419">
        <v>418.2</v>
      </c>
    </row>
    <row r="420" spans="1:15" x14ac:dyDescent="0.35">
      <c r="A420" t="s">
        <v>1014</v>
      </c>
      <c r="B420" t="s">
        <v>51</v>
      </c>
      <c r="C420" t="s">
        <v>1015</v>
      </c>
      <c r="D420" t="s">
        <v>18</v>
      </c>
      <c r="E420" t="s">
        <v>19</v>
      </c>
      <c r="F420" t="s">
        <v>27</v>
      </c>
      <c r="G420" t="s">
        <v>418</v>
      </c>
      <c r="H420" s="1">
        <v>45494.431250000001</v>
      </c>
      <c r="I420" s="1">
        <v>45494.636805555558</v>
      </c>
      <c r="J420">
        <v>189</v>
      </c>
      <c r="K420">
        <v>296</v>
      </c>
      <c r="L420">
        <v>1</v>
      </c>
      <c r="M420" t="s">
        <v>41</v>
      </c>
      <c r="N420">
        <v>5</v>
      </c>
      <c r="O420">
        <v>158.52000000000001</v>
      </c>
    </row>
    <row r="421" spans="1:15" x14ac:dyDescent="0.35">
      <c r="A421" t="s">
        <v>1016</v>
      </c>
      <c r="B421" t="s">
        <v>16</v>
      </c>
      <c r="C421" t="s">
        <v>1017</v>
      </c>
      <c r="D421" t="s">
        <v>26</v>
      </c>
      <c r="E421" t="s">
        <v>19</v>
      </c>
      <c r="F421" t="s">
        <v>34</v>
      </c>
      <c r="G421" t="s">
        <v>231</v>
      </c>
      <c r="H421" s="1">
        <v>45443.704861111109</v>
      </c>
      <c r="I421" s="1">
        <v>45443.744444444441</v>
      </c>
      <c r="J421">
        <v>38</v>
      </c>
      <c r="K421">
        <v>57</v>
      </c>
      <c r="L421">
        <v>1</v>
      </c>
      <c r="M421" t="s">
        <v>22</v>
      </c>
      <c r="N421">
        <v>5</v>
      </c>
      <c r="O421">
        <v>369.91</v>
      </c>
    </row>
    <row r="422" spans="1:15" x14ac:dyDescent="0.35">
      <c r="A422" t="s">
        <v>1018</v>
      </c>
      <c r="B422" t="s">
        <v>63</v>
      </c>
      <c r="C422" t="s">
        <v>1019</v>
      </c>
      <c r="D422" t="s">
        <v>48</v>
      </c>
      <c r="E422" t="s">
        <v>38</v>
      </c>
      <c r="F422" t="s">
        <v>34</v>
      </c>
      <c r="G422" t="s">
        <v>40</v>
      </c>
      <c r="H422" s="1">
        <v>45656.731944444444</v>
      </c>
      <c r="I422" s="1">
        <v>45656.902777777781</v>
      </c>
      <c r="J422">
        <v>202</v>
      </c>
      <c r="K422">
        <v>246</v>
      </c>
      <c r="L422">
        <v>1</v>
      </c>
      <c r="M422" t="s">
        <v>29</v>
      </c>
      <c r="N422">
        <v>10</v>
      </c>
      <c r="O422">
        <v>183.63</v>
      </c>
    </row>
    <row r="423" spans="1:15" x14ac:dyDescent="0.35">
      <c r="A423" t="s">
        <v>1020</v>
      </c>
      <c r="B423" t="s">
        <v>63</v>
      </c>
      <c r="C423" t="s">
        <v>1021</v>
      </c>
      <c r="D423" t="s">
        <v>26</v>
      </c>
      <c r="E423" t="s">
        <v>19</v>
      </c>
      <c r="F423" t="s">
        <v>57</v>
      </c>
      <c r="G423" t="s">
        <v>58</v>
      </c>
      <c r="H423" s="1">
        <v>45424.32916666667</v>
      </c>
      <c r="I423" s="1">
        <v>45424.519444444442</v>
      </c>
      <c r="J423">
        <v>216</v>
      </c>
      <c r="K423">
        <v>274</v>
      </c>
      <c r="L423">
        <v>1</v>
      </c>
      <c r="M423" t="s">
        <v>29</v>
      </c>
      <c r="N423">
        <v>3</v>
      </c>
      <c r="O423">
        <v>254.03</v>
      </c>
    </row>
    <row r="424" spans="1:15" x14ac:dyDescent="0.35">
      <c r="A424" t="s">
        <v>1022</v>
      </c>
      <c r="B424" t="s">
        <v>63</v>
      </c>
      <c r="C424" t="s">
        <v>1023</v>
      </c>
      <c r="D424" t="s">
        <v>48</v>
      </c>
      <c r="E424" t="s">
        <v>19</v>
      </c>
      <c r="F424" t="s">
        <v>20</v>
      </c>
      <c r="G424" t="s">
        <v>108</v>
      </c>
      <c r="H424" s="1">
        <v>45508.902083333334</v>
      </c>
      <c r="I424" s="1">
        <v>45509.05972222222</v>
      </c>
      <c r="J424">
        <v>224</v>
      </c>
      <c r="K424">
        <v>227</v>
      </c>
      <c r="L424">
        <v>1</v>
      </c>
      <c r="M424" t="s">
        <v>41</v>
      </c>
      <c r="N424">
        <v>9</v>
      </c>
      <c r="O424">
        <v>153.77000000000001</v>
      </c>
    </row>
    <row r="425" spans="1:15" x14ac:dyDescent="0.35">
      <c r="A425" t="s">
        <v>1024</v>
      </c>
      <c r="B425" t="s">
        <v>51</v>
      </c>
      <c r="C425" t="s">
        <v>1025</v>
      </c>
      <c r="D425" t="s">
        <v>44</v>
      </c>
      <c r="E425" t="s">
        <v>85</v>
      </c>
      <c r="F425" t="s">
        <v>39</v>
      </c>
      <c r="G425" t="s">
        <v>782</v>
      </c>
      <c r="H425" s="1">
        <v>45341.214583333334</v>
      </c>
      <c r="I425" s="1">
        <v>45341.302777777775</v>
      </c>
      <c r="J425">
        <v>123</v>
      </c>
      <c r="K425">
        <v>127</v>
      </c>
      <c r="L425">
        <v>1</v>
      </c>
      <c r="M425" t="s">
        <v>29</v>
      </c>
      <c r="N425">
        <v>8</v>
      </c>
      <c r="O425">
        <v>303.58999999999997</v>
      </c>
    </row>
    <row r="426" spans="1:15" x14ac:dyDescent="0.35">
      <c r="A426" t="s">
        <v>1026</v>
      </c>
      <c r="B426" t="s">
        <v>16</v>
      </c>
      <c r="C426" t="s">
        <v>1027</v>
      </c>
      <c r="D426" t="s">
        <v>18</v>
      </c>
      <c r="E426" t="s">
        <v>19</v>
      </c>
      <c r="F426" t="s">
        <v>27</v>
      </c>
      <c r="G426" t="s">
        <v>123</v>
      </c>
      <c r="H426" s="1">
        <v>45594.436805555553</v>
      </c>
      <c r="I426" s="1">
        <v>45594.555555555555</v>
      </c>
      <c r="J426">
        <v>122</v>
      </c>
      <c r="K426">
        <v>171</v>
      </c>
      <c r="L426">
        <v>1</v>
      </c>
      <c r="M426" t="s">
        <v>41</v>
      </c>
      <c r="N426">
        <v>8</v>
      </c>
      <c r="O426">
        <v>339.29</v>
      </c>
    </row>
    <row r="427" spans="1:15" x14ac:dyDescent="0.35">
      <c r="A427" t="s">
        <v>1028</v>
      </c>
      <c r="B427" t="s">
        <v>31</v>
      </c>
      <c r="C427" t="s">
        <v>1029</v>
      </c>
      <c r="D427" t="s">
        <v>48</v>
      </c>
      <c r="E427" t="s">
        <v>85</v>
      </c>
      <c r="F427" t="s">
        <v>27</v>
      </c>
      <c r="G427" t="s">
        <v>1030</v>
      </c>
      <c r="H427" s="1">
        <v>45604.552777777775</v>
      </c>
      <c r="I427" s="1">
        <v>45604.661111111112</v>
      </c>
      <c r="J427">
        <v>86</v>
      </c>
      <c r="K427">
        <v>156</v>
      </c>
      <c r="L427">
        <v>1</v>
      </c>
      <c r="M427" t="s">
        <v>29</v>
      </c>
      <c r="N427">
        <v>9</v>
      </c>
      <c r="O427">
        <v>245.38</v>
      </c>
    </row>
    <row r="428" spans="1:15" x14ac:dyDescent="0.35">
      <c r="A428" t="s">
        <v>1031</v>
      </c>
      <c r="B428" t="s">
        <v>51</v>
      </c>
      <c r="C428" t="s">
        <v>1032</v>
      </c>
      <c r="D428" t="s">
        <v>18</v>
      </c>
      <c r="E428" t="s">
        <v>19</v>
      </c>
      <c r="F428" t="s">
        <v>39</v>
      </c>
      <c r="G428" t="s">
        <v>594</v>
      </c>
      <c r="H428" s="1">
        <v>45361.69027777778</v>
      </c>
      <c r="I428" s="1">
        <v>45361.856944444444</v>
      </c>
      <c r="J428">
        <v>172</v>
      </c>
      <c r="K428">
        <v>240</v>
      </c>
      <c r="L428">
        <v>1</v>
      </c>
      <c r="M428" t="s">
        <v>29</v>
      </c>
      <c r="N428">
        <v>9</v>
      </c>
      <c r="O428">
        <v>402.25</v>
      </c>
    </row>
    <row r="429" spans="1:15" x14ac:dyDescent="0.35">
      <c r="A429" t="s">
        <v>1033</v>
      </c>
      <c r="B429" t="s">
        <v>63</v>
      </c>
      <c r="C429" t="s">
        <v>1034</v>
      </c>
      <c r="D429" t="s">
        <v>56</v>
      </c>
      <c r="E429" t="s">
        <v>19</v>
      </c>
      <c r="F429" t="s">
        <v>39</v>
      </c>
      <c r="G429" t="s">
        <v>49</v>
      </c>
      <c r="H429" s="1">
        <v>45313.742361111108</v>
      </c>
      <c r="I429" s="1">
        <v>45313.959027777775</v>
      </c>
      <c r="J429">
        <v>236</v>
      </c>
      <c r="K429">
        <v>312</v>
      </c>
      <c r="L429">
        <v>1</v>
      </c>
      <c r="M429" t="s">
        <v>22</v>
      </c>
      <c r="N429">
        <v>5</v>
      </c>
      <c r="O429">
        <v>474.7</v>
      </c>
    </row>
    <row r="430" spans="1:15" x14ac:dyDescent="0.35">
      <c r="A430" t="s">
        <v>1035</v>
      </c>
      <c r="B430" t="s">
        <v>24</v>
      </c>
      <c r="C430" t="s">
        <v>1036</v>
      </c>
      <c r="D430" t="s">
        <v>44</v>
      </c>
      <c r="E430" t="s">
        <v>19</v>
      </c>
      <c r="F430" t="s">
        <v>39</v>
      </c>
      <c r="G430" t="s">
        <v>615</v>
      </c>
      <c r="H430" s="1">
        <v>45642.715277777781</v>
      </c>
      <c r="I430" s="1">
        <v>45642.885416666664</v>
      </c>
      <c r="J430">
        <v>162</v>
      </c>
      <c r="K430">
        <v>245</v>
      </c>
      <c r="L430">
        <v>1</v>
      </c>
      <c r="M430" t="s">
        <v>41</v>
      </c>
      <c r="N430">
        <v>6</v>
      </c>
      <c r="O430">
        <v>65.45</v>
      </c>
    </row>
    <row r="431" spans="1:15" x14ac:dyDescent="0.35">
      <c r="A431" t="s">
        <v>1037</v>
      </c>
      <c r="B431" t="s">
        <v>63</v>
      </c>
      <c r="C431" t="s">
        <v>1038</v>
      </c>
      <c r="D431" t="s">
        <v>48</v>
      </c>
      <c r="E431" t="s">
        <v>33</v>
      </c>
      <c r="F431" t="s">
        <v>39</v>
      </c>
      <c r="G431" t="s">
        <v>338</v>
      </c>
      <c r="H431" s="1">
        <v>45390.665972222225</v>
      </c>
      <c r="I431" s="1">
        <v>45390.782638888886</v>
      </c>
      <c r="J431">
        <v>127</v>
      </c>
      <c r="K431">
        <v>168</v>
      </c>
      <c r="L431">
        <v>1</v>
      </c>
      <c r="M431" t="s">
        <v>29</v>
      </c>
      <c r="N431">
        <v>4</v>
      </c>
      <c r="O431">
        <v>198.72</v>
      </c>
    </row>
    <row r="432" spans="1:15" x14ac:dyDescent="0.35">
      <c r="A432" t="s">
        <v>1039</v>
      </c>
      <c r="B432" t="s">
        <v>63</v>
      </c>
      <c r="C432" t="s">
        <v>1040</v>
      </c>
      <c r="D432" t="s">
        <v>56</v>
      </c>
      <c r="E432" t="s">
        <v>85</v>
      </c>
      <c r="F432" t="s">
        <v>27</v>
      </c>
      <c r="G432" t="s">
        <v>207</v>
      </c>
      <c r="H432" s="1">
        <v>45531.588194444441</v>
      </c>
      <c r="I432" s="1">
        <v>45531.664583333331</v>
      </c>
      <c r="J432">
        <v>87</v>
      </c>
      <c r="K432">
        <v>110</v>
      </c>
      <c r="L432">
        <v>1</v>
      </c>
      <c r="M432" t="s">
        <v>29</v>
      </c>
      <c r="N432">
        <v>9</v>
      </c>
      <c r="O432">
        <v>136.12</v>
      </c>
    </row>
    <row r="433" spans="1:15" x14ac:dyDescent="0.35">
      <c r="A433" t="s">
        <v>1041</v>
      </c>
      <c r="B433" t="s">
        <v>16</v>
      </c>
      <c r="C433" t="s">
        <v>1042</v>
      </c>
      <c r="D433" t="s">
        <v>44</v>
      </c>
      <c r="E433" t="s">
        <v>33</v>
      </c>
      <c r="F433" t="s">
        <v>39</v>
      </c>
      <c r="G433" t="s">
        <v>111</v>
      </c>
      <c r="H433" s="1">
        <v>45414.861805555556</v>
      </c>
      <c r="I433" s="1">
        <v>45414.916666666664</v>
      </c>
      <c r="J433">
        <v>59</v>
      </c>
      <c r="K433">
        <v>79</v>
      </c>
      <c r="L433">
        <v>1</v>
      </c>
      <c r="M433" t="s">
        <v>41</v>
      </c>
      <c r="N433">
        <v>7</v>
      </c>
      <c r="O433">
        <v>153.02000000000001</v>
      </c>
    </row>
    <row r="434" spans="1:15" x14ac:dyDescent="0.35">
      <c r="A434" t="s">
        <v>1043</v>
      </c>
      <c r="B434" t="s">
        <v>51</v>
      </c>
      <c r="C434" t="s">
        <v>1044</v>
      </c>
      <c r="D434" t="s">
        <v>18</v>
      </c>
      <c r="E434" t="s">
        <v>38</v>
      </c>
      <c r="F434" t="s">
        <v>34</v>
      </c>
      <c r="G434" t="s">
        <v>204</v>
      </c>
      <c r="H434" s="1">
        <v>45450.555555555555</v>
      </c>
      <c r="I434" s="1">
        <v>45450.621527777781</v>
      </c>
      <c r="J434">
        <v>62</v>
      </c>
      <c r="K434">
        <v>95</v>
      </c>
      <c r="L434">
        <v>1</v>
      </c>
      <c r="M434" t="s">
        <v>29</v>
      </c>
      <c r="N434">
        <v>6</v>
      </c>
      <c r="O434">
        <v>219.02</v>
      </c>
    </row>
    <row r="435" spans="1:15" x14ac:dyDescent="0.35">
      <c r="A435" t="s">
        <v>1045</v>
      </c>
      <c r="B435" t="s">
        <v>31</v>
      </c>
      <c r="C435" t="s">
        <v>1046</v>
      </c>
      <c r="D435" t="s">
        <v>26</v>
      </c>
      <c r="E435" t="s">
        <v>85</v>
      </c>
      <c r="F435" t="s">
        <v>20</v>
      </c>
      <c r="G435" t="s">
        <v>539</v>
      </c>
      <c r="H435" s="1">
        <v>45625.51666666667</v>
      </c>
      <c r="I435" s="1">
        <v>45625.660416666666</v>
      </c>
      <c r="J435">
        <v>189</v>
      </c>
      <c r="K435">
        <v>207</v>
      </c>
      <c r="L435">
        <v>1</v>
      </c>
      <c r="M435" t="s">
        <v>41</v>
      </c>
      <c r="N435">
        <v>8</v>
      </c>
      <c r="O435">
        <v>138.52000000000001</v>
      </c>
    </row>
    <row r="436" spans="1:15" x14ac:dyDescent="0.35">
      <c r="A436" t="s">
        <v>1047</v>
      </c>
      <c r="B436" t="s">
        <v>24</v>
      </c>
      <c r="C436" t="s">
        <v>1048</v>
      </c>
      <c r="D436" t="s">
        <v>48</v>
      </c>
      <c r="E436" t="s">
        <v>33</v>
      </c>
      <c r="F436" t="s">
        <v>39</v>
      </c>
      <c r="G436" t="s">
        <v>82</v>
      </c>
      <c r="H436" s="1">
        <v>45601.597222222219</v>
      </c>
      <c r="I436" s="1">
        <v>45601.615277777775</v>
      </c>
      <c r="J436">
        <v>22</v>
      </c>
      <c r="K436">
        <v>26</v>
      </c>
      <c r="L436">
        <v>1</v>
      </c>
      <c r="M436" t="s">
        <v>22</v>
      </c>
      <c r="N436">
        <v>10</v>
      </c>
      <c r="O436">
        <v>160.63999999999999</v>
      </c>
    </row>
    <row r="437" spans="1:15" x14ac:dyDescent="0.35">
      <c r="A437" t="s">
        <v>1049</v>
      </c>
      <c r="B437" t="s">
        <v>16</v>
      </c>
      <c r="C437" t="s">
        <v>1050</v>
      </c>
      <c r="D437" t="s">
        <v>48</v>
      </c>
      <c r="E437" t="s">
        <v>85</v>
      </c>
      <c r="F437" t="s">
        <v>27</v>
      </c>
      <c r="G437" t="s">
        <v>749</v>
      </c>
      <c r="H437" s="1">
        <v>45446.418055555558</v>
      </c>
      <c r="I437" s="1">
        <v>45446.447916666664</v>
      </c>
      <c r="J437">
        <v>27</v>
      </c>
      <c r="K437">
        <v>43</v>
      </c>
      <c r="L437">
        <v>1</v>
      </c>
      <c r="M437" t="s">
        <v>22</v>
      </c>
      <c r="N437">
        <v>9</v>
      </c>
      <c r="O437">
        <v>309.49</v>
      </c>
    </row>
    <row r="438" spans="1:15" x14ac:dyDescent="0.35">
      <c r="A438" t="s">
        <v>1051</v>
      </c>
      <c r="B438" t="s">
        <v>63</v>
      </c>
      <c r="C438" t="s">
        <v>1052</v>
      </c>
      <c r="D438" t="s">
        <v>18</v>
      </c>
      <c r="E438" t="s">
        <v>19</v>
      </c>
      <c r="F438" t="s">
        <v>39</v>
      </c>
      <c r="G438" t="s">
        <v>647</v>
      </c>
      <c r="H438" s="1">
        <v>45366.647916666669</v>
      </c>
      <c r="I438" s="1">
        <v>45366.796527777777</v>
      </c>
      <c r="J438">
        <v>110</v>
      </c>
      <c r="K438">
        <v>214</v>
      </c>
      <c r="L438">
        <v>1</v>
      </c>
      <c r="M438" t="s">
        <v>29</v>
      </c>
      <c r="N438">
        <v>10</v>
      </c>
      <c r="O438">
        <v>96.97</v>
      </c>
    </row>
    <row r="439" spans="1:15" x14ac:dyDescent="0.35">
      <c r="A439" t="s">
        <v>1053</v>
      </c>
      <c r="B439" t="s">
        <v>51</v>
      </c>
      <c r="C439" t="s">
        <v>1054</v>
      </c>
      <c r="D439" t="s">
        <v>48</v>
      </c>
      <c r="E439" t="s">
        <v>33</v>
      </c>
      <c r="F439" t="s">
        <v>39</v>
      </c>
      <c r="G439" t="s">
        <v>594</v>
      </c>
      <c r="H439" s="1">
        <v>45537.95208333333</v>
      </c>
      <c r="I439" s="1">
        <v>45538.15347222222</v>
      </c>
      <c r="J439">
        <v>199</v>
      </c>
      <c r="K439">
        <v>290</v>
      </c>
      <c r="L439">
        <v>1</v>
      </c>
      <c r="M439" t="s">
        <v>22</v>
      </c>
      <c r="N439">
        <v>8</v>
      </c>
      <c r="O439">
        <v>461.53</v>
      </c>
    </row>
    <row r="440" spans="1:15" x14ac:dyDescent="0.35">
      <c r="A440" t="s">
        <v>1055</v>
      </c>
      <c r="B440" t="s">
        <v>63</v>
      </c>
      <c r="C440" t="s">
        <v>1056</v>
      </c>
      <c r="D440" t="s">
        <v>44</v>
      </c>
      <c r="E440" t="s">
        <v>19</v>
      </c>
      <c r="F440" t="s">
        <v>57</v>
      </c>
      <c r="G440" t="s">
        <v>338</v>
      </c>
      <c r="H440" s="1">
        <v>45327.636805555558</v>
      </c>
      <c r="I440" s="1">
        <v>45327.769444444442</v>
      </c>
      <c r="J440">
        <v>72</v>
      </c>
      <c r="K440">
        <v>191</v>
      </c>
      <c r="L440">
        <v>1</v>
      </c>
      <c r="M440" t="s">
        <v>22</v>
      </c>
      <c r="N440">
        <v>2</v>
      </c>
      <c r="O440">
        <v>240.5</v>
      </c>
    </row>
    <row r="441" spans="1:15" x14ac:dyDescent="0.35">
      <c r="A441" t="s">
        <v>1057</v>
      </c>
      <c r="B441" t="s">
        <v>51</v>
      </c>
      <c r="C441" t="s">
        <v>1058</v>
      </c>
      <c r="D441" t="s">
        <v>18</v>
      </c>
      <c r="E441" t="s">
        <v>85</v>
      </c>
      <c r="F441" t="s">
        <v>39</v>
      </c>
      <c r="G441" t="s">
        <v>97</v>
      </c>
      <c r="H441" s="1">
        <v>45321.713194444441</v>
      </c>
      <c r="I441" s="1">
        <v>45321.892361111109</v>
      </c>
      <c r="J441">
        <v>186</v>
      </c>
      <c r="K441">
        <v>258</v>
      </c>
      <c r="L441">
        <v>1</v>
      </c>
      <c r="M441" t="s">
        <v>22</v>
      </c>
      <c r="N441">
        <v>9</v>
      </c>
      <c r="O441">
        <v>429.74</v>
      </c>
    </row>
    <row r="442" spans="1:15" x14ac:dyDescent="0.35">
      <c r="A442" t="s">
        <v>1059</v>
      </c>
      <c r="B442" t="s">
        <v>16</v>
      </c>
      <c r="C442" t="s">
        <v>1060</v>
      </c>
      <c r="D442" t="s">
        <v>18</v>
      </c>
      <c r="E442" t="s">
        <v>33</v>
      </c>
      <c r="F442" t="s">
        <v>39</v>
      </c>
      <c r="G442" t="s">
        <v>676</v>
      </c>
      <c r="H442" s="1">
        <v>45352.262499999997</v>
      </c>
      <c r="I442" s="1">
        <v>45352.345138888886</v>
      </c>
      <c r="J442">
        <v>18</v>
      </c>
      <c r="K442">
        <v>119</v>
      </c>
      <c r="L442">
        <v>1</v>
      </c>
      <c r="M442" t="s">
        <v>29</v>
      </c>
      <c r="N442">
        <v>4</v>
      </c>
      <c r="O442">
        <v>382.92</v>
      </c>
    </row>
    <row r="443" spans="1:15" x14ac:dyDescent="0.35">
      <c r="A443" t="s">
        <v>1061</v>
      </c>
      <c r="B443" t="s">
        <v>63</v>
      </c>
      <c r="C443" t="s">
        <v>1062</v>
      </c>
      <c r="D443" t="s">
        <v>26</v>
      </c>
      <c r="E443" t="s">
        <v>33</v>
      </c>
      <c r="F443" t="s">
        <v>39</v>
      </c>
      <c r="G443" t="s">
        <v>76</v>
      </c>
      <c r="H443" s="1">
        <v>45352.761805555558</v>
      </c>
      <c r="I443" s="1">
        <v>45352.804166666669</v>
      </c>
      <c r="J443">
        <v>25</v>
      </c>
      <c r="K443">
        <v>61</v>
      </c>
      <c r="L443">
        <v>1</v>
      </c>
      <c r="M443" t="s">
        <v>29</v>
      </c>
      <c r="N443">
        <v>4</v>
      </c>
      <c r="O443">
        <v>263.99</v>
      </c>
    </row>
    <row r="444" spans="1:15" x14ac:dyDescent="0.35">
      <c r="A444" t="s">
        <v>1063</v>
      </c>
      <c r="B444" t="s">
        <v>16</v>
      </c>
      <c r="C444" t="s">
        <v>1064</v>
      </c>
      <c r="D444" t="s">
        <v>48</v>
      </c>
      <c r="E444" t="s">
        <v>19</v>
      </c>
      <c r="F444" t="s">
        <v>20</v>
      </c>
      <c r="G444" t="s">
        <v>418</v>
      </c>
      <c r="H444" s="1">
        <v>45464.22152777778</v>
      </c>
      <c r="I444" s="1">
        <v>45464.275694444441</v>
      </c>
      <c r="J444">
        <v>63</v>
      </c>
      <c r="K444">
        <v>78</v>
      </c>
      <c r="L444">
        <v>1</v>
      </c>
      <c r="M444" t="s">
        <v>22</v>
      </c>
      <c r="N444">
        <v>4</v>
      </c>
      <c r="O444">
        <v>375.84</v>
      </c>
    </row>
    <row r="445" spans="1:15" x14ac:dyDescent="0.35">
      <c r="A445" t="s">
        <v>1065</v>
      </c>
      <c r="B445" t="s">
        <v>31</v>
      </c>
      <c r="C445" t="s">
        <v>1066</v>
      </c>
      <c r="D445" t="s">
        <v>26</v>
      </c>
      <c r="E445" t="s">
        <v>38</v>
      </c>
      <c r="F445" t="s">
        <v>20</v>
      </c>
      <c r="G445" t="s">
        <v>321</v>
      </c>
      <c r="H445" s="1">
        <v>45310.64166666667</v>
      </c>
      <c r="I445" s="1">
        <v>45310.712500000001</v>
      </c>
      <c r="J445">
        <v>49</v>
      </c>
      <c r="K445">
        <v>102</v>
      </c>
      <c r="L445">
        <v>1</v>
      </c>
      <c r="M445" t="s">
        <v>41</v>
      </c>
      <c r="N445">
        <v>8</v>
      </c>
      <c r="O445">
        <v>289.25</v>
      </c>
    </row>
    <row r="446" spans="1:15" x14ac:dyDescent="0.35">
      <c r="A446" t="s">
        <v>1067</v>
      </c>
      <c r="B446" t="s">
        <v>63</v>
      </c>
      <c r="C446" t="s">
        <v>1068</v>
      </c>
      <c r="D446" t="s">
        <v>48</v>
      </c>
      <c r="E446" t="s">
        <v>19</v>
      </c>
      <c r="F446" t="s">
        <v>39</v>
      </c>
      <c r="G446" t="s">
        <v>58</v>
      </c>
      <c r="H446" s="1">
        <v>45598.416666666664</v>
      </c>
      <c r="I446" s="1">
        <v>45598.59097222222</v>
      </c>
      <c r="J446">
        <v>173</v>
      </c>
      <c r="K446">
        <v>251</v>
      </c>
      <c r="L446">
        <v>1</v>
      </c>
      <c r="M446" t="s">
        <v>41</v>
      </c>
      <c r="N446">
        <v>4</v>
      </c>
      <c r="O446">
        <v>212.31</v>
      </c>
    </row>
    <row r="447" spans="1:15" x14ac:dyDescent="0.35">
      <c r="A447" t="s">
        <v>1069</v>
      </c>
      <c r="B447" t="s">
        <v>31</v>
      </c>
      <c r="C447" t="s">
        <v>1070</v>
      </c>
      <c r="D447" t="s">
        <v>48</v>
      </c>
      <c r="E447" t="s">
        <v>33</v>
      </c>
      <c r="F447" t="s">
        <v>20</v>
      </c>
      <c r="G447" t="s">
        <v>68</v>
      </c>
      <c r="H447" s="1">
        <v>45468.087500000001</v>
      </c>
      <c r="I447" s="1">
        <v>45468.21875</v>
      </c>
      <c r="J447">
        <v>117</v>
      </c>
      <c r="K447">
        <v>189</v>
      </c>
      <c r="L447">
        <v>1</v>
      </c>
      <c r="M447" t="s">
        <v>22</v>
      </c>
      <c r="N447">
        <v>5</v>
      </c>
      <c r="O447">
        <v>275.77999999999997</v>
      </c>
    </row>
    <row r="448" spans="1:15" x14ac:dyDescent="0.35">
      <c r="A448" t="s">
        <v>1071</v>
      </c>
      <c r="B448" t="s">
        <v>16</v>
      </c>
      <c r="C448" t="s">
        <v>1072</v>
      </c>
      <c r="D448" t="s">
        <v>26</v>
      </c>
      <c r="E448" t="s">
        <v>33</v>
      </c>
      <c r="F448" t="s">
        <v>34</v>
      </c>
      <c r="G448" t="s">
        <v>88</v>
      </c>
      <c r="H448" s="1">
        <v>45608.465277777781</v>
      </c>
      <c r="I448" s="1">
        <v>45608.55972222222</v>
      </c>
      <c r="J448">
        <v>137</v>
      </c>
      <c r="K448">
        <v>136</v>
      </c>
      <c r="L448">
        <v>0</v>
      </c>
      <c r="M448" t="s">
        <v>41</v>
      </c>
      <c r="N448">
        <v>6</v>
      </c>
      <c r="O448">
        <v>249.96</v>
      </c>
    </row>
    <row r="449" spans="1:15" x14ac:dyDescent="0.35">
      <c r="A449" t="s">
        <v>1073</v>
      </c>
      <c r="B449" t="s">
        <v>51</v>
      </c>
      <c r="C449" t="s">
        <v>1074</v>
      </c>
      <c r="D449" t="s">
        <v>44</v>
      </c>
      <c r="E449" t="s">
        <v>38</v>
      </c>
      <c r="F449" t="s">
        <v>34</v>
      </c>
      <c r="G449" t="s">
        <v>170</v>
      </c>
      <c r="H449" s="1">
        <v>45560.688888888886</v>
      </c>
      <c r="I449" s="1">
        <v>45560.775000000001</v>
      </c>
      <c r="J449">
        <v>98</v>
      </c>
      <c r="K449">
        <v>124</v>
      </c>
      <c r="L449">
        <v>1</v>
      </c>
      <c r="M449" t="s">
        <v>22</v>
      </c>
      <c r="N449">
        <v>5</v>
      </c>
      <c r="O449">
        <v>438.4</v>
      </c>
    </row>
    <row r="450" spans="1:15" x14ac:dyDescent="0.35">
      <c r="A450" t="s">
        <v>1075</v>
      </c>
      <c r="B450" t="s">
        <v>51</v>
      </c>
      <c r="C450" t="s">
        <v>1076</v>
      </c>
      <c r="D450" t="s">
        <v>26</v>
      </c>
      <c r="E450" t="s">
        <v>38</v>
      </c>
      <c r="F450" t="s">
        <v>57</v>
      </c>
      <c r="G450" t="s">
        <v>296</v>
      </c>
      <c r="H450" s="1">
        <v>45595.748611111114</v>
      </c>
      <c r="I450" s="1">
        <v>45595.853472222225</v>
      </c>
      <c r="J450">
        <v>101</v>
      </c>
      <c r="K450">
        <v>151</v>
      </c>
      <c r="L450">
        <v>1</v>
      </c>
      <c r="M450" t="s">
        <v>29</v>
      </c>
      <c r="N450">
        <v>10</v>
      </c>
      <c r="O450">
        <v>383.86</v>
      </c>
    </row>
    <row r="451" spans="1:15" x14ac:dyDescent="0.35">
      <c r="A451" t="s">
        <v>1077</v>
      </c>
      <c r="B451" t="s">
        <v>24</v>
      </c>
      <c r="C451" t="s">
        <v>1078</v>
      </c>
      <c r="D451" t="s">
        <v>26</v>
      </c>
      <c r="E451" t="s">
        <v>38</v>
      </c>
      <c r="F451" t="s">
        <v>27</v>
      </c>
      <c r="G451" t="s">
        <v>45</v>
      </c>
      <c r="H451" s="1">
        <v>45300.038888888892</v>
      </c>
      <c r="I451" s="1">
        <v>45300.250694444447</v>
      </c>
      <c r="J451">
        <v>217</v>
      </c>
      <c r="K451">
        <v>305</v>
      </c>
      <c r="L451">
        <v>1</v>
      </c>
      <c r="M451" t="s">
        <v>22</v>
      </c>
      <c r="N451">
        <v>10</v>
      </c>
      <c r="O451">
        <v>67.510000000000005</v>
      </c>
    </row>
    <row r="452" spans="1:15" x14ac:dyDescent="0.35">
      <c r="A452" t="s">
        <v>1079</v>
      </c>
      <c r="B452" t="s">
        <v>24</v>
      </c>
      <c r="C452" t="s">
        <v>1080</v>
      </c>
      <c r="D452" t="s">
        <v>48</v>
      </c>
      <c r="E452" t="s">
        <v>38</v>
      </c>
      <c r="F452" t="s">
        <v>27</v>
      </c>
      <c r="G452" t="s">
        <v>288</v>
      </c>
      <c r="H452" s="1">
        <v>45616.977083333331</v>
      </c>
      <c r="I452" s="1">
        <v>45617.115277777775</v>
      </c>
      <c r="J452">
        <v>149</v>
      </c>
      <c r="K452">
        <v>199</v>
      </c>
      <c r="L452">
        <v>1</v>
      </c>
      <c r="M452" t="s">
        <v>41</v>
      </c>
      <c r="N452">
        <v>1</v>
      </c>
      <c r="O452">
        <v>255.07</v>
      </c>
    </row>
    <row r="453" spans="1:15" x14ac:dyDescent="0.35">
      <c r="A453" t="s">
        <v>1081</v>
      </c>
      <c r="B453" t="s">
        <v>24</v>
      </c>
      <c r="C453" t="s">
        <v>1082</v>
      </c>
      <c r="D453" t="s">
        <v>18</v>
      </c>
      <c r="E453" t="s">
        <v>33</v>
      </c>
      <c r="F453" t="s">
        <v>57</v>
      </c>
      <c r="G453" t="s">
        <v>631</v>
      </c>
      <c r="H453" s="1">
        <v>45656.597222222219</v>
      </c>
      <c r="I453" s="1">
        <v>45656.690972222219</v>
      </c>
      <c r="J453">
        <v>68</v>
      </c>
      <c r="K453">
        <v>135</v>
      </c>
      <c r="L453">
        <v>1</v>
      </c>
      <c r="M453" t="s">
        <v>22</v>
      </c>
      <c r="N453">
        <v>10</v>
      </c>
      <c r="O453">
        <v>288.37</v>
      </c>
    </row>
    <row r="454" spans="1:15" x14ac:dyDescent="0.35">
      <c r="A454" t="s">
        <v>1083</v>
      </c>
      <c r="B454" t="s">
        <v>31</v>
      </c>
      <c r="C454" t="s">
        <v>1084</v>
      </c>
      <c r="D454" t="s">
        <v>48</v>
      </c>
      <c r="E454" t="s">
        <v>38</v>
      </c>
      <c r="F454" t="s">
        <v>57</v>
      </c>
      <c r="G454" t="s">
        <v>445</v>
      </c>
      <c r="H454" s="1">
        <v>45574.991666666669</v>
      </c>
      <c r="I454" s="1">
        <v>45575.056944444441</v>
      </c>
      <c r="J454">
        <v>25</v>
      </c>
      <c r="K454">
        <v>94</v>
      </c>
      <c r="L454">
        <v>1</v>
      </c>
      <c r="M454" t="s">
        <v>22</v>
      </c>
      <c r="N454">
        <v>4</v>
      </c>
      <c r="O454">
        <v>282.18</v>
      </c>
    </row>
    <row r="455" spans="1:15" x14ac:dyDescent="0.35">
      <c r="A455" t="s">
        <v>1085</v>
      </c>
      <c r="B455" t="s">
        <v>63</v>
      </c>
      <c r="C455" t="s">
        <v>1086</v>
      </c>
      <c r="D455" t="s">
        <v>18</v>
      </c>
      <c r="E455" t="s">
        <v>19</v>
      </c>
      <c r="F455" t="s">
        <v>57</v>
      </c>
      <c r="G455" t="s">
        <v>321</v>
      </c>
      <c r="H455" s="1">
        <v>45296.897222222222</v>
      </c>
      <c r="I455" s="1">
        <v>45297.074305555558</v>
      </c>
      <c r="J455">
        <v>141</v>
      </c>
      <c r="K455">
        <v>255</v>
      </c>
      <c r="L455">
        <v>1</v>
      </c>
      <c r="M455" t="s">
        <v>41</v>
      </c>
      <c r="N455">
        <v>3</v>
      </c>
      <c r="O455">
        <v>436.54</v>
      </c>
    </row>
    <row r="456" spans="1:15" x14ac:dyDescent="0.35">
      <c r="A456" t="s">
        <v>1087</v>
      </c>
      <c r="B456" t="s">
        <v>31</v>
      </c>
      <c r="C456" t="s">
        <v>1088</v>
      </c>
      <c r="D456" t="s">
        <v>18</v>
      </c>
      <c r="E456" t="s">
        <v>85</v>
      </c>
      <c r="F456" t="s">
        <v>20</v>
      </c>
      <c r="G456" t="s">
        <v>602</v>
      </c>
      <c r="H456" s="1">
        <v>45565.673611111109</v>
      </c>
      <c r="I456" s="1">
        <v>45565.836805555555</v>
      </c>
      <c r="J456">
        <v>184</v>
      </c>
      <c r="K456">
        <v>235</v>
      </c>
      <c r="L456">
        <v>1</v>
      </c>
      <c r="M456" t="s">
        <v>22</v>
      </c>
      <c r="N456">
        <v>2</v>
      </c>
      <c r="O456">
        <v>374.34</v>
      </c>
    </row>
    <row r="457" spans="1:15" x14ac:dyDescent="0.35">
      <c r="A457" t="s">
        <v>1089</v>
      </c>
      <c r="B457" t="s">
        <v>16</v>
      </c>
      <c r="C457" t="s">
        <v>1090</v>
      </c>
      <c r="D457" t="s">
        <v>56</v>
      </c>
      <c r="E457" t="s">
        <v>85</v>
      </c>
      <c r="F457" t="s">
        <v>20</v>
      </c>
      <c r="G457" t="s">
        <v>146</v>
      </c>
      <c r="H457" s="1">
        <v>45605.481944444444</v>
      </c>
      <c r="I457" s="1">
        <v>45605.640972222223</v>
      </c>
      <c r="J457">
        <v>182</v>
      </c>
      <c r="K457">
        <v>229</v>
      </c>
      <c r="L457">
        <v>1</v>
      </c>
      <c r="M457" t="s">
        <v>22</v>
      </c>
      <c r="N457">
        <v>9</v>
      </c>
      <c r="O457">
        <v>287.49</v>
      </c>
    </row>
    <row r="458" spans="1:15" x14ac:dyDescent="0.35">
      <c r="A458" t="s">
        <v>1091</v>
      </c>
      <c r="B458" t="s">
        <v>63</v>
      </c>
      <c r="C458" t="s">
        <v>1092</v>
      </c>
      <c r="D458" t="s">
        <v>18</v>
      </c>
      <c r="E458" t="s">
        <v>85</v>
      </c>
      <c r="F458" t="s">
        <v>27</v>
      </c>
      <c r="G458" t="s">
        <v>988</v>
      </c>
      <c r="H458" s="1">
        <v>45634.801388888889</v>
      </c>
      <c r="I458" s="1">
        <v>45634.920138888891</v>
      </c>
      <c r="J458">
        <v>152</v>
      </c>
      <c r="K458">
        <v>171</v>
      </c>
      <c r="L458">
        <v>1</v>
      </c>
      <c r="M458" t="s">
        <v>22</v>
      </c>
      <c r="N458">
        <v>9</v>
      </c>
      <c r="O458">
        <v>160.22</v>
      </c>
    </row>
    <row r="459" spans="1:15" x14ac:dyDescent="0.35">
      <c r="A459" t="s">
        <v>1093</v>
      </c>
      <c r="B459" t="s">
        <v>31</v>
      </c>
      <c r="C459" t="s">
        <v>1094</v>
      </c>
      <c r="D459" t="s">
        <v>44</v>
      </c>
      <c r="E459" t="s">
        <v>38</v>
      </c>
      <c r="F459" t="s">
        <v>39</v>
      </c>
      <c r="G459" t="s">
        <v>526</v>
      </c>
      <c r="H459" s="1">
        <v>45456.38958333333</v>
      </c>
      <c r="I459" s="1">
        <v>45456.570833333331</v>
      </c>
      <c r="J459">
        <v>214</v>
      </c>
      <c r="K459">
        <v>261</v>
      </c>
      <c r="L459">
        <v>1</v>
      </c>
      <c r="M459" t="s">
        <v>29</v>
      </c>
      <c r="N459">
        <v>10</v>
      </c>
      <c r="O459">
        <v>238.88</v>
      </c>
    </row>
    <row r="460" spans="1:15" x14ac:dyDescent="0.35">
      <c r="A460" t="s">
        <v>1095</v>
      </c>
      <c r="B460" t="s">
        <v>63</v>
      </c>
      <c r="C460" t="s">
        <v>1096</v>
      </c>
      <c r="D460" t="s">
        <v>18</v>
      </c>
      <c r="E460" t="s">
        <v>85</v>
      </c>
      <c r="F460" t="s">
        <v>20</v>
      </c>
      <c r="G460" t="s">
        <v>240</v>
      </c>
      <c r="H460" s="1">
        <v>45369.270138888889</v>
      </c>
      <c r="I460" s="1">
        <v>45369.357638888891</v>
      </c>
      <c r="J460">
        <v>45</v>
      </c>
      <c r="K460">
        <v>126</v>
      </c>
      <c r="L460">
        <v>1</v>
      </c>
      <c r="M460" t="s">
        <v>22</v>
      </c>
      <c r="N460">
        <v>3</v>
      </c>
      <c r="O460">
        <v>125.33</v>
      </c>
    </row>
    <row r="461" spans="1:15" x14ac:dyDescent="0.35">
      <c r="A461" t="s">
        <v>1097</v>
      </c>
      <c r="B461" t="s">
        <v>63</v>
      </c>
      <c r="C461" t="s">
        <v>1098</v>
      </c>
      <c r="D461" t="s">
        <v>26</v>
      </c>
      <c r="E461" t="s">
        <v>85</v>
      </c>
      <c r="F461" t="s">
        <v>57</v>
      </c>
      <c r="G461" t="s">
        <v>335</v>
      </c>
      <c r="H461" s="1">
        <v>45440.053472222222</v>
      </c>
      <c r="I461" s="1">
        <v>45440.220833333333</v>
      </c>
      <c r="J461">
        <v>156</v>
      </c>
      <c r="K461">
        <v>241</v>
      </c>
      <c r="L461">
        <v>1</v>
      </c>
      <c r="M461" t="s">
        <v>41</v>
      </c>
      <c r="N461">
        <v>3</v>
      </c>
      <c r="O461">
        <v>368.83</v>
      </c>
    </row>
    <row r="462" spans="1:15" x14ac:dyDescent="0.35">
      <c r="A462" t="s">
        <v>1099</v>
      </c>
      <c r="B462" t="s">
        <v>63</v>
      </c>
      <c r="C462" t="s">
        <v>1100</v>
      </c>
      <c r="D462" t="s">
        <v>56</v>
      </c>
      <c r="E462" t="s">
        <v>19</v>
      </c>
      <c r="F462" t="s">
        <v>27</v>
      </c>
      <c r="G462" t="s">
        <v>681</v>
      </c>
      <c r="H462" s="1">
        <v>45519.82916666667</v>
      </c>
      <c r="I462" s="1">
        <v>45519.957638888889</v>
      </c>
      <c r="J462">
        <v>142</v>
      </c>
      <c r="K462">
        <v>185</v>
      </c>
      <c r="L462">
        <v>1</v>
      </c>
      <c r="M462" t="s">
        <v>41</v>
      </c>
      <c r="N462">
        <v>7</v>
      </c>
      <c r="O462">
        <v>341.62</v>
      </c>
    </row>
    <row r="463" spans="1:15" x14ac:dyDescent="0.35">
      <c r="A463" t="s">
        <v>1101</v>
      </c>
      <c r="B463" t="s">
        <v>24</v>
      </c>
      <c r="C463" t="s">
        <v>1102</v>
      </c>
      <c r="D463" t="s">
        <v>26</v>
      </c>
      <c r="E463" t="s">
        <v>85</v>
      </c>
      <c r="F463" t="s">
        <v>34</v>
      </c>
      <c r="G463" t="s">
        <v>117</v>
      </c>
      <c r="H463" s="1">
        <v>45568.395138888889</v>
      </c>
      <c r="I463" s="1">
        <v>45568.455555555556</v>
      </c>
      <c r="J463">
        <v>45</v>
      </c>
      <c r="K463">
        <v>87</v>
      </c>
      <c r="L463">
        <v>1</v>
      </c>
      <c r="M463" t="s">
        <v>22</v>
      </c>
      <c r="N463">
        <v>1</v>
      </c>
      <c r="O463">
        <v>135.22</v>
      </c>
    </row>
    <row r="464" spans="1:15" x14ac:dyDescent="0.35">
      <c r="A464" t="s">
        <v>1103</v>
      </c>
      <c r="B464" t="s">
        <v>63</v>
      </c>
      <c r="C464" t="s">
        <v>1104</v>
      </c>
      <c r="D464" t="s">
        <v>18</v>
      </c>
      <c r="E464" t="s">
        <v>33</v>
      </c>
      <c r="F464" t="s">
        <v>20</v>
      </c>
      <c r="G464" t="s">
        <v>470</v>
      </c>
      <c r="H464" s="1">
        <v>45593.895833333336</v>
      </c>
      <c r="I464" s="1">
        <v>45594.064583333333</v>
      </c>
      <c r="J464">
        <v>128</v>
      </c>
      <c r="K464">
        <v>243</v>
      </c>
      <c r="L464">
        <v>1</v>
      </c>
      <c r="M464" t="s">
        <v>29</v>
      </c>
      <c r="N464">
        <v>1</v>
      </c>
      <c r="O464">
        <v>100.96</v>
      </c>
    </row>
    <row r="465" spans="1:15" x14ac:dyDescent="0.35">
      <c r="A465" t="s">
        <v>1105</v>
      </c>
      <c r="B465" t="s">
        <v>16</v>
      </c>
      <c r="C465" t="s">
        <v>1106</v>
      </c>
      <c r="D465" t="s">
        <v>44</v>
      </c>
      <c r="E465" t="s">
        <v>19</v>
      </c>
      <c r="F465" t="s">
        <v>39</v>
      </c>
      <c r="G465" t="s">
        <v>170</v>
      </c>
      <c r="H465" s="1">
        <v>45517.532638888886</v>
      </c>
      <c r="I465" s="1">
        <v>45517.696527777778</v>
      </c>
      <c r="J465">
        <v>119</v>
      </c>
      <c r="K465">
        <v>236</v>
      </c>
      <c r="L465">
        <v>1</v>
      </c>
      <c r="M465" t="s">
        <v>29</v>
      </c>
      <c r="N465">
        <v>8</v>
      </c>
      <c r="O465">
        <v>323.33999999999997</v>
      </c>
    </row>
    <row r="466" spans="1:15" x14ac:dyDescent="0.35">
      <c r="A466" t="s">
        <v>1107</v>
      </c>
      <c r="B466" t="s">
        <v>16</v>
      </c>
      <c r="C466" t="s">
        <v>1108</v>
      </c>
      <c r="D466" t="s">
        <v>26</v>
      </c>
      <c r="E466" t="s">
        <v>33</v>
      </c>
      <c r="F466" t="s">
        <v>20</v>
      </c>
      <c r="G466" t="s">
        <v>234</v>
      </c>
      <c r="H466" s="1">
        <v>45466.067361111112</v>
      </c>
      <c r="I466" s="1">
        <v>45466.172222222223</v>
      </c>
      <c r="J466">
        <v>106</v>
      </c>
      <c r="K466">
        <v>151</v>
      </c>
      <c r="L466">
        <v>1</v>
      </c>
      <c r="M466" t="s">
        <v>29</v>
      </c>
      <c r="N466">
        <v>4</v>
      </c>
      <c r="O466">
        <v>313.77999999999997</v>
      </c>
    </row>
    <row r="467" spans="1:15" x14ac:dyDescent="0.35">
      <c r="A467" t="s">
        <v>1109</v>
      </c>
      <c r="B467" t="s">
        <v>16</v>
      </c>
      <c r="C467" t="s">
        <v>1110</v>
      </c>
      <c r="D467" t="s">
        <v>56</v>
      </c>
      <c r="E467" t="s">
        <v>85</v>
      </c>
      <c r="F467" t="s">
        <v>39</v>
      </c>
      <c r="G467" t="s">
        <v>631</v>
      </c>
      <c r="H467" s="1">
        <v>45557.073611111111</v>
      </c>
      <c r="I467" s="1">
        <v>45557.214583333334</v>
      </c>
      <c r="J467">
        <v>129</v>
      </c>
      <c r="K467">
        <v>203</v>
      </c>
      <c r="L467">
        <v>1</v>
      </c>
      <c r="M467" t="s">
        <v>22</v>
      </c>
      <c r="N467">
        <v>10</v>
      </c>
      <c r="O467">
        <v>201.19</v>
      </c>
    </row>
    <row r="468" spans="1:15" x14ac:dyDescent="0.35">
      <c r="A468" t="s">
        <v>1111</v>
      </c>
      <c r="B468" t="s">
        <v>51</v>
      </c>
      <c r="C468" t="s">
        <v>1112</v>
      </c>
      <c r="D468" t="s">
        <v>56</v>
      </c>
      <c r="E468" t="s">
        <v>38</v>
      </c>
      <c r="F468" t="s">
        <v>27</v>
      </c>
      <c r="G468" t="s">
        <v>330</v>
      </c>
      <c r="H468" s="1">
        <v>45420.895138888889</v>
      </c>
      <c r="I468" s="1">
        <v>45420.963888888888</v>
      </c>
      <c r="J468">
        <v>23</v>
      </c>
      <c r="K468">
        <v>99</v>
      </c>
      <c r="L468">
        <v>1</v>
      </c>
      <c r="M468" t="s">
        <v>41</v>
      </c>
      <c r="N468">
        <v>1</v>
      </c>
      <c r="O468">
        <v>401.79</v>
      </c>
    </row>
    <row r="469" spans="1:15" x14ac:dyDescent="0.35">
      <c r="A469" t="s">
        <v>1113</v>
      </c>
      <c r="B469" t="s">
        <v>51</v>
      </c>
      <c r="C469" t="s">
        <v>1114</v>
      </c>
      <c r="D469" t="s">
        <v>48</v>
      </c>
      <c r="E469" t="s">
        <v>19</v>
      </c>
      <c r="F469" t="s">
        <v>57</v>
      </c>
      <c r="G469" t="s">
        <v>210</v>
      </c>
      <c r="H469" s="1">
        <v>45324.254861111112</v>
      </c>
      <c r="I469" s="1">
        <v>45324.275694444441</v>
      </c>
      <c r="J469">
        <v>15</v>
      </c>
      <c r="K469">
        <v>30</v>
      </c>
      <c r="L469">
        <v>1</v>
      </c>
      <c r="M469" t="s">
        <v>41</v>
      </c>
      <c r="N469">
        <v>5</v>
      </c>
      <c r="O469">
        <v>211.68</v>
      </c>
    </row>
    <row r="470" spans="1:15" x14ac:dyDescent="0.35">
      <c r="A470" t="s">
        <v>1115</v>
      </c>
      <c r="B470" t="s">
        <v>24</v>
      </c>
      <c r="C470" t="s">
        <v>1116</v>
      </c>
      <c r="D470" t="s">
        <v>26</v>
      </c>
      <c r="E470" t="s">
        <v>38</v>
      </c>
      <c r="F470" t="s">
        <v>27</v>
      </c>
      <c r="G470" t="s">
        <v>599</v>
      </c>
      <c r="H470" s="1">
        <v>45406.449305555558</v>
      </c>
      <c r="I470" s="1">
        <v>45406.59375</v>
      </c>
      <c r="J470">
        <v>133</v>
      </c>
      <c r="K470">
        <v>208</v>
      </c>
      <c r="L470">
        <v>1</v>
      </c>
      <c r="M470" t="s">
        <v>22</v>
      </c>
      <c r="N470">
        <v>4</v>
      </c>
      <c r="O470">
        <v>252.3</v>
      </c>
    </row>
    <row r="471" spans="1:15" x14ac:dyDescent="0.35">
      <c r="A471" t="s">
        <v>1117</v>
      </c>
      <c r="B471" t="s">
        <v>16</v>
      </c>
      <c r="C471" t="s">
        <v>1118</v>
      </c>
      <c r="D471" t="s">
        <v>44</v>
      </c>
      <c r="E471" t="s">
        <v>33</v>
      </c>
      <c r="F471" t="s">
        <v>39</v>
      </c>
      <c r="G471" t="s">
        <v>521</v>
      </c>
      <c r="H471" s="1">
        <v>45579.178472222222</v>
      </c>
      <c r="I471" s="1">
        <v>45579.34375</v>
      </c>
      <c r="J471">
        <v>139</v>
      </c>
      <c r="K471">
        <v>238</v>
      </c>
      <c r="L471">
        <v>1</v>
      </c>
      <c r="M471" t="s">
        <v>41</v>
      </c>
      <c r="N471">
        <v>9</v>
      </c>
      <c r="O471">
        <v>383.64</v>
      </c>
    </row>
    <row r="472" spans="1:15" x14ac:dyDescent="0.35">
      <c r="A472" t="s">
        <v>1119</v>
      </c>
      <c r="B472" t="s">
        <v>51</v>
      </c>
      <c r="C472" t="s">
        <v>1120</v>
      </c>
      <c r="D472" t="s">
        <v>44</v>
      </c>
      <c r="E472" t="s">
        <v>85</v>
      </c>
      <c r="F472" t="s">
        <v>20</v>
      </c>
      <c r="G472" t="s">
        <v>988</v>
      </c>
      <c r="H472" s="1">
        <v>45593.447222222225</v>
      </c>
      <c r="I472" s="1">
        <v>45593.515972222223</v>
      </c>
      <c r="J472">
        <v>18</v>
      </c>
      <c r="K472">
        <v>99</v>
      </c>
      <c r="L472">
        <v>1</v>
      </c>
      <c r="M472" t="s">
        <v>41</v>
      </c>
      <c r="N472">
        <v>6</v>
      </c>
      <c r="O472">
        <v>497.26</v>
      </c>
    </row>
    <row r="473" spans="1:15" x14ac:dyDescent="0.35">
      <c r="A473" t="s">
        <v>1121</v>
      </c>
      <c r="B473" t="s">
        <v>51</v>
      </c>
      <c r="C473" t="s">
        <v>1122</v>
      </c>
      <c r="D473" t="s">
        <v>56</v>
      </c>
      <c r="E473" t="s">
        <v>85</v>
      </c>
      <c r="F473" t="s">
        <v>34</v>
      </c>
      <c r="G473" t="s">
        <v>354</v>
      </c>
      <c r="H473" s="1">
        <v>45583.320833333331</v>
      </c>
      <c r="I473" s="1">
        <v>45583.42083333333</v>
      </c>
      <c r="J473">
        <v>135</v>
      </c>
      <c r="K473">
        <v>144</v>
      </c>
      <c r="L473">
        <v>1</v>
      </c>
      <c r="M473" t="s">
        <v>29</v>
      </c>
      <c r="N473">
        <v>1</v>
      </c>
      <c r="O473">
        <v>204.75</v>
      </c>
    </row>
    <row r="474" spans="1:15" x14ac:dyDescent="0.35">
      <c r="A474" t="s">
        <v>1123</v>
      </c>
      <c r="B474" t="s">
        <v>16</v>
      </c>
      <c r="C474" t="s">
        <v>1124</v>
      </c>
      <c r="D474" t="s">
        <v>44</v>
      </c>
      <c r="E474" t="s">
        <v>33</v>
      </c>
      <c r="F474" t="s">
        <v>20</v>
      </c>
      <c r="G474" t="s">
        <v>1125</v>
      </c>
      <c r="H474" s="1">
        <v>45337.51458333333</v>
      </c>
      <c r="I474" s="1">
        <v>45337.575694444444</v>
      </c>
      <c r="J474">
        <v>89</v>
      </c>
      <c r="K474">
        <v>88</v>
      </c>
      <c r="L474">
        <v>0</v>
      </c>
      <c r="M474" t="s">
        <v>22</v>
      </c>
      <c r="N474">
        <v>5</v>
      </c>
      <c r="O474">
        <v>220.73</v>
      </c>
    </row>
    <row r="475" spans="1:15" x14ac:dyDescent="0.35">
      <c r="A475" t="s">
        <v>1126</v>
      </c>
      <c r="B475" t="s">
        <v>24</v>
      </c>
      <c r="C475" t="s">
        <v>1127</v>
      </c>
      <c r="D475" t="s">
        <v>56</v>
      </c>
      <c r="E475" t="s">
        <v>38</v>
      </c>
      <c r="F475" t="s">
        <v>57</v>
      </c>
      <c r="G475" t="s">
        <v>897</v>
      </c>
      <c r="H475" s="1">
        <v>45340.9</v>
      </c>
      <c r="I475" s="1">
        <v>45341.124305555553</v>
      </c>
      <c r="J475">
        <v>217</v>
      </c>
      <c r="K475">
        <v>323</v>
      </c>
      <c r="L475">
        <v>1</v>
      </c>
      <c r="M475" t="s">
        <v>22</v>
      </c>
      <c r="N475">
        <v>2</v>
      </c>
      <c r="O475">
        <v>141.46</v>
      </c>
    </row>
    <row r="476" spans="1:15" x14ac:dyDescent="0.35">
      <c r="A476" t="s">
        <v>1128</v>
      </c>
      <c r="B476" t="s">
        <v>63</v>
      </c>
      <c r="C476" t="s">
        <v>1129</v>
      </c>
      <c r="D476" t="s">
        <v>48</v>
      </c>
      <c r="E476" t="s">
        <v>33</v>
      </c>
      <c r="F476" t="s">
        <v>39</v>
      </c>
      <c r="G476" t="s">
        <v>376</v>
      </c>
      <c r="H476" s="1">
        <v>45359.509722222225</v>
      </c>
      <c r="I476" s="1">
        <v>45359.623611111114</v>
      </c>
      <c r="J476">
        <v>83</v>
      </c>
      <c r="K476">
        <v>164</v>
      </c>
      <c r="L476">
        <v>1</v>
      </c>
      <c r="M476" t="s">
        <v>41</v>
      </c>
      <c r="N476">
        <v>4</v>
      </c>
      <c r="O476">
        <v>213.78</v>
      </c>
    </row>
    <row r="477" spans="1:15" x14ac:dyDescent="0.35">
      <c r="A477" t="s">
        <v>1130</v>
      </c>
      <c r="B477" t="s">
        <v>31</v>
      </c>
      <c r="C477" t="s">
        <v>1131</v>
      </c>
      <c r="D477" t="s">
        <v>26</v>
      </c>
      <c r="E477" t="s">
        <v>19</v>
      </c>
      <c r="F477" t="s">
        <v>57</v>
      </c>
      <c r="G477" t="s">
        <v>505</v>
      </c>
      <c r="H477" s="1">
        <v>45437.052083333336</v>
      </c>
      <c r="I477" s="1">
        <v>45437.182638888888</v>
      </c>
      <c r="J477">
        <v>172</v>
      </c>
      <c r="K477">
        <v>188</v>
      </c>
      <c r="L477">
        <v>1</v>
      </c>
      <c r="M477" t="s">
        <v>29</v>
      </c>
      <c r="N477">
        <v>3</v>
      </c>
      <c r="O477">
        <v>214.28</v>
      </c>
    </row>
    <row r="478" spans="1:15" x14ac:dyDescent="0.35">
      <c r="A478" t="s">
        <v>1132</v>
      </c>
      <c r="B478" t="s">
        <v>24</v>
      </c>
      <c r="C478" t="s">
        <v>1133</v>
      </c>
      <c r="D478" t="s">
        <v>18</v>
      </c>
      <c r="E478" t="s">
        <v>19</v>
      </c>
      <c r="F478" t="s">
        <v>20</v>
      </c>
      <c r="G478" t="s">
        <v>338</v>
      </c>
      <c r="H478" s="1">
        <v>45407.277777777781</v>
      </c>
      <c r="I478" s="1">
        <v>45407.443749999999</v>
      </c>
      <c r="J478">
        <v>193</v>
      </c>
      <c r="K478">
        <v>239</v>
      </c>
      <c r="L478">
        <v>1</v>
      </c>
      <c r="M478" t="s">
        <v>22</v>
      </c>
      <c r="N478">
        <v>6</v>
      </c>
      <c r="O478">
        <v>320.95</v>
      </c>
    </row>
    <row r="479" spans="1:15" x14ac:dyDescent="0.35">
      <c r="A479" t="s">
        <v>1134</v>
      </c>
      <c r="B479" t="s">
        <v>63</v>
      </c>
      <c r="C479" t="s">
        <v>1135</v>
      </c>
      <c r="D479" t="s">
        <v>56</v>
      </c>
      <c r="E479" t="s">
        <v>33</v>
      </c>
      <c r="F479" t="s">
        <v>34</v>
      </c>
      <c r="G479" t="s">
        <v>602</v>
      </c>
      <c r="H479" s="1">
        <v>45600.20416666667</v>
      </c>
      <c r="I479" s="1">
        <v>45600.255555555559</v>
      </c>
      <c r="J479">
        <v>28</v>
      </c>
      <c r="K479">
        <v>74</v>
      </c>
      <c r="L479">
        <v>1</v>
      </c>
      <c r="M479" t="s">
        <v>29</v>
      </c>
      <c r="N479">
        <v>5</v>
      </c>
      <c r="O479">
        <v>183.01</v>
      </c>
    </row>
    <row r="480" spans="1:15" x14ac:dyDescent="0.35">
      <c r="A480" t="s">
        <v>1136</v>
      </c>
      <c r="B480" t="s">
        <v>16</v>
      </c>
      <c r="C480" t="s">
        <v>1137</v>
      </c>
      <c r="D480" t="s">
        <v>44</v>
      </c>
      <c r="E480" t="s">
        <v>38</v>
      </c>
      <c r="F480" t="s">
        <v>57</v>
      </c>
      <c r="G480" t="s">
        <v>228</v>
      </c>
      <c r="H480" s="1">
        <v>45613.481249999997</v>
      </c>
      <c r="I480" s="1">
        <v>45613.664583333331</v>
      </c>
      <c r="J480">
        <v>212</v>
      </c>
      <c r="K480">
        <v>264</v>
      </c>
      <c r="L480">
        <v>1</v>
      </c>
      <c r="M480" t="s">
        <v>41</v>
      </c>
      <c r="N480">
        <v>3</v>
      </c>
      <c r="O480">
        <v>458.83</v>
      </c>
    </row>
    <row r="481" spans="1:15" x14ac:dyDescent="0.35">
      <c r="A481" t="s">
        <v>1138</v>
      </c>
      <c r="B481" t="s">
        <v>51</v>
      </c>
      <c r="C481" t="s">
        <v>1139</v>
      </c>
      <c r="D481" t="s">
        <v>26</v>
      </c>
      <c r="E481" t="s">
        <v>38</v>
      </c>
      <c r="F481" t="s">
        <v>57</v>
      </c>
      <c r="G481" t="s">
        <v>330</v>
      </c>
      <c r="H481" s="1">
        <v>45622.818055555559</v>
      </c>
      <c r="I481" s="1">
        <v>45622.970138888886</v>
      </c>
      <c r="J481">
        <v>155</v>
      </c>
      <c r="K481">
        <v>219</v>
      </c>
      <c r="L481">
        <v>1</v>
      </c>
      <c r="M481" t="s">
        <v>22</v>
      </c>
      <c r="N481">
        <v>2</v>
      </c>
      <c r="O481">
        <v>179.64</v>
      </c>
    </row>
    <row r="482" spans="1:15" x14ac:dyDescent="0.35">
      <c r="A482" t="s">
        <v>1140</v>
      </c>
      <c r="B482" t="s">
        <v>31</v>
      </c>
      <c r="C482" t="s">
        <v>1141</v>
      </c>
      <c r="D482" t="s">
        <v>56</v>
      </c>
      <c r="E482" t="s">
        <v>38</v>
      </c>
      <c r="F482" t="s">
        <v>27</v>
      </c>
      <c r="G482" t="s">
        <v>82</v>
      </c>
      <c r="H482" s="1">
        <v>45524.696527777778</v>
      </c>
      <c r="I482" s="1">
        <v>45524.876388888886</v>
      </c>
      <c r="J482">
        <v>193</v>
      </c>
      <c r="K482">
        <v>259</v>
      </c>
      <c r="L482">
        <v>1</v>
      </c>
      <c r="M482" t="s">
        <v>41</v>
      </c>
      <c r="N482">
        <v>8</v>
      </c>
      <c r="O482">
        <v>129.25</v>
      </c>
    </row>
    <row r="483" spans="1:15" x14ac:dyDescent="0.35">
      <c r="A483" t="s">
        <v>1142</v>
      </c>
      <c r="B483" t="s">
        <v>16</v>
      </c>
      <c r="C483" t="s">
        <v>1143</v>
      </c>
      <c r="D483" t="s">
        <v>56</v>
      </c>
      <c r="E483" t="s">
        <v>19</v>
      </c>
      <c r="F483" t="s">
        <v>20</v>
      </c>
      <c r="G483" t="s">
        <v>49</v>
      </c>
      <c r="H483" s="1">
        <v>45407.055555555555</v>
      </c>
      <c r="I483" s="1">
        <v>45407.133333333331</v>
      </c>
      <c r="J483">
        <v>77</v>
      </c>
      <c r="K483">
        <v>112</v>
      </c>
      <c r="L483">
        <v>1</v>
      </c>
      <c r="M483" t="s">
        <v>22</v>
      </c>
      <c r="N483">
        <v>8</v>
      </c>
      <c r="O483">
        <v>369.62</v>
      </c>
    </row>
    <row r="484" spans="1:15" x14ac:dyDescent="0.35">
      <c r="A484" t="s">
        <v>1144</v>
      </c>
      <c r="B484" t="s">
        <v>16</v>
      </c>
      <c r="C484" t="s">
        <v>1145</v>
      </c>
      <c r="D484" t="s">
        <v>44</v>
      </c>
      <c r="E484" t="s">
        <v>85</v>
      </c>
      <c r="F484" t="s">
        <v>27</v>
      </c>
      <c r="G484" t="s">
        <v>577</v>
      </c>
      <c r="H484" s="1">
        <v>45515.213194444441</v>
      </c>
      <c r="I484" s="1">
        <v>45515.361805555556</v>
      </c>
      <c r="J484">
        <v>169</v>
      </c>
      <c r="K484">
        <v>214</v>
      </c>
      <c r="L484">
        <v>1</v>
      </c>
      <c r="M484" t="s">
        <v>22</v>
      </c>
      <c r="N484">
        <v>5</v>
      </c>
      <c r="O484">
        <v>93.43</v>
      </c>
    </row>
    <row r="485" spans="1:15" x14ac:dyDescent="0.35">
      <c r="A485" t="s">
        <v>1146</v>
      </c>
      <c r="B485" t="s">
        <v>31</v>
      </c>
      <c r="C485" t="s">
        <v>1147</v>
      </c>
      <c r="D485" t="s">
        <v>18</v>
      </c>
      <c r="E485" t="s">
        <v>85</v>
      </c>
      <c r="F485" t="s">
        <v>27</v>
      </c>
      <c r="G485" t="s">
        <v>222</v>
      </c>
      <c r="H485" s="1">
        <v>45622.401388888888</v>
      </c>
      <c r="I485" s="1">
        <v>45622.538888888892</v>
      </c>
      <c r="J485">
        <v>147</v>
      </c>
      <c r="K485">
        <v>198</v>
      </c>
      <c r="L485">
        <v>1</v>
      </c>
      <c r="M485" t="s">
        <v>41</v>
      </c>
      <c r="N485">
        <v>7</v>
      </c>
      <c r="O485">
        <v>409.73</v>
      </c>
    </row>
    <row r="486" spans="1:15" x14ac:dyDescent="0.35">
      <c r="A486" t="s">
        <v>1148</v>
      </c>
      <c r="B486" t="s">
        <v>51</v>
      </c>
      <c r="C486" t="s">
        <v>1149</v>
      </c>
      <c r="D486" t="s">
        <v>48</v>
      </c>
      <c r="E486" t="s">
        <v>33</v>
      </c>
      <c r="F486" t="s">
        <v>20</v>
      </c>
      <c r="G486" t="s">
        <v>700</v>
      </c>
      <c r="H486" s="1">
        <v>45432.066666666666</v>
      </c>
      <c r="I486" s="1">
        <v>45432.158333333333</v>
      </c>
      <c r="J486">
        <v>112</v>
      </c>
      <c r="K486">
        <v>132</v>
      </c>
      <c r="L486">
        <v>1</v>
      </c>
      <c r="M486" t="s">
        <v>22</v>
      </c>
      <c r="N486">
        <v>1</v>
      </c>
      <c r="O486">
        <v>170.78</v>
      </c>
    </row>
    <row r="487" spans="1:15" x14ac:dyDescent="0.35">
      <c r="A487" t="s">
        <v>1150</v>
      </c>
      <c r="B487" t="s">
        <v>31</v>
      </c>
      <c r="C487" t="s">
        <v>1151</v>
      </c>
      <c r="D487" t="s">
        <v>44</v>
      </c>
      <c r="E487" t="s">
        <v>85</v>
      </c>
      <c r="F487" t="s">
        <v>34</v>
      </c>
      <c r="G487" t="s">
        <v>251</v>
      </c>
      <c r="H487" s="1">
        <v>45418.76666666667</v>
      </c>
      <c r="I487" s="1">
        <v>45418.848611111112</v>
      </c>
      <c r="J487">
        <v>110</v>
      </c>
      <c r="K487">
        <v>118</v>
      </c>
      <c r="L487">
        <v>1</v>
      </c>
      <c r="M487" t="s">
        <v>22</v>
      </c>
      <c r="N487">
        <v>2</v>
      </c>
      <c r="O487">
        <v>495.7</v>
      </c>
    </row>
    <row r="488" spans="1:15" x14ac:dyDescent="0.35">
      <c r="A488" t="s">
        <v>1152</v>
      </c>
      <c r="B488" t="s">
        <v>63</v>
      </c>
      <c r="C488" t="s">
        <v>1153</v>
      </c>
      <c r="D488" t="s">
        <v>48</v>
      </c>
      <c r="E488" t="s">
        <v>19</v>
      </c>
      <c r="F488" t="s">
        <v>57</v>
      </c>
      <c r="G488" t="s">
        <v>76</v>
      </c>
      <c r="H488" s="1">
        <v>45305.817361111112</v>
      </c>
      <c r="I488" s="1">
        <v>45305.915972222225</v>
      </c>
      <c r="J488">
        <v>113</v>
      </c>
      <c r="K488">
        <v>142</v>
      </c>
      <c r="L488">
        <v>1</v>
      </c>
      <c r="M488" t="s">
        <v>41</v>
      </c>
      <c r="N488">
        <v>2</v>
      </c>
      <c r="O488">
        <v>368.55</v>
      </c>
    </row>
    <row r="489" spans="1:15" x14ac:dyDescent="0.35">
      <c r="A489" t="s">
        <v>1154</v>
      </c>
      <c r="B489" t="s">
        <v>24</v>
      </c>
      <c r="C489" t="s">
        <v>1155</v>
      </c>
      <c r="D489" t="s">
        <v>26</v>
      </c>
      <c r="E489" t="s">
        <v>38</v>
      </c>
      <c r="F489" t="s">
        <v>20</v>
      </c>
      <c r="G489" t="s">
        <v>640</v>
      </c>
      <c r="H489" s="1">
        <v>45339.07916666667</v>
      </c>
      <c r="I489" s="1">
        <v>45339.163194444445</v>
      </c>
      <c r="J489">
        <v>78</v>
      </c>
      <c r="K489">
        <v>121</v>
      </c>
      <c r="L489">
        <v>1</v>
      </c>
      <c r="M489" t="s">
        <v>29</v>
      </c>
      <c r="N489">
        <v>2</v>
      </c>
      <c r="O489">
        <v>75.03</v>
      </c>
    </row>
    <row r="490" spans="1:15" x14ac:dyDescent="0.35">
      <c r="A490" t="s">
        <v>1156</v>
      </c>
      <c r="B490" t="s">
        <v>24</v>
      </c>
      <c r="C490" t="s">
        <v>1157</v>
      </c>
      <c r="D490" t="s">
        <v>18</v>
      </c>
      <c r="E490" t="s">
        <v>19</v>
      </c>
      <c r="F490" t="s">
        <v>20</v>
      </c>
      <c r="G490" t="s">
        <v>343</v>
      </c>
      <c r="H490" s="1">
        <v>45304.293055555558</v>
      </c>
      <c r="I490" s="1">
        <v>45304.393055555556</v>
      </c>
      <c r="J490">
        <v>93</v>
      </c>
      <c r="K490">
        <v>144</v>
      </c>
      <c r="L490">
        <v>1</v>
      </c>
      <c r="M490" t="s">
        <v>29</v>
      </c>
      <c r="N490">
        <v>9</v>
      </c>
      <c r="O490">
        <v>100.36</v>
      </c>
    </row>
    <row r="491" spans="1:15" x14ac:dyDescent="0.35">
      <c r="A491" t="s">
        <v>1158</v>
      </c>
      <c r="B491" t="s">
        <v>31</v>
      </c>
      <c r="C491" t="s">
        <v>1159</v>
      </c>
      <c r="D491" t="s">
        <v>48</v>
      </c>
      <c r="E491" t="s">
        <v>85</v>
      </c>
      <c r="F491" t="s">
        <v>34</v>
      </c>
      <c r="G491" t="s">
        <v>58</v>
      </c>
      <c r="H491" s="1">
        <v>45353.009027777778</v>
      </c>
      <c r="I491" s="1">
        <v>45353.086111111108</v>
      </c>
      <c r="J491">
        <v>41</v>
      </c>
      <c r="K491">
        <v>111</v>
      </c>
      <c r="L491">
        <v>1</v>
      </c>
      <c r="M491" t="s">
        <v>29</v>
      </c>
      <c r="N491">
        <v>10</v>
      </c>
      <c r="O491">
        <v>226.61</v>
      </c>
    </row>
    <row r="492" spans="1:15" x14ac:dyDescent="0.35">
      <c r="A492" t="s">
        <v>1160</v>
      </c>
      <c r="B492" t="s">
        <v>31</v>
      </c>
      <c r="C492" t="s">
        <v>1161</v>
      </c>
      <c r="D492" t="s">
        <v>56</v>
      </c>
      <c r="E492" t="s">
        <v>19</v>
      </c>
      <c r="F492" t="s">
        <v>27</v>
      </c>
      <c r="G492" t="s">
        <v>622</v>
      </c>
      <c r="H492" s="1">
        <v>45580.247916666667</v>
      </c>
      <c r="I492" s="1">
        <v>45580.345833333333</v>
      </c>
      <c r="J492">
        <v>127</v>
      </c>
      <c r="K492">
        <v>141</v>
      </c>
      <c r="L492">
        <v>1</v>
      </c>
      <c r="M492" t="s">
        <v>22</v>
      </c>
      <c r="N492">
        <v>7</v>
      </c>
      <c r="O492">
        <v>196.09</v>
      </c>
    </row>
    <row r="493" spans="1:15" x14ac:dyDescent="0.35">
      <c r="A493" t="s">
        <v>1162</v>
      </c>
      <c r="B493" t="s">
        <v>24</v>
      </c>
      <c r="C493" t="s">
        <v>1163</v>
      </c>
      <c r="D493" t="s">
        <v>44</v>
      </c>
      <c r="E493" t="s">
        <v>38</v>
      </c>
      <c r="F493" t="s">
        <v>39</v>
      </c>
      <c r="G493" t="s">
        <v>103</v>
      </c>
      <c r="H493" s="1">
        <v>45616.078472222223</v>
      </c>
      <c r="I493" s="1">
        <v>45616.165277777778</v>
      </c>
      <c r="J493">
        <v>25</v>
      </c>
      <c r="K493">
        <v>125</v>
      </c>
      <c r="L493">
        <v>1</v>
      </c>
      <c r="M493" t="s">
        <v>29</v>
      </c>
      <c r="N493">
        <v>2</v>
      </c>
      <c r="O493">
        <v>72.7</v>
      </c>
    </row>
    <row r="494" spans="1:15" x14ac:dyDescent="0.35">
      <c r="A494" t="s">
        <v>1164</v>
      </c>
      <c r="B494" t="s">
        <v>16</v>
      </c>
      <c r="C494" t="s">
        <v>1165</v>
      </c>
      <c r="D494" t="s">
        <v>18</v>
      </c>
      <c r="E494" t="s">
        <v>19</v>
      </c>
      <c r="F494" t="s">
        <v>27</v>
      </c>
      <c r="G494" t="s">
        <v>161</v>
      </c>
      <c r="H494" s="1">
        <v>45391.774305555555</v>
      </c>
      <c r="I494" s="1">
        <v>45391.895833333336</v>
      </c>
      <c r="J494">
        <v>119</v>
      </c>
      <c r="K494">
        <v>175</v>
      </c>
      <c r="L494">
        <v>1</v>
      </c>
      <c r="M494" t="s">
        <v>29</v>
      </c>
      <c r="N494">
        <v>4</v>
      </c>
      <c r="O494">
        <v>275.02</v>
      </c>
    </row>
    <row r="495" spans="1:15" x14ac:dyDescent="0.35">
      <c r="A495" t="s">
        <v>1166</v>
      </c>
      <c r="B495" t="s">
        <v>31</v>
      </c>
      <c r="C495" t="s">
        <v>1167</v>
      </c>
      <c r="D495" t="s">
        <v>18</v>
      </c>
      <c r="E495" t="s">
        <v>38</v>
      </c>
      <c r="F495" t="s">
        <v>34</v>
      </c>
      <c r="G495" t="s">
        <v>916</v>
      </c>
      <c r="H495" s="1">
        <v>45294.145833333336</v>
      </c>
      <c r="I495" s="1">
        <v>45294.347222222219</v>
      </c>
      <c r="J495">
        <v>203</v>
      </c>
      <c r="K495">
        <v>290</v>
      </c>
      <c r="L495">
        <v>1</v>
      </c>
      <c r="M495" t="s">
        <v>29</v>
      </c>
      <c r="N495">
        <v>6</v>
      </c>
      <c r="O495">
        <v>255.62</v>
      </c>
    </row>
    <row r="496" spans="1:15" x14ac:dyDescent="0.35">
      <c r="A496" t="s">
        <v>1168</v>
      </c>
      <c r="B496" t="s">
        <v>24</v>
      </c>
      <c r="C496" t="s">
        <v>1169</v>
      </c>
      <c r="D496" t="s">
        <v>56</v>
      </c>
      <c r="E496" t="s">
        <v>85</v>
      </c>
      <c r="F496" t="s">
        <v>39</v>
      </c>
      <c r="G496" t="s">
        <v>777</v>
      </c>
      <c r="H496" s="1">
        <v>45618.396527777775</v>
      </c>
      <c r="I496" s="1">
        <v>45618.572222222225</v>
      </c>
      <c r="J496">
        <v>195</v>
      </c>
      <c r="K496">
        <v>253</v>
      </c>
      <c r="L496">
        <v>1</v>
      </c>
      <c r="M496" t="s">
        <v>41</v>
      </c>
      <c r="N496">
        <v>9</v>
      </c>
      <c r="O496">
        <v>259.60000000000002</v>
      </c>
    </row>
    <row r="497" spans="1:15" x14ac:dyDescent="0.35">
      <c r="A497" t="s">
        <v>1170</v>
      </c>
      <c r="B497" t="s">
        <v>31</v>
      </c>
      <c r="C497" t="s">
        <v>1171</v>
      </c>
      <c r="D497" t="s">
        <v>18</v>
      </c>
      <c r="E497" t="s">
        <v>19</v>
      </c>
      <c r="F497" t="s">
        <v>20</v>
      </c>
      <c r="G497" t="s">
        <v>1172</v>
      </c>
      <c r="H497" s="1">
        <v>45398.244444444441</v>
      </c>
      <c r="I497" s="1">
        <v>45398.40625</v>
      </c>
      <c r="J497">
        <v>166</v>
      </c>
      <c r="K497">
        <v>233</v>
      </c>
      <c r="L497">
        <v>1</v>
      </c>
      <c r="M497" t="s">
        <v>22</v>
      </c>
      <c r="N497">
        <v>4</v>
      </c>
      <c r="O497">
        <v>94.22</v>
      </c>
    </row>
    <row r="498" spans="1:15" x14ac:dyDescent="0.35">
      <c r="A498" t="s">
        <v>1173</v>
      </c>
      <c r="B498" t="s">
        <v>24</v>
      </c>
      <c r="C498" t="s">
        <v>1174</v>
      </c>
      <c r="D498" t="s">
        <v>44</v>
      </c>
      <c r="E498" t="s">
        <v>38</v>
      </c>
      <c r="F498" t="s">
        <v>27</v>
      </c>
      <c r="G498" t="s">
        <v>68</v>
      </c>
      <c r="H498" s="1">
        <v>45425.580555555556</v>
      </c>
      <c r="I498" s="1">
        <v>45425.727083333331</v>
      </c>
      <c r="J498">
        <v>149</v>
      </c>
      <c r="K498">
        <v>211</v>
      </c>
      <c r="L498">
        <v>1</v>
      </c>
      <c r="M498" t="s">
        <v>41</v>
      </c>
      <c r="N498">
        <v>4</v>
      </c>
      <c r="O498">
        <v>240.63</v>
      </c>
    </row>
    <row r="499" spans="1:15" x14ac:dyDescent="0.35">
      <c r="A499" t="s">
        <v>1175</v>
      </c>
      <c r="B499" t="s">
        <v>31</v>
      </c>
      <c r="C499" t="s">
        <v>1176</v>
      </c>
      <c r="D499" t="s">
        <v>18</v>
      </c>
      <c r="E499" t="s">
        <v>33</v>
      </c>
      <c r="F499" t="s">
        <v>34</v>
      </c>
      <c r="G499" t="s">
        <v>321</v>
      </c>
      <c r="H499" s="1">
        <v>45575.070138888892</v>
      </c>
      <c r="I499" s="1">
        <v>45575.176388888889</v>
      </c>
      <c r="J499">
        <v>47</v>
      </c>
      <c r="K499">
        <v>153</v>
      </c>
      <c r="L499">
        <v>1</v>
      </c>
      <c r="M499" t="s">
        <v>22</v>
      </c>
      <c r="N499">
        <v>3</v>
      </c>
      <c r="O499">
        <v>451.74</v>
      </c>
    </row>
    <row r="500" spans="1:15" x14ac:dyDescent="0.35">
      <c r="A500" t="s">
        <v>1177</v>
      </c>
      <c r="B500" t="s">
        <v>16</v>
      </c>
      <c r="C500" t="s">
        <v>1178</v>
      </c>
      <c r="D500" t="s">
        <v>48</v>
      </c>
      <c r="E500" t="s">
        <v>85</v>
      </c>
      <c r="F500" t="s">
        <v>39</v>
      </c>
      <c r="G500" t="s">
        <v>415</v>
      </c>
      <c r="H500" s="1">
        <v>45370.258333333331</v>
      </c>
      <c r="I500" s="1">
        <v>45370.42291666667</v>
      </c>
      <c r="J500">
        <v>166</v>
      </c>
      <c r="K500">
        <v>237</v>
      </c>
      <c r="L500">
        <v>1</v>
      </c>
      <c r="M500" t="s">
        <v>22</v>
      </c>
      <c r="N500">
        <v>6</v>
      </c>
      <c r="O500">
        <v>291.98</v>
      </c>
    </row>
    <row r="501" spans="1:15" x14ac:dyDescent="0.35">
      <c r="A501" t="s">
        <v>1179</v>
      </c>
      <c r="B501" t="s">
        <v>31</v>
      </c>
      <c r="C501" t="s">
        <v>1180</v>
      </c>
      <c r="D501" t="s">
        <v>18</v>
      </c>
      <c r="E501" t="s">
        <v>85</v>
      </c>
      <c r="F501" t="s">
        <v>20</v>
      </c>
      <c r="G501" t="s">
        <v>402</v>
      </c>
      <c r="H501" s="1">
        <v>45529.300694444442</v>
      </c>
      <c r="I501" s="1">
        <v>45529.381249999999</v>
      </c>
      <c r="J501">
        <v>24</v>
      </c>
      <c r="K501">
        <v>116</v>
      </c>
      <c r="L501">
        <v>1</v>
      </c>
      <c r="M501" t="s">
        <v>22</v>
      </c>
      <c r="N501">
        <v>5</v>
      </c>
      <c r="O501">
        <v>224.66</v>
      </c>
    </row>
    <row r="502" spans="1:15" x14ac:dyDescent="0.35">
      <c r="A502" t="s">
        <v>1181</v>
      </c>
      <c r="B502" t="s">
        <v>63</v>
      </c>
      <c r="C502" t="s">
        <v>1182</v>
      </c>
      <c r="D502" t="s">
        <v>18</v>
      </c>
      <c r="E502" t="s">
        <v>19</v>
      </c>
      <c r="F502" t="s">
        <v>34</v>
      </c>
      <c r="G502" t="s">
        <v>473</v>
      </c>
      <c r="H502" s="1">
        <v>45486.37222222222</v>
      </c>
      <c r="I502" s="1">
        <v>45486.538194444445</v>
      </c>
      <c r="J502">
        <v>144</v>
      </c>
      <c r="K502">
        <v>239</v>
      </c>
      <c r="L502">
        <v>1</v>
      </c>
      <c r="M502" t="s">
        <v>29</v>
      </c>
      <c r="N502">
        <v>5</v>
      </c>
      <c r="O502">
        <v>135.38</v>
      </c>
    </row>
    <row r="503" spans="1:15" x14ac:dyDescent="0.35">
      <c r="A503" t="s">
        <v>1183</v>
      </c>
      <c r="B503" t="s">
        <v>24</v>
      </c>
      <c r="C503" t="s">
        <v>1184</v>
      </c>
      <c r="D503" t="s">
        <v>26</v>
      </c>
      <c r="E503" t="s">
        <v>19</v>
      </c>
      <c r="F503" t="s">
        <v>20</v>
      </c>
      <c r="G503" t="s">
        <v>88</v>
      </c>
      <c r="H503" s="1">
        <v>45457.268750000003</v>
      </c>
      <c r="I503" s="1">
        <v>45457.365972222222</v>
      </c>
      <c r="J503">
        <v>69</v>
      </c>
      <c r="K503">
        <v>140</v>
      </c>
      <c r="L503">
        <v>1</v>
      </c>
      <c r="M503" t="s">
        <v>29</v>
      </c>
      <c r="N503">
        <v>9</v>
      </c>
      <c r="O503">
        <v>72.040000000000006</v>
      </c>
    </row>
    <row r="504" spans="1:15" x14ac:dyDescent="0.35">
      <c r="A504" t="s">
        <v>1185</v>
      </c>
      <c r="B504" t="s">
        <v>31</v>
      </c>
      <c r="C504" t="s">
        <v>1186</v>
      </c>
      <c r="D504" t="s">
        <v>26</v>
      </c>
      <c r="E504" t="s">
        <v>85</v>
      </c>
      <c r="F504" t="s">
        <v>34</v>
      </c>
      <c r="G504" t="s">
        <v>1187</v>
      </c>
      <c r="H504" s="1">
        <v>45506.874305555553</v>
      </c>
      <c r="I504" s="1">
        <v>45506.931250000001</v>
      </c>
      <c r="J504">
        <v>30</v>
      </c>
      <c r="K504">
        <v>82</v>
      </c>
      <c r="L504">
        <v>1</v>
      </c>
      <c r="M504" t="s">
        <v>22</v>
      </c>
      <c r="N504">
        <v>2</v>
      </c>
      <c r="O504">
        <v>246.07</v>
      </c>
    </row>
    <row r="505" spans="1:15" x14ac:dyDescent="0.35">
      <c r="A505" t="s">
        <v>1188</v>
      </c>
      <c r="B505" t="s">
        <v>63</v>
      </c>
      <c r="C505" t="s">
        <v>1189</v>
      </c>
      <c r="D505" t="s">
        <v>44</v>
      </c>
      <c r="E505" t="s">
        <v>38</v>
      </c>
      <c r="F505" t="s">
        <v>20</v>
      </c>
      <c r="G505" t="s">
        <v>152</v>
      </c>
      <c r="H505" s="1">
        <v>45526.507638888892</v>
      </c>
      <c r="I505" s="1">
        <v>45526.752083333333</v>
      </c>
      <c r="J505">
        <v>240</v>
      </c>
      <c r="K505">
        <v>352</v>
      </c>
      <c r="L505">
        <v>1</v>
      </c>
      <c r="M505" t="s">
        <v>41</v>
      </c>
      <c r="N505">
        <v>1</v>
      </c>
      <c r="O505">
        <v>119.7</v>
      </c>
    </row>
    <row r="506" spans="1:15" x14ac:dyDescent="0.35">
      <c r="A506" t="s">
        <v>1190</v>
      </c>
      <c r="B506" t="s">
        <v>16</v>
      </c>
      <c r="C506" t="s">
        <v>1191</v>
      </c>
      <c r="D506" t="s">
        <v>56</v>
      </c>
      <c r="E506" t="s">
        <v>19</v>
      </c>
      <c r="F506" t="s">
        <v>34</v>
      </c>
      <c r="G506" t="s">
        <v>103</v>
      </c>
      <c r="H506" s="1">
        <v>45417.145138888889</v>
      </c>
      <c r="I506" s="1">
        <v>45417.170138888891</v>
      </c>
      <c r="J506">
        <v>17</v>
      </c>
      <c r="K506">
        <v>36</v>
      </c>
      <c r="L506">
        <v>1</v>
      </c>
      <c r="M506" t="s">
        <v>22</v>
      </c>
      <c r="N506">
        <v>10</v>
      </c>
      <c r="O506">
        <v>480.35</v>
      </c>
    </row>
    <row r="507" spans="1:15" x14ac:dyDescent="0.35">
      <c r="A507" t="s">
        <v>1192</v>
      </c>
      <c r="B507" t="s">
        <v>31</v>
      </c>
      <c r="C507" t="s">
        <v>1193</v>
      </c>
      <c r="D507" t="s">
        <v>56</v>
      </c>
      <c r="E507" t="s">
        <v>19</v>
      </c>
      <c r="F507" t="s">
        <v>27</v>
      </c>
      <c r="G507" t="s">
        <v>91</v>
      </c>
      <c r="H507" s="1">
        <v>45416.447222222225</v>
      </c>
      <c r="I507" s="1">
        <v>45416.569444444445</v>
      </c>
      <c r="J507">
        <v>127</v>
      </c>
      <c r="K507">
        <v>176</v>
      </c>
      <c r="L507">
        <v>1</v>
      </c>
      <c r="M507" t="s">
        <v>29</v>
      </c>
      <c r="N507">
        <v>8</v>
      </c>
      <c r="O507">
        <v>148.57</v>
      </c>
    </row>
    <row r="508" spans="1:15" x14ac:dyDescent="0.35">
      <c r="A508" t="s">
        <v>1194</v>
      </c>
      <c r="B508" t="s">
        <v>51</v>
      </c>
      <c r="C508" t="s">
        <v>1195</v>
      </c>
      <c r="D508" t="s">
        <v>48</v>
      </c>
      <c r="E508" t="s">
        <v>38</v>
      </c>
      <c r="F508" t="s">
        <v>39</v>
      </c>
      <c r="G508" t="s">
        <v>602</v>
      </c>
      <c r="H508" s="1">
        <v>45448.756944444445</v>
      </c>
      <c r="I508" s="1">
        <v>45448.800694444442</v>
      </c>
      <c r="J508">
        <v>20</v>
      </c>
      <c r="K508">
        <v>63</v>
      </c>
      <c r="L508">
        <v>1</v>
      </c>
      <c r="M508" t="s">
        <v>22</v>
      </c>
      <c r="N508">
        <v>10</v>
      </c>
      <c r="O508">
        <v>456.41</v>
      </c>
    </row>
    <row r="509" spans="1:15" x14ac:dyDescent="0.35">
      <c r="A509" t="s">
        <v>1196</v>
      </c>
      <c r="B509" t="s">
        <v>24</v>
      </c>
      <c r="C509" t="s">
        <v>1197</v>
      </c>
      <c r="D509" t="s">
        <v>56</v>
      </c>
      <c r="E509" t="s">
        <v>33</v>
      </c>
      <c r="F509" t="s">
        <v>34</v>
      </c>
      <c r="G509" t="s">
        <v>410</v>
      </c>
      <c r="H509" s="1">
        <v>45654.714583333334</v>
      </c>
      <c r="I509" s="1">
        <v>45654.844444444447</v>
      </c>
      <c r="J509">
        <v>159</v>
      </c>
      <c r="K509">
        <v>187</v>
      </c>
      <c r="L509">
        <v>1</v>
      </c>
      <c r="M509" t="s">
        <v>29</v>
      </c>
      <c r="N509">
        <v>4</v>
      </c>
      <c r="O509">
        <v>79.77</v>
      </c>
    </row>
    <row r="510" spans="1:15" x14ac:dyDescent="0.35">
      <c r="A510" t="s">
        <v>1198</v>
      </c>
      <c r="B510" t="s">
        <v>16</v>
      </c>
      <c r="C510" t="s">
        <v>1199</v>
      </c>
      <c r="D510" t="s">
        <v>18</v>
      </c>
      <c r="E510" t="s">
        <v>33</v>
      </c>
      <c r="F510" t="s">
        <v>34</v>
      </c>
      <c r="G510" t="s">
        <v>539</v>
      </c>
      <c r="H510" s="1">
        <v>45643.859027777777</v>
      </c>
      <c r="I510" s="1">
        <v>45644.023611111108</v>
      </c>
      <c r="J510">
        <v>161</v>
      </c>
      <c r="K510">
        <v>237</v>
      </c>
      <c r="L510">
        <v>1</v>
      </c>
      <c r="M510" t="s">
        <v>41</v>
      </c>
      <c r="N510">
        <v>3</v>
      </c>
      <c r="O510">
        <v>322.93</v>
      </c>
    </row>
    <row r="511" spans="1:15" x14ac:dyDescent="0.35">
      <c r="A511" t="s">
        <v>1200</v>
      </c>
      <c r="B511" t="s">
        <v>51</v>
      </c>
      <c r="C511" t="s">
        <v>1201</v>
      </c>
      <c r="D511" t="s">
        <v>44</v>
      </c>
      <c r="E511" t="s">
        <v>33</v>
      </c>
      <c r="F511" t="s">
        <v>39</v>
      </c>
      <c r="G511" t="s">
        <v>49</v>
      </c>
      <c r="H511" s="1">
        <v>45477.84652777778</v>
      </c>
      <c r="I511" s="1">
        <v>45477.941666666666</v>
      </c>
      <c r="J511">
        <v>56</v>
      </c>
      <c r="K511">
        <v>137</v>
      </c>
      <c r="L511">
        <v>1</v>
      </c>
      <c r="M511" t="s">
        <v>22</v>
      </c>
      <c r="N511">
        <v>10</v>
      </c>
      <c r="O511">
        <v>488.56</v>
      </c>
    </row>
    <row r="512" spans="1:15" x14ac:dyDescent="0.35">
      <c r="A512" t="s">
        <v>1202</v>
      </c>
      <c r="B512" t="s">
        <v>63</v>
      </c>
      <c r="C512" t="s">
        <v>1203</v>
      </c>
      <c r="D512" t="s">
        <v>48</v>
      </c>
      <c r="E512" t="s">
        <v>85</v>
      </c>
      <c r="F512" t="s">
        <v>27</v>
      </c>
      <c r="G512" t="s">
        <v>512</v>
      </c>
      <c r="H512" s="1">
        <v>45381.469444444447</v>
      </c>
      <c r="I512" s="1">
        <v>45381.501388888886</v>
      </c>
      <c r="J512">
        <v>10</v>
      </c>
      <c r="K512">
        <v>46</v>
      </c>
      <c r="L512">
        <v>1</v>
      </c>
      <c r="M512" t="s">
        <v>22</v>
      </c>
      <c r="N512">
        <v>5</v>
      </c>
      <c r="O512">
        <v>341.36</v>
      </c>
    </row>
    <row r="513" spans="1:15" x14ac:dyDescent="0.35">
      <c r="A513" t="s">
        <v>1204</v>
      </c>
      <c r="B513" t="s">
        <v>51</v>
      </c>
      <c r="C513" t="s">
        <v>1205</v>
      </c>
      <c r="D513" t="s">
        <v>44</v>
      </c>
      <c r="E513" t="s">
        <v>33</v>
      </c>
      <c r="F513" t="s">
        <v>39</v>
      </c>
      <c r="G513" t="s">
        <v>228</v>
      </c>
      <c r="H513" s="1">
        <v>45453.688888888886</v>
      </c>
      <c r="I513" s="1">
        <v>45453.786805555559</v>
      </c>
      <c r="J513">
        <v>41</v>
      </c>
      <c r="K513">
        <v>141</v>
      </c>
      <c r="L513">
        <v>1</v>
      </c>
      <c r="M513" t="s">
        <v>41</v>
      </c>
      <c r="N513">
        <v>3</v>
      </c>
      <c r="O513">
        <v>424.79</v>
      </c>
    </row>
    <row r="514" spans="1:15" x14ac:dyDescent="0.35">
      <c r="A514" t="s">
        <v>1206</v>
      </c>
      <c r="B514" t="s">
        <v>31</v>
      </c>
      <c r="C514" t="s">
        <v>1207</v>
      </c>
      <c r="D514" t="s">
        <v>26</v>
      </c>
      <c r="E514" t="s">
        <v>85</v>
      </c>
      <c r="F514" t="s">
        <v>20</v>
      </c>
      <c r="G514" t="s">
        <v>631</v>
      </c>
      <c r="H514" s="1">
        <v>45338.212500000001</v>
      </c>
      <c r="I514" s="1">
        <v>45338.359027777777</v>
      </c>
      <c r="J514">
        <v>114</v>
      </c>
      <c r="K514">
        <v>211</v>
      </c>
      <c r="L514">
        <v>1</v>
      </c>
      <c r="M514" t="s">
        <v>22</v>
      </c>
      <c r="N514">
        <v>1</v>
      </c>
      <c r="O514">
        <v>119.7</v>
      </c>
    </row>
    <row r="515" spans="1:15" x14ac:dyDescent="0.35">
      <c r="A515" t="s">
        <v>1208</v>
      </c>
      <c r="B515" t="s">
        <v>24</v>
      </c>
      <c r="C515" t="s">
        <v>1209</v>
      </c>
      <c r="D515" t="s">
        <v>18</v>
      </c>
      <c r="E515" t="s">
        <v>33</v>
      </c>
      <c r="F515" t="s">
        <v>39</v>
      </c>
      <c r="G515" t="s">
        <v>916</v>
      </c>
      <c r="H515" s="1">
        <v>45378.405555555553</v>
      </c>
      <c r="I515" s="1">
        <v>45378.587500000001</v>
      </c>
      <c r="J515">
        <v>208</v>
      </c>
      <c r="K515">
        <v>262</v>
      </c>
      <c r="L515">
        <v>1</v>
      </c>
      <c r="M515" t="s">
        <v>22</v>
      </c>
      <c r="N515">
        <v>7</v>
      </c>
      <c r="O515">
        <v>495.25</v>
      </c>
    </row>
    <row r="516" spans="1:15" x14ac:dyDescent="0.35">
      <c r="A516" t="s">
        <v>1210</v>
      </c>
      <c r="B516" t="s">
        <v>63</v>
      </c>
      <c r="C516" t="s">
        <v>1211</v>
      </c>
      <c r="D516" t="s">
        <v>44</v>
      </c>
      <c r="E516" t="s">
        <v>85</v>
      </c>
      <c r="F516" t="s">
        <v>34</v>
      </c>
      <c r="G516" t="s">
        <v>691</v>
      </c>
      <c r="H516" s="1">
        <v>45528.090277777781</v>
      </c>
      <c r="I516" s="1">
        <v>45528.210416666669</v>
      </c>
      <c r="J516">
        <v>58</v>
      </c>
      <c r="K516">
        <v>173</v>
      </c>
      <c r="L516">
        <v>1</v>
      </c>
      <c r="M516" t="s">
        <v>29</v>
      </c>
      <c r="N516">
        <v>4</v>
      </c>
      <c r="O516">
        <v>191.18</v>
      </c>
    </row>
    <row r="517" spans="1:15" x14ac:dyDescent="0.35">
      <c r="A517" t="s">
        <v>1212</v>
      </c>
      <c r="B517" t="s">
        <v>16</v>
      </c>
      <c r="C517" t="s">
        <v>1213</v>
      </c>
      <c r="D517" t="s">
        <v>48</v>
      </c>
      <c r="E517" t="s">
        <v>19</v>
      </c>
      <c r="F517" t="s">
        <v>34</v>
      </c>
      <c r="G517" t="s">
        <v>225</v>
      </c>
      <c r="H517" s="1">
        <v>45564.271527777775</v>
      </c>
      <c r="I517" s="1">
        <v>45564.421527777777</v>
      </c>
      <c r="J517">
        <v>118</v>
      </c>
      <c r="K517">
        <v>216</v>
      </c>
      <c r="L517">
        <v>1</v>
      </c>
      <c r="M517" t="s">
        <v>29</v>
      </c>
      <c r="N517">
        <v>4</v>
      </c>
      <c r="O517">
        <v>85.41</v>
      </c>
    </row>
    <row r="518" spans="1:15" x14ac:dyDescent="0.35">
      <c r="A518" t="s">
        <v>1214</v>
      </c>
      <c r="B518" t="s">
        <v>51</v>
      </c>
      <c r="C518" t="s">
        <v>1215</v>
      </c>
      <c r="D518" t="s">
        <v>26</v>
      </c>
      <c r="E518" t="s">
        <v>19</v>
      </c>
      <c r="F518" t="s">
        <v>27</v>
      </c>
      <c r="G518" t="s">
        <v>143</v>
      </c>
      <c r="H518" s="1">
        <v>45295.527083333334</v>
      </c>
      <c r="I518" s="1">
        <v>45295.651388888888</v>
      </c>
      <c r="J518">
        <v>151</v>
      </c>
      <c r="K518">
        <v>179</v>
      </c>
      <c r="L518">
        <v>1</v>
      </c>
      <c r="M518" t="s">
        <v>29</v>
      </c>
      <c r="N518">
        <v>1</v>
      </c>
      <c r="O518">
        <v>196.8</v>
      </c>
    </row>
    <row r="519" spans="1:15" x14ac:dyDescent="0.35">
      <c r="A519" t="s">
        <v>1216</v>
      </c>
      <c r="B519" t="s">
        <v>51</v>
      </c>
      <c r="C519" t="s">
        <v>1217</v>
      </c>
      <c r="D519" t="s">
        <v>26</v>
      </c>
      <c r="E519" t="s">
        <v>38</v>
      </c>
      <c r="F519" t="s">
        <v>34</v>
      </c>
      <c r="G519" t="s">
        <v>100</v>
      </c>
      <c r="H519" s="1">
        <v>45382.611111111109</v>
      </c>
      <c r="I519" s="1">
        <v>45382.71597222222</v>
      </c>
      <c r="J519">
        <v>141</v>
      </c>
      <c r="K519">
        <v>151</v>
      </c>
      <c r="L519">
        <v>1</v>
      </c>
      <c r="M519" t="s">
        <v>41</v>
      </c>
      <c r="N519">
        <v>6</v>
      </c>
      <c r="O519">
        <v>217.28</v>
      </c>
    </row>
    <row r="520" spans="1:15" x14ac:dyDescent="0.35">
      <c r="A520" t="s">
        <v>1218</v>
      </c>
      <c r="B520" t="s">
        <v>24</v>
      </c>
      <c r="C520" t="s">
        <v>1219</v>
      </c>
      <c r="D520" t="s">
        <v>44</v>
      </c>
      <c r="E520" t="s">
        <v>19</v>
      </c>
      <c r="F520" t="s">
        <v>27</v>
      </c>
      <c r="G520" t="s">
        <v>691</v>
      </c>
      <c r="H520" s="1">
        <v>45341.777777777781</v>
      </c>
      <c r="I520" s="1">
        <v>45341.969444444447</v>
      </c>
      <c r="J520">
        <v>235</v>
      </c>
      <c r="K520">
        <v>276</v>
      </c>
      <c r="L520">
        <v>1</v>
      </c>
      <c r="M520" t="s">
        <v>22</v>
      </c>
      <c r="N520">
        <v>3</v>
      </c>
      <c r="O520">
        <v>468.28</v>
      </c>
    </row>
    <row r="521" spans="1:15" x14ac:dyDescent="0.35">
      <c r="A521" t="s">
        <v>1220</v>
      </c>
      <c r="B521" t="s">
        <v>16</v>
      </c>
      <c r="C521" t="s">
        <v>1221</v>
      </c>
      <c r="D521" t="s">
        <v>26</v>
      </c>
      <c r="E521" t="s">
        <v>38</v>
      </c>
      <c r="F521" t="s">
        <v>20</v>
      </c>
      <c r="G521" t="s">
        <v>754</v>
      </c>
      <c r="H521" s="1">
        <v>45620.602777777778</v>
      </c>
      <c r="I521" s="1">
        <v>45620.79583333333</v>
      </c>
      <c r="J521">
        <v>182</v>
      </c>
      <c r="K521">
        <v>278</v>
      </c>
      <c r="L521">
        <v>1</v>
      </c>
      <c r="M521" t="s">
        <v>29</v>
      </c>
      <c r="N521">
        <v>9</v>
      </c>
      <c r="O521">
        <v>154.77000000000001</v>
      </c>
    </row>
    <row r="522" spans="1:15" x14ac:dyDescent="0.35">
      <c r="A522" t="s">
        <v>1222</v>
      </c>
      <c r="B522" t="s">
        <v>51</v>
      </c>
      <c r="C522" t="s">
        <v>1223</v>
      </c>
      <c r="D522" t="s">
        <v>48</v>
      </c>
      <c r="E522" t="s">
        <v>38</v>
      </c>
      <c r="F522" t="s">
        <v>20</v>
      </c>
      <c r="G522" t="s">
        <v>79</v>
      </c>
      <c r="H522" s="1">
        <v>45491.154166666667</v>
      </c>
      <c r="I522" s="1">
        <v>45491.336111111108</v>
      </c>
      <c r="J522">
        <v>168</v>
      </c>
      <c r="K522">
        <v>262</v>
      </c>
      <c r="L522">
        <v>1</v>
      </c>
      <c r="M522" t="s">
        <v>29</v>
      </c>
      <c r="N522">
        <v>6</v>
      </c>
      <c r="O522">
        <v>336.6</v>
      </c>
    </row>
    <row r="523" spans="1:15" x14ac:dyDescent="0.35">
      <c r="A523" t="s">
        <v>1224</v>
      </c>
      <c r="B523" t="s">
        <v>51</v>
      </c>
      <c r="C523" t="s">
        <v>1225</v>
      </c>
      <c r="D523" t="s">
        <v>44</v>
      </c>
      <c r="E523" t="s">
        <v>33</v>
      </c>
      <c r="F523" t="s">
        <v>57</v>
      </c>
      <c r="G523" t="s">
        <v>111</v>
      </c>
      <c r="H523" s="1">
        <v>45477.926388888889</v>
      </c>
      <c r="I523" s="1">
        <v>45478.1</v>
      </c>
      <c r="J523">
        <v>163</v>
      </c>
      <c r="K523">
        <v>250</v>
      </c>
      <c r="L523">
        <v>1</v>
      </c>
      <c r="M523" t="s">
        <v>29</v>
      </c>
      <c r="N523">
        <v>2</v>
      </c>
      <c r="O523">
        <v>273.79000000000002</v>
      </c>
    </row>
    <row r="524" spans="1:15" x14ac:dyDescent="0.35">
      <c r="A524" t="s">
        <v>1226</v>
      </c>
      <c r="B524" t="s">
        <v>51</v>
      </c>
      <c r="C524" t="s">
        <v>1227</v>
      </c>
      <c r="D524" t="s">
        <v>26</v>
      </c>
      <c r="E524" t="s">
        <v>33</v>
      </c>
      <c r="F524" t="s">
        <v>57</v>
      </c>
      <c r="G524" t="s">
        <v>418</v>
      </c>
      <c r="H524" s="1">
        <v>45425.795138888891</v>
      </c>
      <c r="I524" s="1">
        <v>45425.945138888892</v>
      </c>
      <c r="J524">
        <v>130</v>
      </c>
      <c r="K524">
        <v>216</v>
      </c>
      <c r="L524">
        <v>1</v>
      </c>
      <c r="M524" t="s">
        <v>22</v>
      </c>
      <c r="N524">
        <v>1</v>
      </c>
      <c r="O524">
        <v>466.61</v>
      </c>
    </row>
    <row r="525" spans="1:15" x14ac:dyDescent="0.35">
      <c r="A525" t="s">
        <v>1228</v>
      </c>
      <c r="B525" t="s">
        <v>63</v>
      </c>
      <c r="C525" t="s">
        <v>1229</v>
      </c>
      <c r="D525" t="s">
        <v>48</v>
      </c>
      <c r="E525" t="s">
        <v>85</v>
      </c>
      <c r="F525" t="s">
        <v>57</v>
      </c>
      <c r="G525" t="s">
        <v>76</v>
      </c>
      <c r="H525" s="1">
        <v>45393.029861111114</v>
      </c>
      <c r="I525" s="1">
        <v>45393.160416666666</v>
      </c>
      <c r="J525">
        <v>74</v>
      </c>
      <c r="K525">
        <v>188</v>
      </c>
      <c r="L525">
        <v>1</v>
      </c>
      <c r="M525" t="s">
        <v>22</v>
      </c>
      <c r="N525">
        <v>9</v>
      </c>
      <c r="O525">
        <v>302.58</v>
      </c>
    </row>
    <row r="526" spans="1:15" x14ac:dyDescent="0.35">
      <c r="A526" t="s">
        <v>1230</v>
      </c>
      <c r="B526" t="s">
        <v>51</v>
      </c>
      <c r="C526" t="s">
        <v>1231</v>
      </c>
      <c r="D526" t="s">
        <v>48</v>
      </c>
      <c r="E526" t="s">
        <v>19</v>
      </c>
      <c r="F526" t="s">
        <v>34</v>
      </c>
      <c r="G526" t="s">
        <v>749</v>
      </c>
      <c r="H526" s="1">
        <v>45446.088888888888</v>
      </c>
      <c r="I526" s="1">
        <v>45446.248611111114</v>
      </c>
      <c r="J526">
        <v>203</v>
      </c>
      <c r="K526">
        <v>230</v>
      </c>
      <c r="L526">
        <v>1</v>
      </c>
      <c r="M526" t="s">
        <v>41</v>
      </c>
      <c r="N526">
        <v>8</v>
      </c>
      <c r="O526">
        <v>98.09</v>
      </c>
    </row>
    <row r="527" spans="1:15" x14ac:dyDescent="0.35">
      <c r="A527" t="s">
        <v>1232</v>
      </c>
      <c r="B527" t="s">
        <v>51</v>
      </c>
      <c r="C527" t="s">
        <v>1233</v>
      </c>
      <c r="D527" t="s">
        <v>18</v>
      </c>
      <c r="E527" t="s">
        <v>19</v>
      </c>
      <c r="F527" t="s">
        <v>27</v>
      </c>
      <c r="G527" t="s">
        <v>137</v>
      </c>
      <c r="H527" s="1">
        <v>45373.884722222225</v>
      </c>
      <c r="I527" s="1">
        <v>45373.928472222222</v>
      </c>
      <c r="J527">
        <v>49</v>
      </c>
      <c r="K527">
        <v>63</v>
      </c>
      <c r="L527">
        <v>1</v>
      </c>
      <c r="M527" t="s">
        <v>41</v>
      </c>
      <c r="N527">
        <v>8</v>
      </c>
      <c r="O527">
        <v>169.87</v>
      </c>
    </row>
    <row r="528" spans="1:15" x14ac:dyDescent="0.35">
      <c r="A528" t="s">
        <v>1234</v>
      </c>
      <c r="B528" t="s">
        <v>51</v>
      </c>
      <c r="C528" t="s">
        <v>1235</v>
      </c>
      <c r="D528" t="s">
        <v>18</v>
      </c>
      <c r="E528" t="s">
        <v>38</v>
      </c>
      <c r="F528" t="s">
        <v>27</v>
      </c>
      <c r="G528" t="s">
        <v>88</v>
      </c>
      <c r="H528" s="1">
        <v>45444.785416666666</v>
      </c>
      <c r="I528" s="1">
        <v>45444.934027777781</v>
      </c>
      <c r="J528">
        <v>161</v>
      </c>
      <c r="K528">
        <v>214</v>
      </c>
      <c r="L528">
        <v>1</v>
      </c>
      <c r="M528" t="s">
        <v>41</v>
      </c>
      <c r="N528">
        <v>2</v>
      </c>
      <c r="O528">
        <v>488.03</v>
      </c>
    </row>
    <row r="529" spans="1:15" x14ac:dyDescent="0.35">
      <c r="A529" t="s">
        <v>1236</v>
      </c>
      <c r="B529" t="s">
        <v>51</v>
      </c>
      <c r="C529" t="s">
        <v>1237</v>
      </c>
      <c r="D529" t="s">
        <v>44</v>
      </c>
      <c r="E529" t="s">
        <v>38</v>
      </c>
      <c r="F529" t="s">
        <v>39</v>
      </c>
      <c r="G529" t="s">
        <v>311</v>
      </c>
      <c r="H529" s="1">
        <v>45516.800694444442</v>
      </c>
      <c r="I529" s="1">
        <v>45516.861111111109</v>
      </c>
      <c r="J529">
        <v>53</v>
      </c>
      <c r="K529">
        <v>87</v>
      </c>
      <c r="L529">
        <v>1</v>
      </c>
      <c r="M529" t="s">
        <v>29</v>
      </c>
      <c r="N529">
        <v>8</v>
      </c>
      <c r="O529">
        <v>289.11</v>
      </c>
    </row>
    <row r="530" spans="1:15" x14ac:dyDescent="0.35">
      <c r="A530" t="s">
        <v>1238</v>
      </c>
      <c r="B530" t="s">
        <v>63</v>
      </c>
      <c r="C530" t="s">
        <v>1239</v>
      </c>
      <c r="D530" t="s">
        <v>48</v>
      </c>
      <c r="E530" t="s">
        <v>85</v>
      </c>
      <c r="F530" t="s">
        <v>27</v>
      </c>
      <c r="G530" t="s">
        <v>288</v>
      </c>
      <c r="H530" s="1">
        <v>45356.541666666664</v>
      </c>
      <c r="I530" s="1">
        <v>45356.598611111112</v>
      </c>
      <c r="J530">
        <v>35</v>
      </c>
      <c r="K530">
        <v>82</v>
      </c>
      <c r="L530">
        <v>1</v>
      </c>
      <c r="M530" t="s">
        <v>41</v>
      </c>
      <c r="N530">
        <v>6</v>
      </c>
      <c r="O530">
        <v>264.89</v>
      </c>
    </row>
    <row r="531" spans="1:15" x14ac:dyDescent="0.35">
      <c r="A531" t="s">
        <v>1240</v>
      </c>
      <c r="B531" t="s">
        <v>31</v>
      </c>
      <c r="C531" t="s">
        <v>1241</v>
      </c>
      <c r="D531" t="s">
        <v>18</v>
      </c>
      <c r="E531" t="s">
        <v>33</v>
      </c>
      <c r="F531" t="s">
        <v>39</v>
      </c>
      <c r="G531" t="s">
        <v>418</v>
      </c>
      <c r="H531" s="1">
        <v>45510.45416666667</v>
      </c>
      <c r="I531" s="1">
        <v>45510.652083333334</v>
      </c>
      <c r="J531">
        <v>200</v>
      </c>
      <c r="K531">
        <v>285</v>
      </c>
      <c r="L531">
        <v>1</v>
      </c>
      <c r="M531" t="s">
        <v>22</v>
      </c>
      <c r="N531">
        <v>2</v>
      </c>
      <c r="O531">
        <v>491.36</v>
      </c>
    </row>
    <row r="532" spans="1:15" x14ac:dyDescent="0.35">
      <c r="A532" t="s">
        <v>1242</v>
      </c>
      <c r="B532" t="s">
        <v>51</v>
      </c>
      <c r="C532" t="s">
        <v>1243</v>
      </c>
      <c r="D532" t="s">
        <v>56</v>
      </c>
      <c r="E532" t="s">
        <v>38</v>
      </c>
      <c r="F532" t="s">
        <v>20</v>
      </c>
      <c r="G532" t="s">
        <v>894</v>
      </c>
      <c r="H532" s="1">
        <v>45431.450694444444</v>
      </c>
      <c r="I532" s="1">
        <v>45431.649305555555</v>
      </c>
      <c r="J532">
        <v>239</v>
      </c>
      <c r="K532">
        <v>286</v>
      </c>
      <c r="L532">
        <v>1</v>
      </c>
      <c r="M532" t="s">
        <v>41</v>
      </c>
      <c r="N532">
        <v>2</v>
      </c>
      <c r="O532">
        <v>124.33</v>
      </c>
    </row>
    <row r="533" spans="1:15" x14ac:dyDescent="0.35">
      <c r="A533" t="s">
        <v>1244</v>
      </c>
      <c r="B533" t="s">
        <v>31</v>
      </c>
      <c r="C533" t="s">
        <v>1245</v>
      </c>
      <c r="D533" t="s">
        <v>48</v>
      </c>
      <c r="E533" t="s">
        <v>38</v>
      </c>
      <c r="F533" t="s">
        <v>34</v>
      </c>
      <c r="G533" t="s">
        <v>418</v>
      </c>
      <c r="H533" s="1">
        <v>45616.068749999999</v>
      </c>
      <c r="I533" s="1">
        <v>45616.148611111108</v>
      </c>
      <c r="J533">
        <v>116</v>
      </c>
      <c r="K533">
        <v>115</v>
      </c>
      <c r="L533">
        <v>0</v>
      </c>
      <c r="M533" t="s">
        <v>29</v>
      </c>
      <c r="N533">
        <v>6</v>
      </c>
      <c r="O533">
        <v>125.52</v>
      </c>
    </row>
    <row r="534" spans="1:15" x14ac:dyDescent="0.35">
      <c r="A534" t="s">
        <v>1246</v>
      </c>
      <c r="B534" t="s">
        <v>24</v>
      </c>
      <c r="C534" t="s">
        <v>1247</v>
      </c>
      <c r="D534" t="s">
        <v>26</v>
      </c>
      <c r="E534" t="s">
        <v>38</v>
      </c>
      <c r="F534" t="s">
        <v>20</v>
      </c>
      <c r="G534" t="s">
        <v>364</v>
      </c>
      <c r="H534" s="1">
        <v>45513.42083333333</v>
      </c>
      <c r="I534" s="1">
        <v>45513.557638888888</v>
      </c>
      <c r="J534">
        <v>145</v>
      </c>
      <c r="K534">
        <v>197</v>
      </c>
      <c r="L534">
        <v>1</v>
      </c>
      <c r="M534" t="s">
        <v>22</v>
      </c>
      <c r="N534">
        <v>10</v>
      </c>
      <c r="O534">
        <v>455.07</v>
      </c>
    </row>
    <row r="535" spans="1:15" x14ac:dyDescent="0.35">
      <c r="A535" t="s">
        <v>1248</v>
      </c>
      <c r="B535" t="s">
        <v>16</v>
      </c>
      <c r="C535" t="s">
        <v>1249</v>
      </c>
      <c r="D535" t="s">
        <v>48</v>
      </c>
      <c r="E535" t="s">
        <v>38</v>
      </c>
      <c r="F535" t="s">
        <v>57</v>
      </c>
      <c r="G535" t="s">
        <v>117</v>
      </c>
      <c r="H535" s="1">
        <v>45581.006249999999</v>
      </c>
      <c r="I535" s="1">
        <v>45581.120833333334</v>
      </c>
      <c r="J535">
        <v>164</v>
      </c>
      <c r="K535">
        <v>165</v>
      </c>
      <c r="L535">
        <v>1</v>
      </c>
      <c r="M535" t="s">
        <v>22</v>
      </c>
      <c r="N535">
        <v>5</v>
      </c>
      <c r="O535">
        <v>385.91</v>
      </c>
    </row>
    <row r="536" spans="1:15" x14ac:dyDescent="0.35">
      <c r="A536" t="s">
        <v>1250</v>
      </c>
      <c r="B536" t="s">
        <v>31</v>
      </c>
      <c r="C536" t="s">
        <v>1251</v>
      </c>
      <c r="D536" t="s">
        <v>18</v>
      </c>
      <c r="E536" t="s">
        <v>19</v>
      </c>
      <c r="F536" t="s">
        <v>34</v>
      </c>
      <c r="G536" t="s">
        <v>103</v>
      </c>
      <c r="H536" s="1">
        <v>45579.972222222219</v>
      </c>
      <c r="I536" s="1">
        <v>45580.152083333334</v>
      </c>
      <c r="J536">
        <v>157</v>
      </c>
      <c r="K536">
        <v>259</v>
      </c>
      <c r="L536">
        <v>1</v>
      </c>
      <c r="M536" t="s">
        <v>29</v>
      </c>
      <c r="N536">
        <v>1</v>
      </c>
      <c r="O536">
        <v>82.44</v>
      </c>
    </row>
    <row r="537" spans="1:15" x14ac:dyDescent="0.35">
      <c r="A537" t="s">
        <v>1252</v>
      </c>
      <c r="B537" t="s">
        <v>24</v>
      </c>
      <c r="C537" t="s">
        <v>1253</v>
      </c>
      <c r="D537" t="s">
        <v>56</v>
      </c>
      <c r="E537" t="s">
        <v>19</v>
      </c>
      <c r="F537" t="s">
        <v>20</v>
      </c>
      <c r="G537" t="s">
        <v>418</v>
      </c>
      <c r="H537" s="1">
        <v>45402.861111111109</v>
      </c>
      <c r="I537" s="1">
        <v>45403.068749999999</v>
      </c>
      <c r="J537">
        <v>226</v>
      </c>
      <c r="K537">
        <v>299</v>
      </c>
      <c r="L537">
        <v>1</v>
      </c>
      <c r="M537" t="s">
        <v>29</v>
      </c>
      <c r="N537">
        <v>4</v>
      </c>
      <c r="O537">
        <v>161.32</v>
      </c>
    </row>
    <row r="538" spans="1:15" x14ac:dyDescent="0.35">
      <c r="A538" t="s">
        <v>1254</v>
      </c>
      <c r="B538" t="s">
        <v>51</v>
      </c>
      <c r="C538" t="s">
        <v>1255</v>
      </c>
      <c r="D538" t="s">
        <v>56</v>
      </c>
      <c r="E538" t="s">
        <v>19</v>
      </c>
      <c r="F538" t="s">
        <v>39</v>
      </c>
      <c r="G538" t="s">
        <v>999</v>
      </c>
      <c r="H538" s="1">
        <v>45368.211111111108</v>
      </c>
      <c r="I538" s="1">
        <v>45368.340277777781</v>
      </c>
      <c r="J538">
        <v>189</v>
      </c>
      <c r="K538">
        <v>186</v>
      </c>
      <c r="L538">
        <v>0</v>
      </c>
      <c r="M538" t="s">
        <v>22</v>
      </c>
      <c r="N538">
        <v>8</v>
      </c>
      <c r="O538">
        <v>437.47</v>
      </c>
    </row>
    <row r="539" spans="1:15" x14ac:dyDescent="0.35">
      <c r="A539" t="s">
        <v>1256</v>
      </c>
      <c r="B539" t="s">
        <v>31</v>
      </c>
      <c r="C539" t="s">
        <v>1257</v>
      </c>
      <c r="D539" t="s">
        <v>48</v>
      </c>
      <c r="E539" t="s">
        <v>33</v>
      </c>
      <c r="F539" t="s">
        <v>20</v>
      </c>
      <c r="G539" t="s">
        <v>681</v>
      </c>
      <c r="H539" s="1">
        <v>45451.761805555558</v>
      </c>
      <c r="I539" s="1">
        <v>45451.830555555556</v>
      </c>
      <c r="J539">
        <v>14</v>
      </c>
      <c r="K539">
        <v>99</v>
      </c>
      <c r="L539">
        <v>1</v>
      </c>
      <c r="M539" t="s">
        <v>22</v>
      </c>
      <c r="N539">
        <v>9</v>
      </c>
      <c r="O539">
        <v>340.33</v>
      </c>
    </row>
    <row r="540" spans="1:15" x14ac:dyDescent="0.35">
      <c r="A540" t="s">
        <v>1258</v>
      </c>
      <c r="B540" t="s">
        <v>51</v>
      </c>
      <c r="C540" t="s">
        <v>1259</v>
      </c>
      <c r="D540" t="s">
        <v>26</v>
      </c>
      <c r="E540" t="s">
        <v>19</v>
      </c>
      <c r="F540" t="s">
        <v>34</v>
      </c>
      <c r="G540" t="s">
        <v>143</v>
      </c>
      <c r="H540" s="1">
        <v>45315.40625</v>
      </c>
      <c r="I540" s="1">
        <v>45315.538888888892</v>
      </c>
      <c r="J540">
        <v>169</v>
      </c>
      <c r="K540">
        <v>191</v>
      </c>
      <c r="L540">
        <v>1</v>
      </c>
      <c r="M540" t="s">
        <v>29</v>
      </c>
      <c r="N540">
        <v>9</v>
      </c>
      <c r="O540">
        <v>319.04000000000002</v>
      </c>
    </row>
    <row r="541" spans="1:15" x14ac:dyDescent="0.35">
      <c r="A541" t="s">
        <v>1260</v>
      </c>
      <c r="B541" t="s">
        <v>63</v>
      </c>
      <c r="C541" t="s">
        <v>1261</v>
      </c>
      <c r="D541" t="s">
        <v>26</v>
      </c>
      <c r="E541" t="s">
        <v>19</v>
      </c>
      <c r="F541" t="s">
        <v>27</v>
      </c>
      <c r="G541" t="s">
        <v>65</v>
      </c>
      <c r="H541" s="1">
        <v>45605.104861111111</v>
      </c>
      <c r="I541" s="1">
        <v>45605.12777777778</v>
      </c>
      <c r="J541">
        <v>25</v>
      </c>
      <c r="K541">
        <v>33</v>
      </c>
      <c r="L541">
        <v>1</v>
      </c>
      <c r="M541" t="s">
        <v>29</v>
      </c>
      <c r="N541">
        <v>9</v>
      </c>
      <c r="O541">
        <v>136.33000000000001</v>
      </c>
    </row>
    <row r="542" spans="1:15" x14ac:dyDescent="0.35">
      <c r="A542" t="s">
        <v>1262</v>
      </c>
      <c r="B542" t="s">
        <v>24</v>
      </c>
      <c r="C542" t="s">
        <v>1263</v>
      </c>
      <c r="D542" t="s">
        <v>26</v>
      </c>
      <c r="E542" t="s">
        <v>85</v>
      </c>
      <c r="F542" t="s">
        <v>39</v>
      </c>
      <c r="G542" t="s">
        <v>299</v>
      </c>
      <c r="H542" s="1">
        <v>45642.449305555558</v>
      </c>
      <c r="I542" s="1">
        <v>45642.574999999997</v>
      </c>
      <c r="J542">
        <v>131</v>
      </c>
      <c r="K542">
        <v>181</v>
      </c>
      <c r="L542">
        <v>1</v>
      </c>
      <c r="M542" t="s">
        <v>22</v>
      </c>
      <c r="N542">
        <v>1</v>
      </c>
      <c r="O542">
        <v>348.38</v>
      </c>
    </row>
    <row r="543" spans="1:15" x14ac:dyDescent="0.35">
      <c r="A543" t="s">
        <v>1264</v>
      </c>
      <c r="B543" t="s">
        <v>31</v>
      </c>
      <c r="C543" t="s">
        <v>1265</v>
      </c>
      <c r="D543" t="s">
        <v>18</v>
      </c>
      <c r="E543" t="s">
        <v>19</v>
      </c>
      <c r="F543" t="s">
        <v>34</v>
      </c>
      <c r="G543" t="s">
        <v>1125</v>
      </c>
      <c r="H543" s="1">
        <v>45637.681250000001</v>
      </c>
      <c r="I543" s="1">
        <v>45637.87777777778</v>
      </c>
      <c r="J543">
        <v>214</v>
      </c>
      <c r="K543">
        <v>283</v>
      </c>
      <c r="L543">
        <v>1</v>
      </c>
      <c r="M543" t="s">
        <v>22</v>
      </c>
      <c r="N543">
        <v>6</v>
      </c>
      <c r="O543">
        <v>493.36</v>
      </c>
    </row>
    <row r="544" spans="1:15" x14ac:dyDescent="0.35">
      <c r="A544" t="s">
        <v>1266</v>
      </c>
      <c r="B544" t="s">
        <v>31</v>
      </c>
      <c r="C544" t="s">
        <v>1267</v>
      </c>
      <c r="D544" t="s">
        <v>56</v>
      </c>
      <c r="E544" t="s">
        <v>85</v>
      </c>
      <c r="F544" t="s">
        <v>34</v>
      </c>
      <c r="G544" t="s">
        <v>459</v>
      </c>
      <c r="H544" s="1">
        <v>45578.102777777778</v>
      </c>
      <c r="I544" s="1">
        <v>45578.166666666664</v>
      </c>
      <c r="J544">
        <v>62</v>
      </c>
      <c r="K544">
        <v>92</v>
      </c>
      <c r="L544">
        <v>1</v>
      </c>
      <c r="M544" t="s">
        <v>29</v>
      </c>
      <c r="N544">
        <v>8</v>
      </c>
      <c r="O544">
        <v>209.19</v>
      </c>
    </row>
    <row r="545" spans="1:15" x14ac:dyDescent="0.35">
      <c r="A545" t="s">
        <v>1268</v>
      </c>
      <c r="B545" t="s">
        <v>63</v>
      </c>
      <c r="C545" t="s">
        <v>1269</v>
      </c>
      <c r="D545" t="s">
        <v>18</v>
      </c>
      <c r="E545" t="s">
        <v>33</v>
      </c>
      <c r="F545" t="s">
        <v>39</v>
      </c>
      <c r="G545" t="s">
        <v>225</v>
      </c>
      <c r="H545" s="1">
        <v>45304.3</v>
      </c>
      <c r="I545" s="1">
        <v>45304.459027777775</v>
      </c>
      <c r="J545">
        <v>167</v>
      </c>
      <c r="K545">
        <v>229</v>
      </c>
      <c r="L545">
        <v>1</v>
      </c>
      <c r="M545" t="s">
        <v>29</v>
      </c>
      <c r="N545">
        <v>10</v>
      </c>
      <c r="O545">
        <v>254.16</v>
      </c>
    </row>
    <row r="546" spans="1:15" x14ac:dyDescent="0.35">
      <c r="A546" t="s">
        <v>1270</v>
      </c>
      <c r="B546" t="s">
        <v>31</v>
      </c>
      <c r="C546" t="s">
        <v>1271</v>
      </c>
      <c r="D546" t="s">
        <v>26</v>
      </c>
      <c r="E546" t="s">
        <v>19</v>
      </c>
      <c r="F546" t="s">
        <v>20</v>
      </c>
      <c r="G546" t="s">
        <v>140</v>
      </c>
      <c r="H546" s="1">
        <v>45481.563194444447</v>
      </c>
      <c r="I546" s="1">
        <v>45481.78125</v>
      </c>
      <c r="J546">
        <v>200</v>
      </c>
      <c r="K546">
        <v>314</v>
      </c>
      <c r="L546">
        <v>1</v>
      </c>
      <c r="M546" t="s">
        <v>29</v>
      </c>
      <c r="N546">
        <v>9</v>
      </c>
      <c r="O546">
        <v>221.68</v>
      </c>
    </row>
    <row r="547" spans="1:15" x14ac:dyDescent="0.35">
      <c r="A547" t="s">
        <v>1272</v>
      </c>
      <c r="B547" t="s">
        <v>63</v>
      </c>
      <c r="C547" t="s">
        <v>1273</v>
      </c>
      <c r="D547" t="s">
        <v>26</v>
      </c>
      <c r="E547" t="s">
        <v>33</v>
      </c>
      <c r="F547" t="s">
        <v>27</v>
      </c>
      <c r="G547" t="s">
        <v>842</v>
      </c>
      <c r="H547" s="1">
        <v>45616.895833333336</v>
      </c>
      <c r="I547" s="1">
        <v>45617.036805555559</v>
      </c>
      <c r="J547">
        <v>84</v>
      </c>
      <c r="K547">
        <v>203</v>
      </c>
      <c r="L547">
        <v>1</v>
      </c>
      <c r="M547" t="s">
        <v>29</v>
      </c>
      <c r="N547">
        <v>3</v>
      </c>
      <c r="O547">
        <v>315.68</v>
      </c>
    </row>
    <row r="548" spans="1:15" x14ac:dyDescent="0.35">
      <c r="A548" t="s">
        <v>1274</v>
      </c>
      <c r="B548" t="s">
        <v>51</v>
      </c>
      <c r="C548" t="s">
        <v>1275</v>
      </c>
      <c r="D548" t="s">
        <v>18</v>
      </c>
      <c r="E548" t="s">
        <v>85</v>
      </c>
      <c r="F548" t="s">
        <v>34</v>
      </c>
      <c r="G548" t="s">
        <v>1125</v>
      </c>
      <c r="H548" s="1">
        <v>45473.04791666667</v>
      </c>
      <c r="I548" s="1">
        <v>45473.184027777781</v>
      </c>
      <c r="J548">
        <v>130</v>
      </c>
      <c r="K548">
        <v>196</v>
      </c>
      <c r="L548">
        <v>1</v>
      </c>
      <c r="M548" t="s">
        <v>41</v>
      </c>
      <c r="N548">
        <v>10</v>
      </c>
      <c r="O548">
        <v>151.75</v>
      </c>
    </row>
    <row r="549" spans="1:15" x14ac:dyDescent="0.35">
      <c r="A549" t="s">
        <v>1276</v>
      </c>
      <c r="B549" t="s">
        <v>51</v>
      </c>
      <c r="C549" t="s">
        <v>1277</v>
      </c>
      <c r="D549" t="s">
        <v>56</v>
      </c>
      <c r="E549" t="s">
        <v>33</v>
      </c>
      <c r="F549" t="s">
        <v>39</v>
      </c>
      <c r="G549" t="s">
        <v>1278</v>
      </c>
      <c r="H549" s="1">
        <v>45623.229861111111</v>
      </c>
      <c r="I549" s="1">
        <v>45623.29791666667</v>
      </c>
      <c r="J549">
        <v>29</v>
      </c>
      <c r="K549">
        <v>98</v>
      </c>
      <c r="L549">
        <v>1</v>
      </c>
      <c r="M549" t="s">
        <v>22</v>
      </c>
      <c r="N549">
        <v>9</v>
      </c>
      <c r="O549">
        <v>141.12</v>
      </c>
    </row>
    <row r="550" spans="1:15" x14ac:dyDescent="0.35">
      <c r="A550" t="s">
        <v>1279</v>
      </c>
      <c r="B550" t="s">
        <v>63</v>
      </c>
      <c r="C550" t="s">
        <v>1280</v>
      </c>
      <c r="D550" t="s">
        <v>44</v>
      </c>
      <c r="E550" t="s">
        <v>38</v>
      </c>
      <c r="F550" t="s">
        <v>27</v>
      </c>
      <c r="G550" t="s">
        <v>749</v>
      </c>
      <c r="H550" s="1">
        <v>45396.497916666667</v>
      </c>
      <c r="I550" s="1">
        <v>45396.709027777775</v>
      </c>
      <c r="J550">
        <v>186</v>
      </c>
      <c r="K550">
        <v>304</v>
      </c>
      <c r="L550">
        <v>1</v>
      </c>
      <c r="M550" t="s">
        <v>29</v>
      </c>
      <c r="N550">
        <v>8</v>
      </c>
      <c r="O550">
        <v>380.25</v>
      </c>
    </row>
    <row r="551" spans="1:15" x14ac:dyDescent="0.35">
      <c r="A551" t="s">
        <v>1281</v>
      </c>
      <c r="B551" t="s">
        <v>24</v>
      </c>
      <c r="C551" t="s">
        <v>1282</v>
      </c>
      <c r="D551" t="s">
        <v>44</v>
      </c>
      <c r="E551" t="s">
        <v>33</v>
      </c>
      <c r="F551" t="s">
        <v>20</v>
      </c>
      <c r="G551" t="s">
        <v>599</v>
      </c>
      <c r="H551" s="1">
        <v>45489.176388888889</v>
      </c>
      <c r="I551" s="1">
        <v>45489.218055555553</v>
      </c>
      <c r="J551">
        <v>46</v>
      </c>
      <c r="K551">
        <v>60</v>
      </c>
      <c r="L551">
        <v>1</v>
      </c>
      <c r="M551" t="s">
        <v>22</v>
      </c>
      <c r="N551">
        <v>1</v>
      </c>
      <c r="O551">
        <v>233.59</v>
      </c>
    </row>
    <row r="552" spans="1:15" x14ac:dyDescent="0.35">
      <c r="A552" t="s">
        <v>1283</v>
      </c>
      <c r="B552" t="s">
        <v>51</v>
      </c>
      <c r="C552" t="s">
        <v>1284</v>
      </c>
      <c r="D552" t="s">
        <v>56</v>
      </c>
      <c r="E552" t="s">
        <v>33</v>
      </c>
      <c r="F552" t="s">
        <v>27</v>
      </c>
      <c r="G552" t="s">
        <v>103</v>
      </c>
      <c r="H552" s="1">
        <v>45508.723611111112</v>
      </c>
      <c r="I552" s="1">
        <v>45508.761111111111</v>
      </c>
      <c r="J552">
        <v>39</v>
      </c>
      <c r="K552">
        <v>54</v>
      </c>
      <c r="L552">
        <v>1</v>
      </c>
      <c r="M552" t="s">
        <v>22</v>
      </c>
      <c r="N552">
        <v>8</v>
      </c>
      <c r="O552">
        <v>406.78</v>
      </c>
    </row>
    <row r="553" spans="1:15" x14ac:dyDescent="0.35">
      <c r="A553" t="s">
        <v>1285</v>
      </c>
      <c r="B553" t="s">
        <v>51</v>
      </c>
      <c r="C553" t="s">
        <v>1286</v>
      </c>
      <c r="D553" t="s">
        <v>56</v>
      </c>
      <c r="E553" t="s">
        <v>38</v>
      </c>
      <c r="F553" t="s">
        <v>20</v>
      </c>
      <c r="G553" t="s">
        <v>155</v>
      </c>
      <c r="H553" s="1">
        <v>45496.96597222222</v>
      </c>
      <c r="I553" s="1">
        <v>45497.121527777781</v>
      </c>
      <c r="J553">
        <v>142</v>
      </c>
      <c r="K553">
        <v>224</v>
      </c>
      <c r="L553">
        <v>1</v>
      </c>
      <c r="M553" t="s">
        <v>22</v>
      </c>
      <c r="N553">
        <v>4</v>
      </c>
      <c r="O553">
        <v>158.01</v>
      </c>
    </row>
    <row r="554" spans="1:15" x14ac:dyDescent="0.35">
      <c r="A554" t="s">
        <v>1287</v>
      </c>
      <c r="B554" t="s">
        <v>24</v>
      </c>
      <c r="C554" t="s">
        <v>1288</v>
      </c>
      <c r="D554" t="s">
        <v>18</v>
      </c>
      <c r="E554" t="s">
        <v>38</v>
      </c>
      <c r="F554" t="s">
        <v>57</v>
      </c>
      <c r="G554" t="s">
        <v>58</v>
      </c>
      <c r="H554" s="1">
        <v>45561.970138888886</v>
      </c>
      <c r="I554" s="1">
        <v>45561.997916666667</v>
      </c>
      <c r="J554">
        <v>32</v>
      </c>
      <c r="K554">
        <v>40</v>
      </c>
      <c r="L554">
        <v>1</v>
      </c>
      <c r="M554" t="s">
        <v>29</v>
      </c>
      <c r="N554">
        <v>4</v>
      </c>
      <c r="O554">
        <v>497.08</v>
      </c>
    </row>
    <row r="555" spans="1:15" x14ac:dyDescent="0.35">
      <c r="A555" t="s">
        <v>1289</v>
      </c>
      <c r="B555" t="s">
        <v>24</v>
      </c>
      <c r="C555" t="s">
        <v>1290</v>
      </c>
      <c r="D555" t="s">
        <v>26</v>
      </c>
      <c r="E555" t="s">
        <v>85</v>
      </c>
      <c r="F555" t="s">
        <v>39</v>
      </c>
      <c r="G555" t="s">
        <v>470</v>
      </c>
      <c r="H555" s="1">
        <v>45519.219444444447</v>
      </c>
      <c r="I555" s="1">
        <v>45519.288194444445</v>
      </c>
      <c r="J555">
        <v>37</v>
      </c>
      <c r="K555">
        <v>99</v>
      </c>
      <c r="L555">
        <v>1</v>
      </c>
      <c r="M555" t="s">
        <v>29</v>
      </c>
      <c r="N555">
        <v>8</v>
      </c>
      <c r="O555">
        <v>469.32</v>
      </c>
    </row>
    <row r="556" spans="1:15" x14ac:dyDescent="0.35">
      <c r="A556" t="s">
        <v>1291</v>
      </c>
      <c r="B556" t="s">
        <v>51</v>
      </c>
      <c r="C556" t="s">
        <v>1292</v>
      </c>
      <c r="D556" t="s">
        <v>26</v>
      </c>
      <c r="E556" t="s">
        <v>33</v>
      </c>
      <c r="F556" t="s">
        <v>34</v>
      </c>
      <c r="G556" t="s">
        <v>123</v>
      </c>
      <c r="H556" s="1">
        <v>45328.373611111114</v>
      </c>
      <c r="I556" s="1">
        <v>45328.436111111114</v>
      </c>
      <c r="J556">
        <v>46</v>
      </c>
      <c r="K556">
        <v>90</v>
      </c>
      <c r="L556">
        <v>1</v>
      </c>
      <c r="M556" t="s">
        <v>41</v>
      </c>
      <c r="N556">
        <v>2</v>
      </c>
      <c r="O556">
        <v>224.29</v>
      </c>
    </row>
    <row r="557" spans="1:15" x14ac:dyDescent="0.35">
      <c r="A557" t="s">
        <v>1293</v>
      </c>
      <c r="B557" t="s">
        <v>16</v>
      </c>
      <c r="C557" t="s">
        <v>1294</v>
      </c>
      <c r="D557" t="s">
        <v>48</v>
      </c>
      <c r="E557" t="s">
        <v>33</v>
      </c>
      <c r="F557" t="s">
        <v>20</v>
      </c>
      <c r="G557" t="s">
        <v>143</v>
      </c>
      <c r="H557" s="1">
        <v>45534.248611111114</v>
      </c>
      <c r="I557" s="1">
        <v>45534.420138888891</v>
      </c>
      <c r="J557">
        <v>184</v>
      </c>
      <c r="K557">
        <v>247</v>
      </c>
      <c r="L557">
        <v>1</v>
      </c>
      <c r="M557" t="s">
        <v>22</v>
      </c>
      <c r="N557">
        <v>8</v>
      </c>
      <c r="O557">
        <v>163.63999999999999</v>
      </c>
    </row>
    <row r="558" spans="1:15" x14ac:dyDescent="0.35">
      <c r="A558" t="s">
        <v>1295</v>
      </c>
      <c r="B558" t="s">
        <v>16</v>
      </c>
      <c r="C558" t="s">
        <v>1296</v>
      </c>
      <c r="D558" t="s">
        <v>56</v>
      </c>
      <c r="E558" t="s">
        <v>19</v>
      </c>
      <c r="F558" t="s">
        <v>34</v>
      </c>
      <c r="G558" t="s">
        <v>500</v>
      </c>
      <c r="H558" s="1">
        <v>45343.750694444447</v>
      </c>
      <c r="I558" s="1">
        <v>45343.988194444442</v>
      </c>
      <c r="J558">
        <v>232</v>
      </c>
      <c r="K558">
        <v>342</v>
      </c>
      <c r="L558">
        <v>1</v>
      </c>
      <c r="M558" t="s">
        <v>22</v>
      </c>
      <c r="N558">
        <v>5</v>
      </c>
      <c r="O558">
        <v>95.83</v>
      </c>
    </row>
    <row r="559" spans="1:15" x14ac:dyDescent="0.35">
      <c r="A559" t="s">
        <v>1297</v>
      </c>
      <c r="B559" t="s">
        <v>24</v>
      </c>
      <c r="C559" t="s">
        <v>1298</v>
      </c>
      <c r="D559" t="s">
        <v>48</v>
      </c>
      <c r="E559" t="s">
        <v>38</v>
      </c>
      <c r="F559" t="s">
        <v>57</v>
      </c>
      <c r="G559" t="s">
        <v>188</v>
      </c>
      <c r="H559" s="1">
        <v>45406.775000000001</v>
      </c>
      <c r="I559" s="1">
        <v>45406.96597222222</v>
      </c>
      <c r="J559">
        <v>225</v>
      </c>
      <c r="K559">
        <v>275</v>
      </c>
      <c r="L559">
        <v>1</v>
      </c>
      <c r="M559" t="s">
        <v>29</v>
      </c>
      <c r="N559">
        <v>4</v>
      </c>
      <c r="O559">
        <v>474.91</v>
      </c>
    </row>
    <row r="560" spans="1:15" x14ac:dyDescent="0.35">
      <c r="A560" t="s">
        <v>1299</v>
      </c>
      <c r="B560" t="s">
        <v>31</v>
      </c>
      <c r="C560" t="s">
        <v>1300</v>
      </c>
      <c r="D560" t="s">
        <v>48</v>
      </c>
      <c r="E560" t="s">
        <v>85</v>
      </c>
      <c r="F560" t="s">
        <v>34</v>
      </c>
      <c r="G560" t="s">
        <v>754</v>
      </c>
      <c r="H560" s="1">
        <v>45525.980555555558</v>
      </c>
      <c r="I560" s="1">
        <v>45526.126388888886</v>
      </c>
      <c r="J560">
        <v>90</v>
      </c>
      <c r="K560">
        <v>210</v>
      </c>
      <c r="L560">
        <v>1</v>
      </c>
      <c r="M560" t="s">
        <v>41</v>
      </c>
      <c r="N560">
        <v>6</v>
      </c>
      <c r="O560">
        <v>487.57</v>
      </c>
    </row>
    <row r="561" spans="1:15" x14ac:dyDescent="0.35">
      <c r="A561" t="s">
        <v>1301</v>
      </c>
      <c r="B561" t="s">
        <v>63</v>
      </c>
      <c r="C561" t="s">
        <v>1302</v>
      </c>
      <c r="D561" t="s">
        <v>44</v>
      </c>
      <c r="E561" t="s">
        <v>19</v>
      </c>
      <c r="F561" t="s">
        <v>27</v>
      </c>
      <c r="G561" t="s">
        <v>427</v>
      </c>
      <c r="H561" s="1">
        <v>45442.390277777777</v>
      </c>
      <c r="I561" s="1">
        <v>45442.54791666667</v>
      </c>
      <c r="J561">
        <v>210</v>
      </c>
      <c r="K561">
        <v>227</v>
      </c>
      <c r="L561">
        <v>1</v>
      </c>
      <c r="M561" t="s">
        <v>22</v>
      </c>
      <c r="N561">
        <v>5</v>
      </c>
      <c r="O561">
        <v>386.32</v>
      </c>
    </row>
    <row r="562" spans="1:15" x14ac:dyDescent="0.35">
      <c r="A562" t="s">
        <v>1303</v>
      </c>
      <c r="B562" t="s">
        <v>16</v>
      </c>
      <c r="C562" t="s">
        <v>1304</v>
      </c>
      <c r="D562" t="s">
        <v>44</v>
      </c>
      <c r="E562" t="s">
        <v>38</v>
      </c>
      <c r="F562" t="s">
        <v>34</v>
      </c>
      <c r="G562" t="s">
        <v>622</v>
      </c>
      <c r="H562" s="1">
        <v>45359.220138888886</v>
      </c>
      <c r="I562" s="1">
        <v>45359.412499999999</v>
      </c>
      <c r="J562">
        <v>219</v>
      </c>
      <c r="K562">
        <v>277</v>
      </c>
      <c r="L562">
        <v>1</v>
      </c>
      <c r="M562" t="s">
        <v>29</v>
      </c>
      <c r="N562">
        <v>1</v>
      </c>
      <c r="O562">
        <v>289.35000000000002</v>
      </c>
    </row>
    <row r="563" spans="1:15" x14ac:dyDescent="0.35">
      <c r="A563" t="s">
        <v>1305</v>
      </c>
      <c r="B563" t="s">
        <v>51</v>
      </c>
      <c r="C563" t="s">
        <v>1306</v>
      </c>
      <c r="D563" t="s">
        <v>26</v>
      </c>
      <c r="E563" t="s">
        <v>38</v>
      </c>
      <c r="F563" t="s">
        <v>27</v>
      </c>
      <c r="G563" t="s">
        <v>251</v>
      </c>
      <c r="H563" s="1">
        <v>45589.654166666667</v>
      </c>
      <c r="I563" s="1">
        <v>45589.772916666669</v>
      </c>
      <c r="J563">
        <v>163</v>
      </c>
      <c r="K563">
        <v>171</v>
      </c>
      <c r="L563">
        <v>1</v>
      </c>
      <c r="M563" t="s">
        <v>41</v>
      </c>
      <c r="N563">
        <v>2</v>
      </c>
      <c r="O563">
        <v>84.55</v>
      </c>
    </row>
    <row r="564" spans="1:15" x14ac:dyDescent="0.35">
      <c r="A564" t="s">
        <v>1307</v>
      </c>
      <c r="B564" t="s">
        <v>24</v>
      </c>
      <c r="C564" t="s">
        <v>1308</v>
      </c>
      <c r="D564" t="s">
        <v>48</v>
      </c>
      <c r="E564" t="s">
        <v>85</v>
      </c>
      <c r="F564" t="s">
        <v>39</v>
      </c>
      <c r="G564" t="s">
        <v>526</v>
      </c>
      <c r="H564" s="1">
        <v>45550.655555555553</v>
      </c>
      <c r="I564" s="1">
        <v>45550.673611111109</v>
      </c>
      <c r="J564">
        <v>25</v>
      </c>
      <c r="K564">
        <v>26</v>
      </c>
      <c r="L564">
        <v>1</v>
      </c>
      <c r="M564" t="s">
        <v>41</v>
      </c>
      <c r="N564">
        <v>4</v>
      </c>
      <c r="O564">
        <v>201.43</v>
      </c>
    </row>
    <row r="565" spans="1:15" x14ac:dyDescent="0.35">
      <c r="A565" t="s">
        <v>1309</v>
      </c>
      <c r="B565" t="s">
        <v>63</v>
      </c>
      <c r="C565" t="s">
        <v>1310</v>
      </c>
      <c r="D565" t="s">
        <v>18</v>
      </c>
      <c r="E565" t="s">
        <v>33</v>
      </c>
      <c r="F565" t="s">
        <v>27</v>
      </c>
      <c r="G565" t="s">
        <v>228</v>
      </c>
      <c r="H565" s="1">
        <v>45558.333333333336</v>
      </c>
      <c r="I565" s="1">
        <v>45558.411111111112</v>
      </c>
      <c r="J565">
        <v>85</v>
      </c>
      <c r="K565">
        <v>112</v>
      </c>
      <c r="L565">
        <v>1</v>
      </c>
      <c r="M565" t="s">
        <v>22</v>
      </c>
      <c r="N565">
        <v>4</v>
      </c>
      <c r="O565">
        <v>417.24</v>
      </c>
    </row>
    <row r="566" spans="1:15" x14ac:dyDescent="0.35">
      <c r="A566" t="s">
        <v>1311</v>
      </c>
      <c r="B566" t="s">
        <v>31</v>
      </c>
      <c r="C566" t="s">
        <v>1312</v>
      </c>
      <c r="D566" t="s">
        <v>48</v>
      </c>
      <c r="E566" t="s">
        <v>85</v>
      </c>
      <c r="F566" t="s">
        <v>27</v>
      </c>
      <c r="G566" t="s">
        <v>415</v>
      </c>
      <c r="H566" s="1">
        <v>45311.137499999997</v>
      </c>
      <c r="I566" s="1">
        <v>45311.322222222225</v>
      </c>
      <c r="J566">
        <v>196</v>
      </c>
      <c r="K566">
        <v>266</v>
      </c>
      <c r="L566">
        <v>1</v>
      </c>
      <c r="M566" t="s">
        <v>29</v>
      </c>
      <c r="N566">
        <v>2</v>
      </c>
      <c r="O566">
        <v>250.89</v>
      </c>
    </row>
    <row r="567" spans="1:15" x14ac:dyDescent="0.35">
      <c r="A567" t="s">
        <v>1313</v>
      </c>
      <c r="B567" t="s">
        <v>31</v>
      </c>
      <c r="C567" t="s">
        <v>1314</v>
      </c>
      <c r="D567" t="s">
        <v>56</v>
      </c>
      <c r="E567" t="s">
        <v>85</v>
      </c>
      <c r="F567" t="s">
        <v>27</v>
      </c>
      <c r="G567" t="s">
        <v>204</v>
      </c>
      <c r="H567" s="1">
        <v>45615.989583333336</v>
      </c>
      <c r="I567" s="1">
        <v>45616.1</v>
      </c>
      <c r="J567">
        <v>138</v>
      </c>
      <c r="K567">
        <v>159</v>
      </c>
      <c r="L567">
        <v>1</v>
      </c>
      <c r="M567" t="s">
        <v>22</v>
      </c>
      <c r="N567">
        <v>7</v>
      </c>
      <c r="O567">
        <v>312.23</v>
      </c>
    </row>
    <row r="568" spans="1:15" x14ac:dyDescent="0.35">
      <c r="A568" t="s">
        <v>1315</v>
      </c>
      <c r="B568" t="s">
        <v>51</v>
      </c>
      <c r="C568" t="s">
        <v>1316</v>
      </c>
      <c r="D568" t="s">
        <v>44</v>
      </c>
      <c r="E568" t="s">
        <v>19</v>
      </c>
      <c r="F568" t="s">
        <v>39</v>
      </c>
      <c r="G568" t="s">
        <v>234</v>
      </c>
      <c r="H568" s="1">
        <v>45356.396527777775</v>
      </c>
      <c r="I568" s="1">
        <v>45356.431250000001</v>
      </c>
      <c r="J568">
        <v>52</v>
      </c>
      <c r="K568">
        <v>50</v>
      </c>
      <c r="L568">
        <v>0</v>
      </c>
      <c r="M568" t="s">
        <v>29</v>
      </c>
      <c r="N568">
        <v>7</v>
      </c>
      <c r="O568">
        <v>142.15</v>
      </c>
    </row>
    <row r="569" spans="1:15" x14ac:dyDescent="0.35">
      <c r="A569" t="s">
        <v>1317</v>
      </c>
      <c r="B569" t="s">
        <v>16</v>
      </c>
      <c r="C569" t="s">
        <v>1318</v>
      </c>
      <c r="D569" t="s">
        <v>44</v>
      </c>
      <c r="E569" t="s">
        <v>85</v>
      </c>
      <c r="F569" t="s">
        <v>39</v>
      </c>
      <c r="G569" t="s">
        <v>152</v>
      </c>
      <c r="H569" s="1">
        <v>45634.087500000001</v>
      </c>
      <c r="I569" s="1">
        <v>45634.229166666664</v>
      </c>
      <c r="J569">
        <v>115</v>
      </c>
      <c r="K569">
        <v>204</v>
      </c>
      <c r="L569">
        <v>1</v>
      </c>
      <c r="M569" t="s">
        <v>41</v>
      </c>
      <c r="N569">
        <v>2</v>
      </c>
      <c r="O569">
        <v>374.8</v>
      </c>
    </row>
    <row r="570" spans="1:15" x14ac:dyDescent="0.35">
      <c r="A570" t="s">
        <v>1319</v>
      </c>
      <c r="B570" t="s">
        <v>16</v>
      </c>
      <c r="C570" t="s">
        <v>1320</v>
      </c>
      <c r="D570" t="s">
        <v>48</v>
      </c>
      <c r="E570" t="s">
        <v>85</v>
      </c>
      <c r="F570" t="s">
        <v>34</v>
      </c>
      <c r="G570" t="s">
        <v>418</v>
      </c>
      <c r="H570" s="1">
        <v>45456.136805555558</v>
      </c>
      <c r="I570" s="1">
        <v>45456.309027777781</v>
      </c>
      <c r="J570">
        <v>137</v>
      </c>
      <c r="K570">
        <v>248</v>
      </c>
      <c r="L570">
        <v>1</v>
      </c>
      <c r="M570" t="s">
        <v>29</v>
      </c>
      <c r="N570">
        <v>7</v>
      </c>
      <c r="O570">
        <v>443.2</v>
      </c>
    </row>
    <row r="571" spans="1:15" x14ac:dyDescent="0.35">
      <c r="A571" t="s">
        <v>1321</v>
      </c>
      <c r="B571" t="s">
        <v>31</v>
      </c>
      <c r="C571" t="s">
        <v>1322</v>
      </c>
      <c r="D571" t="s">
        <v>26</v>
      </c>
      <c r="E571" t="s">
        <v>38</v>
      </c>
      <c r="F571" t="s">
        <v>39</v>
      </c>
      <c r="G571" t="s">
        <v>988</v>
      </c>
      <c r="H571" s="1">
        <v>45367.626388888886</v>
      </c>
      <c r="I571" s="1">
        <v>45367.790277777778</v>
      </c>
      <c r="J571">
        <v>236</v>
      </c>
      <c r="K571">
        <v>236</v>
      </c>
      <c r="L571">
        <v>0</v>
      </c>
      <c r="M571" t="s">
        <v>29</v>
      </c>
      <c r="N571">
        <v>2</v>
      </c>
      <c r="O571">
        <v>275.24</v>
      </c>
    </row>
    <row r="572" spans="1:15" x14ac:dyDescent="0.35">
      <c r="A572" t="s">
        <v>1323</v>
      </c>
      <c r="B572" t="s">
        <v>51</v>
      </c>
      <c r="C572" t="s">
        <v>1324</v>
      </c>
      <c r="D572" t="s">
        <v>26</v>
      </c>
      <c r="E572" t="s">
        <v>33</v>
      </c>
      <c r="F572" t="s">
        <v>20</v>
      </c>
      <c r="G572" t="s">
        <v>999</v>
      </c>
      <c r="H572" s="1">
        <v>45441.54583333333</v>
      </c>
      <c r="I572" s="1">
        <v>45441.761805555558</v>
      </c>
      <c r="J572">
        <v>207</v>
      </c>
      <c r="K572">
        <v>311</v>
      </c>
      <c r="L572">
        <v>1</v>
      </c>
      <c r="M572" t="s">
        <v>29</v>
      </c>
      <c r="N572">
        <v>1</v>
      </c>
      <c r="O572">
        <v>406.84</v>
      </c>
    </row>
    <row r="573" spans="1:15" x14ac:dyDescent="0.35">
      <c r="A573" t="s">
        <v>1325</v>
      </c>
      <c r="B573" t="s">
        <v>24</v>
      </c>
      <c r="C573" t="s">
        <v>1326</v>
      </c>
      <c r="D573" t="s">
        <v>44</v>
      </c>
      <c r="E573" t="s">
        <v>19</v>
      </c>
      <c r="F573" t="s">
        <v>57</v>
      </c>
      <c r="G573" t="s">
        <v>427</v>
      </c>
      <c r="H573" s="1">
        <v>45355.070833333331</v>
      </c>
      <c r="I573" s="1">
        <v>45355.133333333331</v>
      </c>
      <c r="J573">
        <v>61</v>
      </c>
      <c r="K573">
        <v>90</v>
      </c>
      <c r="L573">
        <v>1</v>
      </c>
      <c r="M573" t="s">
        <v>41</v>
      </c>
      <c r="N573">
        <v>8</v>
      </c>
      <c r="O573">
        <v>306.74</v>
      </c>
    </row>
    <row r="574" spans="1:15" x14ac:dyDescent="0.35">
      <c r="A574" t="s">
        <v>1327</v>
      </c>
      <c r="B574" t="s">
        <v>31</v>
      </c>
      <c r="C574" t="s">
        <v>1328</v>
      </c>
      <c r="D574" t="s">
        <v>56</v>
      </c>
      <c r="E574" t="s">
        <v>85</v>
      </c>
      <c r="F574" t="s">
        <v>34</v>
      </c>
      <c r="G574" t="s">
        <v>615</v>
      </c>
      <c r="H574" s="1">
        <v>45647.872916666667</v>
      </c>
      <c r="I574" s="1">
        <v>45648.047222222223</v>
      </c>
      <c r="J574">
        <v>218</v>
      </c>
      <c r="K574">
        <v>251</v>
      </c>
      <c r="L574">
        <v>1</v>
      </c>
      <c r="M574" t="s">
        <v>22</v>
      </c>
      <c r="N574">
        <v>2</v>
      </c>
      <c r="O574">
        <v>89.47</v>
      </c>
    </row>
    <row r="575" spans="1:15" x14ac:dyDescent="0.35">
      <c r="A575" t="s">
        <v>1329</v>
      </c>
      <c r="B575" t="s">
        <v>31</v>
      </c>
      <c r="C575" t="s">
        <v>1330</v>
      </c>
      <c r="D575" t="s">
        <v>18</v>
      </c>
      <c r="E575" t="s">
        <v>33</v>
      </c>
      <c r="F575" t="s">
        <v>27</v>
      </c>
      <c r="G575" t="s">
        <v>296</v>
      </c>
      <c r="H575" s="1">
        <v>45479.723611111112</v>
      </c>
      <c r="I575" s="1">
        <v>45479.857638888891</v>
      </c>
      <c r="J575">
        <v>117</v>
      </c>
      <c r="K575">
        <v>193</v>
      </c>
      <c r="L575">
        <v>1</v>
      </c>
      <c r="M575" t="s">
        <v>22</v>
      </c>
      <c r="N575">
        <v>8</v>
      </c>
      <c r="O575">
        <v>200.29</v>
      </c>
    </row>
    <row r="576" spans="1:15" x14ac:dyDescent="0.35">
      <c r="A576" t="s">
        <v>1331</v>
      </c>
      <c r="B576" t="s">
        <v>24</v>
      </c>
      <c r="C576" t="s">
        <v>1332</v>
      </c>
      <c r="D576" t="s">
        <v>48</v>
      </c>
      <c r="E576" t="s">
        <v>33</v>
      </c>
      <c r="F576" t="s">
        <v>20</v>
      </c>
      <c r="G576" t="s">
        <v>388</v>
      </c>
      <c r="H576" s="1">
        <v>45388.911805555559</v>
      </c>
      <c r="I576" s="1">
        <v>45389.030555555553</v>
      </c>
      <c r="J576">
        <v>53</v>
      </c>
      <c r="K576">
        <v>171</v>
      </c>
      <c r="L576">
        <v>1</v>
      </c>
      <c r="M576" t="s">
        <v>29</v>
      </c>
      <c r="N576">
        <v>9</v>
      </c>
      <c r="O576">
        <v>423.19</v>
      </c>
    </row>
    <row r="577" spans="1:15" x14ac:dyDescent="0.35">
      <c r="A577" t="s">
        <v>1333</v>
      </c>
      <c r="B577" t="s">
        <v>63</v>
      </c>
      <c r="C577" t="s">
        <v>1334</v>
      </c>
      <c r="D577" t="s">
        <v>56</v>
      </c>
      <c r="E577" t="s">
        <v>33</v>
      </c>
      <c r="F577" t="s">
        <v>20</v>
      </c>
      <c r="G577" t="s">
        <v>343</v>
      </c>
      <c r="H577" s="1">
        <v>45449.169444444444</v>
      </c>
      <c r="I577" s="1">
        <v>45449.34652777778</v>
      </c>
      <c r="J577">
        <v>162</v>
      </c>
      <c r="K577">
        <v>255</v>
      </c>
      <c r="L577">
        <v>1</v>
      </c>
      <c r="M577" t="s">
        <v>41</v>
      </c>
      <c r="N577">
        <v>4</v>
      </c>
      <c r="O577">
        <v>428.62</v>
      </c>
    </row>
    <row r="578" spans="1:15" x14ac:dyDescent="0.35">
      <c r="A578" t="s">
        <v>1335</v>
      </c>
      <c r="B578" t="s">
        <v>63</v>
      </c>
      <c r="C578" t="s">
        <v>1336</v>
      </c>
      <c r="D578" t="s">
        <v>48</v>
      </c>
      <c r="E578" t="s">
        <v>19</v>
      </c>
      <c r="F578" t="s">
        <v>39</v>
      </c>
      <c r="G578" t="s">
        <v>58</v>
      </c>
      <c r="H578" s="1">
        <v>45650.325694444444</v>
      </c>
      <c r="I578" s="1">
        <v>45650.546527777777</v>
      </c>
      <c r="J578">
        <v>199</v>
      </c>
      <c r="K578">
        <v>318</v>
      </c>
      <c r="L578">
        <v>1</v>
      </c>
      <c r="M578" t="s">
        <v>29</v>
      </c>
      <c r="N578">
        <v>8</v>
      </c>
      <c r="O578">
        <v>392.57</v>
      </c>
    </row>
    <row r="579" spans="1:15" x14ac:dyDescent="0.35">
      <c r="A579" t="s">
        <v>1337</v>
      </c>
      <c r="B579" t="s">
        <v>16</v>
      </c>
      <c r="C579" t="s">
        <v>1338</v>
      </c>
      <c r="D579" t="s">
        <v>48</v>
      </c>
      <c r="E579" t="s">
        <v>85</v>
      </c>
      <c r="F579" t="s">
        <v>20</v>
      </c>
      <c r="G579" t="s">
        <v>402</v>
      </c>
      <c r="H579" s="1">
        <v>45580.361111111109</v>
      </c>
      <c r="I579" s="1">
        <v>45580.443749999999</v>
      </c>
      <c r="J579">
        <v>112</v>
      </c>
      <c r="K579">
        <v>119</v>
      </c>
      <c r="L579">
        <v>1</v>
      </c>
      <c r="M579" t="s">
        <v>22</v>
      </c>
      <c r="N579">
        <v>5</v>
      </c>
      <c r="O579">
        <v>381.42</v>
      </c>
    </row>
    <row r="580" spans="1:15" x14ac:dyDescent="0.35">
      <c r="A580" t="s">
        <v>1339</v>
      </c>
      <c r="B580" t="s">
        <v>31</v>
      </c>
      <c r="C580" t="s">
        <v>1340</v>
      </c>
      <c r="D580" t="s">
        <v>18</v>
      </c>
      <c r="E580" t="s">
        <v>85</v>
      </c>
      <c r="F580" t="s">
        <v>57</v>
      </c>
      <c r="G580" t="s">
        <v>359</v>
      </c>
      <c r="H580" s="1">
        <v>45617.71597222222</v>
      </c>
      <c r="I580" s="1">
        <v>45617.785416666666</v>
      </c>
      <c r="J580">
        <v>14</v>
      </c>
      <c r="K580">
        <v>100</v>
      </c>
      <c r="L580">
        <v>1</v>
      </c>
      <c r="M580" t="s">
        <v>22</v>
      </c>
      <c r="N580">
        <v>10</v>
      </c>
      <c r="O580">
        <v>262.89999999999998</v>
      </c>
    </row>
    <row r="581" spans="1:15" x14ac:dyDescent="0.35">
      <c r="A581" t="s">
        <v>1341</v>
      </c>
      <c r="B581" t="s">
        <v>63</v>
      </c>
      <c r="C581" t="s">
        <v>1342</v>
      </c>
      <c r="D581" t="s">
        <v>48</v>
      </c>
      <c r="E581" t="s">
        <v>38</v>
      </c>
      <c r="F581" t="s">
        <v>27</v>
      </c>
      <c r="G581" t="s">
        <v>225</v>
      </c>
      <c r="H581" s="1">
        <v>45565.372916666667</v>
      </c>
      <c r="I581" s="1">
        <v>45565.439583333333</v>
      </c>
      <c r="J581">
        <v>15</v>
      </c>
      <c r="K581">
        <v>96</v>
      </c>
      <c r="L581">
        <v>1</v>
      </c>
      <c r="M581" t="s">
        <v>41</v>
      </c>
      <c r="N581">
        <v>7</v>
      </c>
      <c r="O581">
        <v>222.89</v>
      </c>
    </row>
    <row r="582" spans="1:15" x14ac:dyDescent="0.35">
      <c r="A582" t="s">
        <v>1343</v>
      </c>
      <c r="B582" t="s">
        <v>51</v>
      </c>
      <c r="C582" t="s">
        <v>1344</v>
      </c>
      <c r="D582" t="s">
        <v>44</v>
      </c>
      <c r="E582" t="s">
        <v>38</v>
      </c>
      <c r="F582" t="s">
        <v>34</v>
      </c>
      <c r="G582" t="s">
        <v>228</v>
      </c>
      <c r="H582" s="1">
        <v>45583.459722222222</v>
      </c>
      <c r="I582" s="1">
        <v>45583.54583333333</v>
      </c>
      <c r="J582">
        <v>40</v>
      </c>
      <c r="K582">
        <v>124</v>
      </c>
      <c r="L582">
        <v>1</v>
      </c>
      <c r="M582" t="s">
        <v>29</v>
      </c>
      <c r="N582">
        <v>10</v>
      </c>
      <c r="O582">
        <v>477.26</v>
      </c>
    </row>
    <row r="583" spans="1:15" x14ac:dyDescent="0.35">
      <c r="A583" t="s">
        <v>1345</v>
      </c>
      <c r="B583" t="s">
        <v>16</v>
      </c>
      <c r="C583" t="s">
        <v>1346</v>
      </c>
      <c r="D583" t="s">
        <v>48</v>
      </c>
      <c r="E583" t="s">
        <v>33</v>
      </c>
      <c r="F583" t="s">
        <v>27</v>
      </c>
      <c r="G583" t="s">
        <v>700</v>
      </c>
      <c r="H583" s="1">
        <v>45485.859027777777</v>
      </c>
      <c r="I583" s="1">
        <v>45485.87777777778</v>
      </c>
      <c r="J583">
        <v>20</v>
      </c>
      <c r="K583">
        <v>27</v>
      </c>
      <c r="L583">
        <v>1</v>
      </c>
      <c r="M583" t="s">
        <v>29</v>
      </c>
      <c r="N583">
        <v>8</v>
      </c>
      <c r="O583">
        <v>81.680000000000007</v>
      </c>
    </row>
    <row r="584" spans="1:15" x14ac:dyDescent="0.35">
      <c r="A584" t="s">
        <v>1347</v>
      </c>
      <c r="B584" t="s">
        <v>16</v>
      </c>
      <c r="C584" t="s">
        <v>1348</v>
      </c>
      <c r="D584" t="s">
        <v>44</v>
      </c>
      <c r="E584" t="s">
        <v>19</v>
      </c>
      <c r="F584" t="s">
        <v>39</v>
      </c>
      <c r="G584" t="s">
        <v>237</v>
      </c>
      <c r="H584" s="1">
        <v>45447.043055555558</v>
      </c>
      <c r="I584" s="1">
        <v>45447.168749999997</v>
      </c>
      <c r="J584">
        <v>170</v>
      </c>
      <c r="K584">
        <v>181</v>
      </c>
      <c r="L584">
        <v>1</v>
      </c>
      <c r="M584" t="s">
        <v>41</v>
      </c>
      <c r="N584">
        <v>8</v>
      </c>
      <c r="O584">
        <v>330.56</v>
      </c>
    </row>
    <row r="585" spans="1:15" x14ac:dyDescent="0.35">
      <c r="A585" t="s">
        <v>1349</v>
      </c>
      <c r="B585" t="s">
        <v>16</v>
      </c>
      <c r="C585" t="s">
        <v>1350</v>
      </c>
      <c r="D585" t="s">
        <v>26</v>
      </c>
      <c r="E585" t="s">
        <v>33</v>
      </c>
      <c r="F585" t="s">
        <v>27</v>
      </c>
      <c r="G585" t="s">
        <v>152</v>
      </c>
      <c r="H585" s="1">
        <v>45567.864583333336</v>
      </c>
      <c r="I585" s="1">
        <v>45568.015277777777</v>
      </c>
      <c r="J585">
        <v>161</v>
      </c>
      <c r="K585">
        <v>217</v>
      </c>
      <c r="L585">
        <v>1</v>
      </c>
      <c r="M585" t="s">
        <v>29</v>
      </c>
      <c r="N585">
        <v>5</v>
      </c>
      <c r="O585">
        <v>171.15</v>
      </c>
    </row>
    <row r="586" spans="1:15" x14ac:dyDescent="0.35">
      <c r="A586" t="s">
        <v>1351</v>
      </c>
      <c r="B586" t="s">
        <v>63</v>
      </c>
      <c r="C586" t="s">
        <v>1352</v>
      </c>
      <c r="D586" t="s">
        <v>48</v>
      </c>
      <c r="E586" t="s">
        <v>33</v>
      </c>
      <c r="F586" t="s">
        <v>27</v>
      </c>
      <c r="G586" t="s">
        <v>1030</v>
      </c>
      <c r="H586" s="1">
        <v>45416.657638888886</v>
      </c>
      <c r="I586" s="1">
        <v>45416.82708333333</v>
      </c>
      <c r="J586">
        <v>220</v>
      </c>
      <c r="K586">
        <v>244</v>
      </c>
      <c r="L586">
        <v>1</v>
      </c>
      <c r="M586" t="s">
        <v>29</v>
      </c>
      <c r="N586">
        <v>9</v>
      </c>
      <c r="O586">
        <v>355.13</v>
      </c>
    </row>
    <row r="587" spans="1:15" x14ac:dyDescent="0.35">
      <c r="A587" t="s">
        <v>1353</v>
      </c>
      <c r="B587" t="s">
        <v>63</v>
      </c>
      <c r="C587" t="s">
        <v>1354</v>
      </c>
      <c r="D587" t="s">
        <v>44</v>
      </c>
      <c r="E587" t="s">
        <v>33</v>
      </c>
      <c r="F587" t="s">
        <v>57</v>
      </c>
      <c r="G587" t="s">
        <v>407</v>
      </c>
      <c r="H587" s="1">
        <v>45428.759027777778</v>
      </c>
      <c r="I587" s="1">
        <v>45428.814583333333</v>
      </c>
      <c r="J587">
        <v>17</v>
      </c>
      <c r="K587">
        <v>80</v>
      </c>
      <c r="L587">
        <v>1</v>
      </c>
      <c r="M587" t="s">
        <v>41</v>
      </c>
      <c r="N587">
        <v>7</v>
      </c>
      <c r="O587">
        <v>362.08</v>
      </c>
    </row>
    <row r="588" spans="1:15" x14ac:dyDescent="0.35">
      <c r="A588" t="s">
        <v>1355</v>
      </c>
      <c r="B588" t="s">
        <v>16</v>
      </c>
      <c r="C588" t="s">
        <v>1356</v>
      </c>
      <c r="D588" t="s">
        <v>44</v>
      </c>
      <c r="E588" t="s">
        <v>19</v>
      </c>
      <c r="F588" t="s">
        <v>34</v>
      </c>
      <c r="G588" t="s">
        <v>170</v>
      </c>
      <c r="H588" s="1">
        <v>45488.746527777781</v>
      </c>
      <c r="I588" s="1">
        <v>45488.932638888888</v>
      </c>
      <c r="J588">
        <v>156</v>
      </c>
      <c r="K588">
        <v>268</v>
      </c>
      <c r="L588">
        <v>1</v>
      </c>
      <c r="M588" t="s">
        <v>41</v>
      </c>
      <c r="N588">
        <v>9</v>
      </c>
      <c r="O588">
        <v>82.4</v>
      </c>
    </row>
    <row r="589" spans="1:15" x14ac:dyDescent="0.35">
      <c r="A589" t="s">
        <v>1357</v>
      </c>
      <c r="B589" t="s">
        <v>16</v>
      </c>
      <c r="C589" t="s">
        <v>1358</v>
      </c>
      <c r="D589" t="s">
        <v>18</v>
      </c>
      <c r="E589" t="s">
        <v>19</v>
      </c>
      <c r="F589" t="s">
        <v>34</v>
      </c>
      <c r="G589" t="s">
        <v>397</v>
      </c>
      <c r="H589" s="1">
        <v>45344.808333333334</v>
      </c>
      <c r="I589" s="1">
        <v>45344.904861111114</v>
      </c>
      <c r="J589">
        <v>34</v>
      </c>
      <c r="K589">
        <v>139</v>
      </c>
      <c r="L589">
        <v>1</v>
      </c>
      <c r="M589" t="s">
        <v>41</v>
      </c>
      <c r="N589">
        <v>3</v>
      </c>
      <c r="O589">
        <v>266.87</v>
      </c>
    </row>
    <row r="590" spans="1:15" x14ac:dyDescent="0.35">
      <c r="A590" t="s">
        <v>1359</v>
      </c>
      <c r="B590" t="s">
        <v>16</v>
      </c>
      <c r="C590" t="s">
        <v>1360</v>
      </c>
      <c r="D590" t="s">
        <v>48</v>
      </c>
      <c r="E590" t="s">
        <v>33</v>
      </c>
      <c r="F590" t="s">
        <v>20</v>
      </c>
      <c r="G590" t="s">
        <v>785</v>
      </c>
      <c r="H590" s="1">
        <v>45621.643055555556</v>
      </c>
      <c r="I590" s="1">
        <v>45621.737500000003</v>
      </c>
      <c r="J590">
        <v>135</v>
      </c>
      <c r="K590">
        <v>136</v>
      </c>
      <c r="L590">
        <v>1</v>
      </c>
      <c r="M590" t="s">
        <v>29</v>
      </c>
      <c r="N590">
        <v>8</v>
      </c>
      <c r="O590">
        <v>231.55</v>
      </c>
    </row>
    <row r="591" spans="1:15" x14ac:dyDescent="0.35">
      <c r="A591" t="s">
        <v>1361</v>
      </c>
      <c r="B591" t="s">
        <v>63</v>
      </c>
      <c r="C591" t="s">
        <v>1362</v>
      </c>
      <c r="D591" t="s">
        <v>26</v>
      </c>
      <c r="E591" t="s">
        <v>85</v>
      </c>
      <c r="F591" t="s">
        <v>27</v>
      </c>
      <c r="G591" t="s">
        <v>470</v>
      </c>
      <c r="H591" s="1">
        <v>45504.23541666667</v>
      </c>
      <c r="I591" s="1">
        <v>45504.31527777778</v>
      </c>
      <c r="J591">
        <v>70</v>
      </c>
      <c r="K591">
        <v>115</v>
      </c>
      <c r="L591">
        <v>1</v>
      </c>
      <c r="M591" t="s">
        <v>41</v>
      </c>
      <c r="N591">
        <v>3</v>
      </c>
      <c r="O591">
        <v>290.88</v>
      </c>
    </row>
    <row r="592" spans="1:15" x14ac:dyDescent="0.35">
      <c r="A592" t="s">
        <v>1363</v>
      </c>
      <c r="B592" t="s">
        <v>24</v>
      </c>
      <c r="C592" t="s">
        <v>1364</v>
      </c>
      <c r="D592" t="s">
        <v>26</v>
      </c>
      <c r="E592" t="s">
        <v>38</v>
      </c>
      <c r="F592" t="s">
        <v>27</v>
      </c>
      <c r="G592" t="s">
        <v>21</v>
      </c>
      <c r="H592" s="1">
        <v>45593.070833333331</v>
      </c>
      <c r="I592" s="1">
        <v>45593.288194444445</v>
      </c>
      <c r="J592">
        <v>208</v>
      </c>
      <c r="K592">
        <v>313</v>
      </c>
      <c r="L592">
        <v>1</v>
      </c>
      <c r="M592" t="s">
        <v>29</v>
      </c>
      <c r="N592">
        <v>2</v>
      </c>
      <c r="O592">
        <v>497.59</v>
      </c>
    </row>
    <row r="593" spans="1:15" x14ac:dyDescent="0.35">
      <c r="A593" t="s">
        <v>1365</v>
      </c>
      <c r="B593" t="s">
        <v>24</v>
      </c>
      <c r="C593" t="s">
        <v>1366</v>
      </c>
      <c r="D593" t="s">
        <v>48</v>
      </c>
      <c r="E593" t="s">
        <v>19</v>
      </c>
      <c r="F593" t="s">
        <v>34</v>
      </c>
      <c r="G593" t="s">
        <v>465</v>
      </c>
      <c r="H593" s="1">
        <v>45548.855555555558</v>
      </c>
      <c r="I593" s="1">
        <v>45548.961805555555</v>
      </c>
      <c r="J593">
        <v>117</v>
      </c>
      <c r="K593">
        <v>153</v>
      </c>
      <c r="L593">
        <v>1</v>
      </c>
      <c r="M593" t="s">
        <v>29</v>
      </c>
      <c r="N593">
        <v>6</v>
      </c>
      <c r="O593">
        <v>375.13</v>
      </c>
    </row>
    <row r="594" spans="1:15" x14ac:dyDescent="0.35">
      <c r="A594" t="s">
        <v>1367</v>
      </c>
      <c r="B594" t="s">
        <v>24</v>
      </c>
      <c r="C594" t="s">
        <v>1368</v>
      </c>
      <c r="D594" t="s">
        <v>56</v>
      </c>
      <c r="E594" t="s">
        <v>19</v>
      </c>
      <c r="F594" t="s">
        <v>57</v>
      </c>
      <c r="G594" t="s">
        <v>470</v>
      </c>
      <c r="H594" s="1">
        <v>45323.168749999997</v>
      </c>
      <c r="I594" s="1">
        <v>45323.322916666664</v>
      </c>
      <c r="J594">
        <v>117</v>
      </c>
      <c r="K594">
        <v>222</v>
      </c>
      <c r="L594">
        <v>1</v>
      </c>
      <c r="M594" t="s">
        <v>29</v>
      </c>
      <c r="N594">
        <v>7</v>
      </c>
      <c r="O594">
        <v>290.39</v>
      </c>
    </row>
    <row r="595" spans="1:15" x14ac:dyDescent="0.35">
      <c r="A595" t="s">
        <v>1369</v>
      </c>
      <c r="B595" t="s">
        <v>16</v>
      </c>
      <c r="C595" t="s">
        <v>1370</v>
      </c>
      <c r="D595" t="s">
        <v>26</v>
      </c>
      <c r="E595" t="s">
        <v>19</v>
      </c>
      <c r="F595" t="s">
        <v>34</v>
      </c>
      <c r="G595" t="s">
        <v>254</v>
      </c>
      <c r="H595" s="1">
        <v>45341.896527777775</v>
      </c>
      <c r="I595" s="1">
        <v>45342.050694444442</v>
      </c>
      <c r="J595">
        <v>212</v>
      </c>
      <c r="K595">
        <v>222</v>
      </c>
      <c r="L595">
        <v>1</v>
      </c>
      <c r="M595" t="s">
        <v>29</v>
      </c>
      <c r="N595">
        <v>8</v>
      </c>
      <c r="O595">
        <v>461.85</v>
      </c>
    </row>
    <row r="596" spans="1:15" x14ac:dyDescent="0.35">
      <c r="A596" t="s">
        <v>1371</v>
      </c>
      <c r="B596" t="s">
        <v>16</v>
      </c>
      <c r="C596" t="s">
        <v>1372</v>
      </c>
      <c r="D596" t="s">
        <v>18</v>
      </c>
      <c r="E596" t="s">
        <v>19</v>
      </c>
      <c r="F596" t="s">
        <v>57</v>
      </c>
      <c r="G596" t="s">
        <v>777</v>
      </c>
      <c r="H596" s="1">
        <v>45471.484722222223</v>
      </c>
      <c r="I596" s="1">
        <v>45471.572222222225</v>
      </c>
      <c r="J596">
        <v>59</v>
      </c>
      <c r="K596">
        <v>126</v>
      </c>
      <c r="L596">
        <v>1</v>
      </c>
      <c r="M596" t="s">
        <v>22</v>
      </c>
      <c r="N596">
        <v>6</v>
      </c>
      <c r="O596">
        <v>216.76</v>
      </c>
    </row>
    <row r="597" spans="1:15" x14ac:dyDescent="0.35">
      <c r="A597" t="s">
        <v>1373</v>
      </c>
      <c r="B597" t="s">
        <v>31</v>
      </c>
      <c r="C597" t="s">
        <v>1374</v>
      </c>
      <c r="D597" t="s">
        <v>56</v>
      </c>
      <c r="E597" t="s">
        <v>19</v>
      </c>
      <c r="F597" t="s">
        <v>20</v>
      </c>
      <c r="G597" t="s">
        <v>254</v>
      </c>
      <c r="H597" s="1">
        <v>45320.573611111111</v>
      </c>
      <c r="I597" s="1">
        <v>45320.595138888886</v>
      </c>
      <c r="J597">
        <v>21</v>
      </c>
      <c r="K597">
        <v>31</v>
      </c>
      <c r="L597">
        <v>1</v>
      </c>
      <c r="M597" t="s">
        <v>29</v>
      </c>
      <c r="N597">
        <v>5</v>
      </c>
      <c r="O597">
        <v>253.72</v>
      </c>
    </row>
    <row r="598" spans="1:15" x14ac:dyDescent="0.35">
      <c r="A598" t="s">
        <v>1375</v>
      </c>
      <c r="B598" t="s">
        <v>63</v>
      </c>
      <c r="C598" t="s">
        <v>1376</v>
      </c>
      <c r="D598" t="s">
        <v>26</v>
      </c>
      <c r="E598" t="s">
        <v>19</v>
      </c>
      <c r="F598" t="s">
        <v>39</v>
      </c>
      <c r="G598" t="s">
        <v>785</v>
      </c>
      <c r="H598" s="1">
        <v>45368.681250000001</v>
      </c>
      <c r="I598" s="1">
        <v>45368.81527777778</v>
      </c>
      <c r="J598">
        <v>132</v>
      </c>
      <c r="K598">
        <v>193</v>
      </c>
      <c r="L598">
        <v>1</v>
      </c>
      <c r="M598" t="s">
        <v>22</v>
      </c>
      <c r="N598">
        <v>5</v>
      </c>
      <c r="O598">
        <v>301.41000000000003</v>
      </c>
    </row>
    <row r="599" spans="1:15" x14ac:dyDescent="0.35">
      <c r="A599" t="s">
        <v>1377</v>
      </c>
      <c r="B599" t="s">
        <v>24</v>
      </c>
      <c r="C599" t="s">
        <v>1378</v>
      </c>
      <c r="D599" t="s">
        <v>18</v>
      </c>
      <c r="E599" t="s">
        <v>33</v>
      </c>
      <c r="F599" t="s">
        <v>20</v>
      </c>
      <c r="G599" t="s">
        <v>120</v>
      </c>
      <c r="H599" s="1">
        <v>45617.092361111114</v>
      </c>
      <c r="I599" s="1">
        <v>45617.304861111108</v>
      </c>
      <c r="J599">
        <v>239</v>
      </c>
      <c r="K599">
        <v>306</v>
      </c>
      <c r="L599">
        <v>1</v>
      </c>
      <c r="M599" t="s">
        <v>22</v>
      </c>
      <c r="N599">
        <v>4</v>
      </c>
      <c r="O599">
        <v>54.07</v>
      </c>
    </row>
    <row r="600" spans="1:15" x14ac:dyDescent="0.35">
      <c r="A600" t="s">
        <v>1379</v>
      </c>
      <c r="B600" t="s">
        <v>24</v>
      </c>
      <c r="C600" t="s">
        <v>1380</v>
      </c>
      <c r="D600" t="s">
        <v>56</v>
      </c>
      <c r="E600" t="s">
        <v>38</v>
      </c>
      <c r="F600" t="s">
        <v>34</v>
      </c>
      <c r="G600" t="s">
        <v>691</v>
      </c>
      <c r="H600" s="1">
        <v>45471.020138888889</v>
      </c>
      <c r="I600" s="1">
        <v>45471.043055555558</v>
      </c>
      <c r="J600">
        <v>13</v>
      </c>
      <c r="K600">
        <v>33</v>
      </c>
      <c r="L600">
        <v>1</v>
      </c>
      <c r="M600" t="s">
        <v>41</v>
      </c>
      <c r="N600">
        <v>10</v>
      </c>
      <c r="O600">
        <v>499.71</v>
      </c>
    </row>
    <row r="601" spans="1:15" x14ac:dyDescent="0.35">
      <c r="A601" t="s">
        <v>1381</v>
      </c>
      <c r="B601" t="s">
        <v>63</v>
      </c>
      <c r="C601" t="s">
        <v>1382</v>
      </c>
      <c r="D601" t="s">
        <v>48</v>
      </c>
      <c r="E601" t="s">
        <v>38</v>
      </c>
      <c r="F601" t="s">
        <v>34</v>
      </c>
      <c r="G601" t="s">
        <v>1187</v>
      </c>
      <c r="H601" s="1">
        <v>45609.190972222219</v>
      </c>
      <c r="I601" s="1">
        <v>45609.369444444441</v>
      </c>
      <c r="J601">
        <v>229</v>
      </c>
      <c r="K601">
        <v>257</v>
      </c>
      <c r="L601">
        <v>1</v>
      </c>
      <c r="M601" t="s">
        <v>22</v>
      </c>
      <c r="N601">
        <v>8</v>
      </c>
      <c r="O601">
        <v>405.75</v>
      </c>
    </row>
    <row r="602" spans="1:15" x14ac:dyDescent="0.35">
      <c r="A602" t="s">
        <v>1383</v>
      </c>
      <c r="B602" t="s">
        <v>24</v>
      </c>
      <c r="C602" t="s">
        <v>1384</v>
      </c>
      <c r="D602" t="s">
        <v>26</v>
      </c>
      <c r="E602" t="s">
        <v>19</v>
      </c>
      <c r="F602" t="s">
        <v>20</v>
      </c>
      <c r="G602" t="s">
        <v>388</v>
      </c>
      <c r="H602" s="1">
        <v>45488.606944444444</v>
      </c>
      <c r="I602" s="1">
        <v>45488.774305555555</v>
      </c>
      <c r="J602">
        <v>136</v>
      </c>
      <c r="K602">
        <v>241</v>
      </c>
      <c r="L602">
        <v>1</v>
      </c>
      <c r="M602" t="s">
        <v>41</v>
      </c>
      <c r="N602">
        <v>1</v>
      </c>
      <c r="O602">
        <v>296.29000000000002</v>
      </c>
    </row>
    <row r="603" spans="1:15" x14ac:dyDescent="0.35">
      <c r="A603" t="s">
        <v>1385</v>
      </c>
      <c r="B603" t="s">
        <v>31</v>
      </c>
      <c r="C603" t="s">
        <v>1386</v>
      </c>
      <c r="D603" t="s">
        <v>26</v>
      </c>
      <c r="E603" t="s">
        <v>38</v>
      </c>
      <c r="F603" t="s">
        <v>57</v>
      </c>
      <c r="G603" t="s">
        <v>111</v>
      </c>
      <c r="H603" s="1">
        <v>45468.877083333333</v>
      </c>
      <c r="I603" s="1">
        <v>45468.899305555555</v>
      </c>
      <c r="J603">
        <v>29</v>
      </c>
      <c r="K603">
        <v>32</v>
      </c>
      <c r="L603">
        <v>1</v>
      </c>
      <c r="M603" t="s">
        <v>29</v>
      </c>
      <c r="N603">
        <v>1</v>
      </c>
      <c r="O603">
        <v>75.239999999999995</v>
      </c>
    </row>
    <row r="604" spans="1:15" x14ac:dyDescent="0.35">
      <c r="A604" t="s">
        <v>1387</v>
      </c>
      <c r="B604" t="s">
        <v>63</v>
      </c>
      <c r="C604" t="s">
        <v>1388</v>
      </c>
      <c r="D604" t="s">
        <v>56</v>
      </c>
      <c r="E604" t="s">
        <v>85</v>
      </c>
      <c r="F604" t="s">
        <v>34</v>
      </c>
      <c r="G604" t="s">
        <v>293</v>
      </c>
      <c r="H604" s="1">
        <v>45507.960416666669</v>
      </c>
      <c r="I604" s="1">
        <v>45508.052777777775</v>
      </c>
      <c r="J604">
        <v>100</v>
      </c>
      <c r="K604">
        <v>133</v>
      </c>
      <c r="L604">
        <v>1</v>
      </c>
      <c r="M604" t="s">
        <v>29</v>
      </c>
      <c r="N604">
        <v>2</v>
      </c>
      <c r="O604">
        <v>257.22000000000003</v>
      </c>
    </row>
    <row r="605" spans="1:15" x14ac:dyDescent="0.35">
      <c r="A605" t="s">
        <v>1389</v>
      </c>
      <c r="B605" t="s">
        <v>63</v>
      </c>
      <c r="C605" t="s">
        <v>1390</v>
      </c>
      <c r="D605" t="s">
        <v>56</v>
      </c>
      <c r="E605" t="s">
        <v>33</v>
      </c>
      <c r="F605" t="s">
        <v>20</v>
      </c>
      <c r="G605" t="s">
        <v>170</v>
      </c>
      <c r="H605" s="1">
        <v>45467.72152777778</v>
      </c>
      <c r="I605" s="1">
        <v>45467.856249999997</v>
      </c>
      <c r="J605">
        <v>89</v>
      </c>
      <c r="K605">
        <v>194</v>
      </c>
      <c r="L605">
        <v>1</v>
      </c>
      <c r="M605" t="s">
        <v>22</v>
      </c>
      <c r="N605">
        <v>8</v>
      </c>
      <c r="O605">
        <v>224.65</v>
      </c>
    </row>
    <row r="606" spans="1:15" x14ac:dyDescent="0.35">
      <c r="A606" t="s">
        <v>1391</v>
      </c>
      <c r="B606" t="s">
        <v>16</v>
      </c>
      <c r="C606" t="s">
        <v>1392</v>
      </c>
      <c r="D606" t="s">
        <v>44</v>
      </c>
      <c r="E606" t="s">
        <v>38</v>
      </c>
      <c r="F606" t="s">
        <v>57</v>
      </c>
      <c r="G606" t="s">
        <v>201</v>
      </c>
      <c r="H606" s="1">
        <v>45427.445833333331</v>
      </c>
      <c r="I606" s="1">
        <v>45427.628472222219</v>
      </c>
      <c r="J606">
        <v>180</v>
      </c>
      <c r="K606">
        <v>263</v>
      </c>
      <c r="L606">
        <v>1</v>
      </c>
      <c r="M606" t="s">
        <v>22</v>
      </c>
      <c r="N606">
        <v>10</v>
      </c>
      <c r="O606">
        <v>373.11</v>
      </c>
    </row>
    <row r="607" spans="1:15" x14ac:dyDescent="0.35">
      <c r="A607" t="s">
        <v>1393</v>
      </c>
      <c r="B607" t="s">
        <v>24</v>
      </c>
      <c r="C607" t="s">
        <v>1394</v>
      </c>
      <c r="D607" t="s">
        <v>18</v>
      </c>
      <c r="E607" t="s">
        <v>33</v>
      </c>
      <c r="F607" t="s">
        <v>27</v>
      </c>
      <c r="G607" t="s">
        <v>149</v>
      </c>
      <c r="H607" s="1">
        <v>45566.620138888888</v>
      </c>
      <c r="I607" s="1">
        <v>45566.71597222222</v>
      </c>
      <c r="J607">
        <v>59</v>
      </c>
      <c r="K607">
        <v>138</v>
      </c>
      <c r="L607">
        <v>1</v>
      </c>
      <c r="M607" t="s">
        <v>29</v>
      </c>
      <c r="N607">
        <v>4</v>
      </c>
      <c r="O607">
        <v>285.63</v>
      </c>
    </row>
    <row r="608" spans="1:15" x14ac:dyDescent="0.35">
      <c r="A608" t="s">
        <v>1395</v>
      </c>
      <c r="B608" t="s">
        <v>24</v>
      </c>
      <c r="C608" t="s">
        <v>1396</v>
      </c>
      <c r="D608" t="s">
        <v>48</v>
      </c>
      <c r="E608" t="s">
        <v>85</v>
      </c>
      <c r="F608" t="s">
        <v>34</v>
      </c>
      <c r="G608" t="s">
        <v>97</v>
      </c>
      <c r="H608" s="1">
        <v>45599.970138888886</v>
      </c>
      <c r="I608" s="1">
        <v>45600.05972222222</v>
      </c>
      <c r="J608">
        <v>34</v>
      </c>
      <c r="K608">
        <v>129</v>
      </c>
      <c r="L608">
        <v>1</v>
      </c>
      <c r="M608" t="s">
        <v>29</v>
      </c>
      <c r="N608">
        <v>6</v>
      </c>
      <c r="O608">
        <v>481.7</v>
      </c>
    </row>
    <row r="609" spans="1:15" x14ac:dyDescent="0.35">
      <c r="A609" t="s">
        <v>1397</v>
      </c>
      <c r="B609" t="s">
        <v>31</v>
      </c>
      <c r="C609" t="s">
        <v>1398</v>
      </c>
      <c r="D609" t="s">
        <v>56</v>
      </c>
      <c r="E609" t="s">
        <v>19</v>
      </c>
      <c r="F609" t="s">
        <v>34</v>
      </c>
      <c r="G609" t="s">
        <v>473</v>
      </c>
      <c r="H609" s="1">
        <v>45373.477083333331</v>
      </c>
      <c r="I609" s="1">
        <v>45373.580555555556</v>
      </c>
      <c r="J609">
        <v>74</v>
      </c>
      <c r="K609">
        <v>149</v>
      </c>
      <c r="L609">
        <v>1</v>
      </c>
      <c r="M609" t="s">
        <v>22</v>
      </c>
      <c r="N609">
        <v>10</v>
      </c>
      <c r="O609">
        <v>345.59</v>
      </c>
    </row>
    <row r="610" spans="1:15" x14ac:dyDescent="0.35">
      <c r="A610" t="s">
        <v>1399</v>
      </c>
      <c r="B610" t="s">
        <v>51</v>
      </c>
      <c r="C610" t="s">
        <v>1400</v>
      </c>
      <c r="D610" t="s">
        <v>48</v>
      </c>
      <c r="E610" t="s">
        <v>85</v>
      </c>
      <c r="F610" t="s">
        <v>57</v>
      </c>
      <c r="G610" t="s">
        <v>383</v>
      </c>
      <c r="H610" s="1">
        <v>45591.660416666666</v>
      </c>
      <c r="I610" s="1">
        <v>45591.76458333333</v>
      </c>
      <c r="J610">
        <v>34</v>
      </c>
      <c r="K610">
        <v>150</v>
      </c>
      <c r="L610">
        <v>1</v>
      </c>
      <c r="M610" t="s">
        <v>29</v>
      </c>
      <c r="N610">
        <v>3</v>
      </c>
      <c r="O610">
        <v>149.74</v>
      </c>
    </row>
    <row r="611" spans="1:15" x14ac:dyDescent="0.35">
      <c r="A611" t="s">
        <v>1401</v>
      </c>
      <c r="B611" t="s">
        <v>16</v>
      </c>
      <c r="C611" t="s">
        <v>1402</v>
      </c>
      <c r="D611" t="s">
        <v>44</v>
      </c>
      <c r="E611" t="s">
        <v>85</v>
      </c>
      <c r="F611" t="s">
        <v>27</v>
      </c>
      <c r="G611" t="s">
        <v>383</v>
      </c>
      <c r="H611" s="1">
        <v>45649.781944444447</v>
      </c>
      <c r="I611" s="1">
        <v>45649.908333333333</v>
      </c>
      <c r="J611">
        <v>130</v>
      </c>
      <c r="K611">
        <v>182</v>
      </c>
      <c r="L611">
        <v>1</v>
      </c>
      <c r="M611" t="s">
        <v>22</v>
      </c>
      <c r="N611">
        <v>5</v>
      </c>
      <c r="O611">
        <v>234.96</v>
      </c>
    </row>
    <row r="612" spans="1:15" x14ac:dyDescent="0.35">
      <c r="A612" t="s">
        <v>1403</v>
      </c>
      <c r="B612" t="s">
        <v>51</v>
      </c>
      <c r="C612" t="s">
        <v>1404</v>
      </c>
      <c r="D612" t="s">
        <v>56</v>
      </c>
      <c r="E612" t="s">
        <v>19</v>
      </c>
      <c r="F612" t="s">
        <v>27</v>
      </c>
      <c r="G612" t="s">
        <v>173</v>
      </c>
      <c r="H612" s="1">
        <v>45572.273611111108</v>
      </c>
      <c r="I612" s="1">
        <v>45572.329861111109</v>
      </c>
      <c r="J612">
        <v>54</v>
      </c>
      <c r="K612">
        <v>81</v>
      </c>
      <c r="L612">
        <v>1</v>
      </c>
      <c r="M612" t="s">
        <v>22</v>
      </c>
      <c r="N612">
        <v>3</v>
      </c>
      <c r="O612">
        <v>256.47000000000003</v>
      </c>
    </row>
    <row r="613" spans="1:15" x14ac:dyDescent="0.35">
      <c r="A613" t="s">
        <v>1405</v>
      </c>
      <c r="B613" t="s">
        <v>31</v>
      </c>
      <c r="C613" t="s">
        <v>1406</v>
      </c>
      <c r="D613" t="s">
        <v>26</v>
      </c>
      <c r="E613" t="s">
        <v>38</v>
      </c>
      <c r="F613" t="s">
        <v>39</v>
      </c>
      <c r="G613" t="s">
        <v>143</v>
      </c>
      <c r="H613" s="1">
        <v>45526.818055555559</v>
      </c>
      <c r="I613" s="1">
        <v>45526.885416666664</v>
      </c>
      <c r="J613">
        <v>12</v>
      </c>
      <c r="K613">
        <v>97</v>
      </c>
      <c r="L613">
        <v>1</v>
      </c>
      <c r="M613" t="s">
        <v>41</v>
      </c>
      <c r="N613">
        <v>7</v>
      </c>
      <c r="O613">
        <v>301.06</v>
      </c>
    </row>
    <row r="614" spans="1:15" x14ac:dyDescent="0.35">
      <c r="A614" t="s">
        <v>1407</v>
      </c>
      <c r="B614" t="s">
        <v>63</v>
      </c>
      <c r="C614" t="s">
        <v>1408</v>
      </c>
      <c r="D614" t="s">
        <v>26</v>
      </c>
      <c r="E614" t="s">
        <v>38</v>
      </c>
      <c r="F614" t="s">
        <v>57</v>
      </c>
      <c r="G614" t="s">
        <v>415</v>
      </c>
      <c r="H614" s="1">
        <v>45359.95</v>
      </c>
      <c r="I614" s="1">
        <v>45360.137499999997</v>
      </c>
      <c r="J614">
        <v>181</v>
      </c>
      <c r="K614">
        <v>270</v>
      </c>
      <c r="L614">
        <v>1</v>
      </c>
      <c r="M614" t="s">
        <v>41</v>
      </c>
      <c r="N614">
        <v>2</v>
      </c>
      <c r="O614">
        <v>107.09</v>
      </c>
    </row>
    <row r="615" spans="1:15" x14ac:dyDescent="0.35">
      <c r="A615" t="s">
        <v>1409</v>
      </c>
      <c r="B615" t="s">
        <v>24</v>
      </c>
      <c r="C615" t="s">
        <v>1410</v>
      </c>
      <c r="D615" t="s">
        <v>18</v>
      </c>
      <c r="E615" t="s">
        <v>38</v>
      </c>
      <c r="F615" t="s">
        <v>20</v>
      </c>
      <c r="G615" t="s">
        <v>430</v>
      </c>
      <c r="H615" s="1">
        <v>45560.743750000001</v>
      </c>
      <c r="I615" s="1">
        <v>45560.923611111109</v>
      </c>
      <c r="J615">
        <v>187</v>
      </c>
      <c r="K615">
        <v>259</v>
      </c>
      <c r="L615">
        <v>1</v>
      </c>
      <c r="M615" t="s">
        <v>41</v>
      </c>
      <c r="N615">
        <v>1</v>
      </c>
      <c r="O615">
        <v>268.55</v>
      </c>
    </row>
    <row r="616" spans="1:15" x14ac:dyDescent="0.35">
      <c r="A616" t="s">
        <v>1411</v>
      </c>
      <c r="B616" t="s">
        <v>16</v>
      </c>
      <c r="C616" t="s">
        <v>1412</v>
      </c>
      <c r="D616" t="s">
        <v>56</v>
      </c>
      <c r="E616" t="s">
        <v>33</v>
      </c>
      <c r="F616" t="s">
        <v>27</v>
      </c>
      <c r="G616" t="s">
        <v>1413</v>
      </c>
      <c r="H616" s="1">
        <v>45476.701388888891</v>
      </c>
      <c r="I616" s="1">
        <v>45476.804861111108</v>
      </c>
      <c r="J616">
        <v>83</v>
      </c>
      <c r="K616">
        <v>149</v>
      </c>
      <c r="L616">
        <v>1</v>
      </c>
      <c r="M616" t="s">
        <v>41</v>
      </c>
      <c r="N616">
        <v>10</v>
      </c>
      <c r="O616">
        <v>332.56</v>
      </c>
    </row>
    <row r="617" spans="1:15" x14ac:dyDescent="0.35">
      <c r="A617" t="s">
        <v>1414</v>
      </c>
      <c r="B617" t="s">
        <v>16</v>
      </c>
      <c r="C617" t="s">
        <v>1415</v>
      </c>
      <c r="D617" t="s">
        <v>26</v>
      </c>
      <c r="E617" t="s">
        <v>38</v>
      </c>
      <c r="F617" t="s">
        <v>27</v>
      </c>
      <c r="G617" t="s">
        <v>817</v>
      </c>
      <c r="H617" s="1">
        <v>45371.268750000003</v>
      </c>
      <c r="I617" s="1">
        <v>45371.472916666666</v>
      </c>
      <c r="J617">
        <v>175</v>
      </c>
      <c r="K617">
        <v>294</v>
      </c>
      <c r="L617">
        <v>1</v>
      </c>
      <c r="M617" t="s">
        <v>29</v>
      </c>
      <c r="N617">
        <v>1</v>
      </c>
      <c r="O617">
        <v>336</v>
      </c>
    </row>
    <row r="618" spans="1:15" x14ac:dyDescent="0.35">
      <c r="A618" t="s">
        <v>1416</v>
      </c>
      <c r="B618" t="s">
        <v>24</v>
      </c>
      <c r="C618" t="s">
        <v>1417</v>
      </c>
      <c r="D618" t="s">
        <v>26</v>
      </c>
      <c r="E618" t="s">
        <v>19</v>
      </c>
      <c r="F618" t="s">
        <v>20</v>
      </c>
      <c r="G618" t="s">
        <v>188</v>
      </c>
      <c r="H618" s="1">
        <v>45547.01666666667</v>
      </c>
      <c r="I618" s="1">
        <v>45547.052083333336</v>
      </c>
      <c r="J618">
        <v>20</v>
      </c>
      <c r="K618">
        <v>51</v>
      </c>
      <c r="L618">
        <v>1</v>
      </c>
      <c r="M618" t="s">
        <v>22</v>
      </c>
      <c r="N618">
        <v>3</v>
      </c>
      <c r="O618">
        <v>436.97</v>
      </c>
    </row>
    <row r="619" spans="1:15" x14ac:dyDescent="0.35">
      <c r="A619" t="s">
        <v>1418</v>
      </c>
      <c r="B619" t="s">
        <v>63</v>
      </c>
      <c r="C619" t="s">
        <v>1419</v>
      </c>
      <c r="D619" t="s">
        <v>44</v>
      </c>
      <c r="E619" t="s">
        <v>19</v>
      </c>
      <c r="F619" t="s">
        <v>34</v>
      </c>
      <c r="G619" t="s">
        <v>427</v>
      </c>
      <c r="H619" s="1">
        <v>45530.938194444447</v>
      </c>
      <c r="I619" s="1">
        <v>45531.063888888886</v>
      </c>
      <c r="J619">
        <v>179</v>
      </c>
      <c r="K619">
        <v>181</v>
      </c>
      <c r="L619">
        <v>1</v>
      </c>
      <c r="M619" t="s">
        <v>41</v>
      </c>
      <c r="N619">
        <v>10</v>
      </c>
      <c r="O619">
        <v>361.75</v>
      </c>
    </row>
    <row r="620" spans="1:15" x14ac:dyDescent="0.35">
      <c r="A620" t="s">
        <v>1420</v>
      </c>
      <c r="B620" t="s">
        <v>24</v>
      </c>
      <c r="C620" t="s">
        <v>1421</v>
      </c>
      <c r="D620" t="s">
        <v>26</v>
      </c>
      <c r="E620" t="s">
        <v>19</v>
      </c>
      <c r="F620" t="s">
        <v>20</v>
      </c>
      <c r="G620" t="s">
        <v>129</v>
      </c>
      <c r="H620" s="1">
        <v>45303.539583333331</v>
      </c>
      <c r="I620" s="1">
        <v>45303.719444444447</v>
      </c>
      <c r="J620">
        <v>193</v>
      </c>
      <c r="K620">
        <v>259</v>
      </c>
      <c r="L620">
        <v>1</v>
      </c>
      <c r="M620" t="s">
        <v>41</v>
      </c>
      <c r="N620">
        <v>4</v>
      </c>
      <c r="O620">
        <v>314.60000000000002</v>
      </c>
    </row>
    <row r="621" spans="1:15" x14ac:dyDescent="0.35">
      <c r="A621" t="s">
        <v>1422</v>
      </c>
      <c r="B621" t="s">
        <v>31</v>
      </c>
      <c r="C621" t="s">
        <v>1423</v>
      </c>
      <c r="D621" t="s">
        <v>56</v>
      </c>
      <c r="E621" t="s">
        <v>85</v>
      </c>
      <c r="F621" t="s">
        <v>57</v>
      </c>
      <c r="G621" t="s">
        <v>188</v>
      </c>
      <c r="H621" s="1">
        <v>45656.963194444441</v>
      </c>
      <c r="I621" s="1">
        <v>45657.086111111108</v>
      </c>
      <c r="J621">
        <v>169</v>
      </c>
      <c r="K621">
        <v>177</v>
      </c>
      <c r="L621">
        <v>1</v>
      </c>
      <c r="M621" t="s">
        <v>22</v>
      </c>
      <c r="N621">
        <v>7</v>
      </c>
      <c r="O621">
        <v>370.21</v>
      </c>
    </row>
    <row r="622" spans="1:15" x14ac:dyDescent="0.35">
      <c r="A622" t="s">
        <v>1424</v>
      </c>
      <c r="B622" t="s">
        <v>63</v>
      </c>
      <c r="C622" t="s">
        <v>1425</v>
      </c>
      <c r="D622" t="s">
        <v>26</v>
      </c>
      <c r="E622" t="s">
        <v>38</v>
      </c>
      <c r="F622" t="s">
        <v>34</v>
      </c>
      <c r="G622" t="s">
        <v>897</v>
      </c>
      <c r="H622" s="1">
        <v>45632.619444444441</v>
      </c>
      <c r="I622" s="1">
        <v>45632.713888888888</v>
      </c>
      <c r="J622">
        <v>54</v>
      </c>
      <c r="K622">
        <v>136</v>
      </c>
      <c r="L622">
        <v>1</v>
      </c>
      <c r="M622" t="s">
        <v>41</v>
      </c>
      <c r="N622">
        <v>5</v>
      </c>
      <c r="O622">
        <v>404.9</v>
      </c>
    </row>
    <row r="623" spans="1:15" x14ac:dyDescent="0.35">
      <c r="A623" t="s">
        <v>1426</v>
      </c>
      <c r="B623" t="s">
        <v>16</v>
      </c>
      <c r="C623" t="s">
        <v>1427</v>
      </c>
      <c r="D623" t="s">
        <v>18</v>
      </c>
      <c r="E623" t="s">
        <v>85</v>
      </c>
      <c r="F623" t="s">
        <v>34</v>
      </c>
      <c r="G623" t="s">
        <v>521</v>
      </c>
      <c r="H623" s="1">
        <v>45389.148611111108</v>
      </c>
      <c r="I623" s="1">
        <v>45389.320833333331</v>
      </c>
      <c r="J623">
        <v>230</v>
      </c>
      <c r="K623">
        <v>248</v>
      </c>
      <c r="L623">
        <v>1</v>
      </c>
      <c r="M623" t="s">
        <v>29</v>
      </c>
      <c r="N623">
        <v>4</v>
      </c>
      <c r="O623">
        <v>406.59</v>
      </c>
    </row>
    <row r="624" spans="1:15" x14ac:dyDescent="0.35">
      <c r="A624" t="s">
        <v>1428</v>
      </c>
      <c r="B624" t="s">
        <v>31</v>
      </c>
      <c r="C624" t="s">
        <v>1429</v>
      </c>
      <c r="D624" t="s">
        <v>48</v>
      </c>
      <c r="E624" t="s">
        <v>38</v>
      </c>
      <c r="F624" t="s">
        <v>34</v>
      </c>
      <c r="G624" t="s">
        <v>40</v>
      </c>
      <c r="H624" s="1">
        <v>45309.73333333333</v>
      </c>
      <c r="I624" s="1">
        <v>45309.824305555558</v>
      </c>
      <c r="J624">
        <v>81</v>
      </c>
      <c r="K624">
        <v>131</v>
      </c>
      <c r="L624">
        <v>1</v>
      </c>
      <c r="M624" t="s">
        <v>22</v>
      </c>
      <c r="N624">
        <v>6</v>
      </c>
      <c r="O624">
        <v>161.94</v>
      </c>
    </row>
    <row r="625" spans="1:15" x14ac:dyDescent="0.35">
      <c r="A625" t="s">
        <v>1430</v>
      </c>
      <c r="B625" t="s">
        <v>63</v>
      </c>
      <c r="C625" t="s">
        <v>1431</v>
      </c>
      <c r="D625" t="s">
        <v>18</v>
      </c>
      <c r="E625" t="s">
        <v>19</v>
      </c>
      <c r="F625" t="s">
        <v>57</v>
      </c>
      <c r="G625" t="s">
        <v>120</v>
      </c>
      <c r="H625" s="1">
        <v>45611.017361111109</v>
      </c>
      <c r="I625" s="1">
        <v>45611.13958333333</v>
      </c>
      <c r="J625">
        <v>139</v>
      </c>
      <c r="K625">
        <v>176</v>
      </c>
      <c r="L625">
        <v>1</v>
      </c>
      <c r="M625" t="s">
        <v>29</v>
      </c>
      <c r="N625">
        <v>5</v>
      </c>
      <c r="O625">
        <v>498.56</v>
      </c>
    </row>
    <row r="626" spans="1:15" x14ac:dyDescent="0.35">
      <c r="A626" t="s">
        <v>1432</v>
      </c>
      <c r="B626" t="s">
        <v>16</v>
      </c>
      <c r="C626" t="s">
        <v>1433</v>
      </c>
      <c r="D626" t="s">
        <v>18</v>
      </c>
      <c r="E626" t="s">
        <v>38</v>
      </c>
      <c r="F626" t="s">
        <v>27</v>
      </c>
      <c r="G626" t="s">
        <v>188</v>
      </c>
      <c r="H626" s="1">
        <v>45470.247916666667</v>
      </c>
      <c r="I626" s="1">
        <v>45470.354861111111</v>
      </c>
      <c r="J626">
        <v>132</v>
      </c>
      <c r="K626">
        <v>154</v>
      </c>
      <c r="L626">
        <v>1</v>
      </c>
      <c r="M626" t="s">
        <v>29</v>
      </c>
      <c r="N626">
        <v>6</v>
      </c>
      <c r="O626">
        <v>482.59</v>
      </c>
    </row>
    <row r="627" spans="1:15" x14ac:dyDescent="0.35">
      <c r="A627" t="s">
        <v>1434</v>
      </c>
      <c r="B627" t="s">
        <v>24</v>
      </c>
      <c r="C627" t="s">
        <v>1435</v>
      </c>
      <c r="D627" t="s">
        <v>26</v>
      </c>
      <c r="E627" t="s">
        <v>19</v>
      </c>
      <c r="F627" t="s">
        <v>20</v>
      </c>
      <c r="G627" t="s">
        <v>354</v>
      </c>
      <c r="H627" s="1">
        <v>45413.885416666664</v>
      </c>
      <c r="I627" s="1">
        <v>45414.056944444441</v>
      </c>
      <c r="J627">
        <v>183</v>
      </c>
      <c r="K627">
        <v>247</v>
      </c>
      <c r="L627">
        <v>1</v>
      </c>
      <c r="M627" t="s">
        <v>29</v>
      </c>
      <c r="N627">
        <v>6</v>
      </c>
      <c r="O627">
        <v>94.13</v>
      </c>
    </row>
    <row r="628" spans="1:15" x14ac:dyDescent="0.35">
      <c r="A628" t="s">
        <v>1436</v>
      </c>
      <c r="B628" t="s">
        <v>16</v>
      </c>
      <c r="C628" t="s">
        <v>1437</v>
      </c>
      <c r="D628" t="s">
        <v>56</v>
      </c>
      <c r="E628" t="s">
        <v>85</v>
      </c>
      <c r="F628" t="s">
        <v>20</v>
      </c>
      <c r="G628" t="s">
        <v>594</v>
      </c>
      <c r="H628" s="1">
        <v>45411.629861111112</v>
      </c>
      <c r="I628" s="1">
        <v>45411.821527777778</v>
      </c>
      <c r="J628">
        <v>157</v>
      </c>
      <c r="K628">
        <v>276</v>
      </c>
      <c r="L628">
        <v>1</v>
      </c>
      <c r="M628" t="s">
        <v>22</v>
      </c>
      <c r="N628">
        <v>7</v>
      </c>
      <c r="O628">
        <v>73.06</v>
      </c>
    </row>
    <row r="629" spans="1:15" x14ac:dyDescent="0.35">
      <c r="A629" t="s">
        <v>1438</v>
      </c>
      <c r="B629" t="s">
        <v>31</v>
      </c>
      <c r="C629" t="s">
        <v>1439</v>
      </c>
      <c r="D629" t="s">
        <v>56</v>
      </c>
      <c r="E629" t="s">
        <v>85</v>
      </c>
      <c r="F629" t="s">
        <v>34</v>
      </c>
      <c r="G629" t="s">
        <v>1172</v>
      </c>
      <c r="H629" s="1">
        <v>45587.570138888892</v>
      </c>
      <c r="I629" s="1">
        <v>45587.675694444442</v>
      </c>
      <c r="J629">
        <v>119</v>
      </c>
      <c r="K629">
        <v>152</v>
      </c>
      <c r="L629">
        <v>1</v>
      </c>
      <c r="M629" t="s">
        <v>29</v>
      </c>
      <c r="N629">
        <v>10</v>
      </c>
      <c r="O629">
        <v>103.72</v>
      </c>
    </row>
    <row r="630" spans="1:15" x14ac:dyDescent="0.35">
      <c r="A630" t="s">
        <v>1440</v>
      </c>
      <c r="B630" t="s">
        <v>63</v>
      </c>
      <c r="C630" t="s">
        <v>1441</v>
      </c>
      <c r="D630" t="s">
        <v>56</v>
      </c>
      <c r="E630" t="s">
        <v>19</v>
      </c>
      <c r="F630" t="s">
        <v>39</v>
      </c>
      <c r="G630" t="s">
        <v>308</v>
      </c>
      <c r="H630" s="1">
        <v>45307.598611111112</v>
      </c>
      <c r="I630" s="1">
        <v>45307.756944444445</v>
      </c>
      <c r="J630">
        <v>114</v>
      </c>
      <c r="K630">
        <v>228</v>
      </c>
      <c r="L630">
        <v>1</v>
      </c>
      <c r="M630" t="s">
        <v>29</v>
      </c>
      <c r="N630">
        <v>4</v>
      </c>
      <c r="O630">
        <v>437.11</v>
      </c>
    </row>
    <row r="631" spans="1:15" x14ac:dyDescent="0.35">
      <c r="A631" t="s">
        <v>1442</v>
      </c>
      <c r="B631" t="s">
        <v>51</v>
      </c>
      <c r="C631" t="s">
        <v>1443</v>
      </c>
      <c r="D631" t="s">
        <v>18</v>
      </c>
      <c r="E631" t="s">
        <v>85</v>
      </c>
      <c r="F631" t="s">
        <v>34</v>
      </c>
      <c r="G631" t="s">
        <v>108</v>
      </c>
      <c r="H631" s="1">
        <v>45307.563194444447</v>
      </c>
      <c r="I631" s="1">
        <v>45307.713194444441</v>
      </c>
      <c r="J631">
        <v>140</v>
      </c>
      <c r="K631">
        <v>216</v>
      </c>
      <c r="L631">
        <v>1</v>
      </c>
      <c r="M631" t="s">
        <v>29</v>
      </c>
      <c r="N631">
        <v>2</v>
      </c>
      <c r="O631">
        <v>418.17</v>
      </c>
    </row>
    <row r="632" spans="1:15" x14ac:dyDescent="0.35">
      <c r="A632" t="s">
        <v>1444</v>
      </c>
      <c r="B632" t="s">
        <v>63</v>
      </c>
      <c r="C632" t="s">
        <v>1445</v>
      </c>
      <c r="D632" t="s">
        <v>48</v>
      </c>
      <c r="E632" t="s">
        <v>38</v>
      </c>
      <c r="F632" t="s">
        <v>27</v>
      </c>
      <c r="G632" t="s">
        <v>640</v>
      </c>
      <c r="H632" s="1">
        <v>45500.482638888891</v>
      </c>
      <c r="I632" s="1">
        <v>45500.554166666669</v>
      </c>
      <c r="J632">
        <v>101</v>
      </c>
      <c r="K632">
        <v>103</v>
      </c>
      <c r="L632">
        <v>1</v>
      </c>
      <c r="M632" t="s">
        <v>29</v>
      </c>
      <c r="N632">
        <v>6</v>
      </c>
      <c r="O632">
        <v>278.19</v>
      </c>
    </row>
    <row r="633" spans="1:15" x14ac:dyDescent="0.35">
      <c r="A633" t="s">
        <v>1446</v>
      </c>
      <c r="B633" t="s">
        <v>63</v>
      </c>
      <c r="C633" t="s">
        <v>1447</v>
      </c>
      <c r="D633" t="s">
        <v>18</v>
      </c>
      <c r="E633" t="s">
        <v>38</v>
      </c>
      <c r="F633" t="s">
        <v>34</v>
      </c>
      <c r="G633" t="s">
        <v>76</v>
      </c>
      <c r="H633" s="1">
        <v>45375.615972222222</v>
      </c>
      <c r="I633" s="1">
        <v>45375.652083333334</v>
      </c>
      <c r="J633">
        <v>54</v>
      </c>
      <c r="K633">
        <v>52</v>
      </c>
      <c r="L633">
        <v>0</v>
      </c>
      <c r="M633" t="s">
        <v>41</v>
      </c>
      <c r="N633">
        <v>8</v>
      </c>
      <c r="O633">
        <v>262.43</v>
      </c>
    </row>
    <row r="634" spans="1:15" x14ac:dyDescent="0.35">
      <c r="A634" t="s">
        <v>1448</v>
      </c>
      <c r="B634" t="s">
        <v>63</v>
      </c>
      <c r="C634" t="s">
        <v>1449</v>
      </c>
      <c r="D634" t="s">
        <v>44</v>
      </c>
      <c r="E634" t="s">
        <v>38</v>
      </c>
      <c r="F634" t="s">
        <v>39</v>
      </c>
      <c r="G634" t="s">
        <v>1172</v>
      </c>
      <c r="H634" s="1">
        <v>45294.186111111114</v>
      </c>
      <c r="I634" s="1">
        <v>45294.225694444445</v>
      </c>
      <c r="J634">
        <v>31</v>
      </c>
      <c r="K634">
        <v>57</v>
      </c>
      <c r="L634">
        <v>1</v>
      </c>
      <c r="M634" t="s">
        <v>29</v>
      </c>
      <c r="N634">
        <v>5</v>
      </c>
      <c r="O634">
        <v>448.71</v>
      </c>
    </row>
    <row r="635" spans="1:15" x14ac:dyDescent="0.35">
      <c r="A635" t="s">
        <v>1450</v>
      </c>
      <c r="B635" t="s">
        <v>51</v>
      </c>
      <c r="C635" t="s">
        <v>1451</v>
      </c>
      <c r="D635" t="s">
        <v>48</v>
      </c>
      <c r="E635" t="s">
        <v>19</v>
      </c>
      <c r="F635" t="s">
        <v>57</v>
      </c>
      <c r="G635" t="s">
        <v>262</v>
      </c>
      <c r="H635" s="1">
        <v>45460.758333333331</v>
      </c>
      <c r="I635" s="1">
        <v>45460.799305555556</v>
      </c>
      <c r="J635">
        <v>24</v>
      </c>
      <c r="K635">
        <v>59</v>
      </c>
      <c r="L635">
        <v>1</v>
      </c>
      <c r="M635" t="s">
        <v>41</v>
      </c>
      <c r="N635">
        <v>5</v>
      </c>
      <c r="O635">
        <v>442.2</v>
      </c>
    </row>
    <row r="636" spans="1:15" x14ac:dyDescent="0.35">
      <c r="A636" t="s">
        <v>1452</v>
      </c>
      <c r="B636" t="s">
        <v>51</v>
      </c>
      <c r="C636" t="s">
        <v>1453</v>
      </c>
      <c r="D636" t="s">
        <v>44</v>
      </c>
      <c r="E636" t="s">
        <v>33</v>
      </c>
      <c r="F636" t="s">
        <v>39</v>
      </c>
      <c r="G636" t="s">
        <v>631</v>
      </c>
      <c r="H636" s="1">
        <v>45322.200694444444</v>
      </c>
      <c r="I636" s="1">
        <v>45322.277777777781</v>
      </c>
      <c r="J636">
        <v>44</v>
      </c>
      <c r="K636">
        <v>111</v>
      </c>
      <c r="L636">
        <v>1</v>
      </c>
      <c r="M636" t="s">
        <v>29</v>
      </c>
      <c r="N636">
        <v>4</v>
      </c>
      <c r="O636">
        <v>387.95</v>
      </c>
    </row>
    <row r="637" spans="1:15" x14ac:dyDescent="0.35">
      <c r="A637" t="s">
        <v>1454</v>
      </c>
      <c r="B637" t="s">
        <v>16</v>
      </c>
      <c r="C637" t="s">
        <v>1455</v>
      </c>
      <c r="D637" t="s">
        <v>48</v>
      </c>
      <c r="E637" t="s">
        <v>85</v>
      </c>
      <c r="F637" t="s">
        <v>20</v>
      </c>
      <c r="G637" t="s">
        <v>602</v>
      </c>
      <c r="H637" s="1">
        <v>45644.165972222225</v>
      </c>
      <c r="I637" s="1">
        <v>45644.237500000003</v>
      </c>
      <c r="J637">
        <v>41</v>
      </c>
      <c r="K637">
        <v>103</v>
      </c>
      <c r="L637">
        <v>1</v>
      </c>
      <c r="M637" t="s">
        <v>22</v>
      </c>
      <c r="N637">
        <v>5</v>
      </c>
      <c r="O637">
        <v>494.65</v>
      </c>
    </row>
    <row r="638" spans="1:15" x14ac:dyDescent="0.35">
      <c r="A638" t="s">
        <v>1456</v>
      </c>
      <c r="B638" t="s">
        <v>16</v>
      </c>
      <c r="C638" t="s">
        <v>1457</v>
      </c>
      <c r="D638" t="s">
        <v>48</v>
      </c>
      <c r="E638" t="s">
        <v>85</v>
      </c>
      <c r="F638" t="s">
        <v>20</v>
      </c>
      <c r="G638" t="s">
        <v>111</v>
      </c>
      <c r="H638" s="1">
        <v>45391.003472222219</v>
      </c>
      <c r="I638" s="1">
        <v>45391.094444444447</v>
      </c>
      <c r="J638">
        <v>99</v>
      </c>
      <c r="K638">
        <v>131</v>
      </c>
      <c r="L638">
        <v>1</v>
      </c>
      <c r="M638" t="s">
        <v>41</v>
      </c>
      <c r="N638">
        <v>2</v>
      </c>
      <c r="O638">
        <v>336.02</v>
      </c>
    </row>
    <row r="639" spans="1:15" x14ac:dyDescent="0.35">
      <c r="A639" t="s">
        <v>1458</v>
      </c>
      <c r="B639" t="s">
        <v>24</v>
      </c>
      <c r="C639" t="s">
        <v>1459</v>
      </c>
      <c r="D639" t="s">
        <v>48</v>
      </c>
      <c r="E639" t="s">
        <v>33</v>
      </c>
      <c r="F639" t="s">
        <v>27</v>
      </c>
      <c r="G639" t="s">
        <v>1278</v>
      </c>
      <c r="H639" s="1">
        <v>45376.734722222223</v>
      </c>
      <c r="I639" s="1">
        <v>45376.822916666664</v>
      </c>
      <c r="J639">
        <v>97</v>
      </c>
      <c r="K639">
        <v>127</v>
      </c>
      <c r="L639">
        <v>1</v>
      </c>
      <c r="M639" t="s">
        <v>22</v>
      </c>
      <c r="N639">
        <v>5</v>
      </c>
      <c r="O639">
        <v>423.88</v>
      </c>
    </row>
    <row r="640" spans="1:15" x14ac:dyDescent="0.35">
      <c r="A640" t="s">
        <v>1460</v>
      </c>
      <c r="B640" t="s">
        <v>51</v>
      </c>
      <c r="C640" t="s">
        <v>1461</v>
      </c>
      <c r="D640" t="s">
        <v>48</v>
      </c>
      <c r="E640" t="s">
        <v>33</v>
      </c>
      <c r="F640" t="s">
        <v>39</v>
      </c>
      <c r="G640" t="s">
        <v>114</v>
      </c>
      <c r="H640" s="1">
        <v>45452.701388888891</v>
      </c>
      <c r="I640" s="1">
        <v>45452.856944444444</v>
      </c>
      <c r="J640">
        <v>124</v>
      </c>
      <c r="K640">
        <v>224</v>
      </c>
      <c r="L640">
        <v>1</v>
      </c>
      <c r="M640" t="s">
        <v>22</v>
      </c>
      <c r="N640">
        <v>2</v>
      </c>
      <c r="O640">
        <v>187.86</v>
      </c>
    </row>
    <row r="641" spans="1:15" x14ac:dyDescent="0.35">
      <c r="A641" t="s">
        <v>1462</v>
      </c>
      <c r="B641" t="s">
        <v>51</v>
      </c>
      <c r="C641" t="s">
        <v>1463</v>
      </c>
      <c r="D641" t="s">
        <v>56</v>
      </c>
      <c r="E641" t="s">
        <v>19</v>
      </c>
      <c r="F641" t="s">
        <v>20</v>
      </c>
      <c r="G641" t="s">
        <v>1278</v>
      </c>
      <c r="H641" s="1">
        <v>45357.311805555553</v>
      </c>
      <c r="I641" s="1">
        <v>45357.487500000003</v>
      </c>
      <c r="J641">
        <v>191</v>
      </c>
      <c r="K641">
        <v>253</v>
      </c>
      <c r="L641">
        <v>1</v>
      </c>
      <c r="M641" t="s">
        <v>22</v>
      </c>
      <c r="N641">
        <v>7</v>
      </c>
      <c r="O641">
        <v>215.96</v>
      </c>
    </row>
    <row r="642" spans="1:15" x14ac:dyDescent="0.35">
      <c r="A642" t="s">
        <v>1464</v>
      </c>
      <c r="B642" t="s">
        <v>31</v>
      </c>
      <c r="C642" t="s">
        <v>1465</v>
      </c>
      <c r="D642" t="s">
        <v>26</v>
      </c>
      <c r="E642" t="s">
        <v>85</v>
      </c>
      <c r="F642" t="s">
        <v>34</v>
      </c>
      <c r="G642" t="s">
        <v>456</v>
      </c>
      <c r="H642" s="1">
        <v>45292.499305555553</v>
      </c>
      <c r="I642" s="1">
        <v>45292.640972222223</v>
      </c>
      <c r="J642">
        <v>160</v>
      </c>
      <c r="K642">
        <v>204</v>
      </c>
      <c r="L642">
        <v>1</v>
      </c>
      <c r="M642" t="s">
        <v>22</v>
      </c>
      <c r="N642">
        <v>6</v>
      </c>
      <c r="O642">
        <v>467.96</v>
      </c>
    </row>
    <row r="643" spans="1:15" x14ac:dyDescent="0.35">
      <c r="A643" t="s">
        <v>1466</v>
      </c>
      <c r="B643" t="s">
        <v>63</v>
      </c>
      <c r="C643" t="s">
        <v>1467</v>
      </c>
      <c r="D643" t="s">
        <v>48</v>
      </c>
      <c r="E643" t="s">
        <v>19</v>
      </c>
      <c r="F643" t="s">
        <v>39</v>
      </c>
      <c r="G643" t="s">
        <v>170</v>
      </c>
      <c r="H643" s="1">
        <v>45386.44027777778</v>
      </c>
      <c r="I643" s="1">
        <v>45386.657638888886</v>
      </c>
      <c r="J643">
        <v>228</v>
      </c>
      <c r="K643">
        <v>313</v>
      </c>
      <c r="L643">
        <v>1</v>
      </c>
      <c r="M643" t="s">
        <v>41</v>
      </c>
      <c r="N643">
        <v>4</v>
      </c>
      <c r="O643">
        <v>238.15</v>
      </c>
    </row>
    <row r="644" spans="1:15" x14ac:dyDescent="0.35">
      <c r="A644" t="s">
        <v>1468</v>
      </c>
      <c r="B644" t="s">
        <v>31</v>
      </c>
      <c r="C644" t="s">
        <v>1469</v>
      </c>
      <c r="D644" t="s">
        <v>18</v>
      </c>
      <c r="E644" t="s">
        <v>38</v>
      </c>
      <c r="F644" t="s">
        <v>20</v>
      </c>
      <c r="G644" t="s">
        <v>45</v>
      </c>
      <c r="H644" s="1">
        <v>45391.775694444441</v>
      </c>
      <c r="I644" s="1">
        <v>45391.89166666667</v>
      </c>
      <c r="J644">
        <v>86</v>
      </c>
      <c r="K644">
        <v>167</v>
      </c>
      <c r="L644">
        <v>1</v>
      </c>
      <c r="M644" t="s">
        <v>41</v>
      </c>
      <c r="N644">
        <v>3</v>
      </c>
      <c r="O644">
        <v>413.53</v>
      </c>
    </row>
    <row r="645" spans="1:15" x14ac:dyDescent="0.35">
      <c r="A645" t="s">
        <v>1470</v>
      </c>
      <c r="B645" t="s">
        <v>51</v>
      </c>
      <c r="C645" t="s">
        <v>1471</v>
      </c>
      <c r="D645" t="s">
        <v>44</v>
      </c>
      <c r="E645" t="s">
        <v>38</v>
      </c>
      <c r="F645" t="s">
        <v>34</v>
      </c>
      <c r="G645" t="s">
        <v>143</v>
      </c>
      <c r="H645" s="1">
        <v>45485.906944444447</v>
      </c>
      <c r="I645" s="1">
        <v>45485.986805555556</v>
      </c>
      <c r="J645">
        <v>85</v>
      </c>
      <c r="K645">
        <v>115</v>
      </c>
      <c r="L645">
        <v>1</v>
      </c>
      <c r="M645" t="s">
        <v>41</v>
      </c>
      <c r="N645">
        <v>8</v>
      </c>
      <c r="O645">
        <v>121.36</v>
      </c>
    </row>
    <row r="646" spans="1:15" x14ac:dyDescent="0.35">
      <c r="A646" t="s">
        <v>1472</v>
      </c>
      <c r="B646" t="s">
        <v>24</v>
      </c>
      <c r="C646" t="s">
        <v>1473</v>
      </c>
      <c r="D646" t="s">
        <v>26</v>
      </c>
      <c r="E646" t="s">
        <v>85</v>
      </c>
      <c r="F646" t="s">
        <v>34</v>
      </c>
      <c r="G646" t="s">
        <v>602</v>
      </c>
      <c r="H646" s="1">
        <v>45655.114583333336</v>
      </c>
      <c r="I646" s="1">
        <v>45655.162499999999</v>
      </c>
      <c r="J646">
        <v>63</v>
      </c>
      <c r="K646">
        <v>69</v>
      </c>
      <c r="L646">
        <v>1</v>
      </c>
      <c r="M646" t="s">
        <v>29</v>
      </c>
      <c r="N646">
        <v>6</v>
      </c>
      <c r="O646">
        <v>79.069999999999993</v>
      </c>
    </row>
    <row r="647" spans="1:15" x14ac:dyDescent="0.35">
      <c r="A647" t="s">
        <v>1474</v>
      </c>
      <c r="B647" t="s">
        <v>51</v>
      </c>
      <c r="C647" t="s">
        <v>1475</v>
      </c>
      <c r="D647" t="s">
        <v>44</v>
      </c>
      <c r="E647" t="s">
        <v>33</v>
      </c>
      <c r="F647" t="s">
        <v>20</v>
      </c>
      <c r="G647" t="s">
        <v>210</v>
      </c>
      <c r="H647" s="1">
        <v>45653.910416666666</v>
      </c>
      <c r="I647" s="1">
        <v>45653.954861111109</v>
      </c>
      <c r="J647">
        <v>43</v>
      </c>
      <c r="K647">
        <v>64</v>
      </c>
      <c r="L647">
        <v>1</v>
      </c>
      <c r="M647" t="s">
        <v>22</v>
      </c>
      <c r="N647">
        <v>9</v>
      </c>
      <c r="O647">
        <v>407.64</v>
      </c>
    </row>
    <row r="648" spans="1:15" x14ac:dyDescent="0.35">
      <c r="A648" t="s">
        <v>1476</v>
      </c>
      <c r="B648" t="s">
        <v>63</v>
      </c>
      <c r="C648" t="s">
        <v>1477</v>
      </c>
      <c r="D648" t="s">
        <v>56</v>
      </c>
      <c r="E648" t="s">
        <v>19</v>
      </c>
      <c r="F648" t="s">
        <v>34</v>
      </c>
      <c r="G648" t="s">
        <v>296</v>
      </c>
      <c r="H648" s="1">
        <v>45369.888888888891</v>
      </c>
      <c r="I648" s="1">
        <v>45369.999305555553</v>
      </c>
      <c r="J648">
        <v>85</v>
      </c>
      <c r="K648">
        <v>159</v>
      </c>
      <c r="L648">
        <v>1</v>
      </c>
      <c r="M648" t="s">
        <v>22</v>
      </c>
      <c r="N648">
        <v>4</v>
      </c>
      <c r="O648">
        <v>119.19</v>
      </c>
    </row>
    <row r="649" spans="1:15" x14ac:dyDescent="0.35">
      <c r="A649" t="s">
        <v>1478</v>
      </c>
      <c r="B649" t="s">
        <v>24</v>
      </c>
      <c r="C649" t="s">
        <v>1479</v>
      </c>
      <c r="D649" t="s">
        <v>18</v>
      </c>
      <c r="E649" t="s">
        <v>85</v>
      </c>
      <c r="F649" t="s">
        <v>39</v>
      </c>
      <c r="G649" t="s">
        <v>170</v>
      </c>
      <c r="H649" s="1">
        <v>45415.372916666667</v>
      </c>
      <c r="I649" s="1">
        <v>45415.561111111114</v>
      </c>
      <c r="J649">
        <v>226</v>
      </c>
      <c r="K649">
        <v>271</v>
      </c>
      <c r="L649">
        <v>1</v>
      </c>
      <c r="M649" t="s">
        <v>22</v>
      </c>
      <c r="N649">
        <v>5</v>
      </c>
      <c r="O649">
        <v>371.95</v>
      </c>
    </row>
    <row r="650" spans="1:15" x14ac:dyDescent="0.35">
      <c r="A650" t="s">
        <v>1480</v>
      </c>
      <c r="B650" t="s">
        <v>63</v>
      </c>
      <c r="C650" t="s">
        <v>1481</v>
      </c>
      <c r="D650" t="s">
        <v>26</v>
      </c>
      <c r="E650" t="s">
        <v>33</v>
      </c>
      <c r="F650" t="s">
        <v>39</v>
      </c>
      <c r="G650" t="s">
        <v>299</v>
      </c>
      <c r="H650" s="1">
        <v>45418.152777777781</v>
      </c>
      <c r="I650" s="1">
        <v>45418.299305555556</v>
      </c>
      <c r="J650">
        <v>167</v>
      </c>
      <c r="K650">
        <v>211</v>
      </c>
      <c r="L650">
        <v>1</v>
      </c>
      <c r="M650" t="s">
        <v>29</v>
      </c>
      <c r="N650">
        <v>7</v>
      </c>
      <c r="O650">
        <v>188.94</v>
      </c>
    </row>
    <row r="651" spans="1:15" x14ac:dyDescent="0.35">
      <c r="A651" t="s">
        <v>1482</v>
      </c>
      <c r="B651" t="s">
        <v>24</v>
      </c>
      <c r="C651" t="s">
        <v>1483</v>
      </c>
      <c r="D651" t="s">
        <v>26</v>
      </c>
      <c r="E651" t="s">
        <v>19</v>
      </c>
      <c r="F651" t="s">
        <v>39</v>
      </c>
      <c r="G651" t="s">
        <v>505</v>
      </c>
      <c r="H651" s="1">
        <v>45365.703472222223</v>
      </c>
      <c r="I651" s="1">
        <v>45365.847222222219</v>
      </c>
      <c r="J651">
        <v>153</v>
      </c>
      <c r="K651">
        <v>207</v>
      </c>
      <c r="L651">
        <v>1</v>
      </c>
      <c r="M651" t="s">
        <v>29</v>
      </c>
      <c r="N651">
        <v>6</v>
      </c>
      <c r="O651">
        <v>300.58999999999997</v>
      </c>
    </row>
    <row r="652" spans="1:15" x14ac:dyDescent="0.35">
      <c r="A652" t="s">
        <v>1484</v>
      </c>
      <c r="B652" t="s">
        <v>24</v>
      </c>
      <c r="C652" t="s">
        <v>1485</v>
      </c>
      <c r="D652" t="s">
        <v>18</v>
      </c>
      <c r="E652" t="s">
        <v>33</v>
      </c>
      <c r="F652" t="s">
        <v>27</v>
      </c>
      <c r="G652" t="s">
        <v>810</v>
      </c>
      <c r="H652" s="1">
        <v>45369.277777777781</v>
      </c>
      <c r="I652" s="1">
        <v>45369.473611111112</v>
      </c>
      <c r="J652">
        <v>225</v>
      </c>
      <c r="K652">
        <v>282</v>
      </c>
      <c r="L652">
        <v>1</v>
      </c>
      <c r="M652" t="s">
        <v>22</v>
      </c>
      <c r="N652">
        <v>3</v>
      </c>
      <c r="O652">
        <v>233.45</v>
      </c>
    </row>
    <row r="653" spans="1:15" x14ac:dyDescent="0.35">
      <c r="A653" t="s">
        <v>1486</v>
      </c>
      <c r="B653" t="s">
        <v>31</v>
      </c>
      <c r="C653" t="s">
        <v>1487</v>
      </c>
      <c r="D653" t="s">
        <v>26</v>
      </c>
      <c r="E653" t="s">
        <v>19</v>
      </c>
      <c r="F653" t="s">
        <v>27</v>
      </c>
      <c r="G653" t="s">
        <v>354</v>
      </c>
      <c r="H653" s="1">
        <v>45415.734722222223</v>
      </c>
      <c r="I653" s="1">
        <v>45415.831250000003</v>
      </c>
      <c r="J653">
        <v>31</v>
      </c>
      <c r="K653">
        <v>139</v>
      </c>
      <c r="L653">
        <v>1</v>
      </c>
      <c r="M653" t="s">
        <v>22</v>
      </c>
      <c r="N653">
        <v>6</v>
      </c>
      <c r="O653">
        <v>210.83</v>
      </c>
    </row>
    <row r="654" spans="1:15" x14ac:dyDescent="0.35">
      <c r="A654" t="s">
        <v>1488</v>
      </c>
      <c r="B654" t="s">
        <v>51</v>
      </c>
      <c r="C654" t="s">
        <v>1489</v>
      </c>
      <c r="D654" t="s">
        <v>18</v>
      </c>
      <c r="E654" t="s">
        <v>19</v>
      </c>
      <c r="F654" t="s">
        <v>57</v>
      </c>
      <c r="G654" t="s">
        <v>842</v>
      </c>
      <c r="H654" s="1">
        <v>45371.540277777778</v>
      </c>
      <c r="I654" s="1">
        <v>45371.685416666667</v>
      </c>
      <c r="J654">
        <v>100</v>
      </c>
      <c r="K654">
        <v>209</v>
      </c>
      <c r="L654">
        <v>1</v>
      </c>
      <c r="M654" t="s">
        <v>29</v>
      </c>
      <c r="N654">
        <v>10</v>
      </c>
      <c r="O654">
        <v>337.12</v>
      </c>
    </row>
    <row r="655" spans="1:15" x14ac:dyDescent="0.35">
      <c r="A655" t="s">
        <v>1490</v>
      </c>
      <c r="B655" t="s">
        <v>31</v>
      </c>
      <c r="C655" t="s">
        <v>1491</v>
      </c>
      <c r="D655" t="s">
        <v>26</v>
      </c>
      <c r="E655" t="s">
        <v>38</v>
      </c>
      <c r="F655" t="s">
        <v>34</v>
      </c>
      <c r="G655" t="s">
        <v>167</v>
      </c>
      <c r="H655" s="1">
        <v>45579.697916666664</v>
      </c>
      <c r="I655" s="1">
        <v>45579.883333333331</v>
      </c>
      <c r="J655">
        <v>222</v>
      </c>
      <c r="K655">
        <v>267</v>
      </c>
      <c r="L655">
        <v>1</v>
      </c>
      <c r="M655" t="s">
        <v>41</v>
      </c>
      <c r="N655">
        <v>2</v>
      </c>
      <c r="O655">
        <v>73.53</v>
      </c>
    </row>
    <row r="656" spans="1:15" x14ac:dyDescent="0.35">
      <c r="A656" t="s">
        <v>1492</v>
      </c>
      <c r="B656" t="s">
        <v>24</v>
      </c>
      <c r="C656" t="s">
        <v>1493</v>
      </c>
      <c r="D656" t="s">
        <v>44</v>
      </c>
      <c r="E656" t="s">
        <v>33</v>
      </c>
      <c r="F656" t="s">
        <v>34</v>
      </c>
      <c r="G656" t="s">
        <v>505</v>
      </c>
      <c r="H656" s="1">
        <v>45345.938888888886</v>
      </c>
      <c r="I656" s="1">
        <v>45346.086805555555</v>
      </c>
      <c r="J656">
        <v>142</v>
      </c>
      <c r="K656">
        <v>213</v>
      </c>
      <c r="L656">
        <v>1</v>
      </c>
      <c r="M656" t="s">
        <v>29</v>
      </c>
      <c r="N656">
        <v>7</v>
      </c>
      <c r="O656">
        <v>397.4</v>
      </c>
    </row>
    <row r="657" spans="1:15" x14ac:dyDescent="0.35">
      <c r="A657" t="s">
        <v>1494</v>
      </c>
      <c r="B657" t="s">
        <v>24</v>
      </c>
      <c r="C657" t="s">
        <v>1495</v>
      </c>
      <c r="D657" t="s">
        <v>48</v>
      </c>
      <c r="E657" t="s">
        <v>38</v>
      </c>
      <c r="F657" t="s">
        <v>39</v>
      </c>
      <c r="G657" t="s">
        <v>485</v>
      </c>
      <c r="H657" s="1">
        <v>45334.525000000001</v>
      </c>
      <c r="I657" s="1">
        <v>45334.748611111114</v>
      </c>
      <c r="J657">
        <v>238</v>
      </c>
      <c r="K657">
        <v>322</v>
      </c>
      <c r="L657">
        <v>1</v>
      </c>
      <c r="M657" t="s">
        <v>41</v>
      </c>
      <c r="N657">
        <v>3</v>
      </c>
      <c r="O657">
        <v>286.08</v>
      </c>
    </row>
    <row r="658" spans="1:15" x14ac:dyDescent="0.35">
      <c r="A658" t="s">
        <v>1496</v>
      </c>
      <c r="B658" t="s">
        <v>63</v>
      </c>
      <c r="C658" t="s">
        <v>1497</v>
      </c>
      <c r="D658" t="s">
        <v>18</v>
      </c>
      <c r="E658" t="s">
        <v>33</v>
      </c>
      <c r="F658" t="s">
        <v>39</v>
      </c>
      <c r="G658" t="s">
        <v>45</v>
      </c>
      <c r="H658" s="1">
        <v>45344.390277777777</v>
      </c>
      <c r="I658" s="1">
        <v>45344.631249999999</v>
      </c>
      <c r="J658">
        <v>238</v>
      </c>
      <c r="K658">
        <v>347</v>
      </c>
      <c r="L658">
        <v>1</v>
      </c>
      <c r="M658" t="s">
        <v>41</v>
      </c>
      <c r="N658">
        <v>4</v>
      </c>
      <c r="O658">
        <v>358.24</v>
      </c>
    </row>
    <row r="659" spans="1:15" x14ac:dyDescent="0.35">
      <c r="A659" t="s">
        <v>1498</v>
      </c>
      <c r="B659" t="s">
        <v>63</v>
      </c>
      <c r="C659" t="s">
        <v>1499</v>
      </c>
      <c r="D659" t="s">
        <v>26</v>
      </c>
      <c r="E659" t="s">
        <v>33</v>
      </c>
      <c r="F659" t="s">
        <v>27</v>
      </c>
      <c r="G659" t="s">
        <v>240</v>
      </c>
      <c r="H659" s="1">
        <v>45536.865277777775</v>
      </c>
      <c r="I659" s="1">
        <v>45536.970833333333</v>
      </c>
      <c r="J659">
        <v>65</v>
      </c>
      <c r="K659">
        <v>152</v>
      </c>
      <c r="L659">
        <v>1</v>
      </c>
      <c r="M659" t="s">
        <v>41</v>
      </c>
      <c r="N659">
        <v>10</v>
      </c>
      <c r="O659">
        <v>130.33000000000001</v>
      </c>
    </row>
    <row r="660" spans="1:15" x14ac:dyDescent="0.35">
      <c r="A660" t="s">
        <v>1500</v>
      </c>
      <c r="B660" t="s">
        <v>63</v>
      </c>
      <c r="C660" t="s">
        <v>1501</v>
      </c>
      <c r="D660" t="s">
        <v>26</v>
      </c>
      <c r="E660" t="s">
        <v>19</v>
      </c>
      <c r="F660" t="s">
        <v>34</v>
      </c>
      <c r="G660" t="s">
        <v>316</v>
      </c>
      <c r="H660" s="1">
        <v>45547.152083333334</v>
      </c>
      <c r="I660" s="1">
        <v>45547.258333333331</v>
      </c>
      <c r="J660">
        <v>56</v>
      </c>
      <c r="K660">
        <v>153</v>
      </c>
      <c r="L660">
        <v>1</v>
      </c>
      <c r="M660" t="s">
        <v>29</v>
      </c>
      <c r="N660">
        <v>2</v>
      </c>
      <c r="O660">
        <v>125.86</v>
      </c>
    </row>
    <row r="661" spans="1:15" x14ac:dyDescent="0.35">
      <c r="A661" t="s">
        <v>1502</v>
      </c>
      <c r="B661" t="s">
        <v>31</v>
      </c>
      <c r="C661" t="s">
        <v>1503</v>
      </c>
      <c r="D661" t="s">
        <v>26</v>
      </c>
      <c r="E661" t="s">
        <v>38</v>
      </c>
      <c r="F661" t="s">
        <v>27</v>
      </c>
      <c r="G661" t="s">
        <v>288</v>
      </c>
      <c r="H661" s="1">
        <v>45490.976388888892</v>
      </c>
      <c r="I661" s="1">
        <v>45491.081250000003</v>
      </c>
      <c r="J661">
        <v>111</v>
      </c>
      <c r="K661">
        <v>151</v>
      </c>
      <c r="L661">
        <v>1</v>
      </c>
      <c r="M661" t="s">
        <v>29</v>
      </c>
      <c r="N661">
        <v>6</v>
      </c>
      <c r="O661">
        <v>347.12</v>
      </c>
    </row>
    <row r="662" spans="1:15" x14ac:dyDescent="0.35">
      <c r="A662" t="s">
        <v>1504</v>
      </c>
      <c r="B662" t="s">
        <v>31</v>
      </c>
      <c r="C662" t="s">
        <v>1505</v>
      </c>
      <c r="D662" t="s">
        <v>48</v>
      </c>
      <c r="E662" t="s">
        <v>85</v>
      </c>
      <c r="F662" t="s">
        <v>39</v>
      </c>
      <c r="G662" t="s">
        <v>114</v>
      </c>
      <c r="H662" s="1">
        <v>45496.615277777775</v>
      </c>
      <c r="I662" s="1">
        <v>45496.679166666669</v>
      </c>
      <c r="J662">
        <v>40</v>
      </c>
      <c r="K662">
        <v>92</v>
      </c>
      <c r="L662">
        <v>1</v>
      </c>
      <c r="M662" t="s">
        <v>22</v>
      </c>
      <c r="N662">
        <v>4</v>
      </c>
      <c r="O662">
        <v>212.27</v>
      </c>
    </row>
    <row r="663" spans="1:15" x14ac:dyDescent="0.35">
      <c r="A663" t="s">
        <v>1506</v>
      </c>
      <c r="B663" t="s">
        <v>24</v>
      </c>
      <c r="C663" t="s">
        <v>1507</v>
      </c>
      <c r="D663" t="s">
        <v>48</v>
      </c>
      <c r="E663" t="s">
        <v>85</v>
      </c>
      <c r="F663" t="s">
        <v>57</v>
      </c>
      <c r="G663" t="s">
        <v>188</v>
      </c>
      <c r="H663" s="1">
        <v>45510.491666666669</v>
      </c>
      <c r="I663" s="1">
        <v>45510.624305555553</v>
      </c>
      <c r="J663">
        <v>106</v>
      </c>
      <c r="K663">
        <v>191</v>
      </c>
      <c r="L663">
        <v>1</v>
      </c>
      <c r="M663" t="s">
        <v>29</v>
      </c>
      <c r="N663">
        <v>10</v>
      </c>
      <c r="O663">
        <v>319.32</v>
      </c>
    </row>
    <row r="664" spans="1:15" x14ac:dyDescent="0.35">
      <c r="A664" t="s">
        <v>1508</v>
      </c>
      <c r="B664" t="s">
        <v>31</v>
      </c>
      <c r="C664" t="s">
        <v>1509</v>
      </c>
      <c r="D664" t="s">
        <v>48</v>
      </c>
      <c r="E664" t="s">
        <v>19</v>
      </c>
      <c r="F664" t="s">
        <v>27</v>
      </c>
      <c r="G664" t="s">
        <v>338</v>
      </c>
      <c r="H664" s="1">
        <v>45382.597916666666</v>
      </c>
      <c r="I664" s="1">
        <v>45382.752083333333</v>
      </c>
      <c r="J664">
        <v>114</v>
      </c>
      <c r="K664">
        <v>222</v>
      </c>
      <c r="L664">
        <v>1</v>
      </c>
      <c r="M664" t="s">
        <v>22</v>
      </c>
      <c r="N664">
        <v>10</v>
      </c>
      <c r="O664">
        <v>385.16</v>
      </c>
    </row>
    <row r="665" spans="1:15" x14ac:dyDescent="0.35">
      <c r="A665" t="s">
        <v>1510</v>
      </c>
      <c r="B665" t="s">
        <v>31</v>
      </c>
      <c r="C665" t="s">
        <v>1511</v>
      </c>
      <c r="D665" t="s">
        <v>18</v>
      </c>
      <c r="E665" t="s">
        <v>85</v>
      </c>
      <c r="F665" t="s">
        <v>39</v>
      </c>
      <c r="G665" t="s">
        <v>140</v>
      </c>
      <c r="H665" s="1">
        <v>45431.602083333331</v>
      </c>
      <c r="I665" s="1">
        <v>45431.73541666667</v>
      </c>
      <c r="J665">
        <v>137</v>
      </c>
      <c r="K665">
        <v>192</v>
      </c>
      <c r="L665">
        <v>1</v>
      </c>
      <c r="M665" t="s">
        <v>41</v>
      </c>
      <c r="N665">
        <v>1</v>
      </c>
      <c r="O665">
        <v>288.06</v>
      </c>
    </row>
    <row r="666" spans="1:15" x14ac:dyDescent="0.35">
      <c r="A666" t="s">
        <v>1512</v>
      </c>
      <c r="B666" t="s">
        <v>24</v>
      </c>
      <c r="C666" t="s">
        <v>1513</v>
      </c>
      <c r="D666" t="s">
        <v>44</v>
      </c>
      <c r="E666" t="s">
        <v>19</v>
      </c>
      <c r="F666" t="s">
        <v>27</v>
      </c>
      <c r="G666" t="s">
        <v>1413</v>
      </c>
      <c r="H666" s="1">
        <v>45353.073611111111</v>
      </c>
      <c r="I666" s="1">
        <v>45353.165972222225</v>
      </c>
      <c r="J666">
        <v>120</v>
      </c>
      <c r="K666">
        <v>133</v>
      </c>
      <c r="L666">
        <v>1</v>
      </c>
      <c r="M666" t="s">
        <v>41</v>
      </c>
      <c r="N666">
        <v>6</v>
      </c>
      <c r="O666">
        <v>326.52</v>
      </c>
    </row>
    <row r="667" spans="1:15" x14ac:dyDescent="0.35">
      <c r="A667" t="s">
        <v>1514</v>
      </c>
      <c r="B667" t="s">
        <v>51</v>
      </c>
      <c r="C667" t="s">
        <v>1515</v>
      </c>
      <c r="D667" t="s">
        <v>56</v>
      </c>
      <c r="E667" t="s">
        <v>38</v>
      </c>
      <c r="F667" t="s">
        <v>27</v>
      </c>
      <c r="G667" t="s">
        <v>388</v>
      </c>
      <c r="H667" s="1">
        <v>45448.019444444442</v>
      </c>
      <c r="I667" s="1">
        <v>45448.069444444445</v>
      </c>
      <c r="J667">
        <v>75</v>
      </c>
      <c r="K667">
        <v>72</v>
      </c>
      <c r="L667">
        <v>0</v>
      </c>
      <c r="M667" t="s">
        <v>22</v>
      </c>
      <c r="N667">
        <v>2</v>
      </c>
      <c r="O667">
        <v>491.62</v>
      </c>
    </row>
    <row r="668" spans="1:15" x14ac:dyDescent="0.35">
      <c r="A668" t="s">
        <v>1516</v>
      </c>
      <c r="B668" t="s">
        <v>24</v>
      </c>
      <c r="C668" t="s">
        <v>1517</v>
      </c>
      <c r="D668" t="s">
        <v>56</v>
      </c>
      <c r="E668" t="s">
        <v>38</v>
      </c>
      <c r="F668" t="s">
        <v>57</v>
      </c>
      <c r="G668" t="s">
        <v>149</v>
      </c>
      <c r="H668" s="1">
        <v>45305.040277777778</v>
      </c>
      <c r="I668" s="1">
        <v>45305.136805555558</v>
      </c>
      <c r="J668">
        <v>116</v>
      </c>
      <c r="K668">
        <v>139</v>
      </c>
      <c r="L668">
        <v>1</v>
      </c>
      <c r="M668" t="s">
        <v>29</v>
      </c>
      <c r="N668">
        <v>9</v>
      </c>
      <c r="O668">
        <v>280.77999999999997</v>
      </c>
    </row>
    <row r="669" spans="1:15" x14ac:dyDescent="0.35">
      <c r="A669" t="s">
        <v>1518</v>
      </c>
      <c r="B669" t="s">
        <v>51</v>
      </c>
      <c r="C669" t="s">
        <v>1519</v>
      </c>
      <c r="D669" t="s">
        <v>48</v>
      </c>
      <c r="E669" t="s">
        <v>33</v>
      </c>
      <c r="F669" t="s">
        <v>20</v>
      </c>
      <c r="G669" t="s">
        <v>49</v>
      </c>
      <c r="H669" s="1">
        <v>45628.352777777778</v>
      </c>
      <c r="I669" s="1">
        <v>45628.44027777778</v>
      </c>
      <c r="J669">
        <v>129</v>
      </c>
      <c r="K669">
        <v>126</v>
      </c>
      <c r="L669">
        <v>0</v>
      </c>
      <c r="M669" t="s">
        <v>29</v>
      </c>
      <c r="N669">
        <v>9</v>
      </c>
      <c r="O669">
        <v>73.47</v>
      </c>
    </row>
    <row r="670" spans="1:15" x14ac:dyDescent="0.35">
      <c r="A670" t="s">
        <v>1520</v>
      </c>
      <c r="B670" t="s">
        <v>16</v>
      </c>
      <c r="C670" t="s">
        <v>1521</v>
      </c>
      <c r="D670" t="s">
        <v>18</v>
      </c>
      <c r="E670" t="s">
        <v>85</v>
      </c>
      <c r="F670" t="s">
        <v>27</v>
      </c>
      <c r="G670" t="s">
        <v>415</v>
      </c>
      <c r="H670" s="1">
        <v>45384.248611111114</v>
      </c>
      <c r="I670" s="1">
        <v>45384.334027777775</v>
      </c>
      <c r="J670">
        <v>81</v>
      </c>
      <c r="K670">
        <v>123</v>
      </c>
      <c r="L670">
        <v>1</v>
      </c>
      <c r="M670" t="s">
        <v>22</v>
      </c>
      <c r="N670">
        <v>6</v>
      </c>
      <c r="O670">
        <v>399.35</v>
      </c>
    </row>
    <row r="671" spans="1:15" x14ac:dyDescent="0.35">
      <c r="A671" t="s">
        <v>1522</v>
      </c>
      <c r="B671" t="s">
        <v>16</v>
      </c>
      <c r="C671" t="s">
        <v>1523</v>
      </c>
      <c r="D671" t="s">
        <v>44</v>
      </c>
      <c r="E671" t="s">
        <v>85</v>
      </c>
      <c r="F671" t="s">
        <v>57</v>
      </c>
      <c r="G671" t="s">
        <v>505</v>
      </c>
      <c r="H671" s="1">
        <v>45501.161111111112</v>
      </c>
      <c r="I671" s="1">
        <v>45501.350694444445</v>
      </c>
      <c r="J671">
        <v>197</v>
      </c>
      <c r="K671">
        <v>273</v>
      </c>
      <c r="L671">
        <v>1</v>
      </c>
      <c r="M671" t="s">
        <v>41</v>
      </c>
      <c r="N671">
        <v>4</v>
      </c>
      <c r="O671">
        <v>310.38</v>
      </c>
    </row>
    <row r="672" spans="1:15" x14ac:dyDescent="0.35">
      <c r="A672" t="s">
        <v>1524</v>
      </c>
      <c r="B672" t="s">
        <v>24</v>
      </c>
      <c r="C672" t="s">
        <v>1525</v>
      </c>
      <c r="D672" t="s">
        <v>56</v>
      </c>
      <c r="E672" t="s">
        <v>38</v>
      </c>
      <c r="F672" t="s">
        <v>27</v>
      </c>
      <c r="G672" t="s">
        <v>65</v>
      </c>
      <c r="H672" s="1">
        <v>45604.618750000001</v>
      </c>
      <c r="I672" s="1">
        <v>45604.78125</v>
      </c>
      <c r="J672">
        <v>167</v>
      </c>
      <c r="K672">
        <v>234</v>
      </c>
      <c r="L672">
        <v>1</v>
      </c>
      <c r="M672" t="s">
        <v>41</v>
      </c>
      <c r="N672">
        <v>1</v>
      </c>
      <c r="O672">
        <v>124.89</v>
      </c>
    </row>
    <row r="673" spans="1:15" x14ac:dyDescent="0.35">
      <c r="A673" t="s">
        <v>1526</v>
      </c>
      <c r="B673" t="s">
        <v>51</v>
      </c>
      <c r="C673" t="s">
        <v>1527</v>
      </c>
      <c r="D673" t="s">
        <v>18</v>
      </c>
      <c r="E673" t="s">
        <v>33</v>
      </c>
      <c r="F673" t="s">
        <v>20</v>
      </c>
      <c r="G673" t="s">
        <v>88</v>
      </c>
      <c r="H673" s="1">
        <v>45653.541666666664</v>
      </c>
      <c r="I673" s="1">
        <v>45653.644444444442</v>
      </c>
      <c r="J673">
        <v>71</v>
      </c>
      <c r="K673">
        <v>148</v>
      </c>
      <c r="L673">
        <v>1</v>
      </c>
      <c r="M673" t="s">
        <v>29</v>
      </c>
      <c r="N673">
        <v>7</v>
      </c>
      <c r="O673">
        <v>206.84</v>
      </c>
    </row>
    <row r="674" spans="1:15" x14ac:dyDescent="0.35">
      <c r="A674" t="s">
        <v>1528</v>
      </c>
      <c r="B674" t="s">
        <v>31</v>
      </c>
      <c r="C674" t="s">
        <v>1529</v>
      </c>
      <c r="D674" t="s">
        <v>56</v>
      </c>
      <c r="E674" t="s">
        <v>19</v>
      </c>
      <c r="F674" t="s">
        <v>20</v>
      </c>
      <c r="G674" t="s">
        <v>117</v>
      </c>
      <c r="H674" s="1">
        <v>45585.083333333336</v>
      </c>
      <c r="I674" s="1">
        <v>45585.170138888891</v>
      </c>
      <c r="J674">
        <v>113</v>
      </c>
      <c r="K674">
        <v>125</v>
      </c>
      <c r="L674">
        <v>1</v>
      </c>
      <c r="M674" t="s">
        <v>29</v>
      </c>
      <c r="N674">
        <v>5</v>
      </c>
      <c r="O674">
        <v>54.97</v>
      </c>
    </row>
    <row r="675" spans="1:15" x14ac:dyDescent="0.35">
      <c r="A675" t="s">
        <v>1530</v>
      </c>
      <c r="B675" t="s">
        <v>16</v>
      </c>
      <c r="C675" t="s">
        <v>1531</v>
      </c>
      <c r="D675" t="s">
        <v>26</v>
      </c>
      <c r="E675" t="s">
        <v>38</v>
      </c>
      <c r="F675" t="s">
        <v>57</v>
      </c>
      <c r="G675" t="s">
        <v>45</v>
      </c>
      <c r="H675" s="1">
        <v>45566.968055555553</v>
      </c>
      <c r="I675" s="1">
        <v>45567.112500000003</v>
      </c>
      <c r="J675">
        <v>88</v>
      </c>
      <c r="K675">
        <v>208</v>
      </c>
      <c r="L675">
        <v>1</v>
      </c>
      <c r="M675" t="s">
        <v>22</v>
      </c>
      <c r="N675">
        <v>2</v>
      </c>
      <c r="O675">
        <v>124.16</v>
      </c>
    </row>
    <row r="676" spans="1:15" x14ac:dyDescent="0.35">
      <c r="A676" t="s">
        <v>1532</v>
      </c>
      <c r="B676" t="s">
        <v>51</v>
      </c>
      <c r="C676" t="s">
        <v>1533</v>
      </c>
      <c r="D676" t="s">
        <v>26</v>
      </c>
      <c r="E676" t="s">
        <v>19</v>
      </c>
      <c r="F676" t="s">
        <v>20</v>
      </c>
      <c r="G676" t="s">
        <v>335</v>
      </c>
      <c r="H676" s="1">
        <v>45373.936805555553</v>
      </c>
      <c r="I676" s="1">
        <v>45374.085416666669</v>
      </c>
      <c r="J676">
        <v>170</v>
      </c>
      <c r="K676">
        <v>214</v>
      </c>
      <c r="L676">
        <v>1</v>
      </c>
      <c r="M676" t="s">
        <v>41</v>
      </c>
      <c r="N676">
        <v>6</v>
      </c>
      <c r="O676">
        <v>356.49</v>
      </c>
    </row>
    <row r="677" spans="1:15" x14ac:dyDescent="0.35">
      <c r="A677" t="s">
        <v>1534</v>
      </c>
      <c r="B677" t="s">
        <v>51</v>
      </c>
      <c r="C677" t="s">
        <v>1535</v>
      </c>
      <c r="D677" t="s">
        <v>18</v>
      </c>
      <c r="E677" t="s">
        <v>85</v>
      </c>
      <c r="F677" t="s">
        <v>39</v>
      </c>
      <c r="G677" t="s">
        <v>430</v>
      </c>
      <c r="H677" s="1">
        <v>45643.354861111111</v>
      </c>
      <c r="I677" s="1">
        <v>45643.555555555555</v>
      </c>
      <c r="J677">
        <v>207</v>
      </c>
      <c r="K677">
        <v>289</v>
      </c>
      <c r="L677">
        <v>1</v>
      </c>
      <c r="M677" t="s">
        <v>41</v>
      </c>
      <c r="N677">
        <v>3</v>
      </c>
      <c r="O677">
        <v>143.81</v>
      </c>
    </row>
    <row r="678" spans="1:15" x14ac:dyDescent="0.35">
      <c r="A678" t="s">
        <v>1536</v>
      </c>
      <c r="B678" t="s">
        <v>31</v>
      </c>
      <c r="C678" t="s">
        <v>1537</v>
      </c>
      <c r="D678" t="s">
        <v>44</v>
      </c>
      <c r="E678" t="s">
        <v>38</v>
      </c>
      <c r="F678" t="s">
        <v>34</v>
      </c>
      <c r="G678" t="s">
        <v>407</v>
      </c>
      <c r="H678" s="1">
        <v>45648.371527777781</v>
      </c>
      <c r="I678" s="1">
        <v>45648.473611111112</v>
      </c>
      <c r="J678">
        <v>40</v>
      </c>
      <c r="K678">
        <v>147</v>
      </c>
      <c r="L678">
        <v>1</v>
      </c>
      <c r="M678" t="s">
        <v>22</v>
      </c>
      <c r="N678">
        <v>7</v>
      </c>
      <c r="O678">
        <v>211.54</v>
      </c>
    </row>
    <row r="679" spans="1:15" x14ac:dyDescent="0.35">
      <c r="A679" t="s">
        <v>1538</v>
      </c>
      <c r="B679" t="s">
        <v>24</v>
      </c>
      <c r="C679" t="s">
        <v>1539</v>
      </c>
      <c r="D679" t="s">
        <v>18</v>
      </c>
      <c r="E679" t="s">
        <v>38</v>
      </c>
      <c r="F679" t="s">
        <v>57</v>
      </c>
      <c r="G679" t="s">
        <v>234</v>
      </c>
      <c r="H679" s="1">
        <v>45581.213194444441</v>
      </c>
      <c r="I679" s="1">
        <v>45581.251388888886</v>
      </c>
      <c r="J679">
        <v>17</v>
      </c>
      <c r="K679">
        <v>55</v>
      </c>
      <c r="L679">
        <v>1</v>
      </c>
      <c r="M679" t="s">
        <v>41</v>
      </c>
      <c r="N679">
        <v>3</v>
      </c>
      <c r="O679">
        <v>423.82</v>
      </c>
    </row>
    <row r="680" spans="1:15" x14ac:dyDescent="0.35">
      <c r="A680" t="s">
        <v>1540</v>
      </c>
      <c r="B680" t="s">
        <v>51</v>
      </c>
      <c r="C680" t="s">
        <v>1541</v>
      </c>
      <c r="D680" t="s">
        <v>56</v>
      </c>
      <c r="E680" t="s">
        <v>85</v>
      </c>
      <c r="F680" t="s">
        <v>34</v>
      </c>
      <c r="G680" t="s">
        <v>254</v>
      </c>
      <c r="H680" s="1">
        <v>45360.09097222222</v>
      </c>
      <c r="I680" s="1">
        <v>45360.165277777778</v>
      </c>
      <c r="J680">
        <v>57</v>
      </c>
      <c r="K680">
        <v>107</v>
      </c>
      <c r="L680">
        <v>1</v>
      </c>
      <c r="M680" t="s">
        <v>29</v>
      </c>
      <c r="N680">
        <v>8</v>
      </c>
      <c r="O680">
        <v>303.29000000000002</v>
      </c>
    </row>
    <row r="681" spans="1:15" x14ac:dyDescent="0.35">
      <c r="A681" t="s">
        <v>1542</v>
      </c>
      <c r="B681" t="s">
        <v>63</v>
      </c>
      <c r="C681" t="s">
        <v>1543</v>
      </c>
      <c r="D681" t="s">
        <v>48</v>
      </c>
      <c r="E681" t="s">
        <v>85</v>
      </c>
      <c r="F681" t="s">
        <v>20</v>
      </c>
      <c r="G681" t="s">
        <v>213</v>
      </c>
      <c r="H681" s="1">
        <v>45544.310416666667</v>
      </c>
      <c r="I681" s="1">
        <v>45544.405555555553</v>
      </c>
      <c r="J681">
        <v>141</v>
      </c>
      <c r="K681">
        <v>137</v>
      </c>
      <c r="L681">
        <v>0</v>
      </c>
      <c r="M681" t="s">
        <v>22</v>
      </c>
      <c r="N681">
        <v>6</v>
      </c>
      <c r="O681">
        <v>470.21</v>
      </c>
    </row>
    <row r="682" spans="1:15" x14ac:dyDescent="0.35">
      <c r="A682" t="s">
        <v>1544</v>
      </c>
      <c r="B682" t="s">
        <v>16</v>
      </c>
      <c r="C682" t="s">
        <v>1545</v>
      </c>
      <c r="D682" t="s">
        <v>26</v>
      </c>
      <c r="E682" t="s">
        <v>85</v>
      </c>
      <c r="F682" t="s">
        <v>34</v>
      </c>
      <c r="G682" t="s">
        <v>254</v>
      </c>
      <c r="H682" s="1">
        <v>45448.011111111111</v>
      </c>
      <c r="I682" s="1">
        <v>45448.146527777775</v>
      </c>
      <c r="J682">
        <v>175</v>
      </c>
      <c r="K682">
        <v>195</v>
      </c>
      <c r="L682">
        <v>1</v>
      </c>
      <c r="M682" t="s">
        <v>29</v>
      </c>
      <c r="N682">
        <v>8</v>
      </c>
      <c r="O682">
        <v>495.62</v>
      </c>
    </row>
    <row r="683" spans="1:15" x14ac:dyDescent="0.35">
      <c r="A683" t="s">
        <v>1546</v>
      </c>
      <c r="B683" t="s">
        <v>16</v>
      </c>
      <c r="C683" t="s">
        <v>1547</v>
      </c>
      <c r="D683" t="s">
        <v>48</v>
      </c>
      <c r="E683" t="s">
        <v>19</v>
      </c>
      <c r="F683" t="s">
        <v>20</v>
      </c>
      <c r="G683" t="s">
        <v>853</v>
      </c>
      <c r="H683" s="1">
        <v>45391.022916666669</v>
      </c>
      <c r="I683" s="1">
        <v>45391.195833333331</v>
      </c>
      <c r="J683">
        <v>198</v>
      </c>
      <c r="K683">
        <v>249</v>
      </c>
      <c r="L683">
        <v>1</v>
      </c>
      <c r="M683" t="s">
        <v>41</v>
      </c>
      <c r="N683">
        <v>1</v>
      </c>
      <c r="O683">
        <v>395.3</v>
      </c>
    </row>
    <row r="684" spans="1:15" x14ac:dyDescent="0.35">
      <c r="A684" t="s">
        <v>1548</v>
      </c>
      <c r="B684" t="s">
        <v>16</v>
      </c>
      <c r="C684" t="s">
        <v>1549</v>
      </c>
      <c r="D684" t="s">
        <v>56</v>
      </c>
      <c r="E684" t="s">
        <v>33</v>
      </c>
      <c r="F684" t="s">
        <v>57</v>
      </c>
      <c r="G684" t="s">
        <v>268</v>
      </c>
      <c r="H684" s="1">
        <v>45472.777083333334</v>
      </c>
      <c r="I684" s="1">
        <v>45472.861805555556</v>
      </c>
      <c r="J684">
        <v>117</v>
      </c>
      <c r="K684">
        <v>122</v>
      </c>
      <c r="L684">
        <v>1</v>
      </c>
      <c r="M684" t="s">
        <v>29</v>
      </c>
      <c r="N684">
        <v>2</v>
      </c>
      <c r="O684">
        <v>230.42</v>
      </c>
    </row>
    <row r="685" spans="1:15" x14ac:dyDescent="0.35">
      <c r="A685" t="s">
        <v>1550</v>
      </c>
      <c r="B685" t="s">
        <v>63</v>
      </c>
      <c r="C685" t="s">
        <v>1551</v>
      </c>
      <c r="D685" t="s">
        <v>48</v>
      </c>
      <c r="E685" t="s">
        <v>19</v>
      </c>
      <c r="F685" t="s">
        <v>27</v>
      </c>
      <c r="G685" t="s">
        <v>410</v>
      </c>
      <c r="H685" s="1">
        <v>45330.15347222222</v>
      </c>
      <c r="I685" s="1">
        <v>45330.237500000003</v>
      </c>
      <c r="J685">
        <v>46</v>
      </c>
      <c r="K685">
        <v>121</v>
      </c>
      <c r="L685">
        <v>1</v>
      </c>
      <c r="M685" t="s">
        <v>29</v>
      </c>
      <c r="N685">
        <v>9</v>
      </c>
      <c r="O685">
        <v>188.33</v>
      </c>
    </row>
    <row r="686" spans="1:15" x14ac:dyDescent="0.35">
      <c r="A686" t="s">
        <v>1552</v>
      </c>
      <c r="B686" t="s">
        <v>24</v>
      </c>
      <c r="C686" t="s">
        <v>1553</v>
      </c>
      <c r="D686" t="s">
        <v>26</v>
      </c>
      <c r="E686" t="s">
        <v>33</v>
      </c>
      <c r="F686" t="s">
        <v>57</v>
      </c>
      <c r="G686" t="s">
        <v>335</v>
      </c>
      <c r="H686" s="1">
        <v>45593.399305555555</v>
      </c>
      <c r="I686" s="1">
        <v>45593.441666666666</v>
      </c>
      <c r="J686">
        <v>46</v>
      </c>
      <c r="K686">
        <v>61</v>
      </c>
      <c r="L686">
        <v>1</v>
      </c>
      <c r="M686" t="s">
        <v>41</v>
      </c>
      <c r="N686">
        <v>2</v>
      </c>
      <c r="O686">
        <v>153.16999999999999</v>
      </c>
    </row>
    <row r="687" spans="1:15" x14ac:dyDescent="0.35">
      <c r="A687" t="s">
        <v>1554</v>
      </c>
      <c r="B687" t="s">
        <v>16</v>
      </c>
      <c r="C687" t="s">
        <v>1555</v>
      </c>
      <c r="D687" t="s">
        <v>56</v>
      </c>
      <c r="E687" t="s">
        <v>85</v>
      </c>
      <c r="F687" t="s">
        <v>57</v>
      </c>
      <c r="G687" t="s">
        <v>650</v>
      </c>
      <c r="H687" s="1">
        <v>45473.347916666666</v>
      </c>
      <c r="I687" s="1">
        <v>45473.50277777778</v>
      </c>
      <c r="J687">
        <v>178</v>
      </c>
      <c r="K687">
        <v>223</v>
      </c>
      <c r="L687">
        <v>1</v>
      </c>
      <c r="M687" t="s">
        <v>22</v>
      </c>
      <c r="N687">
        <v>1</v>
      </c>
      <c r="O687">
        <v>275</v>
      </c>
    </row>
    <row r="688" spans="1:15" x14ac:dyDescent="0.35">
      <c r="A688" t="s">
        <v>1556</v>
      </c>
      <c r="B688" t="s">
        <v>51</v>
      </c>
      <c r="C688" t="s">
        <v>1557</v>
      </c>
      <c r="D688" t="s">
        <v>44</v>
      </c>
      <c r="E688" t="s">
        <v>85</v>
      </c>
      <c r="F688" t="s">
        <v>34</v>
      </c>
      <c r="G688" t="s">
        <v>691</v>
      </c>
      <c r="H688" s="1">
        <v>45542.440972222219</v>
      </c>
      <c r="I688" s="1">
        <v>45542.618055555555</v>
      </c>
      <c r="J688">
        <v>196</v>
      </c>
      <c r="K688">
        <v>255</v>
      </c>
      <c r="L688">
        <v>1</v>
      </c>
      <c r="M688" t="s">
        <v>41</v>
      </c>
      <c r="N688">
        <v>10</v>
      </c>
      <c r="O688">
        <v>148.05000000000001</v>
      </c>
    </row>
    <row r="689" spans="1:15" x14ac:dyDescent="0.35">
      <c r="A689" t="s">
        <v>1558</v>
      </c>
      <c r="B689" t="s">
        <v>63</v>
      </c>
      <c r="C689" t="s">
        <v>1559</v>
      </c>
      <c r="D689" t="s">
        <v>18</v>
      </c>
      <c r="E689" t="s">
        <v>33</v>
      </c>
      <c r="F689" t="s">
        <v>27</v>
      </c>
      <c r="G689" t="s">
        <v>1413</v>
      </c>
      <c r="H689" s="1">
        <v>45581.921527777777</v>
      </c>
      <c r="I689" s="1">
        <v>45582.068055555559</v>
      </c>
      <c r="J689">
        <v>211</v>
      </c>
      <c r="K689">
        <v>211</v>
      </c>
      <c r="L689">
        <v>0</v>
      </c>
      <c r="M689" t="s">
        <v>22</v>
      </c>
      <c r="N689">
        <v>9</v>
      </c>
      <c r="O689">
        <v>484.52</v>
      </c>
    </row>
    <row r="690" spans="1:15" x14ac:dyDescent="0.35">
      <c r="A690" t="s">
        <v>1560</v>
      </c>
      <c r="B690" t="s">
        <v>16</v>
      </c>
      <c r="C690" t="s">
        <v>1561</v>
      </c>
      <c r="D690" t="s">
        <v>44</v>
      </c>
      <c r="E690" t="s">
        <v>33</v>
      </c>
      <c r="F690" t="s">
        <v>57</v>
      </c>
      <c r="G690" t="s">
        <v>647</v>
      </c>
      <c r="H690" s="1">
        <v>45513.10833333333</v>
      </c>
      <c r="I690" s="1">
        <v>45513.217361111114</v>
      </c>
      <c r="J690">
        <v>59</v>
      </c>
      <c r="K690">
        <v>157</v>
      </c>
      <c r="L690">
        <v>1</v>
      </c>
      <c r="M690" t="s">
        <v>22</v>
      </c>
      <c r="N690">
        <v>6</v>
      </c>
      <c r="O690">
        <v>87.43</v>
      </c>
    </row>
    <row r="691" spans="1:15" x14ac:dyDescent="0.35">
      <c r="A691" t="s">
        <v>1562</v>
      </c>
      <c r="B691" t="s">
        <v>16</v>
      </c>
      <c r="C691" t="s">
        <v>1563</v>
      </c>
      <c r="D691" t="s">
        <v>26</v>
      </c>
      <c r="E691" t="s">
        <v>85</v>
      </c>
      <c r="F691" t="s">
        <v>34</v>
      </c>
      <c r="G691" t="s">
        <v>983</v>
      </c>
      <c r="H691" s="1">
        <v>45433.627083333333</v>
      </c>
      <c r="I691" s="1">
        <v>45433.772222222222</v>
      </c>
      <c r="J691">
        <v>197</v>
      </c>
      <c r="K691">
        <v>209</v>
      </c>
      <c r="L691">
        <v>1</v>
      </c>
      <c r="M691" t="s">
        <v>29</v>
      </c>
      <c r="N691">
        <v>6</v>
      </c>
      <c r="O691">
        <v>56.42</v>
      </c>
    </row>
    <row r="692" spans="1:15" x14ac:dyDescent="0.35">
      <c r="A692" t="s">
        <v>1564</v>
      </c>
      <c r="B692" t="s">
        <v>51</v>
      </c>
      <c r="C692" t="s">
        <v>1565</v>
      </c>
      <c r="D692" t="s">
        <v>26</v>
      </c>
      <c r="E692" t="s">
        <v>38</v>
      </c>
      <c r="F692" t="s">
        <v>27</v>
      </c>
      <c r="G692" t="s">
        <v>194</v>
      </c>
      <c r="H692" s="1">
        <v>45321.068055555559</v>
      </c>
      <c r="I692" s="1">
        <v>45321.15902777778</v>
      </c>
      <c r="J692">
        <v>135</v>
      </c>
      <c r="K692">
        <v>131</v>
      </c>
      <c r="L692">
        <v>0</v>
      </c>
      <c r="M692" t="s">
        <v>41</v>
      </c>
      <c r="N692">
        <v>8</v>
      </c>
      <c r="O692">
        <v>253.36</v>
      </c>
    </row>
    <row r="693" spans="1:15" x14ac:dyDescent="0.35">
      <c r="A693" t="s">
        <v>1566</v>
      </c>
      <c r="B693" t="s">
        <v>31</v>
      </c>
      <c r="C693" t="s">
        <v>1567</v>
      </c>
      <c r="D693" t="s">
        <v>48</v>
      </c>
      <c r="E693" t="s">
        <v>19</v>
      </c>
      <c r="F693" t="s">
        <v>57</v>
      </c>
      <c r="G693" t="s">
        <v>415</v>
      </c>
      <c r="H693" s="1">
        <v>45466.013194444444</v>
      </c>
      <c r="I693" s="1">
        <v>45466.227777777778</v>
      </c>
      <c r="J693">
        <v>202</v>
      </c>
      <c r="K693">
        <v>309</v>
      </c>
      <c r="L693">
        <v>1</v>
      </c>
      <c r="M693" t="s">
        <v>41</v>
      </c>
      <c r="N693">
        <v>1</v>
      </c>
      <c r="O693">
        <v>164.19</v>
      </c>
    </row>
    <row r="694" spans="1:15" x14ac:dyDescent="0.35">
      <c r="A694" t="s">
        <v>1568</v>
      </c>
      <c r="B694" t="s">
        <v>24</v>
      </c>
      <c r="C694" t="s">
        <v>1569</v>
      </c>
      <c r="D694" t="s">
        <v>56</v>
      </c>
      <c r="E694" t="s">
        <v>38</v>
      </c>
      <c r="F694" t="s">
        <v>34</v>
      </c>
      <c r="G694" t="s">
        <v>254</v>
      </c>
      <c r="H694" s="1">
        <v>45428.979166666664</v>
      </c>
      <c r="I694" s="1">
        <v>45429.145138888889</v>
      </c>
      <c r="J694">
        <v>202</v>
      </c>
      <c r="K694">
        <v>239</v>
      </c>
      <c r="L694">
        <v>1</v>
      </c>
      <c r="M694" t="s">
        <v>41</v>
      </c>
      <c r="N694">
        <v>4</v>
      </c>
      <c r="O694">
        <v>382.99</v>
      </c>
    </row>
    <row r="695" spans="1:15" x14ac:dyDescent="0.35">
      <c r="A695" t="s">
        <v>1570</v>
      </c>
      <c r="B695" t="s">
        <v>63</v>
      </c>
      <c r="C695" t="s">
        <v>1571</v>
      </c>
      <c r="D695" t="s">
        <v>18</v>
      </c>
      <c r="E695" t="s">
        <v>19</v>
      </c>
      <c r="F695" t="s">
        <v>27</v>
      </c>
      <c r="G695" t="s">
        <v>505</v>
      </c>
      <c r="H695" s="1">
        <v>45369.105555555558</v>
      </c>
      <c r="I695" s="1">
        <v>45369.172222222223</v>
      </c>
      <c r="J695">
        <v>101</v>
      </c>
      <c r="K695">
        <v>96</v>
      </c>
      <c r="L695">
        <v>0</v>
      </c>
      <c r="M695" t="s">
        <v>22</v>
      </c>
      <c r="N695">
        <v>1</v>
      </c>
      <c r="O695">
        <v>478.95</v>
      </c>
    </row>
    <row r="696" spans="1:15" x14ac:dyDescent="0.35">
      <c r="A696" t="s">
        <v>1572</v>
      </c>
      <c r="B696" t="s">
        <v>51</v>
      </c>
      <c r="C696" t="s">
        <v>1573</v>
      </c>
      <c r="D696" t="s">
        <v>44</v>
      </c>
      <c r="E696" t="s">
        <v>33</v>
      </c>
      <c r="F696" t="s">
        <v>57</v>
      </c>
      <c r="G696" t="s">
        <v>204</v>
      </c>
      <c r="H696" s="1">
        <v>45474.932638888888</v>
      </c>
      <c r="I696" s="1">
        <v>45475.026388888888</v>
      </c>
      <c r="J696">
        <v>38</v>
      </c>
      <c r="K696">
        <v>135</v>
      </c>
      <c r="L696">
        <v>1</v>
      </c>
      <c r="M696" t="s">
        <v>29</v>
      </c>
      <c r="N696">
        <v>10</v>
      </c>
      <c r="O696">
        <v>490.61</v>
      </c>
    </row>
    <row r="697" spans="1:15" x14ac:dyDescent="0.35">
      <c r="A697" t="s">
        <v>1574</v>
      </c>
      <c r="B697" t="s">
        <v>63</v>
      </c>
      <c r="C697" t="s">
        <v>1575</v>
      </c>
      <c r="D697" t="s">
        <v>56</v>
      </c>
      <c r="E697" t="s">
        <v>85</v>
      </c>
      <c r="F697" t="s">
        <v>39</v>
      </c>
      <c r="G697" t="s">
        <v>164</v>
      </c>
      <c r="H697" s="1">
        <v>45509.011805555558</v>
      </c>
      <c r="I697" s="1">
        <v>45509.148611111108</v>
      </c>
      <c r="J697">
        <v>132</v>
      </c>
      <c r="K697">
        <v>197</v>
      </c>
      <c r="L697">
        <v>1</v>
      </c>
      <c r="M697" t="s">
        <v>22</v>
      </c>
      <c r="N697">
        <v>7</v>
      </c>
      <c r="O697">
        <v>64.150000000000006</v>
      </c>
    </row>
    <row r="698" spans="1:15" x14ac:dyDescent="0.35">
      <c r="A698" t="s">
        <v>1576</v>
      </c>
      <c r="B698" t="s">
        <v>24</v>
      </c>
      <c r="C698" t="s">
        <v>1577</v>
      </c>
      <c r="D698" t="s">
        <v>48</v>
      </c>
      <c r="E698" t="s">
        <v>85</v>
      </c>
      <c r="F698" t="s">
        <v>39</v>
      </c>
      <c r="G698" t="s">
        <v>647</v>
      </c>
      <c r="H698" s="1">
        <v>45428.150694444441</v>
      </c>
      <c r="I698" s="1">
        <v>45428.26666666667</v>
      </c>
      <c r="J698">
        <v>158</v>
      </c>
      <c r="K698">
        <v>167</v>
      </c>
      <c r="L698">
        <v>1</v>
      </c>
      <c r="M698" t="s">
        <v>41</v>
      </c>
      <c r="N698">
        <v>6</v>
      </c>
      <c r="O698">
        <v>410.08</v>
      </c>
    </row>
    <row r="699" spans="1:15" x14ac:dyDescent="0.35">
      <c r="A699" t="s">
        <v>1578</v>
      </c>
      <c r="B699" t="s">
        <v>31</v>
      </c>
      <c r="C699" t="s">
        <v>1579</v>
      </c>
      <c r="D699" t="s">
        <v>26</v>
      </c>
      <c r="E699" t="s">
        <v>85</v>
      </c>
      <c r="F699" t="s">
        <v>20</v>
      </c>
      <c r="G699" t="s">
        <v>21</v>
      </c>
      <c r="H699" s="1">
        <v>45490.898611111108</v>
      </c>
      <c r="I699" s="1">
        <v>45491.093055555553</v>
      </c>
      <c r="J699">
        <v>207</v>
      </c>
      <c r="K699">
        <v>280</v>
      </c>
      <c r="L699">
        <v>1</v>
      </c>
      <c r="M699" t="s">
        <v>22</v>
      </c>
      <c r="N699">
        <v>1</v>
      </c>
      <c r="O699">
        <v>362.76</v>
      </c>
    </row>
    <row r="700" spans="1:15" x14ac:dyDescent="0.35">
      <c r="A700" t="s">
        <v>1580</v>
      </c>
      <c r="B700" t="s">
        <v>16</v>
      </c>
      <c r="C700" t="s">
        <v>1581</v>
      </c>
      <c r="D700" t="s">
        <v>56</v>
      </c>
      <c r="E700" t="s">
        <v>19</v>
      </c>
      <c r="F700" t="s">
        <v>20</v>
      </c>
      <c r="G700" t="s">
        <v>88</v>
      </c>
      <c r="H700" s="1">
        <v>45457.833333333336</v>
      </c>
      <c r="I700" s="1">
        <v>45457.975694444445</v>
      </c>
      <c r="J700">
        <v>177</v>
      </c>
      <c r="K700">
        <v>205</v>
      </c>
      <c r="L700">
        <v>1</v>
      </c>
      <c r="M700" t="s">
        <v>22</v>
      </c>
      <c r="N700">
        <v>2</v>
      </c>
      <c r="O700">
        <v>435.28</v>
      </c>
    </row>
    <row r="701" spans="1:15" x14ac:dyDescent="0.35">
      <c r="A701" t="s">
        <v>1582</v>
      </c>
      <c r="B701" t="s">
        <v>31</v>
      </c>
      <c r="C701" t="s">
        <v>1583</v>
      </c>
      <c r="D701" t="s">
        <v>44</v>
      </c>
      <c r="E701" t="s">
        <v>33</v>
      </c>
      <c r="F701" t="s">
        <v>27</v>
      </c>
      <c r="G701" t="s">
        <v>137</v>
      </c>
      <c r="H701" s="1">
        <v>45639.445138888892</v>
      </c>
      <c r="I701" s="1">
        <v>45639.513888888891</v>
      </c>
      <c r="J701">
        <v>16</v>
      </c>
      <c r="K701">
        <v>99</v>
      </c>
      <c r="L701">
        <v>1</v>
      </c>
      <c r="M701" t="s">
        <v>22</v>
      </c>
      <c r="N701">
        <v>1</v>
      </c>
      <c r="O701">
        <v>449.43</v>
      </c>
    </row>
    <row r="702" spans="1:15" x14ac:dyDescent="0.35">
      <c r="A702" t="s">
        <v>1584</v>
      </c>
      <c r="B702" t="s">
        <v>31</v>
      </c>
      <c r="C702" t="s">
        <v>1585</v>
      </c>
      <c r="D702" t="s">
        <v>26</v>
      </c>
      <c r="E702" t="s">
        <v>19</v>
      </c>
      <c r="F702" t="s">
        <v>34</v>
      </c>
      <c r="G702" t="s">
        <v>842</v>
      </c>
      <c r="H702" s="1">
        <v>45323.152083333334</v>
      </c>
      <c r="I702" s="1">
        <v>45323.211805555555</v>
      </c>
      <c r="J702">
        <v>67</v>
      </c>
      <c r="K702">
        <v>86</v>
      </c>
      <c r="L702">
        <v>1</v>
      </c>
      <c r="M702" t="s">
        <v>22</v>
      </c>
      <c r="N702">
        <v>3</v>
      </c>
      <c r="O702">
        <v>87.58</v>
      </c>
    </row>
    <row r="703" spans="1:15" x14ac:dyDescent="0.35">
      <c r="A703" t="s">
        <v>1586</v>
      </c>
      <c r="B703" t="s">
        <v>16</v>
      </c>
      <c r="C703" t="s">
        <v>1587</v>
      </c>
      <c r="D703" t="s">
        <v>48</v>
      </c>
      <c r="E703" t="s">
        <v>19</v>
      </c>
      <c r="F703" t="s">
        <v>27</v>
      </c>
      <c r="G703" t="s">
        <v>691</v>
      </c>
      <c r="H703" s="1">
        <v>45322.618055555555</v>
      </c>
      <c r="I703" s="1">
        <v>45322.8125</v>
      </c>
      <c r="J703">
        <v>217</v>
      </c>
      <c r="K703">
        <v>280</v>
      </c>
      <c r="L703">
        <v>1</v>
      </c>
      <c r="M703" t="s">
        <v>41</v>
      </c>
      <c r="N703">
        <v>1</v>
      </c>
      <c r="O703">
        <v>230.08</v>
      </c>
    </row>
    <row r="704" spans="1:15" x14ac:dyDescent="0.35">
      <c r="A704" t="s">
        <v>1588</v>
      </c>
      <c r="B704" t="s">
        <v>24</v>
      </c>
      <c r="C704" t="s">
        <v>1589</v>
      </c>
      <c r="D704" t="s">
        <v>56</v>
      </c>
      <c r="E704" t="s">
        <v>38</v>
      </c>
      <c r="F704" t="s">
        <v>57</v>
      </c>
      <c r="G704" t="s">
        <v>114</v>
      </c>
      <c r="H704" s="1">
        <v>45368.552777777775</v>
      </c>
      <c r="I704" s="1">
        <v>45368.578472222223</v>
      </c>
      <c r="J704">
        <v>14</v>
      </c>
      <c r="K704">
        <v>37</v>
      </c>
      <c r="L704">
        <v>1</v>
      </c>
      <c r="M704" t="s">
        <v>29</v>
      </c>
      <c r="N704">
        <v>7</v>
      </c>
      <c r="O704">
        <v>114.14</v>
      </c>
    </row>
    <row r="705" spans="1:15" x14ac:dyDescent="0.35">
      <c r="A705" t="s">
        <v>1590</v>
      </c>
      <c r="B705" t="s">
        <v>16</v>
      </c>
      <c r="C705" t="s">
        <v>1591</v>
      </c>
      <c r="D705" t="s">
        <v>18</v>
      </c>
      <c r="E705" t="s">
        <v>19</v>
      </c>
      <c r="F705" t="s">
        <v>27</v>
      </c>
      <c r="G705" t="s">
        <v>599</v>
      </c>
      <c r="H705" s="1">
        <v>45438.166666666664</v>
      </c>
      <c r="I705" s="1">
        <v>45438.36041666667</v>
      </c>
      <c r="J705">
        <v>222</v>
      </c>
      <c r="K705">
        <v>279</v>
      </c>
      <c r="L705">
        <v>1</v>
      </c>
      <c r="M705" t="s">
        <v>29</v>
      </c>
      <c r="N705">
        <v>5</v>
      </c>
      <c r="O705">
        <v>178.42</v>
      </c>
    </row>
    <row r="706" spans="1:15" x14ac:dyDescent="0.35">
      <c r="A706" t="s">
        <v>1592</v>
      </c>
      <c r="B706" t="s">
        <v>16</v>
      </c>
      <c r="C706" t="s">
        <v>1593</v>
      </c>
      <c r="D706" t="s">
        <v>48</v>
      </c>
      <c r="E706" t="s">
        <v>19</v>
      </c>
      <c r="F706" t="s">
        <v>34</v>
      </c>
      <c r="G706" t="s">
        <v>754</v>
      </c>
      <c r="H706" s="1">
        <v>45515.162499999999</v>
      </c>
      <c r="I706" s="1">
        <v>45515.254166666666</v>
      </c>
      <c r="J706">
        <v>75</v>
      </c>
      <c r="K706">
        <v>132</v>
      </c>
      <c r="L706">
        <v>1</v>
      </c>
      <c r="M706" t="s">
        <v>22</v>
      </c>
      <c r="N706">
        <v>9</v>
      </c>
      <c r="O706">
        <v>375.2</v>
      </c>
    </row>
    <row r="707" spans="1:15" x14ac:dyDescent="0.35">
      <c r="A707" t="s">
        <v>1594</v>
      </c>
      <c r="B707" t="s">
        <v>16</v>
      </c>
      <c r="C707" t="s">
        <v>1595</v>
      </c>
      <c r="D707" t="s">
        <v>26</v>
      </c>
      <c r="E707" t="s">
        <v>85</v>
      </c>
      <c r="F707" t="s">
        <v>39</v>
      </c>
      <c r="G707" t="s">
        <v>410</v>
      </c>
      <c r="H707" s="1">
        <v>45430.675694444442</v>
      </c>
      <c r="I707" s="1">
        <v>45430.813194444447</v>
      </c>
      <c r="J707">
        <v>121</v>
      </c>
      <c r="K707">
        <v>198</v>
      </c>
      <c r="L707">
        <v>1</v>
      </c>
      <c r="M707" t="s">
        <v>22</v>
      </c>
      <c r="N707">
        <v>8</v>
      </c>
      <c r="O707">
        <v>254.86</v>
      </c>
    </row>
    <row r="708" spans="1:15" x14ac:dyDescent="0.35">
      <c r="A708" t="s">
        <v>1596</v>
      </c>
      <c r="B708" t="s">
        <v>63</v>
      </c>
      <c r="C708" t="s">
        <v>1597</v>
      </c>
      <c r="D708" t="s">
        <v>26</v>
      </c>
      <c r="E708" t="s">
        <v>85</v>
      </c>
      <c r="F708" t="s">
        <v>57</v>
      </c>
      <c r="G708" t="s">
        <v>100</v>
      </c>
      <c r="H708" s="1">
        <v>45643.051388888889</v>
      </c>
      <c r="I708" s="1">
        <v>45643.163888888892</v>
      </c>
      <c r="J708">
        <v>162</v>
      </c>
      <c r="K708">
        <v>162</v>
      </c>
      <c r="L708">
        <v>0</v>
      </c>
      <c r="M708" t="s">
        <v>41</v>
      </c>
      <c r="N708">
        <v>3</v>
      </c>
      <c r="O708">
        <v>53.94</v>
      </c>
    </row>
    <row r="709" spans="1:15" x14ac:dyDescent="0.35">
      <c r="A709" t="s">
        <v>1598</v>
      </c>
      <c r="B709" t="s">
        <v>51</v>
      </c>
      <c r="C709" t="s">
        <v>1599</v>
      </c>
      <c r="D709" t="s">
        <v>56</v>
      </c>
      <c r="E709" t="s">
        <v>33</v>
      </c>
      <c r="F709" t="s">
        <v>20</v>
      </c>
      <c r="G709" t="s">
        <v>231</v>
      </c>
      <c r="H709" s="1">
        <v>45312.234722222223</v>
      </c>
      <c r="I709" s="1">
        <v>45312.36041666667</v>
      </c>
      <c r="J709">
        <v>184</v>
      </c>
      <c r="K709">
        <v>181</v>
      </c>
      <c r="L709">
        <v>0</v>
      </c>
      <c r="M709" t="s">
        <v>41</v>
      </c>
      <c r="N709">
        <v>8</v>
      </c>
      <c r="O709">
        <v>299.5</v>
      </c>
    </row>
    <row r="710" spans="1:15" x14ac:dyDescent="0.35">
      <c r="A710" t="s">
        <v>1600</v>
      </c>
      <c r="B710" t="s">
        <v>16</v>
      </c>
      <c r="C710" t="s">
        <v>1601</v>
      </c>
      <c r="D710" t="s">
        <v>18</v>
      </c>
      <c r="E710" t="s">
        <v>38</v>
      </c>
      <c r="F710" t="s">
        <v>57</v>
      </c>
      <c r="G710" t="s">
        <v>251</v>
      </c>
      <c r="H710" s="1">
        <v>45296.400694444441</v>
      </c>
      <c r="I710" s="1">
        <v>45296.556944444441</v>
      </c>
      <c r="J710">
        <v>212</v>
      </c>
      <c r="K710">
        <v>225</v>
      </c>
      <c r="L710">
        <v>1</v>
      </c>
      <c r="M710" t="s">
        <v>41</v>
      </c>
      <c r="N710">
        <v>7</v>
      </c>
      <c r="O710">
        <v>329.41</v>
      </c>
    </row>
    <row r="711" spans="1:15" x14ac:dyDescent="0.35">
      <c r="A711" t="s">
        <v>1602</v>
      </c>
      <c r="B711" t="s">
        <v>24</v>
      </c>
      <c r="C711" t="s">
        <v>1603</v>
      </c>
      <c r="D711" t="s">
        <v>26</v>
      </c>
      <c r="E711" t="s">
        <v>85</v>
      </c>
      <c r="F711" t="s">
        <v>34</v>
      </c>
      <c r="G711" t="s">
        <v>388</v>
      </c>
      <c r="H711" s="1">
        <v>45474.138194444444</v>
      </c>
      <c r="I711" s="1">
        <v>45474.303472222222</v>
      </c>
      <c r="J711">
        <v>195</v>
      </c>
      <c r="K711">
        <v>238</v>
      </c>
      <c r="L711">
        <v>1</v>
      </c>
      <c r="M711" t="s">
        <v>22</v>
      </c>
      <c r="N711">
        <v>8</v>
      </c>
      <c r="O711">
        <v>369.91</v>
      </c>
    </row>
    <row r="712" spans="1:15" x14ac:dyDescent="0.35">
      <c r="A712" t="s">
        <v>1604</v>
      </c>
      <c r="B712" t="s">
        <v>31</v>
      </c>
      <c r="C712" t="s">
        <v>1605</v>
      </c>
      <c r="D712" t="s">
        <v>48</v>
      </c>
      <c r="E712" t="s">
        <v>19</v>
      </c>
      <c r="F712" t="s">
        <v>39</v>
      </c>
      <c r="G712" t="s">
        <v>470</v>
      </c>
      <c r="H712" s="1">
        <v>45410.620833333334</v>
      </c>
      <c r="I712" s="1">
        <v>45410.686805555553</v>
      </c>
      <c r="J712">
        <v>17</v>
      </c>
      <c r="K712">
        <v>95</v>
      </c>
      <c r="L712">
        <v>1</v>
      </c>
      <c r="M712" t="s">
        <v>29</v>
      </c>
      <c r="N712">
        <v>10</v>
      </c>
      <c r="O712">
        <v>298.86</v>
      </c>
    </row>
    <row r="713" spans="1:15" x14ac:dyDescent="0.35">
      <c r="A713" t="s">
        <v>1606</v>
      </c>
      <c r="B713" t="s">
        <v>24</v>
      </c>
      <c r="C713" t="s">
        <v>1607</v>
      </c>
      <c r="D713" t="s">
        <v>48</v>
      </c>
      <c r="E713" t="s">
        <v>33</v>
      </c>
      <c r="F713" t="s">
        <v>34</v>
      </c>
      <c r="G713" t="s">
        <v>445</v>
      </c>
      <c r="H713" s="1">
        <v>45406.257638888892</v>
      </c>
      <c r="I713" s="1">
        <v>45406.399305555555</v>
      </c>
      <c r="J713">
        <v>187</v>
      </c>
      <c r="K713">
        <v>204</v>
      </c>
      <c r="L713">
        <v>1</v>
      </c>
      <c r="M713" t="s">
        <v>29</v>
      </c>
      <c r="N713">
        <v>10</v>
      </c>
      <c r="O713">
        <v>318.04000000000002</v>
      </c>
    </row>
    <row r="714" spans="1:15" x14ac:dyDescent="0.35">
      <c r="A714" t="s">
        <v>1608</v>
      </c>
      <c r="B714" t="s">
        <v>31</v>
      </c>
      <c r="C714" t="s">
        <v>1609</v>
      </c>
      <c r="D714" t="s">
        <v>48</v>
      </c>
      <c r="E714" t="s">
        <v>19</v>
      </c>
      <c r="F714" t="s">
        <v>34</v>
      </c>
      <c r="G714" t="s">
        <v>28</v>
      </c>
      <c r="H714" s="1">
        <v>45309.158333333333</v>
      </c>
      <c r="I714" s="1">
        <v>45309.372916666667</v>
      </c>
      <c r="J714">
        <v>202</v>
      </c>
      <c r="K714">
        <v>309</v>
      </c>
      <c r="L714">
        <v>1</v>
      </c>
      <c r="M714" t="s">
        <v>22</v>
      </c>
      <c r="N714">
        <v>1</v>
      </c>
      <c r="O714">
        <v>361.75</v>
      </c>
    </row>
    <row r="715" spans="1:15" x14ac:dyDescent="0.35">
      <c r="A715" t="s">
        <v>1610</v>
      </c>
      <c r="B715" t="s">
        <v>63</v>
      </c>
      <c r="C715" t="s">
        <v>1611</v>
      </c>
      <c r="D715" t="s">
        <v>26</v>
      </c>
      <c r="E715" t="s">
        <v>33</v>
      </c>
      <c r="F715" t="s">
        <v>20</v>
      </c>
      <c r="G715" t="s">
        <v>204</v>
      </c>
      <c r="H715" s="1">
        <v>45550.634722222225</v>
      </c>
      <c r="I715" s="1">
        <v>45550.780555555553</v>
      </c>
      <c r="J715">
        <v>101</v>
      </c>
      <c r="K715">
        <v>210</v>
      </c>
      <c r="L715">
        <v>1</v>
      </c>
      <c r="M715" t="s">
        <v>22</v>
      </c>
      <c r="N715">
        <v>10</v>
      </c>
      <c r="O715">
        <v>282.02999999999997</v>
      </c>
    </row>
    <row r="716" spans="1:15" x14ac:dyDescent="0.35">
      <c r="A716" t="s">
        <v>1612</v>
      </c>
      <c r="B716" t="s">
        <v>63</v>
      </c>
      <c r="C716" t="s">
        <v>1613</v>
      </c>
      <c r="D716" t="s">
        <v>44</v>
      </c>
      <c r="E716" t="s">
        <v>19</v>
      </c>
      <c r="F716" t="s">
        <v>20</v>
      </c>
      <c r="G716" t="s">
        <v>167</v>
      </c>
      <c r="H716" s="1">
        <v>45447.574305555558</v>
      </c>
      <c r="I716" s="1">
        <v>45447.622916666667</v>
      </c>
      <c r="J716">
        <v>37</v>
      </c>
      <c r="K716">
        <v>70</v>
      </c>
      <c r="L716">
        <v>1</v>
      </c>
      <c r="M716" t="s">
        <v>29</v>
      </c>
      <c r="N716">
        <v>2</v>
      </c>
      <c r="O716">
        <v>223.59</v>
      </c>
    </row>
    <row r="717" spans="1:15" x14ac:dyDescent="0.35">
      <c r="A717" t="s">
        <v>1614</v>
      </c>
      <c r="B717" t="s">
        <v>31</v>
      </c>
      <c r="C717" t="s">
        <v>1615</v>
      </c>
      <c r="D717" t="s">
        <v>44</v>
      </c>
      <c r="E717" t="s">
        <v>38</v>
      </c>
      <c r="F717" t="s">
        <v>39</v>
      </c>
      <c r="G717" t="s">
        <v>283</v>
      </c>
      <c r="H717" s="1">
        <v>45453.347916666666</v>
      </c>
      <c r="I717" s="1">
        <v>45453.487500000003</v>
      </c>
      <c r="J717">
        <v>163</v>
      </c>
      <c r="K717">
        <v>201</v>
      </c>
      <c r="L717">
        <v>1</v>
      </c>
      <c r="M717" t="s">
        <v>41</v>
      </c>
      <c r="N717">
        <v>10</v>
      </c>
      <c r="O717">
        <v>199.58</v>
      </c>
    </row>
    <row r="718" spans="1:15" x14ac:dyDescent="0.35">
      <c r="A718" t="s">
        <v>1616</v>
      </c>
      <c r="B718" t="s">
        <v>31</v>
      </c>
      <c r="C718" t="s">
        <v>1617</v>
      </c>
      <c r="D718" t="s">
        <v>44</v>
      </c>
      <c r="E718" t="s">
        <v>33</v>
      </c>
      <c r="F718" t="s">
        <v>34</v>
      </c>
      <c r="G718" t="s">
        <v>622</v>
      </c>
      <c r="H718" s="1">
        <v>45597.602777777778</v>
      </c>
      <c r="I718" s="1">
        <v>45597.786805555559</v>
      </c>
      <c r="J718">
        <v>155</v>
      </c>
      <c r="K718">
        <v>265</v>
      </c>
      <c r="L718">
        <v>1</v>
      </c>
      <c r="M718" t="s">
        <v>22</v>
      </c>
      <c r="N718">
        <v>3</v>
      </c>
      <c r="O718">
        <v>317.87</v>
      </c>
    </row>
    <row r="719" spans="1:15" x14ac:dyDescent="0.35">
      <c r="A719" t="s">
        <v>1618</v>
      </c>
      <c r="B719" t="s">
        <v>31</v>
      </c>
      <c r="C719" t="s">
        <v>1619</v>
      </c>
      <c r="D719" t="s">
        <v>18</v>
      </c>
      <c r="E719" t="s">
        <v>33</v>
      </c>
      <c r="F719" t="s">
        <v>39</v>
      </c>
      <c r="G719" t="s">
        <v>622</v>
      </c>
      <c r="H719" s="1">
        <v>45399.122916666667</v>
      </c>
      <c r="I719" s="1">
        <v>45399.222916666666</v>
      </c>
      <c r="J719">
        <v>61</v>
      </c>
      <c r="K719">
        <v>144</v>
      </c>
      <c r="L719">
        <v>1</v>
      </c>
      <c r="M719" t="s">
        <v>41</v>
      </c>
      <c r="N719">
        <v>3</v>
      </c>
      <c r="O719">
        <v>321.08</v>
      </c>
    </row>
    <row r="720" spans="1:15" x14ac:dyDescent="0.35">
      <c r="A720" t="s">
        <v>1620</v>
      </c>
      <c r="B720" t="s">
        <v>51</v>
      </c>
      <c r="C720" t="s">
        <v>1621</v>
      </c>
      <c r="D720" t="s">
        <v>18</v>
      </c>
      <c r="E720" t="s">
        <v>19</v>
      </c>
      <c r="F720" t="s">
        <v>20</v>
      </c>
      <c r="G720" t="s">
        <v>1622</v>
      </c>
      <c r="H720" s="1">
        <v>45339.640972222223</v>
      </c>
      <c r="I720" s="1">
        <v>45339.835416666669</v>
      </c>
      <c r="J720">
        <v>187</v>
      </c>
      <c r="K720">
        <v>280</v>
      </c>
      <c r="L720">
        <v>1</v>
      </c>
      <c r="M720" t="s">
        <v>29</v>
      </c>
      <c r="N720">
        <v>9</v>
      </c>
      <c r="O720">
        <v>184.46</v>
      </c>
    </row>
    <row r="721" spans="1:15" x14ac:dyDescent="0.35">
      <c r="A721" t="s">
        <v>1623</v>
      </c>
      <c r="B721" t="s">
        <v>24</v>
      </c>
      <c r="C721" t="s">
        <v>1624</v>
      </c>
      <c r="D721" t="s">
        <v>18</v>
      </c>
      <c r="E721" t="s">
        <v>19</v>
      </c>
      <c r="F721" t="s">
        <v>39</v>
      </c>
      <c r="G721" t="s">
        <v>817</v>
      </c>
      <c r="H721" s="1">
        <v>45595.418749999997</v>
      </c>
      <c r="I721" s="1">
        <v>45595.509722222225</v>
      </c>
      <c r="J721">
        <v>69</v>
      </c>
      <c r="K721">
        <v>131</v>
      </c>
      <c r="L721">
        <v>1</v>
      </c>
      <c r="M721" t="s">
        <v>29</v>
      </c>
      <c r="N721">
        <v>4</v>
      </c>
      <c r="O721">
        <v>58.81</v>
      </c>
    </row>
    <row r="722" spans="1:15" x14ac:dyDescent="0.35">
      <c r="A722" t="s">
        <v>1625</v>
      </c>
      <c r="B722" t="s">
        <v>51</v>
      </c>
      <c r="C722" t="s">
        <v>1626</v>
      </c>
      <c r="D722" t="s">
        <v>18</v>
      </c>
      <c r="E722" t="s">
        <v>85</v>
      </c>
      <c r="F722" t="s">
        <v>39</v>
      </c>
      <c r="G722" t="s">
        <v>82</v>
      </c>
      <c r="H722" s="1">
        <v>45624.413888888892</v>
      </c>
      <c r="I722" s="1">
        <v>45624.541666666664</v>
      </c>
      <c r="J722">
        <v>149</v>
      </c>
      <c r="K722">
        <v>184</v>
      </c>
      <c r="L722">
        <v>1</v>
      </c>
      <c r="M722" t="s">
        <v>22</v>
      </c>
      <c r="N722">
        <v>2</v>
      </c>
      <c r="O722">
        <v>496.44</v>
      </c>
    </row>
    <row r="723" spans="1:15" x14ac:dyDescent="0.35">
      <c r="A723" t="s">
        <v>1627</v>
      </c>
      <c r="B723" t="s">
        <v>16</v>
      </c>
      <c r="C723" t="s">
        <v>1628</v>
      </c>
      <c r="D723" t="s">
        <v>56</v>
      </c>
      <c r="E723" t="s">
        <v>85</v>
      </c>
      <c r="F723" t="s">
        <v>20</v>
      </c>
      <c r="G723" t="s">
        <v>371</v>
      </c>
      <c r="H723" s="1">
        <v>45413.936805555553</v>
      </c>
      <c r="I723" s="1">
        <v>45414.082638888889</v>
      </c>
      <c r="J723">
        <v>145</v>
      </c>
      <c r="K723">
        <v>210</v>
      </c>
      <c r="L723">
        <v>1</v>
      </c>
      <c r="M723" t="s">
        <v>29</v>
      </c>
      <c r="N723">
        <v>8</v>
      </c>
      <c r="O723">
        <v>85.59</v>
      </c>
    </row>
    <row r="724" spans="1:15" x14ac:dyDescent="0.35">
      <c r="A724" t="s">
        <v>1629</v>
      </c>
      <c r="B724" t="s">
        <v>31</v>
      </c>
      <c r="C724" t="s">
        <v>1630</v>
      </c>
      <c r="D724" t="s">
        <v>48</v>
      </c>
      <c r="E724" t="s">
        <v>85</v>
      </c>
      <c r="F724" t="s">
        <v>34</v>
      </c>
      <c r="G724" t="s">
        <v>194</v>
      </c>
      <c r="H724" s="1">
        <v>45558.697222222225</v>
      </c>
      <c r="I724" s="1">
        <v>45558.804166666669</v>
      </c>
      <c r="J724">
        <v>63</v>
      </c>
      <c r="K724">
        <v>154</v>
      </c>
      <c r="L724">
        <v>1</v>
      </c>
      <c r="M724" t="s">
        <v>41</v>
      </c>
      <c r="N724">
        <v>8</v>
      </c>
      <c r="O724">
        <v>63.18</v>
      </c>
    </row>
    <row r="725" spans="1:15" x14ac:dyDescent="0.35">
      <c r="A725" t="s">
        <v>1631</v>
      </c>
      <c r="B725" t="s">
        <v>63</v>
      </c>
      <c r="C725" t="s">
        <v>1632</v>
      </c>
      <c r="D725" t="s">
        <v>26</v>
      </c>
      <c r="E725" t="s">
        <v>38</v>
      </c>
      <c r="F725" t="s">
        <v>27</v>
      </c>
      <c r="G725" t="s">
        <v>185</v>
      </c>
      <c r="H725" s="1">
        <v>45565.3125</v>
      </c>
      <c r="I725" s="1">
        <v>45565.469444444447</v>
      </c>
      <c r="J725">
        <v>183</v>
      </c>
      <c r="K725">
        <v>226</v>
      </c>
      <c r="L725">
        <v>1</v>
      </c>
      <c r="M725" t="s">
        <v>29</v>
      </c>
      <c r="N725">
        <v>3</v>
      </c>
      <c r="O725">
        <v>445.41</v>
      </c>
    </row>
    <row r="726" spans="1:15" x14ac:dyDescent="0.35">
      <c r="A726" t="s">
        <v>1633</v>
      </c>
      <c r="B726" t="s">
        <v>16</v>
      </c>
      <c r="C726" t="s">
        <v>1634</v>
      </c>
      <c r="D726" t="s">
        <v>26</v>
      </c>
      <c r="E726" t="s">
        <v>85</v>
      </c>
      <c r="F726" t="s">
        <v>27</v>
      </c>
      <c r="G726" t="s">
        <v>94</v>
      </c>
      <c r="H726" s="1">
        <v>45456.825694444444</v>
      </c>
      <c r="I726" s="1">
        <v>45456.855555555558</v>
      </c>
      <c r="J726">
        <v>18</v>
      </c>
      <c r="K726">
        <v>43</v>
      </c>
      <c r="L726">
        <v>1</v>
      </c>
      <c r="M726" t="s">
        <v>22</v>
      </c>
      <c r="N726">
        <v>4</v>
      </c>
      <c r="O726">
        <v>484.16</v>
      </c>
    </row>
    <row r="727" spans="1:15" x14ac:dyDescent="0.35">
      <c r="A727" t="s">
        <v>1635</v>
      </c>
      <c r="B727" t="s">
        <v>31</v>
      </c>
      <c r="C727" t="s">
        <v>1636</v>
      </c>
      <c r="D727" t="s">
        <v>44</v>
      </c>
      <c r="E727" t="s">
        <v>33</v>
      </c>
      <c r="F727" t="s">
        <v>27</v>
      </c>
      <c r="G727" t="s">
        <v>126</v>
      </c>
      <c r="H727" s="1">
        <v>45652.877083333333</v>
      </c>
      <c r="I727" s="1">
        <v>45652.979166666664</v>
      </c>
      <c r="J727">
        <v>108</v>
      </c>
      <c r="K727">
        <v>147</v>
      </c>
      <c r="L727">
        <v>1</v>
      </c>
      <c r="M727" t="s">
        <v>41</v>
      </c>
      <c r="N727">
        <v>6</v>
      </c>
      <c r="O727">
        <v>158.05000000000001</v>
      </c>
    </row>
    <row r="728" spans="1:15" x14ac:dyDescent="0.35">
      <c r="A728" t="s">
        <v>1637</v>
      </c>
      <c r="B728" t="s">
        <v>31</v>
      </c>
      <c r="C728" t="s">
        <v>1638</v>
      </c>
      <c r="D728" t="s">
        <v>44</v>
      </c>
      <c r="E728" t="s">
        <v>33</v>
      </c>
      <c r="F728" t="s">
        <v>27</v>
      </c>
      <c r="G728" t="s">
        <v>262</v>
      </c>
      <c r="H728" s="1">
        <v>45570.256944444445</v>
      </c>
      <c r="I728" s="1">
        <v>45570.370833333334</v>
      </c>
      <c r="J728">
        <v>48</v>
      </c>
      <c r="K728">
        <v>164</v>
      </c>
      <c r="L728">
        <v>1</v>
      </c>
      <c r="M728" t="s">
        <v>41</v>
      </c>
      <c r="N728">
        <v>3</v>
      </c>
      <c r="O728">
        <v>371.05</v>
      </c>
    </row>
    <row r="729" spans="1:15" x14ac:dyDescent="0.35">
      <c r="A729" t="s">
        <v>1639</v>
      </c>
      <c r="B729" t="s">
        <v>51</v>
      </c>
      <c r="C729" t="s">
        <v>1640</v>
      </c>
      <c r="D729" t="s">
        <v>18</v>
      </c>
      <c r="E729" t="s">
        <v>33</v>
      </c>
      <c r="F729" t="s">
        <v>34</v>
      </c>
      <c r="G729" t="s">
        <v>35</v>
      </c>
      <c r="H729" s="1">
        <v>45354.616666666669</v>
      </c>
      <c r="I729" s="1">
        <v>45354.754166666666</v>
      </c>
      <c r="J729">
        <v>196</v>
      </c>
      <c r="K729">
        <v>198</v>
      </c>
      <c r="L729">
        <v>1</v>
      </c>
      <c r="M729" t="s">
        <v>29</v>
      </c>
      <c r="N729">
        <v>4</v>
      </c>
      <c r="O729">
        <v>125.34</v>
      </c>
    </row>
    <row r="730" spans="1:15" x14ac:dyDescent="0.35">
      <c r="A730" t="s">
        <v>1641</v>
      </c>
      <c r="B730" t="s">
        <v>63</v>
      </c>
      <c r="C730" t="s">
        <v>1642</v>
      </c>
      <c r="D730" t="s">
        <v>56</v>
      </c>
      <c r="E730" t="s">
        <v>33</v>
      </c>
      <c r="F730" t="s">
        <v>27</v>
      </c>
      <c r="G730" t="s">
        <v>1030</v>
      </c>
      <c r="H730" s="1">
        <v>45560.118055555555</v>
      </c>
      <c r="I730" s="1">
        <v>45560.211111111108</v>
      </c>
      <c r="J730">
        <v>20</v>
      </c>
      <c r="K730">
        <v>134</v>
      </c>
      <c r="L730">
        <v>1</v>
      </c>
      <c r="M730" t="s">
        <v>22</v>
      </c>
      <c r="N730">
        <v>4</v>
      </c>
      <c r="O730">
        <v>162.06</v>
      </c>
    </row>
    <row r="731" spans="1:15" x14ac:dyDescent="0.35">
      <c r="A731" t="s">
        <v>1643</v>
      </c>
      <c r="B731" t="s">
        <v>24</v>
      </c>
      <c r="C731" t="s">
        <v>1644</v>
      </c>
      <c r="D731" t="s">
        <v>48</v>
      </c>
      <c r="E731" t="s">
        <v>38</v>
      </c>
      <c r="F731" t="s">
        <v>57</v>
      </c>
      <c r="G731" t="s">
        <v>188</v>
      </c>
      <c r="H731" s="1">
        <v>45369.432638888888</v>
      </c>
      <c r="I731" s="1">
        <v>45369.536111111112</v>
      </c>
      <c r="J731">
        <v>102</v>
      </c>
      <c r="K731">
        <v>149</v>
      </c>
      <c r="L731">
        <v>1</v>
      </c>
      <c r="M731" t="s">
        <v>22</v>
      </c>
      <c r="N731">
        <v>4</v>
      </c>
      <c r="O731">
        <v>390.98</v>
      </c>
    </row>
    <row r="732" spans="1:15" x14ac:dyDescent="0.35">
      <c r="A732" t="s">
        <v>1645</v>
      </c>
      <c r="B732" t="s">
        <v>24</v>
      </c>
      <c r="C732" t="s">
        <v>1646</v>
      </c>
      <c r="D732" t="s">
        <v>48</v>
      </c>
      <c r="E732" t="s">
        <v>38</v>
      </c>
      <c r="F732" t="s">
        <v>34</v>
      </c>
      <c r="G732" t="s">
        <v>213</v>
      </c>
      <c r="H732" s="1">
        <v>45547.581250000003</v>
      </c>
      <c r="I732" s="1">
        <v>45547.620833333334</v>
      </c>
      <c r="J732">
        <v>22</v>
      </c>
      <c r="K732">
        <v>57</v>
      </c>
      <c r="L732">
        <v>1</v>
      </c>
      <c r="M732" t="s">
        <v>41</v>
      </c>
      <c r="N732">
        <v>7</v>
      </c>
      <c r="O732">
        <v>471.83</v>
      </c>
    </row>
    <row r="733" spans="1:15" x14ac:dyDescent="0.35">
      <c r="A733" t="s">
        <v>1647</v>
      </c>
      <c r="B733" t="s">
        <v>51</v>
      </c>
      <c r="C733" t="s">
        <v>1648</v>
      </c>
      <c r="D733" t="s">
        <v>26</v>
      </c>
      <c r="E733" t="s">
        <v>38</v>
      </c>
      <c r="F733" t="s">
        <v>39</v>
      </c>
      <c r="G733" t="s">
        <v>158</v>
      </c>
      <c r="H733" s="1">
        <v>45332.939583333333</v>
      </c>
      <c r="I733" s="1">
        <v>45333.01666666667</v>
      </c>
      <c r="J733">
        <v>34</v>
      </c>
      <c r="K733">
        <v>111</v>
      </c>
      <c r="L733">
        <v>1</v>
      </c>
      <c r="M733" t="s">
        <v>41</v>
      </c>
      <c r="N733">
        <v>6</v>
      </c>
      <c r="O733">
        <v>154.53</v>
      </c>
    </row>
    <row r="734" spans="1:15" x14ac:dyDescent="0.35">
      <c r="A734" t="s">
        <v>1649</v>
      </c>
      <c r="B734" t="s">
        <v>31</v>
      </c>
      <c r="C734" t="s">
        <v>1650</v>
      </c>
      <c r="D734" t="s">
        <v>26</v>
      </c>
      <c r="E734" t="s">
        <v>19</v>
      </c>
      <c r="F734" t="s">
        <v>20</v>
      </c>
      <c r="G734" t="s">
        <v>191</v>
      </c>
      <c r="H734" s="1">
        <v>45621.99722222222</v>
      </c>
      <c r="I734" s="1">
        <v>45622.174305555556</v>
      </c>
      <c r="J734">
        <v>204</v>
      </c>
      <c r="K734">
        <v>255</v>
      </c>
      <c r="L734">
        <v>1</v>
      </c>
      <c r="M734" t="s">
        <v>41</v>
      </c>
      <c r="N734">
        <v>5</v>
      </c>
      <c r="O734">
        <v>250.12</v>
      </c>
    </row>
    <row r="735" spans="1:15" x14ac:dyDescent="0.35">
      <c r="A735" t="s">
        <v>1651</v>
      </c>
      <c r="B735" t="s">
        <v>31</v>
      </c>
      <c r="C735" t="s">
        <v>1652</v>
      </c>
      <c r="D735" t="s">
        <v>48</v>
      </c>
      <c r="E735" t="s">
        <v>38</v>
      </c>
      <c r="F735" t="s">
        <v>20</v>
      </c>
      <c r="G735" t="s">
        <v>201</v>
      </c>
      <c r="H735" s="1">
        <v>45395.070833333331</v>
      </c>
      <c r="I735" s="1">
        <v>45395.177083333336</v>
      </c>
      <c r="J735">
        <v>132</v>
      </c>
      <c r="K735">
        <v>153</v>
      </c>
      <c r="L735">
        <v>1</v>
      </c>
      <c r="M735" t="s">
        <v>22</v>
      </c>
      <c r="N735">
        <v>10</v>
      </c>
      <c r="O735">
        <v>414.56</v>
      </c>
    </row>
    <row r="736" spans="1:15" x14ac:dyDescent="0.35">
      <c r="A736" t="s">
        <v>1653</v>
      </c>
      <c r="B736" t="s">
        <v>24</v>
      </c>
      <c r="C736" t="s">
        <v>1654</v>
      </c>
      <c r="D736" t="s">
        <v>56</v>
      </c>
      <c r="E736" t="s">
        <v>85</v>
      </c>
      <c r="F736" t="s">
        <v>20</v>
      </c>
      <c r="G736" t="s">
        <v>853</v>
      </c>
      <c r="H736" s="1">
        <v>45565.784722222219</v>
      </c>
      <c r="I736" s="1">
        <v>45565.811805555553</v>
      </c>
      <c r="J736">
        <v>32</v>
      </c>
      <c r="K736">
        <v>39</v>
      </c>
      <c r="L736">
        <v>1</v>
      </c>
      <c r="M736" t="s">
        <v>22</v>
      </c>
      <c r="N736">
        <v>3</v>
      </c>
      <c r="O736">
        <v>304.83999999999997</v>
      </c>
    </row>
    <row r="737" spans="1:15" x14ac:dyDescent="0.35">
      <c r="A737" t="s">
        <v>1655</v>
      </c>
      <c r="B737" t="s">
        <v>63</v>
      </c>
      <c r="C737" t="s">
        <v>1656</v>
      </c>
      <c r="D737" t="s">
        <v>56</v>
      </c>
      <c r="E737" t="s">
        <v>85</v>
      </c>
      <c r="F737" t="s">
        <v>57</v>
      </c>
      <c r="G737" t="s">
        <v>73</v>
      </c>
      <c r="H737" s="1">
        <v>45406.040972222225</v>
      </c>
      <c r="I737" s="1">
        <v>45406.287499999999</v>
      </c>
      <c r="J737">
        <v>237</v>
      </c>
      <c r="K737">
        <v>355</v>
      </c>
      <c r="L737">
        <v>1</v>
      </c>
      <c r="M737" t="s">
        <v>41</v>
      </c>
      <c r="N737">
        <v>7</v>
      </c>
      <c r="O737">
        <v>321.06</v>
      </c>
    </row>
    <row r="738" spans="1:15" x14ac:dyDescent="0.35">
      <c r="A738" t="s">
        <v>1657</v>
      </c>
      <c r="B738" t="s">
        <v>51</v>
      </c>
      <c r="C738" t="s">
        <v>1658</v>
      </c>
      <c r="D738" t="s">
        <v>56</v>
      </c>
      <c r="E738" t="s">
        <v>19</v>
      </c>
      <c r="F738" t="s">
        <v>34</v>
      </c>
      <c r="G738" t="s">
        <v>330</v>
      </c>
      <c r="H738" s="1">
        <v>45515.286111111112</v>
      </c>
      <c r="I738" s="1">
        <v>45515.369444444441</v>
      </c>
      <c r="J738">
        <v>14</v>
      </c>
      <c r="K738">
        <v>120</v>
      </c>
      <c r="L738">
        <v>1</v>
      </c>
      <c r="M738" t="s">
        <v>41</v>
      </c>
      <c r="N738">
        <v>1</v>
      </c>
      <c r="O738">
        <v>50.68</v>
      </c>
    </row>
    <row r="739" spans="1:15" x14ac:dyDescent="0.35">
      <c r="A739" t="s">
        <v>1659</v>
      </c>
      <c r="B739" t="s">
        <v>63</v>
      </c>
      <c r="C739" t="s">
        <v>1660</v>
      </c>
      <c r="D739" t="s">
        <v>26</v>
      </c>
      <c r="E739" t="s">
        <v>33</v>
      </c>
      <c r="F739" t="s">
        <v>57</v>
      </c>
      <c r="G739" t="s">
        <v>577</v>
      </c>
      <c r="H739" s="1">
        <v>45468.925000000003</v>
      </c>
      <c r="I739" s="1">
        <v>45469.004166666666</v>
      </c>
      <c r="J739">
        <v>24</v>
      </c>
      <c r="K739">
        <v>114</v>
      </c>
      <c r="L739">
        <v>1</v>
      </c>
      <c r="M739" t="s">
        <v>29</v>
      </c>
      <c r="N739">
        <v>6</v>
      </c>
      <c r="O739">
        <v>225.47</v>
      </c>
    </row>
    <row r="740" spans="1:15" x14ac:dyDescent="0.35">
      <c r="A740" t="s">
        <v>1661</v>
      </c>
      <c r="B740" t="s">
        <v>24</v>
      </c>
      <c r="C740" t="s">
        <v>1662</v>
      </c>
      <c r="D740" t="s">
        <v>56</v>
      </c>
      <c r="E740" t="s">
        <v>38</v>
      </c>
      <c r="F740" t="s">
        <v>34</v>
      </c>
      <c r="G740" t="s">
        <v>894</v>
      </c>
      <c r="H740" s="1">
        <v>45437.591666666667</v>
      </c>
      <c r="I740" s="1">
        <v>45437.757638888892</v>
      </c>
      <c r="J740">
        <v>202</v>
      </c>
      <c r="K740">
        <v>239</v>
      </c>
      <c r="L740">
        <v>1</v>
      </c>
      <c r="M740" t="s">
        <v>29</v>
      </c>
      <c r="N740">
        <v>6</v>
      </c>
      <c r="O740">
        <v>236.14</v>
      </c>
    </row>
    <row r="741" spans="1:15" x14ac:dyDescent="0.35">
      <c r="A741" t="s">
        <v>1663</v>
      </c>
      <c r="B741" t="s">
        <v>51</v>
      </c>
      <c r="C741" t="s">
        <v>1664</v>
      </c>
      <c r="D741" t="s">
        <v>18</v>
      </c>
      <c r="E741" t="s">
        <v>19</v>
      </c>
      <c r="F741" t="s">
        <v>20</v>
      </c>
      <c r="G741" t="s">
        <v>512</v>
      </c>
      <c r="H741" s="1">
        <v>45362.102777777778</v>
      </c>
      <c r="I741" s="1">
        <v>45362.206250000003</v>
      </c>
      <c r="J741">
        <v>70</v>
      </c>
      <c r="K741">
        <v>149</v>
      </c>
      <c r="L741">
        <v>1</v>
      </c>
      <c r="M741" t="s">
        <v>29</v>
      </c>
      <c r="N741">
        <v>5</v>
      </c>
      <c r="O741">
        <v>287.17</v>
      </c>
    </row>
    <row r="742" spans="1:15" x14ac:dyDescent="0.35">
      <c r="A742" t="s">
        <v>1665</v>
      </c>
      <c r="B742" t="s">
        <v>51</v>
      </c>
      <c r="C742" t="s">
        <v>1666</v>
      </c>
      <c r="D742" t="s">
        <v>48</v>
      </c>
      <c r="E742" t="s">
        <v>19</v>
      </c>
      <c r="F742" t="s">
        <v>27</v>
      </c>
      <c r="G742" t="s">
        <v>158</v>
      </c>
      <c r="H742" s="1">
        <v>45350.575694444444</v>
      </c>
      <c r="I742" s="1">
        <v>45350.738194444442</v>
      </c>
      <c r="J742">
        <v>115</v>
      </c>
      <c r="K742">
        <v>234</v>
      </c>
      <c r="L742">
        <v>1</v>
      </c>
      <c r="M742" t="s">
        <v>29</v>
      </c>
      <c r="N742">
        <v>1</v>
      </c>
      <c r="O742">
        <v>385.01</v>
      </c>
    </row>
    <row r="743" spans="1:15" x14ac:dyDescent="0.35">
      <c r="A743" t="s">
        <v>1667</v>
      </c>
      <c r="B743" t="s">
        <v>16</v>
      </c>
      <c r="C743" t="s">
        <v>1668</v>
      </c>
      <c r="D743" t="s">
        <v>26</v>
      </c>
      <c r="E743" t="s">
        <v>19</v>
      </c>
      <c r="F743" t="s">
        <v>39</v>
      </c>
      <c r="G743" t="s">
        <v>485</v>
      </c>
      <c r="H743" s="1">
        <v>45634.149305555555</v>
      </c>
      <c r="I743" s="1">
        <v>45634.345138888886</v>
      </c>
      <c r="J743">
        <v>169</v>
      </c>
      <c r="K743">
        <v>282</v>
      </c>
      <c r="L743">
        <v>1</v>
      </c>
      <c r="M743" t="s">
        <v>22</v>
      </c>
      <c r="N743">
        <v>9</v>
      </c>
      <c r="O743">
        <v>302.12</v>
      </c>
    </row>
    <row r="744" spans="1:15" x14ac:dyDescent="0.35">
      <c r="A744" t="s">
        <v>1669</v>
      </c>
      <c r="B744" t="s">
        <v>31</v>
      </c>
      <c r="C744" t="s">
        <v>1670</v>
      </c>
      <c r="D744" t="s">
        <v>48</v>
      </c>
      <c r="E744" t="s">
        <v>33</v>
      </c>
      <c r="F744" t="s">
        <v>57</v>
      </c>
      <c r="G744" t="s">
        <v>343</v>
      </c>
      <c r="H744" s="1">
        <v>45465.709722222222</v>
      </c>
      <c r="I744" s="1">
        <v>45465.856249999997</v>
      </c>
      <c r="J744">
        <v>185</v>
      </c>
      <c r="K744">
        <v>211</v>
      </c>
      <c r="L744">
        <v>1</v>
      </c>
      <c r="M744" t="s">
        <v>22</v>
      </c>
      <c r="N744">
        <v>3</v>
      </c>
      <c r="O744">
        <v>195.17</v>
      </c>
    </row>
    <row r="745" spans="1:15" x14ac:dyDescent="0.35">
      <c r="A745" t="s">
        <v>1671</v>
      </c>
      <c r="B745" t="s">
        <v>24</v>
      </c>
      <c r="C745" t="s">
        <v>1672</v>
      </c>
      <c r="D745" t="s">
        <v>56</v>
      </c>
      <c r="E745" t="s">
        <v>33</v>
      </c>
      <c r="F745" t="s">
        <v>57</v>
      </c>
      <c r="G745" t="s">
        <v>254</v>
      </c>
      <c r="H745" s="1">
        <v>45605.742361111108</v>
      </c>
      <c r="I745" s="1">
        <v>45605.793055555558</v>
      </c>
      <c r="J745">
        <v>49</v>
      </c>
      <c r="K745">
        <v>73</v>
      </c>
      <c r="L745">
        <v>1</v>
      </c>
      <c r="M745" t="s">
        <v>22</v>
      </c>
      <c r="N745">
        <v>1</v>
      </c>
      <c r="O745">
        <v>453.9</v>
      </c>
    </row>
    <row r="746" spans="1:15" x14ac:dyDescent="0.35">
      <c r="A746" t="s">
        <v>1673</v>
      </c>
      <c r="B746" t="s">
        <v>63</v>
      </c>
      <c r="C746" t="s">
        <v>1674</v>
      </c>
      <c r="D746" t="s">
        <v>26</v>
      </c>
      <c r="E746" t="s">
        <v>38</v>
      </c>
      <c r="F746" t="s">
        <v>20</v>
      </c>
      <c r="G746" t="s">
        <v>500</v>
      </c>
      <c r="H746" s="1">
        <v>45437.965277777781</v>
      </c>
      <c r="I746" s="1">
        <v>45438.15902777778</v>
      </c>
      <c r="J746">
        <v>169</v>
      </c>
      <c r="K746">
        <v>279</v>
      </c>
      <c r="L746">
        <v>1</v>
      </c>
      <c r="M746" t="s">
        <v>41</v>
      </c>
      <c r="N746">
        <v>9</v>
      </c>
      <c r="O746">
        <v>422.61</v>
      </c>
    </row>
    <row r="747" spans="1:15" x14ac:dyDescent="0.35">
      <c r="A747" t="s">
        <v>1675</v>
      </c>
      <c r="B747" t="s">
        <v>51</v>
      </c>
      <c r="C747" t="s">
        <v>1676</v>
      </c>
      <c r="D747" t="s">
        <v>26</v>
      </c>
      <c r="E747" t="s">
        <v>38</v>
      </c>
      <c r="F747" t="s">
        <v>39</v>
      </c>
      <c r="G747" t="s">
        <v>1622</v>
      </c>
      <c r="H747" s="1">
        <v>45413.320833333331</v>
      </c>
      <c r="I747" s="1">
        <v>45413.463194444441</v>
      </c>
      <c r="J747">
        <v>206</v>
      </c>
      <c r="K747">
        <v>205</v>
      </c>
      <c r="L747">
        <v>0</v>
      </c>
      <c r="M747" t="s">
        <v>41</v>
      </c>
      <c r="N747">
        <v>9</v>
      </c>
      <c r="O747">
        <v>205.95</v>
      </c>
    </row>
    <row r="748" spans="1:15" x14ac:dyDescent="0.35">
      <c r="A748" t="s">
        <v>1677</v>
      </c>
      <c r="B748" t="s">
        <v>51</v>
      </c>
      <c r="C748" t="s">
        <v>1678</v>
      </c>
      <c r="D748" t="s">
        <v>56</v>
      </c>
      <c r="E748" t="s">
        <v>33</v>
      </c>
      <c r="F748" t="s">
        <v>20</v>
      </c>
      <c r="G748" t="s">
        <v>207</v>
      </c>
      <c r="H748" s="1">
        <v>45625.70416666667</v>
      </c>
      <c r="I748" s="1">
        <v>45625.777083333334</v>
      </c>
      <c r="J748">
        <v>19</v>
      </c>
      <c r="K748">
        <v>105</v>
      </c>
      <c r="L748">
        <v>1</v>
      </c>
      <c r="M748" t="s">
        <v>41</v>
      </c>
      <c r="N748">
        <v>5</v>
      </c>
      <c r="O748">
        <v>341.21</v>
      </c>
    </row>
    <row r="749" spans="1:15" x14ac:dyDescent="0.35">
      <c r="A749" t="s">
        <v>1679</v>
      </c>
      <c r="B749" t="s">
        <v>51</v>
      </c>
      <c r="C749" t="s">
        <v>1680</v>
      </c>
      <c r="D749" t="s">
        <v>26</v>
      </c>
      <c r="E749" t="s">
        <v>85</v>
      </c>
      <c r="F749" t="s">
        <v>20</v>
      </c>
      <c r="G749" t="s">
        <v>505</v>
      </c>
      <c r="H749" s="1">
        <v>45452.004861111112</v>
      </c>
      <c r="I749" s="1">
        <v>45452.103472222225</v>
      </c>
      <c r="J749">
        <v>130</v>
      </c>
      <c r="K749">
        <v>142</v>
      </c>
      <c r="L749">
        <v>1</v>
      </c>
      <c r="M749" t="s">
        <v>29</v>
      </c>
      <c r="N749">
        <v>4</v>
      </c>
      <c r="O749">
        <v>271.77</v>
      </c>
    </row>
    <row r="750" spans="1:15" x14ac:dyDescent="0.35">
      <c r="A750" t="s">
        <v>1681</v>
      </c>
      <c r="B750" t="s">
        <v>16</v>
      </c>
      <c r="C750" t="s">
        <v>1682</v>
      </c>
      <c r="D750" t="s">
        <v>56</v>
      </c>
      <c r="E750" t="s">
        <v>85</v>
      </c>
      <c r="F750" t="s">
        <v>27</v>
      </c>
      <c r="G750" t="s">
        <v>204</v>
      </c>
      <c r="H750" s="1">
        <v>45610.255555555559</v>
      </c>
      <c r="I750" s="1">
        <v>45610.288888888892</v>
      </c>
      <c r="J750">
        <v>50</v>
      </c>
      <c r="K750">
        <v>48</v>
      </c>
      <c r="L750">
        <v>0</v>
      </c>
      <c r="M750" t="s">
        <v>29</v>
      </c>
      <c r="N750">
        <v>10</v>
      </c>
      <c r="O750">
        <v>311.14999999999998</v>
      </c>
    </row>
    <row r="751" spans="1:15" x14ac:dyDescent="0.35">
      <c r="A751" t="s">
        <v>1683</v>
      </c>
      <c r="B751" t="s">
        <v>63</v>
      </c>
      <c r="C751" t="s">
        <v>1684</v>
      </c>
      <c r="D751" t="s">
        <v>44</v>
      </c>
      <c r="E751" t="s">
        <v>33</v>
      </c>
      <c r="F751" t="s">
        <v>57</v>
      </c>
      <c r="G751" t="s">
        <v>691</v>
      </c>
      <c r="H751" s="1">
        <v>45458.345138888886</v>
      </c>
      <c r="I751" s="1">
        <v>45458.447222222225</v>
      </c>
      <c r="J751">
        <v>91</v>
      </c>
      <c r="K751">
        <v>147</v>
      </c>
      <c r="L751">
        <v>1</v>
      </c>
      <c r="M751" t="s">
        <v>41</v>
      </c>
      <c r="N751">
        <v>5</v>
      </c>
      <c r="O751">
        <v>256.27</v>
      </c>
    </row>
    <row r="752" spans="1:15" x14ac:dyDescent="0.35">
      <c r="A752" t="s">
        <v>1685</v>
      </c>
      <c r="B752" t="s">
        <v>16</v>
      </c>
      <c r="C752" t="s">
        <v>1686</v>
      </c>
      <c r="D752" t="s">
        <v>44</v>
      </c>
      <c r="E752" t="s">
        <v>33</v>
      </c>
      <c r="F752" t="s">
        <v>34</v>
      </c>
      <c r="G752" t="s">
        <v>161</v>
      </c>
      <c r="H752" s="1">
        <v>45595.384722222225</v>
      </c>
      <c r="I752" s="1">
        <v>45595.511111111111</v>
      </c>
      <c r="J752">
        <v>106</v>
      </c>
      <c r="K752">
        <v>182</v>
      </c>
      <c r="L752">
        <v>1</v>
      </c>
      <c r="M752" t="s">
        <v>29</v>
      </c>
      <c r="N752">
        <v>7</v>
      </c>
      <c r="O752">
        <v>51.04</v>
      </c>
    </row>
    <row r="753" spans="1:15" x14ac:dyDescent="0.35">
      <c r="A753" t="s">
        <v>1687</v>
      </c>
      <c r="B753" t="s">
        <v>51</v>
      </c>
      <c r="C753" t="s">
        <v>1688</v>
      </c>
      <c r="D753" t="s">
        <v>26</v>
      </c>
      <c r="E753" t="s">
        <v>19</v>
      </c>
      <c r="F753" t="s">
        <v>34</v>
      </c>
      <c r="G753" t="s">
        <v>462</v>
      </c>
      <c r="H753" s="1">
        <v>45512.542361111111</v>
      </c>
      <c r="I753" s="1">
        <v>45512.732638888891</v>
      </c>
      <c r="J753">
        <v>215</v>
      </c>
      <c r="K753">
        <v>274</v>
      </c>
      <c r="L753">
        <v>1</v>
      </c>
      <c r="M753" t="s">
        <v>29</v>
      </c>
      <c r="N753">
        <v>9</v>
      </c>
      <c r="O753">
        <v>410.84</v>
      </c>
    </row>
    <row r="754" spans="1:15" x14ac:dyDescent="0.35">
      <c r="A754" t="s">
        <v>1689</v>
      </c>
      <c r="B754" t="s">
        <v>63</v>
      </c>
      <c r="C754" t="s">
        <v>1690</v>
      </c>
      <c r="D754" t="s">
        <v>18</v>
      </c>
      <c r="E754" t="s">
        <v>19</v>
      </c>
      <c r="F754" t="s">
        <v>20</v>
      </c>
      <c r="G754" t="s">
        <v>343</v>
      </c>
      <c r="H754" s="1">
        <v>45625.936111111114</v>
      </c>
      <c r="I754" s="1">
        <v>45626.048611111109</v>
      </c>
      <c r="J754">
        <v>83</v>
      </c>
      <c r="K754">
        <v>162</v>
      </c>
      <c r="L754">
        <v>1</v>
      </c>
      <c r="M754" t="s">
        <v>41</v>
      </c>
      <c r="N754">
        <v>1</v>
      </c>
      <c r="O754">
        <v>426.6</v>
      </c>
    </row>
    <row r="755" spans="1:15" x14ac:dyDescent="0.35">
      <c r="A755" t="s">
        <v>1691</v>
      </c>
      <c r="B755" t="s">
        <v>31</v>
      </c>
      <c r="C755" t="s">
        <v>1692</v>
      </c>
      <c r="D755" t="s">
        <v>44</v>
      </c>
      <c r="E755" t="s">
        <v>38</v>
      </c>
      <c r="F755" t="s">
        <v>39</v>
      </c>
      <c r="G755" t="s">
        <v>251</v>
      </c>
      <c r="H755" s="1">
        <v>45296.338194444441</v>
      </c>
      <c r="I755" s="1">
        <v>45296.515277777777</v>
      </c>
      <c r="J755">
        <v>153</v>
      </c>
      <c r="K755">
        <v>255</v>
      </c>
      <c r="L755">
        <v>1</v>
      </c>
      <c r="M755" t="s">
        <v>29</v>
      </c>
      <c r="N755">
        <v>3</v>
      </c>
      <c r="O755">
        <v>263.2</v>
      </c>
    </row>
    <row r="756" spans="1:15" x14ac:dyDescent="0.35">
      <c r="A756" t="s">
        <v>1693</v>
      </c>
      <c r="B756" t="s">
        <v>63</v>
      </c>
      <c r="C756" t="s">
        <v>1694</v>
      </c>
      <c r="D756" t="s">
        <v>48</v>
      </c>
      <c r="E756" t="s">
        <v>19</v>
      </c>
      <c r="F756" t="s">
        <v>34</v>
      </c>
      <c r="G756" t="s">
        <v>308</v>
      </c>
      <c r="H756" s="1">
        <v>45448.568055555559</v>
      </c>
      <c r="I756" s="1">
        <v>45448.660416666666</v>
      </c>
      <c r="J756">
        <v>78</v>
      </c>
      <c r="K756">
        <v>133</v>
      </c>
      <c r="L756">
        <v>1</v>
      </c>
      <c r="M756" t="s">
        <v>29</v>
      </c>
      <c r="N756">
        <v>7</v>
      </c>
      <c r="O756">
        <v>247.27</v>
      </c>
    </row>
    <row r="757" spans="1:15" x14ac:dyDescent="0.35">
      <c r="A757" t="s">
        <v>1695</v>
      </c>
      <c r="B757" t="s">
        <v>63</v>
      </c>
      <c r="C757" t="s">
        <v>1696</v>
      </c>
      <c r="D757" t="s">
        <v>18</v>
      </c>
      <c r="E757" t="s">
        <v>19</v>
      </c>
      <c r="F757" t="s">
        <v>39</v>
      </c>
      <c r="G757" t="s">
        <v>49</v>
      </c>
      <c r="H757" s="1">
        <v>45410.241666666669</v>
      </c>
      <c r="I757" s="1">
        <v>45410.438194444447</v>
      </c>
      <c r="J757">
        <v>219</v>
      </c>
      <c r="K757">
        <v>283</v>
      </c>
      <c r="L757">
        <v>1</v>
      </c>
      <c r="M757" t="s">
        <v>29</v>
      </c>
      <c r="N757">
        <v>9</v>
      </c>
      <c r="O757">
        <v>130.35</v>
      </c>
    </row>
    <row r="758" spans="1:15" x14ac:dyDescent="0.35">
      <c r="A758" t="s">
        <v>1697</v>
      </c>
      <c r="B758" t="s">
        <v>51</v>
      </c>
      <c r="C758" t="s">
        <v>1698</v>
      </c>
      <c r="D758" t="s">
        <v>48</v>
      </c>
      <c r="E758" t="s">
        <v>33</v>
      </c>
      <c r="F758" t="s">
        <v>57</v>
      </c>
      <c r="G758" t="s">
        <v>402</v>
      </c>
      <c r="H758" s="1">
        <v>45433.006249999999</v>
      </c>
      <c r="I758" s="1">
        <v>45433.195833333331</v>
      </c>
      <c r="J758">
        <v>203</v>
      </c>
      <c r="K758">
        <v>273</v>
      </c>
      <c r="L758">
        <v>1</v>
      </c>
      <c r="M758" t="s">
        <v>41</v>
      </c>
      <c r="N758">
        <v>4</v>
      </c>
      <c r="O758">
        <v>410.06</v>
      </c>
    </row>
    <row r="759" spans="1:15" x14ac:dyDescent="0.35">
      <c r="A759" t="s">
        <v>1699</v>
      </c>
      <c r="B759" t="s">
        <v>24</v>
      </c>
      <c r="C759" t="s">
        <v>1700</v>
      </c>
      <c r="D759" t="s">
        <v>18</v>
      </c>
      <c r="E759" t="s">
        <v>19</v>
      </c>
      <c r="F759" t="s">
        <v>39</v>
      </c>
      <c r="G759" t="s">
        <v>100</v>
      </c>
      <c r="H759" s="1">
        <v>45508.393750000003</v>
      </c>
      <c r="I759" s="1">
        <v>45508.584027777775</v>
      </c>
      <c r="J759">
        <v>158</v>
      </c>
      <c r="K759">
        <v>274</v>
      </c>
      <c r="L759">
        <v>1</v>
      </c>
      <c r="M759" t="s">
        <v>22</v>
      </c>
      <c r="N759">
        <v>1</v>
      </c>
      <c r="O759">
        <v>497.73</v>
      </c>
    </row>
    <row r="760" spans="1:15" x14ac:dyDescent="0.35">
      <c r="A760" t="s">
        <v>1701</v>
      </c>
      <c r="B760" t="s">
        <v>31</v>
      </c>
      <c r="C760" t="s">
        <v>1702</v>
      </c>
      <c r="D760" t="s">
        <v>18</v>
      </c>
      <c r="E760" t="s">
        <v>85</v>
      </c>
      <c r="F760" t="s">
        <v>27</v>
      </c>
      <c r="G760" t="s">
        <v>782</v>
      </c>
      <c r="H760" s="1">
        <v>45556.772916666669</v>
      </c>
      <c r="I760" s="1">
        <v>45556.92291666667</v>
      </c>
      <c r="J760">
        <v>135</v>
      </c>
      <c r="K760">
        <v>216</v>
      </c>
      <c r="L760">
        <v>1</v>
      </c>
      <c r="M760" t="s">
        <v>22</v>
      </c>
      <c r="N760">
        <v>8</v>
      </c>
      <c r="O760">
        <v>486.92</v>
      </c>
    </row>
    <row r="761" spans="1:15" x14ac:dyDescent="0.35">
      <c r="A761" t="s">
        <v>1703</v>
      </c>
      <c r="B761" t="s">
        <v>31</v>
      </c>
      <c r="C761" t="s">
        <v>1704</v>
      </c>
      <c r="D761" t="s">
        <v>18</v>
      </c>
      <c r="E761" t="s">
        <v>85</v>
      </c>
      <c r="F761" t="s">
        <v>27</v>
      </c>
      <c r="G761" t="s">
        <v>505</v>
      </c>
      <c r="H761" s="1">
        <v>45630.493055555555</v>
      </c>
      <c r="I761" s="1">
        <v>45630.602083333331</v>
      </c>
      <c r="J761">
        <v>91</v>
      </c>
      <c r="K761">
        <v>157</v>
      </c>
      <c r="L761">
        <v>1</v>
      </c>
      <c r="M761" t="s">
        <v>29</v>
      </c>
      <c r="N761">
        <v>8</v>
      </c>
      <c r="O761">
        <v>207.67</v>
      </c>
    </row>
    <row r="762" spans="1:15" x14ac:dyDescent="0.35">
      <c r="A762" t="s">
        <v>1705</v>
      </c>
      <c r="B762" t="s">
        <v>16</v>
      </c>
      <c r="C762" t="s">
        <v>1706</v>
      </c>
      <c r="D762" t="s">
        <v>18</v>
      </c>
      <c r="E762" t="s">
        <v>19</v>
      </c>
      <c r="F762" t="s">
        <v>27</v>
      </c>
      <c r="G762" t="s">
        <v>676</v>
      </c>
      <c r="H762" s="1">
        <v>45320.726388888892</v>
      </c>
      <c r="I762" s="1">
        <v>45320.811111111114</v>
      </c>
      <c r="J762">
        <v>54</v>
      </c>
      <c r="K762">
        <v>122</v>
      </c>
      <c r="L762">
        <v>1</v>
      </c>
      <c r="M762" t="s">
        <v>29</v>
      </c>
      <c r="N762">
        <v>5</v>
      </c>
      <c r="O762">
        <v>387.2</v>
      </c>
    </row>
    <row r="763" spans="1:15" x14ac:dyDescent="0.35">
      <c r="A763" t="s">
        <v>1707</v>
      </c>
      <c r="B763" t="s">
        <v>51</v>
      </c>
      <c r="C763" t="s">
        <v>1708</v>
      </c>
      <c r="D763" t="s">
        <v>26</v>
      </c>
      <c r="E763" t="s">
        <v>85</v>
      </c>
      <c r="F763" t="s">
        <v>34</v>
      </c>
      <c r="G763" t="s">
        <v>1413</v>
      </c>
      <c r="H763" s="1">
        <v>45419.378472222219</v>
      </c>
      <c r="I763" s="1">
        <v>45419.597222222219</v>
      </c>
      <c r="J763">
        <v>196</v>
      </c>
      <c r="K763">
        <v>315</v>
      </c>
      <c r="L763">
        <v>1</v>
      </c>
      <c r="M763" t="s">
        <v>29</v>
      </c>
      <c r="N763">
        <v>3</v>
      </c>
      <c r="O763">
        <v>329.82</v>
      </c>
    </row>
    <row r="764" spans="1:15" x14ac:dyDescent="0.35">
      <c r="A764" t="s">
        <v>1709</v>
      </c>
      <c r="B764" t="s">
        <v>16</v>
      </c>
      <c r="C764" t="s">
        <v>1710</v>
      </c>
      <c r="D764" t="s">
        <v>48</v>
      </c>
      <c r="E764" t="s">
        <v>19</v>
      </c>
      <c r="F764" t="s">
        <v>57</v>
      </c>
      <c r="G764" t="s">
        <v>364</v>
      </c>
      <c r="H764" s="1">
        <v>45550.561805555553</v>
      </c>
      <c r="I764" s="1">
        <v>45550.647916666669</v>
      </c>
      <c r="J764">
        <v>48</v>
      </c>
      <c r="K764">
        <v>124</v>
      </c>
      <c r="L764">
        <v>1</v>
      </c>
      <c r="M764" t="s">
        <v>41</v>
      </c>
      <c r="N764">
        <v>1</v>
      </c>
      <c r="O764">
        <v>306.83999999999997</v>
      </c>
    </row>
    <row r="765" spans="1:15" x14ac:dyDescent="0.35">
      <c r="A765" t="s">
        <v>1711</v>
      </c>
      <c r="B765" t="s">
        <v>51</v>
      </c>
      <c r="C765" t="s">
        <v>1712</v>
      </c>
      <c r="D765" t="s">
        <v>44</v>
      </c>
      <c r="E765" t="s">
        <v>33</v>
      </c>
      <c r="F765" t="s">
        <v>34</v>
      </c>
      <c r="G765" t="s">
        <v>500</v>
      </c>
      <c r="H765" s="1">
        <v>45637.933333333334</v>
      </c>
      <c r="I765" s="1">
        <v>45638.048611111109</v>
      </c>
      <c r="J765">
        <v>79</v>
      </c>
      <c r="K765">
        <v>166</v>
      </c>
      <c r="L765">
        <v>1</v>
      </c>
      <c r="M765" t="s">
        <v>41</v>
      </c>
      <c r="N765">
        <v>7</v>
      </c>
      <c r="O765">
        <v>159.24</v>
      </c>
    </row>
    <row r="766" spans="1:15" x14ac:dyDescent="0.35">
      <c r="A766" t="s">
        <v>1713</v>
      </c>
      <c r="B766" t="s">
        <v>51</v>
      </c>
      <c r="C766" t="s">
        <v>1714</v>
      </c>
      <c r="D766" t="s">
        <v>44</v>
      </c>
      <c r="E766" t="s">
        <v>19</v>
      </c>
      <c r="F766" t="s">
        <v>27</v>
      </c>
      <c r="G766" t="s">
        <v>354</v>
      </c>
      <c r="H766" s="1">
        <v>45489.240972222222</v>
      </c>
      <c r="I766" s="1">
        <v>45489.363194444442</v>
      </c>
      <c r="J766">
        <v>137</v>
      </c>
      <c r="K766">
        <v>176</v>
      </c>
      <c r="L766">
        <v>1</v>
      </c>
      <c r="M766" t="s">
        <v>29</v>
      </c>
      <c r="N766">
        <v>2</v>
      </c>
      <c r="O766">
        <v>262.45999999999998</v>
      </c>
    </row>
    <row r="767" spans="1:15" x14ac:dyDescent="0.35">
      <c r="A767" t="s">
        <v>1715</v>
      </c>
      <c r="B767" t="s">
        <v>24</v>
      </c>
      <c r="C767" t="s">
        <v>1716</v>
      </c>
      <c r="D767" t="s">
        <v>44</v>
      </c>
      <c r="E767" t="s">
        <v>19</v>
      </c>
      <c r="F767" t="s">
        <v>20</v>
      </c>
      <c r="G767" t="s">
        <v>1172</v>
      </c>
      <c r="H767" s="1">
        <v>45480.429861111108</v>
      </c>
      <c r="I767" s="1">
        <v>45480.542361111111</v>
      </c>
      <c r="J767">
        <v>47</v>
      </c>
      <c r="K767">
        <v>162</v>
      </c>
      <c r="L767">
        <v>1</v>
      </c>
      <c r="M767" t="s">
        <v>22</v>
      </c>
      <c r="N767">
        <v>7</v>
      </c>
      <c r="O767">
        <v>428.51</v>
      </c>
    </row>
    <row r="768" spans="1:15" x14ac:dyDescent="0.35">
      <c r="A768" t="s">
        <v>1717</v>
      </c>
      <c r="B768" t="s">
        <v>63</v>
      </c>
      <c r="C768" t="s">
        <v>1718</v>
      </c>
      <c r="D768" t="s">
        <v>26</v>
      </c>
      <c r="E768" t="s">
        <v>85</v>
      </c>
      <c r="F768" t="s">
        <v>34</v>
      </c>
      <c r="G768" t="s">
        <v>1719</v>
      </c>
      <c r="H768" s="1">
        <v>45313.925694444442</v>
      </c>
      <c r="I768" s="1">
        <v>45314.027083333334</v>
      </c>
      <c r="J768">
        <v>102</v>
      </c>
      <c r="K768">
        <v>146</v>
      </c>
      <c r="L768">
        <v>1</v>
      </c>
      <c r="M768" t="s">
        <v>41</v>
      </c>
      <c r="N768">
        <v>3</v>
      </c>
      <c r="O768">
        <v>365.44</v>
      </c>
    </row>
    <row r="769" spans="1:15" x14ac:dyDescent="0.35">
      <c r="A769" t="s">
        <v>1720</v>
      </c>
      <c r="B769" t="s">
        <v>51</v>
      </c>
      <c r="C769" t="s">
        <v>1721</v>
      </c>
      <c r="D769" t="s">
        <v>56</v>
      </c>
      <c r="E769" t="s">
        <v>33</v>
      </c>
      <c r="F769" t="s">
        <v>57</v>
      </c>
      <c r="G769" t="s">
        <v>108</v>
      </c>
      <c r="H769" s="1">
        <v>45648.861111111109</v>
      </c>
      <c r="I769" s="1">
        <v>45648.946527777778</v>
      </c>
      <c r="J769">
        <v>35</v>
      </c>
      <c r="K769">
        <v>123</v>
      </c>
      <c r="L769">
        <v>1</v>
      </c>
      <c r="M769" t="s">
        <v>41</v>
      </c>
      <c r="N769">
        <v>6</v>
      </c>
      <c r="O769">
        <v>82.67</v>
      </c>
    </row>
    <row r="770" spans="1:15" x14ac:dyDescent="0.35">
      <c r="A770" t="s">
        <v>1722</v>
      </c>
      <c r="B770" t="s">
        <v>31</v>
      </c>
      <c r="C770" t="s">
        <v>1723</v>
      </c>
      <c r="D770" t="s">
        <v>44</v>
      </c>
      <c r="E770" t="s">
        <v>19</v>
      </c>
      <c r="F770" t="s">
        <v>34</v>
      </c>
      <c r="G770" t="s">
        <v>749</v>
      </c>
      <c r="H770" s="1">
        <v>45482.694444444445</v>
      </c>
      <c r="I770" s="1">
        <v>45482.856944444444</v>
      </c>
      <c r="J770">
        <v>116</v>
      </c>
      <c r="K770">
        <v>234</v>
      </c>
      <c r="L770">
        <v>1</v>
      </c>
      <c r="M770" t="s">
        <v>29</v>
      </c>
      <c r="N770">
        <v>1</v>
      </c>
      <c r="O770">
        <v>135.1</v>
      </c>
    </row>
    <row r="771" spans="1:15" x14ac:dyDescent="0.35">
      <c r="A771" t="s">
        <v>1724</v>
      </c>
      <c r="B771" t="s">
        <v>16</v>
      </c>
      <c r="C771" t="s">
        <v>1725</v>
      </c>
      <c r="D771" t="s">
        <v>48</v>
      </c>
      <c r="E771" t="s">
        <v>19</v>
      </c>
      <c r="F771" t="s">
        <v>20</v>
      </c>
      <c r="G771" t="s">
        <v>213</v>
      </c>
      <c r="H771" s="1">
        <v>45467.8</v>
      </c>
      <c r="I771" s="1">
        <v>45467.881944444445</v>
      </c>
      <c r="J771">
        <v>72</v>
      </c>
      <c r="K771">
        <v>118</v>
      </c>
      <c r="L771">
        <v>1</v>
      </c>
      <c r="M771" t="s">
        <v>22</v>
      </c>
      <c r="N771">
        <v>8</v>
      </c>
      <c r="O771">
        <v>199.01</v>
      </c>
    </row>
    <row r="772" spans="1:15" x14ac:dyDescent="0.35">
      <c r="A772" t="s">
        <v>1726</v>
      </c>
      <c r="B772" t="s">
        <v>16</v>
      </c>
      <c r="C772" t="s">
        <v>1727</v>
      </c>
      <c r="D772" t="s">
        <v>18</v>
      </c>
      <c r="E772" t="s">
        <v>19</v>
      </c>
      <c r="F772" t="s">
        <v>57</v>
      </c>
      <c r="G772" t="s">
        <v>254</v>
      </c>
      <c r="H772" s="1">
        <v>45623.548611111109</v>
      </c>
      <c r="I772" s="1">
        <v>45623.661805555559</v>
      </c>
      <c r="J772">
        <v>127</v>
      </c>
      <c r="K772">
        <v>163</v>
      </c>
      <c r="L772">
        <v>1</v>
      </c>
      <c r="M772" t="s">
        <v>41</v>
      </c>
      <c r="N772">
        <v>2</v>
      </c>
      <c r="O772">
        <v>63.64</v>
      </c>
    </row>
    <row r="773" spans="1:15" x14ac:dyDescent="0.35">
      <c r="A773" t="s">
        <v>1728</v>
      </c>
      <c r="B773" t="s">
        <v>63</v>
      </c>
      <c r="C773" t="s">
        <v>1729</v>
      </c>
      <c r="D773" t="s">
        <v>44</v>
      </c>
      <c r="E773" t="s">
        <v>85</v>
      </c>
      <c r="F773" t="s">
        <v>27</v>
      </c>
      <c r="G773" t="s">
        <v>1730</v>
      </c>
      <c r="H773" s="1">
        <v>45428.557638888888</v>
      </c>
      <c r="I773" s="1">
        <v>45428.662499999999</v>
      </c>
      <c r="J773">
        <v>68</v>
      </c>
      <c r="K773">
        <v>151</v>
      </c>
      <c r="L773">
        <v>1</v>
      </c>
      <c r="M773" t="s">
        <v>41</v>
      </c>
      <c r="N773">
        <v>5</v>
      </c>
      <c r="O773">
        <v>197.41</v>
      </c>
    </row>
    <row r="774" spans="1:15" x14ac:dyDescent="0.35">
      <c r="A774" t="s">
        <v>1731</v>
      </c>
      <c r="B774" t="s">
        <v>16</v>
      </c>
      <c r="C774" t="s">
        <v>1732</v>
      </c>
      <c r="D774" t="s">
        <v>48</v>
      </c>
      <c r="E774" t="s">
        <v>38</v>
      </c>
      <c r="F774" t="s">
        <v>20</v>
      </c>
      <c r="G774" t="s">
        <v>28</v>
      </c>
      <c r="H774" s="1">
        <v>45552.024305555555</v>
      </c>
      <c r="I774" s="1">
        <v>45552.238888888889</v>
      </c>
      <c r="J774">
        <v>214</v>
      </c>
      <c r="K774">
        <v>309</v>
      </c>
      <c r="L774">
        <v>1</v>
      </c>
      <c r="M774" t="s">
        <v>41</v>
      </c>
      <c r="N774">
        <v>4</v>
      </c>
      <c r="O774">
        <v>203.92</v>
      </c>
    </row>
    <row r="775" spans="1:15" x14ac:dyDescent="0.35">
      <c r="A775" t="s">
        <v>1733</v>
      </c>
      <c r="B775" t="s">
        <v>24</v>
      </c>
      <c r="C775" t="s">
        <v>1734</v>
      </c>
      <c r="D775" t="s">
        <v>26</v>
      </c>
      <c r="E775" t="s">
        <v>33</v>
      </c>
      <c r="F775" t="s">
        <v>27</v>
      </c>
      <c r="G775" t="s">
        <v>1172</v>
      </c>
      <c r="H775" s="1">
        <v>45300.010416666664</v>
      </c>
      <c r="I775" s="1">
        <v>45300.095833333333</v>
      </c>
      <c r="J775">
        <v>97</v>
      </c>
      <c r="K775">
        <v>123</v>
      </c>
      <c r="L775">
        <v>1</v>
      </c>
      <c r="M775" t="s">
        <v>22</v>
      </c>
      <c r="N775">
        <v>4</v>
      </c>
      <c r="O775">
        <v>206.23</v>
      </c>
    </row>
    <row r="776" spans="1:15" x14ac:dyDescent="0.35">
      <c r="A776" t="s">
        <v>1735</v>
      </c>
      <c r="B776" t="s">
        <v>24</v>
      </c>
      <c r="C776" t="s">
        <v>1736</v>
      </c>
      <c r="D776" t="s">
        <v>56</v>
      </c>
      <c r="E776" t="s">
        <v>33</v>
      </c>
      <c r="F776" t="s">
        <v>57</v>
      </c>
      <c r="G776" t="s">
        <v>207</v>
      </c>
      <c r="H776" s="1">
        <v>45395.310416666667</v>
      </c>
      <c r="I776" s="1">
        <v>45395.5</v>
      </c>
      <c r="J776">
        <v>200</v>
      </c>
      <c r="K776">
        <v>273</v>
      </c>
      <c r="L776">
        <v>1</v>
      </c>
      <c r="M776" t="s">
        <v>22</v>
      </c>
      <c r="N776">
        <v>10</v>
      </c>
      <c r="O776">
        <v>172.93</v>
      </c>
    </row>
    <row r="777" spans="1:15" x14ac:dyDescent="0.35">
      <c r="A777" t="s">
        <v>1737</v>
      </c>
      <c r="B777" t="s">
        <v>51</v>
      </c>
      <c r="C777" t="s">
        <v>1738</v>
      </c>
      <c r="D777" t="s">
        <v>18</v>
      </c>
      <c r="E777" t="s">
        <v>33</v>
      </c>
      <c r="F777" t="s">
        <v>39</v>
      </c>
      <c r="G777" t="s">
        <v>210</v>
      </c>
      <c r="H777" s="1">
        <v>45333.1875</v>
      </c>
      <c r="I777" s="1">
        <v>45333.298611111109</v>
      </c>
      <c r="J777">
        <v>153</v>
      </c>
      <c r="K777">
        <v>160</v>
      </c>
      <c r="L777">
        <v>1</v>
      </c>
      <c r="M777" t="s">
        <v>22</v>
      </c>
      <c r="N777">
        <v>9</v>
      </c>
      <c r="O777">
        <v>373.17</v>
      </c>
    </row>
    <row r="778" spans="1:15" x14ac:dyDescent="0.35">
      <c r="A778" t="s">
        <v>1739</v>
      </c>
      <c r="B778" t="s">
        <v>51</v>
      </c>
      <c r="C778" t="s">
        <v>1740</v>
      </c>
      <c r="D778" t="s">
        <v>26</v>
      </c>
      <c r="E778" t="s">
        <v>19</v>
      </c>
      <c r="F778" t="s">
        <v>20</v>
      </c>
      <c r="G778" t="s">
        <v>143</v>
      </c>
      <c r="H778" s="1">
        <v>45625.476388888892</v>
      </c>
      <c r="I778" s="1">
        <v>45625.517361111109</v>
      </c>
      <c r="J778">
        <v>14</v>
      </c>
      <c r="K778">
        <v>59</v>
      </c>
      <c r="L778">
        <v>1</v>
      </c>
      <c r="M778" t="s">
        <v>41</v>
      </c>
      <c r="N778">
        <v>8</v>
      </c>
      <c r="O778">
        <v>361.19</v>
      </c>
    </row>
    <row r="779" spans="1:15" x14ac:dyDescent="0.35">
      <c r="A779" t="s">
        <v>1741</v>
      </c>
      <c r="B779" t="s">
        <v>63</v>
      </c>
      <c r="C779" t="s">
        <v>1742</v>
      </c>
      <c r="D779" t="s">
        <v>18</v>
      </c>
      <c r="E779" t="s">
        <v>85</v>
      </c>
      <c r="F779" t="s">
        <v>34</v>
      </c>
      <c r="G779" t="s">
        <v>640</v>
      </c>
      <c r="H779" s="1">
        <v>45504.366666666669</v>
      </c>
      <c r="I779" s="1">
        <v>45504.456944444442</v>
      </c>
      <c r="J779">
        <v>106</v>
      </c>
      <c r="K779">
        <v>130</v>
      </c>
      <c r="L779">
        <v>1</v>
      </c>
      <c r="M779" t="s">
        <v>22</v>
      </c>
      <c r="N779">
        <v>4</v>
      </c>
      <c r="O779">
        <v>311.33</v>
      </c>
    </row>
    <row r="780" spans="1:15" x14ac:dyDescent="0.35">
      <c r="A780" t="s">
        <v>1743</v>
      </c>
      <c r="B780" t="s">
        <v>16</v>
      </c>
      <c r="C780" t="s">
        <v>1744</v>
      </c>
      <c r="D780" t="s">
        <v>48</v>
      </c>
      <c r="E780" t="s">
        <v>33</v>
      </c>
      <c r="F780" t="s">
        <v>57</v>
      </c>
      <c r="G780" t="s">
        <v>521</v>
      </c>
      <c r="H780" s="1">
        <v>45438.457638888889</v>
      </c>
      <c r="I780" s="1">
        <v>45438.552083333336</v>
      </c>
      <c r="J780">
        <v>79</v>
      </c>
      <c r="K780">
        <v>136</v>
      </c>
      <c r="L780">
        <v>1</v>
      </c>
      <c r="M780" t="s">
        <v>41</v>
      </c>
      <c r="N780">
        <v>7</v>
      </c>
      <c r="O780">
        <v>426.71</v>
      </c>
    </row>
    <row r="781" spans="1:15" x14ac:dyDescent="0.35">
      <c r="A781" t="s">
        <v>1745</v>
      </c>
      <c r="B781" t="s">
        <v>16</v>
      </c>
      <c r="C781" t="s">
        <v>1746</v>
      </c>
      <c r="D781" t="s">
        <v>26</v>
      </c>
      <c r="E781" t="s">
        <v>85</v>
      </c>
      <c r="F781" t="s">
        <v>39</v>
      </c>
      <c r="G781" t="s">
        <v>268</v>
      </c>
      <c r="H781" s="1">
        <v>45489.96875</v>
      </c>
      <c r="I781" s="1">
        <v>45490.015277777777</v>
      </c>
      <c r="J781">
        <v>53</v>
      </c>
      <c r="K781">
        <v>67</v>
      </c>
      <c r="L781">
        <v>1</v>
      </c>
      <c r="M781" t="s">
        <v>29</v>
      </c>
      <c r="N781">
        <v>10</v>
      </c>
      <c r="O781">
        <v>219.74</v>
      </c>
    </row>
    <row r="782" spans="1:15" x14ac:dyDescent="0.35">
      <c r="A782" t="s">
        <v>1747</v>
      </c>
      <c r="B782" t="s">
        <v>51</v>
      </c>
      <c r="C782" t="s">
        <v>1748</v>
      </c>
      <c r="D782" t="s">
        <v>48</v>
      </c>
      <c r="E782" t="s">
        <v>33</v>
      </c>
      <c r="F782" t="s">
        <v>39</v>
      </c>
      <c r="G782" t="s">
        <v>691</v>
      </c>
      <c r="H782" s="1">
        <v>45463.274305555555</v>
      </c>
      <c r="I782" s="1">
        <v>45463.367361111108</v>
      </c>
      <c r="J782">
        <v>89</v>
      </c>
      <c r="K782">
        <v>134</v>
      </c>
      <c r="L782">
        <v>1</v>
      </c>
      <c r="M782" t="s">
        <v>22</v>
      </c>
      <c r="N782">
        <v>10</v>
      </c>
      <c r="O782">
        <v>268.62</v>
      </c>
    </row>
    <row r="783" spans="1:15" x14ac:dyDescent="0.35">
      <c r="A783" t="s">
        <v>1749</v>
      </c>
      <c r="B783" t="s">
        <v>24</v>
      </c>
      <c r="C783" t="s">
        <v>1750</v>
      </c>
      <c r="D783" t="s">
        <v>26</v>
      </c>
      <c r="E783" t="s">
        <v>19</v>
      </c>
      <c r="F783" t="s">
        <v>20</v>
      </c>
      <c r="G783" t="s">
        <v>676</v>
      </c>
      <c r="H783" s="1">
        <v>45382.902083333334</v>
      </c>
      <c r="I783" s="1">
        <v>45383.051388888889</v>
      </c>
      <c r="J783">
        <v>198</v>
      </c>
      <c r="K783">
        <v>215</v>
      </c>
      <c r="L783">
        <v>1</v>
      </c>
      <c r="M783" t="s">
        <v>41</v>
      </c>
      <c r="N783">
        <v>9</v>
      </c>
      <c r="O783">
        <v>218.45</v>
      </c>
    </row>
    <row r="784" spans="1:15" x14ac:dyDescent="0.35">
      <c r="A784" t="s">
        <v>1751</v>
      </c>
      <c r="B784" t="s">
        <v>51</v>
      </c>
      <c r="C784" t="s">
        <v>1752</v>
      </c>
      <c r="D784" t="s">
        <v>44</v>
      </c>
      <c r="E784" t="s">
        <v>38</v>
      </c>
      <c r="F784" t="s">
        <v>39</v>
      </c>
      <c r="G784" t="s">
        <v>777</v>
      </c>
      <c r="H784" s="1">
        <v>45560.669444444444</v>
      </c>
      <c r="I784" s="1">
        <v>45560.853472222225</v>
      </c>
      <c r="J784">
        <v>174</v>
      </c>
      <c r="K784">
        <v>265</v>
      </c>
      <c r="L784">
        <v>1</v>
      </c>
      <c r="M784" t="s">
        <v>41</v>
      </c>
      <c r="N784">
        <v>1</v>
      </c>
      <c r="O784">
        <v>200.36</v>
      </c>
    </row>
    <row r="785" spans="1:15" x14ac:dyDescent="0.35">
      <c r="A785" t="s">
        <v>1753</v>
      </c>
      <c r="B785" t="s">
        <v>16</v>
      </c>
      <c r="C785" t="s">
        <v>1754</v>
      </c>
      <c r="D785" t="s">
        <v>44</v>
      </c>
      <c r="E785" t="s">
        <v>33</v>
      </c>
      <c r="F785" t="s">
        <v>39</v>
      </c>
      <c r="G785" t="s">
        <v>418</v>
      </c>
      <c r="H785" s="1">
        <v>45451.292361111111</v>
      </c>
      <c r="I785" s="1">
        <v>45451.395833333336</v>
      </c>
      <c r="J785">
        <v>46</v>
      </c>
      <c r="K785">
        <v>149</v>
      </c>
      <c r="L785">
        <v>1</v>
      </c>
      <c r="M785" t="s">
        <v>29</v>
      </c>
      <c r="N785">
        <v>1</v>
      </c>
      <c r="O785">
        <v>214.12</v>
      </c>
    </row>
    <row r="786" spans="1:15" x14ac:dyDescent="0.35">
      <c r="A786" t="s">
        <v>1755</v>
      </c>
      <c r="B786" t="s">
        <v>51</v>
      </c>
      <c r="C786" t="s">
        <v>1756</v>
      </c>
      <c r="D786" t="s">
        <v>26</v>
      </c>
      <c r="E786" t="s">
        <v>33</v>
      </c>
      <c r="F786" t="s">
        <v>27</v>
      </c>
      <c r="G786" t="s">
        <v>129</v>
      </c>
      <c r="H786" s="1">
        <v>45567.279166666667</v>
      </c>
      <c r="I786" s="1">
        <v>45567.436111111114</v>
      </c>
      <c r="J786">
        <v>217</v>
      </c>
      <c r="K786">
        <v>226</v>
      </c>
      <c r="L786">
        <v>1</v>
      </c>
      <c r="M786" t="s">
        <v>22</v>
      </c>
      <c r="N786">
        <v>3</v>
      </c>
      <c r="O786">
        <v>380.15</v>
      </c>
    </row>
    <row r="787" spans="1:15" x14ac:dyDescent="0.35">
      <c r="A787" t="s">
        <v>1757</v>
      </c>
      <c r="B787" t="s">
        <v>63</v>
      </c>
      <c r="C787" t="s">
        <v>1758</v>
      </c>
      <c r="D787" t="s">
        <v>26</v>
      </c>
      <c r="E787" t="s">
        <v>19</v>
      </c>
      <c r="F787" t="s">
        <v>57</v>
      </c>
      <c r="G787" t="s">
        <v>82</v>
      </c>
      <c r="H787" s="1">
        <v>45552.500694444447</v>
      </c>
      <c r="I787" s="1">
        <v>45552.688194444447</v>
      </c>
      <c r="J787">
        <v>232</v>
      </c>
      <c r="K787">
        <v>270</v>
      </c>
      <c r="L787">
        <v>1</v>
      </c>
      <c r="M787" t="s">
        <v>22</v>
      </c>
      <c r="N787">
        <v>8</v>
      </c>
      <c r="O787">
        <v>312.81</v>
      </c>
    </row>
    <row r="788" spans="1:15" x14ac:dyDescent="0.35">
      <c r="A788" t="s">
        <v>1759</v>
      </c>
      <c r="B788" t="s">
        <v>31</v>
      </c>
      <c r="C788" t="s">
        <v>1760</v>
      </c>
      <c r="D788" t="s">
        <v>26</v>
      </c>
      <c r="E788" t="s">
        <v>33</v>
      </c>
      <c r="F788" t="s">
        <v>20</v>
      </c>
      <c r="G788" t="s">
        <v>1278</v>
      </c>
      <c r="H788" s="1">
        <v>45483.595833333333</v>
      </c>
      <c r="I788" s="1">
        <v>45483.795138888891</v>
      </c>
      <c r="J788">
        <v>181</v>
      </c>
      <c r="K788">
        <v>287</v>
      </c>
      <c r="L788">
        <v>1</v>
      </c>
      <c r="M788" t="s">
        <v>22</v>
      </c>
      <c r="N788">
        <v>1</v>
      </c>
      <c r="O788">
        <v>79.489999999999995</v>
      </c>
    </row>
    <row r="789" spans="1:15" x14ac:dyDescent="0.35">
      <c r="A789" t="s">
        <v>1761</v>
      </c>
      <c r="B789" t="s">
        <v>63</v>
      </c>
      <c r="C789" t="s">
        <v>1762</v>
      </c>
      <c r="D789" t="s">
        <v>44</v>
      </c>
      <c r="E789" t="s">
        <v>85</v>
      </c>
      <c r="F789" t="s">
        <v>34</v>
      </c>
      <c r="G789" t="s">
        <v>45</v>
      </c>
      <c r="H789" s="1">
        <v>45531.936111111114</v>
      </c>
      <c r="I789" s="1">
        <v>45532.057638888888</v>
      </c>
      <c r="J789">
        <v>160</v>
      </c>
      <c r="K789">
        <v>175</v>
      </c>
      <c r="L789">
        <v>1</v>
      </c>
      <c r="M789" t="s">
        <v>22</v>
      </c>
      <c r="N789">
        <v>5</v>
      </c>
      <c r="O789">
        <v>454.35</v>
      </c>
    </row>
    <row r="790" spans="1:15" x14ac:dyDescent="0.35">
      <c r="A790" t="s">
        <v>1763</v>
      </c>
      <c r="B790" t="s">
        <v>24</v>
      </c>
      <c r="C790" t="s">
        <v>1764</v>
      </c>
      <c r="D790" t="s">
        <v>48</v>
      </c>
      <c r="E790" t="s">
        <v>85</v>
      </c>
      <c r="F790" t="s">
        <v>57</v>
      </c>
      <c r="G790" t="s">
        <v>191</v>
      </c>
      <c r="H790" s="1">
        <v>45632.652083333334</v>
      </c>
      <c r="I790" s="1">
        <v>45632.873611111114</v>
      </c>
      <c r="J790">
        <v>232</v>
      </c>
      <c r="K790">
        <v>319</v>
      </c>
      <c r="L790">
        <v>1</v>
      </c>
      <c r="M790" t="s">
        <v>41</v>
      </c>
      <c r="N790">
        <v>8</v>
      </c>
      <c r="O790">
        <v>415.87</v>
      </c>
    </row>
    <row r="791" spans="1:15" x14ac:dyDescent="0.35">
      <c r="A791" t="s">
        <v>1765</v>
      </c>
      <c r="B791" t="s">
        <v>16</v>
      </c>
      <c r="C791" t="s">
        <v>1766</v>
      </c>
      <c r="D791" t="s">
        <v>18</v>
      </c>
      <c r="E791" t="s">
        <v>38</v>
      </c>
      <c r="F791" t="s">
        <v>57</v>
      </c>
      <c r="G791" t="s">
        <v>265</v>
      </c>
      <c r="H791" s="1">
        <v>45511.130555555559</v>
      </c>
      <c r="I791" s="1">
        <v>45511.228472222225</v>
      </c>
      <c r="J791">
        <v>85</v>
      </c>
      <c r="K791">
        <v>141</v>
      </c>
      <c r="L791">
        <v>1</v>
      </c>
      <c r="M791" t="s">
        <v>41</v>
      </c>
      <c r="N791">
        <v>4</v>
      </c>
      <c r="O791">
        <v>431.5</v>
      </c>
    </row>
    <row r="792" spans="1:15" x14ac:dyDescent="0.35">
      <c r="A792" t="s">
        <v>1767</v>
      </c>
      <c r="B792" t="s">
        <v>31</v>
      </c>
      <c r="C792" t="s">
        <v>1768</v>
      </c>
      <c r="D792" t="s">
        <v>26</v>
      </c>
      <c r="E792" t="s">
        <v>38</v>
      </c>
      <c r="F792" t="s">
        <v>39</v>
      </c>
      <c r="G792" t="s">
        <v>676</v>
      </c>
      <c r="H792" s="1">
        <v>45339.302777777775</v>
      </c>
      <c r="I792" s="1">
        <v>45339.399305555555</v>
      </c>
      <c r="J792">
        <v>96</v>
      </c>
      <c r="K792">
        <v>139</v>
      </c>
      <c r="L792">
        <v>1</v>
      </c>
      <c r="M792" t="s">
        <v>22</v>
      </c>
      <c r="N792">
        <v>6</v>
      </c>
      <c r="O792">
        <v>100.11</v>
      </c>
    </row>
    <row r="793" spans="1:15" x14ac:dyDescent="0.35">
      <c r="A793" t="s">
        <v>1769</v>
      </c>
      <c r="B793" t="s">
        <v>24</v>
      </c>
      <c r="C793" t="s">
        <v>1770</v>
      </c>
      <c r="D793" t="s">
        <v>26</v>
      </c>
      <c r="E793" t="s">
        <v>38</v>
      </c>
      <c r="F793" t="s">
        <v>57</v>
      </c>
      <c r="G793" t="s">
        <v>456</v>
      </c>
      <c r="H793" s="1">
        <v>45496.570833333331</v>
      </c>
      <c r="I793" s="1">
        <v>45496.638194444444</v>
      </c>
      <c r="J793">
        <v>48</v>
      </c>
      <c r="K793">
        <v>97</v>
      </c>
      <c r="L793">
        <v>1</v>
      </c>
      <c r="M793" t="s">
        <v>22</v>
      </c>
      <c r="N793">
        <v>4</v>
      </c>
      <c r="O793">
        <v>80.66</v>
      </c>
    </row>
    <row r="794" spans="1:15" x14ac:dyDescent="0.35">
      <c r="A794" t="s">
        <v>1771</v>
      </c>
      <c r="B794" t="s">
        <v>16</v>
      </c>
      <c r="C794" t="s">
        <v>1772</v>
      </c>
      <c r="D794" t="s">
        <v>26</v>
      </c>
      <c r="E794" t="s">
        <v>33</v>
      </c>
      <c r="F794" t="s">
        <v>20</v>
      </c>
      <c r="G794" t="s">
        <v>647</v>
      </c>
      <c r="H794" s="1">
        <v>45306.638888888891</v>
      </c>
      <c r="I794" s="1">
        <v>45306.822222222225</v>
      </c>
      <c r="J794">
        <v>202</v>
      </c>
      <c r="K794">
        <v>264</v>
      </c>
      <c r="L794">
        <v>1</v>
      </c>
      <c r="M794" t="s">
        <v>22</v>
      </c>
      <c r="N794">
        <v>5</v>
      </c>
      <c r="O794">
        <v>392.43</v>
      </c>
    </row>
    <row r="795" spans="1:15" x14ac:dyDescent="0.35">
      <c r="A795" t="s">
        <v>1773</v>
      </c>
      <c r="B795" t="s">
        <v>63</v>
      </c>
      <c r="C795" t="s">
        <v>1774</v>
      </c>
      <c r="D795" t="s">
        <v>48</v>
      </c>
      <c r="E795" t="s">
        <v>19</v>
      </c>
      <c r="F795" t="s">
        <v>27</v>
      </c>
      <c r="G795" t="s">
        <v>631</v>
      </c>
      <c r="H795" s="1">
        <v>45623.325694444444</v>
      </c>
      <c r="I795" s="1">
        <v>45623.489583333336</v>
      </c>
      <c r="J795">
        <v>218</v>
      </c>
      <c r="K795">
        <v>236</v>
      </c>
      <c r="L795">
        <v>1</v>
      </c>
      <c r="M795" t="s">
        <v>29</v>
      </c>
      <c r="N795">
        <v>4</v>
      </c>
      <c r="O795">
        <v>186.36</v>
      </c>
    </row>
    <row r="796" spans="1:15" x14ac:dyDescent="0.35">
      <c r="A796" t="s">
        <v>1775</v>
      </c>
      <c r="B796" t="s">
        <v>63</v>
      </c>
      <c r="C796" t="s">
        <v>1776</v>
      </c>
      <c r="D796" t="s">
        <v>18</v>
      </c>
      <c r="E796" t="s">
        <v>85</v>
      </c>
      <c r="F796" t="s">
        <v>27</v>
      </c>
      <c r="G796" t="s">
        <v>88</v>
      </c>
      <c r="H796" s="1">
        <v>45516.076388888891</v>
      </c>
      <c r="I796" s="1">
        <v>45516.261805555558</v>
      </c>
      <c r="J796">
        <v>182</v>
      </c>
      <c r="K796">
        <v>267</v>
      </c>
      <c r="L796">
        <v>1</v>
      </c>
      <c r="M796" t="s">
        <v>29</v>
      </c>
      <c r="N796">
        <v>2</v>
      </c>
      <c r="O796">
        <v>244.55</v>
      </c>
    </row>
    <row r="797" spans="1:15" x14ac:dyDescent="0.35">
      <c r="A797" t="s">
        <v>1777</v>
      </c>
      <c r="B797" t="s">
        <v>16</v>
      </c>
      <c r="C797" t="s">
        <v>1778</v>
      </c>
      <c r="D797" t="s">
        <v>48</v>
      </c>
      <c r="E797" t="s">
        <v>38</v>
      </c>
      <c r="F797" t="s">
        <v>20</v>
      </c>
      <c r="G797" t="s">
        <v>237</v>
      </c>
      <c r="H797" s="1">
        <v>45606.693055555559</v>
      </c>
      <c r="I797" s="1">
        <v>45606.913888888892</v>
      </c>
      <c r="J797">
        <v>201</v>
      </c>
      <c r="K797">
        <v>318</v>
      </c>
      <c r="L797">
        <v>1</v>
      </c>
      <c r="M797" t="s">
        <v>29</v>
      </c>
      <c r="N797">
        <v>10</v>
      </c>
      <c r="O797">
        <v>280.13</v>
      </c>
    </row>
    <row r="798" spans="1:15" x14ac:dyDescent="0.35">
      <c r="A798" t="s">
        <v>1779</v>
      </c>
      <c r="B798" t="s">
        <v>24</v>
      </c>
      <c r="C798" t="s">
        <v>1780</v>
      </c>
      <c r="D798" t="s">
        <v>48</v>
      </c>
      <c r="E798" t="s">
        <v>38</v>
      </c>
      <c r="F798" t="s">
        <v>20</v>
      </c>
      <c r="G798" t="s">
        <v>288</v>
      </c>
      <c r="H798" s="1">
        <v>45556.517361111109</v>
      </c>
      <c r="I798" s="1">
        <v>45556.676388888889</v>
      </c>
      <c r="J798">
        <v>169</v>
      </c>
      <c r="K798">
        <v>229</v>
      </c>
      <c r="L798">
        <v>1</v>
      </c>
      <c r="M798" t="s">
        <v>41</v>
      </c>
      <c r="N798">
        <v>2</v>
      </c>
      <c r="O798">
        <v>199.78</v>
      </c>
    </row>
    <row r="799" spans="1:15" x14ac:dyDescent="0.35">
      <c r="A799" t="s">
        <v>1781</v>
      </c>
      <c r="B799" t="s">
        <v>24</v>
      </c>
      <c r="C799" t="s">
        <v>1782</v>
      </c>
      <c r="D799" t="s">
        <v>18</v>
      </c>
      <c r="E799" t="s">
        <v>38</v>
      </c>
      <c r="F799" t="s">
        <v>20</v>
      </c>
      <c r="G799" t="s">
        <v>988</v>
      </c>
      <c r="H799" s="1">
        <v>45416.554166666669</v>
      </c>
      <c r="I799" s="1">
        <v>45416.63958333333</v>
      </c>
      <c r="J799">
        <v>85</v>
      </c>
      <c r="K799">
        <v>123</v>
      </c>
      <c r="L799">
        <v>1</v>
      </c>
      <c r="M799" t="s">
        <v>22</v>
      </c>
      <c r="N799">
        <v>10</v>
      </c>
      <c r="O799">
        <v>313.49</v>
      </c>
    </row>
    <row r="800" spans="1:15" x14ac:dyDescent="0.35">
      <c r="A800" t="s">
        <v>1783</v>
      </c>
      <c r="B800" t="s">
        <v>63</v>
      </c>
      <c r="C800" t="s">
        <v>1784</v>
      </c>
      <c r="D800" t="s">
        <v>56</v>
      </c>
      <c r="E800" t="s">
        <v>19</v>
      </c>
      <c r="F800" t="s">
        <v>39</v>
      </c>
      <c r="G800" t="s">
        <v>546</v>
      </c>
      <c r="H800" s="1">
        <v>45624.978472222225</v>
      </c>
      <c r="I800" s="1">
        <v>45625.053472222222</v>
      </c>
      <c r="J800">
        <v>15</v>
      </c>
      <c r="K800">
        <v>108</v>
      </c>
      <c r="L800">
        <v>1</v>
      </c>
      <c r="M800" t="s">
        <v>22</v>
      </c>
      <c r="N800">
        <v>8</v>
      </c>
      <c r="O800">
        <v>165.33</v>
      </c>
    </row>
    <row r="801" spans="1:15" x14ac:dyDescent="0.35">
      <c r="A801" t="s">
        <v>1785</v>
      </c>
      <c r="B801" t="s">
        <v>16</v>
      </c>
      <c r="C801" t="s">
        <v>1786</v>
      </c>
      <c r="D801" t="s">
        <v>56</v>
      </c>
      <c r="E801" t="s">
        <v>19</v>
      </c>
      <c r="F801" t="s">
        <v>57</v>
      </c>
      <c r="G801" t="s">
        <v>149</v>
      </c>
      <c r="H801" s="1">
        <v>45292.3</v>
      </c>
      <c r="I801" s="1">
        <v>45292.541666666664</v>
      </c>
      <c r="J801">
        <v>240</v>
      </c>
      <c r="K801">
        <v>348</v>
      </c>
      <c r="L801">
        <v>1</v>
      </c>
      <c r="M801" t="s">
        <v>22</v>
      </c>
      <c r="N801">
        <v>8</v>
      </c>
      <c r="O801">
        <v>162.59</v>
      </c>
    </row>
    <row r="802" spans="1:15" x14ac:dyDescent="0.35">
      <c r="A802" t="s">
        <v>1787</v>
      </c>
      <c r="B802" t="s">
        <v>63</v>
      </c>
      <c r="C802" t="s">
        <v>1788</v>
      </c>
      <c r="D802" t="s">
        <v>48</v>
      </c>
      <c r="E802" t="s">
        <v>33</v>
      </c>
      <c r="F802" t="s">
        <v>57</v>
      </c>
      <c r="G802" t="s">
        <v>268</v>
      </c>
      <c r="H802" s="1">
        <v>45652.061111111114</v>
      </c>
      <c r="I802" s="1">
        <v>45652.23333333333</v>
      </c>
      <c r="J802">
        <v>198</v>
      </c>
      <c r="K802">
        <v>248</v>
      </c>
      <c r="L802">
        <v>1</v>
      </c>
      <c r="M802" t="s">
        <v>22</v>
      </c>
      <c r="N802">
        <v>4</v>
      </c>
      <c r="O802">
        <v>491.98</v>
      </c>
    </row>
    <row r="803" spans="1:15" x14ac:dyDescent="0.35">
      <c r="A803" t="s">
        <v>1789</v>
      </c>
      <c r="B803" t="s">
        <v>31</v>
      </c>
      <c r="C803" t="s">
        <v>1790</v>
      </c>
      <c r="D803" t="s">
        <v>44</v>
      </c>
      <c r="E803" t="s">
        <v>85</v>
      </c>
      <c r="F803" t="s">
        <v>39</v>
      </c>
      <c r="G803" t="s">
        <v>500</v>
      </c>
      <c r="H803" s="1">
        <v>45340.76458333333</v>
      </c>
      <c r="I803" s="1">
        <v>45340.834027777775</v>
      </c>
      <c r="J803">
        <v>60</v>
      </c>
      <c r="K803">
        <v>100</v>
      </c>
      <c r="L803">
        <v>1</v>
      </c>
      <c r="M803" t="s">
        <v>41</v>
      </c>
      <c r="N803">
        <v>8</v>
      </c>
      <c r="O803">
        <v>84.51</v>
      </c>
    </row>
    <row r="804" spans="1:15" x14ac:dyDescent="0.35">
      <c r="A804" t="s">
        <v>1791</v>
      </c>
      <c r="B804" t="s">
        <v>24</v>
      </c>
      <c r="C804" t="s">
        <v>1792</v>
      </c>
      <c r="D804" t="s">
        <v>56</v>
      </c>
      <c r="E804" t="s">
        <v>85</v>
      </c>
      <c r="F804" t="s">
        <v>27</v>
      </c>
      <c r="G804" t="s">
        <v>222</v>
      </c>
      <c r="H804" s="1">
        <v>45371.237500000003</v>
      </c>
      <c r="I804" s="1">
        <v>45371.368055555555</v>
      </c>
      <c r="J804">
        <v>166</v>
      </c>
      <c r="K804">
        <v>188</v>
      </c>
      <c r="L804">
        <v>1</v>
      </c>
      <c r="M804" t="s">
        <v>22</v>
      </c>
      <c r="N804">
        <v>7</v>
      </c>
      <c r="O804">
        <v>138.13999999999999</v>
      </c>
    </row>
    <row r="805" spans="1:15" x14ac:dyDescent="0.35">
      <c r="A805" t="s">
        <v>1793</v>
      </c>
      <c r="B805" t="s">
        <v>16</v>
      </c>
      <c r="C805" t="s">
        <v>1794</v>
      </c>
      <c r="D805" t="s">
        <v>56</v>
      </c>
      <c r="E805" t="s">
        <v>38</v>
      </c>
      <c r="F805" t="s">
        <v>57</v>
      </c>
      <c r="G805" t="s">
        <v>397</v>
      </c>
      <c r="H805" s="1">
        <v>45510.246527777781</v>
      </c>
      <c r="I805" s="1">
        <v>45510.318749999999</v>
      </c>
      <c r="J805">
        <v>43</v>
      </c>
      <c r="K805">
        <v>104</v>
      </c>
      <c r="L805">
        <v>1</v>
      </c>
      <c r="M805" t="s">
        <v>29</v>
      </c>
      <c r="N805">
        <v>1</v>
      </c>
      <c r="O805">
        <v>194.84</v>
      </c>
    </row>
    <row r="806" spans="1:15" x14ac:dyDescent="0.35">
      <c r="A806" t="s">
        <v>1795</v>
      </c>
      <c r="B806" t="s">
        <v>51</v>
      </c>
      <c r="C806" t="s">
        <v>1796</v>
      </c>
      <c r="D806" t="s">
        <v>18</v>
      </c>
      <c r="E806" t="s">
        <v>19</v>
      </c>
      <c r="F806" t="s">
        <v>39</v>
      </c>
      <c r="G806" t="s">
        <v>364</v>
      </c>
      <c r="H806" s="1">
        <v>45515.076388888891</v>
      </c>
      <c r="I806" s="1">
        <v>45515.218055555553</v>
      </c>
      <c r="J806">
        <v>95</v>
      </c>
      <c r="K806">
        <v>204</v>
      </c>
      <c r="L806">
        <v>1</v>
      </c>
      <c r="M806" t="s">
        <v>41</v>
      </c>
      <c r="N806">
        <v>7</v>
      </c>
      <c r="O806">
        <v>111.77</v>
      </c>
    </row>
    <row r="807" spans="1:15" x14ac:dyDescent="0.35">
      <c r="A807" t="s">
        <v>1797</v>
      </c>
      <c r="B807" t="s">
        <v>51</v>
      </c>
      <c r="C807" t="s">
        <v>1798</v>
      </c>
      <c r="D807" t="s">
        <v>48</v>
      </c>
      <c r="E807" t="s">
        <v>38</v>
      </c>
      <c r="F807" t="s">
        <v>39</v>
      </c>
      <c r="G807" t="s">
        <v>691</v>
      </c>
      <c r="H807" s="1">
        <v>45615.324305555558</v>
      </c>
      <c r="I807" s="1">
        <v>45615.507638888892</v>
      </c>
      <c r="J807">
        <v>152</v>
      </c>
      <c r="K807">
        <v>264</v>
      </c>
      <c r="L807">
        <v>1</v>
      </c>
      <c r="M807" t="s">
        <v>29</v>
      </c>
      <c r="N807">
        <v>5</v>
      </c>
      <c r="O807">
        <v>236.89</v>
      </c>
    </row>
    <row r="808" spans="1:15" x14ac:dyDescent="0.35">
      <c r="A808" t="s">
        <v>1799</v>
      </c>
      <c r="B808" t="s">
        <v>24</v>
      </c>
      <c r="C808" t="s">
        <v>1800</v>
      </c>
      <c r="D808" t="s">
        <v>18</v>
      </c>
      <c r="E808" t="s">
        <v>38</v>
      </c>
      <c r="F808" t="s">
        <v>34</v>
      </c>
      <c r="G808" t="s">
        <v>894</v>
      </c>
      <c r="H808" s="1">
        <v>45379.224305555559</v>
      </c>
      <c r="I808" s="1">
        <v>45379.34652777778</v>
      </c>
      <c r="J808">
        <v>63</v>
      </c>
      <c r="K808">
        <v>176</v>
      </c>
      <c r="L808">
        <v>1</v>
      </c>
      <c r="M808" t="s">
        <v>29</v>
      </c>
      <c r="N808">
        <v>10</v>
      </c>
      <c r="O808">
        <v>333.15</v>
      </c>
    </row>
    <row r="809" spans="1:15" x14ac:dyDescent="0.35">
      <c r="A809" t="s">
        <v>1801</v>
      </c>
      <c r="B809" t="s">
        <v>31</v>
      </c>
      <c r="C809" t="s">
        <v>1802</v>
      </c>
      <c r="D809" t="s">
        <v>48</v>
      </c>
      <c r="E809" t="s">
        <v>19</v>
      </c>
      <c r="F809" t="s">
        <v>27</v>
      </c>
      <c r="G809" t="s">
        <v>155</v>
      </c>
      <c r="H809" s="1">
        <v>45321.45</v>
      </c>
      <c r="I809" s="1">
        <v>45321.584027777775</v>
      </c>
      <c r="J809">
        <v>165</v>
      </c>
      <c r="K809">
        <v>193</v>
      </c>
      <c r="L809">
        <v>1</v>
      </c>
      <c r="M809" t="s">
        <v>22</v>
      </c>
      <c r="N809">
        <v>6</v>
      </c>
      <c r="O809">
        <v>80.3</v>
      </c>
    </row>
    <row r="810" spans="1:15" x14ac:dyDescent="0.35">
      <c r="A810" t="s">
        <v>1803</v>
      </c>
      <c r="B810" t="s">
        <v>63</v>
      </c>
      <c r="C810" t="s">
        <v>1804</v>
      </c>
      <c r="D810" t="s">
        <v>26</v>
      </c>
      <c r="E810" t="s">
        <v>85</v>
      </c>
      <c r="F810" t="s">
        <v>39</v>
      </c>
      <c r="G810" t="s">
        <v>76</v>
      </c>
      <c r="H810" s="1">
        <v>45633.271527777775</v>
      </c>
      <c r="I810" s="1">
        <v>45633.307638888888</v>
      </c>
      <c r="J810">
        <v>48</v>
      </c>
      <c r="K810">
        <v>52</v>
      </c>
      <c r="L810">
        <v>1</v>
      </c>
      <c r="M810" t="s">
        <v>22</v>
      </c>
      <c r="N810">
        <v>3</v>
      </c>
      <c r="O810">
        <v>289.19</v>
      </c>
    </row>
    <row r="811" spans="1:15" x14ac:dyDescent="0.35">
      <c r="A811" t="s">
        <v>1805</v>
      </c>
      <c r="B811" t="s">
        <v>51</v>
      </c>
      <c r="C811" t="s">
        <v>1806</v>
      </c>
      <c r="D811" t="s">
        <v>48</v>
      </c>
      <c r="E811" t="s">
        <v>85</v>
      </c>
      <c r="F811" t="s">
        <v>57</v>
      </c>
      <c r="G811" t="s">
        <v>97</v>
      </c>
      <c r="H811" s="1">
        <v>45584.520138888889</v>
      </c>
      <c r="I811" s="1">
        <v>45584.551388888889</v>
      </c>
      <c r="J811">
        <v>21</v>
      </c>
      <c r="K811">
        <v>45</v>
      </c>
      <c r="L811">
        <v>1</v>
      </c>
      <c r="M811" t="s">
        <v>41</v>
      </c>
      <c r="N811">
        <v>7</v>
      </c>
      <c r="O811">
        <v>341.25</v>
      </c>
    </row>
    <row r="812" spans="1:15" x14ac:dyDescent="0.35">
      <c r="A812" t="s">
        <v>1807</v>
      </c>
      <c r="B812" t="s">
        <v>63</v>
      </c>
      <c r="C812" t="s">
        <v>1808</v>
      </c>
      <c r="D812" t="s">
        <v>48</v>
      </c>
      <c r="E812" t="s">
        <v>19</v>
      </c>
      <c r="F812" t="s">
        <v>39</v>
      </c>
      <c r="G812" t="s">
        <v>343</v>
      </c>
      <c r="H812" s="1">
        <v>45477.822916666664</v>
      </c>
      <c r="I812" s="1">
        <v>45477.968055555553</v>
      </c>
      <c r="J812">
        <v>129</v>
      </c>
      <c r="K812">
        <v>209</v>
      </c>
      <c r="L812">
        <v>1</v>
      </c>
      <c r="M812" t="s">
        <v>41</v>
      </c>
      <c r="N812">
        <v>8</v>
      </c>
      <c r="O812">
        <v>213.19</v>
      </c>
    </row>
    <row r="813" spans="1:15" x14ac:dyDescent="0.35">
      <c r="A813" t="s">
        <v>1809</v>
      </c>
      <c r="B813" t="s">
        <v>31</v>
      </c>
      <c r="C813" t="s">
        <v>1810</v>
      </c>
      <c r="D813" t="s">
        <v>56</v>
      </c>
      <c r="E813" t="s">
        <v>85</v>
      </c>
      <c r="F813" t="s">
        <v>39</v>
      </c>
      <c r="G813" t="s">
        <v>615</v>
      </c>
      <c r="H813" s="1">
        <v>45408.197916666664</v>
      </c>
      <c r="I813" s="1">
        <v>45408.395833333336</v>
      </c>
      <c r="J813">
        <v>169</v>
      </c>
      <c r="K813">
        <v>285</v>
      </c>
      <c r="L813">
        <v>1</v>
      </c>
      <c r="M813" t="s">
        <v>41</v>
      </c>
      <c r="N813">
        <v>4</v>
      </c>
      <c r="O813">
        <v>491.57</v>
      </c>
    </row>
    <row r="814" spans="1:15" x14ac:dyDescent="0.35">
      <c r="A814" t="s">
        <v>1811</v>
      </c>
      <c r="B814" t="s">
        <v>16</v>
      </c>
      <c r="C814" t="s">
        <v>1812</v>
      </c>
      <c r="D814" t="s">
        <v>44</v>
      </c>
      <c r="E814" t="s">
        <v>19</v>
      </c>
      <c r="F814" t="s">
        <v>27</v>
      </c>
      <c r="G814" t="s">
        <v>415</v>
      </c>
      <c r="H814" s="1">
        <v>45525.88958333333</v>
      </c>
      <c r="I814" s="1">
        <v>45526.125694444447</v>
      </c>
      <c r="J814">
        <v>223</v>
      </c>
      <c r="K814">
        <v>340</v>
      </c>
      <c r="L814">
        <v>1</v>
      </c>
      <c r="M814" t="s">
        <v>29</v>
      </c>
      <c r="N814">
        <v>6</v>
      </c>
      <c r="O814">
        <v>218.21</v>
      </c>
    </row>
    <row r="815" spans="1:15" x14ac:dyDescent="0.35">
      <c r="A815" t="s">
        <v>1813</v>
      </c>
      <c r="B815" t="s">
        <v>63</v>
      </c>
      <c r="C815" t="s">
        <v>1814</v>
      </c>
      <c r="D815" t="s">
        <v>56</v>
      </c>
      <c r="E815" t="s">
        <v>38</v>
      </c>
      <c r="F815" t="s">
        <v>27</v>
      </c>
      <c r="G815" t="s">
        <v>158</v>
      </c>
      <c r="H815" s="1">
        <v>45372.311805555553</v>
      </c>
      <c r="I815" s="1">
        <v>45372.464583333334</v>
      </c>
      <c r="J815">
        <v>190</v>
      </c>
      <c r="K815">
        <v>220</v>
      </c>
      <c r="L815">
        <v>1</v>
      </c>
      <c r="M815" t="s">
        <v>41</v>
      </c>
      <c r="N815">
        <v>1</v>
      </c>
      <c r="O815">
        <v>315.82</v>
      </c>
    </row>
    <row r="816" spans="1:15" x14ac:dyDescent="0.35">
      <c r="A816" t="s">
        <v>1815</v>
      </c>
      <c r="B816" t="s">
        <v>51</v>
      </c>
      <c r="C816" t="s">
        <v>1816</v>
      </c>
      <c r="D816" t="s">
        <v>44</v>
      </c>
      <c r="E816" t="s">
        <v>19</v>
      </c>
      <c r="F816" t="s">
        <v>20</v>
      </c>
      <c r="G816" t="s">
        <v>402</v>
      </c>
      <c r="H816" s="1">
        <v>45610.783333333333</v>
      </c>
      <c r="I816" s="1">
        <v>45610.933333333334</v>
      </c>
      <c r="J816">
        <v>165</v>
      </c>
      <c r="K816">
        <v>216</v>
      </c>
      <c r="L816">
        <v>1</v>
      </c>
      <c r="M816" t="s">
        <v>29</v>
      </c>
      <c r="N816">
        <v>4</v>
      </c>
      <c r="O816">
        <v>130.16999999999999</v>
      </c>
    </row>
    <row r="817" spans="1:15" x14ac:dyDescent="0.35">
      <c r="A817" t="s">
        <v>1817</v>
      </c>
      <c r="B817" t="s">
        <v>31</v>
      </c>
      <c r="C817" t="s">
        <v>1818</v>
      </c>
      <c r="D817" t="s">
        <v>56</v>
      </c>
      <c r="E817" t="s">
        <v>33</v>
      </c>
      <c r="F817" t="s">
        <v>39</v>
      </c>
      <c r="G817" t="s">
        <v>262</v>
      </c>
      <c r="H817" s="1">
        <v>45436.98541666667</v>
      </c>
      <c r="I817" s="1">
        <v>45437.10833333333</v>
      </c>
      <c r="J817">
        <v>143</v>
      </c>
      <c r="K817">
        <v>177</v>
      </c>
      <c r="L817">
        <v>1</v>
      </c>
      <c r="M817" t="s">
        <v>29</v>
      </c>
      <c r="N817">
        <v>2</v>
      </c>
      <c r="O817">
        <v>200.3</v>
      </c>
    </row>
    <row r="818" spans="1:15" x14ac:dyDescent="0.35">
      <c r="A818" t="s">
        <v>1819</v>
      </c>
      <c r="B818" t="s">
        <v>16</v>
      </c>
      <c r="C818" t="s">
        <v>1820</v>
      </c>
      <c r="D818" t="s">
        <v>18</v>
      </c>
      <c r="E818" t="s">
        <v>33</v>
      </c>
      <c r="F818" t="s">
        <v>39</v>
      </c>
      <c r="G818" t="s">
        <v>129</v>
      </c>
      <c r="H818" s="1">
        <v>45479.875</v>
      </c>
      <c r="I818" s="1">
        <v>45480.022222222222</v>
      </c>
      <c r="J818">
        <v>158</v>
      </c>
      <c r="K818">
        <v>212</v>
      </c>
      <c r="L818">
        <v>1</v>
      </c>
      <c r="M818" t="s">
        <v>41</v>
      </c>
      <c r="N818">
        <v>2</v>
      </c>
      <c r="O818">
        <v>237.15</v>
      </c>
    </row>
    <row r="819" spans="1:15" x14ac:dyDescent="0.35">
      <c r="A819" t="s">
        <v>1821</v>
      </c>
      <c r="B819" t="s">
        <v>51</v>
      </c>
      <c r="C819" t="s">
        <v>1822</v>
      </c>
      <c r="D819" t="s">
        <v>48</v>
      </c>
      <c r="E819" t="s">
        <v>85</v>
      </c>
      <c r="F819" t="s">
        <v>57</v>
      </c>
      <c r="G819" t="s">
        <v>182</v>
      </c>
      <c r="H819" s="1">
        <v>45596.064583333333</v>
      </c>
      <c r="I819" s="1">
        <v>45596.159722222219</v>
      </c>
      <c r="J819">
        <v>65</v>
      </c>
      <c r="K819">
        <v>137</v>
      </c>
      <c r="L819">
        <v>1</v>
      </c>
      <c r="M819" t="s">
        <v>29</v>
      </c>
      <c r="N819">
        <v>8</v>
      </c>
      <c r="O819">
        <v>97.3</v>
      </c>
    </row>
    <row r="820" spans="1:15" x14ac:dyDescent="0.35">
      <c r="A820" t="s">
        <v>1823</v>
      </c>
      <c r="B820" t="s">
        <v>31</v>
      </c>
      <c r="C820" t="s">
        <v>1824</v>
      </c>
      <c r="D820" t="s">
        <v>48</v>
      </c>
      <c r="E820" t="s">
        <v>33</v>
      </c>
      <c r="F820" t="s">
        <v>20</v>
      </c>
      <c r="G820" t="s">
        <v>68</v>
      </c>
      <c r="H820" s="1">
        <v>45546.618750000001</v>
      </c>
      <c r="I820" s="1">
        <v>45546.79791666667</v>
      </c>
      <c r="J820">
        <v>204</v>
      </c>
      <c r="K820">
        <v>258</v>
      </c>
      <c r="L820">
        <v>1</v>
      </c>
      <c r="M820" t="s">
        <v>29</v>
      </c>
      <c r="N820">
        <v>5</v>
      </c>
      <c r="O820">
        <v>405.99</v>
      </c>
    </row>
    <row r="821" spans="1:15" x14ac:dyDescent="0.35">
      <c r="A821" t="s">
        <v>1825</v>
      </c>
      <c r="B821" t="s">
        <v>31</v>
      </c>
      <c r="C821" t="s">
        <v>1826</v>
      </c>
      <c r="D821" t="s">
        <v>48</v>
      </c>
      <c r="E821" t="s">
        <v>19</v>
      </c>
      <c r="F821" t="s">
        <v>39</v>
      </c>
      <c r="G821" t="s">
        <v>225</v>
      </c>
      <c r="H821" s="1">
        <v>45533.708333333336</v>
      </c>
      <c r="I821" s="1">
        <v>45533.893750000003</v>
      </c>
      <c r="J821">
        <v>168</v>
      </c>
      <c r="K821">
        <v>267</v>
      </c>
      <c r="L821">
        <v>1</v>
      </c>
      <c r="M821" t="s">
        <v>29</v>
      </c>
      <c r="N821">
        <v>7</v>
      </c>
      <c r="O821">
        <v>184.5</v>
      </c>
    </row>
    <row r="822" spans="1:15" x14ac:dyDescent="0.35">
      <c r="A822" t="s">
        <v>1827</v>
      </c>
      <c r="B822" t="s">
        <v>16</v>
      </c>
      <c r="C822" t="s">
        <v>1828</v>
      </c>
      <c r="D822" t="s">
        <v>18</v>
      </c>
      <c r="E822" t="s">
        <v>38</v>
      </c>
      <c r="F822" t="s">
        <v>57</v>
      </c>
      <c r="G822" t="s">
        <v>388</v>
      </c>
      <c r="H822" s="1">
        <v>45623.888888888891</v>
      </c>
      <c r="I822" s="1">
        <v>45624.075694444444</v>
      </c>
      <c r="J822">
        <v>170</v>
      </c>
      <c r="K822">
        <v>269</v>
      </c>
      <c r="L822">
        <v>1</v>
      </c>
      <c r="M822" t="s">
        <v>41</v>
      </c>
      <c r="N822">
        <v>5</v>
      </c>
      <c r="O822">
        <v>280.02</v>
      </c>
    </row>
    <row r="823" spans="1:15" x14ac:dyDescent="0.35">
      <c r="A823" t="s">
        <v>1829</v>
      </c>
      <c r="B823" t="s">
        <v>63</v>
      </c>
      <c r="C823" t="s">
        <v>1830</v>
      </c>
      <c r="D823" t="s">
        <v>18</v>
      </c>
      <c r="E823" t="s">
        <v>33</v>
      </c>
      <c r="F823" t="s">
        <v>20</v>
      </c>
      <c r="G823" t="s">
        <v>76</v>
      </c>
      <c r="H823" s="1">
        <v>45502.295138888891</v>
      </c>
      <c r="I823" s="1">
        <v>45502.493055555555</v>
      </c>
      <c r="J823">
        <v>179</v>
      </c>
      <c r="K823">
        <v>285</v>
      </c>
      <c r="L823">
        <v>1</v>
      </c>
      <c r="M823" t="s">
        <v>41</v>
      </c>
      <c r="N823">
        <v>9</v>
      </c>
      <c r="O823">
        <v>93.87</v>
      </c>
    </row>
    <row r="824" spans="1:15" x14ac:dyDescent="0.35">
      <c r="A824" t="s">
        <v>1831</v>
      </c>
      <c r="B824" t="s">
        <v>31</v>
      </c>
      <c r="C824" t="s">
        <v>1832</v>
      </c>
      <c r="D824" t="s">
        <v>44</v>
      </c>
      <c r="E824" t="s">
        <v>38</v>
      </c>
      <c r="F824" t="s">
        <v>20</v>
      </c>
      <c r="G824" t="s">
        <v>418</v>
      </c>
      <c r="H824" s="1">
        <v>45644.043749999997</v>
      </c>
      <c r="I824" s="1">
        <v>45644.207638888889</v>
      </c>
      <c r="J824">
        <v>140</v>
      </c>
      <c r="K824">
        <v>236</v>
      </c>
      <c r="L824">
        <v>1</v>
      </c>
      <c r="M824" t="s">
        <v>22</v>
      </c>
      <c r="N824">
        <v>3</v>
      </c>
      <c r="O824">
        <v>87</v>
      </c>
    </row>
    <row r="825" spans="1:15" x14ac:dyDescent="0.35">
      <c r="A825" t="s">
        <v>1833</v>
      </c>
      <c r="B825" t="s">
        <v>31</v>
      </c>
      <c r="C825" t="s">
        <v>1834</v>
      </c>
      <c r="D825" t="s">
        <v>18</v>
      </c>
      <c r="E825" t="s">
        <v>85</v>
      </c>
      <c r="F825" t="s">
        <v>39</v>
      </c>
      <c r="G825" t="s">
        <v>1172</v>
      </c>
      <c r="H825" s="1">
        <v>45450.837500000001</v>
      </c>
      <c r="I825" s="1">
        <v>45450.923611111109</v>
      </c>
      <c r="J825">
        <v>112</v>
      </c>
      <c r="K825">
        <v>124</v>
      </c>
      <c r="L825">
        <v>1</v>
      </c>
      <c r="M825" t="s">
        <v>29</v>
      </c>
      <c r="N825">
        <v>8</v>
      </c>
      <c r="O825">
        <v>281.7</v>
      </c>
    </row>
    <row r="826" spans="1:15" x14ac:dyDescent="0.35">
      <c r="A826" t="s">
        <v>1835</v>
      </c>
      <c r="B826" t="s">
        <v>24</v>
      </c>
      <c r="C826" t="s">
        <v>1836</v>
      </c>
      <c r="D826" t="s">
        <v>56</v>
      </c>
      <c r="E826" t="s">
        <v>85</v>
      </c>
      <c r="F826" t="s">
        <v>39</v>
      </c>
      <c r="G826" t="s">
        <v>194</v>
      </c>
      <c r="H826" s="1">
        <v>45401.416666666664</v>
      </c>
      <c r="I826" s="1">
        <v>45401.538888888892</v>
      </c>
      <c r="J826">
        <v>155</v>
      </c>
      <c r="K826">
        <v>176</v>
      </c>
      <c r="L826">
        <v>1</v>
      </c>
      <c r="M826" t="s">
        <v>41</v>
      </c>
      <c r="N826">
        <v>9</v>
      </c>
      <c r="O826">
        <v>73.66</v>
      </c>
    </row>
    <row r="827" spans="1:15" x14ac:dyDescent="0.35">
      <c r="A827" t="s">
        <v>1837</v>
      </c>
      <c r="B827" t="s">
        <v>16</v>
      </c>
      <c r="C827" t="s">
        <v>1838</v>
      </c>
      <c r="D827" t="s">
        <v>44</v>
      </c>
      <c r="E827" t="s">
        <v>85</v>
      </c>
      <c r="F827" t="s">
        <v>34</v>
      </c>
      <c r="G827" t="s">
        <v>254</v>
      </c>
      <c r="H827" s="1">
        <v>45361.822916666664</v>
      </c>
      <c r="I827" s="1">
        <v>45361.902777777781</v>
      </c>
      <c r="J827">
        <v>96</v>
      </c>
      <c r="K827">
        <v>115</v>
      </c>
      <c r="L827">
        <v>1</v>
      </c>
      <c r="M827" t="s">
        <v>29</v>
      </c>
      <c r="N827">
        <v>9</v>
      </c>
      <c r="O827">
        <v>102.95</v>
      </c>
    </row>
    <row r="828" spans="1:15" x14ac:dyDescent="0.35">
      <c r="A828" t="s">
        <v>1839</v>
      </c>
      <c r="B828" t="s">
        <v>51</v>
      </c>
      <c r="C828" t="s">
        <v>1840</v>
      </c>
      <c r="D828" t="s">
        <v>44</v>
      </c>
      <c r="E828" t="s">
        <v>85</v>
      </c>
      <c r="F828" t="s">
        <v>39</v>
      </c>
      <c r="G828" t="s">
        <v>691</v>
      </c>
      <c r="H828" s="1">
        <v>45610.494444444441</v>
      </c>
      <c r="I828" s="1">
        <v>45610.565972222219</v>
      </c>
      <c r="J828">
        <v>21</v>
      </c>
      <c r="K828">
        <v>103</v>
      </c>
      <c r="L828">
        <v>1</v>
      </c>
      <c r="M828" t="s">
        <v>22</v>
      </c>
      <c r="N828">
        <v>2</v>
      </c>
      <c r="O828">
        <v>490.35</v>
      </c>
    </row>
    <row r="829" spans="1:15" x14ac:dyDescent="0.35">
      <c r="A829" t="s">
        <v>1841</v>
      </c>
      <c r="B829" t="s">
        <v>16</v>
      </c>
      <c r="C829" t="s">
        <v>1842</v>
      </c>
      <c r="D829" t="s">
        <v>44</v>
      </c>
      <c r="E829" t="s">
        <v>38</v>
      </c>
      <c r="F829" t="s">
        <v>20</v>
      </c>
      <c r="G829" t="s">
        <v>173</v>
      </c>
      <c r="H829" s="1">
        <v>45637.393750000003</v>
      </c>
      <c r="I829" s="1">
        <v>45637.462500000001</v>
      </c>
      <c r="J829">
        <v>93</v>
      </c>
      <c r="K829">
        <v>99</v>
      </c>
      <c r="L829">
        <v>1</v>
      </c>
      <c r="M829" t="s">
        <v>29</v>
      </c>
      <c r="N829">
        <v>6</v>
      </c>
      <c r="O829">
        <v>50.79</v>
      </c>
    </row>
    <row r="830" spans="1:15" x14ac:dyDescent="0.35">
      <c r="A830" t="s">
        <v>1843</v>
      </c>
      <c r="B830" t="s">
        <v>31</v>
      </c>
      <c r="C830" t="s">
        <v>1844</v>
      </c>
      <c r="D830" t="s">
        <v>56</v>
      </c>
      <c r="E830" t="s">
        <v>33</v>
      </c>
      <c r="F830" t="s">
        <v>57</v>
      </c>
      <c r="G830" t="s">
        <v>21</v>
      </c>
      <c r="H830" s="1">
        <v>45629.722916666666</v>
      </c>
      <c r="I830" s="1">
        <v>45629.876388888886</v>
      </c>
      <c r="J830">
        <v>185</v>
      </c>
      <c r="K830">
        <v>221</v>
      </c>
      <c r="L830">
        <v>1</v>
      </c>
      <c r="M830" t="s">
        <v>22</v>
      </c>
      <c r="N830">
        <v>8</v>
      </c>
      <c r="O830">
        <v>403.34</v>
      </c>
    </row>
    <row r="831" spans="1:15" x14ac:dyDescent="0.35">
      <c r="A831" t="s">
        <v>1845</v>
      </c>
      <c r="B831" t="s">
        <v>24</v>
      </c>
      <c r="C831" t="s">
        <v>1846</v>
      </c>
      <c r="D831" t="s">
        <v>44</v>
      </c>
      <c r="E831" t="s">
        <v>19</v>
      </c>
      <c r="F831" t="s">
        <v>20</v>
      </c>
      <c r="G831" t="s">
        <v>251</v>
      </c>
      <c r="H831" s="1">
        <v>45459.734722222223</v>
      </c>
      <c r="I831" s="1">
        <v>45459.818749999999</v>
      </c>
      <c r="J831">
        <v>75</v>
      </c>
      <c r="K831">
        <v>121</v>
      </c>
      <c r="L831">
        <v>1</v>
      </c>
      <c r="M831" t="s">
        <v>22</v>
      </c>
      <c r="N831">
        <v>2</v>
      </c>
      <c r="O831">
        <v>159.58000000000001</v>
      </c>
    </row>
    <row r="832" spans="1:15" x14ac:dyDescent="0.35">
      <c r="A832" t="s">
        <v>1847</v>
      </c>
      <c r="B832" t="s">
        <v>63</v>
      </c>
      <c r="C832" t="s">
        <v>1848</v>
      </c>
      <c r="D832" t="s">
        <v>26</v>
      </c>
      <c r="E832" t="s">
        <v>19</v>
      </c>
      <c r="F832" t="s">
        <v>34</v>
      </c>
      <c r="G832" t="s">
        <v>234</v>
      </c>
      <c r="H832" s="1">
        <v>45644.96597222222</v>
      </c>
      <c r="I832" s="1">
        <v>45645.090277777781</v>
      </c>
      <c r="J832">
        <v>81</v>
      </c>
      <c r="K832">
        <v>179</v>
      </c>
      <c r="L832">
        <v>1</v>
      </c>
      <c r="M832" t="s">
        <v>41</v>
      </c>
      <c r="N832">
        <v>9</v>
      </c>
      <c r="O832">
        <v>121.82</v>
      </c>
    </row>
    <row r="833" spans="1:15" x14ac:dyDescent="0.35">
      <c r="A833" t="s">
        <v>1849</v>
      </c>
      <c r="B833" t="s">
        <v>63</v>
      </c>
      <c r="C833" t="s">
        <v>1850</v>
      </c>
      <c r="D833" t="s">
        <v>44</v>
      </c>
      <c r="E833" t="s">
        <v>38</v>
      </c>
      <c r="F833" t="s">
        <v>34</v>
      </c>
      <c r="G833" t="s">
        <v>65</v>
      </c>
      <c r="H833" s="1">
        <v>45630.804861111108</v>
      </c>
      <c r="I833" s="1">
        <v>45630.910416666666</v>
      </c>
      <c r="J833">
        <v>120</v>
      </c>
      <c r="K833">
        <v>152</v>
      </c>
      <c r="L833">
        <v>1</v>
      </c>
      <c r="M833" t="s">
        <v>22</v>
      </c>
      <c r="N833">
        <v>4</v>
      </c>
      <c r="O833">
        <v>372.24</v>
      </c>
    </row>
    <row r="834" spans="1:15" x14ac:dyDescent="0.35">
      <c r="A834" t="s">
        <v>1851</v>
      </c>
      <c r="B834" t="s">
        <v>63</v>
      </c>
      <c r="C834" t="s">
        <v>1852</v>
      </c>
      <c r="D834" t="s">
        <v>18</v>
      </c>
      <c r="E834" t="s">
        <v>19</v>
      </c>
      <c r="F834" t="s">
        <v>27</v>
      </c>
      <c r="G834" t="s">
        <v>293</v>
      </c>
      <c r="H834" s="1">
        <v>45420.01666666667</v>
      </c>
      <c r="I834" s="1">
        <v>45420.057638888888</v>
      </c>
      <c r="J834">
        <v>42</v>
      </c>
      <c r="K834">
        <v>59</v>
      </c>
      <c r="L834">
        <v>1</v>
      </c>
      <c r="M834" t="s">
        <v>29</v>
      </c>
      <c r="N834">
        <v>4</v>
      </c>
      <c r="O834">
        <v>178.8</v>
      </c>
    </row>
    <row r="835" spans="1:15" x14ac:dyDescent="0.35">
      <c r="A835" t="s">
        <v>1853</v>
      </c>
      <c r="B835" t="s">
        <v>16</v>
      </c>
      <c r="C835" t="s">
        <v>1854</v>
      </c>
      <c r="D835" t="s">
        <v>56</v>
      </c>
      <c r="E835" t="s">
        <v>38</v>
      </c>
      <c r="F835" t="s">
        <v>27</v>
      </c>
      <c r="G835" t="s">
        <v>164</v>
      </c>
      <c r="H835" s="1">
        <v>45631.631249999999</v>
      </c>
      <c r="I835" s="1">
        <v>45631.800694444442</v>
      </c>
      <c r="J835">
        <v>185</v>
      </c>
      <c r="K835">
        <v>244</v>
      </c>
      <c r="L835">
        <v>1</v>
      </c>
      <c r="M835" t="s">
        <v>41</v>
      </c>
      <c r="N835">
        <v>6</v>
      </c>
      <c r="O835">
        <v>90.78</v>
      </c>
    </row>
    <row r="836" spans="1:15" x14ac:dyDescent="0.35">
      <c r="A836" t="s">
        <v>1855</v>
      </c>
      <c r="B836" t="s">
        <v>51</v>
      </c>
      <c r="C836" t="s">
        <v>1856</v>
      </c>
      <c r="D836" t="s">
        <v>48</v>
      </c>
      <c r="E836" t="s">
        <v>19</v>
      </c>
      <c r="F836" t="s">
        <v>34</v>
      </c>
      <c r="G836" t="s">
        <v>213</v>
      </c>
      <c r="H836" s="1">
        <v>45388.756249999999</v>
      </c>
      <c r="I836" s="1">
        <v>45388.820138888892</v>
      </c>
      <c r="J836">
        <v>89</v>
      </c>
      <c r="K836">
        <v>92</v>
      </c>
      <c r="L836">
        <v>1</v>
      </c>
      <c r="M836" t="s">
        <v>29</v>
      </c>
      <c r="N836">
        <v>3</v>
      </c>
      <c r="O836">
        <v>223.34</v>
      </c>
    </row>
    <row r="837" spans="1:15" x14ac:dyDescent="0.35">
      <c r="A837" t="s">
        <v>1857</v>
      </c>
      <c r="B837" t="s">
        <v>16</v>
      </c>
      <c r="C837" t="s">
        <v>1858</v>
      </c>
      <c r="D837" t="s">
        <v>56</v>
      </c>
      <c r="E837" t="s">
        <v>38</v>
      </c>
      <c r="F837" t="s">
        <v>27</v>
      </c>
      <c r="G837" t="s">
        <v>1719</v>
      </c>
      <c r="H837" s="1">
        <v>45534.461111111108</v>
      </c>
      <c r="I837" s="1">
        <v>45534.625</v>
      </c>
      <c r="J837">
        <v>182</v>
      </c>
      <c r="K837">
        <v>236</v>
      </c>
      <c r="L837">
        <v>1</v>
      </c>
      <c r="M837" t="s">
        <v>41</v>
      </c>
      <c r="N837">
        <v>4</v>
      </c>
      <c r="O837">
        <v>360.01</v>
      </c>
    </row>
    <row r="838" spans="1:15" x14ac:dyDescent="0.35">
      <c r="A838" t="s">
        <v>1859</v>
      </c>
      <c r="B838" t="s">
        <v>63</v>
      </c>
      <c r="C838" t="s">
        <v>1860</v>
      </c>
      <c r="D838" t="s">
        <v>18</v>
      </c>
      <c r="E838" t="s">
        <v>85</v>
      </c>
      <c r="F838" t="s">
        <v>34</v>
      </c>
      <c r="G838" t="s">
        <v>173</v>
      </c>
      <c r="H838" s="1">
        <v>45549.931944444441</v>
      </c>
      <c r="I838" s="1">
        <v>45550.084722222222</v>
      </c>
      <c r="J838">
        <v>116</v>
      </c>
      <c r="K838">
        <v>220</v>
      </c>
      <c r="L838">
        <v>1</v>
      </c>
      <c r="M838" t="s">
        <v>29</v>
      </c>
      <c r="N838">
        <v>6</v>
      </c>
      <c r="O838">
        <v>343.4</v>
      </c>
    </row>
    <row r="839" spans="1:15" x14ac:dyDescent="0.35">
      <c r="A839" t="s">
        <v>1861</v>
      </c>
      <c r="B839" t="s">
        <v>63</v>
      </c>
      <c r="C839" t="s">
        <v>1862</v>
      </c>
      <c r="D839" t="s">
        <v>56</v>
      </c>
      <c r="E839" t="s">
        <v>33</v>
      </c>
      <c r="F839" t="s">
        <v>27</v>
      </c>
      <c r="G839" t="s">
        <v>1413</v>
      </c>
      <c r="H839" s="1">
        <v>45547.209722222222</v>
      </c>
      <c r="I839" s="1">
        <v>45547.388194444444</v>
      </c>
      <c r="J839">
        <v>156</v>
      </c>
      <c r="K839">
        <v>257</v>
      </c>
      <c r="L839">
        <v>1</v>
      </c>
      <c r="M839" t="s">
        <v>22</v>
      </c>
      <c r="N839">
        <v>7</v>
      </c>
      <c r="O839">
        <v>89.39</v>
      </c>
    </row>
    <row r="840" spans="1:15" x14ac:dyDescent="0.35">
      <c r="A840" t="s">
        <v>1863</v>
      </c>
      <c r="B840" t="s">
        <v>31</v>
      </c>
      <c r="C840" t="s">
        <v>1864</v>
      </c>
      <c r="D840" t="s">
        <v>44</v>
      </c>
      <c r="E840" t="s">
        <v>19</v>
      </c>
      <c r="F840" t="s">
        <v>39</v>
      </c>
      <c r="G840" t="s">
        <v>265</v>
      </c>
      <c r="H840" s="1">
        <v>45486.824999999997</v>
      </c>
      <c r="I840" s="1">
        <v>45486.863888888889</v>
      </c>
      <c r="J840">
        <v>32</v>
      </c>
      <c r="K840">
        <v>56</v>
      </c>
      <c r="L840">
        <v>1</v>
      </c>
      <c r="M840" t="s">
        <v>29</v>
      </c>
      <c r="N840">
        <v>8</v>
      </c>
      <c r="O840">
        <v>123.36</v>
      </c>
    </row>
    <row r="841" spans="1:15" x14ac:dyDescent="0.35">
      <c r="A841" t="s">
        <v>1865</v>
      </c>
      <c r="B841" t="s">
        <v>24</v>
      </c>
      <c r="C841" t="s">
        <v>1866</v>
      </c>
      <c r="D841" t="s">
        <v>56</v>
      </c>
      <c r="E841" t="s">
        <v>19</v>
      </c>
      <c r="F841" t="s">
        <v>27</v>
      </c>
      <c r="G841" t="s">
        <v>234</v>
      </c>
      <c r="H841" s="1">
        <v>45547.029861111114</v>
      </c>
      <c r="I841" s="1">
        <v>45547.175000000003</v>
      </c>
      <c r="J841">
        <v>152</v>
      </c>
      <c r="K841">
        <v>209</v>
      </c>
      <c r="L841">
        <v>1</v>
      </c>
      <c r="M841" t="s">
        <v>22</v>
      </c>
      <c r="N841">
        <v>10</v>
      </c>
      <c r="O841">
        <v>333.07</v>
      </c>
    </row>
    <row r="842" spans="1:15" x14ac:dyDescent="0.35">
      <c r="A842" t="s">
        <v>1867</v>
      </c>
      <c r="B842" t="s">
        <v>63</v>
      </c>
      <c r="C842" t="s">
        <v>1868</v>
      </c>
      <c r="D842" t="s">
        <v>18</v>
      </c>
      <c r="E842" t="s">
        <v>33</v>
      </c>
      <c r="F842" t="s">
        <v>27</v>
      </c>
      <c r="G842" t="s">
        <v>430</v>
      </c>
      <c r="H842" s="1">
        <v>45529.219444444447</v>
      </c>
      <c r="I842" s="1">
        <v>45529.380555555559</v>
      </c>
      <c r="J842">
        <v>172</v>
      </c>
      <c r="K842">
        <v>232</v>
      </c>
      <c r="L842">
        <v>1</v>
      </c>
      <c r="M842" t="s">
        <v>29</v>
      </c>
      <c r="N842">
        <v>9</v>
      </c>
      <c r="O842">
        <v>150</v>
      </c>
    </row>
    <row r="843" spans="1:15" x14ac:dyDescent="0.35">
      <c r="A843" t="s">
        <v>1869</v>
      </c>
      <c r="B843" t="s">
        <v>51</v>
      </c>
      <c r="C843" t="s">
        <v>1870</v>
      </c>
      <c r="D843" t="s">
        <v>56</v>
      </c>
      <c r="E843" t="s">
        <v>85</v>
      </c>
      <c r="F843" t="s">
        <v>34</v>
      </c>
      <c r="G843" t="s">
        <v>456</v>
      </c>
      <c r="H843" s="1">
        <v>45408.825694444444</v>
      </c>
      <c r="I843" s="1">
        <v>45408.877083333333</v>
      </c>
      <c r="J843">
        <v>63</v>
      </c>
      <c r="K843">
        <v>74</v>
      </c>
      <c r="L843">
        <v>1</v>
      </c>
      <c r="M843" t="s">
        <v>29</v>
      </c>
      <c r="N843">
        <v>6</v>
      </c>
      <c r="O843">
        <v>69.63</v>
      </c>
    </row>
    <row r="844" spans="1:15" x14ac:dyDescent="0.35">
      <c r="A844" t="s">
        <v>1871</v>
      </c>
      <c r="B844" t="s">
        <v>24</v>
      </c>
      <c r="C844" t="s">
        <v>1872</v>
      </c>
      <c r="D844" t="s">
        <v>26</v>
      </c>
      <c r="E844" t="s">
        <v>19</v>
      </c>
      <c r="F844" t="s">
        <v>57</v>
      </c>
      <c r="G844" t="s">
        <v>100</v>
      </c>
      <c r="H844" s="1">
        <v>45322.238888888889</v>
      </c>
      <c r="I844" s="1">
        <v>45322.32708333333</v>
      </c>
      <c r="J844">
        <v>99</v>
      </c>
      <c r="K844">
        <v>127</v>
      </c>
      <c r="L844">
        <v>1</v>
      </c>
      <c r="M844" t="s">
        <v>41</v>
      </c>
      <c r="N844">
        <v>8</v>
      </c>
      <c r="O844">
        <v>167.28</v>
      </c>
    </row>
    <row r="845" spans="1:15" x14ac:dyDescent="0.35">
      <c r="A845" t="s">
        <v>1873</v>
      </c>
      <c r="B845" t="s">
        <v>63</v>
      </c>
      <c r="C845" t="s">
        <v>1874</v>
      </c>
      <c r="D845" t="s">
        <v>44</v>
      </c>
      <c r="E845" t="s">
        <v>19</v>
      </c>
      <c r="F845" t="s">
        <v>57</v>
      </c>
      <c r="G845" t="s">
        <v>288</v>
      </c>
      <c r="H845" s="1">
        <v>45328.226388888892</v>
      </c>
      <c r="I845" s="1">
        <v>45328.382638888892</v>
      </c>
      <c r="J845">
        <v>116</v>
      </c>
      <c r="K845">
        <v>225</v>
      </c>
      <c r="L845">
        <v>1</v>
      </c>
      <c r="M845" t="s">
        <v>22</v>
      </c>
      <c r="N845">
        <v>10</v>
      </c>
      <c r="O845">
        <v>93.24</v>
      </c>
    </row>
    <row r="846" spans="1:15" x14ac:dyDescent="0.35">
      <c r="A846" t="s">
        <v>1875</v>
      </c>
      <c r="B846" t="s">
        <v>24</v>
      </c>
      <c r="C846" t="s">
        <v>1876</v>
      </c>
      <c r="D846" t="s">
        <v>44</v>
      </c>
      <c r="E846" t="s">
        <v>85</v>
      </c>
      <c r="F846" t="s">
        <v>20</v>
      </c>
      <c r="G846" t="s">
        <v>505</v>
      </c>
      <c r="H846" s="1">
        <v>45373.535416666666</v>
      </c>
      <c r="I846" s="1">
        <v>45373.611805555556</v>
      </c>
      <c r="J846">
        <v>64</v>
      </c>
      <c r="K846">
        <v>110</v>
      </c>
      <c r="L846">
        <v>1</v>
      </c>
      <c r="M846" t="s">
        <v>41</v>
      </c>
      <c r="N846">
        <v>5</v>
      </c>
      <c r="O846">
        <v>151.99</v>
      </c>
    </row>
    <row r="847" spans="1:15" x14ac:dyDescent="0.35">
      <c r="A847" t="s">
        <v>1877</v>
      </c>
      <c r="B847" t="s">
        <v>24</v>
      </c>
      <c r="C847" t="s">
        <v>1878</v>
      </c>
      <c r="D847" t="s">
        <v>56</v>
      </c>
      <c r="E847" t="s">
        <v>33</v>
      </c>
      <c r="F847" t="s">
        <v>34</v>
      </c>
      <c r="G847" t="s">
        <v>45</v>
      </c>
      <c r="H847" s="1">
        <v>45568.75277777778</v>
      </c>
      <c r="I847" s="1">
        <v>45568.931944444441</v>
      </c>
      <c r="J847">
        <v>151</v>
      </c>
      <c r="K847">
        <v>258</v>
      </c>
      <c r="L847">
        <v>1</v>
      </c>
      <c r="M847" t="s">
        <v>41</v>
      </c>
      <c r="N847">
        <v>3</v>
      </c>
      <c r="O847">
        <v>403.29</v>
      </c>
    </row>
    <row r="848" spans="1:15" x14ac:dyDescent="0.35">
      <c r="A848" t="s">
        <v>1879</v>
      </c>
      <c r="B848" t="s">
        <v>51</v>
      </c>
      <c r="C848" t="s">
        <v>1880</v>
      </c>
      <c r="D848" t="s">
        <v>56</v>
      </c>
      <c r="E848" t="s">
        <v>38</v>
      </c>
      <c r="F848" t="s">
        <v>39</v>
      </c>
      <c r="G848" t="s">
        <v>167</v>
      </c>
      <c r="H848" s="1">
        <v>45553.640277777777</v>
      </c>
      <c r="I848" s="1">
        <v>45553.854861111111</v>
      </c>
      <c r="J848">
        <v>236</v>
      </c>
      <c r="K848">
        <v>309</v>
      </c>
      <c r="L848">
        <v>1</v>
      </c>
      <c r="M848" t="s">
        <v>41</v>
      </c>
      <c r="N848">
        <v>2</v>
      </c>
      <c r="O848">
        <v>299.01</v>
      </c>
    </row>
    <row r="849" spans="1:15" x14ac:dyDescent="0.35">
      <c r="A849" t="s">
        <v>1881</v>
      </c>
      <c r="B849" t="s">
        <v>51</v>
      </c>
      <c r="C849" t="s">
        <v>1882</v>
      </c>
      <c r="D849" t="s">
        <v>18</v>
      </c>
      <c r="E849" t="s">
        <v>85</v>
      </c>
      <c r="F849" t="s">
        <v>34</v>
      </c>
      <c r="G849" t="s">
        <v>397</v>
      </c>
      <c r="H849" s="1">
        <v>45599.193749999999</v>
      </c>
      <c r="I849" s="1">
        <v>45599.327777777777</v>
      </c>
      <c r="J849">
        <v>101</v>
      </c>
      <c r="K849">
        <v>193</v>
      </c>
      <c r="L849">
        <v>1</v>
      </c>
      <c r="M849" t="s">
        <v>22</v>
      </c>
      <c r="N849">
        <v>6</v>
      </c>
      <c r="O849">
        <v>399.8</v>
      </c>
    </row>
    <row r="850" spans="1:15" x14ac:dyDescent="0.35">
      <c r="A850" t="s">
        <v>1883</v>
      </c>
      <c r="B850" t="s">
        <v>16</v>
      </c>
      <c r="C850" t="s">
        <v>1884</v>
      </c>
      <c r="D850" t="s">
        <v>26</v>
      </c>
      <c r="E850" t="s">
        <v>33</v>
      </c>
      <c r="F850" t="s">
        <v>34</v>
      </c>
      <c r="G850" t="s">
        <v>359</v>
      </c>
      <c r="H850" s="1">
        <v>45573.191666666666</v>
      </c>
      <c r="I850" s="1">
        <v>45573.341666666667</v>
      </c>
      <c r="J850">
        <v>186</v>
      </c>
      <c r="K850">
        <v>216</v>
      </c>
      <c r="L850">
        <v>1</v>
      </c>
      <c r="M850" t="s">
        <v>22</v>
      </c>
      <c r="N850">
        <v>3</v>
      </c>
      <c r="O850">
        <v>90.77</v>
      </c>
    </row>
    <row r="851" spans="1:15" x14ac:dyDescent="0.35">
      <c r="A851" t="s">
        <v>1885</v>
      </c>
      <c r="B851" t="s">
        <v>63</v>
      </c>
      <c r="C851" t="s">
        <v>1886</v>
      </c>
      <c r="D851" t="s">
        <v>56</v>
      </c>
      <c r="E851" t="s">
        <v>38</v>
      </c>
      <c r="F851" t="s">
        <v>20</v>
      </c>
      <c r="G851" t="s">
        <v>817</v>
      </c>
      <c r="H851" s="1">
        <v>45464.788888888892</v>
      </c>
      <c r="I851" s="1">
        <v>45464.909722222219</v>
      </c>
      <c r="J851">
        <v>114</v>
      </c>
      <c r="K851">
        <v>174</v>
      </c>
      <c r="L851">
        <v>1</v>
      </c>
      <c r="M851" t="s">
        <v>29</v>
      </c>
      <c r="N851">
        <v>6</v>
      </c>
      <c r="O851">
        <v>148.62</v>
      </c>
    </row>
    <row r="852" spans="1:15" x14ac:dyDescent="0.35">
      <c r="A852" t="s">
        <v>1887</v>
      </c>
      <c r="B852" t="s">
        <v>51</v>
      </c>
      <c r="C852" t="s">
        <v>1888</v>
      </c>
      <c r="D852" t="s">
        <v>26</v>
      </c>
      <c r="E852" t="s">
        <v>85</v>
      </c>
      <c r="F852" t="s">
        <v>27</v>
      </c>
      <c r="G852" t="s">
        <v>308</v>
      </c>
      <c r="H852" s="1">
        <v>45560.729166666664</v>
      </c>
      <c r="I852" s="1">
        <v>45560.883333333331</v>
      </c>
      <c r="J852">
        <v>126</v>
      </c>
      <c r="K852">
        <v>222</v>
      </c>
      <c r="L852">
        <v>1</v>
      </c>
      <c r="M852" t="s">
        <v>29</v>
      </c>
      <c r="N852">
        <v>3</v>
      </c>
      <c r="O852">
        <v>154.78</v>
      </c>
    </row>
    <row r="853" spans="1:15" x14ac:dyDescent="0.35">
      <c r="A853" t="s">
        <v>1889</v>
      </c>
      <c r="B853" t="s">
        <v>51</v>
      </c>
      <c r="C853" t="s">
        <v>1890</v>
      </c>
      <c r="D853" t="s">
        <v>26</v>
      </c>
      <c r="E853" t="s">
        <v>33</v>
      </c>
      <c r="F853" t="s">
        <v>39</v>
      </c>
      <c r="G853" t="s">
        <v>137</v>
      </c>
      <c r="H853" s="1">
        <v>45488.929166666669</v>
      </c>
      <c r="I853" s="1">
        <v>45488.992361111108</v>
      </c>
      <c r="J853">
        <v>77</v>
      </c>
      <c r="K853">
        <v>91</v>
      </c>
      <c r="L853">
        <v>1</v>
      </c>
      <c r="M853" t="s">
        <v>22</v>
      </c>
      <c r="N853">
        <v>6</v>
      </c>
      <c r="O853">
        <v>374.51</v>
      </c>
    </row>
    <row r="854" spans="1:15" x14ac:dyDescent="0.35">
      <c r="A854" t="s">
        <v>1891</v>
      </c>
      <c r="B854" t="s">
        <v>51</v>
      </c>
      <c r="C854" t="s">
        <v>1892</v>
      </c>
      <c r="D854" t="s">
        <v>48</v>
      </c>
      <c r="E854" t="s">
        <v>19</v>
      </c>
      <c r="F854" t="s">
        <v>27</v>
      </c>
      <c r="G854" t="s">
        <v>143</v>
      </c>
      <c r="H854" s="1">
        <v>45517.036805555559</v>
      </c>
      <c r="I854" s="1">
        <v>45517.190972222219</v>
      </c>
      <c r="J854">
        <v>195</v>
      </c>
      <c r="K854">
        <v>222</v>
      </c>
      <c r="L854">
        <v>1</v>
      </c>
      <c r="M854" t="s">
        <v>29</v>
      </c>
      <c r="N854">
        <v>4</v>
      </c>
      <c r="O854">
        <v>342.9</v>
      </c>
    </row>
    <row r="855" spans="1:15" x14ac:dyDescent="0.35">
      <c r="A855" t="s">
        <v>1893</v>
      </c>
      <c r="B855" t="s">
        <v>24</v>
      </c>
      <c r="C855" t="s">
        <v>1894</v>
      </c>
      <c r="D855" t="s">
        <v>48</v>
      </c>
      <c r="E855" t="s">
        <v>33</v>
      </c>
      <c r="F855" t="s">
        <v>39</v>
      </c>
      <c r="G855" t="s">
        <v>465</v>
      </c>
      <c r="H855" s="1">
        <v>45502.634722222225</v>
      </c>
      <c r="I855" s="1">
        <v>45502.760416666664</v>
      </c>
      <c r="J855">
        <v>180</v>
      </c>
      <c r="K855">
        <v>181</v>
      </c>
      <c r="L855">
        <v>1</v>
      </c>
      <c r="M855" t="s">
        <v>22</v>
      </c>
      <c r="N855">
        <v>2</v>
      </c>
      <c r="O855">
        <v>453.15</v>
      </c>
    </row>
    <row r="856" spans="1:15" x14ac:dyDescent="0.35">
      <c r="A856" t="s">
        <v>1895</v>
      </c>
      <c r="B856" t="s">
        <v>31</v>
      </c>
      <c r="C856" t="s">
        <v>1896</v>
      </c>
      <c r="D856" t="s">
        <v>48</v>
      </c>
      <c r="E856" t="s">
        <v>38</v>
      </c>
      <c r="F856" t="s">
        <v>20</v>
      </c>
      <c r="G856" t="s">
        <v>539</v>
      </c>
      <c r="H856" s="1">
        <v>45337.290277777778</v>
      </c>
      <c r="I856" s="1">
        <v>45337.481944444444</v>
      </c>
      <c r="J856">
        <v>217</v>
      </c>
      <c r="K856">
        <v>276</v>
      </c>
      <c r="L856">
        <v>1</v>
      </c>
      <c r="M856" t="s">
        <v>41</v>
      </c>
      <c r="N856">
        <v>2</v>
      </c>
      <c r="O856">
        <v>151.43</v>
      </c>
    </row>
    <row r="857" spans="1:15" x14ac:dyDescent="0.35">
      <c r="A857" t="s">
        <v>1897</v>
      </c>
      <c r="B857" t="s">
        <v>51</v>
      </c>
      <c r="C857" t="s">
        <v>1898</v>
      </c>
      <c r="D857" t="s">
        <v>56</v>
      </c>
      <c r="E857" t="s">
        <v>33</v>
      </c>
      <c r="F857" t="s">
        <v>27</v>
      </c>
      <c r="G857" t="s">
        <v>182</v>
      </c>
      <c r="H857" s="1">
        <v>45454.261805555558</v>
      </c>
      <c r="I857" s="1">
        <v>45454.38958333333</v>
      </c>
      <c r="J857">
        <v>76</v>
      </c>
      <c r="K857">
        <v>184</v>
      </c>
      <c r="L857">
        <v>1</v>
      </c>
      <c r="M857" t="s">
        <v>29</v>
      </c>
      <c r="N857">
        <v>9</v>
      </c>
      <c r="O857">
        <v>223.5</v>
      </c>
    </row>
    <row r="858" spans="1:15" x14ac:dyDescent="0.35">
      <c r="A858" t="s">
        <v>1899</v>
      </c>
      <c r="B858" t="s">
        <v>31</v>
      </c>
      <c r="C858" t="s">
        <v>1900</v>
      </c>
      <c r="D858" t="s">
        <v>26</v>
      </c>
      <c r="E858" t="s">
        <v>85</v>
      </c>
      <c r="F858" t="s">
        <v>20</v>
      </c>
      <c r="G858" t="s">
        <v>191</v>
      </c>
      <c r="H858" s="1">
        <v>45602.103472222225</v>
      </c>
      <c r="I858" s="1">
        <v>45602.288194444445</v>
      </c>
      <c r="J858">
        <v>227</v>
      </c>
      <c r="K858">
        <v>266</v>
      </c>
      <c r="L858">
        <v>1</v>
      </c>
      <c r="M858" t="s">
        <v>41</v>
      </c>
      <c r="N858">
        <v>4</v>
      </c>
      <c r="O858">
        <v>373.4</v>
      </c>
    </row>
    <row r="859" spans="1:15" x14ac:dyDescent="0.35">
      <c r="A859" t="s">
        <v>1901</v>
      </c>
      <c r="B859" t="s">
        <v>31</v>
      </c>
      <c r="C859" t="s">
        <v>1902</v>
      </c>
      <c r="D859" t="s">
        <v>18</v>
      </c>
      <c r="E859" t="s">
        <v>33</v>
      </c>
      <c r="F859" t="s">
        <v>20</v>
      </c>
      <c r="G859" t="s">
        <v>114</v>
      </c>
      <c r="H859" s="1">
        <v>45457.428472222222</v>
      </c>
      <c r="I859" s="1">
        <v>45457.654166666667</v>
      </c>
      <c r="J859">
        <v>212</v>
      </c>
      <c r="K859">
        <v>325</v>
      </c>
      <c r="L859">
        <v>1</v>
      </c>
      <c r="M859" t="s">
        <v>22</v>
      </c>
      <c r="N859">
        <v>1</v>
      </c>
      <c r="O859">
        <v>281.77999999999997</v>
      </c>
    </row>
    <row r="860" spans="1:15" x14ac:dyDescent="0.35">
      <c r="A860" t="s">
        <v>1903</v>
      </c>
      <c r="B860" t="s">
        <v>63</v>
      </c>
      <c r="C860" t="s">
        <v>1904</v>
      </c>
      <c r="D860" t="s">
        <v>48</v>
      </c>
      <c r="E860" t="s">
        <v>85</v>
      </c>
      <c r="F860" t="s">
        <v>20</v>
      </c>
      <c r="G860" t="s">
        <v>170</v>
      </c>
      <c r="H860" s="1">
        <v>45618.933333333334</v>
      </c>
      <c r="I860" s="1">
        <v>45619.061805555553</v>
      </c>
      <c r="J860">
        <v>98</v>
      </c>
      <c r="K860">
        <v>185</v>
      </c>
      <c r="L860">
        <v>1</v>
      </c>
      <c r="M860" t="s">
        <v>22</v>
      </c>
      <c r="N860">
        <v>10</v>
      </c>
      <c r="O860">
        <v>192.37</v>
      </c>
    </row>
    <row r="861" spans="1:15" x14ac:dyDescent="0.35">
      <c r="A861" t="s">
        <v>1905</v>
      </c>
      <c r="B861" t="s">
        <v>63</v>
      </c>
      <c r="C861" t="s">
        <v>1906</v>
      </c>
      <c r="D861" t="s">
        <v>56</v>
      </c>
      <c r="E861" t="s">
        <v>33</v>
      </c>
      <c r="F861" t="s">
        <v>57</v>
      </c>
      <c r="G861" t="s">
        <v>213</v>
      </c>
      <c r="H861" s="1">
        <v>45596.550694444442</v>
      </c>
      <c r="I861" s="1">
        <v>45596.607638888891</v>
      </c>
      <c r="J861">
        <v>33</v>
      </c>
      <c r="K861">
        <v>82</v>
      </c>
      <c r="L861">
        <v>1</v>
      </c>
      <c r="M861" t="s">
        <v>22</v>
      </c>
      <c r="N861">
        <v>4</v>
      </c>
      <c r="O861">
        <v>338.76</v>
      </c>
    </row>
    <row r="862" spans="1:15" x14ac:dyDescent="0.35">
      <c r="A862" t="s">
        <v>1907</v>
      </c>
      <c r="B862" t="s">
        <v>51</v>
      </c>
      <c r="C862" t="s">
        <v>1908</v>
      </c>
      <c r="D862" t="s">
        <v>56</v>
      </c>
      <c r="E862" t="s">
        <v>85</v>
      </c>
      <c r="F862" t="s">
        <v>27</v>
      </c>
      <c r="G862" t="s">
        <v>143</v>
      </c>
      <c r="H862" s="1">
        <v>45320.623611111114</v>
      </c>
      <c r="I862" s="1">
        <v>45320.793749999997</v>
      </c>
      <c r="J862">
        <v>184</v>
      </c>
      <c r="K862">
        <v>245</v>
      </c>
      <c r="L862">
        <v>1</v>
      </c>
      <c r="M862" t="s">
        <v>22</v>
      </c>
      <c r="N862">
        <v>2</v>
      </c>
      <c r="O862">
        <v>112.13</v>
      </c>
    </row>
    <row r="863" spans="1:15" x14ac:dyDescent="0.35">
      <c r="A863" t="s">
        <v>1909</v>
      </c>
      <c r="B863" t="s">
        <v>16</v>
      </c>
      <c r="C863" t="s">
        <v>1910</v>
      </c>
      <c r="D863" t="s">
        <v>48</v>
      </c>
      <c r="E863" t="s">
        <v>85</v>
      </c>
      <c r="F863" t="s">
        <v>20</v>
      </c>
      <c r="G863" t="s">
        <v>810</v>
      </c>
      <c r="H863" s="1">
        <v>45582.474305555559</v>
      </c>
      <c r="I863" s="1">
        <v>45582.617361111108</v>
      </c>
      <c r="J863">
        <v>115</v>
      </c>
      <c r="K863">
        <v>206</v>
      </c>
      <c r="L863">
        <v>1</v>
      </c>
      <c r="M863" t="s">
        <v>41</v>
      </c>
      <c r="N863">
        <v>6</v>
      </c>
      <c r="O863">
        <v>351.96</v>
      </c>
    </row>
    <row r="864" spans="1:15" x14ac:dyDescent="0.35">
      <c r="A864" t="s">
        <v>1911</v>
      </c>
      <c r="B864" t="s">
        <v>31</v>
      </c>
      <c r="C864" t="s">
        <v>1912</v>
      </c>
      <c r="D864" t="s">
        <v>18</v>
      </c>
      <c r="E864" t="s">
        <v>38</v>
      </c>
      <c r="F864" t="s">
        <v>34</v>
      </c>
      <c r="G864" t="s">
        <v>402</v>
      </c>
      <c r="H864" s="1">
        <v>45491.782638888886</v>
      </c>
      <c r="I864" s="1">
        <v>45491.829861111109</v>
      </c>
      <c r="J864">
        <v>53</v>
      </c>
      <c r="K864">
        <v>68</v>
      </c>
      <c r="L864">
        <v>1</v>
      </c>
      <c r="M864" t="s">
        <v>22</v>
      </c>
      <c r="N864">
        <v>7</v>
      </c>
      <c r="O864">
        <v>272.62</v>
      </c>
    </row>
    <row r="865" spans="1:15" x14ac:dyDescent="0.35">
      <c r="A865" t="s">
        <v>1913</v>
      </c>
      <c r="B865" t="s">
        <v>16</v>
      </c>
      <c r="C865" t="s">
        <v>1914</v>
      </c>
      <c r="D865" t="s">
        <v>48</v>
      </c>
      <c r="E865" t="s">
        <v>85</v>
      </c>
      <c r="F865" t="s">
        <v>27</v>
      </c>
      <c r="G865" t="s">
        <v>152</v>
      </c>
      <c r="H865" s="1">
        <v>45381.825694444444</v>
      </c>
      <c r="I865" s="1">
        <v>45381.968055555553</v>
      </c>
      <c r="J865">
        <v>196</v>
      </c>
      <c r="K865">
        <v>205</v>
      </c>
      <c r="L865">
        <v>1</v>
      </c>
      <c r="M865" t="s">
        <v>29</v>
      </c>
      <c r="N865">
        <v>5</v>
      </c>
      <c r="O865">
        <v>90.67</v>
      </c>
    </row>
    <row r="866" spans="1:15" x14ac:dyDescent="0.35">
      <c r="A866" t="s">
        <v>1915</v>
      </c>
      <c r="B866" t="s">
        <v>24</v>
      </c>
      <c r="C866" t="s">
        <v>1916</v>
      </c>
      <c r="D866" t="s">
        <v>56</v>
      </c>
      <c r="E866" t="s">
        <v>85</v>
      </c>
      <c r="F866" t="s">
        <v>27</v>
      </c>
      <c r="G866" t="s">
        <v>265</v>
      </c>
      <c r="H866" s="1">
        <v>45357.592361111114</v>
      </c>
      <c r="I866" s="1">
        <v>45357.646527777775</v>
      </c>
      <c r="J866">
        <v>36</v>
      </c>
      <c r="K866">
        <v>78</v>
      </c>
      <c r="L866">
        <v>1</v>
      </c>
      <c r="M866" t="s">
        <v>22</v>
      </c>
      <c r="N866">
        <v>9</v>
      </c>
      <c r="O866">
        <v>229.17</v>
      </c>
    </row>
    <row r="867" spans="1:15" x14ac:dyDescent="0.35">
      <c r="A867" t="s">
        <v>1917</v>
      </c>
      <c r="B867" t="s">
        <v>51</v>
      </c>
      <c r="C867" t="s">
        <v>1918</v>
      </c>
      <c r="D867" t="s">
        <v>48</v>
      </c>
      <c r="E867" t="s">
        <v>33</v>
      </c>
      <c r="F867" t="s">
        <v>20</v>
      </c>
      <c r="G867" t="s">
        <v>210</v>
      </c>
      <c r="H867" s="1">
        <v>45334.068055555559</v>
      </c>
      <c r="I867" s="1">
        <v>45334.183333333334</v>
      </c>
      <c r="J867">
        <v>100</v>
      </c>
      <c r="K867">
        <v>166</v>
      </c>
      <c r="L867">
        <v>1</v>
      </c>
      <c r="M867" t="s">
        <v>41</v>
      </c>
      <c r="N867">
        <v>9</v>
      </c>
      <c r="O867">
        <v>450.03</v>
      </c>
    </row>
    <row r="868" spans="1:15" x14ac:dyDescent="0.35">
      <c r="A868" t="s">
        <v>1919</v>
      </c>
      <c r="B868" t="s">
        <v>24</v>
      </c>
      <c r="C868" t="s">
        <v>1920</v>
      </c>
      <c r="D868" t="s">
        <v>26</v>
      </c>
      <c r="E868" t="s">
        <v>38</v>
      </c>
      <c r="F868" t="s">
        <v>20</v>
      </c>
      <c r="G868" t="s">
        <v>470</v>
      </c>
      <c r="H868" s="1">
        <v>45507.101388888892</v>
      </c>
      <c r="I868" s="1">
        <v>45507.226388888892</v>
      </c>
      <c r="J868">
        <v>133</v>
      </c>
      <c r="K868">
        <v>180</v>
      </c>
      <c r="L868">
        <v>1</v>
      </c>
      <c r="M868" t="s">
        <v>22</v>
      </c>
      <c r="N868">
        <v>3</v>
      </c>
      <c r="O868">
        <v>450.92</v>
      </c>
    </row>
    <row r="869" spans="1:15" x14ac:dyDescent="0.35">
      <c r="A869" t="s">
        <v>1921</v>
      </c>
      <c r="B869" t="s">
        <v>16</v>
      </c>
      <c r="C869" t="s">
        <v>1922</v>
      </c>
      <c r="D869" t="s">
        <v>44</v>
      </c>
      <c r="E869" t="s">
        <v>19</v>
      </c>
      <c r="F869" t="s">
        <v>27</v>
      </c>
      <c r="G869" t="s">
        <v>681</v>
      </c>
      <c r="H869" s="1">
        <v>45527.972916666666</v>
      </c>
      <c r="I869" s="1">
        <v>45527.986111111109</v>
      </c>
      <c r="J869">
        <v>18</v>
      </c>
      <c r="K869">
        <v>19</v>
      </c>
      <c r="L869">
        <v>1</v>
      </c>
      <c r="M869" t="s">
        <v>29</v>
      </c>
      <c r="N869">
        <v>3</v>
      </c>
      <c r="O869">
        <v>226.21</v>
      </c>
    </row>
    <row r="870" spans="1:15" x14ac:dyDescent="0.35">
      <c r="A870" t="s">
        <v>1923</v>
      </c>
      <c r="B870" t="s">
        <v>51</v>
      </c>
      <c r="C870" t="s">
        <v>1924</v>
      </c>
      <c r="D870" t="s">
        <v>18</v>
      </c>
      <c r="E870" t="s">
        <v>33</v>
      </c>
      <c r="F870" t="s">
        <v>57</v>
      </c>
      <c r="G870" t="s">
        <v>473</v>
      </c>
      <c r="H870" s="1">
        <v>45528.760416666664</v>
      </c>
      <c r="I870" s="1">
        <v>45528.910416666666</v>
      </c>
      <c r="J870">
        <v>200</v>
      </c>
      <c r="K870">
        <v>216</v>
      </c>
      <c r="L870">
        <v>1</v>
      </c>
      <c r="M870" t="s">
        <v>29</v>
      </c>
      <c r="N870">
        <v>8</v>
      </c>
      <c r="O870">
        <v>415.42</v>
      </c>
    </row>
    <row r="871" spans="1:15" x14ac:dyDescent="0.35">
      <c r="A871" t="s">
        <v>1925</v>
      </c>
      <c r="B871" t="s">
        <v>63</v>
      </c>
      <c r="C871" t="s">
        <v>1926</v>
      </c>
      <c r="D871" t="s">
        <v>44</v>
      </c>
      <c r="E871" t="s">
        <v>38</v>
      </c>
      <c r="F871" t="s">
        <v>20</v>
      </c>
      <c r="G871" t="s">
        <v>785</v>
      </c>
      <c r="H871" s="1">
        <v>45532.425694444442</v>
      </c>
      <c r="I871" s="1">
        <v>45532.536111111112</v>
      </c>
      <c r="J871">
        <v>148</v>
      </c>
      <c r="K871">
        <v>159</v>
      </c>
      <c r="L871">
        <v>1</v>
      </c>
      <c r="M871" t="s">
        <v>29</v>
      </c>
      <c r="N871">
        <v>8</v>
      </c>
      <c r="O871">
        <v>419.49</v>
      </c>
    </row>
    <row r="872" spans="1:15" x14ac:dyDescent="0.35">
      <c r="A872" t="s">
        <v>1927</v>
      </c>
      <c r="B872" t="s">
        <v>51</v>
      </c>
      <c r="C872" t="s">
        <v>1928</v>
      </c>
      <c r="D872" t="s">
        <v>18</v>
      </c>
      <c r="E872" t="s">
        <v>85</v>
      </c>
      <c r="F872" t="s">
        <v>34</v>
      </c>
      <c r="G872" t="s">
        <v>65</v>
      </c>
      <c r="H872" s="1">
        <v>45609.852083333331</v>
      </c>
      <c r="I872" s="1">
        <v>45610.036805555559</v>
      </c>
      <c r="J872">
        <v>227</v>
      </c>
      <c r="K872">
        <v>266</v>
      </c>
      <c r="L872">
        <v>1</v>
      </c>
      <c r="M872" t="s">
        <v>29</v>
      </c>
      <c r="N872">
        <v>8</v>
      </c>
      <c r="O872">
        <v>88.35</v>
      </c>
    </row>
    <row r="873" spans="1:15" x14ac:dyDescent="0.35">
      <c r="A873" t="s">
        <v>1929</v>
      </c>
      <c r="B873" t="s">
        <v>31</v>
      </c>
      <c r="C873" t="s">
        <v>1930</v>
      </c>
      <c r="D873" t="s">
        <v>56</v>
      </c>
      <c r="E873" t="s">
        <v>38</v>
      </c>
      <c r="F873" t="s">
        <v>39</v>
      </c>
      <c r="G873" t="s">
        <v>526</v>
      </c>
      <c r="H873" s="1">
        <v>45623.693055555559</v>
      </c>
      <c r="I873" s="1">
        <v>45623.879166666666</v>
      </c>
      <c r="J873">
        <v>161</v>
      </c>
      <c r="K873">
        <v>268</v>
      </c>
      <c r="L873">
        <v>1</v>
      </c>
      <c r="M873" t="s">
        <v>22</v>
      </c>
      <c r="N873">
        <v>8</v>
      </c>
      <c r="O873">
        <v>490.2</v>
      </c>
    </row>
    <row r="874" spans="1:15" x14ac:dyDescent="0.35">
      <c r="A874" t="s">
        <v>1931</v>
      </c>
      <c r="B874" t="s">
        <v>24</v>
      </c>
      <c r="C874" t="s">
        <v>1932</v>
      </c>
      <c r="D874" t="s">
        <v>48</v>
      </c>
      <c r="E874" t="s">
        <v>33</v>
      </c>
      <c r="F874" t="s">
        <v>57</v>
      </c>
      <c r="G874" t="s">
        <v>132</v>
      </c>
      <c r="H874" s="1">
        <v>45438.967361111114</v>
      </c>
      <c r="I874" s="1">
        <v>45439.167361111111</v>
      </c>
      <c r="J874">
        <v>202</v>
      </c>
      <c r="K874">
        <v>288</v>
      </c>
      <c r="L874">
        <v>1</v>
      </c>
      <c r="M874" t="s">
        <v>22</v>
      </c>
      <c r="N874">
        <v>5</v>
      </c>
      <c r="O874">
        <v>306.16000000000003</v>
      </c>
    </row>
    <row r="875" spans="1:15" x14ac:dyDescent="0.35">
      <c r="A875" t="s">
        <v>1933</v>
      </c>
      <c r="B875" t="s">
        <v>31</v>
      </c>
      <c r="C875" t="s">
        <v>1934</v>
      </c>
      <c r="D875" t="s">
        <v>48</v>
      </c>
      <c r="E875" t="s">
        <v>85</v>
      </c>
      <c r="F875" t="s">
        <v>57</v>
      </c>
      <c r="G875" t="s">
        <v>647</v>
      </c>
      <c r="H875" s="1">
        <v>45318.580555555556</v>
      </c>
      <c r="I875" s="1">
        <v>45318.652083333334</v>
      </c>
      <c r="J875">
        <v>103</v>
      </c>
      <c r="K875">
        <v>103</v>
      </c>
      <c r="L875">
        <v>0</v>
      </c>
      <c r="M875" t="s">
        <v>22</v>
      </c>
      <c r="N875">
        <v>5</v>
      </c>
      <c r="O875">
        <v>464.27</v>
      </c>
    </row>
    <row r="876" spans="1:15" x14ac:dyDescent="0.35">
      <c r="A876" t="s">
        <v>1935</v>
      </c>
      <c r="B876" t="s">
        <v>16</v>
      </c>
      <c r="C876" t="s">
        <v>1936</v>
      </c>
      <c r="D876" t="s">
        <v>18</v>
      </c>
      <c r="E876" t="s">
        <v>85</v>
      </c>
      <c r="F876" t="s">
        <v>20</v>
      </c>
      <c r="G876" t="s">
        <v>201</v>
      </c>
      <c r="H876" s="1">
        <v>45630.197916666664</v>
      </c>
      <c r="I876" s="1">
        <v>45630.344444444447</v>
      </c>
      <c r="J876">
        <v>102</v>
      </c>
      <c r="K876">
        <v>211</v>
      </c>
      <c r="L876">
        <v>1</v>
      </c>
      <c r="M876" t="s">
        <v>41</v>
      </c>
      <c r="N876">
        <v>5</v>
      </c>
      <c r="O876">
        <v>397.55</v>
      </c>
    </row>
    <row r="877" spans="1:15" x14ac:dyDescent="0.35">
      <c r="A877" t="s">
        <v>1937</v>
      </c>
      <c r="B877" t="s">
        <v>24</v>
      </c>
      <c r="C877" t="s">
        <v>1938</v>
      </c>
      <c r="D877" t="s">
        <v>48</v>
      </c>
      <c r="E877" t="s">
        <v>38</v>
      </c>
      <c r="F877" t="s">
        <v>34</v>
      </c>
      <c r="G877" t="s">
        <v>546</v>
      </c>
      <c r="H877" s="1">
        <v>45439.966666666667</v>
      </c>
      <c r="I877" s="1">
        <v>45440.127083333333</v>
      </c>
      <c r="J877">
        <v>209</v>
      </c>
      <c r="K877">
        <v>231</v>
      </c>
      <c r="L877">
        <v>1</v>
      </c>
      <c r="M877" t="s">
        <v>29</v>
      </c>
      <c r="N877">
        <v>10</v>
      </c>
      <c r="O877">
        <v>187.37</v>
      </c>
    </row>
    <row r="878" spans="1:15" x14ac:dyDescent="0.35">
      <c r="A878" t="s">
        <v>1939</v>
      </c>
      <c r="B878" t="s">
        <v>24</v>
      </c>
      <c r="C878" t="s">
        <v>1940</v>
      </c>
      <c r="D878" t="s">
        <v>56</v>
      </c>
      <c r="E878" t="s">
        <v>33</v>
      </c>
      <c r="F878" t="s">
        <v>27</v>
      </c>
      <c r="G878" t="s">
        <v>254</v>
      </c>
      <c r="H878" s="1">
        <v>45476.757638888892</v>
      </c>
      <c r="I878" s="1">
        <v>45476.993055555555</v>
      </c>
      <c r="J878">
        <v>230</v>
      </c>
      <c r="K878">
        <v>339</v>
      </c>
      <c r="L878">
        <v>1</v>
      </c>
      <c r="M878" t="s">
        <v>41</v>
      </c>
      <c r="N878">
        <v>1</v>
      </c>
      <c r="O878">
        <v>369.61</v>
      </c>
    </row>
    <row r="879" spans="1:15" x14ac:dyDescent="0.35">
      <c r="A879" t="s">
        <v>1941</v>
      </c>
      <c r="B879" t="s">
        <v>24</v>
      </c>
      <c r="C879" t="s">
        <v>1942</v>
      </c>
      <c r="D879" t="s">
        <v>48</v>
      </c>
      <c r="E879" t="s">
        <v>33</v>
      </c>
      <c r="F879" t="s">
        <v>34</v>
      </c>
      <c r="G879" t="s">
        <v>897</v>
      </c>
      <c r="H879" s="1">
        <v>45411.670138888891</v>
      </c>
      <c r="I879" s="1">
        <v>45411.79791666667</v>
      </c>
      <c r="J879">
        <v>118</v>
      </c>
      <c r="K879">
        <v>184</v>
      </c>
      <c r="L879">
        <v>1</v>
      </c>
      <c r="M879" t="s">
        <v>22</v>
      </c>
      <c r="N879">
        <v>10</v>
      </c>
      <c r="O879">
        <v>345.47</v>
      </c>
    </row>
    <row r="880" spans="1:15" x14ac:dyDescent="0.35">
      <c r="A880" t="s">
        <v>1943</v>
      </c>
      <c r="B880" t="s">
        <v>16</v>
      </c>
      <c r="C880" t="s">
        <v>1944</v>
      </c>
      <c r="D880" t="s">
        <v>26</v>
      </c>
      <c r="E880" t="s">
        <v>33</v>
      </c>
      <c r="F880" t="s">
        <v>39</v>
      </c>
      <c r="G880" t="s">
        <v>456</v>
      </c>
      <c r="H880" s="1">
        <v>45318.177777777775</v>
      </c>
      <c r="I880" s="1">
        <v>45318.307638888888</v>
      </c>
      <c r="J880">
        <v>179</v>
      </c>
      <c r="K880">
        <v>187</v>
      </c>
      <c r="L880">
        <v>1</v>
      </c>
      <c r="M880" t="s">
        <v>22</v>
      </c>
      <c r="N880">
        <v>5</v>
      </c>
      <c r="O880">
        <v>189.82</v>
      </c>
    </row>
    <row r="881" spans="1:15" x14ac:dyDescent="0.35">
      <c r="A881" t="s">
        <v>1945</v>
      </c>
      <c r="B881" t="s">
        <v>51</v>
      </c>
      <c r="C881" t="s">
        <v>1946</v>
      </c>
      <c r="D881" t="s">
        <v>56</v>
      </c>
      <c r="E881" t="s">
        <v>38</v>
      </c>
      <c r="F881" t="s">
        <v>20</v>
      </c>
      <c r="G881" t="s">
        <v>842</v>
      </c>
      <c r="H881" s="1">
        <v>45479.850694444445</v>
      </c>
      <c r="I881" s="1">
        <v>45480.032638888886</v>
      </c>
      <c r="J881">
        <v>148</v>
      </c>
      <c r="K881">
        <v>262</v>
      </c>
      <c r="L881">
        <v>1</v>
      </c>
      <c r="M881" t="s">
        <v>41</v>
      </c>
      <c r="N881">
        <v>1</v>
      </c>
      <c r="O881">
        <v>266.74</v>
      </c>
    </row>
    <row r="882" spans="1:15" x14ac:dyDescent="0.35">
      <c r="A882" t="s">
        <v>1947</v>
      </c>
      <c r="B882" t="s">
        <v>16</v>
      </c>
      <c r="C882" t="s">
        <v>1948</v>
      </c>
      <c r="D882" t="s">
        <v>56</v>
      </c>
      <c r="E882" t="s">
        <v>85</v>
      </c>
      <c r="F882" t="s">
        <v>39</v>
      </c>
      <c r="G882" t="s">
        <v>173</v>
      </c>
      <c r="H882" s="1">
        <v>45525.776388888888</v>
      </c>
      <c r="I882" s="1">
        <v>45525.869444444441</v>
      </c>
      <c r="J882">
        <v>114</v>
      </c>
      <c r="K882">
        <v>134</v>
      </c>
      <c r="L882">
        <v>1</v>
      </c>
      <c r="M882" t="s">
        <v>22</v>
      </c>
      <c r="N882">
        <v>1</v>
      </c>
      <c r="O882">
        <v>432.58</v>
      </c>
    </row>
    <row r="883" spans="1:15" x14ac:dyDescent="0.35">
      <c r="A883" t="s">
        <v>1949</v>
      </c>
      <c r="B883" t="s">
        <v>24</v>
      </c>
      <c r="C883" t="s">
        <v>1950</v>
      </c>
      <c r="D883" t="s">
        <v>56</v>
      </c>
      <c r="E883" t="s">
        <v>38</v>
      </c>
      <c r="F883" t="s">
        <v>34</v>
      </c>
      <c r="G883" t="s">
        <v>684</v>
      </c>
      <c r="H883" s="1">
        <v>45353.647916666669</v>
      </c>
      <c r="I883" s="1">
        <v>45353.754861111112</v>
      </c>
      <c r="J883">
        <v>137</v>
      </c>
      <c r="K883">
        <v>154</v>
      </c>
      <c r="L883">
        <v>1</v>
      </c>
      <c r="M883" t="s">
        <v>29</v>
      </c>
      <c r="N883">
        <v>4</v>
      </c>
      <c r="O883">
        <v>208.42</v>
      </c>
    </row>
    <row r="884" spans="1:15" x14ac:dyDescent="0.35">
      <c r="A884" t="s">
        <v>1951</v>
      </c>
      <c r="B884" t="s">
        <v>63</v>
      </c>
      <c r="C884" t="s">
        <v>1952</v>
      </c>
      <c r="D884" t="s">
        <v>18</v>
      </c>
      <c r="E884" t="s">
        <v>33</v>
      </c>
      <c r="F884" t="s">
        <v>27</v>
      </c>
      <c r="G884" t="s">
        <v>49</v>
      </c>
      <c r="H884" s="1">
        <v>45331.713194444441</v>
      </c>
      <c r="I884" s="1">
        <v>45331.752083333333</v>
      </c>
      <c r="J884">
        <v>22</v>
      </c>
      <c r="K884">
        <v>56</v>
      </c>
      <c r="L884">
        <v>1</v>
      </c>
      <c r="M884" t="s">
        <v>29</v>
      </c>
      <c r="N884">
        <v>6</v>
      </c>
      <c r="O884">
        <v>420.7</v>
      </c>
    </row>
    <row r="885" spans="1:15" x14ac:dyDescent="0.35">
      <c r="A885" t="s">
        <v>1953</v>
      </c>
      <c r="B885" t="s">
        <v>31</v>
      </c>
      <c r="C885" t="s">
        <v>1954</v>
      </c>
      <c r="D885" t="s">
        <v>56</v>
      </c>
      <c r="E885" t="s">
        <v>38</v>
      </c>
      <c r="F885" t="s">
        <v>39</v>
      </c>
      <c r="G885" t="s">
        <v>262</v>
      </c>
      <c r="H885" s="1">
        <v>45550.288194444445</v>
      </c>
      <c r="I885" s="1">
        <v>45550.447916666664</v>
      </c>
      <c r="J885">
        <v>111</v>
      </c>
      <c r="K885">
        <v>230</v>
      </c>
      <c r="L885">
        <v>1</v>
      </c>
      <c r="M885" t="s">
        <v>41</v>
      </c>
      <c r="N885">
        <v>4</v>
      </c>
      <c r="O885">
        <v>466.97</v>
      </c>
    </row>
    <row r="886" spans="1:15" x14ac:dyDescent="0.35">
      <c r="A886" t="s">
        <v>1955</v>
      </c>
      <c r="B886" t="s">
        <v>31</v>
      </c>
      <c r="C886" t="s">
        <v>1956</v>
      </c>
      <c r="D886" t="s">
        <v>18</v>
      </c>
      <c r="E886" t="s">
        <v>85</v>
      </c>
      <c r="F886" t="s">
        <v>39</v>
      </c>
      <c r="G886" t="s">
        <v>194</v>
      </c>
      <c r="H886" s="1">
        <v>45495.792361111111</v>
      </c>
      <c r="I886" s="1">
        <v>45495.871527777781</v>
      </c>
      <c r="J886">
        <v>33</v>
      </c>
      <c r="K886">
        <v>114</v>
      </c>
      <c r="L886">
        <v>1</v>
      </c>
      <c r="M886" t="s">
        <v>29</v>
      </c>
      <c r="N886">
        <v>2</v>
      </c>
      <c r="O886">
        <v>160.97</v>
      </c>
    </row>
    <row r="887" spans="1:15" x14ac:dyDescent="0.35">
      <c r="A887" t="s">
        <v>1957</v>
      </c>
      <c r="B887" t="s">
        <v>63</v>
      </c>
      <c r="C887" t="s">
        <v>1958</v>
      </c>
      <c r="D887" t="s">
        <v>56</v>
      </c>
      <c r="E887" t="s">
        <v>19</v>
      </c>
      <c r="F887" t="s">
        <v>27</v>
      </c>
      <c r="G887" t="s">
        <v>265</v>
      </c>
      <c r="H887" s="1">
        <v>45548.848611111112</v>
      </c>
      <c r="I887" s="1">
        <v>45548.931250000001</v>
      </c>
      <c r="J887">
        <v>26</v>
      </c>
      <c r="K887">
        <v>119</v>
      </c>
      <c r="L887">
        <v>1</v>
      </c>
      <c r="M887" t="s">
        <v>29</v>
      </c>
      <c r="N887">
        <v>3</v>
      </c>
      <c r="O887">
        <v>477.42</v>
      </c>
    </row>
    <row r="888" spans="1:15" x14ac:dyDescent="0.35">
      <c r="A888" t="s">
        <v>1959</v>
      </c>
      <c r="B888" t="s">
        <v>63</v>
      </c>
      <c r="C888" t="s">
        <v>1960</v>
      </c>
      <c r="D888" t="s">
        <v>26</v>
      </c>
      <c r="E888" t="s">
        <v>85</v>
      </c>
      <c r="F888" t="s">
        <v>39</v>
      </c>
      <c r="G888" t="s">
        <v>599</v>
      </c>
      <c r="H888" s="1">
        <v>45328.289583333331</v>
      </c>
      <c r="I888" s="1">
        <v>45328.42291666667</v>
      </c>
      <c r="J888">
        <v>173</v>
      </c>
      <c r="K888">
        <v>192</v>
      </c>
      <c r="L888">
        <v>1</v>
      </c>
      <c r="M888" t="s">
        <v>22</v>
      </c>
      <c r="N888">
        <v>10</v>
      </c>
      <c r="O888">
        <v>471.17</v>
      </c>
    </row>
    <row r="889" spans="1:15" x14ac:dyDescent="0.35">
      <c r="A889" t="s">
        <v>1961</v>
      </c>
      <c r="B889" t="s">
        <v>24</v>
      </c>
      <c r="C889" t="s">
        <v>1962</v>
      </c>
      <c r="D889" t="s">
        <v>56</v>
      </c>
      <c r="E889" t="s">
        <v>33</v>
      </c>
      <c r="F889" t="s">
        <v>34</v>
      </c>
      <c r="G889" t="s">
        <v>1622</v>
      </c>
      <c r="H889" s="1">
        <v>45549.681250000001</v>
      </c>
      <c r="I889" s="1">
        <v>45549.929166666669</v>
      </c>
      <c r="J889">
        <v>240</v>
      </c>
      <c r="K889">
        <v>357</v>
      </c>
      <c r="L889">
        <v>1</v>
      </c>
      <c r="M889" t="s">
        <v>29</v>
      </c>
      <c r="N889">
        <v>6</v>
      </c>
      <c r="O889">
        <v>440.1</v>
      </c>
    </row>
    <row r="890" spans="1:15" x14ac:dyDescent="0.35">
      <c r="A890" t="s">
        <v>1963</v>
      </c>
      <c r="B890" t="s">
        <v>24</v>
      </c>
      <c r="C890" t="s">
        <v>1964</v>
      </c>
      <c r="D890" t="s">
        <v>56</v>
      </c>
      <c r="E890" t="s">
        <v>85</v>
      </c>
      <c r="F890" t="s">
        <v>39</v>
      </c>
      <c r="G890" t="s">
        <v>61</v>
      </c>
      <c r="H890" s="1">
        <v>45610.326388888891</v>
      </c>
      <c r="I890" s="1">
        <v>45610.506249999999</v>
      </c>
      <c r="J890">
        <v>199</v>
      </c>
      <c r="K890">
        <v>259</v>
      </c>
      <c r="L890">
        <v>1</v>
      </c>
      <c r="M890" t="s">
        <v>22</v>
      </c>
      <c r="N890">
        <v>9</v>
      </c>
      <c r="O890">
        <v>132.24</v>
      </c>
    </row>
    <row r="891" spans="1:15" x14ac:dyDescent="0.35">
      <c r="A891" t="s">
        <v>1965</v>
      </c>
      <c r="B891" t="s">
        <v>51</v>
      </c>
      <c r="C891" t="s">
        <v>1966</v>
      </c>
      <c r="D891" t="s">
        <v>44</v>
      </c>
      <c r="E891" t="s">
        <v>85</v>
      </c>
      <c r="F891" t="s">
        <v>20</v>
      </c>
      <c r="G891" t="s">
        <v>316</v>
      </c>
      <c r="H891" s="1">
        <v>45562.910416666666</v>
      </c>
      <c r="I891" s="1">
        <v>45562.988194444442</v>
      </c>
      <c r="J891">
        <v>40</v>
      </c>
      <c r="K891">
        <v>112</v>
      </c>
      <c r="L891">
        <v>1</v>
      </c>
      <c r="M891" t="s">
        <v>29</v>
      </c>
      <c r="N891">
        <v>1</v>
      </c>
      <c r="O891">
        <v>250.39</v>
      </c>
    </row>
    <row r="892" spans="1:15" x14ac:dyDescent="0.35">
      <c r="A892" t="s">
        <v>1967</v>
      </c>
      <c r="B892" t="s">
        <v>24</v>
      </c>
      <c r="C892" t="s">
        <v>1968</v>
      </c>
      <c r="D892" t="s">
        <v>18</v>
      </c>
      <c r="E892" t="s">
        <v>19</v>
      </c>
      <c r="F892" t="s">
        <v>39</v>
      </c>
      <c r="G892" t="s">
        <v>91</v>
      </c>
      <c r="H892" s="1">
        <v>45430.606249999997</v>
      </c>
      <c r="I892" s="1">
        <v>45430.674305555556</v>
      </c>
      <c r="J892">
        <v>48</v>
      </c>
      <c r="K892">
        <v>98</v>
      </c>
      <c r="L892">
        <v>1</v>
      </c>
      <c r="M892" t="s">
        <v>22</v>
      </c>
      <c r="N892">
        <v>2</v>
      </c>
      <c r="O892">
        <v>68.23</v>
      </c>
    </row>
    <row r="893" spans="1:15" x14ac:dyDescent="0.35">
      <c r="A893" t="s">
        <v>1969</v>
      </c>
      <c r="B893" t="s">
        <v>51</v>
      </c>
      <c r="C893" t="s">
        <v>1970</v>
      </c>
      <c r="D893" t="s">
        <v>26</v>
      </c>
      <c r="E893" t="s">
        <v>38</v>
      </c>
      <c r="F893" t="s">
        <v>57</v>
      </c>
      <c r="G893" t="s">
        <v>194</v>
      </c>
      <c r="H893" s="1">
        <v>45562.89166666667</v>
      </c>
      <c r="I893" s="1">
        <v>45563.030555555553</v>
      </c>
      <c r="J893">
        <v>123</v>
      </c>
      <c r="K893">
        <v>200</v>
      </c>
      <c r="L893">
        <v>1</v>
      </c>
      <c r="M893" t="s">
        <v>29</v>
      </c>
      <c r="N893">
        <v>3</v>
      </c>
      <c r="O893">
        <v>388.19</v>
      </c>
    </row>
    <row r="894" spans="1:15" x14ac:dyDescent="0.35">
      <c r="A894" t="s">
        <v>1971</v>
      </c>
      <c r="B894" t="s">
        <v>31</v>
      </c>
      <c r="C894" t="s">
        <v>1972</v>
      </c>
      <c r="D894" t="s">
        <v>18</v>
      </c>
      <c r="E894" t="s">
        <v>38</v>
      </c>
      <c r="F894" t="s">
        <v>27</v>
      </c>
      <c r="G894" t="s">
        <v>123</v>
      </c>
      <c r="H894" s="1">
        <v>45470.29583333333</v>
      </c>
      <c r="I894" s="1">
        <v>45470.372916666667</v>
      </c>
      <c r="J894">
        <v>43</v>
      </c>
      <c r="K894">
        <v>111</v>
      </c>
      <c r="L894">
        <v>1</v>
      </c>
      <c r="M894" t="s">
        <v>22</v>
      </c>
      <c r="N894">
        <v>8</v>
      </c>
      <c r="O894">
        <v>134.16</v>
      </c>
    </row>
    <row r="895" spans="1:15" x14ac:dyDescent="0.35">
      <c r="A895" t="s">
        <v>1973</v>
      </c>
      <c r="B895" t="s">
        <v>51</v>
      </c>
      <c r="C895" t="s">
        <v>1974</v>
      </c>
      <c r="D895" t="s">
        <v>26</v>
      </c>
      <c r="E895" t="s">
        <v>85</v>
      </c>
      <c r="F895" t="s">
        <v>57</v>
      </c>
      <c r="G895" t="s">
        <v>114</v>
      </c>
      <c r="H895" s="1">
        <v>45417.104166666664</v>
      </c>
      <c r="I895" s="1">
        <v>45417.180555555555</v>
      </c>
      <c r="J895">
        <v>109</v>
      </c>
      <c r="K895">
        <v>110</v>
      </c>
      <c r="L895">
        <v>1</v>
      </c>
      <c r="M895" t="s">
        <v>22</v>
      </c>
      <c r="N895">
        <v>10</v>
      </c>
      <c r="O895">
        <v>388.59</v>
      </c>
    </row>
    <row r="896" spans="1:15" x14ac:dyDescent="0.35">
      <c r="A896" t="s">
        <v>1975</v>
      </c>
      <c r="B896" t="s">
        <v>63</v>
      </c>
      <c r="C896" t="s">
        <v>1976</v>
      </c>
      <c r="D896" t="s">
        <v>48</v>
      </c>
      <c r="E896" t="s">
        <v>19</v>
      </c>
      <c r="F896" t="s">
        <v>27</v>
      </c>
      <c r="G896" t="s">
        <v>265</v>
      </c>
      <c r="H896" s="1">
        <v>45496.429166666669</v>
      </c>
      <c r="I896" s="1">
        <v>45496.648611111108</v>
      </c>
      <c r="J896">
        <v>226</v>
      </c>
      <c r="K896">
        <v>316</v>
      </c>
      <c r="L896">
        <v>1</v>
      </c>
      <c r="M896" t="s">
        <v>41</v>
      </c>
      <c r="N896">
        <v>4</v>
      </c>
      <c r="O896">
        <v>174.13</v>
      </c>
    </row>
    <row r="897" spans="1:15" x14ac:dyDescent="0.35">
      <c r="A897" t="s">
        <v>1977</v>
      </c>
      <c r="B897" t="s">
        <v>16</v>
      </c>
      <c r="C897" t="s">
        <v>1978</v>
      </c>
      <c r="D897" t="s">
        <v>48</v>
      </c>
      <c r="E897" t="s">
        <v>19</v>
      </c>
      <c r="F897" t="s">
        <v>27</v>
      </c>
      <c r="G897" t="s">
        <v>82</v>
      </c>
      <c r="H897" s="1">
        <v>45494.682638888888</v>
      </c>
      <c r="I897" s="1">
        <v>45494.876388888886</v>
      </c>
      <c r="J897">
        <v>188</v>
      </c>
      <c r="K897">
        <v>279</v>
      </c>
      <c r="L897">
        <v>1</v>
      </c>
      <c r="M897" t="s">
        <v>29</v>
      </c>
      <c r="N897">
        <v>2</v>
      </c>
      <c r="O897">
        <v>467.33</v>
      </c>
    </row>
    <row r="898" spans="1:15" x14ac:dyDescent="0.35">
      <c r="A898" t="s">
        <v>1979</v>
      </c>
      <c r="B898" t="s">
        <v>63</v>
      </c>
      <c r="C898" t="s">
        <v>1980</v>
      </c>
      <c r="D898" t="s">
        <v>26</v>
      </c>
      <c r="E898" t="s">
        <v>85</v>
      </c>
      <c r="F898" t="s">
        <v>39</v>
      </c>
      <c r="G898" t="s">
        <v>647</v>
      </c>
      <c r="H898" s="1">
        <v>45346.119444444441</v>
      </c>
      <c r="I898" s="1">
        <v>45346.174305555556</v>
      </c>
      <c r="J898">
        <v>33</v>
      </c>
      <c r="K898">
        <v>79</v>
      </c>
      <c r="L898">
        <v>1</v>
      </c>
      <c r="M898" t="s">
        <v>41</v>
      </c>
      <c r="N898">
        <v>8</v>
      </c>
      <c r="O898">
        <v>460.2</v>
      </c>
    </row>
    <row r="899" spans="1:15" x14ac:dyDescent="0.35">
      <c r="A899" t="s">
        <v>1981</v>
      </c>
      <c r="B899" t="s">
        <v>16</v>
      </c>
      <c r="C899" t="s">
        <v>1982</v>
      </c>
      <c r="D899" t="s">
        <v>56</v>
      </c>
      <c r="E899" t="s">
        <v>33</v>
      </c>
      <c r="F899" t="s">
        <v>57</v>
      </c>
      <c r="G899" t="s">
        <v>231</v>
      </c>
      <c r="H899" s="1">
        <v>45591.571527777778</v>
      </c>
      <c r="I899" s="1">
        <v>45591.75</v>
      </c>
      <c r="J899">
        <v>233</v>
      </c>
      <c r="K899">
        <v>257</v>
      </c>
      <c r="L899">
        <v>1</v>
      </c>
      <c r="M899" t="s">
        <v>29</v>
      </c>
      <c r="N899">
        <v>8</v>
      </c>
      <c r="O899">
        <v>174.92</v>
      </c>
    </row>
    <row r="900" spans="1:15" x14ac:dyDescent="0.35">
      <c r="A900" t="s">
        <v>1983</v>
      </c>
      <c r="B900" t="s">
        <v>24</v>
      </c>
      <c r="C900" t="s">
        <v>1984</v>
      </c>
      <c r="D900" t="s">
        <v>18</v>
      </c>
      <c r="E900" t="s">
        <v>85</v>
      </c>
      <c r="F900" t="s">
        <v>20</v>
      </c>
      <c r="G900" t="s">
        <v>251</v>
      </c>
      <c r="H900" s="1">
        <v>45623.508333333331</v>
      </c>
      <c r="I900" s="1">
        <v>45623.611805555556</v>
      </c>
      <c r="J900">
        <v>89</v>
      </c>
      <c r="K900">
        <v>149</v>
      </c>
      <c r="L900">
        <v>1</v>
      </c>
      <c r="M900" t="s">
        <v>41</v>
      </c>
      <c r="N900">
        <v>1</v>
      </c>
      <c r="O900">
        <v>340.28</v>
      </c>
    </row>
    <row r="901" spans="1:15" x14ac:dyDescent="0.35">
      <c r="A901" t="s">
        <v>1985</v>
      </c>
      <c r="B901" t="s">
        <v>63</v>
      </c>
      <c r="C901" t="s">
        <v>1986</v>
      </c>
      <c r="D901" t="s">
        <v>48</v>
      </c>
      <c r="E901" t="s">
        <v>85</v>
      </c>
      <c r="F901" t="s">
        <v>27</v>
      </c>
      <c r="G901" t="s">
        <v>777</v>
      </c>
      <c r="H901" s="1">
        <v>45548.705555555556</v>
      </c>
      <c r="I901" s="1">
        <v>45548.785416666666</v>
      </c>
      <c r="J901">
        <v>73</v>
      </c>
      <c r="K901">
        <v>115</v>
      </c>
      <c r="L901">
        <v>1</v>
      </c>
      <c r="M901" t="s">
        <v>22</v>
      </c>
      <c r="N901">
        <v>7</v>
      </c>
      <c r="O901">
        <v>423.08</v>
      </c>
    </row>
    <row r="902" spans="1:15" x14ac:dyDescent="0.35">
      <c r="A902" t="s">
        <v>1987</v>
      </c>
      <c r="B902" t="s">
        <v>31</v>
      </c>
      <c r="C902" t="s">
        <v>1988</v>
      </c>
      <c r="D902" t="s">
        <v>18</v>
      </c>
      <c r="E902" t="s">
        <v>19</v>
      </c>
      <c r="F902" t="s">
        <v>57</v>
      </c>
      <c r="G902" t="s">
        <v>152</v>
      </c>
      <c r="H902" s="1">
        <v>45403.843055555553</v>
      </c>
      <c r="I902" s="1">
        <v>45404.038888888892</v>
      </c>
      <c r="J902">
        <v>239</v>
      </c>
      <c r="K902">
        <v>282</v>
      </c>
      <c r="L902">
        <v>1</v>
      </c>
      <c r="M902" t="s">
        <v>41</v>
      </c>
      <c r="N902">
        <v>5</v>
      </c>
      <c r="O902">
        <v>332.2</v>
      </c>
    </row>
    <row r="903" spans="1:15" x14ac:dyDescent="0.35">
      <c r="A903" t="s">
        <v>1989</v>
      </c>
      <c r="B903" t="s">
        <v>51</v>
      </c>
      <c r="C903" t="s">
        <v>1990</v>
      </c>
      <c r="D903" t="s">
        <v>48</v>
      </c>
      <c r="E903" t="s">
        <v>38</v>
      </c>
      <c r="F903" t="s">
        <v>20</v>
      </c>
      <c r="G903" t="s">
        <v>500</v>
      </c>
      <c r="H903" s="1">
        <v>45479.45416666667</v>
      </c>
      <c r="I903" s="1">
        <v>45479.661805555559</v>
      </c>
      <c r="J903">
        <v>192</v>
      </c>
      <c r="K903">
        <v>299</v>
      </c>
      <c r="L903">
        <v>1</v>
      </c>
      <c r="M903" t="s">
        <v>29</v>
      </c>
      <c r="N903">
        <v>6</v>
      </c>
      <c r="O903">
        <v>462.38</v>
      </c>
    </row>
    <row r="904" spans="1:15" x14ac:dyDescent="0.35">
      <c r="A904" t="s">
        <v>1991</v>
      </c>
      <c r="B904" t="s">
        <v>24</v>
      </c>
      <c r="C904" t="s">
        <v>1992</v>
      </c>
      <c r="D904" t="s">
        <v>26</v>
      </c>
      <c r="E904" t="s">
        <v>38</v>
      </c>
      <c r="F904" t="s">
        <v>57</v>
      </c>
      <c r="G904" t="s">
        <v>430</v>
      </c>
      <c r="H904" s="1">
        <v>45460.805555555555</v>
      </c>
      <c r="I904" s="1">
        <v>45460.897916666669</v>
      </c>
      <c r="J904">
        <v>51</v>
      </c>
      <c r="K904">
        <v>133</v>
      </c>
      <c r="L904">
        <v>1</v>
      </c>
      <c r="M904" t="s">
        <v>29</v>
      </c>
      <c r="N904">
        <v>4</v>
      </c>
      <c r="O904">
        <v>67.86</v>
      </c>
    </row>
    <row r="905" spans="1:15" x14ac:dyDescent="0.35">
      <c r="A905" t="s">
        <v>1993</v>
      </c>
      <c r="B905" t="s">
        <v>51</v>
      </c>
      <c r="C905" t="s">
        <v>1994</v>
      </c>
      <c r="D905" t="s">
        <v>44</v>
      </c>
      <c r="E905" t="s">
        <v>85</v>
      </c>
      <c r="F905" t="s">
        <v>34</v>
      </c>
      <c r="G905" t="s">
        <v>259</v>
      </c>
      <c r="H905" s="1">
        <v>45336.046527777777</v>
      </c>
      <c r="I905" s="1">
        <v>45336.120833333334</v>
      </c>
      <c r="J905">
        <v>59</v>
      </c>
      <c r="K905">
        <v>107</v>
      </c>
      <c r="L905">
        <v>1</v>
      </c>
      <c r="M905" t="s">
        <v>29</v>
      </c>
      <c r="N905">
        <v>6</v>
      </c>
      <c r="O905">
        <v>88.9</v>
      </c>
    </row>
    <row r="906" spans="1:15" x14ac:dyDescent="0.35">
      <c r="A906" t="s">
        <v>1995</v>
      </c>
      <c r="B906" t="s">
        <v>16</v>
      </c>
      <c r="C906" t="s">
        <v>1996</v>
      </c>
      <c r="D906" t="s">
        <v>44</v>
      </c>
      <c r="E906" t="s">
        <v>38</v>
      </c>
      <c r="F906" t="s">
        <v>20</v>
      </c>
      <c r="G906" t="s">
        <v>126</v>
      </c>
      <c r="H906" s="1">
        <v>45576.864583333336</v>
      </c>
      <c r="I906" s="1">
        <v>45577.011111111111</v>
      </c>
      <c r="J906">
        <v>106</v>
      </c>
      <c r="K906">
        <v>211</v>
      </c>
      <c r="L906">
        <v>1</v>
      </c>
      <c r="M906" t="s">
        <v>29</v>
      </c>
      <c r="N906">
        <v>7</v>
      </c>
      <c r="O906">
        <v>208.05</v>
      </c>
    </row>
    <row r="907" spans="1:15" x14ac:dyDescent="0.35">
      <c r="A907" t="s">
        <v>1997</v>
      </c>
      <c r="B907" t="s">
        <v>24</v>
      </c>
      <c r="C907" t="s">
        <v>1998</v>
      </c>
      <c r="D907" t="s">
        <v>48</v>
      </c>
      <c r="E907" t="s">
        <v>19</v>
      </c>
      <c r="F907" t="s">
        <v>27</v>
      </c>
      <c r="G907" t="s">
        <v>222</v>
      </c>
      <c r="H907" s="1">
        <v>45431.59652777778</v>
      </c>
      <c r="I907" s="1">
        <v>45431.727083333331</v>
      </c>
      <c r="J907">
        <v>125</v>
      </c>
      <c r="K907">
        <v>188</v>
      </c>
      <c r="L907">
        <v>1</v>
      </c>
      <c r="M907" t="s">
        <v>29</v>
      </c>
      <c r="N907">
        <v>7</v>
      </c>
      <c r="O907">
        <v>150.66999999999999</v>
      </c>
    </row>
    <row r="908" spans="1:15" x14ac:dyDescent="0.35">
      <c r="A908" t="s">
        <v>1999</v>
      </c>
      <c r="B908" t="s">
        <v>51</v>
      </c>
      <c r="C908" t="s">
        <v>2000</v>
      </c>
      <c r="D908" t="s">
        <v>48</v>
      </c>
      <c r="E908" t="s">
        <v>19</v>
      </c>
      <c r="F908" t="s">
        <v>34</v>
      </c>
      <c r="G908" t="s">
        <v>602</v>
      </c>
      <c r="H908" s="1">
        <v>45366.978472222225</v>
      </c>
      <c r="I908" s="1">
        <v>45367.058333333334</v>
      </c>
      <c r="J908">
        <v>40</v>
      </c>
      <c r="K908">
        <v>115</v>
      </c>
      <c r="L908">
        <v>1</v>
      </c>
      <c r="M908" t="s">
        <v>41</v>
      </c>
      <c r="N908">
        <v>4</v>
      </c>
      <c r="O908">
        <v>99.73</v>
      </c>
    </row>
    <row r="909" spans="1:15" x14ac:dyDescent="0.35">
      <c r="A909" t="s">
        <v>2001</v>
      </c>
      <c r="B909" t="s">
        <v>51</v>
      </c>
      <c r="C909" t="s">
        <v>2002</v>
      </c>
      <c r="D909" t="s">
        <v>48</v>
      </c>
      <c r="E909" t="s">
        <v>38</v>
      </c>
      <c r="F909" t="s">
        <v>20</v>
      </c>
      <c r="G909" t="s">
        <v>222</v>
      </c>
      <c r="H909" s="1">
        <v>45301.179861111108</v>
      </c>
      <c r="I909" s="1">
        <v>45301.334027777775</v>
      </c>
      <c r="J909">
        <v>118</v>
      </c>
      <c r="K909">
        <v>222</v>
      </c>
      <c r="L909">
        <v>1</v>
      </c>
      <c r="M909" t="s">
        <v>29</v>
      </c>
      <c r="N909">
        <v>1</v>
      </c>
      <c r="O909">
        <v>296</v>
      </c>
    </row>
    <row r="910" spans="1:15" x14ac:dyDescent="0.35">
      <c r="A910" t="s">
        <v>2003</v>
      </c>
      <c r="B910" t="s">
        <v>24</v>
      </c>
      <c r="C910" t="s">
        <v>2004</v>
      </c>
      <c r="D910" t="s">
        <v>44</v>
      </c>
      <c r="E910" t="s">
        <v>85</v>
      </c>
      <c r="F910" t="s">
        <v>39</v>
      </c>
      <c r="G910" t="s">
        <v>700</v>
      </c>
      <c r="H910" s="1">
        <v>45424.306250000001</v>
      </c>
      <c r="I910" s="1">
        <v>45424.406944444447</v>
      </c>
      <c r="J910">
        <v>47</v>
      </c>
      <c r="K910">
        <v>145</v>
      </c>
      <c r="L910">
        <v>1</v>
      </c>
      <c r="M910" t="s">
        <v>22</v>
      </c>
      <c r="N910">
        <v>7</v>
      </c>
      <c r="O910">
        <v>407.42</v>
      </c>
    </row>
    <row r="911" spans="1:15" x14ac:dyDescent="0.35">
      <c r="A911" t="s">
        <v>2005</v>
      </c>
      <c r="B911" t="s">
        <v>24</v>
      </c>
      <c r="C911" t="s">
        <v>2006</v>
      </c>
      <c r="D911" t="s">
        <v>56</v>
      </c>
      <c r="E911" t="s">
        <v>85</v>
      </c>
      <c r="F911" t="s">
        <v>39</v>
      </c>
      <c r="G911" t="s">
        <v>402</v>
      </c>
      <c r="H911" s="1">
        <v>45491.978472222225</v>
      </c>
      <c r="I911" s="1">
        <v>45492.165277777778</v>
      </c>
      <c r="J911">
        <v>171</v>
      </c>
      <c r="K911">
        <v>269</v>
      </c>
      <c r="L911">
        <v>1</v>
      </c>
      <c r="M911" t="s">
        <v>22</v>
      </c>
      <c r="N911">
        <v>9</v>
      </c>
      <c r="O911">
        <v>277.74</v>
      </c>
    </row>
    <row r="912" spans="1:15" x14ac:dyDescent="0.35">
      <c r="A912" t="s">
        <v>2007</v>
      </c>
      <c r="B912" t="s">
        <v>24</v>
      </c>
      <c r="C912" t="s">
        <v>2008</v>
      </c>
      <c r="D912" t="s">
        <v>48</v>
      </c>
      <c r="E912" t="s">
        <v>38</v>
      </c>
      <c r="F912" t="s">
        <v>39</v>
      </c>
      <c r="G912" t="s">
        <v>155</v>
      </c>
      <c r="H912" s="1">
        <v>45363.084027777775</v>
      </c>
      <c r="I912" s="1">
        <v>45363.177083333336</v>
      </c>
      <c r="J912">
        <v>124</v>
      </c>
      <c r="K912">
        <v>134</v>
      </c>
      <c r="L912">
        <v>1</v>
      </c>
      <c r="M912" t="s">
        <v>29</v>
      </c>
      <c r="N912">
        <v>5</v>
      </c>
      <c r="O912">
        <v>415.3</v>
      </c>
    </row>
    <row r="913" spans="1:15" x14ac:dyDescent="0.35">
      <c r="A913" t="s">
        <v>2009</v>
      </c>
      <c r="B913" t="s">
        <v>31</v>
      </c>
      <c r="C913" t="s">
        <v>2010</v>
      </c>
      <c r="D913" t="s">
        <v>48</v>
      </c>
      <c r="E913" t="s">
        <v>85</v>
      </c>
      <c r="F913" t="s">
        <v>39</v>
      </c>
      <c r="G913" t="s">
        <v>149</v>
      </c>
      <c r="H913" s="1">
        <v>45300.393750000003</v>
      </c>
      <c r="I913" s="1">
        <v>45300.52847222222</v>
      </c>
      <c r="J913">
        <v>165</v>
      </c>
      <c r="K913">
        <v>194</v>
      </c>
      <c r="L913">
        <v>1</v>
      </c>
      <c r="M913" t="s">
        <v>41</v>
      </c>
      <c r="N913">
        <v>3</v>
      </c>
      <c r="O913">
        <v>140.63999999999999</v>
      </c>
    </row>
    <row r="914" spans="1:15" x14ac:dyDescent="0.35">
      <c r="A914" t="s">
        <v>2011</v>
      </c>
      <c r="B914" t="s">
        <v>24</v>
      </c>
      <c r="C914" t="s">
        <v>2012</v>
      </c>
      <c r="D914" t="s">
        <v>48</v>
      </c>
      <c r="E914" t="s">
        <v>85</v>
      </c>
      <c r="F914" t="s">
        <v>57</v>
      </c>
      <c r="G914" t="s">
        <v>58</v>
      </c>
      <c r="H914" s="1">
        <v>45323.109722222223</v>
      </c>
      <c r="I914" s="1">
        <v>45323.179861111108</v>
      </c>
      <c r="J914">
        <v>52</v>
      </c>
      <c r="K914">
        <v>101</v>
      </c>
      <c r="L914">
        <v>1</v>
      </c>
      <c r="M914" t="s">
        <v>22</v>
      </c>
      <c r="N914">
        <v>5</v>
      </c>
      <c r="O914">
        <v>157.27000000000001</v>
      </c>
    </row>
    <row r="915" spans="1:15" x14ac:dyDescent="0.35">
      <c r="A915" t="s">
        <v>2013</v>
      </c>
      <c r="B915" t="s">
        <v>63</v>
      </c>
      <c r="C915" t="s">
        <v>2014</v>
      </c>
      <c r="D915" t="s">
        <v>26</v>
      </c>
      <c r="E915" t="s">
        <v>38</v>
      </c>
      <c r="F915" t="s">
        <v>20</v>
      </c>
      <c r="G915" t="s">
        <v>61</v>
      </c>
      <c r="H915" s="1">
        <v>45632.51666666667</v>
      </c>
      <c r="I915" s="1">
        <v>45632.584027777775</v>
      </c>
      <c r="J915">
        <v>20</v>
      </c>
      <c r="K915">
        <v>97</v>
      </c>
      <c r="L915">
        <v>1</v>
      </c>
      <c r="M915" t="s">
        <v>29</v>
      </c>
      <c r="N915">
        <v>4</v>
      </c>
      <c r="O915">
        <v>228.37</v>
      </c>
    </row>
    <row r="916" spans="1:15" x14ac:dyDescent="0.35">
      <c r="A916" t="s">
        <v>2015</v>
      </c>
      <c r="B916" t="s">
        <v>51</v>
      </c>
      <c r="C916" t="s">
        <v>2016</v>
      </c>
      <c r="D916" t="s">
        <v>44</v>
      </c>
      <c r="E916" t="s">
        <v>33</v>
      </c>
      <c r="F916" t="s">
        <v>57</v>
      </c>
      <c r="G916" t="s">
        <v>1730</v>
      </c>
      <c r="H916" s="1">
        <v>45437.211111111108</v>
      </c>
      <c r="I916" s="1">
        <v>45437.397222222222</v>
      </c>
      <c r="J916">
        <v>206</v>
      </c>
      <c r="K916">
        <v>268</v>
      </c>
      <c r="L916">
        <v>1</v>
      </c>
      <c r="M916" t="s">
        <v>29</v>
      </c>
      <c r="N916">
        <v>1</v>
      </c>
      <c r="O916">
        <v>123.87</v>
      </c>
    </row>
    <row r="917" spans="1:15" x14ac:dyDescent="0.35">
      <c r="A917" t="s">
        <v>2017</v>
      </c>
      <c r="B917" t="s">
        <v>16</v>
      </c>
      <c r="C917" t="s">
        <v>2018</v>
      </c>
      <c r="D917" t="s">
        <v>44</v>
      </c>
      <c r="E917" t="s">
        <v>19</v>
      </c>
      <c r="F917" t="s">
        <v>39</v>
      </c>
      <c r="G917" t="s">
        <v>117</v>
      </c>
      <c r="H917" s="1">
        <v>45488.052083333336</v>
      </c>
      <c r="I917" s="1">
        <v>45488.161805555559</v>
      </c>
      <c r="J917">
        <v>54</v>
      </c>
      <c r="K917">
        <v>158</v>
      </c>
      <c r="L917">
        <v>1</v>
      </c>
      <c r="M917" t="s">
        <v>41</v>
      </c>
      <c r="N917">
        <v>2</v>
      </c>
      <c r="O917">
        <v>204.08</v>
      </c>
    </row>
    <row r="918" spans="1:15" x14ac:dyDescent="0.35">
      <c r="A918" t="s">
        <v>2019</v>
      </c>
      <c r="B918" t="s">
        <v>31</v>
      </c>
      <c r="C918" t="s">
        <v>2020</v>
      </c>
      <c r="D918" t="s">
        <v>56</v>
      </c>
      <c r="E918" t="s">
        <v>33</v>
      </c>
      <c r="F918" t="s">
        <v>57</v>
      </c>
      <c r="G918" t="s">
        <v>137</v>
      </c>
      <c r="H918" s="1">
        <v>45543.468055555553</v>
      </c>
      <c r="I918" s="1">
        <v>45543.585416666669</v>
      </c>
      <c r="J918">
        <v>49</v>
      </c>
      <c r="K918">
        <v>169</v>
      </c>
      <c r="L918">
        <v>1</v>
      </c>
      <c r="M918" t="s">
        <v>22</v>
      </c>
      <c r="N918">
        <v>1</v>
      </c>
      <c r="O918">
        <v>472.23</v>
      </c>
    </row>
    <row r="919" spans="1:15" x14ac:dyDescent="0.35">
      <c r="A919" t="s">
        <v>2021</v>
      </c>
      <c r="B919" t="s">
        <v>63</v>
      </c>
      <c r="C919" t="s">
        <v>2022</v>
      </c>
      <c r="D919" t="s">
        <v>44</v>
      </c>
      <c r="E919" t="s">
        <v>85</v>
      </c>
      <c r="F919" t="s">
        <v>27</v>
      </c>
      <c r="G919" t="s">
        <v>842</v>
      </c>
      <c r="H919" s="1">
        <v>45579.154166666667</v>
      </c>
      <c r="I919" s="1">
        <v>45579.236805555556</v>
      </c>
      <c r="J919">
        <v>67</v>
      </c>
      <c r="K919">
        <v>119</v>
      </c>
      <c r="L919">
        <v>1</v>
      </c>
      <c r="M919" t="s">
        <v>41</v>
      </c>
      <c r="N919">
        <v>4</v>
      </c>
      <c r="O919">
        <v>244.27</v>
      </c>
    </row>
    <row r="920" spans="1:15" x14ac:dyDescent="0.35">
      <c r="A920" t="s">
        <v>2023</v>
      </c>
      <c r="B920" t="s">
        <v>51</v>
      </c>
      <c r="C920" t="s">
        <v>2024</v>
      </c>
      <c r="D920" t="s">
        <v>26</v>
      </c>
      <c r="E920" t="s">
        <v>33</v>
      </c>
      <c r="F920" t="s">
        <v>57</v>
      </c>
      <c r="G920" t="s">
        <v>293</v>
      </c>
      <c r="H920" s="1">
        <v>45464.868055555555</v>
      </c>
      <c r="I920" s="1">
        <v>45465.029861111114</v>
      </c>
      <c r="J920">
        <v>182</v>
      </c>
      <c r="K920">
        <v>233</v>
      </c>
      <c r="L920">
        <v>1</v>
      </c>
      <c r="M920" t="s">
        <v>22</v>
      </c>
      <c r="N920">
        <v>5</v>
      </c>
      <c r="O920">
        <v>372.23</v>
      </c>
    </row>
    <row r="921" spans="1:15" x14ac:dyDescent="0.35">
      <c r="A921" t="s">
        <v>2025</v>
      </c>
      <c r="B921" t="s">
        <v>51</v>
      </c>
      <c r="C921" t="s">
        <v>2026</v>
      </c>
      <c r="D921" t="s">
        <v>26</v>
      </c>
      <c r="E921" t="s">
        <v>19</v>
      </c>
      <c r="F921" t="s">
        <v>27</v>
      </c>
      <c r="G921" t="s">
        <v>91</v>
      </c>
      <c r="H921" s="1">
        <v>45467.297222222223</v>
      </c>
      <c r="I921" s="1">
        <v>45467.484027777777</v>
      </c>
      <c r="J921">
        <v>185</v>
      </c>
      <c r="K921">
        <v>269</v>
      </c>
      <c r="L921">
        <v>1</v>
      </c>
      <c r="M921" t="s">
        <v>29</v>
      </c>
      <c r="N921">
        <v>1</v>
      </c>
      <c r="O921">
        <v>309.68</v>
      </c>
    </row>
    <row r="922" spans="1:15" x14ac:dyDescent="0.35">
      <c r="A922" t="s">
        <v>2027</v>
      </c>
      <c r="B922" t="s">
        <v>31</v>
      </c>
      <c r="C922" t="s">
        <v>2028</v>
      </c>
      <c r="D922" t="s">
        <v>18</v>
      </c>
      <c r="E922" t="s">
        <v>19</v>
      </c>
      <c r="F922" t="s">
        <v>57</v>
      </c>
      <c r="G922" t="s">
        <v>155</v>
      </c>
      <c r="H922" s="1">
        <v>45600.755555555559</v>
      </c>
      <c r="I922" s="1">
        <v>45600.887499999997</v>
      </c>
      <c r="J922">
        <v>157</v>
      </c>
      <c r="K922">
        <v>190</v>
      </c>
      <c r="L922">
        <v>1</v>
      </c>
      <c r="M922" t="s">
        <v>29</v>
      </c>
      <c r="N922">
        <v>7</v>
      </c>
      <c r="O922">
        <v>232.17</v>
      </c>
    </row>
    <row r="923" spans="1:15" x14ac:dyDescent="0.35">
      <c r="A923" t="s">
        <v>2029</v>
      </c>
      <c r="B923" t="s">
        <v>16</v>
      </c>
      <c r="C923" t="s">
        <v>2030</v>
      </c>
      <c r="D923" t="s">
        <v>56</v>
      </c>
      <c r="E923" t="s">
        <v>33</v>
      </c>
      <c r="F923" t="s">
        <v>39</v>
      </c>
      <c r="G923" t="s">
        <v>240</v>
      </c>
      <c r="H923" s="1">
        <v>45453.363888888889</v>
      </c>
      <c r="I923" s="1">
        <v>45453.490277777775</v>
      </c>
      <c r="J923">
        <v>106</v>
      </c>
      <c r="K923">
        <v>182</v>
      </c>
      <c r="L923">
        <v>1</v>
      </c>
      <c r="M923" t="s">
        <v>41</v>
      </c>
      <c r="N923">
        <v>3</v>
      </c>
      <c r="O923">
        <v>93.65</v>
      </c>
    </row>
    <row r="924" spans="1:15" x14ac:dyDescent="0.35">
      <c r="A924" t="s">
        <v>2031</v>
      </c>
      <c r="B924" t="s">
        <v>24</v>
      </c>
      <c r="C924" t="s">
        <v>2032</v>
      </c>
      <c r="D924" t="s">
        <v>18</v>
      </c>
      <c r="E924" t="s">
        <v>19</v>
      </c>
      <c r="F924" t="s">
        <v>39</v>
      </c>
      <c r="G924" t="s">
        <v>785</v>
      </c>
      <c r="H924" s="1">
        <v>45569.509722222225</v>
      </c>
      <c r="I924" s="1">
        <v>45569.615972222222</v>
      </c>
      <c r="J924">
        <v>67</v>
      </c>
      <c r="K924">
        <v>153</v>
      </c>
      <c r="L924">
        <v>1</v>
      </c>
      <c r="M924" t="s">
        <v>41</v>
      </c>
      <c r="N924">
        <v>4</v>
      </c>
      <c r="O924">
        <v>166.62</v>
      </c>
    </row>
    <row r="925" spans="1:15" x14ac:dyDescent="0.35">
      <c r="A925" t="s">
        <v>2033</v>
      </c>
      <c r="B925" t="s">
        <v>31</v>
      </c>
      <c r="C925" t="s">
        <v>2034</v>
      </c>
      <c r="D925" t="s">
        <v>18</v>
      </c>
      <c r="E925" t="s">
        <v>33</v>
      </c>
      <c r="F925" t="s">
        <v>39</v>
      </c>
      <c r="G925" t="s">
        <v>397</v>
      </c>
      <c r="H925" s="1">
        <v>45350.529166666667</v>
      </c>
      <c r="I925" s="1">
        <v>45350.651388888888</v>
      </c>
      <c r="J925">
        <v>169</v>
      </c>
      <c r="K925">
        <v>176</v>
      </c>
      <c r="L925">
        <v>1</v>
      </c>
      <c r="M925" t="s">
        <v>29</v>
      </c>
      <c r="N925">
        <v>2</v>
      </c>
      <c r="O925">
        <v>345.45</v>
      </c>
    </row>
    <row r="926" spans="1:15" x14ac:dyDescent="0.35">
      <c r="A926" t="s">
        <v>2035</v>
      </c>
      <c r="B926" t="s">
        <v>16</v>
      </c>
      <c r="C926" t="s">
        <v>2036</v>
      </c>
      <c r="D926" t="s">
        <v>18</v>
      </c>
      <c r="E926" t="s">
        <v>19</v>
      </c>
      <c r="F926" t="s">
        <v>34</v>
      </c>
      <c r="G926" t="s">
        <v>330</v>
      </c>
      <c r="H926" s="1">
        <v>45407.193055555559</v>
      </c>
      <c r="I926" s="1">
        <v>45407.361111111109</v>
      </c>
      <c r="J926">
        <v>221</v>
      </c>
      <c r="K926">
        <v>242</v>
      </c>
      <c r="L926">
        <v>1</v>
      </c>
      <c r="M926" t="s">
        <v>29</v>
      </c>
      <c r="N926">
        <v>4</v>
      </c>
      <c r="O926">
        <v>420.69</v>
      </c>
    </row>
    <row r="927" spans="1:15" x14ac:dyDescent="0.35">
      <c r="A927" t="s">
        <v>2037</v>
      </c>
      <c r="B927" t="s">
        <v>24</v>
      </c>
      <c r="C927" t="s">
        <v>2038</v>
      </c>
      <c r="D927" t="s">
        <v>48</v>
      </c>
      <c r="E927" t="s">
        <v>85</v>
      </c>
      <c r="F927" t="s">
        <v>34</v>
      </c>
      <c r="G927" t="s">
        <v>512</v>
      </c>
      <c r="H927" s="1">
        <v>45386.213194444441</v>
      </c>
      <c r="I927" s="1">
        <v>45386.338888888888</v>
      </c>
      <c r="J927">
        <v>161</v>
      </c>
      <c r="K927">
        <v>181</v>
      </c>
      <c r="L927">
        <v>1</v>
      </c>
      <c r="M927" t="s">
        <v>22</v>
      </c>
      <c r="N927">
        <v>5</v>
      </c>
      <c r="O927">
        <v>387.22</v>
      </c>
    </row>
    <row r="928" spans="1:15" x14ac:dyDescent="0.35">
      <c r="A928" t="s">
        <v>2039</v>
      </c>
      <c r="B928" t="s">
        <v>31</v>
      </c>
      <c r="C928" t="s">
        <v>2040</v>
      </c>
      <c r="D928" t="s">
        <v>56</v>
      </c>
      <c r="E928" t="s">
        <v>33</v>
      </c>
      <c r="F928" t="s">
        <v>20</v>
      </c>
      <c r="G928" t="s">
        <v>676</v>
      </c>
      <c r="H928" s="1">
        <v>45425.323611111111</v>
      </c>
      <c r="I928" s="1">
        <v>45425.45</v>
      </c>
      <c r="J928">
        <v>136</v>
      </c>
      <c r="K928">
        <v>182</v>
      </c>
      <c r="L928">
        <v>1</v>
      </c>
      <c r="M928" t="s">
        <v>41</v>
      </c>
      <c r="N928">
        <v>4</v>
      </c>
      <c r="O928">
        <v>123.99</v>
      </c>
    </row>
    <row r="929" spans="1:15" x14ac:dyDescent="0.35">
      <c r="A929" t="s">
        <v>2041</v>
      </c>
      <c r="B929" t="s">
        <v>51</v>
      </c>
      <c r="C929" t="s">
        <v>2042</v>
      </c>
      <c r="D929" t="s">
        <v>26</v>
      </c>
      <c r="E929" t="s">
        <v>19</v>
      </c>
      <c r="F929" t="s">
        <v>27</v>
      </c>
      <c r="G929" t="s">
        <v>45</v>
      </c>
      <c r="H929" s="1">
        <v>45488.990277777775</v>
      </c>
      <c r="I929" s="1">
        <v>45489.206250000003</v>
      </c>
      <c r="J929">
        <v>221</v>
      </c>
      <c r="K929">
        <v>311</v>
      </c>
      <c r="L929">
        <v>1</v>
      </c>
      <c r="M929" t="s">
        <v>41</v>
      </c>
      <c r="N929">
        <v>8</v>
      </c>
      <c r="O929">
        <v>285.54000000000002</v>
      </c>
    </row>
    <row r="930" spans="1:15" x14ac:dyDescent="0.35">
      <c r="A930" t="s">
        <v>2043</v>
      </c>
      <c r="B930" t="s">
        <v>24</v>
      </c>
      <c r="C930" t="s">
        <v>2044</v>
      </c>
      <c r="D930" t="s">
        <v>44</v>
      </c>
      <c r="E930" t="s">
        <v>38</v>
      </c>
      <c r="F930" t="s">
        <v>57</v>
      </c>
      <c r="G930" t="s">
        <v>364</v>
      </c>
      <c r="H930" s="1">
        <v>45599.029166666667</v>
      </c>
      <c r="I930" s="1">
        <v>45599.181944444441</v>
      </c>
      <c r="J930">
        <v>179</v>
      </c>
      <c r="K930">
        <v>220</v>
      </c>
      <c r="L930">
        <v>1</v>
      </c>
      <c r="M930" t="s">
        <v>29</v>
      </c>
      <c r="N930">
        <v>6</v>
      </c>
      <c r="O930">
        <v>352.98</v>
      </c>
    </row>
    <row r="931" spans="1:15" x14ac:dyDescent="0.35">
      <c r="A931" t="s">
        <v>2045</v>
      </c>
      <c r="B931" t="s">
        <v>16</v>
      </c>
      <c r="C931" t="s">
        <v>2046</v>
      </c>
      <c r="D931" t="s">
        <v>18</v>
      </c>
      <c r="E931" t="s">
        <v>33</v>
      </c>
      <c r="F931" t="s">
        <v>39</v>
      </c>
      <c r="G931" t="s">
        <v>28</v>
      </c>
      <c r="H931" s="1">
        <v>45429.609722222223</v>
      </c>
      <c r="I931" s="1">
        <v>45429.676388888889</v>
      </c>
      <c r="J931">
        <v>21</v>
      </c>
      <c r="K931">
        <v>96</v>
      </c>
      <c r="L931">
        <v>1</v>
      </c>
      <c r="M931" t="s">
        <v>41</v>
      </c>
      <c r="N931">
        <v>9</v>
      </c>
      <c r="O931">
        <v>279.93</v>
      </c>
    </row>
    <row r="932" spans="1:15" x14ac:dyDescent="0.35">
      <c r="A932" t="s">
        <v>2047</v>
      </c>
      <c r="B932" t="s">
        <v>16</v>
      </c>
      <c r="C932" t="s">
        <v>2048</v>
      </c>
      <c r="D932" t="s">
        <v>18</v>
      </c>
      <c r="E932" t="s">
        <v>19</v>
      </c>
      <c r="F932" t="s">
        <v>27</v>
      </c>
      <c r="G932" t="s">
        <v>100</v>
      </c>
      <c r="H932" s="1">
        <v>45571.24722222222</v>
      </c>
      <c r="I932" s="1">
        <v>45571.381944444445</v>
      </c>
      <c r="J932">
        <v>126</v>
      </c>
      <c r="K932">
        <v>194</v>
      </c>
      <c r="L932">
        <v>1</v>
      </c>
      <c r="M932" t="s">
        <v>41</v>
      </c>
      <c r="N932">
        <v>7</v>
      </c>
      <c r="O932">
        <v>384.05</v>
      </c>
    </row>
    <row r="933" spans="1:15" x14ac:dyDescent="0.35">
      <c r="A933" t="s">
        <v>2049</v>
      </c>
      <c r="B933" t="s">
        <v>63</v>
      </c>
      <c r="C933" t="s">
        <v>2050</v>
      </c>
      <c r="D933" t="s">
        <v>26</v>
      </c>
      <c r="E933" t="s">
        <v>38</v>
      </c>
      <c r="F933" t="s">
        <v>57</v>
      </c>
      <c r="G933" t="s">
        <v>500</v>
      </c>
      <c r="H933" s="1">
        <v>45411.782638888886</v>
      </c>
      <c r="I933" s="1">
        <v>45411.882638888892</v>
      </c>
      <c r="J933">
        <v>149</v>
      </c>
      <c r="K933">
        <v>144</v>
      </c>
      <c r="L933">
        <v>0</v>
      </c>
      <c r="M933" t="s">
        <v>41</v>
      </c>
      <c r="N933">
        <v>1</v>
      </c>
      <c r="O933">
        <v>96.07</v>
      </c>
    </row>
    <row r="934" spans="1:15" x14ac:dyDescent="0.35">
      <c r="A934" t="s">
        <v>2051</v>
      </c>
      <c r="B934" t="s">
        <v>51</v>
      </c>
      <c r="C934" t="s">
        <v>2052</v>
      </c>
      <c r="D934" t="s">
        <v>56</v>
      </c>
      <c r="E934" t="s">
        <v>85</v>
      </c>
      <c r="F934" t="s">
        <v>27</v>
      </c>
      <c r="G934" t="s">
        <v>631</v>
      </c>
      <c r="H934" s="1">
        <v>45633.032638888886</v>
      </c>
      <c r="I934" s="1">
        <v>45633.15347222222</v>
      </c>
      <c r="J934">
        <v>60</v>
      </c>
      <c r="K934">
        <v>174</v>
      </c>
      <c r="L934">
        <v>1</v>
      </c>
      <c r="M934" t="s">
        <v>29</v>
      </c>
      <c r="N934">
        <v>8</v>
      </c>
      <c r="O934">
        <v>497.94</v>
      </c>
    </row>
    <row r="935" spans="1:15" x14ac:dyDescent="0.35">
      <c r="A935" t="s">
        <v>2053</v>
      </c>
      <c r="B935" t="s">
        <v>24</v>
      </c>
      <c r="C935" t="s">
        <v>2054</v>
      </c>
      <c r="D935" t="s">
        <v>48</v>
      </c>
      <c r="E935" t="s">
        <v>19</v>
      </c>
      <c r="F935" t="s">
        <v>39</v>
      </c>
      <c r="G935" t="s">
        <v>111</v>
      </c>
      <c r="H935" s="1">
        <v>45515.205555555556</v>
      </c>
      <c r="I935" s="1">
        <v>45515.335416666669</v>
      </c>
      <c r="J935">
        <v>90</v>
      </c>
      <c r="K935">
        <v>187</v>
      </c>
      <c r="L935">
        <v>1</v>
      </c>
      <c r="M935" t="s">
        <v>41</v>
      </c>
      <c r="N935">
        <v>6</v>
      </c>
      <c r="O935">
        <v>149.91999999999999</v>
      </c>
    </row>
    <row r="936" spans="1:15" x14ac:dyDescent="0.35">
      <c r="A936" t="s">
        <v>2055</v>
      </c>
      <c r="B936" t="s">
        <v>31</v>
      </c>
      <c r="C936" t="s">
        <v>2056</v>
      </c>
      <c r="D936" t="s">
        <v>44</v>
      </c>
      <c r="E936" t="s">
        <v>33</v>
      </c>
      <c r="F936" t="s">
        <v>34</v>
      </c>
      <c r="G936" t="s">
        <v>1030</v>
      </c>
      <c r="H936" s="1">
        <v>45612.209027777775</v>
      </c>
      <c r="I936" s="1">
        <v>45612.393055555556</v>
      </c>
      <c r="J936">
        <v>191</v>
      </c>
      <c r="K936">
        <v>265</v>
      </c>
      <c r="L936">
        <v>1</v>
      </c>
      <c r="M936" t="s">
        <v>29</v>
      </c>
      <c r="N936">
        <v>5</v>
      </c>
      <c r="O936">
        <v>236.3</v>
      </c>
    </row>
    <row r="937" spans="1:15" x14ac:dyDescent="0.35">
      <c r="A937" t="s">
        <v>2057</v>
      </c>
      <c r="B937" t="s">
        <v>24</v>
      </c>
      <c r="C937" t="s">
        <v>2058</v>
      </c>
      <c r="D937" t="s">
        <v>56</v>
      </c>
      <c r="E937" t="s">
        <v>19</v>
      </c>
      <c r="F937" t="s">
        <v>34</v>
      </c>
      <c r="G937" t="s">
        <v>691</v>
      </c>
      <c r="H937" s="1">
        <v>45624.6</v>
      </c>
      <c r="I937" s="1">
        <v>45624.671527777777</v>
      </c>
      <c r="J937">
        <v>48</v>
      </c>
      <c r="K937">
        <v>103</v>
      </c>
      <c r="L937">
        <v>1</v>
      </c>
      <c r="M937" t="s">
        <v>41</v>
      </c>
      <c r="N937">
        <v>7</v>
      </c>
      <c r="O937">
        <v>496.15</v>
      </c>
    </row>
    <row r="938" spans="1:15" x14ac:dyDescent="0.35">
      <c r="A938" t="s">
        <v>2059</v>
      </c>
      <c r="B938" t="s">
        <v>31</v>
      </c>
      <c r="C938" t="s">
        <v>2060</v>
      </c>
      <c r="D938" t="s">
        <v>26</v>
      </c>
      <c r="E938" t="s">
        <v>38</v>
      </c>
      <c r="F938" t="s">
        <v>57</v>
      </c>
      <c r="G938" t="s">
        <v>842</v>
      </c>
      <c r="H938" s="1">
        <v>45529.064583333333</v>
      </c>
      <c r="I938" s="1">
        <v>45529.125</v>
      </c>
      <c r="J938">
        <v>57</v>
      </c>
      <c r="K938">
        <v>87</v>
      </c>
      <c r="L938">
        <v>1</v>
      </c>
      <c r="M938" t="s">
        <v>29</v>
      </c>
      <c r="N938">
        <v>10</v>
      </c>
      <c r="O938">
        <v>302.45</v>
      </c>
    </row>
    <row r="939" spans="1:15" x14ac:dyDescent="0.35">
      <c r="A939" t="s">
        <v>2061</v>
      </c>
      <c r="B939" t="s">
        <v>51</v>
      </c>
      <c r="C939" t="s">
        <v>2062</v>
      </c>
      <c r="D939" t="s">
        <v>44</v>
      </c>
      <c r="E939" t="s">
        <v>19</v>
      </c>
      <c r="F939" t="s">
        <v>34</v>
      </c>
      <c r="G939" t="s">
        <v>111</v>
      </c>
      <c r="H939" s="1">
        <v>45445.188888888886</v>
      </c>
      <c r="I939" s="1">
        <v>45445.398611111108</v>
      </c>
      <c r="J939">
        <v>235</v>
      </c>
      <c r="K939">
        <v>302</v>
      </c>
      <c r="L939">
        <v>1</v>
      </c>
      <c r="M939" t="s">
        <v>29</v>
      </c>
      <c r="N939">
        <v>7</v>
      </c>
      <c r="O939">
        <v>404.51</v>
      </c>
    </row>
    <row r="940" spans="1:15" x14ac:dyDescent="0.35">
      <c r="A940" t="s">
        <v>2063</v>
      </c>
      <c r="B940" t="s">
        <v>31</v>
      </c>
      <c r="C940" t="s">
        <v>2064</v>
      </c>
      <c r="D940" t="s">
        <v>18</v>
      </c>
      <c r="E940" t="s">
        <v>38</v>
      </c>
      <c r="F940" t="s">
        <v>39</v>
      </c>
      <c r="G940" t="s">
        <v>500</v>
      </c>
      <c r="H940" s="1">
        <v>45564.251388888886</v>
      </c>
      <c r="I940" s="1">
        <v>45564.379166666666</v>
      </c>
      <c r="J940">
        <v>95</v>
      </c>
      <c r="K940">
        <v>184</v>
      </c>
      <c r="L940">
        <v>1</v>
      </c>
      <c r="M940" t="s">
        <v>41</v>
      </c>
      <c r="N940">
        <v>8</v>
      </c>
      <c r="O940">
        <v>273.41000000000003</v>
      </c>
    </row>
    <row r="941" spans="1:15" x14ac:dyDescent="0.35">
      <c r="A941" t="s">
        <v>2065</v>
      </c>
      <c r="B941" t="s">
        <v>16</v>
      </c>
      <c r="C941" t="s">
        <v>2066</v>
      </c>
      <c r="D941" t="s">
        <v>48</v>
      </c>
      <c r="E941" t="s">
        <v>85</v>
      </c>
      <c r="F941" t="s">
        <v>27</v>
      </c>
      <c r="G941" t="s">
        <v>185</v>
      </c>
      <c r="H941" s="1">
        <v>45316.561805555553</v>
      </c>
      <c r="I941" s="1">
        <v>45316.635416666664</v>
      </c>
      <c r="J941">
        <v>40</v>
      </c>
      <c r="K941">
        <v>106</v>
      </c>
      <c r="L941">
        <v>1</v>
      </c>
      <c r="M941" t="s">
        <v>41</v>
      </c>
      <c r="N941">
        <v>4</v>
      </c>
      <c r="O941">
        <v>114.13</v>
      </c>
    </row>
    <row r="942" spans="1:15" x14ac:dyDescent="0.35">
      <c r="A942" t="s">
        <v>2067</v>
      </c>
      <c r="B942" t="s">
        <v>51</v>
      </c>
      <c r="C942" t="s">
        <v>2068</v>
      </c>
      <c r="D942" t="s">
        <v>44</v>
      </c>
      <c r="E942" t="s">
        <v>19</v>
      </c>
      <c r="F942" t="s">
        <v>39</v>
      </c>
      <c r="G942" t="s">
        <v>485</v>
      </c>
      <c r="H942" s="1">
        <v>45315.748611111114</v>
      </c>
      <c r="I942" s="1">
        <v>45315.907638888886</v>
      </c>
      <c r="J942">
        <v>226</v>
      </c>
      <c r="K942">
        <v>229</v>
      </c>
      <c r="L942">
        <v>1</v>
      </c>
      <c r="M942" t="s">
        <v>41</v>
      </c>
      <c r="N942">
        <v>6</v>
      </c>
      <c r="O942">
        <v>361.35</v>
      </c>
    </row>
    <row r="943" spans="1:15" x14ac:dyDescent="0.35">
      <c r="A943" t="s">
        <v>2069</v>
      </c>
      <c r="B943" t="s">
        <v>63</v>
      </c>
      <c r="C943" t="s">
        <v>2070</v>
      </c>
      <c r="D943" t="s">
        <v>48</v>
      </c>
      <c r="E943" t="s">
        <v>85</v>
      </c>
      <c r="F943" t="s">
        <v>39</v>
      </c>
      <c r="G943" t="s">
        <v>265</v>
      </c>
      <c r="H943" s="1">
        <v>45606.569444444445</v>
      </c>
      <c r="I943" s="1">
        <v>45606.647916666669</v>
      </c>
      <c r="J943">
        <v>91</v>
      </c>
      <c r="K943">
        <v>113</v>
      </c>
      <c r="L943">
        <v>1</v>
      </c>
      <c r="M943" t="s">
        <v>22</v>
      </c>
      <c r="N943">
        <v>5</v>
      </c>
      <c r="O943">
        <v>264.26</v>
      </c>
    </row>
    <row r="944" spans="1:15" x14ac:dyDescent="0.35">
      <c r="A944" t="s">
        <v>2071</v>
      </c>
      <c r="B944" t="s">
        <v>63</v>
      </c>
      <c r="C944" t="s">
        <v>2072</v>
      </c>
      <c r="D944" t="s">
        <v>18</v>
      </c>
      <c r="E944" t="s">
        <v>33</v>
      </c>
      <c r="F944" t="s">
        <v>57</v>
      </c>
      <c r="G944" t="s">
        <v>152</v>
      </c>
      <c r="H944" s="1">
        <v>45477.720138888886</v>
      </c>
      <c r="I944" s="1">
        <v>45477.852777777778</v>
      </c>
      <c r="J944">
        <v>172</v>
      </c>
      <c r="K944">
        <v>191</v>
      </c>
      <c r="L944">
        <v>1</v>
      </c>
      <c r="M944" t="s">
        <v>41</v>
      </c>
      <c r="N944">
        <v>2</v>
      </c>
      <c r="O944">
        <v>264.81</v>
      </c>
    </row>
    <row r="945" spans="1:15" x14ac:dyDescent="0.35">
      <c r="A945" t="s">
        <v>2073</v>
      </c>
      <c r="B945" t="s">
        <v>63</v>
      </c>
      <c r="C945" t="s">
        <v>2074</v>
      </c>
      <c r="D945" t="s">
        <v>26</v>
      </c>
      <c r="E945" t="s">
        <v>85</v>
      </c>
      <c r="F945" t="s">
        <v>34</v>
      </c>
      <c r="G945" t="s">
        <v>82</v>
      </c>
      <c r="H945" s="1">
        <v>45545.426388888889</v>
      </c>
      <c r="I945" s="1">
        <v>45545.453472222223</v>
      </c>
      <c r="J945">
        <v>19</v>
      </c>
      <c r="K945">
        <v>39</v>
      </c>
      <c r="L945">
        <v>1</v>
      </c>
      <c r="M945" t="s">
        <v>22</v>
      </c>
      <c r="N945">
        <v>3</v>
      </c>
      <c r="O945">
        <v>494.04</v>
      </c>
    </row>
    <row r="946" spans="1:15" x14ac:dyDescent="0.35">
      <c r="A946" t="s">
        <v>2075</v>
      </c>
      <c r="B946" t="s">
        <v>16</v>
      </c>
      <c r="C946" t="s">
        <v>2076</v>
      </c>
      <c r="D946" t="s">
        <v>56</v>
      </c>
      <c r="E946" t="s">
        <v>33</v>
      </c>
      <c r="F946" t="s">
        <v>20</v>
      </c>
      <c r="G946" t="s">
        <v>308</v>
      </c>
      <c r="H946" s="1">
        <v>45545.488888888889</v>
      </c>
      <c r="I946" s="1">
        <v>45545.671527777777</v>
      </c>
      <c r="J946">
        <v>222</v>
      </c>
      <c r="K946">
        <v>263</v>
      </c>
      <c r="L946">
        <v>1</v>
      </c>
      <c r="M946" t="s">
        <v>22</v>
      </c>
      <c r="N946">
        <v>2</v>
      </c>
      <c r="O946">
        <v>489.15</v>
      </c>
    </row>
    <row r="947" spans="1:15" x14ac:dyDescent="0.35">
      <c r="A947" t="s">
        <v>2077</v>
      </c>
      <c r="B947" t="s">
        <v>24</v>
      </c>
      <c r="C947" t="s">
        <v>2078</v>
      </c>
      <c r="D947" t="s">
        <v>26</v>
      </c>
      <c r="E947" t="s">
        <v>38</v>
      </c>
      <c r="F947" t="s">
        <v>57</v>
      </c>
      <c r="G947" t="s">
        <v>622</v>
      </c>
      <c r="H947" s="1">
        <v>45440.963888888888</v>
      </c>
      <c r="I947" s="1">
        <v>45441.102777777778</v>
      </c>
      <c r="J947">
        <v>117</v>
      </c>
      <c r="K947">
        <v>200</v>
      </c>
      <c r="L947">
        <v>1</v>
      </c>
      <c r="M947" t="s">
        <v>22</v>
      </c>
      <c r="N947">
        <v>1</v>
      </c>
      <c r="O947">
        <v>140.9</v>
      </c>
    </row>
    <row r="948" spans="1:15" x14ac:dyDescent="0.35">
      <c r="A948" t="s">
        <v>2079</v>
      </c>
      <c r="B948" t="s">
        <v>24</v>
      </c>
      <c r="C948" t="s">
        <v>2080</v>
      </c>
      <c r="D948" t="s">
        <v>18</v>
      </c>
      <c r="E948" t="s">
        <v>19</v>
      </c>
      <c r="F948" t="s">
        <v>57</v>
      </c>
      <c r="G948" t="s">
        <v>61</v>
      </c>
      <c r="H948" s="1">
        <v>45582.525000000001</v>
      </c>
      <c r="I948" s="1">
        <v>45582.651388888888</v>
      </c>
      <c r="J948">
        <v>99</v>
      </c>
      <c r="K948">
        <v>182</v>
      </c>
      <c r="L948">
        <v>1</v>
      </c>
      <c r="M948" t="s">
        <v>29</v>
      </c>
      <c r="N948">
        <v>5</v>
      </c>
      <c r="O948">
        <v>321.27</v>
      </c>
    </row>
    <row r="949" spans="1:15" x14ac:dyDescent="0.35">
      <c r="A949" t="s">
        <v>2081</v>
      </c>
      <c r="B949" t="s">
        <v>51</v>
      </c>
      <c r="C949" t="s">
        <v>2082</v>
      </c>
      <c r="D949" t="s">
        <v>44</v>
      </c>
      <c r="E949" t="s">
        <v>85</v>
      </c>
      <c r="F949" t="s">
        <v>39</v>
      </c>
      <c r="G949" t="s">
        <v>669</v>
      </c>
      <c r="H949" s="1">
        <v>45335.595138888886</v>
      </c>
      <c r="I949" s="1">
        <v>45335.697222222225</v>
      </c>
      <c r="J949">
        <v>46</v>
      </c>
      <c r="K949">
        <v>147</v>
      </c>
      <c r="L949">
        <v>1</v>
      </c>
      <c r="M949" t="s">
        <v>29</v>
      </c>
      <c r="N949">
        <v>8</v>
      </c>
      <c r="O949">
        <v>227.78</v>
      </c>
    </row>
    <row r="950" spans="1:15" x14ac:dyDescent="0.35">
      <c r="A950" t="s">
        <v>2083</v>
      </c>
      <c r="B950" t="s">
        <v>16</v>
      </c>
      <c r="C950" t="s">
        <v>2084</v>
      </c>
      <c r="D950" t="s">
        <v>26</v>
      </c>
      <c r="E950" t="s">
        <v>19</v>
      </c>
      <c r="F950" t="s">
        <v>39</v>
      </c>
      <c r="G950" t="s">
        <v>512</v>
      </c>
      <c r="H950" s="1">
        <v>45453.452777777777</v>
      </c>
      <c r="I950" s="1">
        <v>45453.655555555553</v>
      </c>
      <c r="J950">
        <v>235</v>
      </c>
      <c r="K950">
        <v>292</v>
      </c>
      <c r="L950">
        <v>1</v>
      </c>
      <c r="M950" t="s">
        <v>22</v>
      </c>
      <c r="N950">
        <v>7</v>
      </c>
      <c r="O950">
        <v>194.71</v>
      </c>
    </row>
    <row r="951" spans="1:15" x14ac:dyDescent="0.35">
      <c r="A951" t="s">
        <v>2085</v>
      </c>
      <c r="B951" t="s">
        <v>31</v>
      </c>
      <c r="C951" t="s">
        <v>2086</v>
      </c>
      <c r="D951" t="s">
        <v>48</v>
      </c>
      <c r="E951" t="s">
        <v>85</v>
      </c>
      <c r="F951" t="s">
        <v>34</v>
      </c>
      <c r="G951" t="s">
        <v>427</v>
      </c>
      <c r="H951" s="1">
        <v>45606.771527777775</v>
      </c>
      <c r="I951" s="1">
        <v>45606.894444444442</v>
      </c>
      <c r="J951">
        <v>148</v>
      </c>
      <c r="K951">
        <v>177</v>
      </c>
      <c r="L951">
        <v>1</v>
      </c>
      <c r="M951" t="s">
        <v>41</v>
      </c>
      <c r="N951">
        <v>10</v>
      </c>
      <c r="O951">
        <v>293.39999999999998</v>
      </c>
    </row>
    <row r="952" spans="1:15" x14ac:dyDescent="0.35">
      <c r="A952" t="s">
        <v>2087</v>
      </c>
      <c r="B952" t="s">
        <v>63</v>
      </c>
      <c r="C952" t="s">
        <v>2088</v>
      </c>
      <c r="D952" t="s">
        <v>18</v>
      </c>
      <c r="E952" t="s">
        <v>38</v>
      </c>
      <c r="F952" t="s">
        <v>20</v>
      </c>
      <c r="G952" t="s">
        <v>132</v>
      </c>
      <c r="H952" s="1">
        <v>45501.188194444447</v>
      </c>
      <c r="I952" s="1">
        <v>45501.263194444444</v>
      </c>
      <c r="J952">
        <v>38</v>
      </c>
      <c r="K952">
        <v>108</v>
      </c>
      <c r="L952">
        <v>1</v>
      </c>
      <c r="M952" t="s">
        <v>22</v>
      </c>
      <c r="N952">
        <v>8</v>
      </c>
      <c r="O952">
        <v>129.91999999999999</v>
      </c>
    </row>
    <row r="953" spans="1:15" x14ac:dyDescent="0.35">
      <c r="A953" t="s">
        <v>2089</v>
      </c>
      <c r="B953" t="s">
        <v>16</v>
      </c>
      <c r="C953" t="s">
        <v>2090</v>
      </c>
      <c r="D953" t="s">
        <v>26</v>
      </c>
      <c r="E953" t="s">
        <v>38</v>
      </c>
      <c r="F953" t="s">
        <v>20</v>
      </c>
      <c r="G953" t="s">
        <v>82</v>
      </c>
      <c r="H953" s="1">
        <v>45476.977083333331</v>
      </c>
      <c r="I953" s="1">
        <v>45477.116666666669</v>
      </c>
      <c r="J953">
        <v>147</v>
      </c>
      <c r="K953">
        <v>201</v>
      </c>
      <c r="L953">
        <v>1</v>
      </c>
      <c r="M953" t="s">
        <v>22</v>
      </c>
      <c r="N953">
        <v>6</v>
      </c>
      <c r="O953">
        <v>187.39</v>
      </c>
    </row>
    <row r="954" spans="1:15" x14ac:dyDescent="0.35">
      <c r="A954" t="s">
        <v>2091</v>
      </c>
      <c r="B954" t="s">
        <v>24</v>
      </c>
      <c r="C954" t="s">
        <v>2092</v>
      </c>
      <c r="D954" t="s">
        <v>48</v>
      </c>
      <c r="E954" t="s">
        <v>33</v>
      </c>
      <c r="F954" t="s">
        <v>27</v>
      </c>
      <c r="G954" t="s">
        <v>415</v>
      </c>
      <c r="H954" s="1">
        <v>45336.142361111109</v>
      </c>
      <c r="I954" s="1">
        <v>45336.370833333334</v>
      </c>
      <c r="J954">
        <v>218</v>
      </c>
      <c r="K954">
        <v>329</v>
      </c>
      <c r="L954">
        <v>1</v>
      </c>
      <c r="M954" t="s">
        <v>22</v>
      </c>
      <c r="N954">
        <v>10</v>
      </c>
      <c r="O954">
        <v>340.27</v>
      </c>
    </row>
    <row r="955" spans="1:15" x14ac:dyDescent="0.35">
      <c r="A955" t="s">
        <v>2093</v>
      </c>
      <c r="B955" t="s">
        <v>31</v>
      </c>
      <c r="C955" t="s">
        <v>2094</v>
      </c>
      <c r="D955" t="s">
        <v>18</v>
      </c>
      <c r="E955" t="s">
        <v>38</v>
      </c>
      <c r="F955" t="s">
        <v>57</v>
      </c>
      <c r="G955" t="s">
        <v>79</v>
      </c>
      <c r="H955" s="1">
        <v>45402.52847222222</v>
      </c>
      <c r="I955" s="1">
        <v>45402.655555555553</v>
      </c>
      <c r="J955">
        <v>112</v>
      </c>
      <c r="K955">
        <v>183</v>
      </c>
      <c r="L955">
        <v>1</v>
      </c>
      <c r="M955" t="s">
        <v>22</v>
      </c>
      <c r="N955">
        <v>8</v>
      </c>
      <c r="O955">
        <v>400.35</v>
      </c>
    </row>
    <row r="956" spans="1:15" x14ac:dyDescent="0.35">
      <c r="A956" t="s">
        <v>2095</v>
      </c>
      <c r="B956" t="s">
        <v>63</v>
      </c>
      <c r="C956" t="s">
        <v>2096</v>
      </c>
      <c r="D956" t="s">
        <v>26</v>
      </c>
      <c r="E956" t="s">
        <v>33</v>
      </c>
      <c r="F956" t="s">
        <v>27</v>
      </c>
      <c r="G956" t="s">
        <v>21</v>
      </c>
      <c r="H956" s="1">
        <v>45409.688194444447</v>
      </c>
      <c r="I956" s="1">
        <v>45409.822916666664</v>
      </c>
      <c r="J956">
        <v>155</v>
      </c>
      <c r="K956">
        <v>194</v>
      </c>
      <c r="L956">
        <v>1</v>
      </c>
      <c r="M956" t="s">
        <v>22</v>
      </c>
      <c r="N956">
        <v>1</v>
      </c>
      <c r="O956">
        <v>303.51</v>
      </c>
    </row>
    <row r="957" spans="1:15" x14ac:dyDescent="0.35">
      <c r="A957" t="s">
        <v>2097</v>
      </c>
      <c r="B957" t="s">
        <v>16</v>
      </c>
      <c r="C957" t="s">
        <v>2098</v>
      </c>
      <c r="D957" t="s">
        <v>48</v>
      </c>
      <c r="E957" t="s">
        <v>85</v>
      </c>
      <c r="F957" t="s">
        <v>27</v>
      </c>
      <c r="G957" t="s">
        <v>170</v>
      </c>
      <c r="H957" s="1">
        <v>45432.397222222222</v>
      </c>
      <c r="I957" s="1">
        <v>45432.549305555556</v>
      </c>
      <c r="J957">
        <v>193</v>
      </c>
      <c r="K957">
        <v>219</v>
      </c>
      <c r="L957">
        <v>1</v>
      </c>
      <c r="M957" t="s">
        <v>41</v>
      </c>
      <c r="N957">
        <v>7</v>
      </c>
      <c r="O957">
        <v>451.48</v>
      </c>
    </row>
    <row r="958" spans="1:15" x14ac:dyDescent="0.35">
      <c r="A958" t="s">
        <v>2099</v>
      </c>
      <c r="B958" t="s">
        <v>16</v>
      </c>
      <c r="C958" t="s">
        <v>2100</v>
      </c>
      <c r="D958" t="s">
        <v>18</v>
      </c>
      <c r="E958" t="s">
        <v>38</v>
      </c>
      <c r="F958" t="s">
        <v>34</v>
      </c>
      <c r="G958" t="s">
        <v>182</v>
      </c>
      <c r="H958" s="1">
        <v>45324.977777777778</v>
      </c>
      <c r="I958" s="1">
        <v>45325.090277777781</v>
      </c>
      <c r="J958">
        <v>153</v>
      </c>
      <c r="K958">
        <v>162</v>
      </c>
      <c r="L958">
        <v>1</v>
      </c>
      <c r="M958" t="s">
        <v>29</v>
      </c>
      <c r="N958">
        <v>2</v>
      </c>
      <c r="O958">
        <v>173.82</v>
      </c>
    </row>
    <row r="959" spans="1:15" x14ac:dyDescent="0.35">
      <c r="A959" t="s">
        <v>2101</v>
      </c>
      <c r="B959" t="s">
        <v>24</v>
      </c>
      <c r="C959" t="s">
        <v>2102</v>
      </c>
      <c r="D959" t="s">
        <v>48</v>
      </c>
      <c r="E959" t="s">
        <v>19</v>
      </c>
      <c r="F959" t="s">
        <v>20</v>
      </c>
      <c r="G959" t="s">
        <v>615</v>
      </c>
      <c r="H959" s="1">
        <v>45379.127083333333</v>
      </c>
      <c r="I959" s="1">
        <v>45379.309027777781</v>
      </c>
      <c r="J959">
        <v>162</v>
      </c>
      <c r="K959">
        <v>262</v>
      </c>
      <c r="L959">
        <v>1</v>
      </c>
      <c r="M959" t="s">
        <v>29</v>
      </c>
      <c r="N959">
        <v>10</v>
      </c>
      <c r="O959">
        <v>195</v>
      </c>
    </row>
    <row r="960" spans="1:15" x14ac:dyDescent="0.35">
      <c r="A960" t="s">
        <v>2103</v>
      </c>
      <c r="B960" t="s">
        <v>24</v>
      </c>
      <c r="C960" t="s">
        <v>2104</v>
      </c>
      <c r="D960" t="s">
        <v>56</v>
      </c>
      <c r="E960" t="s">
        <v>85</v>
      </c>
      <c r="F960" t="s">
        <v>27</v>
      </c>
      <c r="G960" t="s">
        <v>268</v>
      </c>
      <c r="H960" s="1">
        <v>45359.10833333333</v>
      </c>
      <c r="I960" s="1">
        <v>45359.320138888892</v>
      </c>
      <c r="J960">
        <v>190</v>
      </c>
      <c r="K960">
        <v>305</v>
      </c>
      <c r="L960">
        <v>1</v>
      </c>
      <c r="M960" t="s">
        <v>29</v>
      </c>
      <c r="N960">
        <v>2</v>
      </c>
      <c r="O960">
        <v>298.22000000000003</v>
      </c>
    </row>
    <row r="961" spans="1:15" x14ac:dyDescent="0.35">
      <c r="A961" t="s">
        <v>2105</v>
      </c>
      <c r="B961" t="s">
        <v>51</v>
      </c>
      <c r="C961" t="s">
        <v>2106</v>
      </c>
      <c r="D961" t="s">
        <v>26</v>
      </c>
      <c r="E961" t="s">
        <v>85</v>
      </c>
      <c r="F961" t="s">
        <v>27</v>
      </c>
      <c r="G961" t="s">
        <v>512</v>
      </c>
      <c r="H961" s="1">
        <v>45455.211805555555</v>
      </c>
      <c r="I961" s="1">
        <v>45455.34652777778</v>
      </c>
      <c r="J961">
        <v>131</v>
      </c>
      <c r="K961">
        <v>194</v>
      </c>
      <c r="L961">
        <v>1</v>
      </c>
      <c r="M961" t="s">
        <v>22</v>
      </c>
      <c r="N961">
        <v>5</v>
      </c>
      <c r="O961">
        <v>222.09</v>
      </c>
    </row>
    <row r="962" spans="1:15" x14ac:dyDescent="0.35">
      <c r="A962" t="s">
        <v>2107</v>
      </c>
      <c r="B962" t="s">
        <v>31</v>
      </c>
      <c r="C962" t="s">
        <v>2108</v>
      </c>
      <c r="D962" t="s">
        <v>26</v>
      </c>
      <c r="E962" t="s">
        <v>85</v>
      </c>
      <c r="F962" t="s">
        <v>57</v>
      </c>
      <c r="G962" t="s">
        <v>526</v>
      </c>
      <c r="H962" s="1">
        <v>45384.482638888891</v>
      </c>
      <c r="I962" s="1">
        <v>45384.682638888888</v>
      </c>
      <c r="J962">
        <v>232</v>
      </c>
      <c r="K962">
        <v>288</v>
      </c>
      <c r="L962">
        <v>1</v>
      </c>
      <c r="M962" t="s">
        <v>29</v>
      </c>
      <c r="N962">
        <v>10</v>
      </c>
      <c r="O962">
        <v>72.72</v>
      </c>
    </row>
    <row r="963" spans="1:15" x14ac:dyDescent="0.35">
      <c r="A963" t="s">
        <v>2109</v>
      </c>
      <c r="B963" t="s">
        <v>63</v>
      </c>
      <c r="C963" t="s">
        <v>2110</v>
      </c>
      <c r="D963" t="s">
        <v>18</v>
      </c>
      <c r="E963" t="s">
        <v>33</v>
      </c>
      <c r="F963" t="s">
        <v>27</v>
      </c>
      <c r="G963" t="s">
        <v>343</v>
      </c>
      <c r="H963" s="1">
        <v>45399.625</v>
      </c>
      <c r="I963" s="1">
        <v>45399.779166666667</v>
      </c>
      <c r="J963">
        <v>188</v>
      </c>
      <c r="K963">
        <v>222</v>
      </c>
      <c r="L963">
        <v>1</v>
      </c>
      <c r="M963" t="s">
        <v>29</v>
      </c>
      <c r="N963">
        <v>1</v>
      </c>
      <c r="O963">
        <v>371.15</v>
      </c>
    </row>
    <row r="964" spans="1:15" x14ac:dyDescent="0.35">
      <c r="A964" t="s">
        <v>2111</v>
      </c>
      <c r="B964" t="s">
        <v>16</v>
      </c>
      <c r="C964" t="s">
        <v>2112</v>
      </c>
      <c r="D964" t="s">
        <v>48</v>
      </c>
      <c r="E964" t="s">
        <v>33</v>
      </c>
      <c r="F964" t="s">
        <v>34</v>
      </c>
      <c r="G964" t="s">
        <v>817</v>
      </c>
      <c r="H964" s="1">
        <v>45608.462500000001</v>
      </c>
      <c r="I964" s="1">
        <v>45608.502083333333</v>
      </c>
      <c r="J964">
        <v>18</v>
      </c>
      <c r="K964">
        <v>57</v>
      </c>
      <c r="L964">
        <v>1</v>
      </c>
      <c r="M964" t="s">
        <v>41</v>
      </c>
      <c r="N964">
        <v>6</v>
      </c>
      <c r="O964">
        <v>373.33</v>
      </c>
    </row>
    <row r="965" spans="1:15" x14ac:dyDescent="0.35">
      <c r="A965" t="s">
        <v>2113</v>
      </c>
      <c r="B965" t="s">
        <v>31</v>
      </c>
      <c r="C965" t="s">
        <v>2114</v>
      </c>
      <c r="D965" t="s">
        <v>18</v>
      </c>
      <c r="E965" t="s">
        <v>85</v>
      </c>
      <c r="F965" t="s">
        <v>57</v>
      </c>
      <c r="G965" t="s">
        <v>129</v>
      </c>
      <c r="H965" s="1">
        <v>45575.027083333334</v>
      </c>
      <c r="I965" s="1">
        <v>45575.093055555553</v>
      </c>
      <c r="J965">
        <v>70</v>
      </c>
      <c r="K965">
        <v>95</v>
      </c>
      <c r="L965">
        <v>1</v>
      </c>
      <c r="M965" t="s">
        <v>41</v>
      </c>
      <c r="N965">
        <v>9</v>
      </c>
      <c r="O965">
        <v>440.07</v>
      </c>
    </row>
    <row r="966" spans="1:15" x14ac:dyDescent="0.35">
      <c r="A966" t="s">
        <v>2115</v>
      </c>
      <c r="B966" t="s">
        <v>51</v>
      </c>
      <c r="C966" t="s">
        <v>2116</v>
      </c>
      <c r="D966" t="s">
        <v>56</v>
      </c>
      <c r="E966" t="s">
        <v>38</v>
      </c>
      <c r="F966" t="s">
        <v>57</v>
      </c>
      <c r="G966" t="s">
        <v>45</v>
      </c>
      <c r="H966" s="1">
        <v>45518.209722222222</v>
      </c>
      <c r="I966" s="1">
        <v>45518.40347222222</v>
      </c>
      <c r="J966">
        <v>169</v>
      </c>
      <c r="K966">
        <v>279</v>
      </c>
      <c r="L966">
        <v>1</v>
      </c>
      <c r="M966" t="s">
        <v>41</v>
      </c>
      <c r="N966">
        <v>9</v>
      </c>
      <c r="O966">
        <v>291.18</v>
      </c>
    </row>
    <row r="967" spans="1:15" x14ac:dyDescent="0.35">
      <c r="A967" t="s">
        <v>2117</v>
      </c>
      <c r="B967" t="s">
        <v>51</v>
      </c>
      <c r="C967" t="s">
        <v>2118</v>
      </c>
      <c r="D967" t="s">
        <v>26</v>
      </c>
      <c r="E967" t="s">
        <v>38</v>
      </c>
      <c r="F967" t="s">
        <v>27</v>
      </c>
      <c r="G967" t="s">
        <v>61</v>
      </c>
      <c r="H967" s="1">
        <v>45399.979166666664</v>
      </c>
      <c r="I967" s="1">
        <v>45399.986805555556</v>
      </c>
      <c r="J967">
        <v>16</v>
      </c>
      <c r="K967">
        <v>11</v>
      </c>
      <c r="L967">
        <v>0</v>
      </c>
      <c r="M967" t="s">
        <v>41</v>
      </c>
      <c r="N967">
        <v>5</v>
      </c>
      <c r="O967">
        <v>224.63</v>
      </c>
    </row>
    <row r="968" spans="1:15" x14ac:dyDescent="0.35">
      <c r="A968" t="s">
        <v>2119</v>
      </c>
      <c r="B968" t="s">
        <v>31</v>
      </c>
      <c r="C968" t="s">
        <v>2120</v>
      </c>
      <c r="D968" t="s">
        <v>44</v>
      </c>
      <c r="E968" t="s">
        <v>85</v>
      </c>
      <c r="F968" t="s">
        <v>27</v>
      </c>
      <c r="G968" t="s">
        <v>311</v>
      </c>
      <c r="H968" s="1">
        <v>45378.603472222225</v>
      </c>
      <c r="I968" s="1">
        <v>45378.745833333334</v>
      </c>
      <c r="J968">
        <v>123</v>
      </c>
      <c r="K968">
        <v>205</v>
      </c>
      <c r="L968">
        <v>1</v>
      </c>
      <c r="M968" t="s">
        <v>41</v>
      </c>
      <c r="N968">
        <v>10</v>
      </c>
      <c r="O968">
        <v>228.96</v>
      </c>
    </row>
    <row r="969" spans="1:15" x14ac:dyDescent="0.35">
      <c r="A969" t="s">
        <v>2121</v>
      </c>
      <c r="B969" t="s">
        <v>63</v>
      </c>
      <c r="C969" t="s">
        <v>2122</v>
      </c>
      <c r="D969" t="s">
        <v>48</v>
      </c>
      <c r="E969" t="s">
        <v>33</v>
      </c>
      <c r="F969" t="s">
        <v>34</v>
      </c>
      <c r="G969" t="s">
        <v>650</v>
      </c>
      <c r="H969" s="1">
        <v>45474.707638888889</v>
      </c>
      <c r="I969" s="1">
        <v>45474.836805555555</v>
      </c>
      <c r="J969">
        <v>92</v>
      </c>
      <c r="K969">
        <v>186</v>
      </c>
      <c r="L969">
        <v>1</v>
      </c>
      <c r="M969" t="s">
        <v>22</v>
      </c>
      <c r="N969">
        <v>4</v>
      </c>
      <c r="O969">
        <v>295.74</v>
      </c>
    </row>
    <row r="970" spans="1:15" x14ac:dyDescent="0.35">
      <c r="A970" t="s">
        <v>2123</v>
      </c>
      <c r="B970" t="s">
        <v>51</v>
      </c>
      <c r="C970" t="s">
        <v>2124</v>
      </c>
      <c r="D970" t="s">
        <v>48</v>
      </c>
      <c r="E970" t="s">
        <v>38</v>
      </c>
      <c r="F970" t="s">
        <v>20</v>
      </c>
      <c r="G970" t="s">
        <v>311</v>
      </c>
      <c r="H970" s="1">
        <v>45630.433333333334</v>
      </c>
      <c r="I970" s="1">
        <v>45630.652777777781</v>
      </c>
      <c r="J970">
        <v>239</v>
      </c>
      <c r="K970">
        <v>316</v>
      </c>
      <c r="L970">
        <v>1</v>
      </c>
      <c r="M970" t="s">
        <v>41</v>
      </c>
      <c r="N970">
        <v>9</v>
      </c>
      <c r="O970">
        <v>202.37</v>
      </c>
    </row>
    <row r="971" spans="1:15" x14ac:dyDescent="0.35">
      <c r="A971" t="s">
        <v>2125</v>
      </c>
      <c r="B971" t="s">
        <v>63</v>
      </c>
      <c r="C971" t="s">
        <v>2126</v>
      </c>
      <c r="D971" t="s">
        <v>26</v>
      </c>
      <c r="E971" t="s">
        <v>19</v>
      </c>
      <c r="F971" t="s">
        <v>34</v>
      </c>
      <c r="G971" t="s">
        <v>376</v>
      </c>
      <c r="H971" s="1">
        <v>45404.256944444445</v>
      </c>
      <c r="I971" s="1">
        <v>45404.375</v>
      </c>
      <c r="J971">
        <v>74</v>
      </c>
      <c r="K971">
        <v>170</v>
      </c>
      <c r="L971">
        <v>1</v>
      </c>
      <c r="M971" t="s">
        <v>22</v>
      </c>
      <c r="N971">
        <v>1</v>
      </c>
      <c r="O971">
        <v>288.27</v>
      </c>
    </row>
    <row r="972" spans="1:15" x14ac:dyDescent="0.35">
      <c r="A972" t="s">
        <v>2127</v>
      </c>
      <c r="B972" t="s">
        <v>24</v>
      </c>
      <c r="C972" t="s">
        <v>2128</v>
      </c>
      <c r="D972" t="s">
        <v>56</v>
      </c>
      <c r="E972" t="s">
        <v>85</v>
      </c>
      <c r="F972" t="s">
        <v>39</v>
      </c>
      <c r="G972" t="s">
        <v>1730</v>
      </c>
      <c r="H972" s="1">
        <v>45420.906944444447</v>
      </c>
      <c r="I972" s="1">
        <v>45421.009027777778</v>
      </c>
      <c r="J972">
        <v>81</v>
      </c>
      <c r="K972">
        <v>147</v>
      </c>
      <c r="L972">
        <v>1</v>
      </c>
      <c r="M972" t="s">
        <v>41</v>
      </c>
      <c r="N972">
        <v>9</v>
      </c>
      <c r="O972">
        <v>75.11</v>
      </c>
    </row>
    <row r="973" spans="1:15" x14ac:dyDescent="0.35">
      <c r="A973" t="s">
        <v>2129</v>
      </c>
      <c r="B973" t="s">
        <v>31</v>
      </c>
      <c r="C973" t="s">
        <v>2130</v>
      </c>
      <c r="D973" t="s">
        <v>44</v>
      </c>
      <c r="E973" t="s">
        <v>38</v>
      </c>
      <c r="F973" t="s">
        <v>39</v>
      </c>
      <c r="G973" t="s">
        <v>521</v>
      </c>
      <c r="H973" s="1">
        <v>45506.009722222225</v>
      </c>
      <c r="I973" s="1">
        <v>45506.248611111114</v>
      </c>
      <c r="J973">
        <v>227</v>
      </c>
      <c r="K973">
        <v>344</v>
      </c>
      <c r="L973">
        <v>1</v>
      </c>
      <c r="M973" t="s">
        <v>41</v>
      </c>
      <c r="N973">
        <v>8</v>
      </c>
      <c r="O973">
        <v>470.84</v>
      </c>
    </row>
    <row r="974" spans="1:15" x14ac:dyDescent="0.35">
      <c r="A974" t="s">
        <v>2131</v>
      </c>
      <c r="B974" t="s">
        <v>24</v>
      </c>
      <c r="C974" t="s">
        <v>2132</v>
      </c>
      <c r="D974" t="s">
        <v>56</v>
      </c>
      <c r="E974" t="s">
        <v>19</v>
      </c>
      <c r="F974" t="s">
        <v>27</v>
      </c>
      <c r="G974" t="s">
        <v>1413</v>
      </c>
      <c r="H974" s="1">
        <v>45649.57708333333</v>
      </c>
      <c r="I974" s="1">
        <v>45649.710416666669</v>
      </c>
      <c r="J974">
        <v>197</v>
      </c>
      <c r="K974">
        <v>192</v>
      </c>
      <c r="L974">
        <v>0</v>
      </c>
      <c r="M974" t="s">
        <v>22</v>
      </c>
      <c r="N974">
        <v>1</v>
      </c>
      <c r="O974">
        <v>129.44999999999999</v>
      </c>
    </row>
    <row r="975" spans="1:15" x14ac:dyDescent="0.35">
      <c r="A975" t="s">
        <v>2133</v>
      </c>
      <c r="B975" t="s">
        <v>31</v>
      </c>
      <c r="C975" t="s">
        <v>2134</v>
      </c>
      <c r="D975" t="s">
        <v>56</v>
      </c>
      <c r="E975" t="s">
        <v>85</v>
      </c>
      <c r="F975" t="s">
        <v>20</v>
      </c>
      <c r="G975" t="s">
        <v>167</v>
      </c>
      <c r="H975" s="1">
        <v>45425.851388888892</v>
      </c>
      <c r="I975" s="1">
        <v>45425.974305555559</v>
      </c>
      <c r="J975">
        <v>126</v>
      </c>
      <c r="K975">
        <v>177</v>
      </c>
      <c r="L975">
        <v>1</v>
      </c>
      <c r="M975" t="s">
        <v>22</v>
      </c>
      <c r="N975">
        <v>1</v>
      </c>
      <c r="O975">
        <v>362.82</v>
      </c>
    </row>
    <row r="976" spans="1:15" x14ac:dyDescent="0.35">
      <c r="A976" t="s">
        <v>2135</v>
      </c>
      <c r="B976" t="s">
        <v>51</v>
      </c>
      <c r="C976" t="s">
        <v>2136</v>
      </c>
      <c r="D976" t="s">
        <v>48</v>
      </c>
      <c r="E976" t="s">
        <v>19</v>
      </c>
      <c r="F976" t="s">
        <v>27</v>
      </c>
      <c r="G976" t="s">
        <v>201</v>
      </c>
      <c r="H976" s="1">
        <v>45409.527777777781</v>
      </c>
      <c r="I976" s="1">
        <v>45409.57708333333</v>
      </c>
      <c r="J976">
        <v>37</v>
      </c>
      <c r="K976">
        <v>71</v>
      </c>
      <c r="L976">
        <v>1</v>
      </c>
      <c r="M976" t="s">
        <v>41</v>
      </c>
      <c r="N976">
        <v>2</v>
      </c>
      <c r="O976">
        <v>378.94</v>
      </c>
    </row>
    <row r="977" spans="1:15" x14ac:dyDescent="0.35">
      <c r="A977" t="s">
        <v>2137</v>
      </c>
      <c r="B977" t="s">
        <v>16</v>
      </c>
      <c r="C977" t="s">
        <v>2138</v>
      </c>
      <c r="D977" t="s">
        <v>48</v>
      </c>
      <c r="E977" t="s">
        <v>33</v>
      </c>
      <c r="F977" t="s">
        <v>57</v>
      </c>
      <c r="G977" t="s">
        <v>526</v>
      </c>
      <c r="H977" s="1">
        <v>45564.695138888892</v>
      </c>
      <c r="I977" s="1">
        <v>45564.873611111114</v>
      </c>
      <c r="J977">
        <v>189</v>
      </c>
      <c r="K977">
        <v>257</v>
      </c>
      <c r="L977">
        <v>1</v>
      </c>
      <c r="M977" t="s">
        <v>29</v>
      </c>
      <c r="N977">
        <v>10</v>
      </c>
      <c r="O977">
        <v>150.4</v>
      </c>
    </row>
    <row r="978" spans="1:15" x14ac:dyDescent="0.35">
      <c r="A978" t="s">
        <v>2139</v>
      </c>
      <c r="B978" t="s">
        <v>16</v>
      </c>
      <c r="C978" t="s">
        <v>2140</v>
      </c>
      <c r="D978" t="s">
        <v>44</v>
      </c>
      <c r="E978" t="s">
        <v>19</v>
      </c>
      <c r="F978" t="s">
        <v>27</v>
      </c>
      <c r="G978" t="s">
        <v>293</v>
      </c>
      <c r="H978" s="1">
        <v>45554.974999999999</v>
      </c>
      <c r="I978" s="1">
        <v>45555.081944444442</v>
      </c>
      <c r="J978">
        <v>129</v>
      </c>
      <c r="K978">
        <v>154</v>
      </c>
      <c r="L978">
        <v>1</v>
      </c>
      <c r="M978" t="s">
        <v>22</v>
      </c>
      <c r="N978">
        <v>2</v>
      </c>
      <c r="O978">
        <v>165.72</v>
      </c>
    </row>
    <row r="979" spans="1:15" x14ac:dyDescent="0.35">
      <c r="A979" t="s">
        <v>2141</v>
      </c>
      <c r="B979" t="s">
        <v>16</v>
      </c>
      <c r="C979" t="s">
        <v>2142</v>
      </c>
      <c r="D979" t="s">
        <v>26</v>
      </c>
      <c r="E979" t="s">
        <v>19</v>
      </c>
      <c r="F979" t="s">
        <v>27</v>
      </c>
      <c r="G979" t="s">
        <v>45</v>
      </c>
      <c r="H979" s="1">
        <v>45414.29791666667</v>
      </c>
      <c r="I979" s="1">
        <v>45414.406944444447</v>
      </c>
      <c r="J979">
        <v>45</v>
      </c>
      <c r="K979">
        <v>157</v>
      </c>
      <c r="L979">
        <v>1</v>
      </c>
      <c r="M979" t="s">
        <v>22</v>
      </c>
      <c r="N979">
        <v>3</v>
      </c>
      <c r="O979">
        <v>105.09</v>
      </c>
    </row>
    <row r="980" spans="1:15" x14ac:dyDescent="0.35">
      <c r="A980" t="s">
        <v>2143</v>
      </c>
      <c r="B980" t="s">
        <v>31</v>
      </c>
      <c r="C980" t="s">
        <v>2144</v>
      </c>
      <c r="D980" t="s">
        <v>18</v>
      </c>
      <c r="E980" t="s">
        <v>19</v>
      </c>
      <c r="F980" t="s">
        <v>20</v>
      </c>
      <c r="G980" t="s">
        <v>476</v>
      </c>
      <c r="H980" s="1">
        <v>45389.94027777778</v>
      </c>
      <c r="I980" s="1">
        <v>45390.004166666666</v>
      </c>
      <c r="J980">
        <v>68</v>
      </c>
      <c r="K980">
        <v>92</v>
      </c>
      <c r="L980">
        <v>1</v>
      </c>
      <c r="M980" t="s">
        <v>22</v>
      </c>
      <c r="N980">
        <v>8</v>
      </c>
      <c r="O980">
        <v>323.13</v>
      </c>
    </row>
    <row r="981" spans="1:15" x14ac:dyDescent="0.35">
      <c r="A981" t="s">
        <v>2145</v>
      </c>
      <c r="B981" t="s">
        <v>24</v>
      </c>
      <c r="C981" t="s">
        <v>2146</v>
      </c>
      <c r="D981" t="s">
        <v>56</v>
      </c>
      <c r="E981" t="s">
        <v>38</v>
      </c>
      <c r="F981" t="s">
        <v>27</v>
      </c>
      <c r="G981" t="s">
        <v>140</v>
      </c>
      <c r="H981" s="1">
        <v>45432.155555555553</v>
      </c>
      <c r="I981" s="1">
        <v>45432.239583333336</v>
      </c>
      <c r="J981">
        <v>108</v>
      </c>
      <c r="K981">
        <v>121</v>
      </c>
      <c r="L981">
        <v>1</v>
      </c>
      <c r="M981" t="s">
        <v>41</v>
      </c>
      <c r="N981">
        <v>6</v>
      </c>
      <c r="O981">
        <v>404.62</v>
      </c>
    </row>
    <row r="982" spans="1:15" x14ac:dyDescent="0.35">
      <c r="A982" t="s">
        <v>2147</v>
      </c>
      <c r="B982" t="s">
        <v>31</v>
      </c>
      <c r="C982" t="s">
        <v>2148</v>
      </c>
      <c r="D982" t="s">
        <v>18</v>
      </c>
      <c r="E982" t="s">
        <v>38</v>
      </c>
      <c r="F982" t="s">
        <v>27</v>
      </c>
      <c r="G982" t="s">
        <v>853</v>
      </c>
      <c r="H982" s="1">
        <v>45502.511805555558</v>
      </c>
      <c r="I982" s="1">
        <v>45502.675000000003</v>
      </c>
      <c r="J982">
        <v>187</v>
      </c>
      <c r="K982">
        <v>235</v>
      </c>
      <c r="L982">
        <v>1</v>
      </c>
      <c r="M982" t="s">
        <v>41</v>
      </c>
      <c r="N982">
        <v>6</v>
      </c>
      <c r="O982">
        <v>80.900000000000006</v>
      </c>
    </row>
    <row r="983" spans="1:15" x14ac:dyDescent="0.35">
      <c r="A983" t="s">
        <v>2149</v>
      </c>
      <c r="B983" t="s">
        <v>16</v>
      </c>
      <c r="C983" t="s">
        <v>2150</v>
      </c>
      <c r="D983" t="s">
        <v>56</v>
      </c>
      <c r="E983" t="s">
        <v>85</v>
      </c>
      <c r="F983" t="s">
        <v>20</v>
      </c>
      <c r="G983" t="s">
        <v>117</v>
      </c>
      <c r="H983" s="1">
        <v>45539.186111111114</v>
      </c>
      <c r="I983" s="1">
        <v>45539.306944444441</v>
      </c>
      <c r="J983">
        <v>160</v>
      </c>
      <c r="K983">
        <v>174</v>
      </c>
      <c r="L983">
        <v>1</v>
      </c>
      <c r="M983" t="s">
        <v>22</v>
      </c>
      <c r="N983">
        <v>8</v>
      </c>
      <c r="O983">
        <v>402.5</v>
      </c>
    </row>
    <row r="984" spans="1:15" x14ac:dyDescent="0.35">
      <c r="A984" t="s">
        <v>2151</v>
      </c>
      <c r="B984" t="s">
        <v>51</v>
      </c>
      <c r="C984" t="s">
        <v>2152</v>
      </c>
      <c r="D984" t="s">
        <v>48</v>
      </c>
      <c r="E984" t="s">
        <v>33</v>
      </c>
      <c r="F984" t="s">
        <v>39</v>
      </c>
      <c r="G984" t="s">
        <v>691</v>
      </c>
      <c r="H984" s="1">
        <v>45415.385416666664</v>
      </c>
      <c r="I984" s="1">
        <v>45415.518750000003</v>
      </c>
      <c r="J984">
        <v>103</v>
      </c>
      <c r="K984">
        <v>192</v>
      </c>
      <c r="L984">
        <v>1</v>
      </c>
      <c r="M984" t="s">
        <v>41</v>
      </c>
      <c r="N984">
        <v>9</v>
      </c>
      <c r="O984">
        <v>58.93</v>
      </c>
    </row>
    <row r="985" spans="1:15" x14ac:dyDescent="0.35">
      <c r="A985" t="s">
        <v>2153</v>
      </c>
      <c r="B985" t="s">
        <v>24</v>
      </c>
      <c r="C985" t="s">
        <v>2154</v>
      </c>
      <c r="D985" t="s">
        <v>48</v>
      </c>
      <c r="E985" t="s">
        <v>33</v>
      </c>
      <c r="F985" t="s">
        <v>39</v>
      </c>
      <c r="G985" t="s">
        <v>316</v>
      </c>
      <c r="H985" s="1">
        <v>45325.622916666667</v>
      </c>
      <c r="I985" s="1">
        <v>45325.773611111108</v>
      </c>
      <c r="J985">
        <v>153</v>
      </c>
      <c r="K985">
        <v>217</v>
      </c>
      <c r="L985">
        <v>1</v>
      </c>
      <c r="M985" t="s">
        <v>29</v>
      </c>
      <c r="N985">
        <v>9</v>
      </c>
      <c r="O985">
        <v>246.79</v>
      </c>
    </row>
    <row r="986" spans="1:15" x14ac:dyDescent="0.35">
      <c r="A986" t="s">
        <v>2155</v>
      </c>
      <c r="B986" t="s">
        <v>31</v>
      </c>
      <c r="C986" t="s">
        <v>2156</v>
      </c>
      <c r="D986" t="s">
        <v>18</v>
      </c>
      <c r="E986" t="s">
        <v>38</v>
      </c>
      <c r="F986" t="s">
        <v>39</v>
      </c>
      <c r="G986" t="s">
        <v>669</v>
      </c>
      <c r="H986" s="1">
        <v>45531.490972222222</v>
      </c>
      <c r="I986" s="1">
        <v>45531.618750000001</v>
      </c>
      <c r="J986">
        <v>76</v>
      </c>
      <c r="K986">
        <v>184</v>
      </c>
      <c r="L986">
        <v>1</v>
      </c>
      <c r="M986" t="s">
        <v>22</v>
      </c>
      <c r="N986">
        <v>6</v>
      </c>
      <c r="O986">
        <v>245.62</v>
      </c>
    </row>
    <row r="987" spans="1:15" x14ac:dyDescent="0.35">
      <c r="A987" t="s">
        <v>2157</v>
      </c>
      <c r="B987" t="s">
        <v>31</v>
      </c>
      <c r="C987" t="s">
        <v>2158</v>
      </c>
      <c r="D987" t="s">
        <v>48</v>
      </c>
      <c r="E987" t="s">
        <v>38</v>
      </c>
      <c r="F987" t="s">
        <v>27</v>
      </c>
      <c r="G987" t="s">
        <v>684</v>
      </c>
      <c r="H987" s="1">
        <v>45367.786111111112</v>
      </c>
      <c r="I987" s="1">
        <v>45367.95208333333</v>
      </c>
      <c r="J987">
        <v>205</v>
      </c>
      <c r="K987">
        <v>239</v>
      </c>
      <c r="L987">
        <v>1</v>
      </c>
      <c r="M987" t="s">
        <v>41</v>
      </c>
      <c r="N987">
        <v>1</v>
      </c>
      <c r="O987">
        <v>212.99</v>
      </c>
    </row>
    <row r="988" spans="1:15" x14ac:dyDescent="0.35">
      <c r="A988" t="s">
        <v>2159</v>
      </c>
      <c r="B988" t="s">
        <v>24</v>
      </c>
      <c r="C988" t="s">
        <v>2160</v>
      </c>
      <c r="D988" t="s">
        <v>18</v>
      </c>
      <c r="E988" t="s">
        <v>33</v>
      </c>
      <c r="F988" t="s">
        <v>34</v>
      </c>
      <c r="G988" t="s">
        <v>470</v>
      </c>
      <c r="H988" s="1">
        <v>45330.536111111112</v>
      </c>
      <c r="I988" s="1">
        <v>45330.585416666669</v>
      </c>
      <c r="J988">
        <v>40</v>
      </c>
      <c r="K988">
        <v>71</v>
      </c>
      <c r="L988">
        <v>1</v>
      </c>
      <c r="M988" t="s">
        <v>22</v>
      </c>
      <c r="N988">
        <v>5</v>
      </c>
      <c r="O988">
        <v>187.49</v>
      </c>
    </row>
    <row r="989" spans="1:15" x14ac:dyDescent="0.35">
      <c r="A989" t="s">
        <v>2161</v>
      </c>
      <c r="B989" t="s">
        <v>63</v>
      </c>
      <c r="C989" t="s">
        <v>2162</v>
      </c>
      <c r="D989" t="s">
        <v>56</v>
      </c>
      <c r="E989" t="s">
        <v>19</v>
      </c>
      <c r="F989" t="s">
        <v>27</v>
      </c>
      <c r="G989" t="s">
        <v>170</v>
      </c>
      <c r="H989" s="1">
        <v>45624.629861111112</v>
      </c>
      <c r="I989" s="1">
        <v>45624.649305555555</v>
      </c>
      <c r="J989">
        <v>15</v>
      </c>
      <c r="K989">
        <v>28</v>
      </c>
      <c r="L989">
        <v>1</v>
      </c>
      <c r="M989" t="s">
        <v>29</v>
      </c>
      <c r="N989">
        <v>7</v>
      </c>
      <c r="O989">
        <v>116.99</v>
      </c>
    </row>
    <row r="990" spans="1:15" x14ac:dyDescent="0.35">
      <c r="A990" t="s">
        <v>2163</v>
      </c>
      <c r="B990" t="s">
        <v>31</v>
      </c>
      <c r="C990" t="s">
        <v>2164</v>
      </c>
      <c r="D990" t="s">
        <v>18</v>
      </c>
      <c r="E990" t="s">
        <v>19</v>
      </c>
      <c r="F990" t="s">
        <v>27</v>
      </c>
      <c r="G990" t="s">
        <v>505</v>
      </c>
      <c r="H990" s="1">
        <v>45521.286111111112</v>
      </c>
      <c r="I990" s="1">
        <v>45521.404166666667</v>
      </c>
      <c r="J990">
        <v>57</v>
      </c>
      <c r="K990">
        <v>170</v>
      </c>
      <c r="L990">
        <v>1</v>
      </c>
      <c r="M990" t="s">
        <v>29</v>
      </c>
      <c r="N990">
        <v>3</v>
      </c>
      <c r="O990">
        <v>356.54</v>
      </c>
    </row>
    <row r="991" spans="1:15" x14ac:dyDescent="0.35">
      <c r="A991" t="s">
        <v>2165</v>
      </c>
      <c r="B991" t="s">
        <v>24</v>
      </c>
      <c r="C991" t="s">
        <v>2166</v>
      </c>
      <c r="D991" t="s">
        <v>48</v>
      </c>
      <c r="E991" t="s">
        <v>33</v>
      </c>
      <c r="F991" t="s">
        <v>34</v>
      </c>
      <c r="G991" t="s">
        <v>1719</v>
      </c>
      <c r="H991" s="1">
        <v>45621.832638888889</v>
      </c>
      <c r="I991" s="1">
        <v>45621.895833333336</v>
      </c>
      <c r="J991">
        <v>31</v>
      </c>
      <c r="K991">
        <v>91</v>
      </c>
      <c r="L991">
        <v>1</v>
      </c>
      <c r="M991" t="s">
        <v>41</v>
      </c>
      <c r="N991">
        <v>10</v>
      </c>
      <c r="O991">
        <v>409.02</v>
      </c>
    </row>
    <row r="992" spans="1:15" x14ac:dyDescent="0.35">
      <c r="A992" t="s">
        <v>2167</v>
      </c>
      <c r="B992" t="s">
        <v>63</v>
      </c>
      <c r="C992" t="s">
        <v>2168</v>
      </c>
      <c r="D992" t="s">
        <v>26</v>
      </c>
      <c r="E992" t="s">
        <v>85</v>
      </c>
      <c r="F992" t="s">
        <v>34</v>
      </c>
      <c r="G992" t="s">
        <v>91</v>
      </c>
      <c r="H992" s="1">
        <v>45576.964583333334</v>
      </c>
      <c r="I992" s="1">
        <v>45577.035416666666</v>
      </c>
      <c r="J992">
        <v>104</v>
      </c>
      <c r="K992">
        <v>102</v>
      </c>
      <c r="L992">
        <v>0</v>
      </c>
      <c r="M992" t="s">
        <v>29</v>
      </c>
      <c r="N992">
        <v>5</v>
      </c>
      <c r="O992">
        <v>382.08</v>
      </c>
    </row>
    <row r="993" spans="1:15" x14ac:dyDescent="0.35">
      <c r="A993" t="s">
        <v>2169</v>
      </c>
      <c r="B993" t="s">
        <v>51</v>
      </c>
      <c r="C993" t="s">
        <v>2170</v>
      </c>
      <c r="D993" t="s">
        <v>18</v>
      </c>
      <c r="E993" t="s">
        <v>33</v>
      </c>
      <c r="F993" t="s">
        <v>20</v>
      </c>
      <c r="G993" t="s">
        <v>700</v>
      </c>
      <c r="H993" s="1">
        <v>45484.949305555558</v>
      </c>
      <c r="I993" s="1">
        <v>45485.1</v>
      </c>
      <c r="J993">
        <v>121</v>
      </c>
      <c r="K993">
        <v>217</v>
      </c>
      <c r="L993">
        <v>1</v>
      </c>
      <c r="M993" t="s">
        <v>41</v>
      </c>
      <c r="N993">
        <v>6</v>
      </c>
      <c r="O993">
        <v>443.37</v>
      </c>
    </row>
    <row r="994" spans="1:15" x14ac:dyDescent="0.35">
      <c r="A994" t="s">
        <v>2171</v>
      </c>
      <c r="B994" t="s">
        <v>16</v>
      </c>
      <c r="C994" t="s">
        <v>2172</v>
      </c>
      <c r="D994" t="s">
        <v>56</v>
      </c>
      <c r="E994" t="s">
        <v>85</v>
      </c>
      <c r="F994" t="s">
        <v>27</v>
      </c>
      <c r="G994" t="s">
        <v>191</v>
      </c>
      <c r="H994" s="1">
        <v>45415.372916666667</v>
      </c>
      <c r="I994" s="1">
        <v>45415.574305555558</v>
      </c>
      <c r="J994">
        <v>198</v>
      </c>
      <c r="K994">
        <v>290</v>
      </c>
      <c r="L994">
        <v>1</v>
      </c>
      <c r="M994" t="s">
        <v>22</v>
      </c>
      <c r="N994">
        <v>6</v>
      </c>
      <c r="O994">
        <v>142.84</v>
      </c>
    </row>
    <row r="995" spans="1:15" x14ac:dyDescent="0.35">
      <c r="A995" t="s">
        <v>2173</v>
      </c>
      <c r="B995" t="s">
        <v>31</v>
      </c>
      <c r="C995" t="s">
        <v>2174</v>
      </c>
      <c r="D995" t="s">
        <v>18</v>
      </c>
      <c r="E995" t="s">
        <v>19</v>
      </c>
      <c r="F995" t="s">
        <v>57</v>
      </c>
      <c r="G995" t="s">
        <v>188</v>
      </c>
      <c r="H995" s="1">
        <v>45513.602083333331</v>
      </c>
      <c r="I995" s="1">
        <v>45513.72152777778</v>
      </c>
      <c r="J995">
        <v>73</v>
      </c>
      <c r="K995">
        <v>172</v>
      </c>
      <c r="L995">
        <v>1</v>
      </c>
      <c r="M995" t="s">
        <v>41</v>
      </c>
      <c r="N995">
        <v>4</v>
      </c>
      <c r="O995">
        <v>334.72</v>
      </c>
    </row>
    <row r="996" spans="1:15" x14ac:dyDescent="0.35">
      <c r="A996" t="s">
        <v>2175</v>
      </c>
      <c r="B996" t="s">
        <v>16</v>
      </c>
      <c r="C996" t="s">
        <v>2176</v>
      </c>
      <c r="D996" t="s">
        <v>44</v>
      </c>
      <c r="E996" t="s">
        <v>19</v>
      </c>
      <c r="F996" t="s">
        <v>27</v>
      </c>
      <c r="G996" t="s">
        <v>164</v>
      </c>
      <c r="H996" s="1">
        <v>45611.498611111114</v>
      </c>
      <c r="I996" s="1">
        <v>45611.621527777781</v>
      </c>
      <c r="J996">
        <v>61</v>
      </c>
      <c r="K996">
        <v>177</v>
      </c>
      <c r="L996">
        <v>1</v>
      </c>
      <c r="M996" t="s">
        <v>41</v>
      </c>
      <c r="N996">
        <v>5</v>
      </c>
      <c r="O996">
        <v>111.26</v>
      </c>
    </row>
    <row r="997" spans="1:15" x14ac:dyDescent="0.35">
      <c r="A997" t="s">
        <v>2177</v>
      </c>
      <c r="B997" t="s">
        <v>24</v>
      </c>
      <c r="C997" t="s">
        <v>2178</v>
      </c>
      <c r="D997" t="s">
        <v>44</v>
      </c>
      <c r="E997" t="s">
        <v>19</v>
      </c>
      <c r="F997" t="s">
        <v>20</v>
      </c>
      <c r="G997" t="s">
        <v>754</v>
      </c>
      <c r="H997" s="1">
        <v>45360.436805555553</v>
      </c>
      <c r="I997" s="1">
        <v>45360.652777777781</v>
      </c>
      <c r="J997">
        <v>216</v>
      </c>
      <c r="K997">
        <v>311</v>
      </c>
      <c r="L997">
        <v>1</v>
      </c>
      <c r="M997" t="s">
        <v>29</v>
      </c>
      <c r="N997">
        <v>3</v>
      </c>
      <c r="O997">
        <v>323.11</v>
      </c>
    </row>
    <row r="998" spans="1:15" x14ac:dyDescent="0.35">
      <c r="A998" t="s">
        <v>2179</v>
      </c>
      <c r="B998" t="s">
        <v>63</v>
      </c>
      <c r="C998" t="s">
        <v>2180</v>
      </c>
      <c r="D998" t="s">
        <v>48</v>
      </c>
      <c r="E998" t="s">
        <v>38</v>
      </c>
      <c r="F998" t="s">
        <v>27</v>
      </c>
      <c r="G998" t="s">
        <v>505</v>
      </c>
      <c r="H998" s="1">
        <v>45530.213194444441</v>
      </c>
      <c r="I998" s="1">
        <v>45530.279861111114</v>
      </c>
      <c r="J998">
        <v>49</v>
      </c>
      <c r="K998">
        <v>96</v>
      </c>
      <c r="L998">
        <v>1</v>
      </c>
      <c r="M998" t="s">
        <v>22</v>
      </c>
      <c r="N998">
        <v>3</v>
      </c>
      <c r="O998">
        <v>394.59</v>
      </c>
    </row>
    <row r="999" spans="1:15" x14ac:dyDescent="0.35">
      <c r="A999" t="s">
        <v>2181</v>
      </c>
      <c r="B999" t="s">
        <v>51</v>
      </c>
      <c r="C999" t="s">
        <v>2182</v>
      </c>
      <c r="D999" t="s">
        <v>44</v>
      </c>
      <c r="E999" t="s">
        <v>38</v>
      </c>
      <c r="F999" t="s">
        <v>27</v>
      </c>
      <c r="G999" t="s">
        <v>259</v>
      </c>
      <c r="H999" s="1">
        <v>45581.865972222222</v>
      </c>
      <c r="I999" s="1">
        <v>45581.925694444442</v>
      </c>
      <c r="J999">
        <v>32</v>
      </c>
      <c r="K999">
        <v>86</v>
      </c>
      <c r="L999">
        <v>1</v>
      </c>
      <c r="M999" t="s">
        <v>29</v>
      </c>
      <c r="N999">
        <v>10</v>
      </c>
      <c r="O999">
        <v>469.51</v>
      </c>
    </row>
    <row r="1000" spans="1:15" x14ac:dyDescent="0.35">
      <c r="A1000" t="s">
        <v>2183</v>
      </c>
      <c r="B1000" t="s">
        <v>63</v>
      </c>
      <c r="C1000" t="s">
        <v>2184</v>
      </c>
      <c r="D1000" t="s">
        <v>26</v>
      </c>
      <c r="E1000" t="s">
        <v>19</v>
      </c>
      <c r="F1000" t="s">
        <v>39</v>
      </c>
      <c r="G1000" t="s">
        <v>308</v>
      </c>
      <c r="H1000" s="1">
        <v>45416.401388888888</v>
      </c>
      <c r="I1000" s="1">
        <v>45416.484722222223</v>
      </c>
      <c r="J1000">
        <v>10</v>
      </c>
      <c r="K1000">
        <v>120</v>
      </c>
      <c r="L1000">
        <v>1</v>
      </c>
      <c r="M1000" t="s">
        <v>22</v>
      </c>
      <c r="N1000">
        <v>5</v>
      </c>
      <c r="O1000">
        <v>184.59</v>
      </c>
    </row>
    <row r="1001" spans="1:15" x14ac:dyDescent="0.35">
      <c r="A1001" t="s">
        <v>2185</v>
      </c>
      <c r="B1001" t="s">
        <v>16</v>
      </c>
      <c r="C1001" t="s">
        <v>2186</v>
      </c>
      <c r="D1001" t="s">
        <v>48</v>
      </c>
      <c r="E1001" t="s">
        <v>38</v>
      </c>
      <c r="F1001" t="s">
        <v>39</v>
      </c>
      <c r="G1001" t="s">
        <v>167</v>
      </c>
      <c r="H1001" s="1">
        <v>45575.695833333331</v>
      </c>
      <c r="I1001" s="1">
        <v>45575.757638888892</v>
      </c>
      <c r="J1001">
        <v>16</v>
      </c>
      <c r="K1001">
        <v>89</v>
      </c>
      <c r="L1001">
        <v>1</v>
      </c>
      <c r="M1001" t="s">
        <v>22</v>
      </c>
      <c r="N1001">
        <v>6</v>
      </c>
      <c r="O1001">
        <v>499.94</v>
      </c>
    </row>
    <row r="1002" spans="1:15" x14ac:dyDescent="0.35">
      <c r="A1002" t="s">
        <v>2187</v>
      </c>
      <c r="B1002" t="s">
        <v>16</v>
      </c>
      <c r="C1002" t="s">
        <v>2188</v>
      </c>
      <c r="D1002" t="s">
        <v>48</v>
      </c>
      <c r="E1002" t="s">
        <v>38</v>
      </c>
      <c r="F1002" t="s">
        <v>20</v>
      </c>
      <c r="G1002" t="s">
        <v>321</v>
      </c>
      <c r="H1002" s="1">
        <v>45442.572222222225</v>
      </c>
      <c r="I1002" s="1">
        <v>45442.636111111111</v>
      </c>
      <c r="J1002">
        <v>60</v>
      </c>
      <c r="K1002">
        <v>92</v>
      </c>
      <c r="L1002">
        <v>1</v>
      </c>
      <c r="M1002" t="s">
        <v>22</v>
      </c>
      <c r="N1002">
        <v>3</v>
      </c>
      <c r="O1002">
        <v>239.71</v>
      </c>
    </row>
    <row r="1003" spans="1:15" x14ac:dyDescent="0.35">
      <c r="A1003" t="s">
        <v>2189</v>
      </c>
      <c r="B1003" t="s">
        <v>51</v>
      </c>
      <c r="C1003" t="s">
        <v>2190</v>
      </c>
      <c r="D1003" t="s">
        <v>56</v>
      </c>
      <c r="E1003" t="s">
        <v>33</v>
      </c>
      <c r="F1003" t="s">
        <v>57</v>
      </c>
      <c r="G1003" t="s">
        <v>817</v>
      </c>
      <c r="H1003" s="1">
        <v>45464.490972222222</v>
      </c>
      <c r="I1003" s="1">
        <v>45464.566666666666</v>
      </c>
      <c r="J1003">
        <v>113</v>
      </c>
      <c r="K1003">
        <v>109</v>
      </c>
      <c r="L1003">
        <v>0</v>
      </c>
      <c r="M1003" t="s">
        <v>22</v>
      </c>
      <c r="N1003">
        <v>9</v>
      </c>
      <c r="O1003">
        <v>366.58</v>
      </c>
    </row>
    <row r="1004" spans="1:15" x14ac:dyDescent="0.35">
      <c r="A1004" t="s">
        <v>2191</v>
      </c>
      <c r="B1004" t="s">
        <v>63</v>
      </c>
      <c r="C1004" t="s">
        <v>2192</v>
      </c>
      <c r="D1004" t="s">
        <v>26</v>
      </c>
      <c r="E1004" t="s">
        <v>85</v>
      </c>
      <c r="F1004" t="s">
        <v>20</v>
      </c>
      <c r="G1004" t="s">
        <v>1030</v>
      </c>
      <c r="H1004" s="1">
        <v>45553.802777777775</v>
      </c>
      <c r="I1004" s="1">
        <v>45553.9375</v>
      </c>
      <c r="J1004">
        <v>93</v>
      </c>
      <c r="K1004">
        <v>194</v>
      </c>
      <c r="L1004">
        <v>1</v>
      </c>
      <c r="M1004" t="s">
        <v>22</v>
      </c>
      <c r="N1004">
        <v>2</v>
      </c>
      <c r="O1004">
        <v>279.14</v>
      </c>
    </row>
    <row r="1005" spans="1:15" x14ac:dyDescent="0.35">
      <c r="A1005" t="s">
        <v>2193</v>
      </c>
      <c r="B1005" t="s">
        <v>16</v>
      </c>
      <c r="C1005" t="s">
        <v>2194</v>
      </c>
      <c r="D1005" t="s">
        <v>44</v>
      </c>
      <c r="E1005" t="s">
        <v>19</v>
      </c>
      <c r="F1005" t="s">
        <v>39</v>
      </c>
      <c r="G1005" t="s">
        <v>167</v>
      </c>
      <c r="H1005" s="1">
        <v>45348.986111111109</v>
      </c>
      <c r="I1005" s="1">
        <v>45349.093055555553</v>
      </c>
      <c r="J1005">
        <v>119</v>
      </c>
      <c r="K1005">
        <v>154</v>
      </c>
      <c r="L1005">
        <v>1</v>
      </c>
      <c r="M1005" t="s">
        <v>29</v>
      </c>
      <c r="N1005">
        <v>8</v>
      </c>
      <c r="O1005">
        <v>237.58</v>
      </c>
    </row>
    <row r="1006" spans="1:15" x14ac:dyDescent="0.35">
      <c r="A1006" t="s">
        <v>2195</v>
      </c>
      <c r="B1006" t="s">
        <v>24</v>
      </c>
      <c r="C1006" t="s">
        <v>2196</v>
      </c>
      <c r="D1006" t="s">
        <v>44</v>
      </c>
      <c r="E1006" t="s">
        <v>33</v>
      </c>
      <c r="F1006" t="s">
        <v>20</v>
      </c>
      <c r="G1006" t="s">
        <v>76</v>
      </c>
      <c r="H1006" s="1">
        <v>45428.918055555558</v>
      </c>
      <c r="I1006" s="1">
        <v>45428.993055555555</v>
      </c>
      <c r="J1006">
        <v>88</v>
      </c>
      <c r="K1006">
        <v>108</v>
      </c>
      <c r="L1006">
        <v>1</v>
      </c>
      <c r="M1006" t="s">
        <v>22</v>
      </c>
      <c r="N1006">
        <v>2</v>
      </c>
      <c r="O1006">
        <v>224.19</v>
      </c>
    </row>
    <row r="1007" spans="1:15" x14ac:dyDescent="0.35">
      <c r="A1007" t="s">
        <v>2197</v>
      </c>
      <c r="B1007" t="s">
        <v>16</v>
      </c>
      <c r="C1007" t="s">
        <v>2198</v>
      </c>
      <c r="D1007" t="s">
        <v>18</v>
      </c>
      <c r="E1007" t="s">
        <v>19</v>
      </c>
      <c r="F1007" t="s">
        <v>34</v>
      </c>
      <c r="G1007" t="s">
        <v>916</v>
      </c>
      <c r="H1007" s="1">
        <v>45407.402777777781</v>
      </c>
      <c r="I1007" s="1">
        <v>45407.511805555558</v>
      </c>
      <c r="J1007">
        <v>132</v>
      </c>
      <c r="K1007">
        <v>157</v>
      </c>
      <c r="L1007">
        <v>1</v>
      </c>
      <c r="M1007" t="s">
        <v>22</v>
      </c>
      <c r="N1007">
        <v>1</v>
      </c>
      <c r="O1007">
        <v>480.96</v>
      </c>
    </row>
    <row r="1008" spans="1:15" x14ac:dyDescent="0.35">
      <c r="A1008" t="s">
        <v>2199</v>
      </c>
      <c r="B1008" t="s">
        <v>24</v>
      </c>
      <c r="C1008" t="s">
        <v>2200</v>
      </c>
      <c r="D1008" t="s">
        <v>48</v>
      </c>
      <c r="E1008" t="s">
        <v>85</v>
      </c>
      <c r="F1008" t="s">
        <v>34</v>
      </c>
      <c r="G1008" t="s">
        <v>335</v>
      </c>
      <c r="H1008" s="1">
        <v>45458.201388888891</v>
      </c>
      <c r="I1008" s="1">
        <v>45458.206250000003</v>
      </c>
      <c r="J1008">
        <v>12</v>
      </c>
      <c r="K1008">
        <v>7</v>
      </c>
      <c r="L1008">
        <v>0</v>
      </c>
      <c r="M1008" t="s">
        <v>41</v>
      </c>
      <c r="N1008">
        <v>4</v>
      </c>
      <c r="O1008">
        <v>306.25</v>
      </c>
    </row>
    <row r="1009" spans="1:15" x14ac:dyDescent="0.35">
      <c r="A1009" t="s">
        <v>2201</v>
      </c>
      <c r="B1009" t="s">
        <v>31</v>
      </c>
      <c r="C1009" t="s">
        <v>2202</v>
      </c>
      <c r="D1009" t="s">
        <v>18</v>
      </c>
      <c r="E1009" t="s">
        <v>38</v>
      </c>
      <c r="F1009" t="s">
        <v>34</v>
      </c>
      <c r="G1009" t="s">
        <v>842</v>
      </c>
      <c r="H1009" s="1">
        <v>45586.740277777775</v>
      </c>
      <c r="I1009" s="1">
        <v>45586.902777777781</v>
      </c>
      <c r="J1009">
        <v>196</v>
      </c>
      <c r="K1009">
        <v>234</v>
      </c>
      <c r="L1009">
        <v>1</v>
      </c>
      <c r="M1009" t="s">
        <v>41</v>
      </c>
      <c r="N1009">
        <v>8</v>
      </c>
      <c r="O1009">
        <v>234.22</v>
      </c>
    </row>
    <row r="1010" spans="1:15" x14ac:dyDescent="0.35">
      <c r="A1010" t="s">
        <v>2203</v>
      </c>
      <c r="B1010" t="s">
        <v>63</v>
      </c>
      <c r="C1010" t="s">
        <v>2204</v>
      </c>
      <c r="D1010" t="s">
        <v>26</v>
      </c>
      <c r="E1010" t="s">
        <v>85</v>
      </c>
      <c r="F1010" t="s">
        <v>34</v>
      </c>
      <c r="G1010" t="s">
        <v>462</v>
      </c>
      <c r="H1010" s="1">
        <v>45342.520833333336</v>
      </c>
      <c r="I1010" s="1">
        <v>45342.60833333333</v>
      </c>
      <c r="J1010">
        <v>64</v>
      </c>
      <c r="K1010">
        <v>126</v>
      </c>
      <c r="L1010">
        <v>1</v>
      </c>
      <c r="M1010" t="s">
        <v>41</v>
      </c>
      <c r="N1010">
        <v>2</v>
      </c>
      <c r="O1010">
        <v>440.42</v>
      </c>
    </row>
    <row r="1011" spans="1:15" x14ac:dyDescent="0.35">
      <c r="A1011" t="s">
        <v>2205</v>
      </c>
      <c r="B1011" t="s">
        <v>31</v>
      </c>
      <c r="C1011" t="s">
        <v>2206</v>
      </c>
      <c r="D1011" t="s">
        <v>18</v>
      </c>
      <c r="E1011" t="s">
        <v>85</v>
      </c>
      <c r="F1011" t="s">
        <v>27</v>
      </c>
      <c r="G1011" t="s">
        <v>650</v>
      </c>
      <c r="H1011" s="1">
        <v>45537.054166666669</v>
      </c>
      <c r="I1011" s="1">
        <v>45537.243055555555</v>
      </c>
      <c r="J1011">
        <v>225</v>
      </c>
      <c r="K1011">
        <v>272</v>
      </c>
      <c r="L1011">
        <v>1</v>
      </c>
      <c r="M1011" t="s">
        <v>22</v>
      </c>
      <c r="N1011">
        <v>5</v>
      </c>
      <c r="O1011">
        <v>494</v>
      </c>
    </row>
    <row r="1012" spans="1:15" x14ac:dyDescent="0.35">
      <c r="A1012" t="s">
        <v>2207</v>
      </c>
      <c r="B1012" t="s">
        <v>31</v>
      </c>
      <c r="C1012" t="s">
        <v>2208</v>
      </c>
      <c r="D1012" t="s">
        <v>26</v>
      </c>
      <c r="E1012" t="s">
        <v>38</v>
      </c>
      <c r="F1012" t="s">
        <v>27</v>
      </c>
      <c r="G1012" t="s">
        <v>397</v>
      </c>
      <c r="H1012" s="1">
        <v>45306.786111111112</v>
      </c>
      <c r="I1012" s="1">
        <v>45306.883333333331</v>
      </c>
      <c r="J1012">
        <v>85</v>
      </c>
      <c r="K1012">
        <v>140</v>
      </c>
      <c r="L1012">
        <v>1</v>
      </c>
      <c r="M1012" t="s">
        <v>41</v>
      </c>
      <c r="N1012">
        <v>9</v>
      </c>
      <c r="O1012">
        <v>191.9</v>
      </c>
    </row>
    <row r="1013" spans="1:15" x14ac:dyDescent="0.35">
      <c r="A1013" t="s">
        <v>2209</v>
      </c>
      <c r="B1013" t="s">
        <v>51</v>
      </c>
      <c r="C1013" t="s">
        <v>2210</v>
      </c>
      <c r="D1013" t="s">
        <v>48</v>
      </c>
      <c r="E1013" t="s">
        <v>38</v>
      </c>
      <c r="F1013" t="s">
        <v>57</v>
      </c>
      <c r="G1013" t="s">
        <v>445</v>
      </c>
      <c r="H1013" s="1">
        <v>45399.436111111114</v>
      </c>
      <c r="I1013" s="1">
        <v>45399.470138888886</v>
      </c>
      <c r="J1013">
        <v>39</v>
      </c>
      <c r="K1013">
        <v>49</v>
      </c>
      <c r="L1013">
        <v>1</v>
      </c>
      <c r="M1013" t="s">
        <v>29</v>
      </c>
      <c r="N1013">
        <v>8</v>
      </c>
      <c r="O1013">
        <v>397.62</v>
      </c>
    </row>
    <row r="1014" spans="1:15" x14ac:dyDescent="0.35">
      <c r="A1014" t="s">
        <v>2211</v>
      </c>
      <c r="B1014" t="s">
        <v>63</v>
      </c>
      <c r="C1014" t="s">
        <v>2212</v>
      </c>
      <c r="D1014" t="s">
        <v>18</v>
      </c>
      <c r="E1014" t="s">
        <v>19</v>
      </c>
      <c r="F1014" t="s">
        <v>34</v>
      </c>
      <c r="G1014" t="s">
        <v>231</v>
      </c>
      <c r="H1014" s="1">
        <v>45380.824305555558</v>
      </c>
      <c r="I1014" s="1">
        <v>45380.933333333334</v>
      </c>
      <c r="J1014">
        <v>139</v>
      </c>
      <c r="K1014">
        <v>157</v>
      </c>
      <c r="L1014">
        <v>1</v>
      </c>
      <c r="M1014" t="s">
        <v>29</v>
      </c>
      <c r="N1014">
        <v>1</v>
      </c>
      <c r="O1014">
        <v>465.73</v>
      </c>
    </row>
    <row r="1015" spans="1:15" x14ac:dyDescent="0.35">
      <c r="A1015" t="s">
        <v>2213</v>
      </c>
      <c r="B1015" t="s">
        <v>16</v>
      </c>
      <c r="C1015" t="s">
        <v>2214</v>
      </c>
      <c r="D1015" t="s">
        <v>18</v>
      </c>
      <c r="E1015" t="s">
        <v>85</v>
      </c>
      <c r="F1015" t="s">
        <v>34</v>
      </c>
      <c r="G1015" t="s">
        <v>140</v>
      </c>
      <c r="H1015" s="1">
        <v>45430.019444444442</v>
      </c>
      <c r="I1015" s="1">
        <v>45430.142361111109</v>
      </c>
      <c r="J1015">
        <v>101</v>
      </c>
      <c r="K1015">
        <v>177</v>
      </c>
      <c r="L1015">
        <v>1</v>
      </c>
      <c r="M1015" t="s">
        <v>22</v>
      </c>
      <c r="N1015">
        <v>10</v>
      </c>
      <c r="O1015">
        <v>161.16</v>
      </c>
    </row>
    <row r="1016" spans="1:15" x14ac:dyDescent="0.35">
      <c r="A1016" t="s">
        <v>2215</v>
      </c>
      <c r="B1016" t="s">
        <v>31</v>
      </c>
      <c r="C1016" t="s">
        <v>2216</v>
      </c>
      <c r="D1016" t="s">
        <v>18</v>
      </c>
      <c r="E1016" t="s">
        <v>19</v>
      </c>
      <c r="F1016" t="s">
        <v>20</v>
      </c>
      <c r="G1016" t="s">
        <v>152</v>
      </c>
      <c r="H1016" s="1">
        <v>45415.761805555558</v>
      </c>
      <c r="I1016" s="1">
        <v>45415.825694444444</v>
      </c>
      <c r="J1016">
        <v>67</v>
      </c>
      <c r="K1016">
        <v>92</v>
      </c>
      <c r="L1016">
        <v>1</v>
      </c>
      <c r="M1016" t="s">
        <v>41</v>
      </c>
      <c r="N1016">
        <v>2</v>
      </c>
      <c r="O1016">
        <v>403.87</v>
      </c>
    </row>
    <row r="1017" spans="1:15" x14ac:dyDescent="0.35">
      <c r="A1017" t="s">
        <v>2217</v>
      </c>
      <c r="B1017" t="s">
        <v>51</v>
      </c>
      <c r="C1017" t="s">
        <v>2218</v>
      </c>
      <c r="D1017" t="s">
        <v>44</v>
      </c>
      <c r="E1017" t="s">
        <v>33</v>
      </c>
      <c r="F1017" t="s">
        <v>34</v>
      </c>
      <c r="G1017" t="s">
        <v>143</v>
      </c>
      <c r="H1017" s="1">
        <v>45655.556944444441</v>
      </c>
      <c r="I1017" s="1">
        <v>45655.720833333333</v>
      </c>
      <c r="J1017">
        <v>133</v>
      </c>
      <c r="K1017">
        <v>236</v>
      </c>
      <c r="L1017">
        <v>1</v>
      </c>
      <c r="M1017" t="s">
        <v>22</v>
      </c>
      <c r="N1017">
        <v>1</v>
      </c>
      <c r="O1017">
        <v>384.72</v>
      </c>
    </row>
    <row r="1018" spans="1:15" x14ac:dyDescent="0.35">
      <c r="A1018" t="s">
        <v>2219</v>
      </c>
      <c r="B1018" t="s">
        <v>24</v>
      </c>
      <c r="C1018" t="s">
        <v>2220</v>
      </c>
      <c r="D1018" t="s">
        <v>44</v>
      </c>
      <c r="E1018" t="s">
        <v>19</v>
      </c>
      <c r="F1018" t="s">
        <v>57</v>
      </c>
      <c r="G1018" t="s">
        <v>79</v>
      </c>
      <c r="H1018" s="1">
        <v>45534.615277777775</v>
      </c>
      <c r="I1018" s="1">
        <v>45534.786805555559</v>
      </c>
      <c r="J1018">
        <v>196</v>
      </c>
      <c r="K1018">
        <v>247</v>
      </c>
      <c r="L1018">
        <v>1</v>
      </c>
      <c r="M1018" t="s">
        <v>41</v>
      </c>
      <c r="N1018">
        <v>3</v>
      </c>
      <c r="O1018">
        <v>148.99</v>
      </c>
    </row>
    <row r="1019" spans="1:15" x14ac:dyDescent="0.35">
      <c r="A1019" t="s">
        <v>2221</v>
      </c>
      <c r="B1019" t="s">
        <v>16</v>
      </c>
      <c r="C1019" t="s">
        <v>2222</v>
      </c>
      <c r="D1019" t="s">
        <v>56</v>
      </c>
      <c r="E1019" t="s">
        <v>85</v>
      </c>
      <c r="F1019" t="s">
        <v>39</v>
      </c>
      <c r="G1019" t="s">
        <v>82</v>
      </c>
      <c r="H1019" s="1">
        <v>45354.379166666666</v>
      </c>
      <c r="I1019" s="1">
        <v>45354.468055555553</v>
      </c>
      <c r="J1019">
        <v>84</v>
      </c>
      <c r="K1019">
        <v>128</v>
      </c>
      <c r="L1019">
        <v>1</v>
      </c>
      <c r="M1019" t="s">
        <v>22</v>
      </c>
      <c r="N1019">
        <v>9</v>
      </c>
      <c r="O1019">
        <v>480.76</v>
      </c>
    </row>
    <row r="1020" spans="1:15" x14ac:dyDescent="0.35">
      <c r="A1020" t="s">
        <v>2223</v>
      </c>
      <c r="B1020" t="s">
        <v>16</v>
      </c>
      <c r="C1020" t="s">
        <v>2224</v>
      </c>
      <c r="D1020" t="s">
        <v>44</v>
      </c>
      <c r="E1020" t="s">
        <v>19</v>
      </c>
      <c r="F1020" t="s">
        <v>34</v>
      </c>
      <c r="G1020" t="s">
        <v>700</v>
      </c>
      <c r="H1020" s="1">
        <v>45365.15902777778</v>
      </c>
      <c r="I1020" s="1">
        <v>45365.208333333336</v>
      </c>
      <c r="J1020">
        <v>62</v>
      </c>
      <c r="K1020">
        <v>71</v>
      </c>
      <c r="L1020">
        <v>1</v>
      </c>
      <c r="M1020" t="s">
        <v>22</v>
      </c>
      <c r="N1020">
        <v>2</v>
      </c>
      <c r="O1020">
        <v>343.32</v>
      </c>
    </row>
    <row r="1021" spans="1:15" x14ac:dyDescent="0.35">
      <c r="A1021" t="s">
        <v>2225</v>
      </c>
      <c r="B1021" t="s">
        <v>63</v>
      </c>
      <c r="C1021" t="s">
        <v>2226</v>
      </c>
      <c r="D1021" t="s">
        <v>56</v>
      </c>
      <c r="E1021" t="s">
        <v>38</v>
      </c>
      <c r="F1021" t="s">
        <v>20</v>
      </c>
      <c r="G1021" t="s">
        <v>222</v>
      </c>
      <c r="H1021" s="1">
        <v>45499.428472222222</v>
      </c>
      <c r="I1021" s="1">
        <v>45499.582638888889</v>
      </c>
      <c r="J1021">
        <v>217</v>
      </c>
      <c r="K1021">
        <v>222</v>
      </c>
      <c r="L1021">
        <v>1</v>
      </c>
      <c r="M1021" t="s">
        <v>22</v>
      </c>
      <c r="N1021">
        <v>6</v>
      </c>
      <c r="O1021">
        <v>278.19</v>
      </c>
    </row>
    <row r="1022" spans="1:15" x14ac:dyDescent="0.35">
      <c r="A1022" t="s">
        <v>2227</v>
      </c>
      <c r="B1022" t="s">
        <v>31</v>
      </c>
      <c r="C1022" t="s">
        <v>2228</v>
      </c>
      <c r="D1022" t="s">
        <v>56</v>
      </c>
      <c r="E1022" t="s">
        <v>33</v>
      </c>
      <c r="F1022" t="s">
        <v>57</v>
      </c>
      <c r="G1022" t="s">
        <v>265</v>
      </c>
      <c r="H1022" s="1">
        <v>45293.013888888891</v>
      </c>
      <c r="I1022" s="1">
        <v>45293.125</v>
      </c>
      <c r="J1022">
        <v>83</v>
      </c>
      <c r="K1022">
        <v>160</v>
      </c>
      <c r="L1022">
        <v>1</v>
      </c>
      <c r="M1022" t="s">
        <v>41</v>
      </c>
      <c r="N1022">
        <v>8</v>
      </c>
      <c r="O1022">
        <v>158.96</v>
      </c>
    </row>
    <row r="1023" spans="1:15" x14ac:dyDescent="0.35">
      <c r="A1023" t="s">
        <v>2229</v>
      </c>
      <c r="B1023" t="s">
        <v>24</v>
      </c>
      <c r="C1023" t="s">
        <v>2230</v>
      </c>
      <c r="D1023" t="s">
        <v>18</v>
      </c>
      <c r="E1023" t="s">
        <v>33</v>
      </c>
      <c r="F1023" t="s">
        <v>34</v>
      </c>
      <c r="G1023" t="s">
        <v>231</v>
      </c>
      <c r="H1023" s="1">
        <v>45490.225694444445</v>
      </c>
      <c r="I1023" s="1">
        <v>45490.297222222223</v>
      </c>
      <c r="J1023">
        <v>15</v>
      </c>
      <c r="K1023">
        <v>103</v>
      </c>
      <c r="L1023">
        <v>1</v>
      </c>
      <c r="M1023" t="s">
        <v>29</v>
      </c>
      <c r="N1023">
        <v>3</v>
      </c>
      <c r="O1023">
        <v>412.72</v>
      </c>
    </row>
    <row r="1024" spans="1:15" x14ac:dyDescent="0.35">
      <c r="A1024" t="s">
        <v>2231</v>
      </c>
      <c r="B1024" t="s">
        <v>51</v>
      </c>
      <c r="C1024" t="s">
        <v>2232</v>
      </c>
      <c r="D1024" t="s">
        <v>56</v>
      </c>
      <c r="E1024" t="s">
        <v>85</v>
      </c>
      <c r="F1024" t="s">
        <v>57</v>
      </c>
      <c r="G1024" t="s">
        <v>222</v>
      </c>
      <c r="H1024" s="1">
        <v>45620.086805555555</v>
      </c>
      <c r="I1024" s="1">
        <v>45620.252083333333</v>
      </c>
      <c r="J1024">
        <v>124</v>
      </c>
      <c r="K1024">
        <v>238</v>
      </c>
      <c r="L1024">
        <v>1</v>
      </c>
      <c r="M1024" t="s">
        <v>41</v>
      </c>
      <c r="N1024">
        <v>7</v>
      </c>
      <c r="O1024">
        <v>193.92</v>
      </c>
    </row>
    <row r="1025" spans="1:15" x14ac:dyDescent="0.35">
      <c r="A1025" t="s">
        <v>2233</v>
      </c>
      <c r="B1025" t="s">
        <v>31</v>
      </c>
      <c r="C1025" t="s">
        <v>2234</v>
      </c>
      <c r="D1025" t="s">
        <v>48</v>
      </c>
      <c r="E1025" t="s">
        <v>33</v>
      </c>
      <c r="F1025" t="s">
        <v>57</v>
      </c>
      <c r="G1025" t="s">
        <v>897</v>
      </c>
      <c r="H1025" s="1">
        <v>45554.731944444444</v>
      </c>
      <c r="I1025" s="1">
        <v>45554.806250000001</v>
      </c>
      <c r="J1025">
        <v>46</v>
      </c>
      <c r="K1025">
        <v>107</v>
      </c>
      <c r="L1025">
        <v>1</v>
      </c>
      <c r="M1025" t="s">
        <v>41</v>
      </c>
      <c r="N1025">
        <v>6</v>
      </c>
      <c r="O1025">
        <v>391.9</v>
      </c>
    </row>
    <row r="1026" spans="1:15" x14ac:dyDescent="0.35">
      <c r="A1026" t="s">
        <v>2235</v>
      </c>
      <c r="B1026" t="s">
        <v>24</v>
      </c>
      <c r="C1026" t="s">
        <v>2236</v>
      </c>
      <c r="D1026" t="s">
        <v>56</v>
      </c>
      <c r="E1026" t="s">
        <v>38</v>
      </c>
      <c r="F1026" t="s">
        <v>57</v>
      </c>
      <c r="G1026" t="s">
        <v>82</v>
      </c>
      <c r="H1026" s="1">
        <v>45305.129861111112</v>
      </c>
      <c r="I1026" s="1">
        <v>45305.277777777781</v>
      </c>
      <c r="J1026">
        <v>154</v>
      </c>
      <c r="K1026">
        <v>213</v>
      </c>
      <c r="L1026">
        <v>1</v>
      </c>
      <c r="M1026" t="s">
        <v>41</v>
      </c>
      <c r="N1026">
        <v>10</v>
      </c>
      <c r="O1026">
        <v>359.48</v>
      </c>
    </row>
    <row r="1027" spans="1:15" x14ac:dyDescent="0.35">
      <c r="A1027" t="s">
        <v>2237</v>
      </c>
      <c r="B1027" t="s">
        <v>16</v>
      </c>
      <c r="C1027" t="s">
        <v>2238</v>
      </c>
      <c r="D1027" t="s">
        <v>44</v>
      </c>
      <c r="E1027" t="s">
        <v>33</v>
      </c>
      <c r="F1027" t="s">
        <v>27</v>
      </c>
      <c r="G1027" t="s">
        <v>167</v>
      </c>
      <c r="H1027" s="1">
        <v>45522.088194444441</v>
      </c>
      <c r="I1027" s="1">
        <v>45522.206250000003</v>
      </c>
      <c r="J1027">
        <v>117</v>
      </c>
      <c r="K1027">
        <v>170</v>
      </c>
      <c r="L1027">
        <v>1</v>
      </c>
      <c r="M1027" t="s">
        <v>22</v>
      </c>
      <c r="N1027">
        <v>1</v>
      </c>
      <c r="O1027">
        <v>289.2</v>
      </c>
    </row>
    <row r="1028" spans="1:15" x14ac:dyDescent="0.35">
      <c r="A1028" t="s">
        <v>2239</v>
      </c>
      <c r="B1028" t="s">
        <v>16</v>
      </c>
      <c r="C1028" t="s">
        <v>2240</v>
      </c>
      <c r="D1028" t="s">
        <v>26</v>
      </c>
      <c r="E1028" t="s">
        <v>19</v>
      </c>
      <c r="F1028" t="s">
        <v>20</v>
      </c>
      <c r="G1028" t="s">
        <v>288</v>
      </c>
      <c r="H1028" s="1">
        <v>45328.113194444442</v>
      </c>
      <c r="I1028" s="1">
        <v>45328.230555555558</v>
      </c>
      <c r="J1028">
        <v>75</v>
      </c>
      <c r="K1028">
        <v>169</v>
      </c>
      <c r="L1028">
        <v>1</v>
      </c>
      <c r="M1028" t="s">
        <v>29</v>
      </c>
      <c r="N1028">
        <v>7</v>
      </c>
      <c r="O1028">
        <v>399.76</v>
      </c>
    </row>
    <row r="1029" spans="1:15" x14ac:dyDescent="0.35">
      <c r="A1029" t="s">
        <v>2241</v>
      </c>
      <c r="B1029" t="s">
        <v>16</v>
      </c>
      <c r="C1029" t="s">
        <v>2242</v>
      </c>
      <c r="D1029" t="s">
        <v>56</v>
      </c>
      <c r="E1029" t="s">
        <v>38</v>
      </c>
      <c r="F1029" t="s">
        <v>20</v>
      </c>
      <c r="G1029" t="s">
        <v>132</v>
      </c>
      <c r="H1029" s="1">
        <v>45520.694444444445</v>
      </c>
      <c r="I1029" s="1">
        <v>45520.791666666664</v>
      </c>
      <c r="J1029">
        <v>141</v>
      </c>
      <c r="K1029">
        <v>140</v>
      </c>
      <c r="L1029">
        <v>0</v>
      </c>
      <c r="M1029" t="s">
        <v>29</v>
      </c>
      <c r="N1029">
        <v>4</v>
      </c>
      <c r="O1029">
        <v>323.69</v>
      </c>
    </row>
    <row r="1030" spans="1:15" x14ac:dyDescent="0.35">
      <c r="A1030" t="s">
        <v>2243</v>
      </c>
      <c r="B1030" t="s">
        <v>24</v>
      </c>
      <c r="C1030" t="s">
        <v>2244</v>
      </c>
      <c r="D1030" t="s">
        <v>44</v>
      </c>
      <c r="E1030" t="s">
        <v>85</v>
      </c>
      <c r="F1030" t="s">
        <v>39</v>
      </c>
      <c r="G1030" t="s">
        <v>123</v>
      </c>
      <c r="H1030" s="1">
        <v>45351.802777777775</v>
      </c>
      <c r="I1030" s="1">
        <v>45351.913888888892</v>
      </c>
      <c r="J1030">
        <v>145</v>
      </c>
      <c r="K1030">
        <v>160</v>
      </c>
      <c r="L1030">
        <v>1</v>
      </c>
      <c r="M1030" t="s">
        <v>41</v>
      </c>
      <c r="N1030">
        <v>3</v>
      </c>
      <c r="O1030">
        <v>271.73</v>
      </c>
    </row>
    <row r="1031" spans="1:15" x14ac:dyDescent="0.35">
      <c r="A1031" t="s">
        <v>2245</v>
      </c>
      <c r="B1031" t="s">
        <v>31</v>
      </c>
      <c r="C1031" t="s">
        <v>2246</v>
      </c>
      <c r="D1031" t="s">
        <v>26</v>
      </c>
      <c r="E1031" t="s">
        <v>33</v>
      </c>
      <c r="F1031" t="s">
        <v>57</v>
      </c>
      <c r="G1031" t="s">
        <v>691</v>
      </c>
      <c r="H1031" s="1">
        <v>45576.709027777775</v>
      </c>
      <c r="I1031" s="1">
        <v>45576.852083333331</v>
      </c>
      <c r="J1031">
        <v>165</v>
      </c>
      <c r="K1031">
        <v>206</v>
      </c>
      <c r="L1031">
        <v>1</v>
      </c>
      <c r="M1031" t="s">
        <v>41</v>
      </c>
      <c r="N1031">
        <v>6</v>
      </c>
      <c r="O1031">
        <v>197.93</v>
      </c>
    </row>
    <row r="1032" spans="1:15" x14ac:dyDescent="0.35">
      <c r="A1032" t="s">
        <v>2247</v>
      </c>
      <c r="B1032" t="s">
        <v>51</v>
      </c>
      <c r="C1032" t="s">
        <v>2248</v>
      </c>
      <c r="D1032" t="s">
        <v>18</v>
      </c>
      <c r="E1032" t="s">
        <v>33</v>
      </c>
      <c r="F1032" t="s">
        <v>34</v>
      </c>
      <c r="G1032" t="s">
        <v>749</v>
      </c>
      <c r="H1032" s="1">
        <v>45293.467361111114</v>
      </c>
      <c r="I1032" s="1">
        <v>45293.70208333333</v>
      </c>
      <c r="J1032">
        <v>232</v>
      </c>
      <c r="K1032">
        <v>338</v>
      </c>
      <c r="L1032">
        <v>1</v>
      </c>
      <c r="M1032" t="s">
        <v>22</v>
      </c>
      <c r="N1032">
        <v>10</v>
      </c>
      <c r="O1032">
        <v>104.74</v>
      </c>
    </row>
    <row r="1033" spans="1:15" x14ac:dyDescent="0.35">
      <c r="A1033" t="s">
        <v>2249</v>
      </c>
      <c r="B1033" t="s">
        <v>51</v>
      </c>
      <c r="C1033" t="s">
        <v>2250</v>
      </c>
      <c r="D1033" t="s">
        <v>48</v>
      </c>
      <c r="E1033" t="s">
        <v>85</v>
      </c>
      <c r="F1033" t="s">
        <v>27</v>
      </c>
      <c r="G1033" t="s">
        <v>173</v>
      </c>
      <c r="H1033" s="1">
        <v>45328.602777777778</v>
      </c>
      <c r="I1033" s="1">
        <v>45328.768750000003</v>
      </c>
      <c r="J1033">
        <v>186</v>
      </c>
      <c r="K1033">
        <v>239</v>
      </c>
      <c r="L1033">
        <v>1</v>
      </c>
      <c r="M1033" t="s">
        <v>41</v>
      </c>
      <c r="N1033">
        <v>4</v>
      </c>
      <c r="O1033">
        <v>127.46</v>
      </c>
    </row>
    <row r="1034" spans="1:15" x14ac:dyDescent="0.35">
      <c r="A1034" t="s">
        <v>2251</v>
      </c>
      <c r="B1034" t="s">
        <v>31</v>
      </c>
      <c r="C1034" t="s">
        <v>2252</v>
      </c>
      <c r="D1034" t="s">
        <v>26</v>
      </c>
      <c r="E1034" t="s">
        <v>85</v>
      </c>
      <c r="F1034" t="s">
        <v>27</v>
      </c>
      <c r="G1034" t="s">
        <v>129</v>
      </c>
      <c r="H1034" s="1">
        <v>45637.297222222223</v>
      </c>
      <c r="I1034" s="1">
        <v>45637.337500000001</v>
      </c>
      <c r="J1034">
        <v>55</v>
      </c>
      <c r="K1034">
        <v>58</v>
      </c>
      <c r="L1034">
        <v>1</v>
      </c>
      <c r="M1034" t="s">
        <v>29</v>
      </c>
      <c r="N1034">
        <v>9</v>
      </c>
      <c r="O1034">
        <v>151.28</v>
      </c>
    </row>
    <row r="1035" spans="1:15" x14ac:dyDescent="0.35">
      <c r="A1035" t="s">
        <v>2253</v>
      </c>
      <c r="B1035" t="s">
        <v>24</v>
      </c>
      <c r="C1035" t="s">
        <v>2254</v>
      </c>
      <c r="D1035" t="s">
        <v>56</v>
      </c>
      <c r="E1035" t="s">
        <v>38</v>
      </c>
      <c r="F1035" t="s">
        <v>20</v>
      </c>
      <c r="G1035" t="s">
        <v>594</v>
      </c>
      <c r="H1035" s="1">
        <v>45620.979861111111</v>
      </c>
      <c r="I1035" s="1">
        <v>45621.088194444441</v>
      </c>
      <c r="J1035">
        <v>156</v>
      </c>
      <c r="K1035">
        <v>156</v>
      </c>
      <c r="L1035">
        <v>0</v>
      </c>
      <c r="M1035" t="s">
        <v>41</v>
      </c>
      <c r="N1035">
        <v>8</v>
      </c>
      <c r="O1035">
        <v>216.85</v>
      </c>
    </row>
    <row r="1036" spans="1:15" x14ac:dyDescent="0.35">
      <c r="A1036" t="s">
        <v>2255</v>
      </c>
      <c r="B1036" t="s">
        <v>31</v>
      </c>
      <c r="C1036" t="s">
        <v>2256</v>
      </c>
      <c r="D1036" t="s">
        <v>56</v>
      </c>
      <c r="E1036" t="s">
        <v>33</v>
      </c>
      <c r="F1036" t="s">
        <v>39</v>
      </c>
      <c r="G1036" t="s">
        <v>681</v>
      </c>
      <c r="H1036" s="1">
        <v>45490.890277777777</v>
      </c>
      <c r="I1036" s="1">
        <v>45490.906944444447</v>
      </c>
      <c r="J1036">
        <v>13</v>
      </c>
      <c r="K1036">
        <v>24</v>
      </c>
      <c r="L1036">
        <v>1</v>
      </c>
      <c r="M1036" t="s">
        <v>29</v>
      </c>
      <c r="N1036">
        <v>9</v>
      </c>
      <c r="O1036">
        <v>323.92</v>
      </c>
    </row>
    <row r="1037" spans="1:15" x14ac:dyDescent="0.35">
      <c r="A1037" t="s">
        <v>2257</v>
      </c>
      <c r="B1037" t="s">
        <v>51</v>
      </c>
      <c r="C1037" t="s">
        <v>2258</v>
      </c>
      <c r="D1037" t="s">
        <v>26</v>
      </c>
      <c r="E1037" t="s">
        <v>85</v>
      </c>
      <c r="F1037" t="s">
        <v>27</v>
      </c>
      <c r="G1037" t="s">
        <v>170</v>
      </c>
      <c r="H1037" s="1">
        <v>45382.127083333333</v>
      </c>
      <c r="I1037" s="1">
        <v>45382.163888888892</v>
      </c>
      <c r="J1037">
        <v>13</v>
      </c>
      <c r="K1037">
        <v>53</v>
      </c>
      <c r="L1037">
        <v>1</v>
      </c>
      <c r="M1037" t="s">
        <v>29</v>
      </c>
      <c r="N1037">
        <v>5</v>
      </c>
      <c r="O1037">
        <v>296.62</v>
      </c>
    </row>
    <row r="1038" spans="1:15" x14ac:dyDescent="0.35">
      <c r="A1038" t="s">
        <v>2259</v>
      </c>
      <c r="B1038" t="s">
        <v>31</v>
      </c>
      <c r="C1038" t="s">
        <v>2260</v>
      </c>
      <c r="D1038" t="s">
        <v>26</v>
      </c>
      <c r="E1038" t="s">
        <v>33</v>
      </c>
      <c r="F1038" t="s">
        <v>27</v>
      </c>
      <c r="G1038" t="s">
        <v>225</v>
      </c>
      <c r="H1038" s="1">
        <v>45630.294444444444</v>
      </c>
      <c r="I1038" s="1">
        <v>45630.457638888889</v>
      </c>
      <c r="J1038">
        <v>191</v>
      </c>
      <c r="K1038">
        <v>235</v>
      </c>
      <c r="L1038">
        <v>1</v>
      </c>
      <c r="M1038" t="s">
        <v>29</v>
      </c>
      <c r="N1038">
        <v>4</v>
      </c>
      <c r="O1038">
        <v>461.07</v>
      </c>
    </row>
    <row r="1039" spans="1:15" x14ac:dyDescent="0.35">
      <c r="A1039" t="s">
        <v>2261</v>
      </c>
      <c r="B1039" t="s">
        <v>31</v>
      </c>
      <c r="C1039" t="s">
        <v>2262</v>
      </c>
      <c r="D1039" t="s">
        <v>48</v>
      </c>
      <c r="E1039" t="s">
        <v>85</v>
      </c>
      <c r="F1039" t="s">
        <v>27</v>
      </c>
      <c r="G1039" t="s">
        <v>456</v>
      </c>
      <c r="H1039" s="1">
        <v>45357.038194444445</v>
      </c>
      <c r="I1039" s="1">
        <v>45357.117361111108</v>
      </c>
      <c r="J1039">
        <v>100</v>
      </c>
      <c r="K1039">
        <v>114</v>
      </c>
      <c r="L1039">
        <v>1</v>
      </c>
      <c r="M1039" t="s">
        <v>41</v>
      </c>
      <c r="N1039">
        <v>4</v>
      </c>
      <c r="O1039">
        <v>364.6</v>
      </c>
    </row>
    <row r="1040" spans="1:15" x14ac:dyDescent="0.35">
      <c r="A1040" t="s">
        <v>2263</v>
      </c>
      <c r="B1040" t="s">
        <v>16</v>
      </c>
      <c r="C1040" t="s">
        <v>2264</v>
      </c>
      <c r="D1040" t="s">
        <v>44</v>
      </c>
      <c r="E1040" t="s">
        <v>38</v>
      </c>
      <c r="F1040" t="s">
        <v>39</v>
      </c>
      <c r="G1040" t="s">
        <v>185</v>
      </c>
      <c r="H1040" s="1">
        <v>45648.160416666666</v>
      </c>
      <c r="I1040" s="1">
        <v>45648.288194444445</v>
      </c>
      <c r="J1040">
        <v>72</v>
      </c>
      <c r="K1040">
        <v>184</v>
      </c>
      <c r="L1040">
        <v>1</v>
      </c>
      <c r="M1040" t="s">
        <v>22</v>
      </c>
      <c r="N1040">
        <v>10</v>
      </c>
      <c r="O1040">
        <v>121.18</v>
      </c>
    </row>
    <row r="1041" spans="1:15" x14ac:dyDescent="0.35">
      <c r="A1041" t="s">
        <v>2265</v>
      </c>
      <c r="B1041" t="s">
        <v>16</v>
      </c>
      <c r="C1041" t="s">
        <v>2266</v>
      </c>
      <c r="D1041" t="s">
        <v>18</v>
      </c>
      <c r="E1041" t="s">
        <v>19</v>
      </c>
      <c r="F1041" t="s">
        <v>39</v>
      </c>
      <c r="G1041" t="s">
        <v>700</v>
      </c>
      <c r="H1041" s="1">
        <v>45480.798611111109</v>
      </c>
      <c r="I1041" s="1">
        <v>45480.839583333334</v>
      </c>
      <c r="J1041">
        <v>56</v>
      </c>
      <c r="K1041">
        <v>59</v>
      </c>
      <c r="L1041">
        <v>1</v>
      </c>
      <c r="M1041" t="s">
        <v>41</v>
      </c>
      <c r="N1041">
        <v>6</v>
      </c>
      <c r="O1041">
        <v>435.98</v>
      </c>
    </row>
    <row r="1042" spans="1:15" x14ac:dyDescent="0.35">
      <c r="A1042" t="s">
        <v>2267</v>
      </c>
      <c r="B1042" t="s">
        <v>51</v>
      </c>
      <c r="C1042" t="s">
        <v>2268</v>
      </c>
      <c r="D1042" t="s">
        <v>18</v>
      </c>
      <c r="E1042" t="s">
        <v>33</v>
      </c>
      <c r="F1042" t="s">
        <v>27</v>
      </c>
      <c r="G1042" t="s">
        <v>376</v>
      </c>
      <c r="H1042" s="1">
        <v>45635.631944444445</v>
      </c>
      <c r="I1042" s="1">
        <v>45635.837500000001</v>
      </c>
      <c r="J1042">
        <v>201</v>
      </c>
      <c r="K1042">
        <v>296</v>
      </c>
      <c r="L1042">
        <v>1</v>
      </c>
      <c r="M1042" t="s">
        <v>41</v>
      </c>
      <c r="N1042">
        <v>8</v>
      </c>
      <c r="O1042">
        <v>219.34</v>
      </c>
    </row>
    <row r="1043" spans="1:15" x14ac:dyDescent="0.35">
      <c r="A1043" t="s">
        <v>2269</v>
      </c>
      <c r="B1043" t="s">
        <v>16</v>
      </c>
      <c r="C1043" t="s">
        <v>2270</v>
      </c>
      <c r="D1043" t="s">
        <v>44</v>
      </c>
      <c r="E1043" t="s">
        <v>19</v>
      </c>
      <c r="F1043" t="s">
        <v>34</v>
      </c>
      <c r="G1043" t="s">
        <v>1730</v>
      </c>
      <c r="H1043" s="1">
        <v>45334.913888888892</v>
      </c>
      <c r="I1043" s="1">
        <v>45335.006944444445</v>
      </c>
      <c r="J1043">
        <v>39</v>
      </c>
      <c r="K1043">
        <v>134</v>
      </c>
      <c r="L1043">
        <v>1</v>
      </c>
      <c r="M1043" t="s">
        <v>29</v>
      </c>
      <c r="N1043">
        <v>7</v>
      </c>
      <c r="O1043">
        <v>455.48</v>
      </c>
    </row>
    <row r="1044" spans="1:15" x14ac:dyDescent="0.35">
      <c r="A1044" t="s">
        <v>2271</v>
      </c>
      <c r="B1044" t="s">
        <v>16</v>
      </c>
      <c r="C1044" t="s">
        <v>2272</v>
      </c>
      <c r="D1044" t="s">
        <v>44</v>
      </c>
      <c r="E1044" t="s">
        <v>38</v>
      </c>
      <c r="F1044" t="s">
        <v>27</v>
      </c>
      <c r="G1044" t="s">
        <v>371</v>
      </c>
      <c r="H1044" s="1">
        <v>45553.522916666669</v>
      </c>
      <c r="I1044" s="1">
        <v>45553.693055555559</v>
      </c>
      <c r="J1044">
        <v>230</v>
      </c>
      <c r="K1044">
        <v>245</v>
      </c>
      <c r="L1044">
        <v>1</v>
      </c>
      <c r="M1044" t="s">
        <v>22</v>
      </c>
      <c r="N1044">
        <v>8</v>
      </c>
      <c r="O1044">
        <v>116.81</v>
      </c>
    </row>
    <row r="1045" spans="1:15" x14ac:dyDescent="0.35">
      <c r="A1045" t="s">
        <v>2273</v>
      </c>
      <c r="B1045" t="s">
        <v>51</v>
      </c>
      <c r="C1045" t="s">
        <v>2274</v>
      </c>
      <c r="D1045" t="s">
        <v>56</v>
      </c>
      <c r="E1045" t="s">
        <v>19</v>
      </c>
      <c r="F1045" t="s">
        <v>27</v>
      </c>
      <c r="G1045" t="s">
        <v>259</v>
      </c>
      <c r="H1045" s="1">
        <v>45505.678472222222</v>
      </c>
      <c r="I1045" s="1">
        <v>45505.711805555555</v>
      </c>
      <c r="J1045">
        <v>47</v>
      </c>
      <c r="K1045">
        <v>48</v>
      </c>
      <c r="L1045">
        <v>1</v>
      </c>
      <c r="M1045" t="s">
        <v>22</v>
      </c>
      <c r="N1045">
        <v>2</v>
      </c>
      <c r="O1045">
        <v>468.49</v>
      </c>
    </row>
    <row r="1046" spans="1:15" x14ac:dyDescent="0.35">
      <c r="A1046" t="s">
        <v>2275</v>
      </c>
      <c r="B1046" t="s">
        <v>51</v>
      </c>
      <c r="C1046" t="s">
        <v>2276</v>
      </c>
      <c r="D1046" t="s">
        <v>48</v>
      </c>
      <c r="E1046" t="s">
        <v>85</v>
      </c>
      <c r="F1046" t="s">
        <v>20</v>
      </c>
      <c r="G1046" t="s">
        <v>817</v>
      </c>
      <c r="H1046" s="1">
        <v>45421.259027777778</v>
      </c>
      <c r="I1046" s="1">
        <v>45421.344444444447</v>
      </c>
      <c r="J1046">
        <v>19</v>
      </c>
      <c r="K1046">
        <v>123</v>
      </c>
      <c r="L1046">
        <v>1</v>
      </c>
      <c r="M1046" t="s">
        <v>41</v>
      </c>
      <c r="N1046">
        <v>8</v>
      </c>
      <c r="O1046">
        <v>55.55</v>
      </c>
    </row>
    <row r="1047" spans="1:15" x14ac:dyDescent="0.35">
      <c r="A1047" t="s">
        <v>2277</v>
      </c>
      <c r="B1047" t="s">
        <v>63</v>
      </c>
      <c r="C1047" t="s">
        <v>2278</v>
      </c>
      <c r="D1047" t="s">
        <v>26</v>
      </c>
      <c r="E1047" t="s">
        <v>33</v>
      </c>
      <c r="F1047" t="s">
        <v>27</v>
      </c>
      <c r="G1047" t="s">
        <v>1622</v>
      </c>
      <c r="H1047" s="1">
        <v>45303.395833333336</v>
      </c>
      <c r="I1047" s="1">
        <v>45303.511111111111</v>
      </c>
      <c r="J1047">
        <v>93</v>
      </c>
      <c r="K1047">
        <v>166</v>
      </c>
      <c r="L1047">
        <v>1</v>
      </c>
      <c r="M1047" t="s">
        <v>29</v>
      </c>
      <c r="N1047">
        <v>9</v>
      </c>
      <c r="O1047">
        <v>436.25</v>
      </c>
    </row>
    <row r="1048" spans="1:15" x14ac:dyDescent="0.35">
      <c r="A1048" t="s">
        <v>2279</v>
      </c>
      <c r="B1048" t="s">
        <v>63</v>
      </c>
      <c r="C1048" t="s">
        <v>2280</v>
      </c>
      <c r="D1048" t="s">
        <v>26</v>
      </c>
      <c r="E1048" t="s">
        <v>33</v>
      </c>
      <c r="F1048" t="s">
        <v>57</v>
      </c>
      <c r="G1048" t="s">
        <v>456</v>
      </c>
      <c r="H1048" s="1">
        <v>45318.058333333334</v>
      </c>
      <c r="I1048" s="1">
        <v>45318.147222222222</v>
      </c>
      <c r="J1048">
        <v>83</v>
      </c>
      <c r="K1048">
        <v>128</v>
      </c>
      <c r="L1048">
        <v>1</v>
      </c>
      <c r="M1048" t="s">
        <v>41</v>
      </c>
      <c r="N1048">
        <v>8</v>
      </c>
      <c r="O1048">
        <v>445.17</v>
      </c>
    </row>
    <row r="1049" spans="1:15" x14ac:dyDescent="0.35">
      <c r="A1049" t="s">
        <v>2281</v>
      </c>
      <c r="B1049" t="s">
        <v>16</v>
      </c>
      <c r="C1049" t="s">
        <v>2282</v>
      </c>
      <c r="D1049" t="s">
        <v>44</v>
      </c>
      <c r="E1049" t="s">
        <v>19</v>
      </c>
      <c r="F1049" t="s">
        <v>57</v>
      </c>
      <c r="G1049" t="s">
        <v>427</v>
      </c>
      <c r="H1049" s="1">
        <v>45337.90347222222</v>
      </c>
      <c r="I1049" s="1">
        <v>45338.068055555559</v>
      </c>
      <c r="J1049">
        <v>192</v>
      </c>
      <c r="K1049">
        <v>237</v>
      </c>
      <c r="L1049">
        <v>1</v>
      </c>
      <c r="M1049" t="s">
        <v>29</v>
      </c>
      <c r="N1049">
        <v>2</v>
      </c>
      <c r="O1049">
        <v>228.82</v>
      </c>
    </row>
    <row r="1050" spans="1:15" x14ac:dyDescent="0.35">
      <c r="A1050" t="s">
        <v>2283</v>
      </c>
      <c r="B1050" t="s">
        <v>63</v>
      </c>
      <c r="C1050" t="s">
        <v>2284</v>
      </c>
      <c r="D1050" t="s">
        <v>56</v>
      </c>
      <c r="E1050" t="s">
        <v>38</v>
      </c>
      <c r="F1050" t="s">
        <v>57</v>
      </c>
      <c r="G1050" t="s">
        <v>897</v>
      </c>
      <c r="H1050" s="1">
        <v>45380.936111111114</v>
      </c>
      <c r="I1050" s="1">
        <v>45381.01458333333</v>
      </c>
      <c r="J1050">
        <v>57</v>
      </c>
      <c r="K1050">
        <v>113</v>
      </c>
      <c r="L1050">
        <v>1</v>
      </c>
      <c r="M1050" t="s">
        <v>29</v>
      </c>
      <c r="N1050">
        <v>6</v>
      </c>
      <c r="O1050">
        <v>65.489999999999995</v>
      </c>
    </row>
    <row r="1051" spans="1:15" x14ac:dyDescent="0.35">
      <c r="A1051" t="s">
        <v>2285</v>
      </c>
      <c r="B1051" t="s">
        <v>63</v>
      </c>
      <c r="C1051" t="s">
        <v>2286</v>
      </c>
      <c r="D1051" t="s">
        <v>26</v>
      </c>
      <c r="E1051" t="s">
        <v>33</v>
      </c>
      <c r="F1051" t="s">
        <v>34</v>
      </c>
      <c r="G1051" t="s">
        <v>343</v>
      </c>
      <c r="H1051" s="1">
        <v>45427.904861111114</v>
      </c>
      <c r="I1051" s="1">
        <v>45428.004166666666</v>
      </c>
      <c r="J1051">
        <v>66</v>
      </c>
      <c r="K1051">
        <v>143</v>
      </c>
      <c r="L1051">
        <v>1</v>
      </c>
      <c r="M1051" t="s">
        <v>41</v>
      </c>
      <c r="N1051">
        <v>7</v>
      </c>
      <c r="O1051">
        <v>410.6</v>
      </c>
    </row>
    <row r="1052" spans="1:15" x14ac:dyDescent="0.35">
      <c r="A1052" t="s">
        <v>2287</v>
      </c>
      <c r="B1052" t="s">
        <v>24</v>
      </c>
      <c r="C1052" t="s">
        <v>2288</v>
      </c>
      <c r="D1052" t="s">
        <v>48</v>
      </c>
      <c r="E1052" t="s">
        <v>85</v>
      </c>
      <c r="F1052" t="s">
        <v>39</v>
      </c>
      <c r="G1052" t="s">
        <v>155</v>
      </c>
      <c r="H1052" s="1">
        <v>45645.96597222222</v>
      </c>
      <c r="I1052" s="1">
        <v>45646.051388888889</v>
      </c>
      <c r="J1052">
        <v>13</v>
      </c>
      <c r="K1052">
        <v>123</v>
      </c>
      <c r="L1052">
        <v>1</v>
      </c>
      <c r="M1052" t="s">
        <v>22</v>
      </c>
      <c r="N1052">
        <v>10</v>
      </c>
      <c r="O1052">
        <v>97.78</v>
      </c>
    </row>
    <row r="1053" spans="1:15" x14ac:dyDescent="0.35">
      <c r="A1053" t="s">
        <v>2289</v>
      </c>
      <c r="B1053" t="s">
        <v>31</v>
      </c>
      <c r="C1053" t="s">
        <v>2290</v>
      </c>
      <c r="D1053" t="s">
        <v>26</v>
      </c>
      <c r="E1053" t="s">
        <v>38</v>
      </c>
      <c r="F1053" t="s">
        <v>27</v>
      </c>
      <c r="G1053" t="s">
        <v>853</v>
      </c>
      <c r="H1053" s="1">
        <v>45511.693749999999</v>
      </c>
      <c r="I1053" s="1">
        <v>45511.830555555556</v>
      </c>
      <c r="J1053">
        <v>196</v>
      </c>
      <c r="K1053">
        <v>197</v>
      </c>
      <c r="L1053">
        <v>1</v>
      </c>
      <c r="M1053" t="s">
        <v>29</v>
      </c>
      <c r="N1053">
        <v>2</v>
      </c>
      <c r="O1053">
        <v>474.94</v>
      </c>
    </row>
    <row r="1054" spans="1:15" x14ac:dyDescent="0.35">
      <c r="A1054" t="s">
        <v>2291</v>
      </c>
      <c r="B1054" t="s">
        <v>31</v>
      </c>
      <c r="C1054" t="s">
        <v>2292</v>
      </c>
      <c r="D1054" t="s">
        <v>26</v>
      </c>
      <c r="E1054" t="s">
        <v>85</v>
      </c>
      <c r="F1054" t="s">
        <v>34</v>
      </c>
      <c r="G1054" t="s">
        <v>445</v>
      </c>
      <c r="H1054" s="1">
        <v>45437.970138888886</v>
      </c>
      <c r="I1054" s="1">
        <v>45438.064583333333</v>
      </c>
      <c r="J1054">
        <v>58</v>
      </c>
      <c r="K1054">
        <v>136</v>
      </c>
      <c r="L1054">
        <v>1</v>
      </c>
      <c r="M1054" t="s">
        <v>22</v>
      </c>
      <c r="N1054">
        <v>3</v>
      </c>
      <c r="O1054">
        <v>103.53</v>
      </c>
    </row>
    <row r="1055" spans="1:15" x14ac:dyDescent="0.35">
      <c r="A1055" t="s">
        <v>2293</v>
      </c>
      <c r="B1055" t="s">
        <v>51</v>
      </c>
      <c r="C1055" t="s">
        <v>2294</v>
      </c>
      <c r="D1055" t="s">
        <v>18</v>
      </c>
      <c r="E1055" t="s">
        <v>38</v>
      </c>
      <c r="F1055" t="s">
        <v>57</v>
      </c>
      <c r="G1055" t="s">
        <v>108</v>
      </c>
      <c r="H1055" s="1">
        <v>45637.106944444444</v>
      </c>
      <c r="I1055" s="1">
        <v>45637.238888888889</v>
      </c>
      <c r="J1055">
        <v>165</v>
      </c>
      <c r="K1055">
        <v>190</v>
      </c>
      <c r="L1055">
        <v>1</v>
      </c>
      <c r="M1055" t="s">
        <v>22</v>
      </c>
      <c r="N1055">
        <v>5</v>
      </c>
      <c r="O1055">
        <v>343.79</v>
      </c>
    </row>
    <row r="1056" spans="1:15" x14ac:dyDescent="0.35">
      <c r="A1056" t="s">
        <v>2295</v>
      </c>
      <c r="B1056" t="s">
        <v>24</v>
      </c>
      <c r="C1056" t="s">
        <v>2296</v>
      </c>
      <c r="D1056" t="s">
        <v>56</v>
      </c>
      <c r="E1056" t="s">
        <v>38</v>
      </c>
      <c r="F1056" t="s">
        <v>39</v>
      </c>
      <c r="G1056" t="s">
        <v>1187</v>
      </c>
      <c r="H1056" s="1">
        <v>45395.956250000003</v>
      </c>
      <c r="I1056" s="1">
        <v>45396.043749999997</v>
      </c>
      <c r="J1056">
        <v>107</v>
      </c>
      <c r="K1056">
        <v>126</v>
      </c>
      <c r="L1056">
        <v>1</v>
      </c>
      <c r="M1056" t="s">
        <v>41</v>
      </c>
      <c r="N1056">
        <v>1</v>
      </c>
      <c r="O1056">
        <v>263.98</v>
      </c>
    </row>
    <row r="1057" spans="1:15" x14ac:dyDescent="0.35">
      <c r="A1057" t="s">
        <v>2297</v>
      </c>
      <c r="B1057" t="s">
        <v>24</v>
      </c>
      <c r="C1057" t="s">
        <v>2298</v>
      </c>
      <c r="D1057" t="s">
        <v>26</v>
      </c>
      <c r="E1057" t="s">
        <v>19</v>
      </c>
      <c r="F1057" t="s">
        <v>34</v>
      </c>
      <c r="G1057" t="s">
        <v>1172</v>
      </c>
      <c r="H1057" s="1">
        <v>45436.64166666667</v>
      </c>
      <c r="I1057" s="1">
        <v>45436.823611111111</v>
      </c>
      <c r="J1057">
        <v>169</v>
      </c>
      <c r="K1057">
        <v>262</v>
      </c>
      <c r="L1057">
        <v>1</v>
      </c>
      <c r="M1057" t="s">
        <v>41</v>
      </c>
      <c r="N1057">
        <v>3</v>
      </c>
      <c r="O1057">
        <v>372.77</v>
      </c>
    </row>
    <row r="1058" spans="1:15" x14ac:dyDescent="0.35">
      <c r="A1058" t="s">
        <v>2299</v>
      </c>
      <c r="B1058" t="s">
        <v>51</v>
      </c>
      <c r="C1058" t="s">
        <v>2300</v>
      </c>
      <c r="D1058" t="s">
        <v>56</v>
      </c>
      <c r="E1058" t="s">
        <v>33</v>
      </c>
      <c r="F1058" t="s">
        <v>20</v>
      </c>
      <c r="G1058" t="s">
        <v>691</v>
      </c>
      <c r="H1058" s="1">
        <v>45479.77847222222</v>
      </c>
      <c r="I1058" s="1">
        <v>45479.856944444444</v>
      </c>
      <c r="J1058">
        <v>40</v>
      </c>
      <c r="K1058">
        <v>113</v>
      </c>
      <c r="L1058">
        <v>1</v>
      </c>
      <c r="M1058" t="s">
        <v>22</v>
      </c>
      <c r="N1058">
        <v>8</v>
      </c>
      <c r="O1058">
        <v>328.19</v>
      </c>
    </row>
    <row r="1059" spans="1:15" x14ac:dyDescent="0.35">
      <c r="A1059" t="s">
        <v>2301</v>
      </c>
      <c r="B1059" t="s">
        <v>16</v>
      </c>
      <c r="C1059" t="s">
        <v>2302</v>
      </c>
      <c r="D1059" t="s">
        <v>26</v>
      </c>
      <c r="E1059" t="s">
        <v>19</v>
      </c>
      <c r="F1059" t="s">
        <v>34</v>
      </c>
      <c r="G1059" t="s">
        <v>82</v>
      </c>
      <c r="H1059" s="1">
        <v>45419.521527777775</v>
      </c>
      <c r="I1059" s="1">
        <v>45419.712500000001</v>
      </c>
      <c r="J1059">
        <v>220</v>
      </c>
      <c r="K1059">
        <v>275</v>
      </c>
      <c r="L1059">
        <v>1</v>
      </c>
      <c r="M1059" t="s">
        <v>22</v>
      </c>
      <c r="N1059">
        <v>3</v>
      </c>
      <c r="O1059">
        <v>379.7</v>
      </c>
    </row>
    <row r="1060" spans="1:15" x14ac:dyDescent="0.35">
      <c r="A1060" t="s">
        <v>2303</v>
      </c>
      <c r="B1060" t="s">
        <v>63</v>
      </c>
      <c r="C1060" t="s">
        <v>2304</v>
      </c>
      <c r="D1060" t="s">
        <v>48</v>
      </c>
      <c r="E1060" t="s">
        <v>38</v>
      </c>
      <c r="F1060" t="s">
        <v>39</v>
      </c>
      <c r="G1060" t="s">
        <v>94</v>
      </c>
      <c r="H1060" s="1">
        <v>45552.427083333336</v>
      </c>
      <c r="I1060" s="1">
        <v>45552.64166666667</v>
      </c>
      <c r="J1060">
        <v>226</v>
      </c>
      <c r="K1060">
        <v>309</v>
      </c>
      <c r="L1060">
        <v>1</v>
      </c>
      <c r="M1060" t="s">
        <v>29</v>
      </c>
      <c r="N1060">
        <v>3</v>
      </c>
      <c r="O1060">
        <v>127.26</v>
      </c>
    </row>
    <row r="1061" spans="1:15" x14ac:dyDescent="0.35">
      <c r="A1061" t="s">
        <v>2305</v>
      </c>
      <c r="B1061" t="s">
        <v>63</v>
      </c>
      <c r="C1061" t="s">
        <v>2306</v>
      </c>
      <c r="D1061" t="s">
        <v>18</v>
      </c>
      <c r="E1061" t="s">
        <v>19</v>
      </c>
      <c r="F1061" t="s">
        <v>39</v>
      </c>
      <c r="G1061" t="s">
        <v>49</v>
      </c>
      <c r="H1061" s="1">
        <v>45520.793055555558</v>
      </c>
      <c r="I1061" s="1">
        <v>45520.875694444447</v>
      </c>
      <c r="J1061">
        <v>44</v>
      </c>
      <c r="K1061">
        <v>119</v>
      </c>
      <c r="L1061">
        <v>1</v>
      </c>
      <c r="M1061" t="s">
        <v>41</v>
      </c>
      <c r="N1061">
        <v>2</v>
      </c>
      <c r="O1061">
        <v>59.85</v>
      </c>
    </row>
    <row r="1062" spans="1:15" x14ac:dyDescent="0.35">
      <c r="A1062" t="s">
        <v>2307</v>
      </c>
      <c r="B1062" t="s">
        <v>24</v>
      </c>
      <c r="C1062" t="s">
        <v>2308</v>
      </c>
      <c r="D1062" t="s">
        <v>26</v>
      </c>
      <c r="E1062" t="s">
        <v>19</v>
      </c>
      <c r="F1062" t="s">
        <v>34</v>
      </c>
      <c r="G1062" t="s">
        <v>65</v>
      </c>
      <c r="H1062" s="1">
        <v>45330.819444444445</v>
      </c>
      <c r="I1062" s="1">
        <v>45330.946527777778</v>
      </c>
      <c r="J1062">
        <v>103</v>
      </c>
      <c r="K1062">
        <v>183</v>
      </c>
      <c r="L1062">
        <v>1</v>
      </c>
      <c r="M1062" t="s">
        <v>29</v>
      </c>
      <c r="N1062">
        <v>7</v>
      </c>
      <c r="O1062">
        <v>342.76</v>
      </c>
    </row>
    <row r="1063" spans="1:15" x14ac:dyDescent="0.35">
      <c r="A1063" t="s">
        <v>2309</v>
      </c>
      <c r="B1063" t="s">
        <v>24</v>
      </c>
      <c r="C1063" t="s">
        <v>2310</v>
      </c>
      <c r="D1063" t="s">
        <v>26</v>
      </c>
      <c r="E1063" t="s">
        <v>38</v>
      </c>
      <c r="F1063" t="s">
        <v>20</v>
      </c>
      <c r="G1063" t="s">
        <v>526</v>
      </c>
      <c r="H1063" s="1">
        <v>45293.40902777778</v>
      </c>
      <c r="I1063" s="1">
        <v>45293.59375</v>
      </c>
      <c r="J1063">
        <v>215</v>
      </c>
      <c r="K1063">
        <v>266</v>
      </c>
      <c r="L1063">
        <v>1</v>
      </c>
      <c r="M1063" t="s">
        <v>22</v>
      </c>
      <c r="N1063">
        <v>10</v>
      </c>
      <c r="O1063">
        <v>131.49</v>
      </c>
    </row>
    <row r="1064" spans="1:15" x14ac:dyDescent="0.35">
      <c r="A1064" t="s">
        <v>2311</v>
      </c>
      <c r="B1064" t="s">
        <v>51</v>
      </c>
      <c r="C1064" t="s">
        <v>2312</v>
      </c>
      <c r="D1064" t="s">
        <v>26</v>
      </c>
      <c r="E1064" t="s">
        <v>38</v>
      </c>
      <c r="F1064" t="s">
        <v>34</v>
      </c>
      <c r="G1064" t="s">
        <v>615</v>
      </c>
      <c r="H1064" s="1">
        <v>45526.350694444445</v>
      </c>
      <c r="I1064" s="1">
        <v>45526.454861111109</v>
      </c>
      <c r="J1064">
        <v>59</v>
      </c>
      <c r="K1064">
        <v>150</v>
      </c>
      <c r="L1064">
        <v>1</v>
      </c>
      <c r="M1064" t="s">
        <v>22</v>
      </c>
      <c r="N1064">
        <v>6</v>
      </c>
      <c r="O1064">
        <v>339.99</v>
      </c>
    </row>
    <row r="1065" spans="1:15" x14ac:dyDescent="0.35">
      <c r="A1065" t="s">
        <v>2313</v>
      </c>
      <c r="B1065" t="s">
        <v>16</v>
      </c>
      <c r="C1065" t="s">
        <v>2314</v>
      </c>
      <c r="D1065" t="s">
        <v>56</v>
      </c>
      <c r="E1065" t="s">
        <v>38</v>
      </c>
      <c r="F1065" t="s">
        <v>20</v>
      </c>
      <c r="G1065" t="s">
        <v>191</v>
      </c>
      <c r="H1065" s="1">
        <v>45380.637499999997</v>
      </c>
      <c r="I1065" s="1">
        <v>45380.811805555553</v>
      </c>
      <c r="J1065">
        <v>134</v>
      </c>
      <c r="K1065">
        <v>251</v>
      </c>
      <c r="L1065">
        <v>1</v>
      </c>
      <c r="M1065" t="s">
        <v>22</v>
      </c>
      <c r="N1065">
        <v>7</v>
      </c>
      <c r="O1065">
        <v>139.75</v>
      </c>
    </row>
    <row r="1066" spans="1:15" x14ac:dyDescent="0.35">
      <c r="A1066" t="s">
        <v>2315</v>
      </c>
      <c r="B1066" t="s">
        <v>63</v>
      </c>
      <c r="C1066" t="s">
        <v>2316</v>
      </c>
      <c r="D1066" t="s">
        <v>56</v>
      </c>
      <c r="E1066" t="s">
        <v>19</v>
      </c>
      <c r="F1066" t="s">
        <v>57</v>
      </c>
      <c r="G1066" t="s">
        <v>485</v>
      </c>
      <c r="H1066" s="1">
        <v>45353.394444444442</v>
      </c>
      <c r="I1066" s="1">
        <v>45353.544444444444</v>
      </c>
      <c r="J1066">
        <v>172</v>
      </c>
      <c r="K1066">
        <v>216</v>
      </c>
      <c r="L1066">
        <v>1</v>
      </c>
      <c r="M1066" t="s">
        <v>41</v>
      </c>
      <c r="N1066">
        <v>2</v>
      </c>
      <c r="O1066">
        <v>271.5</v>
      </c>
    </row>
    <row r="1067" spans="1:15" x14ac:dyDescent="0.35">
      <c r="A1067" t="s">
        <v>2317</v>
      </c>
      <c r="B1067" t="s">
        <v>63</v>
      </c>
      <c r="C1067" t="s">
        <v>2318</v>
      </c>
      <c r="D1067" t="s">
        <v>26</v>
      </c>
      <c r="E1067" t="s">
        <v>38</v>
      </c>
      <c r="F1067" t="s">
        <v>57</v>
      </c>
      <c r="G1067" t="s">
        <v>330</v>
      </c>
      <c r="H1067" s="1">
        <v>45325.15347222222</v>
      </c>
      <c r="I1067" s="1">
        <v>45325.32916666667</v>
      </c>
      <c r="J1067">
        <v>158</v>
      </c>
      <c r="K1067">
        <v>253</v>
      </c>
      <c r="L1067">
        <v>1</v>
      </c>
      <c r="M1067" t="s">
        <v>41</v>
      </c>
      <c r="N1067">
        <v>3</v>
      </c>
      <c r="O1067">
        <v>416.25</v>
      </c>
    </row>
    <row r="1068" spans="1:15" x14ac:dyDescent="0.35">
      <c r="A1068" t="s">
        <v>2319</v>
      </c>
      <c r="B1068" t="s">
        <v>24</v>
      </c>
      <c r="C1068" t="s">
        <v>2320</v>
      </c>
      <c r="D1068" t="s">
        <v>18</v>
      </c>
      <c r="E1068" t="s">
        <v>33</v>
      </c>
      <c r="F1068" t="s">
        <v>57</v>
      </c>
      <c r="G1068" t="s">
        <v>388</v>
      </c>
      <c r="H1068" s="1">
        <v>45464.870138888888</v>
      </c>
      <c r="I1068" s="1">
        <v>45464.929166666669</v>
      </c>
      <c r="J1068">
        <v>13</v>
      </c>
      <c r="K1068">
        <v>85</v>
      </c>
      <c r="L1068">
        <v>1</v>
      </c>
      <c r="M1068" t="s">
        <v>29</v>
      </c>
      <c r="N1068">
        <v>3</v>
      </c>
      <c r="O1068">
        <v>198.93</v>
      </c>
    </row>
    <row r="1069" spans="1:15" x14ac:dyDescent="0.35">
      <c r="A1069" t="s">
        <v>2321</v>
      </c>
      <c r="B1069" t="s">
        <v>24</v>
      </c>
      <c r="C1069" t="s">
        <v>2322</v>
      </c>
      <c r="D1069" t="s">
        <v>26</v>
      </c>
      <c r="E1069" t="s">
        <v>19</v>
      </c>
      <c r="F1069" t="s">
        <v>27</v>
      </c>
      <c r="G1069" t="s">
        <v>459</v>
      </c>
      <c r="H1069" s="1">
        <v>45378.561805555553</v>
      </c>
      <c r="I1069" s="1">
        <v>45378.660416666666</v>
      </c>
      <c r="J1069">
        <v>44</v>
      </c>
      <c r="K1069">
        <v>142</v>
      </c>
      <c r="L1069">
        <v>1</v>
      </c>
      <c r="M1069" t="s">
        <v>29</v>
      </c>
      <c r="N1069">
        <v>6</v>
      </c>
      <c r="O1069">
        <v>69.819999999999993</v>
      </c>
    </row>
    <row r="1070" spans="1:15" x14ac:dyDescent="0.35">
      <c r="A1070" t="s">
        <v>2323</v>
      </c>
      <c r="B1070" t="s">
        <v>63</v>
      </c>
      <c r="C1070" t="s">
        <v>2324</v>
      </c>
      <c r="D1070" t="s">
        <v>56</v>
      </c>
      <c r="E1070" t="s">
        <v>38</v>
      </c>
      <c r="F1070" t="s">
        <v>57</v>
      </c>
      <c r="G1070" t="s">
        <v>140</v>
      </c>
      <c r="H1070" s="1">
        <v>45326.713194444441</v>
      </c>
      <c r="I1070" s="1">
        <v>45326.850694444445</v>
      </c>
      <c r="J1070">
        <v>154</v>
      </c>
      <c r="K1070">
        <v>198</v>
      </c>
      <c r="L1070">
        <v>1</v>
      </c>
      <c r="M1070" t="s">
        <v>41</v>
      </c>
      <c r="N1070">
        <v>1</v>
      </c>
      <c r="O1070">
        <v>456.94</v>
      </c>
    </row>
    <row r="1071" spans="1:15" x14ac:dyDescent="0.35">
      <c r="A1071" t="s">
        <v>2325</v>
      </c>
      <c r="B1071" t="s">
        <v>63</v>
      </c>
      <c r="C1071" t="s">
        <v>2326</v>
      </c>
      <c r="D1071" t="s">
        <v>26</v>
      </c>
      <c r="E1071" t="s">
        <v>85</v>
      </c>
      <c r="F1071" t="s">
        <v>27</v>
      </c>
      <c r="G1071" t="s">
        <v>65</v>
      </c>
      <c r="H1071" s="1">
        <v>45542.532638888886</v>
      </c>
      <c r="I1071" s="1">
        <v>45542.743750000001</v>
      </c>
      <c r="J1071">
        <v>221</v>
      </c>
      <c r="K1071">
        <v>304</v>
      </c>
      <c r="L1071">
        <v>1</v>
      </c>
      <c r="M1071" t="s">
        <v>22</v>
      </c>
      <c r="N1071">
        <v>1</v>
      </c>
      <c r="O1071">
        <v>237.29</v>
      </c>
    </row>
    <row r="1072" spans="1:15" x14ac:dyDescent="0.35">
      <c r="A1072" t="s">
        <v>2327</v>
      </c>
      <c r="B1072" t="s">
        <v>16</v>
      </c>
      <c r="C1072" t="s">
        <v>2328</v>
      </c>
      <c r="D1072" t="s">
        <v>48</v>
      </c>
      <c r="E1072" t="s">
        <v>33</v>
      </c>
      <c r="F1072" t="s">
        <v>20</v>
      </c>
      <c r="G1072" t="s">
        <v>546</v>
      </c>
      <c r="H1072" s="1">
        <v>45623.62222222222</v>
      </c>
      <c r="I1072" s="1">
        <v>45623.798611111109</v>
      </c>
      <c r="J1072">
        <v>205</v>
      </c>
      <c r="K1072">
        <v>254</v>
      </c>
      <c r="L1072">
        <v>1</v>
      </c>
      <c r="M1072" t="s">
        <v>29</v>
      </c>
      <c r="N1072">
        <v>7</v>
      </c>
      <c r="O1072">
        <v>415.2</v>
      </c>
    </row>
    <row r="1073" spans="1:15" x14ac:dyDescent="0.35">
      <c r="A1073" t="s">
        <v>2329</v>
      </c>
      <c r="B1073" t="s">
        <v>16</v>
      </c>
      <c r="C1073" t="s">
        <v>2330</v>
      </c>
      <c r="D1073" t="s">
        <v>26</v>
      </c>
      <c r="E1073" t="s">
        <v>85</v>
      </c>
      <c r="F1073" t="s">
        <v>34</v>
      </c>
      <c r="G1073" t="s">
        <v>316</v>
      </c>
      <c r="H1073" s="1">
        <v>45411.543749999997</v>
      </c>
      <c r="I1073" s="1">
        <v>45411.728472222225</v>
      </c>
      <c r="J1073">
        <v>161</v>
      </c>
      <c r="K1073">
        <v>266</v>
      </c>
      <c r="L1073">
        <v>1</v>
      </c>
      <c r="M1073" t="s">
        <v>41</v>
      </c>
      <c r="N1073">
        <v>2</v>
      </c>
      <c r="O1073">
        <v>89.67</v>
      </c>
    </row>
    <row r="1074" spans="1:15" x14ac:dyDescent="0.35">
      <c r="A1074" t="s">
        <v>2331</v>
      </c>
      <c r="B1074" t="s">
        <v>24</v>
      </c>
      <c r="C1074" t="s">
        <v>2332</v>
      </c>
      <c r="D1074" t="s">
        <v>26</v>
      </c>
      <c r="E1074" t="s">
        <v>33</v>
      </c>
      <c r="F1074" t="s">
        <v>57</v>
      </c>
      <c r="G1074" t="s">
        <v>402</v>
      </c>
      <c r="H1074" s="1">
        <v>45366.684027777781</v>
      </c>
      <c r="I1074" s="1">
        <v>45366.79791666667</v>
      </c>
      <c r="J1074">
        <v>130</v>
      </c>
      <c r="K1074">
        <v>164</v>
      </c>
      <c r="L1074">
        <v>1</v>
      </c>
      <c r="M1074" t="s">
        <v>22</v>
      </c>
      <c r="N1074">
        <v>8</v>
      </c>
      <c r="O1074">
        <v>129.58000000000001</v>
      </c>
    </row>
    <row r="1075" spans="1:15" x14ac:dyDescent="0.35">
      <c r="A1075" t="s">
        <v>2333</v>
      </c>
      <c r="B1075" t="s">
        <v>16</v>
      </c>
      <c r="C1075" t="s">
        <v>2334</v>
      </c>
      <c r="D1075" t="s">
        <v>56</v>
      </c>
      <c r="E1075" t="s">
        <v>19</v>
      </c>
      <c r="F1075" t="s">
        <v>39</v>
      </c>
      <c r="G1075" t="s">
        <v>1172</v>
      </c>
      <c r="H1075" s="1">
        <v>45373.525000000001</v>
      </c>
      <c r="I1075" s="1">
        <v>45373.597222222219</v>
      </c>
      <c r="J1075">
        <v>90</v>
      </c>
      <c r="K1075">
        <v>104</v>
      </c>
      <c r="L1075">
        <v>1</v>
      </c>
      <c r="M1075" t="s">
        <v>29</v>
      </c>
      <c r="N1075">
        <v>9</v>
      </c>
      <c r="O1075">
        <v>182.5</v>
      </c>
    </row>
    <row r="1076" spans="1:15" x14ac:dyDescent="0.35">
      <c r="A1076" t="s">
        <v>2335</v>
      </c>
      <c r="B1076" t="s">
        <v>63</v>
      </c>
      <c r="C1076" t="s">
        <v>2336</v>
      </c>
      <c r="D1076" t="s">
        <v>18</v>
      </c>
      <c r="E1076" t="s">
        <v>38</v>
      </c>
      <c r="F1076" t="s">
        <v>34</v>
      </c>
      <c r="G1076" t="s">
        <v>265</v>
      </c>
      <c r="H1076" s="1">
        <v>45491.413888888892</v>
      </c>
      <c r="I1076" s="1">
        <v>45491.613194444442</v>
      </c>
      <c r="J1076">
        <v>180</v>
      </c>
      <c r="K1076">
        <v>287</v>
      </c>
      <c r="L1076">
        <v>1</v>
      </c>
      <c r="M1076" t="s">
        <v>29</v>
      </c>
      <c r="N1076">
        <v>8</v>
      </c>
      <c r="O1076">
        <v>312.08</v>
      </c>
    </row>
    <row r="1077" spans="1:15" x14ac:dyDescent="0.35">
      <c r="A1077" t="s">
        <v>2337</v>
      </c>
      <c r="B1077" t="s">
        <v>63</v>
      </c>
      <c r="C1077" t="s">
        <v>2338</v>
      </c>
      <c r="D1077" t="s">
        <v>44</v>
      </c>
      <c r="E1077" t="s">
        <v>38</v>
      </c>
      <c r="F1077" t="s">
        <v>27</v>
      </c>
      <c r="G1077" t="s">
        <v>231</v>
      </c>
      <c r="H1077" s="1">
        <v>45507.734722222223</v>
      </c>
      <c r="I1077" s="1">
        <v>45507.90902777778</v>
      </c>
      <c r="J1077">
        <v>144</v>
      </c>
      <c r="K1077">
        <v>251</v>
      </c>
      <c r="L1077">
        <v>1</v>
      </c>
      <c r="M1077" t="s">
        <v>41</v>
      </c>
      <c r="N1077">
        <v>3</v>
      </c>
      <c r="O1077">
        <v>190.98</v>
      </c>
    </row>
    <row r="1078" spans="1:15" x14ac:dyDescent="0.35">
      <c r="A1078" t="s">
        <v>2339</v>
      </c>
      <c r="B1078" t="s">
        <v>51</v>
      </c>
      <c r="C1078" t="s">
        <v>2340</v>
      </c>
      <c r="D1078" t="s">
        <v>48</v>
      </c>
      <c r="E1078" t="s">
        <v>85</v>
      </c>
      <c r="F1078" t="s">
        <v>57</v>
      </c>
      <c r="G1078" t="s">
        <v>316</v>
      </c>
      <c r="H1078" s="1">
        <v>45354.00277777778</v>
      </c>
      <c r="I1078" s="1">
        <v>45354.213888888888</v>
      </c>
      <c r="J1078">
        <v>219</v>
      </c>
      <c r="K1078">
        <v>304</v>
      </c>
      <c r="L1078">
        <v>1</v>
      </c>
      <c r="M1078" t="s">
        <v>41</v>
      </c>
      <c r="N1078">
        <v>6</v>
      </c>
      <c r="O1078">
        <v>448.47</v>
      </c>
    </row>
    <row r="1079" spans="1:15" x14ac:dyDescent="0.35">
      <c r="A1079" t="s">
        <v>2341</v>
      </c>
      <c r="B1079" t="s">
        <v>24</v>
      </c>
      <c r="C1079" t="s">
        <v>2342</v>
      </c>
      <c r="D1079" t="s">
        <v>44</v>
      </c>
      <c r="E1079" t="s">
        <v>33</v>
      </c>
      <c r="F1079" t="s">
        <v>34</v>
      </c>
      <c r="G1079" t="s">
        <v>691</v>
      </c>
      <c r="H1079" s="1">
        <v>45461.250694444447</v>
      </c>
      <c r="I1079" s="1">
        <v>45461.376388888886</v>
      </c>
      <c r="J1079">
        <v>139</v>
      </c>
      <c r="K1079">
        <v>181</v>
      </c>
      <c r="L1079">
        <v>1</v>
      </c>
      <c r="M1079" t="s">
        <v>29</v>
      </c>
      <c r="N1079">
        <v>2</v>
      </c>
      <c r="O1079">
        <v>139.28</v>
      </c>
    </row>
    <row r="1080" spans="1:15" x14ac:dyDescent="0.35">
      <c r="A1080" t="s">
        <v>2343</v>
      </c>
      <c r="B1080" t="s">
        <v>63</v>
      </c>
      <c r="C1080" t="s">
        <v>2344</v>
      </c>
      <c r="D1080" t="s">
        <v>44</v>
      </c>
      <c r="E1080" t="s">
        <v>85</v>
      </c>
      <c r="F1080" t="s">
        <v>39</v>
      </c>
      <c r="G1080" t="s">
        <v>254</v>
      </c>
      <c r="H1080" s="1">
        <v>45492.617361111108</v>
      </c>
      <c r="I1080" s="1">
        <v>45492.781944444447</v>
      </c>
      <c r="J1080">
        <v>135</v>
      </c>
      <c r="K1080">
        <v>237</v>
      </c>
      <c r="L1080">
        <v>1</v>
      </c>
      <c r="M1080" t="s">
        <v>41</v>
      </c>
      <c r="N1080">
        <v>2</v>
      </c>
      <c r="O1080">
        <v>208.25</v>
      </c>
    </row>
    <row r="1081" spans="1:15" x14ac:dyDescent="0.35">
      <c r="A1081" t="s">
        <v>2345</v>
      </c>
      <c r="B1081" t="s">
        <v>63</v>
      </c>
      <c r="C1081" t="s">
        <v>2346</v>
      </c>
      <c r="D1081" t="s">
        <v>26</v>
      </c>
      <c r="E1081" t="s">
        <v>19</v>
      </c>
      <c r="F1081" t="s">
        <v>39</v>
      </c>
      <c r="G1081" t="s">
        <v>1125</v>
      </c>
      <c r="H1081" s="1">
        <v>45656.240277777775</v>
      </c>
      <c r="I1081" s="1">
        <v>45656.359027777777</v>
      </c>
      <c r="J1081">
        <v>61</v>
      </c>
      <c r="K1081">
        <v>171</v>
      </c>
      <c r="L1081">
        <v>1</v>
      </c>
      <c r="M1081" t="s">
        <v>22</v>
      </c>
      <c r="N1081">
        <v>2</v>
      </c>
      <c r="O1081">
        <v>488.68</v>
      </c>
    </row>
    <row r="1082" spans="1:15" x14ac:dyDescent="0.35">
      <c r="A1082" t="s">
        <v>2347</v>
      </c>
      <c r="B1082" t="s">
        <v>24</v>
      </c>
      <c r="C1082" t="s">
        <v>2348</v>
      </c>
      <c r="D1082" t="s">
        <v>48</v>
      </c>
      <c r="E1082" t="s">
        <v>19</v>
      </c>
      <c r="F1082" t="s">
        <v>20</v>
      </c>
      <c r="G1082" t="s">
        <v>237</v>
      </c>
      <c r="H1082" s="1">
        <v>45416.065972222219</v>
      </c>
      <c r="I1082" s="1">
        <v>45416.195833333331</v>
      </c>
      <c r="J1082">
        <v>84</v>
      </c>
      <c r="K1082">
        <v>187</v>
      </c>
      <c r="L1082">
        <v>1</v>
      </c>
      <c r="M1082" t="s">
        <v>41</v>
      </c>
      <c r="N1082">
        <v>1</v>
      </c>
      <c r="O1082">
        <v>182.23</v>
      </c>
    </row>
    <row r="1083" spans="1:15" x14ac:dyDescent="0.35">
      <c r="A1083" t="s">
        <v>2349</v>
      </c>
      <c r="B1083" t="s">
        <v>24</v>
      </c>
      <c r="C1083" t="s">
        <v>2350</v>
      </c>
      <c r="D1083" t="s">
        <v>44</v>
      </c>
      <c r="E1083" t="s">
        <v>38</v>
      </c>
      <c r="F1083" t="s">
        <v>20</v>
      </c>
      <c r="G1083" t="s">
        <v>111</v>
      </c>
      <c r="H1083" s="1">
        <v>45386.456944444442</v>
      </c>
      <c r="I1083" s="1">
        <v>45386.556944444441</v>
      </c>
      <c r="J1083">
        <v>24</v>
      </c>
      <c r="K1083">
        <v>144</v>
      </c>
      <c r="L1083">
        <v>1</v>
      </c>
      <c r="M1083" t="s">
        <v>29</v>
      </c>
      <c r="N1083">
        <v>1</v>
      </c>
      <c r="O1083">
        <v>321.33</v>
      </c>
    </row>
    <row r="1084" spans="1:15" x14ac:dyDescent="0.35">
      <c r="A1084" t="s">
        <v>2351</v>
      </c>
      <c r="B1084" t="s">
        <v>24</v>
      </c>
      <c r="C1084" t="s">
        <v>2352</v>
      </c>
      <c r="D1084" t="s">
        <v>44</v>
      </c>
      <c r="E1084" t="s">
        <v>33</v>
      </c>
      <c r="F1084" t="s">
        <v>34</v>
      </c>
      <c r="G1084" t="s">
        <v>402</v>
      </c>
      <c r="H1084" s="1">
        <v>45493.120138888888</v>
      </c>
      <c r="I1084" s="1">
        <v>45493.183333333334</v>
      </c>
      <c r="J1084">
        <v>71</v>
      </c>
      <c r="K1084">
        <v>91</v>
      </c>
      <c r="L1084">
        <v>1</v>
      </c>
      <c r="M1084" t="s">
        <v>41</v>
      </c>
      <c r="N1084">
        <v>5</v>
      </c>
      <c r="O1084">
        <v>55.91</v>
      </c>
    </row>
    <row r="1085" spans="1:15" x14ac:dyDescent="0.35">
      <c r="A1085" t="s">
        <v>2353</v>
      </c>
      <c r="B1085" t="s">
        <v>51</v>
      </c>
      <c r="C1085" t="s">
        <v>2354</v>
      </c>
      <c r="D1085" t="s">
        <v>26</v>
      </c>
      <c r="E1085" t="s">
        <v>33</v>
      </c>
      <c r="F1085" t="s">
        <v>57</v>
      </c>
      <c r="G1085" t="s">
        <v>259</v>
      </c>
      <c r="H1085" s="1">
        <v>45585.426388888889</v>
      </c>
      <c r="I1085" s="1">
        <v>45585.565972222219</v>
      </c>
      <c r="J1085">
        <v>172</v>
      </c>
      <c r="K1085">
        <v>201</v>
      </c>
      <c r="L1085">
        <v>1</v>
      </c>
      <c r="M1085" t="s">
        <v>41</v>
      </c>
      <c r="N1085">
        <v>4</v>
      </c>
      <c r="O1085">
        <v>462.59</v>
      </c>
    </row>
    <row r="1086" spans="1:15" x14ac:dyDescent="0.35">
      <c r="A1086" t="s">
        <v>2355</v>
      </c>
      <c r="B1086" t="s">
        <v>51</v>
      </c>
      <c r="C1086" t="s">
        <v>2356</v>
      </c>
      <c r="D1086" t="s">
        <v>26</v>
      </c>
      <c r="E1086" t="s">
        <v>33</v>
      </c>
      <c r="F1086" t="s">
        <v>57</v>
      </c>
      <c r="G1086" t="s">
        <v>1413</v>
      </c>
      <c r="H1086" s="1">
        <v>45361.510416666664</v>
      </c>
      <c r="I1086" s="1">
        <v>45361.616666666669</v>
      </c>
      <c r="J1086">
        <v>119</v>
      </c>
      <c r="K1086">
        <v>153</v>
      </c>
      <c r="L1086">
        <v>1</v>
      </c>
      <c r="M1086" t="s">
        <v>22</v>
      </c>
      <c r="N1086">
        <v>10</v>
      </c>
      <c r="O1086">
        <v>492.7</v>
      </c>
    </row>
    <row r="1087" spans="1:15" x14ac:dyDescent="0.35">
      <c r="A1087" t="s">
        <v>2357</v>
      </c>
      <c r="B1087" t="s">
        <v>51</v>
      </c>
      <c r="C1087" t="s">
        <v>2358</v>
      </c>
      <c r="D1087" t="s">
        <v>26</v>
      </c>
      <c r="E1087" t="s">
        <v>19</v>
      </c>
      <c r="F1087" t="s">
        <v>20</v>
      </c>
      <c r="G1087" t="s">
        <v>191</v>
      </c>
      <c r="H1087" s="1">
        <v>45408.59097222222</v>
      </c>
      <c r="I1087" s="1">
        <v>45408.634027777778</v>
      </c>
      <c r="J1087">
        <v>65</v>
      </c>
      <c r="K1087">
        <v>62</v>
      </c>
      <c r="L1087">
        <v>0</v>
      </c>
      <c r="M1087" t="s">
        <v>29</v>
      </c>
      <c r="N1087">
        <v>5</v>
      </c>
      <c r="O1087">
        <v>461.97</v>
      </c>
    </row>
    <row r="1088" spans="1:15" x14ac:dyDescent="0.35">
      <c r="A1088" t="s">
        <v>2359</v>
      </c>
      <c r="B1088" t="s">
        <v>51</v>
      </c>
      <c r="C1088" t="s">
        <v>2360</v>
      </c>
      <c r="D1088" t="s">
        <v>44</v>
      </c>
      <c r="E1088" t="s">
        <v>33</v>
      </c>
      <c r="F1088" t="s">
        <v>57</v>
      </c>
      <c r="G1088" t="s">
        <v>296</v>
      </c>
      <c r="H1088" s="1">
        <v>45377.303472222222</v>
      </c>
      <c r="I1088" s="1">
        <v>45377.418055555558</v>
      </c>
      <c r="J1088">
        <v>151</v>
      </c>
      <c r="K1088">
        <v>165</v>
      </c>
      <c r="L1088">
        <v>1</v>
      </c>
      <c r="M1088" t="s">
        <v>41</v>
      </c>
      <c r="N1088">
        <v>3</v>
      </c>
      <c r="O1088">
        <v>465.7</v>
      </c>
    </row>
    <row r="1089" spans="1:15" x14ac:dyDescent="0.35">
      <c r="A1089" t="s">
        <v>2361</v>
      </c>
      <c r="B1089" t="s">
        <v>16</v>
      </c>
      <c r="C1089" t="s">
        <v>2362</v>
      </c>
      <c r="D1089" t="s">
        <v>44</v>
      </c>
      <c r="E1089" t="s">
        <v>85</v>
      </c>
      <c r="F1089" t="s">
        <v>57</v>
      </c>
      <c r="G1089" t="s">
        <v>418</v>
      </c>
      <c r="H1089" s="1">
        <v>45626.679861111108</v>
      </c>
      <c r="I1089" s="1">
        <v>45626.70208333333</v>
      </c>
      <c r="J1089">
        <v>33</v>
      </c>
      <c r="K1089">
        <v>32</v>
      </c>
      <c r="L1089">
        <v>0</v>
      </c>
      <c r="M1089" t="s">
        <v>29</v>
      </c>
      <c r="N1089">
        <v>6</v>
      </c>
      <c r="O1089">
        <v>368.58</v>
      </c>
    </row>
    <row r="1090" spans="1:15" x14ac:dyDescent="0.35">
      <c r="A1090" t="s">
        <v>2363</v>
      </c>
      <c r="B1090" t="s">
        <v>63</v>
      </c>
      <c r="C1090" t="s">
        <v>2364</v>
      </c>
      <c r="D1090" t="s">
        <v>44</v>
      </c>
      <c r="E1090" t="s">
        <v>19</v>
      </c>
      <c r="F1090" t="s">
        <v>27</v>
      </c>
      <c r="G1090" t="s">
        <v>296</v>
      </c>
      <c r="H1090" s="1">
        <v>45502.638194444444</v>
      </c>
      <c r="I1090" s="1">
        <v>45502.731944444444</v>
      </c>
      <c r="J1090">
        <v>119</v>
      </c>
      <c r="K1090">
        <v>135</v>
      </c>
      <c r="L1090">
        <v>1</v>
      </c>
      <c r="M1090" t="s">
        <v>29</v>
      </c>
      <c r="N1090">
        <v>5</v>
      </c>
      <c r="O1090">
        <v>378.48</v>
      </c>
    </row>
    <row r="1091" spans="1:15" x14ac:dyDescent="0.35">
      <c r="A1091" t="s">
        <v>2365</v>
      </c>
      <c r="B1091" t="s">
        <v>24</v>
      </c>
      <c r="C1091" t="s">
        <v>2366</v>
      </c>
      <c r="D1091" t="s">
        <v>18</v>
      </c>
      <c r="E1091" t="s">
        <v>38</v>
      </c>
      <c r="F1091" t="s">
        <v>20</v>
      </c>
      <c r="G1091" t="s">
        <v>158</v>
      </c>
      <c r="H1091" s="1">
        <v>45650.881249999999</v>
      </c>
      <c r="I1091" s="1">
        <v>45650.939583333333</v>
      </c>
      <c r="J1091">
        <v>86</v>
      </c>
      <c r="K1091">
        <v>84</v>
      </c>
      <c r="L1091">
        <v>0</v>
      </c>
      <c r="M1091" t="s">
        <v>22</v>
      </c>
      <c r="N1091">
        <v>8</v>
      </c>
      <c r="O1091">
        <v>185.47</v>
      </c>
    </row>
    <row r="1092" spans="1:15" x14ac:dyDescent="0.35">
      <c r="A1092" t="s">
        <v>2367</v>
      </c>
      <c r="B1092" t="s">
        <v>63</v>
      </c>
      <c r="C1092" t="s">
        <v>2368</v>
      </c>
      <c r="D1092" t="s">
        <v>18</v>
      </c>
      <c r="E1092" t="s">
        <v>85</v>
      </c>
      <c r="F1092" t="s">
        <v>39</v>
      </c>
      <c r="G1092" t="s">
        <v>143</v>
      </c>
      <c r="H1092" s="1">
        <v>45435.518055555556</v>
      </c>
      <c r="I1092" s="1">
        <v>45435.675000000003</v>
      </c>
      <c r="J1092">
        <v>128</v>
      </c>
      <c r="K1092">
        <v>226</v>
      </c>
      <c r="L1092">
        <v>1</v>
      </c>
      <c r="M1092" t="s">
        <v>22</v>
      </c>
      <c r="N1092">
        <v>10</v>
      </c>
      <c r="O1092">
        <v>285.83999999999997</v>
      </c>
    </row>
    <row r="1093" spans="1:15" x14ac:dyDescent="0.35">
      <c r="A1093" t="s">
        <v>2369</v>
      </c>
      <c r="B1093" t="s">
        <v>16</v>
      </c>
      <c r="C1093" t="s">
        <v>2370</v>
      </c>
      <c r="D1093" t="s">
        <v>56</v>
      </c>
      <c r="E1093" t="s">
        <v>85</v>
      </c>
      <c r="F1093" t="s">
        <v>39</v>
      </c>
      <c r="G1093" t="s">
        <v>465</v>
      </c>
      <c r="H1093" s="1">
        <v>45515.394444444442</v>
      </c>
      <c r="I1093" s="1">
        <v>45515.504861111112</v>
      </c>
      <c r="J1093">
        <v>114</v>
      </c>
      <c r="K1093">
        <v>159</v>
      </c>
      <c r="L1093">
        <v>1</v>
      </c>
      <c r="M1093" t="s">
        <v>29</v>
      </c>
      <c r="N1093">
        <v>9</v>
      </c>
      <c r="O1093">
        <v>226.85</v>
      </c>
    </row>
    <row r="1094" spans="1:15" x14ac:dyDescent="0.35">
      <c r="A1094" t="s">
        <v>2371</v>
      </c>
      <c r="B1094" t="s">
        <v>31</v>
      </c>
      <c r="C1094" t="s">
        <v>2372</v>
      </c>
      <c r="D1094" t="s">
        <v>26</v>
      </c>
      <c r="E1094" t="s">
        <v>38</v>
      </c>
      <c r="F1094" t="s">
        <v>27</v>
      </c>
      <c r="G1094" t="s">
        <v>161</v>
      </c>
      <c r="H1094" s="1">
        <v>45401.59652777778</v>
      </c>
      <c r="I1094" s="1">
        <v>45401.71875</v>
      </c>
      <c r="J1094">
        <v>135</v>
      </c>
      <c r="K1094">
        <v>176</v>
      </c>
      <c r="L1094">
        <v>1</v>
      </c>
      <c r="M1094" t="s">
        <v>29</v>
      </c>
      <c r="N1094">
        <v>3</v>
      </c>
      <c r="O1094">
        <v>491.12</v>
      </c>
    </row>
    <row r="1095" spans="1:15" x14ac:dyDescent="0.35">
      <c r="A1095" t="s">
        <v>2373</v>
      </c>
      <c r="B1095" t="s">
        <v>31</v>
      </c>
      <c r="C1095" t="s">
        <v>2374</v>
      </c>
      <c r="D1095" t="s">
        <v>48</v>
      </c>
      <c r="E1095" t="s">
        <v>85</v>
      </c>
      <c r="F1095" t="s">
        <v>39</v>
      </c>
      <c r="G1095" t="s">
        <v>188</v>
      </c>
      <c r="H1095" s="1">
        <v>45486.510416666664</v>
      </c>
      <c r="I1095" s="1">
        <v>45486.699305555558</v>
      </c>
      <c r="J1095">
        <v>158</v>
      </c>
      <c r="K1095">
        <v>272</v>
      </c>
      <c r="L1095">
        <v>1</v>
      </c>
      <c r="M1095" t="s">
        <v>22</v>
      </c>
      <c r="N1095">
        <v>5</v>
      </c>
      <c r="O1095">
        <v>397.15</v>
      </c>
    </row>
    <row r="1096" spans="1:15" x14ac:dyDescent="0.35">
      <c r="A1096" t="s">
        <v>2375</v>
      </c>
      <c r="B1096" t="s">
        <v>51</v>
      </c>
      <c r="C1096" t="s">
        <v>2376</v>
      </c>
      <c r="D1096" t="s">
        <v>26</v>
      </c>
      <c r="E1096" t="s">
        <v>85</v>
      </c>
      <c r="F1096" t="s">
        <v>39</v>
      </c>
      <c r="G1096" t="s">
        <v>526</v>
      </c>
      <c r="H1096" s="1">
        <v>45498.253472222219</v>
      </c>
      <c r="I1096" s="1">
        <v>45498.302083333336</v>
      </c>
      <c r="J1096">
        <v>18</v>
      </c>
      <c r="K1096">
        <v>70</v>
      </c>
      <c r="L1096">
        <v>1</v>
      </c>
      <c r="M1096" t="s">
        <v>22</v>
      </c>
      <c r="N1096">
        <v>5</v>
      </c>
      <c r="O1096">
        <v>438.61</v>
      </c>
    </row>
    <row r="1097" spans="1:15" x14ac:dyDescent="0.35">
      <c r="A1097" t="s">
        <v>2377</v>
      </c>
      <c r="B1097" t="s">
        <v>31</v>
      </c>
      <c r="C1097" t="s">
        <v>2378</v>
      </c>
      <c r="D1097" t="s">
        <v>18</v>
      </c>
      <c r="E1097" t="s">
        <v>38</v>
      </c>
      <c r="F1097" t="s">
        <v>20</v>
      </c>
      <c r="G1097" t="s">
        <v>65</v>
      </c>
      <c r="H1097" s="1">
        <v>45535.172222222223</v>
      </c>
      <c r="I1097" s="1">
        <v>45535.376388888886</v>
      </c>
      <c r="J1097">
        <v>177</v>
      </c>
      <c r="K1097">
        <v>294</v>
      </c>
      <c r="L1097">
        <v>1</v>
      </c>
      <c r="M1097" t="s">
        <v>22</v>
      </c>
      <c r="N1097">
        <v>10</v>
      </c>
      <c r="O1097">
        <v>210.6</v>
      </c>
    </row>
    <row r="1098" spans="1:15" x14ac:dyDescent="0.35">
      <c r="A1098" t="s">
        <v>2379</v>
      </c>
      <c r="B1098" t="s">
        <v>24</v>
      </c>
      <c r="C1098" t="s">
        <v>2380</v>
      </c>
      <c r="D1098" t="s">
        <v>26</v>
      </c>
      <c r="E1098" t="s">
        <v>85</v>
      </c>
      <c r="F1098" t="s">
        <v>20</v>
      </c>
      <c r="G1098" t="s">
        <v>473</v>
      </c>
      <c r="H1098" s="1">
        <v>45416.270138888889</v>
      </c>
      <c r="I1098" s="1">
        <v>45416.394444444442</v>
      </c>
      <c r="J1098">
        <v>126</v>
      </c>
      <c r="K1098">
        <v>179</v>
      </c>
      <c r="L1098">
        <v>1</v>
      </c>
      <c r="M1098" t="s">
        <v>22</v>
      </c>
      <c r="N1098">
        <v>10</v>
      </c>
      <c r="O1098">
        <v>451.73</v>
      </c>
    </row>
    <row r="1099" spans="1:15" x14ac:dyDescent="0.35">
      <c r="A1099" t="s">
        <v>2381</v>
      </c>
      <c r="B1099" t="s">
        <v>24</v>
      </c>
      <c r="C1099" t="s">
        <v>2382</v>
      </c>
      <c r="D1099" t="s">
        <v>44</v>
      </c>
      <c r="E1099" t="s">
        <v>19</v>
      </c>
      <c r="F1099" t="s">
        <v>39</v>
      </c>
      <c r="G1099" t="s">
        <v>853</v>
      </c>
      <c r="H1099" s="1">
        <v>45591.157638888886</v>
      </c>
      <c r="I1099" s="1">
        <v>45591.32708333333</v>
      </c>
      <c r="J1099">
        <v>169</v>
      </c>
      <c r="K1099">
        <v>244</v>
      </c>
      <c r="L1099">
        <v>1</v>
      </c>
      <c r="M1099" t="s">
        <v>41</v>
      </c>
      <c r="N1099">
        <v>6</v>
      </c>
      <c r="O1099">
        <v>283.55</v>
      </c>
    </row>
    <row r="1100" spans="1:15" x14ac:dyDescent="0.35">
      <c r="A1100" t="s">
        <v>2383</v>
      </c>
      <c r="B1100" t="s">
        <v>24</v>
      </c>
      <c r="C1100" t="s">
        <v>2384</v>
      </c>
      <c r="D1100" t="s">
        <v>48</v>
      </c>
      <c r="E1100" t="s">
        <v>33</v>
      </c>
      <c r="F1100" t="s">
        <v>57</v>
      </c>
      <c r="G1100" t="s">
        <v>111</v>
      </c>
      <c r="H1100" s="1">
        <v>45313.509027777778</v>
      </c>
      <c r="I1100" s="1">
        <v>45313.573611111111</v>
      </c>
      <c r="J1100">
        <v>36</v>
      </c>
      <c r="K1100">
        <v>93</v>
      </c>
      <c r="L1100">
        <v>1</v>
      </c>
      <c r="M1100" t="s">
        <v>29</v>
      </c>
      <c r="N1100">
        <v>6</v>
      </c>
      <c r="O1100">
        <v>59.79</v>
      </c>
    </row>
    <row r="1101" spans="1:15" x14ac:dyDescent="0.35">
      <c r="A1101" t="s">
        <v>2385</v>
      </c>
      <c r="B1101" t="s">
        <v>63</v>
      </c>
      <c r="C1101" t="s">
        <v>2386</v>
      </c>
      <c r="D1101" t="s">
        <v>26</v>
      </c>
      <c r="E1101" t="s">
        <v>38</v>
      </c>
      <c r="F1101" t="s">
        <v>27</v>
      </c>
      <c r="G1101" t="s">
        <v>526</v>
      </c>
      <c r="H1101" s="1">
        <v>45405.059027777781</v>
      </c>
      <c r="I1101" s="1">
        <v>45405.181250000001</v>
      </c>
      <c r="J1101">
        <v>116</v>
      </c>
      <c r="K1101">
        <v>176</v>
      </c>
      <c r="L1101">
        <v>1</v>
      </c>
      <c r="M1101" t="s">
        <v>29</v>
      </c>
      <c r="N1101">
        <v>7</v>
      </c>
      <c r="O1101">
        <v>235.33</v>
      </c>
    </row>
    <row r="1102" spans="1:15" x14ac:dyDescent="0.35">
      <c r="A1102" t="s">
        <v>2387</v>
      </c>
      <c r="B1102" t="s">
        <v>24</v>
      </c>
      <c r="C1102" t="s">
        <v>2388</v>
      </c>
      <c r="D1102" t="s">
        <v>44</v>
      </c>
      <c r="E1102" t="s">
        <v>38</v>
      </c>
      <c r="F1102" t="s">
        <v>34</v>
      </c>
      <c r="G1102" t="s">
        <v>354</v>
      </c>
      <c r="H1102" s="1">
        <v>45591.47152777778</v>
      </c>
      <c r="I1102" s="1">
        <v>45591.60833333333</v>
      </c>
      <c r="J1102">
        <v>178</v>
      </c>
      <c r="K1102">
        <v>197</v>
      </c>
      <c r="L1102">
        <v>1</v>
      </c>
      <c r="M1102" t="s">
        <v>29</v>
      </c>
      <c r="N1102">
        <v>3</v>
      </c>
      <c r="O1102">
        <v>116.66</v>
      </c>
    </row>
    <row r="1103" spans="1:15" x14ac:dyDescent="0.35">
      <c r="A1103" t="s">
        <v>2389</v>
      </c>
      <c r="B1103" t="s">
        <v>16</v>
      </c>
      <c r="C1103" t="s">
        <v>2390</v>
      </c>
      <c r="D1103" t="s">
        <v>26</v>
      </c>
      <c r="E1103" t="s">
        <v>38</v>
      </c>
      <c r="F1103" t="s">
        <v>39</v>
      </c>
      <c r="G1103" t="s">
        <v>916</v>
      </c>
      <c r="H1103" s="1">
        <v>45372.5625</v>
      </c>
      <c r="I1103" s="1">
        <v>45372.64166666667</v>
      </c>
      <c r="J1103">
        <v>103</v>
      </c>
      <c r="K1103">
        <v>114</v>
      </c>
      <c r="L1103">
        <v>1</v>
      </c>
      <c r="M1103" t="s">
        <v>41</v>
      </c>
      <c r="N1103">
        <v>7</v>
      </c>
      <c r="O1103">
        <v>355.64</v>
      </c>
    </row>
    <row r="1104" spans="1:15" x14ac:dyDescent="0.35">
      <c r="A1104" t="s">
        <v>2391</v>
      </c>
      <c r="B1104" t="s">
        <v>63</v>
      </c>
      <c r="C1104" t="s">
        <v>2392</v>
      </c>
      <c r="D1104" t="s">
        <v>18</v>
      </c>
      <c r="E1104" t="s">
        <v>85</v>
      </c>
      <c r="F1104" t="s">
        <v>57</v>
      </c>
      <c r="G1104" t="s">
        <v>137</v>
      </c>
      <c r="H1104" s="1">
        <v>45648.302777777775</v>
      </c>
      <c r="I1104" s="1">
        <v>45648.390972222223</v>
      </c>
      <c r="J1104">
        <v>98</v>
      </c>
      <c r="K1104">
        <v>127</v>
      </c>
      <c r="L1104">
        <v>1</v>
      </c>
      <c r="M1104" t="s">
        <v>41</v>
      </c>
      <c r="N1104">
        <v>6</v>
      </c>
      <c r="O1104">
        <v>103.43</v>
      </c>
    </row>
    <row r="1105" spans="1:15" x14ac:dyDescent="0.35">
      <c r="A1105" t="s">
        <v>2393</v>
      </c>
      <c r="B1105" t="s">
        <v>51</v>
      </c>
      <c r="C1105" t="s">
        <v>2394</v>
      </c>
      <c r="D1105" t="s">
        <v>44</v>
      </c>
      <c r="E1105" t="s">
        <v>85</v>
      </c>
      <c r="F1105" t="s">
        <v>20</v>
      </c>
      <c r="G1105" t="s">
        <v>521</v>
      </c>
      <c r="H1105" s="1">
        <v>45601.113888888889</v>
      </c>
      <c r="I1105" s="1">
        <v>45601.146527777775</v>
      </c>
      <c r="J1105">
        <v>39</v>
      </c>
      <c r="K1105">
        <v>47</v>
      </c>
      <c r="L1105">
        <v>1</v>
      </c>
      <c r="M1105" t="s">
        <v>41</v>
      </c>
      <c r="N1105">
        <v>8</v>
      </c>
      <c r="O1105">
        <v>162.79</v>
      </c>
    </row>
    <row r="1106" spans="1:15" x14ac:dyDescent="0.35">
      <c r="A1106" t="s">
        <v>2395</v>
      </c>
      <c r="B1106" t="s">
        <v>63</v>
      </c>
      <c r="C1106" t="s">
        <v>2396</v>
      </c>
      <c r="D1106" t="s">
        <v>18</v>
      </c>
      <c r="E1106" t="s">
        <v>85</v>
      </c>
      <c r="F1106" t="s">
        <v>34</v>
      </c>
      <c r="G1106" t="s">
        <v>65</v>
      </c>
      <c r="H1106" s="1">
        <v>45364.460416666669</v>
      </c>
      <c r="I1106" s="1">
        <v>45364.623611111114</v>
      </c>
      <c r="J1106">
        <v>224</v>
      </c>
      <c r="K1106">
        <v>235</v>
      </c>
      <c r="L1106">
        <v>1</v>
      </c>
      <c r="M1106" t="s">
        <v>22</v>
      </c>
      <c r="N1106">
        <v>3</v>
      </c>
      <c r="O1106">
        <v>187.91</v>
      </c>
    </row>
    <row r="1107" spans="1:15" x14ac:dyDescent="0.35">
      <c r="A1107" t="s">
        <v>2397</v>
      </c>
      <c r="B1107" t="s">
        <v>31</v>
      </c>
      <c r="C1107" t="s">
        <v>2398</v>
      </c>
      <c r="D1107" t="s">
        <v>56</v>
      </c>
      <c r="E1107" t="s">
        <v>38</v>
      </c>
      <c r="F1107" t="s">
        <v>20</v>
      </c>
      <c r="G1107" t="s">
        <v>810</v>
      </c>
      <c r="H1107" s="1">
        <v>45528.302083333336</v>
      </c>
      <c r="I1107" s="1">
        <v>45528.429861111108</v>
      </c>
      <c r="J1107">
        <v>166</v>
      </c>
      <c r="K1107">
        <v>184</v>
      </c>
      <c r="L1107">
        <v>1</v>
      </c>
      <c r="M1107" t="s">
        <v>22</v>
      </c>
      <c r="N1107">
        <v>3</v>
      </c>
      <c r="O1107">
        <v>336.79</v>
      </c>
    </row>
    <row r="1108" spans="1:15" x14ac:dyDescent="0.35">
      <c r="A1108" t="s">
        <v>2399</v>
      </c>
      <c r="B1108" t="s">
        <v>24</v>
      </c>
      <c r="C1108" t="s">
        <v>2400</v>
      </c>
      <c r="D1108" t="s">
        <v>26</v>
      </c>
      <c r="E1108" t="s">
        <v>38</v>
      </c>
      <c r="F1108" t="s">
        <v>34</v>
      </c>
      <c r="G1108" t="s">
        <v>754</v>
      </c>
      <c r="H1108" s="1">
        <v>45574.091666666667</v>
      </c>
      <c r="I1108" s="1">
        <v>45574.253472222219</v>
      </c>
      <c r="J1108">
        <v>136</v>
      </c>
      <c r="K1108">
        <v>233</v>
      </c>
      <c r="L1108">
        <v>1</v>
      </c>
      <c r="M1108" t="s">
        <v>22</v>
      </c>
      <c r="N1108">
        <v>10</v>
      </c>
      <c r="O1108">
        <v>175.93</v>
      </c>
    </row>
    <row r="1109" spans="1:15" x14ac:dyDescent="0.35">
      <c r="A1109" t="s">
        <v>2401</v>
      </c>
      <c r="B1109" t="s">
        <v>24</v>
      </c>
      <c r="C1109" t="s">
        <v>2402</v>
      </c>
      <c r="D1109" t="s">
        <v>18</v>
      </c>
      <c r="E1109" t="s">
        <v>19</v>
      </c>
      <c r="F1109" t="s">
        <v>39</v>
      </c>
      <c r="G1109" t="s">
        <v>108</v>
      </c>
      <c r="H1109" s="1">
        <v>45402.720833333333</v>
      </c>
      <c r="I1109" s="1">
        <v>45402.794444444444</v>
      </c>
      <c r="J1109">
        <v>106</v>
      </c>
      <c r="K1109">
        <v>106</v>
      </c>
      <c r="L1109">
        <v>0</v>
      </c>
      <c r="M1109" t="s">
        <v>22</v>
      </c>
      <c r="N1109">
        <v>9</v>
      </c>
      <c r="O1109">
        <v>383.64</v>
      </c>
    </row>
    <row r="1110" spans="1:15" x14ac:dyDescent="0.35">
      <c r="A1110" t="s">
        <v>2403</v>
      </c>
      <c r="B1110" t="s">
        <v>16</v>
      </c>
      <c r="C1110" t="s">
        <v>2404</v>
      </c>
      <c r="D1110" t="s">
        <v>44</v>
      </c>
      <c r="E1110" t="s">
        <v>85</v>
      </c>
      <c r="F1110" t="s">
        <v>57</v>
      </c>
      <c r="G1110" t="s">
        <v>308</v>
      </c>
      <c r="H1110" s="1">
        <v>45530.786805555559</v>
      </c>
      <c r="I1110" s="1">
        <v>45530.875694444447</v>
      </c>
      <c r="J1110">
        <v>121</v>
      </c>
      <c r="K1110">
        <v>128</v>
      </c>
      <c r="L1110">
        <v>1</v>
      </c>
      <c r="M1110" t="s">
        <v>22</v>
      </c>
      <c r="N1110">
        <v>1</v>
      </c>
      <c r="O1110">
        <v>483.09</v>
      </c>
    </row>
    <row r="1111" spans="1:15" x14ac:dyDescent="0.35">
      <c r="A1111" t="s">
        <v>2405</v>
      </c>
      <c r="B1111" t="s">
        <v>63</v>
      </c>
      <c r="C1111" t="s">
        <v>2406</v>
      </c>
      <c r="D1111" t="s">
        <v>56</v>
      </c>
      <c r="E1111" t="s">
        <v>33</v>
      </c>
      <c r="F1111" t="s">
        <v>27</v>
      </c>
      <c r="G1111" t="s">
        <v>817</v>
      </c>
      <c r="H1111" s="1">
        <v>45425.113194444442</v>
      </c>
      <c r="I1111" s="1">
        <v>45425.296527777777</v>
      </c>
      <c r="J1111">
        <v>237</v>
      </c>
      <c r="K1111">
        <v>264</v>
      </c>
      <c r="L1111">
        <v>1</v>
      </c>
      <c r="M1111" t="s">
        <v>41</v>
      </c>
      <c r="N1111">
        <v>3</v>
      </c>
      <c r="O1111">
        <v>375.68</v>
      </c>
    </row>
    <row r="1112" spans="1:15" x14ac:dyDescent="0.35">
      <c r="A1112" t="s">
        <v>2407</v>
      </c>
      <c r="B1112" t="s">
        <v>51</v>
      </c>
      <c r="C1112" t="s">
        <v>2408</v>
      </c>
      <c r="D1112" t="s">
        <v>48</v>
      </c>
      <c r="E1112" t="s">
        <v>33</v>
      </c>
      <c r="F1112" t="s">
        <v>27</v>
      </c>
      <c r="G1112" t="s">
        <v>916</v>
      </c>
      <c r="H1112" s="1">
        <v>45439.432638888888</v>
      </c>
      <c r="I1112" s="1">
        <v>45439.559027777781</v>
      </c>
      <c r="J1112">
        <v>122</v>
      </c>
      <c r="K1112">
        <v>182</v>
      </c>
      <c r="L1112">
        <v>1</v>
      </c>
      <c r="M1112" t="s">
        <v>41</v>
      </c>
      <c r="N1112">
        <v>1</v>
      </c>
      <c r="O1112">
        <v>424.61</v>
      </c>
    </row>
    <row r="1113" spans="1:15" x14ac:dyDescent="0.35">
      <c r="A1113" t="s">
        <v>2409</v>
      </c>
      <c r="B1113" t="s">
        <v>51</v>
      </c>
      <c r="C1113" t="s">
        <v>2410</v>
      </c>
      <c r="D1113" t="s">
        <v>48</v>
      </c>
      <c r="E1113" t="s">
        <v>85</v>
      </c>
      <c r="F1113" t="s">
        <v>27</v>
      </c>
      <c r="G1113" t="s">
        <v>470</v>
      </c>
      <c r="H1113" s="1">
        <v>45556.359027777777</v>
      </c>
      <c r="I1113" s="1">
        <v>45556.504861111112</v>
      </c>
      <c r="J1113">
        <v>109</v>
      </c>
      <c r="K1113">
        <v>210</v>
      </c>
      <c r="L1113">
        <v>1</v>
      </c>
      <c r="M1113" t="s">
        <v>22</v>
      </c>
      <c r="N1113">
        <v>7</v>
      </c>
      <c r="O1113">
        <v>145.66</v>
      </c>
    </row>
    <row r="1114" spans="1:15" x14ac:dyDescent="0.35">
      <c r="A1114" t="s">
        <v>2411</v>
      </c>
      <c r="B1114" t="s">
        <v>63</v>
      </c>
      <c r="C1114" t="s">
        <v>2412</v>
      </c>
      <c r="D1114" t="s">
        <v>18</v>
      </c>
      <c r="E1114" t="s">
        <v>19</v>
      </c>
      <c r="F1114" t="s">
        <v>20</v>
      </c>
      <c r="G1114" t="s">
        <v>188</v>
      </c>
      <c r="H1114" s="1">
        <v>45322.205555555556</v>
      </c>
      <c r="I1114" s="1">
        <v>45322.424305555556</v>
      </c>
      <c r="J1114">
        <v>221</v>
      </c>
      <c r="K1114">
        <v>315</v>
      </c>
      <c r="L1114">
        <v>1</v>
      </c>
      <c r="M1114" t="s">
        <v>41</v>
      </c>
      <c r="N1114">
        <v>4</v>
      </c>
      <c r="O1114">
        <v>93.2</v>
      </c>
    </row>
    <row r="1115" spans="1:15" x14ac:dyDescent="0.35">
      <c r="A1115" t="s">
        <v>2413</v>
      </c>
      <c r="B1115" t="s">
        <v>16</v>
      </c>
      <c r="C1115" t="s">
        <v>2414</v>
      </c>
      <c r="D1115" t="s">
        <v>48</v>
      </c>
      <c r="E1115" t="s">
        <v>38</v>
      </c>
      <c r="F1115" t="s">
        <v>34</v>
      </c>
      <c r="G1115" t="s">
        <v>594</v>
      </c>
      <c r="H1115" s="1">
        <v>45433.850694444445</v>
      </c>
      <c r="I1115" s="1">
        <v>45434.006249999999</v>
      </c>
      <c r="J1115">
        <v>219</v>
      </c>
      <c r="K1115">
        <v>224</v>
      </c>
      <c r="L1115">
        <v>1</v>
      </c>
      <c r="M1115" t="s">
        <v>29</v>
      </c>
      <c r="N1115">
        <v>4</v>
      </c>
      <c r="O1115">
        <v>397.19</v>
      </c>
    </row>
    <row r="1116" spans="1:15" x14ac:dyDescent="0.35">
      <c r="A1116" t="s">
        <v>2415</v>
      </c>
      <c r="B1116" t="s">
        <v>63</v>
      </c>
      <c r="C1116" t="s">
        <v>2416</v>
      </c>
      <c r="D1116" t="s">
        <v>48</v>
      </c>
      <c r="E1116" t="s">
        <v>19</v>
      </c>
      <c r="F1116" t="s">
        <v>27</v>
      </c>
      <c r="G1116" t="s">
        <v>91</v>
      </c>
      <c r="H1116" s="1">
        <v>45604.243055555555</v>
      </c>
      <c r="I1116" s="1">
        <v>45604.335416666669</v>
      </c>
      <c r="J1116">
        <v>123</v>
      </c>
      <c r="K1116">
        <v>133</v>
      </c>
      <c r="L1116">
        <v>1</v>
      </c>
      <c r="M1116" t="s">
        <v>22</v>
      </c>
      <c r="N1116">
        <v>7</v>
      </c>
      <c r="O1116">
        <v>112.83</v>
      </c>
    </row>
    <row r="1117" spans="1:15" x14ac:dyDescent="0.35">
      <c r="A1117" t="s">
        <v>2417</v>
      </c>
      <c r="B1117" t="s">
        <v>24</v>
      </c>
      <c r="C1117" t="s">
        <v>2418</v>
      </c>
      <c r="D1117" t="s">
        <v>26</v>
      </c>
      <c r="E1117" t="s">
        <v>85</v>
      </c>
      <c r="F1117" t="s">
        <v>27</v>
      </c>
      <c r="G1117" t="s">
        <v>140</v>
      </c>
      <c r="H1117" s="1">
        <v>45517.558333333334</v>
      </c>
      <c r="I1117" s="1">
        <v>45517.602083333331</v>
      </c>
      <c r="J1117">
        <v>10</v>
      </c>
      <c r="K1117">
        <v>63</v>
      </c>
      <c r="L1117">
        <v>1</v>
      </c>
      <c r="M1117" t="s">
        <v>22</v>
      </c>
      <c r="N1117">
        <v>8</v>
      </c>
      <c r="O1117">
        <v>486.52</v>
      </c>
    </row>
    <row r="1118" spans="1:15" x14ac:dyDescent="0.35">
      <c r="A1118" t="s">
        <v>2419</v>
      </c>
      <c r="B1118" t="s">
        <v>16</v>
      </c>
      <c r="C1118" t="s">
        <v>2420</v>
      </c>
      <c r="D1118" t="s">
        <v>48</v>
      </c>
      <c r="E1118" t="s">
        <v>19</v>
      </c>
      <c r="F1118" t="s">
        <v>27</v>
      </c>
      <c r="G1118" t="s">
        <v>476</v>
      </c>
      <c r="H1118" s="1">
        <v>45437.353472222225</v>
      </c>
      <c r="I1118" s="1">
        <v>45437.558333333334</v>
      </c>
      <c r="J1118">
        <v>177</v>
      </c>
      <c r="K1118">
        <v>295</v>
      </c>
      <c r="L1118">
        <v>1</v>
      </c>
      <c r="M1118" t="s">
        <v>41</v>
      </c>
      <c r="N1118">
        <v>6</v>
      </c>
      <c r="O1118">
        <v>362.89</v>
      </c>
    </row>
    <row r="1119" spans="1:15" x14ac:dyDescent="0.35">
      <c r="A1119" t="s">
        <v>2421</v>
      </c>
      <c r="B1119" t="s">
        <v>63</v>
      </c>
      <c r="C1119" t="s">
        <v>2422</v>
      </c>
      <c r="D1119" t="s">
        <v>18</v>
      </c>
      <c r="E1119" t="s">
        <v>38</v>
      </c>
      <c r="F1119" t="s">
        <v>34</v>
      </c>
      <c r="G1119" t="s">
        <v>354</v>
      </c>
      <c r="H1119" s="1">
        <v>45655.782638888886</v>
      </c>
      <c r="I1119" s="1">
        <v>45655.834027777775</v>
      </c>
      <c r="J1119">
        <v>23</v>
      </c>
      <c r="K1119">
        <v>74</v>
      </c>
      <c r="L1119">
        <v>1</v>
      </c>
      <c r="M1119" t="s">
        <v>29</v>
      </c>
      <c r="N1119">
        <v>7</v>
      </c>
      <c r="O1119">
        <v>383.11</v>
      </c>
    </row>
    <row r="1120" spans="1:15" x14ac:dyDescent="0.35">
      <c r="A1120" t="s">
        <v>2423</v>
      </c>
      <c r="B1120" t="s">
        <v>63</v>
      </c>
      <c r="C1120" t="s">
        <v>2424</v>
      </c>
      <c r="D1120" t="s">
        <v>26</v>
      </c>
      <c r="E1120" t="s">
        <v>19</v>
      </c>
      <c r="F1120" t="s">
        <v>27</v>
      </c>
      <c r="G1120" t="s">
        <v>462</v>
      </c>
      <c r="H1120" s="1">
        <v>45648.051388888889</v>
      </c>
      <c r="I1120" s="1">
        <v>45648.243055555555</v>
      </c>
      <c r="J1120">
        <v>224</v>
      </c>
      <c r="K1120">
        <v>276</v>
      </c>
      <c r="L1120">
        <v>1</v>
      </c>
      <c r="M1120" t="s">
        <v>41</v>
      </c>
      <c r="N1120">
        <v>7</v>
      </c>
      <c r="O1120">
        <v>140.07</v>
      </c>
    </row>
    <row r="1121" spans="1:15" x14ac:dyDescent="0.35">
      <c r="A1121" t="s">
        <v>2425</v>
      </c>
      <c r="B1121" t="s">
        <v>31</v>
      </c>
      <c r="C1121" t="s">
        <v>2426</v>
      </c>
      <c r="D1121" t="s">
        <v>26</v>
      </c>
      <c r="E1121" t="s">
        <v>19</v>
      </c>
      <c r="F1121" t="s">
        <v>57</v>
      </c>
      <c r="G1121" t="s">
        <v>213</v>
      </c>
      <c r="H1121" s="1">
        <v>45384.265972222223</v>
      </c>
      <c r="I1121" s="1">
        <v>45384.338194444441</v>
      </c>
      <c r="J1121">
        <v>30</v>
      </c>
      <c r="K1121">
        <v>104</v>
      </c>
      <c r="L1121">
        <v>1</v>
      </c>
      <c r="M1121" t="s">
        <v>29</v>
      </c>
      <c r="N1121">
        <v>10</v>
      </c>
      <c r="O1121">
        <v>203.61</v>
      </c>
    </row>
    <row r="1122" spans="1:15" x14ac:dyDescent="0.35">
      <c r="A1122" t="s">
        <v>2427</v>
      </c>
      <c r="B1122" t="s">
        <v>51</v>
      </c>
      <c r="C1122" t="s">
        <v>2428</v>
      </c>
      <c r="D1122" t="s">
        <v>26</v>
      </c>
      <c r="E1122" t="s">
        <v>85</v>
      </c>
      <c r="F1122" t="s">
        <v>57</v>
      </c>
      <c r="G1122" t="s">
        <v>359</v>
      </c>
      <c r="H1122" s="1">
        <v>45632.34652777778</v>
      </c>
      <c r="I1122" s="1">
        <v>45632.563194444447</v>
      </c>
      <c r="J1122">
        <v>222</v>
      </c>
      <c r="K1122">
        <v>312</v>
      </c>
      <c r="L1122">
        <v>1</v>
      </c>
      <c r="M1122" t="s">
        <v>41</v>
      </c>
      <c r="N1122">
        <v>9</v>
      </c>
      <c r="O1122">
        <v>150.84</v>
      </c>
    </row>
    <row r="1123" spans="1:15" x14ac:dyDescent="0.35">
      <c r="A1123" t="s">
        <v>2429</v>
      </c>
      <c r="B1123" t="s">
        <v>51</v>
      </c>
      <c r="C1123" t="s">
        <v>2430</v>
      </c>
      <c r="D1123" t="s">
        <v>44</v>
      </c>
      <c r="E1123" t="s">
        <v>85</v>
      </c>
      <c r="F1123" t="s">
        <v>20</v>
      </c>
      <c r="G1123" t="s">
        <v>146</v>
      </c>
      <c r="H1123" s="1">
        <v>45533.904861111114</v>
      </c>
      <c r="I1123" s="1">
        <v>45533.995833333334</v>
      </c>
      <c r="J1123">
        <v>95</v>
      </c>
      <c r="K1123">
        <v>131</v>
      </c>
      <c r="L1123">
        <v>1</v>
      </c>
      <c r="M1123" t="s">
        <v>29</v>
      </c>
      <c r="N1123">
        <v>4</v>
      </c>
      <c r="O1123">
        <v>194.11</v>
      </c>
    </row>
    <row r="1124" spans="1:15" x14ac:dyDescent="0.35">
      <c r="A1124" t="s">
        <v>2431</v>
      </c>
      <c r="B1124" t="s">
        <v>51</v>
      </c>
      <c r="C1124" t="s">
        <v>2432</v>
      </c>
      <c r="D1124" t="s">
        <v>56</v>
      </c>
      <c r="E1124" t="s">
        <v>85</v>
      </c>
      <c r="F1124" t="s">
        <v>39</v>
      </c>
      <c r="G1124" t="s">
        <v>21</v>
      </c>
      <c r="H1124" s="1">
        <v>45612.526388888888</v>
      </c>
      <c r="I1124" s="1">
        <v>45612.673611111109</v>
      </c>
      <c r="J1124">
        <v>113</v>
      </c>
      <c r="K1124">
        <v>212</v>
      </c>
      <c r="L1124">
        <v>1</v>
      </c>
      <c r="M1124" t="s">
        <v>29</v>
      </c>
      <c r="N1124">
        <v>1</v>
      </c>
      <c r="O1124">
        <v>200.75</v>
      </c>
    </row>
    <row r="1125" spans="1:15" x14ac:dyDescent="0.35">
      <c r="A1125" t="s">
        <v>2433</v>
      </c>
      <c r="B1125" t="s">
        <v>24</v>
      </c>
      <c r="C1125" t="s">
        <v>2434</v>
      </c>
      <c r="D1125" t="s">
        <v>44</v>
      </c>
      <c r="E1125" t="s">
        <v>19</v>
      </c>
      <c r="F1125" t="s">
        <v>57</v>
      </c>
      <c r="G1125" t="s">
        <v>1125</v>
      </c>
      <c r="H1125" s="1">
        <v>45467.986805555556</v>
      </c>
      <c r="I1125" s="1">
        <v>45468.034722222219</v>
      </c>
      <c r="J1125">
        <v>58</v>
      </c>
      <c r="K1125">
        <v>69</v>
      </c>
      <c r="L1125">
        <v>1</v>
      </c>
      <c r="M1125" t="s">
        <v>22</v>
      </c>
      <c r="N1125">
        <v>7</v>
      </c>
      <c r="O1125">
        <v>253.48</v>
      </c>
    </row>
    <row r="1126" spans="1:15" x14ac:dyDescent="0.35">
      <c r="A1126" t="s">
        <v>2435</v>
      </c>
      <c r="B1126" t="s">
        <v>16</v>
      </c>
      <c r="C1126" t="s">
        <v>2436</v>
      </c>
      <c r="D1126" t="s">
        <v>48</v>
      </c>
      <c r="E1126" t="s">
        <v>85</v>
      </c>
      <c r="F1126" t="s">
        <v>20</v>
      </c>
      <c r="G1126" t="s">
        <v>853</v>
      </c>
      <c r="H1126" s="1">
        <v>45524.15902777778</v>
      </c>
      <c r="I1126" s="1">
        <v>45524.334722222222</v>
      </c>
      <c r="J1126">
        <v>143</v>
      </c>
      <c r="K1126">
        <v>253</v>
      </c>
      <c r="L1126">
        <v>1</v>
      </c>
      <c r="M1126" t="s">
        <v>22</v>
      </c>
      <c r="N1126">
        <v>8</v>
      </c>
      <c r="O1126">
        <v>137.71</v>
      </c>
    </row>
    <row r="1127" spans="1:15" x14ac:dyDescent="0.35">
      <c r="A1127" t="s">
        <v>2437</v>
      </c>
      <c r="B1127" t="s">
        <v>63</v>
      </c>
      <c r="C1127" t="s">
        <v>2438</v>
      </c>
      <c r="D1127" t="s">
        <v>56</v>
      </c>
      <c r="E1127" t="s">
        <v>85</v>
      </c>
      <c r="F1127" t="s">
        <v>27</v>
      </c>
      <c r="G1127" t="s">
        <v>388</v>
      </c>
      <c r="H1127" s="1">
        <v>45531.368055555555</v>
      </c>
      <c r="I1127" s="1">
        <v>45531.451388888891</v>
      </c>
      <c r="J1127">
        <v>65</v>
      </c>
      <c r="K1127">
        <v>120</v>
      </c>
      <c r="L1127">
        <v>1</v>
      </c>
      <c r="M1127" t="s">
        <v>22</v>
      </c>
      <c r="N1127">
        <v>5</v>
      </c>
      <c r="O1127">
        <v>463.34</v>
      </c>
    </row>
    <row r="1128" spans="1:15" x14ac:dyDescent="0.35">
      <c r="A1128" t="s">
        <v>2439</v>
      </c>
      <c r="B1128" t="s">
        <v>63</v>
      </c>
      <c r="C1128" t="s">
        <v>2440</v>
      </c>
      <c r="D1128" t="s">
        <v>44</v>
      </c>
      <c r="E1128" t="s">
        <v>85</v>
      </c>
      <c r="F1128" t="s">
        <v>27</v>
      </c>
      <c r="G1128" t="s">
        <v>1125</v>
      </c>
      <c r="H1128" s="1">
        <v>45457.835416666669</v>
      </c>
      <c r="I1128" s="1">
        <v>45458.000694444447</v>
      </c>
      <c r="J1128">
        <v>129</v>
      </c>
      <c r="K1128">
        <v>238</v>
      </c>
      <c r="L1128">
        <v>1</v>
      </c>
      <c r="M1128" t="s">
        <v>22</v>
      </c>
      <c r="N1128">
        <v>10</v>
      </c>
      <c r="O1128">
        <v>469.56</v>
      </c>
    </row>
    <row r="1129" spans="1:15" x14ac:dyDescent="0.35">
      <c r="A1129" t="s">
        <v>2441</v>
      </c>
      <c r="B1129" t="s">
        <v>63</v>
      </c>
      <c r="C1129" t="s">
        <v>2442</v>
      </c>
      <c r="D1129" t="s">
        <v>44</v>
      </c>
      <c r="E1129" t="s">
        <v>33</v>
      </c>
      <c r="F1129" t="s">
        <v>34</v>
      </c>
      <c r="G1129" t="s">
        <v>364</v>
      </c>
      <c r="H1129" s="1">
        <v>45465.179861111108</v>
      </c>
      <c r="I1129" s="1">
        <v>45465.401388888888</v>
      </c>
      <c r="J1129">
        <v>199</v>
      </c>
      <c r="K1129">
        <v>319</v>
      </c>
      <c r="L1129">
        <v>1</v>
      </c>
      <c r="M1129" t="s">
        <v>29</v>
      </c>
      <c r="N1129">
        <v>8</v>
      </c>
      <c r="O1129">
        <v>452.85</v>
      </c>
    </row>
    <row r="1130" spans="1:15" x14ac:dyDescent="0.35">
      <c r="A1130" t="s">
        <v>2443</v>
      </c>
      <c r="B1130" t="s">
        <v>63</v>
      </c>
      <c r="C1130" t="s">
        <v>2444</v>
      </c>
      <c r="D1130" t="s">
        <v>48</v>
      </c>
      <c r="E1130" t="s">
        <v>19</v>
      </c>
      <c r="F1130" t="s">
        <v>20</v>
      </c>
      <c r="G1130" t="s">
        <v>182</v>
      </c>
      <c r="H1130" s="1">
        <v>45343.039583333331</v>
      </c>
      <c r="I1130" s="1">
        <v>45343.129166666666</v>
      </c>
      <c r="J1130">
        <v>109</v>
      </c>
      <c r="K1130">
        <v>129</v>
      </c>
      <c r="L1130">
        <v>1</v>
      </c>
      <c r="M1130" t="s">
        <v>41</v>
      </c>
      <c r="N1130">
        <v>7</v>
      </c>
      <c r="O1130">
        <v>278.35000000000002</v>
      </c>
    </row>
    <row r="1131" spans="1:15" x14ac:dyDescent="0.35">
      <c r="A1131" t="s">
        <v>2445</v>
      </c>
      <c r="B1131" t="s">
        <v>16</v>
      </c>
      <c r="C1131" t="s">
        <v>2446</v>
      </c>
      <c r="D1131" t="s">
        <v>44</v>
      </c>
      <c r="E1131" t="s">
        <v>85</v>
      </c>
      <c r="F1131" t="s">
        <v>20</v>
      </c>
      <c r="G1131" t="s">
        <v>782</v>
      </c>
      <c r="H1131" s="1">
        <v>45345.748611111114</v>
      </c>
      <c r="I1131" s="1">
        <v>45345.89166666667</v>
      </c>
      <c r="J1131">
        <v>97</v>
      </c>
      <c r="K1131">
        <v>206</v>
      </c>
      <c r="L1131">
        <v>1</v>
      </c>
      <c r="M1131" t="s">
        <v>41</v>
      </c>
      <c r="N1131">
        <v>2</v>
      </c>
      <c r="O1131">
        <v>57.48</v>
      </c>
    </row>
    <row r="1132" spans="1:15" x14ac:dyDescent="0.35">
      <c r="A1132" t="s">
        <v>2447</v>
      </c>
      <c r="B1132" t="s">
        <v>63</v>
      </c>
      <c r="C1132" t="s">
        <v>2448</v>
      </c>
      <c r="D1132" t="s">
        <v>56</v>
      </c>
      <c r="E1132" t="s">
        <v>38</v>
      </c>
      <c r="F1132" t="s">
        <v>39</v>
      </c>
      <c r="G1132" t="s">
        <v>283</v>
      </c>
      <c r="H1132" s="1">
        <v>45548.347222222219</v>
      </c>
      <c r="I1132" s="1">
        <v>45548.501388888886</v>
      </c>
      <c r="J1132">
        <v>226</v>
      </c>
      <c r="K1132">
        <v>222</v>
      </c>
      <c r="L1132">
        <v>0</v>
      </c>
      <c r="M1132" t="s">
        <v>41</v>
      </c>
      <c r="N1132">
        <v>2</v>
      </c>
      <c r="O1132">
        <v>210.47</v>
      </c>
    </row>
    <row r="1133" spans="1:15" x14ac:dyDescent="0.35">
      <c r="A1133" t="s">
        <v>2449</v>
      </c>
      <c r="B1133" t="s">
        <v>16</v>
      </c>
      <c r="C1133" t="s">
        <v>2450</v>
      </c>
      <c r="D1133" t="s">
        <v>26</v>
      </c>
      <c r="E1133" t="s">
        <v>33</v>
      </c>
      <c r="F1133" t="s">
        <v>57</v>
      </c>
      <c r="G1133" t="s">
        <v>237</v>
      </c>
      <c r="H1133" s="1">
        <v>45340.677777777775</v>
      </c>
      <c r="I1133" s="1">
        <v>45340.743055555555</v>
      </c>
      <c r="J1133">
        <v>74</v>
      </c>
      <c r="K1133">
        <v>94</v>
      </c>
      <c r="L1133">
        <v>1</v>
      </c>
      <c r="M1133" t="s">
        <v>41</v>
      </c>
      <c r="N1133">
        <v>6</v>
      </c>
      <c r="O1133">
        <v>86.77</v>
      </c>
    </row>
    <row r="1134" spans="1:15" x14ac:dyDescent="0.35">
      <c r="A1134" t="s">
        <v>2451</v>
      </c>
      <c r="B1134" t="s">
        <v>16</v>
      </c>
      <c r="C1134" t="s">
        <v>2452</v>
      </c>
      <c r="D1134" t="s">
        <v>26</v>
      </c>
      <c r="E1134" t="s">
        <v>33</v>
      </c>
      <c r="F1134" t="s">
        <v>20</v>
      </c>
      <c r="G1134" t="s">
        <v>505</v>
      </c>
      <c r="H1134" s="1">
        <v>45523.289583333331</v>
      </c>
      <c r="I1134" s="1">
        <v>45523.45416666667</v>
      </c>
      <c r="J1134">
        <v>198</v>
      </c>
      <c r="K1134">
        <v>237</v>
      </c>
      <c r="L1134">
        <v>1</v>
      </c>
      <c r="M1134" t="s">
        <v>22</v>
      </c>
      <c r="N1134">
        <v>3</v>
      </c>
      <c r="O1134">
        <v>167.58</v>
      </c>
    </row>
    <row r="1135" spans="1:15" x14ac:dyDescent="0.35">
      <c r="A1135" t="s">
        <v>2453</v>
      </c>
      <c r="B1135" t="s">
        <v>24</v>
      </c>
      <c r="C1135" t="s">
        <v>2454</v>
      </c>
      <c r="D1135" t="s">
        <v>26</v>
      </c>
      <c r="E1135" t="s">
        <v>38</v>
      </c>
      <c r="F1135" t="s">
        <v>39</v>
      </c>
      <c r="G1135" t="s">
        <v>182</v>
      </c>
      <c r="H1135" s="1">
        <v>45649.21597222222</v>
      </c>
      <c r="I1135" s="1">
        <v>45649.443055555559</v>
      </c>
      <c r="J1135">
        <v>207</v>
      </c>
      <c r="K1135">
        <v>327</v>
      </c>
      <c r="L1135">
        <v>1</v>
      </c>
      <c r="M1135" t="s">
        <v>22</v>
      </c>
      <c r="N1135">
        <v>1</v>
      </c>
      <c r="O1135">
        <v>356.92</v>
      </c>
    </row>
    <row r="1136" spans="1:15" x14ac:dyDescent="0.35">
      <c r="A1136" t="s">
        <v>2455</v>
      </c>
      <c r="B1136" t="s">
        <v>24</v>
      </c>
      <c r="C1136" t="s">
        <v>2456</v>
      </c>
      <c r="D1136" t="s">
        <v>56</v>
      </c>
      <c r="E1136" t="s">
        <v>38</v>
      </c>
      <c r="F1136" t="s">
        <v>20</v>
      </c>
      <c r="G1136" t="s">
        <v>640</v>
      </c>
      <c r="H1136" s="1">
        <v>45482.529861111114</v>
      </c>
      <c r="I1136" s="1">
        <v>45482.583333333336</v>
      </c>
      <c r="J1136">
        <v>37</v>
      </c>
      <c r="K1136">
        <v>77</v>
      </c>
      <c r="L1136">
        <v>1</v>
      </c>
      <c r="M1136" t="s">
        <v>22</v>
      </c>
      <c r="N1136">
        <v>3</v>
      </c>
      <c r="O1136">
        <v>290.66000000000003</v>
      </c>
    </row>
    <row r="1137" spans="1:15" x14ac:dyDescent="0.35">
      <c r="A1137" t="s">
        <v>2457</v>
      </c>
      <c r="B1137" t="s">
        <v>24</v>
      </c>
      <c r="C1137" t="s">
        <v>2458</v>
      </c>
      <c r="D1137" t="s">
        <v>56</v>
      </c>
      <c r="E1137" t="s">
        <v>33</v>
      </c>
      <c r="F1137" t="s">
        <v>27</v>
      </c>
      <c r="G1137" t="s">
        <v>91</v>
      </c>
      <c r="H1137" s="1">
        <v>45542.461805555555</v>
      </c>
      <c r="I1137" s="1">
        <v>45542.538194444445</v>
      </c>
      <c r="J1137">
        <v>48</v>
      </c>
      <c r="K1137">
        <v>110</v>
      </c>
      <c r="L1137">
        <v>1</v>
      </c>
      <c r="M1137" t="s">
        <v>29</v>
      </c>
      <c r="N1137">
        <v>7</v>
      </c>
      <c r="O1137">
        <v>409.01</v>
      </c>
    </row>
    <row r="1138" spans="1:15" x14ac:dyDescent="0.35">
      <c r="A1138" t="s">
        <v>2459</v>
      </c>
      <c r="B1138" t="s">
        <v>63</v>
      </c>
      <c r="C1138" t="s">
        <v>2460</v>
      </c>
      <c r="D1138" t="s">
        <v>18</v>
      </c>
      <c r="E1138" t="s">
        <v>33</v>
      </c>
      <c r="F1138" t="s">
        <v>57</v>
      </c>
      <c r="G1138" t="s">
        <v>123</v>
      </c>
      <c r="H1138" s="1">
        <v>45423.810416666667</v>
      </c>
      <c r="I1138" s="1">
        <v>45423.95</v>
      </c>
      <c r="J1138">
        <v>87</v>
      </c>
      <c r="K1138">
        <v>201</v>
      </c>
      <c r="L1138">
        <v>1</v>
      </c>
      <c r="M1138" t="s">
        <v>29</v>
      </c>
      <c r="N1138">
        <v>6</v>
      </c>
      <c r="O1138">
        <v>194.79</v>
      </c>
    </row>
    <row r="1139" spans="1:15" x14ac:dyDescent="0.35">
      <c r="A1139" t="s">
        <v>2461</v>
      </c>
      <c r="B1139" t="s">
        <v>63</v>
      </c>
      <c r="C1139" t="s">
        <v>2462</v>
      </c>
      <c r="D1139" t="s">
        <v>56</v>
      </c>
      <c r="E1139" t="s">
        <v>19</v>
      </c>
      <c r="F1139" t="s">
        <v>34</v>
      </c>
      <c r="G1139" t="s">
        <v>308</v>
      </c>
      <c r="H1139" s="1">
        <v>45322.451388888891</v>
      </c>
      <c r="I1139" s="1">
        <v>45322.545138888891</v>
      </c>
      <c r="J1139">
        <v>32</v>
      </c>
      <c r="K1139">
        <v>135</v>
      </c>
      <c r="L1139">
        <v>1</v>
      </c>
      <c r="M1139" t="s">
        <v>41</v>
      </c>
      <c r="N1139">
        <v>2</v>
      </c>
      <c r="O1139">
        <v>232.37</v>
      </c>
    </row>
    <row r="1140" spans="1:15" x14ac:dyDescent="0.35">
      <c r="A1140" t="s">
        <v>2463</v>
      </c>
      <c r="B1140" t="s">
        <v>51</v>
      </c>
      <c r="C1140" t="s">
        <v>2464</v>
      </c>
      <c r="D1140" t="s">
        <v>48</v>
      </c>
      <c r="E1140" t="s">
        <v>19</v>
      </c>
      <c r="F1140" t="s">
        <v>34</v>
      </c>
      <c r="G1140" t="s">
        <v>817</v>
      </c>
      <c r="H1140" s="1">
        <v>45292.548611111109</v>
      </c>
      <c r="I1140" s="1">
        <v>45292.620138888888</v>
      </c>
      <c r="J1140">
        <v>67</v>
      </c>
      <c r="K1140">
        <v>103</v>
      </c>
      <c r="L1140">
        <v>1</v>
      </c>
      <c r="M1140" t="s">
        <v>22</v>
      </c>
      <c r="N1140">
        <v>4</v>
      </c>
      <c r="O1140">
        <v>289.87</v>
      </c>
    </row>
    <row r="1141" spans="1:15" x14ac:dyDescent="0.35">
      <c r="A1141" t="s">
        <v>2465</v>
      </c>
      <c r="B1141" t="s">
        <v>16</v>
      </c>
      <c r="C1141" t="s">
        <v>2466</v>
      </c>
      <c r="D1141" t="s">
        <v>48</v>
      </c>
      <c r="E1141" t="s">
        <v>19</v>
      </c>
      <c r="F1141" t="s">
        <v>39</v>
      </c>
      <c r="G1141" t="s">
        <v>338</v>
      </c>
      <c r="H1141" s="1">
        <v>45437.413194444445</v>
      </c>
      <c r="I1141" s="1">
        <v>45437.498611111114</v>
      </c>
      <c r="J1141">
        <v>125</v>
      </c>
      <c r="K1141">
        <v>123</v>
      </c>
      <c r="L1141">
        <v>0</v>
      </c>
      <c r="M1141" t="s">
        <v>41</v>
      </c>
      <c r="N1141">
        <v>9</v>
      </c>
      <c r="O1141">
        <v>187.15</v>
      </c>
    </row>
    <row r="1142" spans="1:15" x14ac:dyDescent="0.35">
      <c r="A1142" t="s">
        <v>2467</v>
      </c>
      <c r="B1142" t="s">
        <v>51</v>
      </c>
      <c r="C1142" t="s">
        <v>2468</v>
      </c>
      <c r="D1142" t="s">
        <v>44</v>
      </c>
      <c r="E1142" t="s">
        <v>38</v>
      </c>
      <c r="F1142" t="s">
        <v>39</v>
      </c>
      <c r="G1142" t="s">
        <v>343</v>
      </c>
      <c r="H1142" s="1">
        <v>45530.406944444447</v>
      </c>
      <c r="I1142" s="1">
        <v>45530.48541666667</v>
      </c>
      <c r="J1142">
        <v>100</v>
      </c>
      <c r="K1142">
        <v>113</v>
      </c>
      <c r="L1142">
        <v>1</v>
      </c>
      <c r="M1142" t="s">
        <v>22</v>
      </c>
      <c r="N1142">
        <v>9</v>
      </c>
      <c r="O1142">
        <v>130.12</v>
      </c>
    </row>
    <row r="1143" spans="1:15" x14ac:dyDescent="0.35">
      <c r="A1143" t="s">
        <v>2469</v>
      </c>
      <c r="B1143" t="s">
        <v>16</v>
      </c>
      <c r="C1143" t="s">
        <v>2470</v>
      </c>
      <c r="D1143" t="s">
        <v>48</v>
      </c>
      <c r="E1143" t="s">
        <v>38</v>
      </c>
      <c r="F1143" t="s">
        <v>39</v>
      </c>
      <c r="G1143" t="s">
        <v>161</v>
      </c>
      <c r="H1143" s="1">
        <v>45343.035416666666</v>
      </c>
      <c r="I1143" s="1">
        <v>45343.06527777778</v>
      </c>
      <c r="J1143">
        <v>41</v>
      </c>
      <c r="K1143">
        <v>43</v>
      </c>
      <c r="L1143">
        <v>1</v>
      </c>
      <c r="M1143" t="s">
        <v>41</v>
      </c>
      <c r="N1143">
        <v>9</v>
      </c>
      <c r="O1143">
        <v>363.67</v>
      </c>
    </row>
    <row r="1144" spans="1:15" x14ac:dyDescent="0.35">
      <c r="A1144" t="s">
        <v>2471</v>
      </c>
      <c r="B1144" t="s">
        <v>24</v>
      </c>
      <c r="C1144" t="s">
        <v>2472</v>
      </c>
      <c r="D1144" t="s">
        <v>44</v>
      </c>
      <c r="E1144" t="s">
        <v>19</v>
      </c>
      <c r="F1144" t="s">
        <v>20</v>
      </c>
      <c r="G1144" t="s">
        <v>173</v>
      </c>
      <c r="H1144" s="1">
        <v>45489.681944444441</v>
      </c>
      <c r="I1144" s="1">
        <v>45489.887499999997</v>
      </c>
      <c r="J1144">
        <v>212</v>
      </c>
      <c r="K1144">
        <v>296</v>
      </c>
      <c r="L1144">
        <v>1</v>
      </c>
      <c r="M1144" t="s">
        <v>41</v>
      </c>
      <c r="N1144">
        <v>8</v>
      </c>
      <c r="O1144">
        <v>414.97</v>
      </c>
    </row>
    <row r="1145" spans="1:15" x14ac:dyDescent="0.35">
      <c r="A1145" t="s">
        <v>2473</v>
      </c>
      <c r="B1145" t="s">
        <v>31</v>
      </c>
      <c r="C1145" t="s">
        <v>2474</v>
      </c>
      <c r="D1145" t="s">
        <v>18</v>
      </c>
      <c r="E1145" t="s">
        <v>33</v>
      </c>
      <c r="F1145" t="s">
        <v>20</v>
      </c>
      <c r="G1145" t="s">
        <v>82</v>
      </c>
      <c r="H1145" s="1">
        <v>45300.02847222222</v>
      </c>
      <c r="I1145" s="1">
        <v>45300.210416666669</v>
      </c>
      <c r="J1145">
        <v>232</v>
      </c>
      <c r="K1145">
        <v>262</v>
      </c>
      <c r="L1145">
        <v>1</v>
      </c>
      <c r="M1145" t="s">
        <v>41</v>
      </c>
      <c r="N1145">
        <v>7</v>
      </c>
      <c r="O1145">
        <v>372.14</v>
      </c>
    </row>
    <row r="1146" spans="1:15" x14ac:dyDescent="0.35">
      <c r="A1146" t="s">
        <v>2475</v>
      </c>
      <c r="B1146" t="s">
        <v>24</v>
      </c>
      <c r="C1146" t="s">
        <v>2476</v>
      </c>
      <c r="D1146" t="s">
        <v>56</v>
      </c>
      <c r="E1146" t="s">
        <v>19</v>
      </c>
      <c r="F1146" t="s">
        <v>20</v>
      </c>
      <c r="G1146" t="s">
        <v>916</v>
      </c>
      <c r="H1146" s="1">
        <v>45361.578472222223</v>
      </c>
      <c r="I1146" s="1">
        <v>45361.720138888886</v>
      </c>
      <c r="J1146">
        <v>179</v>
      </c>
      <c r="K1146">
        <v>204</v>
      </c>
      <c r="L1146">
        <v>1</v>
      </c>
      <c r="M1146" t="s">
        <v>22</v>
      </c>
      <c r="N1146">
        <v>8</v>
      </c>
      <c r="O1146">
        <v>169.41</v>
      </c>
    </row>
    <row r="1147" spans="1:15" x14ac:dyDescent="0.35">
      <c r="A1147" t="s">
        <v>2477</v>
      </c>
      <c r="B1147" t="s">
        <v>24</v>
      </c>
      <c r="C1147" t="s">
        <v>2478</v>
      </c>
      <c r="D1147" t="s">
        <v>48</v>
      </c>
      <c r="E1147" t="s">
        <v>38</v>
      </c>
      <c r="F1147" t="s">
        <v>27</v>
      </c>
      <c r="G1147" t="s">
        <v>777</v>
      </c>
      <c r="H1147" s="1">
        <v>45542.344444444447</v>
      </c>
      <c r="I1147" s="1">
        <v>45542.511111111111</v>
      </c>
      <c r="J1147">
        <v>198</v>
      </c>
      <c r="K1147">
        <v>240</v>
      </c>
      <c r="L1147">
        <v>1</v>
      </c>
      <c r="M1147" t="s">
        <v>22</v>
      </c>
      <c r="N1147">
        <v>8</v>
      </c>
      <c r="O1147">
        <v>347.43</v>
      </c>
    </row>
    <row r="1148" spans="1:15" x14ac:dyDescent="0.35">
      <c r="A1148" t="s">
        <v>2479</v>
      </c>
      <c r="B1148" t="s">
        <v>31</v>
      </c>
      <c r="C1148" t="s">
        <v>2480</v>
      </c>
      <c r="D1148" t="s">
        <v>56</v>
      </c>
      <c r="E1148" t="s">
        <v>85</v>
      </c>
      <c r="F1148" t="s">
        <v>57</v>
      </c>
      <c r="G1148" t="s">
        <v>108</v>
      </c>
      <c r="H1148" s="1">
        <v>45550.309027777781</v>
      </c>
      <c r="I1148" s="1">
        <v>45550.51458333333</v>
      </c>
      <c r="J1148">
        <v>233</v>
      </c>
      <c r="K1148">
        <v>296</v>
      </c>
      <c r="L1148">
        <v>1</v>
      </c>
      <c r="M1148" t="s">
        <v>41</v>
      </c>
      <c r="N1148">
        <v>6</v>
      </c>
      <c r="O1148">
        <v>254.9</v>
      </c>
    </row>
    <row r="1149" spans="1:15" x14ac:dyDescent="0.35">
      <c r="A1149" t="s">
        <v>2481</v>
      </c>
      <c r="B1149" t="s">
        <v>16</v>
      </c>
      <c r="C1149" t="s">
        <v>2482</v>
      </c>
      <c r="D1149" t="s">
        <v>26</v>
      </c>
      <c r="E1149" t="s">
        <v>33</v>
      </c>
      <c r="F1149" t="s">
        <v>34</v>
      </c>
      <c r="G1149" t="s">
        <v>79</v>
      </c>
      <c r="H1149" s="1">
        <v>45351.493750000001</v>
      </c>
      <c r="I1149" s="1">
        <v>45351.551388888889</v>
      </c>
      <c r="J1149">
        <v>17</v>
      </c>
      <c r="K1149">
        <v>83</v>
      </c>
      <c r="L1149">
        <v>1</v>
      </c>
      <c r="M1149" t="s">
        <v>22</v>
      </c>
      <c r="N1149">
        <v>5</v>
      </c>
      <c r="O1149">
        <v>452.75</v>
      </c>
    </row>
    <row r="1150" spans="1:15" x14ac:dyDescent="0.35">
      <c r="A1150" t="s">
        <v>2483</v>
      </c>
      <c r="B1150" t="s">
        <v>31</v>
      </c>
      <c r="C1150" t="s">
        <v>2484</v>
      </c>
      <c r="D1150" t="s">
        <v>26</v>
      </c>
      <c r="E1150" t="s">
        <v>19</v>
      </c>
      <c r="F1150" t="s">
        <v>57</v>
      </c>
      <c r="G1150" t="s">
        <v>114</v>
      </c>
      <c r="H1150" s="1">
        <v>45646.816666666666</v>
      </c>
      <c r="I1150" s="1">
        <v>45646.947222222225</v>
      </c>
      <c r="J1150">
        <v>84</v>
      </c>
      <c r="K1150">
        <v>188</v>
      </c>
      <c r="L1150">
        <v>1</v>
      </c>
      <c r="M1150" t="s">
        <v>41</v>
      </c>
      <c r="N1150">
        <v>1</v>
      </c>
      <c r="O1150">
        <v>327.52</v>
      </c>
    </row>
    <row r="1151" spans="1:15" x14ac:dyDescent="0.35">
      <c r="A1151" t="s">
        <v>2485</v>
      </c>
      <c r="B1151" t="s">
        <v>31</v>
      </c>
      <c r="C1151" t="s">
        <v>2486</v>
      </c>
      <c r="D1151" t="s">
        <v>44</v>
      </c>
      <c r="E1151" t="s">
        <v>85</v>
      </c>
      <c r="F1151" t="s">
        <v>57</v>
      </c>
      <c r="G1151" t="s">
        <v>785</v>
      </c>
      <c r="H1151" s="1">
        <v>45531.675694444442</v>
      </c>
      <c r="I1151" s="1">
        <v>45531.713888888888</v>
      </c>
      <c r="J1151">
        <v>15</v>
      </c>
      <c r="K1151">
        <v>55</v>
      </c>
      <c r="L1151">
        <v>1</v>
      </c>
      <c r="M1151" t="s">
        <v>29</v>
      </c>
      <c r="N1151">
        <v>8</v>
      </c>
      <c r="O1151">
        <v>150.94</v>
      </c>
    </row>
    <row r="1152" spans="1:15" x14ac:dyDescent="0.35">
      <c r="A1152" t="s">
        <v>2487</v>
      </c>
      <c r="B1152" t="s">
        <v>31</v>
      </c>
      <c r="C1152" t="s">
        <v>2488</v>
      </c>
      <c r="D1152" t="s">
        <v>18</v>
      </c>
      <c r="E1152" t="s">
        <v>38</v>
      </c>
      <c r="F1152" t="s">
        <v>20</v>
      </c>
      <c r="G1152" t="s">
        <v>897</v>
      </c>
      <c r="H1152" s="1">
        <v>45319.20416666667</v>
      </c>
      <c r="I1152" s="1">
        <v>45319.35833333333</v>
      </c>
      <c r="J1152">
        <v>212</v>
      </c>
      <c r="K1152">
        <v>222</v>
      </c>
      <c r="L1152">
        <v>1</v>
      </c>
      <c r="M1152" t="s">
        <v>41</v>
      </c>
      <c r="N1152">
        <v>3</v>
      </c>
      <c r="O1152">
        <v>87.35</v>
      </c>
    </row>
    <row r="1153" spans="1:15" x14ac:dyDescent="0.35">
      <c r="A1153" t="s">
        <v>2489</v>
      </c>
      <c r="B1153" t="s">
        <v>51</v>
      </c>
      <c r="C1153" t="s">
        <v>2490</v>
      </c>
      <c r="D1153" t="s">
        <v>44</v>
      </c>
      <c r="E1153" t="s">
        <v>33</v>
      </c>
      <c r="F1153" t="s">
        <v>39</v>
      </c>
      <c r="G1153" t="s">
        <v>1278</v>
      </c>
      <c r="H1153" s="1">
        <v>45309.680555555555</v>
      </c>
      <c r="I1153" s="1">
        <v>45309.885416666664</v>
      </c>
      <c r="J1153">
        <v>192</v>
      </c>
      <c r="K1153">
        <v>295</v>
      </c>
      <c r="L1153">
        <v>1</v>
      </c>
      <c r="M1153" t="s">
        <v>22</v>
      </c>
      <c r="N1153">
        <v>5</v>
      </c>
      <c r="O1153">
        <v>436.34</v>
      </c>
    </row>
    <row r="1154" spans="1:15" x14ac:dyDescent="0.35">
      <c r="A1154" t="s">
        <v>2491</v>
      </c>
      <c r="B1154" t="s">
        <v>24</v>
      </c>
      <c r="C1154" t="s">
        <v>2492</v>
      </c>
      <c r="D1154" t="s">
        <v>18</v>
      </c>
      <c r="E1154" t="s">
        <v>33</v>
      </c>
      <c r="F1154" t="s">
        <v>39</v>
      </c>
      <c r="G1154" t="s">
        <v>647</v>
      </c>
      <c r="H1154" s="1">
        <v>45433.651388888888</v>
      </c>
      <c r="I1154" s="1">
        <v>45433.788888888892</v>
      </c>
      <c r="J1154">
        <v>166</v>
      </c>
      <c r="K1154">
        <v>198</v>
      </c>
      <c r="L1154">
        <v>1</v>
      </c>
      <c r="M1154" t="s">
        <v>22</v>
      </c>
      <c r="N1154">
        <v>9</v>
      </c>
      <c r="O1154">
        <v>346.5</v>
      </c>
    </row>
    <row r="1155" spans="1:15" x14ac:dyDescent="0.35">
      <c r="A1155" t="s">
        <v>2493</v>
      </c>
      <c r="B1155" t="s">
        <v>51</v>
      </c>
      <c r="C1155" t="s">
        <v>2494</v>
      </c>
      <c r="D1155" t="s">
        <v>26</v>
      </c>
      <c r="E1155" t="s">
        <v>33</v>
      </c>
      <c r="F1155" t="s">
        <v>57</v>
      </c>
      <c r="G1155" t="s">
        <v>97</v>
      </c>
      <c r="H1155" s="1">
        <v>45417.313194444447</v>
      </c>
      <c r="I1155" s="1">
        <v>45417.45</v>
      </c>
      <c r="J1155">
        <v>80</v>
      </c>
      <c r="K1155">
        <v>197</v>
      </c>
      <c r="L1155">
        <v>1</v>
      </c>
      <c r="M1155" t="s">
        <v>22</v>
      </c>
      <c r="N1155">
        <v>8</v>
      </c>
      <c r="O1155">
        <v>84.75</v>
      </c>
    </row>
    <row r="1156" spans="1:15" x14ac:dyDescent="0.35">
      <c r="A1156" t="s">
        <v>2495</v>
      </c>
      <c r="B1156" t="s">
        <v>24</v>
      </c>
      <c r="C1156" t="s">
        <v>2496</v>
      </c>
      <c r="D1156" t="s">
        <v>18</v>
      </c>
      <c r="E1156" t="s">
        <v>19</v>
      </c>
      <c r="F1156" t="s">
        <v>39</v>
      </c>
      <c r="G1156" t="s">
        <v>602</v>
      </c>
      <c r="H1156" s="1">
        <v>45593.454861111109</v>
      </c>
      <c r="I1156" s="1">
        <v>45593.532638888886</v>
      </c>
      <c r="J1156">
        <v>104</v>
      </c>
      <c r="K1156">
        <v>112</v>
      </c>
      <c r="L1156">
        <v>1</v>
      </c>
      <c r="M1156" t="s">
        <v>22</v>
      </c>
      <c r="N1156">
        <v>3</v>
      </c>
      <c r="O1156">
        <v>178.78</v>
      </c>
    </row>
    <row r="1157" spans="1:15" x14ac:dyDescent="0.35">
      <c r="A1157" t="s">
        <v>2497</v>
      </c>
      <c r="B1157" t="s">
        <v>16</v>
      </c>
      <c r="C1157" t="s">
        <v>2498</v>
      </c>
      <c r="D1157" t="s">
        <v>18</v>
      </c>
      <c r="E1157" t="s">
        <v>33</v>
      </c>
      <c r="F1157" t="s">
        <v>57</v>
      </c>
      <c r="G1157" t="s">
        <v>114</v>
      </c>
      <c r="H1157" s="1">
        <v>45339.319444444445</v>
      </c>
      <c r="I1157" s="1">
        <v>45339.441666666666</v>
      </c>
      <c r="J1157">
        <v>92</v>
      </c>
      <c r="K1157">
        <v>176</v>
      </c>
      <c r="L1157">
        <v>1</v>
      </c>
      <c r="M1157" t="s">
        <v>22</v>
      </c>
      <c r="N1157">
        <v>9</v>
      </c>
      <c r="O1157">
        <v>408.99</v>
      </c>
    </row>
    <row r="1158" spans="1:15" x14ac:dyDescent="0.35">
      <c r="A1158" t="s">
        <v>2499</v>
      </c>
      <c r="B1158" t="s">
        <v>31</v>
      </c>
      <c r="C1158" t="s">
        <v>2500</v>
      </c>
      <c r="D1158" t="s">
        <v>48</v>
      </c>
      <c r="E1158" t="s">
        <v>19</v>
      </c>
      <c r="F1158" t="s">
        <v>27</v>
      </c>
      <c r="G1158" t="s">
        <v>500</v>
      </c>
      <c r="H1158" s="1">
        <v>45467.490972222222</v>
      </c>
      <c r="I1158" s="1">
        <v>45467.607638888891</v>
      </c>
      <c r="J1158">
        <v>91</v>
      </c>
      <c r="K1158">
        <v>168</v>
      </c>
      <c r="L1158">
        <v>1</v>
      </c>
      <c r="M1158" t="s">
        <v>41</v>
      </c>
      <c r="N1158">
        <v>3</v>
      </c>
      <c r="O1158">
        <v>159.74</v>
      </c>
    </row>
    <row r="1159" spans="1:15" x14ac:dyDescent="0.35">
      <c r="A1159" t="s">
        <v>2501</v>
      </c>
      <c r="B1159" t="s">
        <v>24</v>
      </c>
      <c r="C1159" t="s">
        <v>2502</v>
      </c>
      <c r="D1159" t="s">
        <v>48</v>
      </c>
      <c r="E1159" t="s">
        <v>19</v>
      </c>
      <c r="F1159" t="s">
        <v>20</v>
      </c>
      <c r="G1159" t="s">
        <v>1187</v>
      </c>
      <c r="H1159" s="1">
        <v>45499.697916666664</v>
      </c>
      <c r="I1159" s="1">
        <v>45499.768055555556</v>
      </c>
      <c r="J1159">
        <v>65</v>
      </c>
      <c r="K1159">
        <v>101</v>
      </c>
      <c r="L1159">
        <v>1</v>
      </c>
      <c r="M1159" t="s">
        <v>29</v>
      </c>
      <c r="N1159">
        <v>10</v>
      </c>
      <c r="O1159">
        <v>130.47999999999999</v>
      </c>
    </row>
    <row r="1160" spans="1:15" x14ac:dyDescent="0.35">
      <c r="A1160" t="s">
        <v>2503</v>
      </c>
      <c r="B1160" t="s">
        <v>51</v>
      </c>
      <c r="C1160" t="s">
        <v>2504</v>
      </c>
      <c r="D1160" t="s">
        <v>56</v>
      </c>
      <c r="E1160" t="s">
        <v>19</v>
      </c>
      <c r="F1160" t="s">
        <v>27</v>
      </c>
      <c r="G1160" t="s">
        <v>53</v>
      </c>
      <c r="H1160" s="1">
        <v>45363.44027777778</v>
      </c>
      <c r="I1160" s="1">
        <v>45363.616666666669</v>
      </c>
      <c r="J1160">
        <v>196</v>
      </c>
      <c r="K1160">
        <v>254</v>
      </c>
      <c r="L1160">
        <v>1</v>
      </c>
      <c r="M1160" t="s">
        <v>22</v>
      </c>
      <c r="N1160">
        <v>4</v>
      </c>
      <c r="O1160">
        <v>150.34</v>
      </c>
    </row>
    <row r="1161" spans="1:15" x14ac:dyDescent="0.35">
      <c r="A1161" t="s">
        <v>2505</v>
      </c>
      <c r="B1161" t="s">
        <v>63</v>
      </c>
      <c r="C1161" t="s">
        <v>2506</v>
      </c>
      <c r="D1161" t="s">
        <v>26</v>
      </c>
      <c r="E1161" t="s">
        <v>19</v>
      </c>
      <c r="F1161" t="s">
        <v>57</v>
      </c>
      <c r="G1161" t="s">
        <v>470</v>
      </c>
      <c r="H1161" s="1">
        <v>45312.908333333333</v>
      </c>
      <c r="I1161" s="1">
        <v>45313.12777777778</v>
      </c>
      <c r="J1161">
        <v>206</v>
      </c>
      <c r="K1161">
        <v>316</v>
      </c>
      <c r="L1161">
        <v>1</v>
      </c>
      <c r="M1161" t="s">
        <v>41</v>
      </c>
      <c r="N1161">
        <v>5</v>
      </c>
      <c r="O1161">
        <v>99.05</v>
      </c>
    </row>
    <row r="1162" spans="1:15" x14ac:dyDescent="0.35">
      <c r="A1162" t="s">
        <v>2507</v>
      </c>
      <c r="B1162" t="s">
        <v>24</v>
      </c>
      <c r="C1162" t="s">
        <v>2508</v>
      </c>
      <c r="D1162" t="s">
        <v>48</v>
      </c>
      <c r="E1162" t="s">
        <v>85</v>
      </c>
      <c r="F1162" t="s">
        <v>39</v>
      </c>
      <c r="G1162" t="s">
        <v>1413</v>
      </c>
      <c r="H1162" s="1">
        <v>45638.609722222223</v>
      </c>
      <c r="I1162" s="1">
        <v>45638.761111111111</v>
      </c>
      <c r="J1162">
        <v>102</v>
      </c>
      <c r="K1162">
        <v>218</v>
      </c>
      <c r="L1162">
        <v>1</v>
      </c>
      <c r="M1162" t="s">
        <v>29</v>
      </c>
      <c r="N1162">
        <v>6</v>
      </c>
      <c r="O1162">
        <v>64.55</v>
      </c>
    </row>
    <row r="1163" spans="1:15" x14ac:dyDescent="0.35">
      <c r="A1163" t="s">
        <v>2509</v>
      </c>
      <c r="B1163" t="s">
        <v>51</v>
      </c>
      <c r="C1163" t="s">
        <v>2510</v>
      </c>
      <c r="D1163" t="s">
        <v>48</v>
      </c>
      <c r="E1163" t="s">
        <v>19</v>
      </c>
      <c r="F1163" t="s">
        <v>20</v>
      </c>
      <c r="G1163" t="s">
        <v>114</v>
      </c>
      <c r="H1163" s="1">
        <v>45478.455555555556</v>
      </c>
      <c r="I1163" s="1">
        <v>45478.584722222222</v>
      </c>
      <c r="J1163">
        <v>159</v>
      </c>
      <c r="K1163">
        <v>186</v>
      </c>
      <c r="L1163">
        <v>1</v>
      </c>
      <c r="M1163" t="s">
        <v>22</v>
      </c>
      <c r="N1163">
        <v>6</v>
      </c>
      <c r="O1163">
        <v>155.16</v>
      </c>
    </row>
    <row r="1164" spans="1:15" x14ac:dyDescent="0.35">
      <c r="A1164" t="s">
        <v>2511</v>
      </c>
      <c r="B1164" t="s">
        <v>31</v>
      </c>
      <c r="C1164" t="s">
        <v>2512</v>
      </c>
      <c r="D1164" t="s">
        <v>44</v>
      </c>
      <c r="E1164" t="s">
        <v>38</v>
      </c>
      <c r="F1164" t="s">
        <v>34</v>
      </c>
      <c r="G1164" t="s">
        <v>669</v>
      </c>
      <c r="H1164" s="1">
        <v>45434.159722222219</v>
      </c>
      <c r="I1164" s="1">
        <v>45434.231249999997</v>
      </c>
      <c r="J1164">
        <v>45</v>
      </c>
      <c r="K1164">
        <v>103</v>
      </c>
      <c r="L1164">
        <v>1</v>
      </c>
      <c r="M1164" t="s">
        <v>22</v>
      </c>
      <c r="N1164">
        <v>7</v>
      </c>
      <c r="O1164">
        <v>100.24</v>
      </c>
    </row>
    <row r="1165" spans="1:15" x14ac:dyDescent="0.35">
      <c r="A1165" t="s">
        <v>2513</v>
      </c>
      <c r="B1165" t="s">
        <v>63</v>
      </c>
      <c r="C1165" t="s">
        <v>2514</v>
      </c>
      <c r="D1165" t="s">
        <v>44</v>
      </c>
      <c r="E1165" t="s">
        <v>85</v>
      </c>
      <c r="F1165" t="s">
        <v>27</v>
      </c>
      <c r="G1165" t="s">
        <v>647</v>
      </c>
      <c r="H1165" s="1">
        <v>45325.521527777775</v>
      </c>
      <c r="I1165" s="1">
        <v>45325.67291666667</v>
      </c>
      <c r="J1165">
        <v>222</v>
      </c>
      <c r="K1165">
        <v>218</v>
      </c>
      <c r="L1165">
        <v>0</v>
      </c>
      <c r="M1165" t="s">
        <v>22</v>
      </c>
      <c r="N1165">
        <v>3</v>
      </c>
      <c r="O1165">
        <v>362.55</v>
      </c>
    </row>
    <row r="1166" spans="1:15" x14ac:dyDescent="0.35">
      <c r="A1166" t="s">
        <v>2515</v>
      </c>
      <c r="B1166" t="s">
        <v>51</v>
      </c>
      <c r="C1166" t="s">
        <v>2516</v>
      </c>
      <c r="D1166" t="s">
        <v>44</v>
      </c>
      <c r="E1166" t="s">
        <v>38</v>
      </c>
      <c r="F1166" t="s">
        <v>27</v>
      </c>
      <c r="G1166" t="s">
        <v>817</v>
      </c>
      <c r="H1166" s="1">
        <v>45599.925694444442</v>
      </c>
      <c r="I1166" s="1">
        <v>45600.013194444444</v>
      </c>
      <c r="J1166">
        <v>31</v>
      </c>
      <c r="K1166">
        <v>126</v>
      </c>
      <c r="L1166">
        <v>1</v>
      </c>
      <c r="M1166" t="s">
        <v>29</v>
      </c>
      <c r="N1166">
        <v>4</v>
      </c>
      <c r="O1166">
        <v>162.93</v>
      </c>
    </row>
    <row r="1167" spans="1:15" x14ac:dyDescent="0.35">
      <c r="A1167" t="s">
        <v>2517</v>
      </c>
      <c r="B1167" t="s">
        <v>16</v>
      </c>
      <c r="C1167" t="s">
        <v>2518</v>
      </c>
      <c r="D1167" t="s">
        <v>18</v>
      </c>
      <c r="E1167" t="s">
        <v>33</v>
      </c>
      <c r="F1167" t="s">
        <v>27</v>
      </c>
      <c r="G1167" t="s">
        <v>754</v>
      </c>
      <c r="H1167" s="1">
        <v>45416.603472222225</v>
      </c>
      <c r="I1167" s="1">
        <v>45416.744444444441</v>
      </c>
      <c r="J1167">
        <v>180</v>
      </c>
      <c r="K1167">
        <v>203</v>
      </c>
      <c r="L1167">
        <v>1</v>
      </c>
      <c r="M1167" t="s">
        <v>29</v>
      </c>
      <c r="N1167">
        <v>3</v>
      </c>
      <c r="O1167">
        <v>112.9</v>
      </c>
    </row>
    <row r="1168" spans="1:15" x14ac:dyDescent="0.35">
      <c r="A1168" t="s">
        <v>2519</v>
      </c>
      <c r="B1168" t="s">
        <v>16</v>
      </c>
      <c r="C1168" t="s">
        <v>2520</v>
      </c>
      <c r="D1168" t="s">
        <v>26</v>
      </c>
      <c r="E1168" t="s">
        <v>38</v>
      </c>
      <c r="F1168" t="s">
        <v>27</v>
      </c>
      <c r="G1168" t="s">
        <v>343</v>
      </c>
      <c r="H1168" s="1">
        <v>45407.107638888891</v>
      </c>
      <c r="I1168" s="1">
        <v>45407.267361111109</v>
      </c>
      <c r="J1168">
        <v>145</v>
      </c>
      <c r="K1168">
        <v>230</v>
      </c>
      <c r="L1168">
        <v>1</v>
      </c>
      <c r="M1168" t="s">
        <v>29</v>
      </c>
      <c r="N1168">
        <v>4</v>
      </c>
      <c r="O1168">
        <v>216.46</v>
      </c>
    </row>
    <row r="1169" spans="1:15" x14ac:dyDescent="0.35">
      <c r="A1169" t="s">
        <v>2521</v>
      </c>
      <c r="B1169" t="s">
        <v>24</v>
      </c>
      <c r="C1169" t="s">
        <v>2522</v>
      </c>
      <c r="D1169" t="s">
        <v>48</v>
      </c>
      <c r="E1169" t="s">
        <v>19</v>
      </c>
      <c r="F1169" t="s">
        <v>57</v>
      </c>
      <c r="G1169" t="s">
        <v>577</v>
      </c>
      <c r="H1169" s="1">
        <v>45407.208333333336</v>
      </c>
      <c r="I1169" s="1">
        <v>45407.238194444442</v>
      </c>
      <c r="J1169">
        <v>13</v>
      </c>
      <c r="K1169">
        <v>43</v>
      </c>
      <c r="L1169">
        <v>1</v>
      </c>
      <c r="M1169" t="s">
        <v>22</v>
      </c>
      <c r="N1169">
        <v>9</v>
      </c>
      <c r="O1169">
        <v>200.84</v>
      </c>
    </row>
    <row r="1170" spans="1:15" x14ac:dyDescent="0.35">
      <c r="A1170" t="s">
        <v>2523</v>
      </c>
      <c r="B1170" t="s">
        <v>31</v>
      </c>
      <c r="C1170" t="s">
        <v>2524</v>
      </c>
      <c r="D1170" t="s">
        <v>56</v>
      </c>
      <c r="E1170" t="s">
        <v>38</v>
      </c>
      <c r="F1170" t="s">
        <v>39</v>
      </c>
      <c r="G1170" t="s">
        <v>100</v>
      </c>
      <c r="H1170" s="1">
        <v>45378.760416666664</v>
      </c>
      <c r="I1170" s="1">
        <v>45378.925000000003</v>
      </c>
      <c r="J1170">
        <v>185</v>
      </c>
      <c r="K1170">
        <v>237</v>
      </c>
      <c r="L1170">
        <v>1</v>
      </c>
      <c r="M1170" t="s">
        <v>22</v>
      </c>
      <c r="N1170">
        <v>5</v>
      </c>
      <c r="O1170">
        <v>241.23</v>
      </c>
    </row>
    <row r="1171" spans="1:15" x14ac:dyDescent="0.35">
      <c r="A1171" t="s">
        <v>2525</v>
      </c>
      <c r="B1171" t="s">
        <v>16</v>
      </c>
      <c r="C1171" t="s">
        <v>2526</v>
      </c>
      <c r="D1171" t="s">
        <v>44</v>
      </c>
      <c r="E1171" t="s">
        <v>19</v>
      </c>
      <c r="F1171" t="s">
        <v>34</v>
      </c>
      <c r="G1171" t="s">
        <v>364</v>
      </c>
      <c r="H1171" s="1">
        <v>45302.401388888888</v>
      </c>
      <c r="I1171" s="1">
        <v>45302.506249999999</v>
      </c>
      <c r="J1171">
        <v>40</v>
      </c>
      <c r="K1171">
        <v>151</v>
      </c>
      <c r="L1171">
        <v>1</v>
      </c>
      <c r="M1171" t="s">
        <v>22</v>
      </c>
      <c r="N1171">
        <v>2</v>
      </c>
      <c r="O1171">
        <v>478.18</v>
      </c>
    </row>
    <row r="1172" spans="1:15" x14ac:dyDescent="0.35">
      <c r="A1172" t="s">
        <v>2527</v>
      </c>
      <c r="B1172" t="s">
        <v>31</v>
      </c>
      <c r="C1172" t="s">
        <v>2528</v>
      </c>
      <c r="D1172" t="s">
        <v>18</v>
      </c>
      <c r="E1172" t="s">
        <v>85</v>
      </c>
      <c r="F1172" t="s">
        <v>39</v>
      </c>
      <c r="G1172" t="s">
        <v>364</v>
      </c>
      <c r="H1172" s="1">
        <v>45500.293055555558</v>
      </c>
      <c r="I1172" s="1">
        <v>45500.380555555559</v>
      </c>
      <c r="J1172">
        <v>10</v>
      </c>
      <c r="K1172">
        <v>126</v>
      </c>
      <c r="L1172">
        <v>1</v>
      </c>
      <c r="M1172" t="s">
        <v>22</v>
      </c>
      <c r="N1172">
        <v>3</v>
      </c>
      <c r="O1172">
        <v>498.81</v>
      </c>
    </row>
    <row r="1173" spans="1:15" x14ac:dyDescent="0.35">
      <c r="A1173" t="s">
        <v>2529</v>
      </c>
      <c r="B1173" t="s">
        <v>51</v>
      </c>
      <c r="C1173" t="s">
        <v>2530</v>
      </c>
      <c r="D1173" t="s">
        <v>56</v>
      </c>
      <c r="E1173" t="s">
        <v>38</v>
      </c>
      <c r="F1173" t="s">
        <v>34</v>
      </c>
      <c r="G1173" t="s">
        <v>354</v>
      </c>
      <c r="H1173" s="1">
        <v>45313.20416666667</v>
      </c>
      <c r="I1173" s="1">
        <v>45313.3125</v>
      </c>
      <c r="J1173">
        <v>79</v>
      </c>
      <c r="K1173">
        <v>156</v>
      </c>
      <c r="L1173">
        <v>1</v>
      </c>
      <c r="M1173" t="s">
        <v>29</v>
      </c>
      <c r="N1173">
        <v>5</v>
      </c>
      <c r="O1173">
        <v>101.2</v>
      </c>
    </row>
    <row r="1174" spans="1:15" x14ac:dyDescent="0.35">
      <c r="A1174" t="s">
        <v>2531</v>
      </c>
      <c r="B1174" t="s">
        <v>63</v>
      </c>
      <c r="C1174" t="s">
        <v>2532</v>
      </c>
      <c r="D1174" t="s">
        <v>44</v>
      </c>
      <c r="E1174" t="s">
        <v>19</v>
      </c>
      <c r="F1174" t="s">
        <v>27</v>
      </c>
      <c r="G1174" t="s">
        <v>308</v>
      </c>
      <c r="H1174" s="1">
        <v>45378.765277777777</v>
      </c>
      <c r="I1174" s="1">
        <v>45378.814583333333</v>
      </c>
      <c r="J1174">
        <v>31</v>
      </c>
      <c r="K1174">
        <v>71</v>
      </c>
      <c r="L1174">
        <v>1</v>
      </c>
      <c r="M1174" t="s">
        <v>41</v>
      </c>
      <c r="N1174">
        <v>5</v>
      </c>
      <c r="O1174">
        <v>295.06</v>
      </c>
    </row>
    <row r="1175" spans="1:15" x14ac:dyDescent="0.35">
      <c r="A1175" t="s">
        <v>2533</v>
      </c>
      <c r="B1175" t="s">
        <v>24</v>
      </c>
      <c r="C1175" t="s">
        <v>2534</v>
      </c>
      <c r="D1175" t="s">
        <v>26</v>
      </c>
      <c r="E1175" t="s">
        <v>19</v>
      </c>
      <c r="F1175" t="s">
        <v>57</v>
      </c>
      <c r="G1175" t="s">
        <v>388</v>
      </c>
      <c r="H1175" s="1">
        <v>45628.132638888892</v>
      </c>
      <c r="I1175" s="1">
        <v>45628.283333333333</v>
      </c>
      <c r="J1175">
        <v>189</v>
      </c>
      <c r="K1175">
        <v>217</v>
      </c>
      <c r="L1175">
        <v>1</v>
      </c>
      <c r="M1175" t="s">
        <v>22</v>
      </c>
      <c r="N1175">
        <v>7</v>
      </c>
      <c r="O1175">
        <v>114.9</v>
      </c>
    </row>
    <row r="1176" spans="1:15" x14ac:dyDescent="0.35">
      <c r="A1176" t="s">
        <v>2535</v>
      </c>
      <c r="B1176" t="s">
        <v>24</v>
      </c>
      <c r="C1176" t="s">
        <v>2536</v>
      </c>
      <c r="D1176" t="s">
        <v>26</v>
      </c>
      <c r="E1176" t="s">
        <v>33</v>
      </c>
      <c r="F1176" t="s">
        <v>20</v>
      </c>
      <c r="G1176" t="s">
        <v>462</v>
      </c>
      <c r="H1176" s="1">
        <v>45359.982638888891</v>
      </c>
      <c r="I1176" s="1">
        <v>45360.052777777775</v>
      </c>
      <c r="J1176">
        <v>28</v>
      </c>
      <c r="K1176">
        <v>101</v>
      </c>
      <c r="L1176">
        <v>1</v>
      </c>
      <c r="M1176" t="s">
        <v>41</v>
      </c>
      <c r="N1176">
        <v>5</v>
      </c>
      <c r="O1176">
        <v>235.03</v>
      </c>
    </row>
    <row r="1177" spans="1:15" x14ac:dyDescent="0.35">
      <c r="A1177" t="s">
        <v>2537</v>
      </c>
      <c r="B1177" t="s">
        <v>31</v>
      </c>
      <c r="C1177" t="s">
        <v>2538</v>
      </c>
      <c r="D1177" t="s">
        <v>48</v>
      </c>
      <c r="E1177" t="s">
        <v>33</v>
      </c>
      <c r="F1177" t="s">
        <v>57</v>
      </c>
      <c r="G1177" t="s">
        <v>21</v>
      </c>
      <c r="H1177" s="1">
        <v>45496.821527777778</v>
      </c>
      <c r="I1177" s="1">
        <v>45496.990972222222</v>
      </c>
      <c r="J1177">
        <v>209</v>
      </c>
      <c r="K1177">
        <v>244</v>
      </c>
      <c r="L1177">
        <v>1</v>
      </c>
      <c r="M1177" t="s">
        <v>41</v>
      </c>
      <c r="N1177">
        <v>2</v>
      </c>
      <c r="O1177">
        <v>159.91</v>
      </c>
    </row>
    <row r="1178" spans="1:15" x14ac:dyDescent="0.35">
      <c r="A1178" t="s">
        <v>2539</v>
      </c>
      <c r="B1178" t="s">
        <v>16</v>
      </c>
      <c r="C1178" t="s">
        <v>2540</v>
      </c>
      <c r="D1178" t="s">
        <v>18</v>
      </c>
      <c r="E1178" t="s">
        <v>33</v>
      </c>
      <c r="F1178" t="s">
        <v>27</v>
      </c>
      <c r="G1178" t="s">
        <v>521</v>
      </c>
      <c r="H1178" s="1">
        <v>45293.419444444444</v>
      </c>
      <c r="I1178" s="1">
        <v>45293.529861111114</v>
      </c>
      <c r="J1178">
        <v>45</v>
      </c>
      <c r="K1178">
        <v>159</v>
      </c>
      <c r="L1178">
        <v>1</v>
      </c>
      <c r="M1178" t="s">
        <v>41</v>
      </c>
      <c r="N1178">
        <v>7</v>
      </c>
      <c r="O1178">
        <v>379.65</v>
      </c>
    </row>
    <row r="1179" spans="1:15" x14ac:dyDescent="0.35">
      <c r="A1179" t="s">
        <v>2541</v>
      </c>
      <c r="B1179" t="s">
        <v>31</v>
      </c>
      <c r="C1179" t="s">
        <v>2542</v>
      </c>
      <c r="D1179" t="s">
        <v>44</v>
      </c>
      <c r="E1179" t="s">
        <v>33</v>
      </c>
      <c r="F1179" t="s">
        <v>34</v>
      </c>
      <c r="G1179" t="s">
        <v>88</v>
      </c>
      <c r="H1179" s="1">
        <v>45463.543749999997</v>
      </c>
      <c r="I1179" s="1">
        <v>45463.633333333331</v>
      </c>
      <c r="J1179">
        <v>85</v>
      </c>
      <c r="K1179">
        <v>129</v>
      </c>
      <c r="L1179">
        <v>1</v>
      </c>
      <c r="M1179" t="s">
        <v>29</v>
      </c>
      <c r="N1179">
        <v>2</v>
      </c>
      <c r="O1179">
        <v>117.81</v>
      </c>
    </row>
    <row r="1180" spans="1:15" x14ac:dyDescent="0.35">
      <c r="A1180" t="s">
        <v>2543</v>
      </c>
      <c r="B1180" t="s">
        <v>24</v>
      </c>
      <c r="C1180" t="s">
        <v>2544</v>
      </c>
      <c r="D1180" t="s">
        <v>48</v>
      </c>
      <c r="E1180" t="s">
        <v>19</v>
      </c>
      <c r="F1180" t="s">
        <v>57</v>
      </c>
      <c r="G1180" t="s">
        <v>117</v>
      </c>
      <c r="H1180" s="1">
        <v>45602.334722222222</v>
      </c>
      <c r="I1180" s="1">
        <v>45602.519444444442</v>
      </c>
      <c r="J1180">
        <v>225</v>
      </c>
      <c r="K1180">
        <v>266</v>
      </c>
      <c r="L1180">
        <v>1</v>
      </c>
      <c r="M1180" t="s">
        <v>29</v>
      </c>
      <c r="N1180">
        <v>10</v>
      </c>
      <c r="O1180">
        <v>89.46</v>
      </c>
    </row>
    <row r="1181" spans="1:15" x14ac:dyDescent="0.35">
      <c r="A1181" t="s">
        <v>2545</v>
      </c>
      <c r="B1181" t="s">
        <v>31</v>
      </c>
      <c r="C1181" t="s">
        <v>2546</v>
      </c>
      <c r="D1181" t="s">
        <v>48</v>
      </c>
      <c r="E1181" t="s">
        <v>19</v>
      </c>
      <c r="F1181" t="s">
        <v>39</v>
      </c>
      <c r="G1181" t="s">
        <v>321</v>
      </c>
      <c r="H1181" s="1">
        <v>45326.290972222225</v>
      </c>
      <c r="I1181" s="1">
        <v>45326.489583333336</v>
      </c>
      <c r="J1181">
        <v>239</v>
      </c>
      <c r="K1181">
        <v>286</v>
      </c>
      <c r="L1181">
        <v>1</v>
      </c>
      <c r="M1181" t="s">
        <v>41</v>
      </c>
      <c r="N1181">
        <v>4</v>
      </c>
      <c r="O1181">
        <v>471.15</v>
      </c>
    </row>
    <row r="1182" spans="1:15" x14ac:dyDescent="0.35">
      <c r="A1182" t="s">
        <v>2547</v>
      </c>
      <c r="B1182" t="s">
        <v>63</v>
      </c>
      <c r="C1182" t="s">
        <v>2548</v>
      </c>
      <c r="D1182" t="s">
        <v>18</v>
      </c>
      <c r="E1182" t="s">
        <v>85</v>
      </c>
      <c r="F1182" t="s">
        <v>27</v>
      </c>
      <c r="G1182" t="s">
        <v>397</v>
      </c>
      <c r="H1182" s="1">
        <v>45438.850694444445</v>
      </c>
      <c r="I1182" s="1">
        <v>45438.96597222222</v>
      </c>
      <c r="J1182">
        <v>116</v>
      </c>
      <c r="K1182">
        <v>166</v>
      </c>
      <c r="L1182">
        <v>1</v>
      </c>
      <c r="M1182" t="s">
        <v>41</v>
      </c>
      <c r="N1182">
        <v>8</v>
      </c>
      <c r="O1182">
        <v>219.55</v>
      </c>
    </row>
    <row r="1183" spans="1:15" x14ac:dyDescent="0.35">
      <c r="A1183" t="s">
        <v>2549</v>
      </c>
      <c r="B1183" t="s">
        <v>16</v>
      </c>
      <c r="C1183" t="s">
        <v>2550</v>
      </c>
      <c r="D1183" t="s">
        <v>26</v>
      </c>
      <c r="E1183" t="s">
        <v>19</v>
      </c>
      <c r="F1183" t="s">
        <v>39</v>
      </c>
      <c r="G1183" t="s">
        <v>207</v>
      </c>
      <c r="H1183" s="1">
        <v>45311.052777777775</v>
      </c>
      <c r="I1183" s="1">
        <v>45311.177083333336</v>
      </c>
      <c r="J1183">
        <v>113</v>
      </c>
      <c r="K1183">
        <v>179</v>
      </c>
      <c r="L1183">
        <v>1</v>
      </c>
      <c r="M1183" t="s">
        <v>41</v>
      </c>
      <c r="N1183">
        <v>2</v>
      </c>
      <c r="O1183">
        <v>358.46</v>
      </c>
    </row>
    <row r="1184" spans="1:15" x14ac:dyDescent="0.35">
      <c r="A1184" t="s">
        <v>2551</v>
      </c>
      <c r="B1184" t="s">
        <v>24</v>
      </c>
      <c r="C1184" t="s">
        <v>2552</v>
      </c>
      <c r="D1184" t="s">
        <v>18</v>
      </c>
      <c r="E1184" t="s">
        <v>33</v>
      </c>
      <c r="F1184" t="s">
        <v>27</v>
      </c>
      <c r="G1184" t="s">
        <v>259</v>
      </c>
      <c r="H1184" s="1">
        <v>45478.040972222225</v>
      </c>
      <c r="I1184" s="1">
        <v>45478.138888888891</v>
      </c>
      <c r="J1184">
        <v>58</v>
      </c>
      <c r="K1184">
        <v>141</v>
      </c>
      <c r="L1184">
        <v>1</v>
      </c>
      <c r="M1184" t="s">
        <v>22</v>
      </c>
      <c r="N1184">
        <v>5</v>
      </c>
      <c r="O1184">
        <v>381.1</v>
      </c>
    </row>
    <row r="1185" spans="1:15" x14ac:dyDescent="0.35">
      <c r="A1185" t="s">
        <v>2553</v>
      </c>
      <c r="B1185" t="s">
        <v>24</v>
      </c>
      <c r="C1185" t="s">
        <v>2554</v>
      </c>
      <c r="D1185" t="s">
        <v>56</v>
      </c>
      <c r="E1185" t="s">
        <v>85</v>
      </c>
      <c r="F1185" t="s">
        <v>20</v>
      </c>
      <c r="G1185" t="s">
        <v>410</v>
      </c>
      <c r="H1185" s="1">
        <v>45613.227777777778</v>
      </c>
      <c r="I1185" s="1">
        <v>45613.257638888892</v>
      </c>
      <c r="J1185">
        <v>36</v>
      </c>
      <c r="K1185">
        <v>43</v>
      </c>
      <c r="L1185">
        <v>1</v>
      </c>
      <c r="M1185" t="s">
        <v>41</v>
      </c>
      <c r="N1185">
        <v>8</v>
      </c>
      <c r="O1185">
        <v>287.66000000000003</v>
      </c>
    </row>
    <row r="1186" spans="1:15" x14ac:dyDescent="0.35">
      <c r="A1186" t="s">
        <v>2555</v>
      </c>
      <c r="B1186" t="s">
        <v>31</v>
      </c>
      <c r="C1186" t="s">
        <v>2556</v>
      </c>
      <c r="D1186" t="s">
        <v>44</v>
      </c>
      <c r="E1186" t="s">
        <v>33</v>
      </c>
      <c r="F1186" t="s">
        <v>27</v>
      </c>
      <c r="G1186" t="s">
        <v>505</v>
      </c>
      <c r="H1186" s="1">
        <v>45373.529861111114</v>
      </c>
      <c r="I1186" s="1">
        <v>45373.606944444444</v>
      </c>
      <c r="J1186">
        <v>94</v>
      </c>
      <c r="K1186">
        <v>111</v>
      </c>
      <c r="L1186">
        <v>1</v>
      </c>
      <c r="M1186" t="s">
        <v>29</v>
      </c>
      <c r="N1186">
        <v>9</v>
      </c>
      <c r="O1186">
        <v>298.76</v>
      </c>
    </row>
    <row r="1187" spans="1:15" x14ac:dyDescent="0.35">
      <c r="A1187" t="s">
        <v>2557</v>
      </c>
      <c r="B1187" t="s">
        <v>24</v>
      </c>
      <c r="C1187" t="s">
        <v>2558</v>
      </c>
      <c r="D1187" t="s">
        <v>18</v>
      </c>
      <c r="E1187" t="s">
        <v>85</v>
      </c>
      <c r="F1187" t="s">
        <v>20</v>
      </c>
      <c r="G1187" t="s">
        <v>594</v>
      </c>
      <c r="H1187" s="1">
        <v>45318.010416666664</v>
      </c>
      <c r="I1187" s="1">
        <v>45318.134722222225</v>
      </c>
      <c r="J1187">
        <v>180</v>
      </c>
      <c r="K1187">
        <v>179</v>
      </c>
      <c r="L1187">
        <v>0</v>
      </c>
      <c r="M1187" t="s">
        <v>41</v>
      </c>
      <c r="N1187">
        <v>3</v>
      </c>
      <c r="O1187">
        <v>71.930000000000007</v>
      </c>
    </row>
    <row r="1188" spans="1:15" x14ac:dyDescent="0.35">
      <c r="A1188" t="s">
        <v>2559</v>
      </c>
      <c r="B1188" t="s">
        <v>31</v>
      </c>
      <c r="C1188" t="s">
        <v>2560</v>
      </c>
      <c r="D1188" t="s">
        <v>26</v>
      </c>
      <c r="E1188" t="s">
        <v>38</v>
      </c>
      <c r="F1188" t="s">
        <v>27</v>
      </c>
      <c r="G1188" t="s">
        <v>402</v>
      </c>
      <c r="H1188" s="1">
        <v>45379.419444444444</v>
      </c>
      <c r="I1188" s="1">
        <v>45379.504166666666</v>
      </c>
      <c r="J1188">
        <v>84</v>
      </c>
      <c r="K1188">
        <v>122</v>
      </c>
      <c r="L1188">
        <v>1</v>
      </c>
      <c r="M1188" t="s">
        <v>41</v>
      </c>
      <c r="N1188">
        <v>7</v>
      </c>
      <c r="O1188">
        <v>497.5</v>
      </c>
    </row>
    <row r="1189" spans="1:15" x14ac:dyDescent="0.35">
      <c r="A1189" t="s">
        <v>2561</v>
      </c>
      <c r="B1189" t="s">
        <v>24</v>
      </c>
      <c r="C1189" t="s">
        <v>2562</v>
      </c>
      <c r="D1189" t="s">
        <v>48</v>
      </c>
      <c r="E1189" t="s">
        <v>85</v>
      </c>
      <c r="F1189" t="s">
        <v>27</v>
      </c>
      <c r="G1189" t="s">
        <v>173</v>
      </c>
      <c r="H1189" s="1">
        <v>45371.502083333333</v>
      </c>
      <c r="I1189" s="1">
        <v>45371.727083333331</v>
      </c>
      <c r="J1189">
        <v>218</v>
      </c>
      <c r="K1189">
        <v>324</v>
      </c>
      <c r="L1189">
        <v>1</v>
      </c>
      <c r="M1189" t="s">
        <v>29</v>
      </c>
      <c r="N1189">
        <v>6</v>
      </c>
      <c r="O1189">
        <v>214.44</v>
      </c>
    </row>
    <row r="1190" spans="1:15" x14ac:dyDescent="0.35">
      <c r="A1190" t="s">
        <v>2563</v>
      </c>
      <c r="B1190" t="s">
        <v>16</v>
      </c>
      <c r="C1190" t="s">
        <v>2564</v>
      </c>
      <c r="D1190" t="s">
        <v>48</v>
      </c>
      <c r="E1190" t="s">
        <v>19</v>
      </c>
      <c r="F1190" t="s">
        <v>20</v>
      </c>
      <c r="G1190" t="s">
        <v>897</v>
      </c>
      <c r="H1190" s="1">
        <v>45352.484027777777</v>
      </c>
      <c r="I1190" s="1">
        <v>45352.675694444442</v>
      </c>
      <c r="J1190">
        <v>159</v>
      </c>
      <c r="K1190">
        <v>276</v>
      </c>
      <c r="L1190">
        <v>1</v>
      </c>
      <c r="M1190" t="s">
        <v>22</v>
      </c>
      <c r="N1190">
        <v>9</v>
      </c>
      <c r="O1190">
        <v>75.08</v>
      </c>
    </row>
    <row r="1191" spans="1:15" x14ac:dyDescent="0.35">
      <c r="A1191" t="s">
        <v>2565</v>
      </c>
      <c r="B1191" t="s">
        <v>63</v>
      </c>
      <c r="C1191" t="s">
        <v>2566</v>
      </c>
      <c r="D1191" t="s">
        <v>56</v>
      </c>
      <c r="E1191" t="s">
        <v>19</v>
      </c>
      <c r="F1191" t="s">
        <v>57</v>
      </c>
      <c r="G1191" t="s">
        <v>111</v>
      </c>
      <c r="H1191" s="1">
        <v>45585.586805555555</v>
      </c>
      <c r="I1191" s="1">
        <v>45585.732638888891</v>
      </c>
      <c r="J1191">
        <v>106</v>
      </c>
      <c r="K1191">
        <v>210</v>
      </c>
      <c r="L1191">
        <v>1</v>
      </c>
      <c r="M1191" t="s">
        <v>22</v>
      </c>
      <c r="N1191">
        <v>8</v>
      </c>
      <c r="O1191">
        <v>332.71</v>
      </c>
    </row>
    <row r="1192" spans="1:15" x14ac:dyDescent="0.35">
      <c r="A1192" t="s">
        <v>2567</v>
      </c>
      <c r="B1192" t="s">
        <v>51</v>
      </c>
      <c r="C1192" t="s">
        <v>2568</v>
      </c>
      <c r="D1192" t="s">
        <v>44</v>
      </c>
      <c r="E1192" t="s">
        <v>85</v>
      </c>
      <c r="F1192" t="s">
        <v>57</v>
      </c>
      <c r="G1192" t="s">
        <v>383</v>
      </c>
      <c r="H1192" s="1">
        <v>45322.15</v>
      </c>
      <c r="I1192" s="1">
        <v>45322.23333333333</v>
      </c>
      <c r="J1192">
        <v>93</v>
      </c>
      <c r="K1192">
        <v>120</v>
      </c>
      <c r="L1192">
        <v>1</v>
      </c>
      <c r="M1192" t="s">
        <v>29</v>
      </c>
      <c r="N1192">
        <v>10</v>
      </c>
      <c r="O1192">
        <v>362.84</v>
      </c>
    </row>
    <row r="1193" spans="1:15" x14ac:dyDescent="0.35">
      <c r="A1193" t="s">
        <v>2569</v>
      </c>
      <c r="B1193" t="s">
        <v>24</v>
      </c>
      <c r="C1193" t="s">
        <v>2570</v>
      </c>
      <c r="D1193" t="s">
        <v>48</v>
      </c>
      <c r="E1193" t="s">
        <v>19</v>
      </c>
      <c r="F1193" t="s">
        <v>34</v>
      </c>
      <c r="G1193" t="s">
        <v>182</v>
      </c>
      <c r="H1193" s="1">
        <v>45552.455555555556</v>
      </c>
      <c r="I1193" s="1">
        <v>45552.511111111111</v>
      </c>
      <c r="J1193">
        <v>67</v>
      </c>
      <c r="K1193">
        <v>80</v>
      </c>
      <c r="L1193">
        <v>1</v>
      </c>
      <c r="M1193" t="s">
        <v>29</v>
      </c>
      <c r="N1193">
        <v>6</v>
      </c>
      <c r="O1193">
        <v>195.84</v>
      </c>
    </row>
    <row r="1194" spans="1:15" x14ac:dyDescent="0.35">
      <c r="A1194" t="s">
        <v>2571</v>
      </c>
      <c r="B1194" t="s">
        <v>51</v>
      </c>
      <c r="C1194" t="s">
        <v>2572</v>
      </c>
      <c r="D1194" t="s">
        <v>18</v>
      </c>
      <c r="E1194" t="s">
        <v>38</v>
      </c>
      <c r="F1194" t="s">
        <v>34</v>
      </c>
      <c r="G1194" t="s">
        <v>185</v>
      </c>
      <c r="H1194" s="1">
        <v>45653.097222222219</v>
      </c>
      <c r="I1194" s="1">
        <v>45653.240277777775</v>
      </c>
      <c r="J1194">
        <v>121</v>
      </c>
      <c r="K1194">
        <v>206</v>
      </c>
      <c r="L1194">
        <v>1</v>
      </c>
      <c r="M1194" t="s">
        <v>22</v>
      </c>
      <c r="N1194">
        <v>7</v>
      </c>
      <c r="O1194">
        <v>340.67</v>
      </c>
    </row>
    <row r="1195" spans="1:15" x14ac:dyDescent="0.35">
      <c r="A1195" t="s">
        <v>2573</v>
      </c>
      <c r="B1195" t="s">
        <v>31</v>
      </c>
      <c r="C1195" t="s">
        <v>2574</v>
      </c>
      <c r="D1195" t="s">
        <v>26</v>
      </c>
      <c r="E1195" t="s">
        <v>33</v>
      </c>
      <c r="F1195" t="s">
        <v>27</v>
      </c>
      <c r="G1195" t="s">
        <v>58</v>
      </c>
      <c r="H1195" s="1">
        <v>45304.082638888889</v>
      </c>
      <c r="I1195" s="1">
        <v>45304.28402777778</v>
      </c>
      <c r="J1195">
        <v>226</v>
      </c>
      <c r="K1195">
        <v>290</v>
      </c>
      <c r="L1195">
        <v>1</v>
      </c>
      <c r="M1195" t="s">
        <v>29</v>
      </c>
      <c r="N1195">
        <v>9</v>
      </c>
      <c r="O1195">
        <v>322.26</v>
      </c>
    </row>
    <row r="1196" spans="1:15" x14ac:dyDescent="0.35">
      <c r="A1196" t="s">
        <v>2575</v>
      </c>
      <c r="B1196" t="s">
        <v>51</v>
      </c>
      <c r="C1196" t="s">
        <v>2576</v>
      </c>
      <c r="D1196" t="s">
        <v>44</v>
      </c>
      <c r="E1196" t="s">
        <v>19</v>
      </c>
      <c r="F1196" t="s">
        <v>39</v>
      </c>
      <c r="G1196" t="s">
        <v>916</v>
      </c>
      <c r="H1196" s="1">
        <v>45632.633333333331</v>
      </c>
      <c r="I1196" s="1">
        <v>45632.79791666667</v>
      </c>
      <c r="J1196">
        <v>118</v>
      </c>
      <c r="K1196">
        <v>237</v>
      </c>
      <c r="L1196">
        <v>1</v>
      </c>
      <c r="M1196" t="s">
        <v>41</v>
      </c>
      <c r="N1196">
        <v>5</v>
      </c>
      <c r="O1196">
        <v>481.28</v>
      </c>
    </row>
    <row r="1197" spans="1:15" x14ac:dyDescent="0.35">
      <c r="A1197" t="s">
        <v>2577</v>
      </c>
      <c r="B1197" t="s">
        <v>24</v>
      </c>
      <c r="C1197" t="s">
        <v>2578</v>
      </c>
      <c r="D1197" t="s">
        <v>56</v>
      </c>
      <c r="E1197" t="s">
        <v>19</v>
      </c>
      <c r="F1197" t="s">
        <v>27</v>
      </c>
      <c r="G1197" t="s">
        <v>330</v>
      </c>
      <c r="H1197" s="1">
        <v>45512.612500000003</v>
      </c>
      <c r="I1197" s="1">
        <v>45512.679861111108</v>
      </c>
      <c r="J1197">
        <v>40</v>
      </c>
      <c r="K1197">
        <v>97</v>
      </c>
      <c r="L1197">
        <v>1</v>
      </c>
      <c r="M1197" t="s">
        <v>29</v>
      </c>
      <c r="N1197">
        <v>3</v>
      </c>
      <c r="O1197">
        <v>96</v>
      </c>
    </row>
    <row r="1198" spans="1:15" x14ac:dyDescent="0.35">
      <c r="A1198" t="s">
        <v>2579</v>
      </c>
      <c r="B1198" t="s">
        <v>51</v>
      </c>
      <c r="C1198" t="s">
        <v>2580</v>
      </c>
      <c r="D1198" t="s">
        <v>56</v>
      </c>
      <c r="E1198" t="s">
        <v>19</v>
      </c>
      <c r="F1198" t="s">
        <v>20</v>
      </c>
      <c r="G1198" t="s">
        <v>1125</v>
      </c>
      <c r="H1198" s="1">
        <v>45394.570833333331</v>
      </c>
      <c r="I1198" s="1">
        <v>45394.747916666667</v>
      </c>
      <c r="J1198">
        <v>232</v>
      </c>
      <c r="K1198">
        <v>255</v>
      </c>
      <c r="L1198">
        <v>1</v>
      </c>
      <c r="M1198" t="s">
        <v>22</v>
      </c>
      <c r="N1198">
        <v>7</v>
      </c>
      <c r="O1198">
        <v>148.22</v>
      </c>
    </row>
    <row r="1199" spans="1:15" x14ac:dyDescent="0.35">
      <c r="A1199" t="s">
        <v>2581</v>
      </c>
      <c r="B1199" t="s">
        <v>31</v>
      </c>
      <c r="C1199" t="s">
        <v>2582</v>
      </c>
      <c r="D1199" t="s">
        <v>44</v>
      </c>
      <c r="E1199" t="s">
        <v>19</v>
      </c>
      <c r="F1199" t="s">
        <v>20</v>
      </c>
      <c r="G1199" t="s">
        <v>1125</v>
      </c>
      <c r="H1199" s="1">
        <v>45323.313194444447</v>
      </c>
      <c r="I1199" s="1">
        <v>45323.35833333333</v>
      </c>
      <c r="J1199">
        <v>31</v>
      </c>
      <c r="K1199">
        <v>65</v>
      </c>
      <c r="L1199">
        <v>1</v>
      </c>
      <c r="M1199" t="s">
        <v>41</v>
      </c>
      <c r="N1199">
        <v>1</v>
      </c>
      <c r="O1199">
        <v>360.85</v>
      </c>
    </row>
    <row r="1200" spans="1:15" x14ac:dyDescent="0.35">
      <c r="A1200" t="s">
        <v>2583</v>
      </c>
      <c r="B1200" t="s">
        <v>63</v>
      </c>
      <c r="C1200" t="s">
        <v>2584</v>
      </c>
      <c r="D1200" t="s">
        <v>26</v>
      </c>
      <c r="E1200" t="s">
        <v>38</v>
      </c>
      <c r="F1200" t="s">
        <v>57</v>
      </c>
      <c r="G1200" t="s">
        <v>785</v>
      </c>
      <c r="H1200" s="1">
        <v>45501.500694444447</v>
      </c>
      <c r="I1200" s="1">
        <v>45501.689583333333</v>
      </c>
      <c r="J1200">
        <v>164</v>
      </c>
      <c r="K1200">
        <v>272</v>
      </c>
      <c r="L1200">
        <v>1</v>
      </c>
      <c r="M1200" t="s">
        <v>41</v>
      </c>
      <c r="N1200">
        <v>2</v>
      </c>
      <c r="O1200">
        <v>105.81</v>
      </c>
    </row>
    <row r="1201" spans="1:15" x14ac:dyDescent="0.35">
      <c r="A1201" t="s">
        <v>2585</v>
      </c>
      <c r="B1201" t="s">
        <v>24</v>
      </c>
      <c r="C1201" t="s">
        <v>2586</v>
      </c>
      <c r="D1201" t="s">
        <v>26</v>
      </c>
      <c r="E1201" t="s">
        <v>19</v>
      </c>
      <c r="F1201" t="s">
        <v>39</v>
      </c>
      <c r="G1201" t="s">
        <v>817</v>
      </c>
      <c r="H1201" s="1">
        <v>45501.250694444447</v>
      </c>
      <c r="I1201" s="1">
        <v>45501.342361111114</v>
      </c>
      <c r="J1201">
        <v>61</v>
      </c>
      <c r="K1201">
        <v>132</v>
      </c>
      <c r="L1201">
        <v>1</v>
      </c>
      <c r="M1201" t="s">
        <v>29</v>
      </c>
      <c r="N1201">
        <v>8</v>
      </c>
      <c r="O1201">
        <v>445.63</v>
      </c>
    </row>
    <row r="1202" spans="1:15" x14ac:dyDescent="0.35">
      <c r="A1202" t="s">
        <v>2587</v>
      </c>
      <c r="B1202" t="s">
        <v>24</v>
      </c>
      <c r="C1202" t="s">
        <v>2588</v>
      </c>
      <c r="D1202" t="s">
        <v>18</v>
      </c>
      <c r="E1202" t="s">
        <v>38</v>
      </c>
      <c r="F1202" t="s">
        <v>27</v>
      </c>
      <c r="G1202" t="s">
        <v>983</v>
      </c>
      <c r="H1202" s="1">
        <v>45604.992361111108</v>
      </c>
      <c r="I1202" s="1">
        <v>45605.099305555559</v>
      </c>
      <c r="J1202">
        <v>84</v>
      </c>
      <c r="K1202">
        <v>154</v>
      </c>
      <c r="L1202">
        <v>1</v>
      </c>
      <c r="M1202" t="s">
        <v>41</v>
      </c>
      <c r="N1202">
        <v>5</v>
      </c>
      <c r="O1202">
        <v>380.47</v>
      </c>
    </row>
    <row r="1203" spans="1:15" x14ac:dyDescent="0.35">
      <c r="A1203" t="s">
        <v>2589</v>
      </c>
      <c r="B1203" t="s">
        <v>51</v>
      </c>
      <c r="C1203" t="s">
        <v>2590</v>
      </c>
      <c r="D1203" t="s">
        <v>44</v>
      </c>
      <c r="E1203" t="s">
        <v>33</v>
      </c>
      <c r="F1203" t="s">
        <v>57</v>
      </c>
      <c r="G1203" t="s">
        <v>691</v>
      </c>
      <c r="H1203" s="1">
        <v>45319.244444444441</v>
      </c>
      <c r="I1203" s="1">
        <v>45319.363194444442</v>
      </c>
      <c r="J1203">
        <v>81</v>
      </c>
      <c r="K1203">
        <v>171</v>
      </c>
      <c r="L1203">
        <v>1</v>
      </c>
      <c r="M1203" t="s">
        <v>41</v>
      </c>
      <c r="N1203">
        <v>4</v>
      </c>
      <c r="O1203">
        <v>87.25</v>
      </c>
    </row>
    <row r="1204" spans="1:15" x14ac:dyDescent="0.35">
      <c r="A1204" t="s">
        <v>2591</v>
      </c>
      <c r="B1204" t="s">
        <v>63</v>
      </c>
      <c r="C1204" t="s">
        <v>2592</v>
      </c>
      <c r="D1204" t="s">
        <v>56</v>
      </c>
      <c r="E1204" t="s">
        <v>33</v>
      </c>
      <c r="F1204" t="s">
        <v>57</v>
      </c>
      <c r="G1204" t="s">
        <v>158</v>
      </c>
      <c r="H1204" s="1">
        <v>45366.671527777777</v>
      </c>
      <c r="I1204" s="1">
        <v>45366.831250000003</v>
      </c>
      <c r="J1204">
        <v>219</v>
      </c>
      <c r="K1204">
        <v>230</v>
      </c>
      <c r="L1204">
        <v>1</v>
      </c>
      <c r="M1204" t="s">
        <v>41</v>
      </c>
      <c r="N1204">
        <v>9</v>
      </c>
      <c r="O1204">
        <v>373.61</v>
      </c>
    </row>
    <row r="1205" spans="1:15" x14ac:dyDescent="0.35">
      <c r="A1205" t="s">
        <v>2593</v>
      </c>
      <c r="B1205" t="s">
        <v>31</v>
      </c>
      <c r="C1205" t="s">
        <v>2594</v>
      </c>
      <c r="D1205" t="s">
        <v>18</v>
      </c>
      <c r="E1205" t="s">
        <v>33</v>
      </c>
      <c r="F1205" t="s">
        <v>27</v>
      </c>
      <c r="G1205" t="s">
        <v>521</v>
      </c>
      <c r="H1205" s="1">
        <v>45379.482638888891</v>
      </c>
      <c r="I1205" s="1">
        <v>45379.54583333333</v>
      </c>
      <c r="J1205">
        <v>32</v>
      </c>
      <c r="K1205">
        <v>91</v>
      </c>
      <c r="L1205">
        <v>1</v>
      </c>
      <c r="M1205" t="s">
        <v>22</v>
      </c>
      <c r="N1205">
        <v>6</v>
      </c>
      <c r="O1205">
        <v>314.61</v>
      </c>
    </row>
    <row r="1206" spans="1:15" x14ac:dyDescent="0.35">
      <c r="A1206" t="s">
        <v>2595</v>
      </c>
      <c r="B1206" t="s">
        <v>24</v>
      </c>
      <c r="C1206" t="s">
        <v>2596</v>
      </c>
      <c r="D1206" t="s">
        <v>18</v>
      </c>
      <c r="E1206" t="s">
        <v>85</v>
      </c>
      <c r="F1206" t="s">
        <v>57</v>
      </c>
      <c r="G1206" t="s">
        <v>49</v>
      </c>
      <c r="H1206" s="1">
        <v>45377.072222222225</v>
      </c>
      <c r="I1206" s="1">
        <v>45377.166666666664</v>
      </c>
      <c r="J1206">
        <v>97</v>
      </c>
      <c r="K1206">
        <v>136</v>
      </c>
      <c r="L1206">
        <v>1</v>
      </c>
      <c r="M1206" t="s">
        <v>29</v>
      </c>
      <c r="N1206">
        <v>1</v>
      </c>
      <c r="O1206">
        <v>179.22</v>
      </c>
    </row>
    <row r="1207" spans="1:15" x14ac:dyDescent="0.35">
      <c r="A1207" t="s">
        <v>2597</v>
      </c>
      <c r="B1207" t="s">
        <v>16</v>
      </c>
      <c r="C1207" t="s">
        <v>2598</v>
      </c>
      <c r="D1207" t="s">
        <v>18</v>
      </c>
      <c r="E1207" t="s">
        <v>33</v>
      </c>
      <c r="F1207" t="s">
        <v>57</v>
      </c>
      <c r="G1207" t="s">
        <v>383</v>
      </c>
      <c r="H1207" s="1">
        <v>45590.250694444447</v>
      </c>
      <c r="I1207" s="1">
        <v>45590.385416666664</v>
      </c>
      <c r="J1207">
        <v>168</v>
      </c>
      <c r="K1207">
        <v>194</v>
      </c>
      <c r="L1207">
        <v>1</v>
      </c>
      <c r="M1207" t="s">
        <v>29</v>
      </c>
      <c r="N1207">
        <v>2</v>
      </c>
      <c r="O1207">
        <v>222.58</v>
      </c>
    </row>
    <row r="1208" spans="1:15" x14ac:dyDescent="0.35">
      <c r="A1208" t="s">
        <v>2599</v>
      </c>
      <c r="B1208" t="s">
        <v>31</v>
      </c>
      <c r="C1208" t="s">
        <v>2600</v>
      </c>
      <c r="D1208" t="s">
        <v>56</v>
      </c>
      <c r="E1208" t="s">
        <v>19</v>
      </c>
      <c r="F1208" t="s">
        <v>57</v>
      </c>
      <c r="G1208" t="s">
        <v>201</v>
      </c>
      <c r="H1208" s="1">
        <v>45423.361111111109</v>
      </c>
      <c r="I1208" s="1">
        <v>45423.494444444441</v>
      </c>
      <c r="J1208">
        <v>115</v>
      </c>
      <c r="K1208">
        <v>192</v>
      </c>
      <c r="L1208">
        <v>1</v>
      </c>
      <c r="M1208" t="s">
        <v>22</v>
      </c>
      <c r="N1208">
        <v>7</v>
      </c>
      <c r="O1208">
        <v>72.45</v>
      </c>
    </row>
    <row r="1209" spans="1:15" x14ac:dyDescent="0.35">
      <c r="A1209" t="s">
        <v>2601</v>
      </c>
      <c r="B1209" t="s">
        <v>51</v>
      </c>
      <c r="C1209" t="s">
        <v>2602</v>
      </c>
      <c r="D1209" t="s">
        <v>48</v>
      </c>
      <c r="E1209" t="s">
        <v>19</v>
      </c>
      <c r="F1209" t="s">
        <v>20</v>
      </c>
      <c r="G1209" t="s">
        <v>265</v>
      </c>
      <c r="H1209" s="1">
        <v>45618.913888888892</v>
      </c>
      <c r="I1209" s="1">
        <v>45619.129861111112</v>
      </c>
      <c r="J1209">
        <v>240</v>
      </c>
      <c r="K1209">
        <v>311</v>
      </c>
      <c r="L1209">
        <v>1</v>
      </c>
      <c r="M1209" t="s">
        <v>29</v>
      </c>
      <c r="N1209">
        <v>2</v>
      </c>
      <c r="O1209">
        <v>74.94</v>
      </c>
    </row>
    <row r="1210" spans="1:15" x14ac:dyDescent="0.35">
      <c r="A1210" t="s">
        <v>2603</v>
      </c>
      <c r="B1210" t="s">
        <v>24</v>
      </c>
      <c r="C1210" t="s">
        <v>2604</v>
      </c>
      <c r="D1210" t="s">
        <v>48</v>
      </c>
      <c r="E1210" t="s">
        <v>33</v>
      </c>
      <c r="F1210" t="s">
        <v>39</v>
      </c>
      <c r="G1210" t="s">
        <v>170</v>
      </c>
      <c r="H1210" s="1">
        <v>45344.35</v>
      </c>
      <c r="I1210" s="1">
        <v>45344.511111111111</v>
      </c>
      <c r="J1210">
        <v>229</v>
      </c>
      <c r="K1210">
        <v>232</v>
      </c>
      <c r="L1210">
        <v>1</v>
      </c>
      <c r="M1210" t="s">
        <v>41</v>
      </c>
      <c r="N1210">
        <v>1</v>
      </c>
      <c r="O1210">
        <v>318.49</v>
      </c>
    </row>
    <row r="1211" spans="1:15" x14ac:dyDescent="0.35">
      <c r="A1211" t="s">
        <v>2605</v>
      </c>
      <c r="B1211" t="s">
        <v>24</v>
      </c>
      <c r="C1211" t="s">
        <v>2606</v>
      </c>
      <c r="D1211" t="s">
        <v>18</v>
      </c>
      <c r="E1211" t="s">
        <v>38</v>
      </c>
      <c r="F1211" t="s">
        <v>20</v>
      </c>
      <c r="G1211" t="s">
        <v>143</v>
      </c>
      <c r="H1211" s="1">
        <v>45456.154861111114</v>
      </c>
      <c r="I1211" s="1">
        <v>45456.317361111112</v>
      </c>
      <c r="J1211">
        <v>130</v>
      </c>
      <c r="K1211">
        <v>234</v>
      </c>
      <c r="L1211">
        <v>1</v>
      </c>
      <c r="M1211" t="s">
        <v>29</v>
      </c>
      <c r="N1211">
        <v>9</v>
      </c>
      <c r="O1211">
        <v>57.28</v>
      </c>
    </row>
    <row r="1212" spans="1:15" x14ac:dyDescent="0.35">
      <c r="A1212" t="s">
        <v>2607</v>
      </c>
      <c r="B1212" t="s">
        <v>24</v>
      </c>
      <c r="C1212" t="s">
        <v>2608</v>
      </c>
      <c r="D1212" t="s">
        <v>18</v>
      </c>
      <c r="E1212" t="s">
        <v>33</v>
      </c>
      <c r="F1212" t="s">
        <v>27</v>
      </c>
      <c r="G1212" t="s">
        <v>194</v>
      </c>
      <c r="H1212" s="1">
        <v>45378.232638888891</v>
      </c>
      <c r="I1212" s="1">
        <v>45378.343055555553</v>
      </c>
      <c r="J1212">
        <v>50</v>
      </c>
      <c r="K1212">
        <v>159</v>
      </c>
      <c r="L1212">
        <v>1</v>
      </c>
      <c r="M1212" t="s">
        <v>41</v>
      </c>
      <c r="N1212">
        <v>6</v>
      </c>
      <c r="O1212">
        <v>251.1</v>
      </c>
    </row>
    <row r="1213" spans="1:15" x14ac:dyDescent="0.35">
      <c r="A1213" t="s">
        <v>2609</v>
      </c>
      <c r="B1213" t="s">
        <v>24</v>
      </c>
      <c r="C1213" t="s">
        <v>2610</v>
      </c>
      <c r="D1213" t="s">
        <v>44</v>
      </c>
      <c r="E1213" t="s">
        <v>85</v>
      </c>
      <c r="F1213" t="s">
        <v>57</v>
      </c>
      <c r="G1213" t="s">
        <v>182</v>
      </c>
      <c r="H1213" s="1">
        <v>45426.956250000003</v>
      </c>
      <c r="I1213" s="1">
        <v>45427.154166666667</v>
      </c>
      <c r="J1213">
        <v>223</v>
      </c>
      <c r="K1213">
        <v>285</v>
      </c>
      <c r="L1213">
        <v>1</v>
      </c>
      <c r="M1213" t="s">
        <v>22</v>
      </c>
      <c r="N1213">
        <v>5</v>
      </c>
      <c r="O1213">
        <v>82.45</v>
      </c>
    </row>
    <row r="1214" spans="1:15" x14ac:dyDescent="0.35">
      <c r="A1214" t="s">
        <v>2611</v>
      </c>
      <c r="B1214" t="s">
        <v>16</v>
      </c>
      <c r="C1214" t="s">
        <v>2612</v>
      </c>
      <c r="D1214" t="s">
        <v>44</v>
      </c>
      <c r="E1214" t="s">
        <v>19</v>
      </c>
      <c r="F1214" t="s">
        <v>57</v>
      </c>
      <c r="G1214" t="s">
        <v>1030</v>
      </c>
      <c r="H1214" s="1">
        <v>45479.48333333333</v>
      </c>
      <c r="I1214" s="1">
        <v>45479.697916666664</v>
      </c>
      <c r="J1214">
        <v>231</v>
      </c>
      <c r="K1214">
        <v>309</v>
      </c>
      <c r="L1214">
        <v>1</v>
      </c>
      <c r="M1214" t="s">
        <v>41</v>
      </c>
      <c r="N1214">
        <v>1</v>
      </c>
      <c r="O1214">
        <v>96.56</v>
      </c>
    </row>
    <row r="1215" spans="1:15" x14ac:dyDescent="0.35">
      <c r="A1215" t="s">
        <v>2613</v>
      </c>
      <c r="B1215" t="s">
        <v>16</v>
      </c>
      <c r="C1215" t="s">
        <v>2614</v>
      </c>
      <c r="D1215" t="s">
        <v>56</v>
      </c>
      <c r="E1215" t="s">
        <v>85</v>
      </c>
      <c r="F1215" t="s">
        <v>27</v>
      </c>
      <c r="G1215" t="s">
        <v>465</v>
      </c>
      <c r="H1215" s="1">
        <v>45570.052777777775</v>
      </c>
      <c r="I1215" s="1">
        <v>45570.200694444444</v>
      </c>
      <c r="J1215">
        <v>202</v>
      </c>
      <c r="K1215">
        <v>213</v>
      </c>
      <c r="L1215">
        <v>1</v>
      </c>
      <c r="M1215" t="s">
        <v>41</v>
      </c>
      <c r="N1215">
        <v>2</v>
      </c>
      <c r="O1215">
        <v>496.91</v>
      </c>
    </row>
    <row r="1216" spans="1:15" x14ac:dyDescent="0.35">
      <c r="A1216" t="s">
        <v>2615</v>
      </c>
      <c r="B1216" t="s">
        <v>16</v>
      </c>
      <c r="C1216" t="s">
        <v>2616</v>
      </c>
      <c r="D1216" t="s">
        <v>44</v>
      </c>
      <c r="E1216" t="s">
        <v>33</v>
      </c>
      <c r="F1216" t="s">
        <v>34</v>
      </c>
      <c r="G1216" t="s">
        <v>415</v>
      </c>
      <c r="H1216" s="1">
        <v>45458.063194444447</v>
      </c>
      <c r="I1216" s="1">
        <v>45458.274305555555</v>
      </c>
      <c r="J1216">
        <v>192</v>
      </c>
      <c r="K1216">
        <v>304</v>
      </c>
      <c r="L1216">
        <v>1</v>
      </c>
      <c r="M1216" t="s">
        <v>29</v>
      </c>
      <c r="N1216">
        <v>10</v>
      </c>
      <c r="O1216">
        <v>185.94</v>
      </c>
    </row>
    <row r="1217" spans="1:15" x14ac:dyDescent="0.35">
      <c r="A1217" t="s">
        <v>2617</v>
      </c>
      <c r="B1217" t="s">
        <v>63</v>
      </c>
      <c r="C1217" t="s">
        <v>2618</v>
      </c>
      <c r="D1217" t="s">
        <v>44</v>
      </c>
      <c r="E1217" t="s">
        <v>85</v>
      </c>
      <c r="F1217" t="s">
        <v>20</v>
      </c>
      <c r="G1217" t="s">
        <v>782</v>
      </c>
      <c r="H1217" s="1">
        <v>45305.746527777781</v>
      </c>
      <c r="I1217" s="1">
        <v>45305.945138888892</v>
      </c>
      <c r="J1217">
        <v>184</v>
      </c>
      <c r="K1217">
        <v>286</v>
      </c>
      <c r="L1217">
        <v>1</v>
      </c>
      <c r="M1217" t="s">
        <v>41</v>
      </c>
      <c r="N1217">
        <v>1</v>
      </c>
      <c r="O1217">
        <v>127.12</v>
      </c>
    </row>
    <row r="1218" spans="1:15" x14ac:dyDescent="0.35">
      <c r="A1218" t="s">
        <v>2619</v>
      </c>
      <c r="B1218" t="s">
        <v>63</v>
      </c>
      <c r="C1218" t="s">
        <v>2620</v>
      </c>
      <c r="D1218" t="s">
        <v>48</v>
      </c>
      <c r="E1218" t="s">
        <v>33</v>
      </c>
      <c r="F1218" t="s">
        <v>27</v>
      </c>
      <c r="G1218" t="s">
        <v>500</v>
      </c>
      <c r="H1218" s="1">
        <v>45483.886111111111</v>
      </c>
      <c r="I1218" s="1">
        <v>45484.007638888892</v>
      </c>
      <c r="J1218">
        <v>96</v>
      </c>
      <c r="K1218">
        <v>175</v>
      </c>
      <c r="L1218">
        <v>1</v>
      </c>
      <c r="M1218" t="s">
        <v>41</v>
      </c>
      <c r="N1218">
        <v>3</v>
      </c>
      <c r="O1218">
        <v>96.03</v>
      </c>
    </row>
    <row r="1219" spans="1:15" x14ac:dyDescent="0.35">
      <c r="A1219" t="s">
        <v>2621</v>
      </c>
      <c r="B1219" t="s">
        <v>16</v>
      </c>
      <c r="C1219" t="s">
        <v>2622</v>
      </c>
      <c r="D1219" t="s">
        <v>48</v>
      </c>
      <c r="E1219" t="s">
        <v>33</v>
      </c>
      <c r="F1219" t="s">
        <v>57</v>
      </c>
      <c r="G1219" t="s">
        <v>1030</v>
      </c>
      <c r="H1219" s="1">
        <v>45527.416666666664</v>
      </c>
      <c r="I1219" s="1">
        <v>45527.540277777778</v>
      </c>
      <c r="J1219">
        <v>164</v>
      </c>
      <c r="K1219">
        <v>178</v>
      </c>
      <c r="L1219">
        <v>1</v>
      </c>
      <c r="M1219" t="s">
        <v>29</v>
      </c>
      <c r="N1219">
        <v>9</v>
      </c>
      <c r="O1219">
        <v>418.09</v>
      </c>
    </row>
    <row r="1220" spans="1:15" x14ac:dyDescent="0.35">
      <c r="A1220" t="s">
        <v>2623</v>
      </c>
      <c r="B1220" t="s">
        <v>16</v>
      </c>
      <c r="C1220" t="s">
        <v>2624</v>
      </c>
      <c r="D1220" t="s">
        <v>18</v>
      </c>
      <c r="E1220" t="s">
        <v>33</v>
      </c>
      <c r="F1220" t="s">
        <v>34</v>
      </c>
      <c r="G1220" t="s">
        <v>65</v>
      </c>
      <c r="H1220" s="1">
        <v>45491.865277777775</v>
      </c>
      <c r="I1220" s="1">
        <v>45491.890277777777</v>
      </c>
      <c r="J1220">
        <v>35</v>
      </c>
      <c r="K1220">
        <v>36</v>
      </c>
      <c r="L1220">
        <v>1</v>
      </c>
      <c r="M1220" t="s">
        <v>29</v>
      </c>
      <c r="N1220">
        <v>6</v>
      </c>
      <c r="O1220">
        <v>146</v>
      </c>
    </row>
    <row r="1221" spans="1:15" x14ac:dyDescent="0.35">
      <c r="A1221" t="s">
        <v>2625</v>
      </c>
      <c r="B1221" t="s">
        <v>31</v>
      </c>
      <c r="C1221" t="s">
        <v>2626</v>
      </c>
      <c r="D1221" t="s">
        <v>48</v>
      </c>
      <c r="E1221" t="s">
        <v>33</v>
      </c>
      <c r="F1221" t="s">
        <v>20</v>
      </c>
      <c r="G1221" t="s">
        <v>137</v>
      </c>
      <c r="H1221" s="1">
        <v>45373.770138888889</v>
      </c>
      <c r="I1221" s="1">
        <v>45373.954861111109</v>
      </c>
      <c r="J1221">
        <v>218</v>
      </c>
      <c r="K1221">
        <v>266</v>
      </c>
      <c r="L1221">
        <v>1</v>
      </c>
      <c r="M1221" t="s">
        <v>22</v>
      </c>
      <c r="N1221">
        <v>6</v>
      </c>
      <c r="O1221">
        <v>364.64</v>
      </c>
    </row>
    <row r="1222" spans="1:15" x14ac:dyDescent="0.35">
      <c r="A1222" t="s">
        <v>2627</v>
      </c>
      <c r="B1222" t="s">
        <v>63</v>
      </c>
      <c r="C1222" t="s">
        <v>2628</v>
      </c>
      <c r="D1222" t="s">
        <v>18</v>
      </c>
      <c r="E1222" t="s">
        <v>85</v>
      </c>
      <c r="F1222" t="s">
        <v>20</v>
      </c>
      <c r="G1222" t="s">
        <v>476</v>
      </c>
      <c r="H1222" s="1">
        <v>45452.40625</v>
      </c>
      <c r="I1222" s="1">
        <v>45452.62222222222</v>
      </c>
      <c r="J1222">
        <v>232</v>
      </c>
      <c r="K1222">
        <v>311</v>
      </c>
      <c r="L1222">
        <v>1</v>
      </c>
      <c r="M1222" t="s">
        <v>41</v>
      </c>
      <c r="N1222">
        <v>6</v>
      </c>
      <c r="O1222">
        <v>488.51</v>
      </c>
    </row>
    <row r="1223" spans="1:15" x14ac:dyDescent="0.35">
      <c r="A1223" t="s">
        <v>2629</v>
      </c>
      <c r="B1223" t="s">
        <v>24</v>
      </c>
      <c r="C1223" t="s">
        <v>2630</v>
      </c>
      <c r="D1223" t="s">
        <v>26</v>
      </c>
      <c r="E1223" t="s">
        <v>85</v>
      </c>
      <c r="F1223" t="s">
        <v>39</v>
      </c>
      <c r="G1223" t="s">
        <v>459</v>
      </c>
      <c r="H1223" s="1">
        <v>45294.227777777778</v>
      </c>
      <c r="I1223" s="1">
        <v>45294.380555555559</v>
      </c>
      <c r="J1223">
        <v>146</v>
      </c>
      <c r="K1223">
        <v>220</v>
      </c>
      <c r="L1223">
        <v>1</v>
      </c>
      <c r="M1223" t="s">
        <v>29</v>
      </c>
      <c r="N1223">
        <v>7</v>
      </c>
      <c r="O1223">
        <v>123.99</v>
      </c>
    </row>
    <row r="1224" spans="1:15" x14ac:dyDescent="0.35">
      <c r="A1224" t="s">
        <v>2631</v>
      </c>
      <c r="B1224" t="s">
        <v>24</v>
      </c>
      <c r="C1224" t="s">
        <v>2632</v>
      </c>
      <c r="D1224" t="s">
        <v>56</v>
      </c>
      <c r="E1224" t="s">
        <v>33</v>
      </c>
      <c r="F1224" t="s">
        <v>39</v>
      </c>
      <c r="G1224" t="s">
        <v>615</v>
      </c>
      <c r="H1224" s="1">
        <v>45592.279861111114</v>
      </c>
      <c r="I1224" s="1">
        <v>45592.338888888888</v>
      </c>
      <c r="J1224">
        <v>32</v>
      </c>
      <c r="K1224">
        <v>85</v>
      </c>
      <c r="L1224">
        <v>1</v>
      </c>
      <c r="M1224" t="s">
        <v>41</v>
      </c>
      <c r="N1224">
        <v>5</v>
      </c>
      <c r="O1224">
        <v>258.19</v>
      </c>
    </row>
    <row r="1225" spans="1:15" x14ac:dyDescent="0.35">
      <c r="A1225" t="s">
        <v>2633</v>
      </c>
      <c r="B1225" t="s">
        <v>16</v>
      </c>
      <c r="C1225" t="s">
        <v>2634</v>
      </c>
      <c r="D1225" t="s">
        <v>56</v>
      </c>
      <c r="E1225" t="s">
        <v>33</v>
      </c>
      <c r="F1225" t="s">
        <v>20</v>
      </c>
      <c r="G1225" t="s">
        <v>681</v>
      </c>
      <c r="H1225" s="1">
        <v>45482.175000000003</v>
      </c>
      <c r="I1225" s="1">
        <v>45482.386111111111</v>
      </c>
      <c r="J1225">
        <v>190</v>
      </c>
      <c r="K1225">
        <v>304</v>
      </c>
      <c r="L1225">
        <v>1</v>
      </c>
      <c r="M1225" t="s">
        <v>41</v>
      </c>
      <c r="N1225">
        <v>4</v>
      </c>
      <c r="O1225">
        <v>494.66</v>
      </c>
    </row>
    <row r="1226" spans="1:15" x14ac:dyDescent="0.35">
      <c r="A1226" t="s">
        <v>2635</v>
      </c>
      <c r="B1226" t="s">
        <v>16</v>
      </c>
      <c r="C1226" t="s">
        <v>2636</v>
      </c>
      <c r="D1226" t="s">
        <v>44</v>
      </c>
      <c r="E1226" t="s">
        <v>33</v>
      </c>
      <c r="F1226" t="s">
        <v>20</v>
      </c>
      <c r="G1226" t="s">
        <v>45</v>
      </c>
      <c r="H1226" s="1">
        <v>45607.572916666664</v>
      </c>
      <c r="I1226" s="1">
        <v>45607.643055555556</v>
      </c>
      <c r="J1226">
        <v>104</v>
      </c>
      <c r="K1226">
        <v>101</v>
      </c>
      <c r="L1226">
        <v>0</v>
      </c>
      <c r="M1226" t="s">
        <v>41</v>
      </c>
      <c r="N1226">
        <v>3</v>
      </c>
      <c r="O1226">
        <v>76.95</v>
      </c>
    </row>
    <row r="1227" spans="1:15" x14ac:dyDescent="0.35">
      <c r="A1227" t="s">
        <v>2637</v>
      </c>
      <c r="B1227" t="s">
        <v>24</v>
      </c>
      <c r="C1227" t="s">
        <v>2638</v>
      </c>
      <c r="D1227" t="s">
        <v>18</v>
      </c>
      <c r="E1227" t="s">
        <v>19</v>
      </c>
      <c r="F1227" t="s">
        <v>39</v>
      </c>
      <c r="G1227" t="s">
        <v>53</v>
      </c>
      <c r="H1227" s="1">
        <v>45598.758333333331</v>
      </c>
      <c r="I1227" s="1">
        <v>45598.824999999997</v>
      </c>
      <c r="J1227">
        <v>48</v>
      </c>
      <c r="K1227">
        <v>96</v>
      </c>
      <c r="L1227">
        <v>1</v>
      </c>
      <c r="M1227" t="s">
        <v>29</v>
      </c>
      <c r="N1227">
        <v>8</v>
      </c>
      <c r="O1227">
        <v>190.62</v>
      </c>
    </row>
    <row r="1228" spans="1:15" x14ac:dyDescent="0.35">
      <c r="A1228" t="s">
        <v>2639</v>
      </c>
      <c r="B1228" t="s">
        <v>24</v>
      </c>
      <c r="C1228" t="s">
        <v>2640</v>
      </c>
      <c r="D1228" t="s">
        <v>18</v>
      </c>
      <c r="E1228" t="s">
        <v>19</v>
      </c>
      <c r="F1228" t="s">
        <v>39</v>
      </c>
      <c r="G1228" t="s">
        <v>231</v>
      </c>
      <c r="H1228" s="1">
        <v>45418.246527777781</v>
      </c>
      <c r="I1228" s="1">
        <v>45418.362500000003</v>
      </c>
      <c r="J1228">
        <v>118</v>
      </c>
      <c r="K1228">
        <v>167</v>
      </c>
      <c r="L1228">
        <v>1</v>
      </c>
      <c r="M1228" t="s">
        <v>22</v>
      </c>
      <c r="N1228">
        <v>10</v>
      </c>
      <c r="O1228">
        <v>329.44</v>
      </c>
    </row>
    <row r="1229" spans="1:15" x14ac:dyDescent="0.35">
      <c r="A1229" t="s">
        <v>2641</v>
      </c>
      <c r="B1229" t="s">
        <v>63</v>
      </c>
      <c r="C1229" t="s">
        <v>2642</v>
      </c>
      <c r="D1229" t="s">
        <v>18</v>
      </c>
      <c r="E1229" t="s">
        <v>33</v>
      </c>
      <c r="F1229" t="s">
        <v>34</v>
      </c>
      <c r="G1229" t="s">
        <v>129</v>
      </c>
      <c r="H1229" s="1">
        <v>45571.426388888889</v>
      </c>
      <c r="I1229" s="1">
        <v>45571.55</v>
      </c>
      <c r="J1229">
        <v>183</v>
      </c>
      <c r="K1229">
        <v>178</v>
      </c>
      <c r="L1229">
        <v>0</v>
      </c>
      <c r="M1229" t="s">
        <v>41</v>
      </c>
      <c r="N1229">
        <v>2</v>
      </c>
      <c r="O1229">
        <v>171.65</v>
      </c>
    </row>
    <row r="1230" spans="1:15" x14ac:dyDescent="0.35">
      <c r="A1230" t="s">
        <v>2643</v>
      </c>
      <c r="B1230" t="s">
        <v>51</v>
      </c>
      <c r="C1230" t="s">
        <v>2644</v>
      </c>
      <c r="D1230" t="s">
        <v>56</v>
      </c>
      <c r="E1230" t="s">
        <v>19</v>
      </c>
      <c r="F1230" t="s">
        <v>20</v>
      </c>
      <c r="G1230" t="s">
        <v>1413</v>
      </c>
      <c r="H1230" s="1">
        <v>45523.93472222222</v>
      </c>
      <c r="I1230" s="1">
        <v>45523.988194444442</v>
      </c>
      <c r="J1230">
        <v>47</v>
      </c>
      <c r="K1230">
        <v>77</v>
      </c>
      <c r="L1230">
        <v>1</v>
      </c>
      <c r="M1230" t="s">
        <v>22</v>
      </c>
      <c r="N1230">
        <v>1</v>
      </c>
      <c r="O1230">
        <v>489.69</v>
      </c>
    </row>
    <row r="1231" spans="1:15" x14ac:dyDescent="0.35">
      <c r="A1231" t="s">
        <v>2645</v>
      </c>
      <c r="B1231" t="s">
        <v>51</v>
      </c>
      <c r="C1231" t="s">
        <v>2646</v>
      </c>
      <c r="D1231" t="s">
        <v>18</v>
      </c>
      <c r="E1231" t="s">
        <v>85</v>
      </c>
      <c r="F1231" t="s">
        <v>20</v>
      </c>
      <c r="G1231" t="s">
        <v>167</v>
      </c>
      <c r="H1231" s="1">
        <v>45373.189583333333</v>
      </c>
      <c r="I1231" s="1">
        <v>45373.334027777775</v>
      </c>
      <c r="J1231">
        <v>185</v>
      </c>
      <c r="K1231">
        <v>208</v>
      </c>
      <c r="L1231">
        <v>1</v>
      </c>
      <c r="M1231" t="s">
        <v>22</v>
      </c>
      <c r="N1231">
        <v>8</v>
      </c>
      <c r="O1231">
        <v>57.85</v>
      </c>
    </row>
    <row r="1232" spans="1:15" x14ac:dyDescent="0.35">
      <c r="A1232" t="s">
        <v>2647</v>
      </c>
      <c r="B1232" t="s">
        <v>16</v>
      </c>
      <c r="C1232" t="s">
        <v>2648</v>
      </c>
      <c r="D1232" t="s">
        <v>44</v>
      </c>
      <c r="E1232" t="s">
        <v>33</v>
      </c>
      <c r="F1232" t="s">
        <v>34</v>
      </c>
      <c r="G1232" t="s">
        <v>669</v>
      </c>
      <c r="H1232" s="1">
        <v>45502.568749999999</v>
      </c>
      <c r="I1232" s="1">
        <v>45502.742361111108</v>
      </c>
      <c r="J1232">
        <v>214</v>
      </c>
      <c r="K1232">
        <v>250</v>
      </c>
      <c r="L1232">
        <v>1</v>
      </c>
      <c r="M1232" t="s">
        <v>41</v>
      </c>
      <c r="N1232">
        <v>10</v>
      </c>
      <c r="O1232">
        <v>255.18</v>
      </c>
    </row>
    <row r="1233" spans="1:15" x14ac:dyDescent="0.35">
      <c r="A1233" t="s">
        <v>2649</v>
      </c>
      <c r="B1233" t="s">
        <v>24</v>
      </c>
      <c r="C1233" t="s">
        <v>2650</v>
      </c>
      <c r="D1233" t="s">
        <v>44</v>
      </c>
      <c r="E1233" t="s">
        <v>19</v>
      </c>
      <c r="F1233" t="s">
        <v>20</v>
      </c>
      <c r="G1233" t="s">
        <v>164</v>
      </c>
      <c r="H1233" s="1">
        <v>45524.793749999997</v>
      </c>
      <c r="I1233" s="1">
        <v>45524.913888888892</v>
      </c>
      <c r="J1233">
        <v>99</v>
      </c>
      <c r="K1233">
        <v>173</v>
      </c>
      <c r="L1233">
        <v>1</v>
      </c>
      <c r="M1233" t="s">
        <v>29</v>
      </c>
      <c r="N1233">
        <v>1</v>
      </c>
      <c r="O1233">
        <v>451.08</v>
      </c>
    </row>
    <row r="1234" spans="1:15" x14ac:dyDescent="0.35">
      <c r="A1234" t="s">
        <v>2651</v>
      </c>
      <c r="B1234" t="s">
        <v>31</v>
      </c>
      <c r="C1234" t="s">
        <v>2652</v>
      </c>
      <c r="D1234" t="s">
        <v>18</v>
      </c>
      <c r="E1234" t="s">
        <v>38</v>
      </c>
      <c r="F1234" t="s">
        <v>34</v>
      </c>
      <c r="G1234" t="s">
        <v>149</v>
      </c>
      <c r="H1234" s="1">
        <v>45435.599305555559</v>
      </c>
      <c r="I1234" s="1">
        <v>45435.777777777781</v>
      </c>
      <c r="J1234">
        <v>141</v>
      </c>
      <c r="K1234">
        <v>257</v>
      </c>
      <c r="L1234">
        <v>1</v>
      </c>
      <c r="M1234" t="s">
        <v>29</v>
      </c>
      <c r="N1234">
        <v>7</v>
      </c>
      <c r="O1234">
        <v>179.96</v>
      </c>
    </row>
    <row r="1235" spans="1:15" x14ac:dyDescent="0.35">
      <c r="A1235" t="s">
        <v>2653</v>
      </c>
      <c r="B1235" t="s">
        <v>24</v>
      </c>
      <c r="C1235" t="s">
        <v>2654</v>
      </c>
      <c r="D1235" t="s">
        <v>18</v>
      </c>
      <c r="E1235" t="s">
        <v>19</v>
      </c>
      <c r="F1235" t="s">
        <v>39</v>
      </c>
      <c r="G1235" t="s">
        <v>615</v>
      </c>
      <c r="H1235" s="1">
        <v>45542.963888888888</v>
      </c>
      <c r="I1235" s="1">
        <v>45543.082638888889</v>
      </c>
      <c r="J1235">
        <v>86</v>
      </c>
      <c r="K1235">
        <v>171</v>
      </c>
      <c r="L1235">
        <v>1</v>
      </c>
      <c r="M1235" t="s">
        <v>41</v>
      </c>
      <c r="N1235">
        <v>6</v>
      </c>
      <c r="O1235">
        <v>195.17</v>
      </c>
    </row>
    <row r="1236" spans="1:15" x14ac:dyDescent="0.35">
      <c r="A1236" t="s">
        <v>2655</v>
      </c>
      <c r="B1236" t="s">
        <v>63</v>
      </c>
      <c r="C1236" t="s">
        <v>2656</v>
      </c>
      <c r="D1236" t="s">
        <v>48</v>
      </c>
      <c r="E1236" t="s">
        <v>33</v>
      </c>
      <c r="F1236" t="s">
        <v>39</v>
      </c>
      <c r="G1236" t="s">
        <v>316</v>
      </c>
      <c r="H1236" s="1">
        <v>45537.218055555553</v>
      </c>
      <c r="I1236" s="1">
        <v>45537.373611111114</v>
      </c>
      <c r="J1236">
        <v>187</v>
      </c>
      <c r="K1236">
        <v>224</v>
      </c>
      <c r="L1236">
        <v>1</v>
      </c>
      <c r="M1236" t="s">
        <v>41</v>
      </c>
      <c r="N1236">
        <v>2</v>
      </c>
      <c r="O1236">
        <v>468.11</v>
      </c>
    </row>
    <row r="1237" spans="1:15" x14ac:dyDescent="0.35">
      <c r="A1237" t="s">
        <v>2657</v>
      </c>
      <c r="B1237" t="s">
        <v>51</v>
      </c>
      <c r="C1237" t="s">
        <v>2658</v>
      </c>
      <c r="D1237" t="s">
        <v>56</v>
      </c>
      <c r="E1237" t="s">
        <v>33</v>
      </c>
      <c r="F1237" t="s">
        <v>20</v>
      </c>
      <c r="G1237" t="s">
        <v>100</v>
      </c>
      <c r="H1237" s="1">
        <v>45592.270138888889</v>
      </c>
      <c r="I1237" s="1">
        <v>45592.350694444445</v>
      </c>
      <c r="J1237">
        <v>48</v>
      </c>
      <c r="K1237">
        <v>116</v>
      </c>
      <c r="L1237">
        <v>1</v>
      </c>
      <c r="M1237" t="s">
        <v>41</v>
      </c>
      <c r="N1237">
        <v>4</v>
      </c>
      <c r="O1237">
        <v>399.46</v>
      </c>
    </row>
    <row r="1238" spans="1:15" x14ac:dyDescent="0.35">
      <c r="A1238" t="s">
        <v>2659</v>
      </c>
      <c r="B1238" t="s">
        <v>31</v>
      </c>
      <c r="C1238" t="s">
        <v>2660</v>
      </c>
      <c r="D1238" t="s">
        <v>26</v>
      </c>
      <c r="E1238" t="s">
        <v>38</v>
      </c>
      <c r="F1238" t="s">
        <v>57</v>
      </c>
      <c r="G1238" t="s">
        <v>207</v>
      </c>
      <c r="H1238" s="1">
        <v>45342.861111111109</v>
      </c>
      <c r="I1238" s="1">
        <v>45342.962500000001</v>
      </c>
      <c r="J1238">
        <v>105</v>
      </c>
      <c r="K1238">
        <v>146</v>
      </c>
      <c r="L1238">
        <v>1</v>
      </c>
      <c r="M1238" t="s">
        <v>22</v>
      </c>
      <c r="N1238">
        <v>1</v>
      </c>
      <c r="O1238">
        <v>446.1</v>
      </c>
    </row>
    <row r="1239" spans="1:15" x14ac:dyDescent="0.35">
      <c r="A1239" t="s">
        <v>2661</v>
      </c>
      <c r="B1239" t="s">
        <v>63</v>
      </c>
      <c r="C1239" t="s">
        <v>2662</v>
      </c>
      <c r="D1239" t="s">
        <v>26</v>
      </c>
      <c r="E1239" t="s">
        <v>85</v>
      </c>
      <c r="F1239" t="s">
        <v>34</v>
      </c>
      <c r="G1239" t="s">
        <v>650</v>
      </c>
      <c r="H1239" s="1">
        <v>45649.789583333331</v>
      </c>
      <c r="I1239" s="1">
        <v>45649.982638888891</v>
      </c>
      <c r="J1239">
        <v>165</v>
      </c>
      <c r="K1239">
        <v>278</v>
      </c>
      <c r="L1239">
        <v>1</v>
      </c>
      <c r="M1239" t="s">
        <v>22</v>
      </c>
      <c r="N1239">
        <v>3</v>
      </c>
      <c r="O1239">
        <v>296.14</v>
      </c>
    </row>
    <row r="1240" spans="1:15" x14ac:dyDescent="0.35">
      <c r="A1240" t="s">
        <v>2663</v>
      </c>
      <c r="B1240" t="s">
        <v>51</v>
      </c>
      <c r="C1240" t="s">
        <v>2664</v>
      </c>
      <c r="D1240" t="s">
        <v>44</v>
      </c>
      <c r="E1240" t="s">
        <v>19</v>
      </c>
      <c r="F1240" t="s">
        <v>27</v>
      </c>
      <c r="G1240" t="s">
        <v>615</v>
      </c>
      <c r="H1240" s="1">
        <v>45488.064583333333</v>
      </c>
      <c r="I1240" s="1">
        <v>45488.169444444444</v>
      </c>
      <c r="J1240">
        <v>108</v>
      </c>
      <c r="K1240">
        <v>151</v>
      </c>
      <c r="L1240">
        <v>1</v>
      </c>
      <c r="M1240" t="s">
        <v>22</v>
      </c>
      <c r="N1240">
        <v>9</v>
      </c>
      <c r="O1240">
        <v>192.46</v>
      </c>
    </row>
    <row r="1241" spans="1:15" x14ac:dyDescent="0.35">
      <c r="A1241" t="s">
        <v>2665</v>
      </c>
      <c r="B1241" t="s">
        <v>63</v>
      </c>
      <c r="C1241" t="s">
        <v>2666</v>
      </c>
      <c r="D1241" t="s">
        <v>26</v>
      </c>
      <c r="E1241" t="s">
        <v>38</v>
      </c>
      <c r="F1241" t="s">
        <v>57</v>
      </c>
      <c r="G1241" t="s">
        <v>132</v>
      </c>
      <c r="H1241" s="1">
        <v>45381.417361111111</v>
      </c>
      <c r="I1241" s="1">
        <v>45381.560416666667</v>
      </c>
      <c r="J1241">
        <v>120</v>
      </c>
      <c r="K1241">
        <v>206</v>
      </c>
      <c r="L1241">
        <v>1</v>
      </c>
      <c r="M1241" t="s">
        <v>29</v>
      </c>
      <c r="N1241">
        <v>1</v>
      </c>
      <c r="O1241">
        <v>89.2</v>
      </c>
    </row>
    <row r="1242" spans="1:15" x14ac:dyDescent="0.35">
      <c r="A1242" t="s">
        <v>2667</v>
      </c>
      <c r="B1242" t="s">
        <v>31</v>
      </c>
      <c r="C1242" t="s">
        <v>2668</v>
      </c>
      <c r="D1242" t="s">
        <v>56</v>
      </c>
      <c r="E1242" t="s">
        <v>38</v>
      </c>
      <c r="F1242" t="s">
        <v>39</v>
      </c>
      <c r="G1242" t="s">
        <v>234</v>
      </c>
      <c r="H1242" s="1">
        <v>45511.319444444445</v>
      </c>
      <c r="I1242" s="1">
        <v>45511.500694444447</v>
      </c>
      <c r="J1242">
        <v>219</v>
      </c>
      <c r="K1242">
        <v>261</v>
      </c>
      <c r="L1242">
        <v>1</v>
      </c>
      <c r="M1242" t="s">
        <v>22</v>
      </c>
      <c r="N1242">
        <v>7</v>
      </c>
      <c r="O1242">
        <v>124.43</v>
      </c>
    </row>
    <row r="1243" spans="1:15" x14ac:dyDescent="0.35">
      <c r="A1243" t="s">
        <v>2669</v>
      </c>
      <c r="B1243" t="s">
        <v>31</v>
      </c>
      <c r="C1243" t="s">
        <v>2670</v>
      </c>
      <c r="D1243" t="s">
        <v>48</v>
      </c>
      <c r="E1243" t="s">
        <v>19</v>
      </c>
      <c r="F1243" t="s">
        <v>34</v>
      </c>
      <c r="G1243" t="s">
        <v>669</v>
      </c>
      <c r="H1243" s="1">
        <v>45529.901388888888</v>
      </c>
      <c r="I1243" s="1">
        <v>45529.988194444442</v>
      </c>
      <c r="J1243">
        <v>90</v>
      </c>
      <c r="K1243">
        <v>125</v>
      </c>
      <c r="L1243">
        <v>1</v>
      </c>
      <c r="M1243" t="s">
        <v>29</v>
      </c>
      <c r="N1243">
        <v>6</v>
      </c>
      <c r="O1243">
        <v>480.4</v>
      </c>
    </row>
    <row r="1244" spans="1:15" x14ac:dyDescent="0.35">
      <c r="A1244" t="s">
        <v>2671</v>
      </c>
      <c r="B1244" t="s">
        <v>31</v>
      </c>
      <c r="C1244" t="s">
        <v>2672</v>
      </c>
      <c r="D1244" t="s">
        <v>48</v>
      </c>
      <c r="E1244" t="s">
        <v>33</v>
      </c>
      <c r="F1244" t="s">
        <v>34</v>
      </c>
      <c r="G1244" t="s">
        <v>427</v>
      </c>
      <c r="H1244" s="1">
        <v>45628.895833333336</v>
      </c>
      <c r="I1244" s="1">
        <v>45628.957638888889</v>
      </c>
      <c r="J1244">
        <v>31</v>
      </c>
      <c r="K1244">
        <v>89</v>
      </c>
      <c r="L1244">
        <v>1</v>
      </c>
      <c r="M1244" t="s">
        <v>29</v>
      </c>
      <c r="N1244">
        <v>9</v>
      </c>
      <c r="O1244">
        <v>391.19</v>
      </c>
    </row>
    <row r="1245" spans="1:15" x14ac:dyDescent="0.35">
      <c r="A1245" t="s">
        <v>2673</v>
      </c>
      <c r="B1245" t="s">
        <v>51</v>
      </c>
      <c r="C1245" t="s">
        <v>2674</v>
      </c>
      <c r="D1245" t="s">
        <v>26</v>
      </c>
      <c r="E1245" t="s">
        <v>85</v>
      </c>
      <c r="F1245" t="s">
        <v>27</v>
      </c>
      <c r="G1245" t="s">
        <v>988</v>
      </c>
      <c r="H1245" s="1">
        <v>45501.328472222223</v>
      </c>
      <c r="I1245" s="1">
        <v>45501.435416666667</v>
      </c>
      <c r="J1245">
        <v>87</v>
      </c>
      <c r="K1245">
        <v>154</v>
      </c>
      <c r="L1245">
        <v>1</v>
      </c>
      <c r="M1245" t="s">
        <v>41</v>
      </c>
      <c r="N1245">
        <v>8</v>
      </c>
      <c r="O1245">
        <v>221.86</v>
      </c>
    </row>
    <row r="1246" spans="1:15" x14ac:dyDescent="0.35">
      <c r="A1246" t="s">
        <v>2675</v>
      </c>
      <c r="B1246" t="s">
        <v>31</v>
      </c>
      <c r="C1246" t="s">
        <v>2676</v>
      </c>
      <c r="D1246" t="s">
        <v>44</v>
      </c>
      <c r="E1246" t="s">
        <v>19</v>
      </c>
      <c r="F1246" t="s">
        <v>57</v>
      </c>
      <c r="G1246" t="s">
        <v>512</v>
      </c>
      <c r="H1246" s="1">
        <v>45634.679861111108</v>
      </c>
      <c r="I1246" s="1">
        <v>45634.870833333334</v>
      </c>
      <c r="J1246">
        <v>235</v>
      </c>
      <c r="K1246">
        <v>275</v>
      </c>
      <c r="L1246">
        <v>1</v>
      </c>
      <c r="M1246" t="s">
        <v>22</v>
      </c>
      <c r="N1246">
        <v>5</v>
      </c>
      <c r="O1246">
        <v>287.83</v>
      </c>
    </row>
    <row r="1247" spans="1:15" x14ac:dyDescent="0.35">
      <c r="A1247" t="s">
        <v>2677</v>
      </c>
      <c r="B1247" t="s">
        <v>24</v>
      </c>
      <c r="C1247" t="s">
        <v>2678</v>
      </c>
      <c r="D1247" t="s">
        <v>26</v>
      </c>
      <c r="E1247" t="s">
        <v>38</v>
      </c>
      <c r="F1247" t="s">
        <v>39</v>
      </c>
      <c r="G1247" t="s">
        <v>53</v>
      </c>
      <c r="H1247" s="1">
        <v>45646.363194444442</v>
      </c>
      <c r="I1247" s="1">
        <v>45646.56527777778</v>
      </c>
      <c r="J1247">
        <v>230</v>
      </c>
      <c r="K1247">
        <v>291</v>
      </c>
      <c r="L1247">
        <v>1</v>
      </c>
      <c r="M1247" t="s">
        <v>41</v>
      </c>
      <c r="N1247">
        <v>4</v>
      </c>
      <c r="O1247">
        <v>292.85000000000002</v>
      </c>
    </row>
    <row r="1248" spans="1:15" x14ac:dyDescent="0.35">
      <c r="A1248" t="s">
        <v>2679</v>
      </c>
      <c r="B1248" t="s">
        <v>51</v>
      </c>
      <c r="C1248" t="s">
        <v>2680</v>
      </c>
      <c r="D1248" t="s">
        <v>44</v>
      </c>
      <c r="E1248" t="s">
        <v>85</v>
      </c>
      <c r="F1248" t="s">
        <v>20</v>
      </c>
      <c r="G1248" t="s">
        <v>265</v>
      </c>
      <c r="H1248" s="1">
        <v>45556.601388888892</v>
      </c>
      <c r="I1248" s="1">
        <v>45556.676388888889</v>
      </c>
      <c r="J1248">
        <v>85</v>
      </c>
      <c r="K1248">
        <v>108</v>
      </c>
      <c r="L1248">
        <v>1</v>
      </c>
      <c r="M1248" t="s">
        <v>29</v>
      </c>
      <c r="N1248">
        <v>4</v>
      </c>
      <c r="O1248">
        <v>440.49</v>
      </c>
    </row>
    <row r="1249" spans="1:15" x14ac:dyDescent="0.35">
      <c r="A1249" t="s">
        <v>2681</v>
      </c>
      <c r="B1249" t="s">
        <v>31</v>
      </c>
      <c r="C1249" t="s">
        <v>2682</v>
      </c>
      <c r="D1249" t="s">
        <v>56</v>
      </c>
      <c r="E1249" t="s">
        <v>19</v>
      </c>
      <c r="F1249" t="s">
        <v>39</v>
      </c>
      <c r="G1249" t="s">
        <v>173</v>
      </c>
      <c r="H1249" s="1">
        <v>45326.97152777778</v>
      </c>
      <c r="I1249" s="1">
        <v>45327.045138888891</v>
      </c>
      <c r="J1249">
        <v>60</v>
      </c>
      <c r="K1249">
        <v>106</v>
      </c>
      <c r="L1249">
        <v>1</v>
      </c>
      <c r="M1249" t="s">
        <v>22</v>
      </c>
      <c r="N1249">
        <v>3</v>
      </c>
      <c r="O1249">
        <v>441.04</v>
      </c>
    </row>
    <row r="1250" spans="1:15" x14ac:dyDescent="0.35">
      <c r="A1250" t="s">
        <v>2683</v>
      </c>
      <c r="B1250" t="s">
        <v>51</v>
      </c>
      <c r="C1250" t="s">
        <v>2684</v>
      </c>
      <c r="D1250" t="s">
        <v>18</v>
      </c>
      <c r="E1250" t="s">
        <v>19</v>
      </c>
      <c r="F1250" t="s">
        <v>57</v>
      </c>
      <c r="G1250" t="s">
        <v>228</v>
      </c>
      <c r="H1250" s="1">
        <v>45582.561111111114</v>
      </c>
      <c r="I1250" s="1">
        <v>45582.759027777778</v>
      </c>
      <c r="J1250">
        <v>209</v>
      </c>
      <c r="K1250">
        <v>285</v>
      </c>
      <c r="L1250">
        <v>1</v>
      </c>
      <c r="M1250" t="s">
        <v>41</v>
      </c>
      <c r="N1250">
        <v>8</v>
      </c>
      <c r="O1250">
        <v>172.66</v>
      </c>
    </row>
    <row r="1251" spans="1:15" x14ac:dyDescent="0.35">
      <c r="A1251" t="s">
        <v>2685</v>
      </c>
      <c r="B1251" t="s">
        <v>63</v>
      </c>
      <c r="C1251" t="s">
        <v>2686</v>
      </c>
      <c r="D1251" t="s">
        <v>56</v>
      </c>
      <c r="E1251" t="s">
        <v>85</v>
      </c>
      <c r="F1251" t="s">
        <v>39</v>
      </c>
      <c r="G1251" t="s">
        <v>1730</v>
      </c>
      <c r="H1251" s="1">
        <v>45587.029166666667</v>
      </c>
      <c r="I1251" s="1">
        <v>45587.125</v>
      </c>
      <c r="J1251">
        <v>73</v>
      </c>
      <c r="K1251">
        <v>138</v>
      </c>
      <c r="L1251">
        <v>1</v>
      </c>
      <c r="M1251" t="s">
        <v>29</v>
      </c>
      <c r="N1251">
        <v>8</v>
      </c>
      <c r="O1251">
        <v>141.5</v>
      </c>
    </row>
    <row r="1252" spans="1:15" x14ac:dyDescent="0.35">
      <c r="A1252" t="s">
        <v>2687</v>
      </c>
      <c r="B1252" t="s">
        <v>31</v>
      </c>
      <c r="C1252" t="s">
        <v>2688</v>
      </c>
      <c r="D1252" t="s">
        <v>26</v>
      </c>
      <c r="E1252" t="s">
        <v>33</v>
      </c>
      <c r="F1252" t="s">
        <v>34</v>
      </c>
      <c r="G1252" t="s">
        <v>251</v>
      </c>
      <c r="H1252" s="1">
        <v>45549.300694444442</v>
      </c>
      <c r="I1252" s="1">
        <v>45549.481944444444</v>
      </c>
      <c r="J1252">
        <v>157</v>
      </c>
      <c r="K1252">
        <v>261</v>
      </c>
      <c r="L1252">
        <v>1</v>
      </c>
      <c r="M1252" t="s">
        <v>22</v>
      </c>
      <c r="N1252">
        <v>1</v>
      </c>
      <c r="O1252">
        <v>366.22</v>
      </c>
    </row>
    <row r="1253" spans="1:15" x14ac:dyDescent="0.35">
      <c r="A1253" t="s">
        <v>2689</v>
      </c>
      <c r="B1253" t="s">
        <v>16</v>
      </c>
      <c r="C1253" t="s">
        <v>2690</v>
      </c>
      <c r="D1253" t="s">
        <v>48</v>
      </c>
      <c r="E1253" t="s">
        <v>85</v>
      </c>
      <c r="F1253" t="s">
        <v>57</v>
      </c>
      <c r="G1253" t="s">
        <v>415</v>
      </c>
      <c r="H1253" s="1">
        <v>45394.175694444442</v>
      </c>
      <c r="I1253" s="1">
        <v>45394.28125</v>
      </c>
      <c r="J1253">
        <v>122</v>
      </c>
      <c r="K1253">
        <v>152</v>
      </c>
      <c r="L1253">
        <v>1</v>
      </c>
      <c r="M1253" t="s">
        <v>41</v>
      </c>
      <c r="N1253">
        <v>3</v>
      </c>
      <c r="O1253">
        <v>168.14</v>
      </c>
    </row>
    <row r="1254" spans="1:15" x14ac:dyDescent="0.35">
      <c r="A1254" t="s">
        <v>2691</v>
      </c>
      <c r="B1254" t="s">
        <v>51</v>
      </c>
      <c r="C1254" t="s">
        <v>2692</v>
      </c>
      <c r="D1254" t="s">
        <v>56</v>
      </c>
      <c r="E1254" t="s">
        <v>38</v>
      </c>
      <c r="F1254" t="s">
        <v>20</v>
      </c>
      <c r="G1254" t="s">
        <v>785</v>
      </c>
      <c r="H1254" s="1">
        <v>45503.604166666664</v>
      </c>
      <c r="I1254" s="1">
        <v>45503.731249999997</v>
      </c>
      <c r="J1254">
        <v>143</v>
      </c>
      <c r="K1254">
        <v>183</v>
      </c>
      <c r="L1254">
        <v>1</v>
      </c>
      <c r="M1254" t="s">
        <v>41</v>
      </c>
      <c r="N1254">
        <v>2</v>
      </c>
      <c r="O1254">
        <v>152.86000000000001</v>
      </c>
    </row>
    <row r="1255" spans="1:15" x14ac:dyDescent="0.35">
      <c r="A1255" t="s">
        <v>2693</v>
      </c>
      <c r="B1255" t="s">
        <v>63</v>
      </c>
      <c r="C1255" t="s">
        <v>2694</v>
      </c>
      <c r="D1255" t="s">
        <v>56</v>
      </c>
      <c r="E1255" t="s">
        <v>85</v>
      </c>
      <c r="F1255" t="s">
        <v>39</v>
      </c>
      <c r="G1255" t="s">
        <v>94</v>
      </c>
      <c r="H1255" s="1">
        <v>45578.451388888891</v>
      </c>
      <c r="I1255" s="1">
        <v>45578.619444444441</v>
      </c>
      <c r="J1255">
        <v>166</v>
      </c>
      <c r="K1255">
        <v>242</v>
      </c>
      <c r="L1255">
        <v>1</v>
      </c>
      <c r="M1255" t="s">
        <v>29</v>
      </c>
      <c r="N1255">
        <v>9</v>
      </c>
      <c r="O1255">
        <v>264.08999999999997</v>
      </c>
    </row>
    <row r="1256" spans="1:15" x14ac:dyDescent="0.35">
      <c r="A1256" t="s">
        <v>2695</v>
      </c>
      <c r="B1256" t="s">
        <v>63</v>
      </c>
      <c r="C1256" t="s">
        <v>2696</v>
      </c>
      <c r="D1256" t="s">
        <v>44</v>
      </c>
      <c r="E1256" t="s">
        <v>19</v>
      </c>
      <c r="F1256" t="s">
        <v>27</v>
      </c>
      <c r="G1256" t="s">
        <v>234</v>
      </c>
      <c r="H1256" s="1">
        <v>45355.033333333333</v>
      </c>
      <c r="I1256" s="1">
        <v>45355.113888888889</v>
      </c>
      <c r="J1256">
        <v>84</v>
      </c>
      <c r="K1256">
        <v>116</v>
      </c>
      <c r="L1256">
        <v>1</v>
      </c>
      <c r="M1256" t="s">
        <v>29</v>
      </c>
      <c r="N1256">
        <v>10</v>
      </c>
      <c r="O1256">
        <v>254.34</v>
      </c>
    </row>
    <row r="1257" spans="1:15" x14ac:dyDescent="0.35">
      <c r="A1257" t="s">
        <v>2697</v>
      </c>
      <c r="B1257" t="s">
        <v>16</v>
      </c>
      <c r="C1257" t="s">
        <v>2698</v>
      </c>
      <c r="D1257" t="s">
        <v>48</v>
      </c>
      <c r="E1257" t="s">
        <v>19</v>
      </c>
      <c r="F1257" t="s">
        <v>39</v>
      </c>
      <c r="G1257" t="s">
        <v>343</v>
      </c>
      <c r="H1257" s="1">
        <v>45409.158333333333</v>
      </c>
      <c r="I1257" s="1">
        <v>45409.311111111114</v>
      </c>
      <c r="J1257">
        <v>198</v>
      </c>
      <c r="K1257">
        <v>220</v>
      </c>
      <c r="L1257">
        <v>1</v>
      </c>
      <c r="M1257" t="s">
        <v>29</v>
      </c>
      <c r="N1257">
        <v>3</v>
      </c>
      <c r="O1257">
        <v>392.33</v>
      </c>
    </row>
    <row r="1258" spans="1:15" x14ac:dyDescent="0.35">
      <c r="A1258" t="s">
        <v>2699</v>
      </c>
      <c r="B1258" t="s">
        <v>24</v>
      </c>
      <c r="C1258" t="s">
        <v>2700</v>
      </c>
      <c r="D1258" t="s">
        <v>26</v>
      </c>
      <c r="E1258" t="s">
        <v>19</v>
      </c>
      <c r="F1258" t="s">
        <v>34</v>
      </c>
      <c r="G1258" t="s">
        <v>114</v>
      </c>
      <c r="H1258" s="1">
        <v>45306.436805555553</v>
      </c>
      <c r="I1258" s="1">
        <v>45306.509722222225</v>
      </c>
      <c r="J1258">
        <v>107</v>
      </c>
      <c r="K1258">
        <v>105</v>
      </c>
      <c r="L1258">
        <v>0</v>
      </c>
      <c r="M1258" t="s">
        <v>41</v>
      </c>
      <c r="N1258">
        <v>3</v>
      </c>
      <c r="O1258">
        <v>351.63</v>
      </c>
    </row>
    <row r="1259" spans="1:15" x14ac:dyDescent="0.35">
      <c r="A1259" t="s">
        <v>2701</v>
      </c>
      <c r="B1259" t="s">
        <v>63</v>
      </c>
      <c r="C1259" t="s">
        <v>2702</v>
      </c>
      <c r="D1259" t="s">
        <v>18</v>
      </c>
      <c r="E1259" t="s">
        <v>33</v>
      </c>
      <c r="F1259" t="s">
        <v>27</v>
      </c>
      <c r="G1259" t="s">
        <v>476</v>
      </c>
      <c r="H1259" s="1">
        <v>45489.39166666667</v>
      </c>
      <c r="I1259" s="1">
        <v>45489.480555555558</v>
      </c>
      <c r="J1259">
        <v>106</v>
      </c>
      <c r="K1259">
        <v>128</v>
      </c>
      <c r="L1259">
        <v>1</v>
      </c>
      <c r="M1259" t="s">
        <v>41</v>
      </c>
      <c r="N1259">
        <v>9</v>
      </c>
      <c r="O1259">
        <v>490.75</v>
      </c>
    </row>
    <row r="1260" spans="1:15" x14ac:dyDescent="0.35">
      <c r="A1260" t="s">
        <v>2703</v>
      </c>
      <c r="B1260" t="s">
        <v>24</v>
      </c>
      <c r="C1260" t="s">
        <v>2704</v>
      </c>
      <c r="D1260" t="s">
        <v>18</v>
      </c>
      <c r="E1260" t="s">
        <v>85</v>
      </c>
      <c r="F1260" t="s">
        <v>20</v>
      </c>
      <c r="G1260" t="s">
        <v>754</v>
      </c>
      <c r="H1260" s="1">
        <v>45583.0625</v>
      </c>
      <c r="I1260" s="1">
        <v>45583.236805555556</v>
      </c>
      <c r="J1260">
        <v>203</v>
      </c>
      <c r="K1260">
        <v>251</v>
      </c>
      <c r="L1260">
        <v>1</v>
      </c>
      <c r="M1260" t="s">
        <v>41</v>
      </c>
      <c r="N1260">
        <v>4</v>
      </c>
      <c r="O1260">
        <v>216.37</v>
      </c>
    </row>
    <row r="1261" spans="1:15" x14ac:dyDescent="0.35">
      <c r="A1261" t="s">
        <v>2705</v>
      </c>
      <c r="B1261" t="s">
        <v>63</v>
      </c>
      <c r="C1261" t="s">
        <v>2706</v>
      </c>
      <c r="D1261" t="s">
        <v>56</v>
      </c>
      <c r="E1261" t="s">
        <v>19</v>
      </c>
      <c r="F1261" t="s">
        <v>39</v>
      </c>
      <c r="G1261" t="s">
        <v>669</v>
      </c>
      <c r="H1261" s="1">
        <v>45550.381249999999</v>
      </c>
      <c r="I1261" s="1">
        <v>45550.533333333333</v>
      </c>
      <c r="J1261">
        <v>176</v>
      </c>
      <c r="K1261">
        <v>219</v>
      </c>
      <c r="L1261">
        <v>1</v>
      </c>
      <c r="M1261" t="s">
        <v>41</v>
      </c>
      <c r="N1261">
        <v>6</v>
      </c>
      <c r="O1261">
        <v>396.82</v>
      </c>
    </row>
    <row r="1262" spans="1:15" x14ac:dyDescent="0.35">
      <c r="A1262" t="s">
        <v>2707</v>
      </c>
      <c r="B1262" t="s">
        <v>24</v>
      </c>
      <c r="C1262" t="s">
        <v>2708</v>
      </c>
      <c r="D1262" t="s">
        <v>44</v>
      </c>
      <c r="E1262" t="s">
        <v>19</v>
      </c>
      <c r="F1262" t="s">
        <v>20</v>
      </c>
      <c r="G1262" t="s">
        <v>615</v>
      </c>
      <c r="H1262" s="1">
        <v>45527.042361111111</v>
      </c>
      <c r="I1262" s="1">
        <v>45527.107638888891</v>
      </c>
      <c r="J1262">
        <v>37</v>
      </c>
      <c r="K1262">
        <v>94</v>
      </c>
      <c r="L1262">
        <v>1</v>
      </c>
      <c r="M1262" t="s">
        <v>22</v>
      </c>
      <c r="N1262">
        <v>7</v>
      </c>
      <c r="O1262">
        <v>59.23</v>
      </c>
    </row>
    <row r="1263" spans="1:15" x14ac:dyDescent="0.35">
      <c r="A1263" t="s">
        <v>2709</v>
      </c>
      <c r="B1263" t="s">
        <v>16</v>
      </c>
      <c r="C1263" t="s">
        <v>2710</v>
      </c>
      <c r="D1263" t="s">
        <v>48</v>
      </c>
      <c r="E1263" t="s">
        <v>38</v>
      </c>
      <c r="F1263" t="s">
        <v>57</v>
      </c>
      <c r="G1263" t="s">
        <v>383</v>
      </c>
      <c r="H1263" s="1">
        <v>45371.698611111111</v>
      </c>
      <c r="I1263" s="1">
        <v>45371.739583333336</v>
      </c>
      <c r="J1263">
        <v>35</v>
      </c>
      <c r="K1263">
        <v>59</v>
      </c>
      <c r="L1263">
        <v>1</v>
      </c>
      <c r="M1263" t="s">
        <v>22</v>
      </c>
      <c r="N1263">
        <v>6</v>
      </c>
      <c r="O1263">
        <v>429.2</v>
      </c>
    </row>
    <row r="1264" spans="1:15" x14ac:dyDescent="0.35">
      <c r="A1264" t="s">
        <v>2711</v>
      </c>
      <c r="B1264" t="s">
        <v>16</v>
      </c>
      <c r="C1264" t="s">
        <v>2712</v>
      </c>
      <c r="D1264" t="s">
        <v>18</v>
      </c>
      <c r="E1264" t="s">
        <v>33</v>
      </c>
      <c r="F1264" t="s">
        <v>57</v>
      </c>
      <c r="G1264" t="s">
        <v>321</v>
      </c>
      <c r="H1264" s="1">
        <v>45535.425000000003</v>
      </c>
      <c r="I1264" s="1">
        <v>45535.536805555559</v>
      </c>
      <c r="J1264">
        <v>53</v>
      </c>
      <c r="K1264">
        <v>161</v>
      </c>
      <c r="L1264">
        <v>1</v>
      </c>
      <c r="M1264" t="s">
        <v>41</v>
      </c>
      <c r="N1264">
        <v>6</v>
      </c>
      <c r="O1264">
        <v>388.09</v>
      </c>
    </row>
    <row r="1265" spans="1:15" x14ac:dyDescent="0.35">
      <c r="A1265" t="s">
        <v>2713</v>
      </c>
      <c r="B1265" t="s">
        <v>31</v>
      </c>
      <c r="C1265" t="s">
        <v>2714</v>
      </c>
      <c r="D1265" t="s">
        <v>26</v>
      </c>
      <c r="E1265" t="s">
        <v>33</v>
      </c>
      <c r="F1265" t="s">
        <v>27</v>
      </c>
      <c r="G1265" t="s">
        <v>161</v>
      </c>
      <c r="H1265" s="1">
        <v>45517.22152777778</v>
      </c>
      <c r="I1265" s="1">
        <v>45517.334027777775</v>
      </c>
      <c r="J1265">
        <v>42</v>
      </c>
      <c r="K1265">
        <v>162</v>
      </c>
      <c r="L1265">
        <v>1</v>
      </c>
      <c r="M1265" t="s">
        <v>22</v>
      </c>
      <c r="N1265">
        <v>8</v>
      </c>
      <c r="O1265">
        <v>91.19</v>
      </c>
    </row>
    <row r="1266" spans="1:15" x14ac:dyDescent="0.35">
      <c r="A1266" t="s">
        <v>2715</v>
      </c>
      <c r="B1266" t="s">
        <v>31</v>
      </c>
      <c r="C1266" t="s">
        <v>2716</v>
      </c>
      <c r="D1266" t="s">
        <v>26</v>
      </c>
      <c r="E1266" t="s">
        <v>38</v>
      </c>
      <c r="F1266" t="s">
        <v>34</v>
      </c>
      <c r="G1266" t="s">
        <v>754</v>
      </c>
      <c r="H1266" s="1">
        <v>45472.689583333333</v>
      </c>
      <c r="I1266" s="1">
        <v>45472.777777777781</v>
      </c>
      <c r="J1266">
        <v>119</v>
      </c>
      <c r="K1266">
        <v>127</v>
      </c>
      <c r="L1266">
        <v>1</v>
      </c>
      <c r="M1266" t="s">
        <v>22</v>
      </c>
      <c r="N1266">
        <v>5</v>
      </c>
      <c r="O1266">
        <v>72.56</v>
      </c>
    </row>
    <row r="1267" spans="1:15" x14ac:dyDescent="0.35">
      <c r="A1267" t="s">
        <v>2717</v>
      </c>
      <c r="B1267" t="s">
        <v>63</v>
      </c>
      <c r="C1267" t="s">
        <v>2718</v>
      </c>
      <c r="D1267" t="s">
        <v>48</v>
      </c>
      <c r="E1267" t="s">
        <v>85</v>
      </c>
      <c r="F1267" t="s">
        <v>27</v>
      </c>
      <c r="G1267" t="s">
        <v>364</v>
      </c>
      <c r="H1267" s="1">
        <v>45342.614583333336</v>
      </c>
      <c r="I1267" s="1">
        <v>45342.804166666669</v>
      </c>
      <c r="J1267">
        <v>170</v>
      </c>
      <c r="K1267">
        <v>273</v>
      </c>
      <c r="L1267">
        <v>1</v>
      </c>
      <c r="M1267" t="s">
        <v>29</v>
      </c>
      <c r="N1267">
        <v>3</v>
      </c>
      <c r="O1267">
        <v>181.51</v>
      </c>
    </row>
    <row r="1268" spans="1:15" x14ac:dyDescent="0.35">
      <c r="A1268" t="s">
        <v>2719</v>
      </c>
      <c r="B1268" t="s">
        <v>63</v>
      </c>
      <c r="C1268" t="s">
        <v>2720</v>
      </c>
      <c r="D1268" t="s">
        <v>26</v>
      </c>
      <c r="E1268" t="s">
        <v>33</v>
      </c>
      <c r="F1268" t="s">
        <v>57</v>
      </c>
      <c r="G1268" t="s">
        <v>676</v>
      </c>
      <c r="H1268" s="1">
        <v>45370.67083333333</v>
      </c>
      <c r="I1268" s="1">
        <v>45370.859027777777</v>
      </c>
      <c r="J1268">
        <v>171</v>
      </c>
      <c r="K1268">
        <v>271</v>
      </c>
      <c r="L1268">
        <v>1</v>
      </c>
      <c r="M1268" t="s">
        <v>29</v>
      </c>
      <c r="N1268">
        <v>8</v>
      </c>
      <c r="O1268">
        <v>444.1</v>
      </c>
    </row>
    <row r="1269" spans="1:15" x14ac:dyDescent="0.35">
      <c r="A1269" t="s">
        <v>2721</v>
      </c>
      <c r="B1269" t="s">
        <v>51</v>
      </c>
      <c r="C1269" t="s">
        <v>2722</v>
      </c>
      <c r="D1269" t="s">
        <v>56</v>
      </c>
      <c r="E1269" t="s">
        <v>33</v>
      </c>
      <c r="F1269" t="s">
        <v>39</v>
      </c>
      <c r="G1269" t="s">
        <v>505</v>
      </c>
      <c r="H1269" s="1">
        <v>45402.574999999997</v>
      </c>
      <c r="I1269" s="1">
        <v>45402.597916666666</v>
      </c>
      <c r="J1269">
        <v>31</v>
      </c>
      <c r="K1269">
        <v>33</v>
      </c>
      <c r="L1269">
        <v>1</v>
      </c>
      <c r="M1269" t="s">
        <v>22</v>
      </c>
      <c r="N1269">
        <v>10</v>
      </c>
      <c r="O1269">
        <v>479.71</v>
      </c>
    </row>
    <row r="1270" spans="1:15" x14ac:dyDescent="0.35">
      <c r="A1270" t="s">
        <v>2723</v>
      </c>
      <c r="B1270" t="s">
        <v>51</v>
      </c>
      <c r="C1270" t="s">
        <v>2724</v>
      </c>
      <c r="D1270" t="s">
        <v>26</v>
      </c>
      <c r="E1270" t="s">
        <v>33</v>
      </c>
      <c r="F1270" t="s">
        <v>20</v>
      </c>
      <c r="G1270" t="s">
        <v>383</v>
      </c>
      <c r="H1270" s="1">
        <v>45440.720138888886</v>
      </c>
      <c r="I1270" s="1">
        <v>45440.815972222219</v>
      </c>
      <c r="J1270">
        <v>88</v>
      </c>
      <c r="K1270">
        <v>138</v>
      </c>
      <c r="L1270">
        <v>1</v>
      </c>
      <c r="M1270" t="s">
        <v>22</v>
      </c>
      <c r="N1270">
        <v>8</v>
      </c>
      <c r="O1270">
        <v>413.35</v>
      </c>
    </row>
    <row r="1271" spans="1:15" x14ac:dyDescent="0.35">
      <c r="A1271" t="s">
        <v>2725</v>
      </c>
      <c r="B1271" t="s">
        <v>51</v>
      </c>
      <c r="C1271" t="s">
        <v>2726</v>
      </c>
      <c r="D1271" t="s">
        <v>44</v>
      </c>
      <c r="E1271" t="s">
        <v>33</v>
      </c>
      <c r="F1271" t="s">
        <v>27</v>
      </c>
      <c r="G1271" t="s">
        <v>445</v>
      </c>
      <c r="H1271" s="1">
        <v>45646.60833333333</v>
      </c>
      <c r="I1271" s="1">
        <v>45646.642361111109</v>
      </c>
      <c r="J1271">
        <v>11</v>
      </c>
      <c r="K1271">
        <v>49</v>
      </c>
      <c r="L1271">
        <v>1</v>
      </c>
      <c r="M1271" t="s">
        <v>29</v>
      </c>
      <c r="N1271">
        <v>3</v>
      </c>
      <c r="O1271">
        <v>406.61</v>
      </c>
    </row>
    <row r="1272" spans="1:15" x14ac:dyDescent="0.35">
      <c r="A1272" t="s">
        <v>2727</v>
      </c>
      <c r="B1272" t="s">
        <v>24</v>
      </c>
      <c r="C1272" t="s">
        <v>2728</v>
      </c>
      <c r="D1272" t="s">
        <v>26</v>
      </c>
      <c r="E1272" t="s">
        <v>33</v>
      </c>
      <c r="F1272" t="s">
        <v>34</v>
      </c>
      <c r="G1272" t="s">
        <v>129</v>
      </c>
      <c r="H1272" s="1">
        <v>45567.998611111114</v>
      </c>
      <c r="I1272" s="1">
        <v>45568.115277777775</v>
      </c>
      <c r="J1272">
        <v>126</v>
      </c>
      <c r="K1272">
        <v>168</v>
      </c>
      <c r="L1272">
        <v>1</v>
      </c>
      <c r="M1272" t="s">
        <v>22</v>
      </c>
      <c r="N1272">
        <v>2</v>
      </c>
      <c r="O1272">
        <v>204.96</v>
      </c>
    </row>
    <row r="1273" spans="1:15" x14ac:dyDescent="0.35">
      <c r="A1273" t="s">
        <v>2729</v>
      </c>
      <c r="B1273" t="s">
        <v>63</v>
      </c>
      <c r="C1273" t="s">
        <v>2730</v>
      </c>
      <c r="D1273" t="s">
        <v>48</v>
      </c>
      <c r="E1273" t="s">
        <v>19</v>
      </c>
      <c r="F1273" t="s">
        <v>57</v>
      </c>
      <c r="G1273" t="s">
        <v>512</v>
      </c>
      <c r="H1273" s="1">
        <v>45413.5625</v>
      </c>
      <c r="I1273" s="1">
        <v>45413.656944444447</v>
      </c>
      <c r="J1273">
        <v>115</v>
      </c>
      <c r="K1273">
        <v>136</v>
      </c>
      <c r="L1273">
        <v>1</v>
      </c>
      <c r="M1273" t="s">
        <v>22</v>
      </c>
      <c r="N1273">
        <v>4</v>
      </c>
      <c r="O1273">
        <v>279.47000000000003</v>
      </c>
    </row>
    <row r="1274" spans="1:15" x14ac:dyDescent="0.35">
      <c r="A1274" t="s">
        <v>2731</v>
      </c>
      <c r="B1274" t="s">
        <v>31</v>
      </c>
      <c r="C1274" t="s">
        <v>2732</v>
      </c>
      <c r="D1274" t="s">
        <v>26</v>
      </c>
      <c r="E1274" t="s">
        <v>38</v>
      </c>
      <c r="F1274" t="s">
        <v>39</v>
      </c>
      <c r="G1274" t="s">
        <v>615</v>
      </c>
      <c r="H1274" s="1">
        <v>45599.215277777781</v>
      </c>
      <c r="I1274" s="1">
        <v>45599.329861111109</v>
      </c>
      <c r="J1274">
        <v>128</v>
      </c>
      <c r="K1274">
        <v>165</v>
      </c>
      <c r="L1274">
        <v>1</v>
      </c>
      <c r="M1274" t="s">
        <v>29</v>
      </c>
      <c r="N1274">
        <v>8</v>
      </c>
      <c r="O1274">
        <v>326.62</v>
      </c>
    </row>
    <row r="1275" spans="1:15" x14ac:dyDescent="0.35">
      <c r="A1275" t="s">
        <v>2733</v>
      </c>
      <c r="B1275" t="s">
        <v>51</v>
      </c>
      <c r="C1275" t="s">
        <v>2734</v>
      </c>
      <c r="D1275" t="s">
        <v>44</v>
      </c>
      <c r="E1275" t="s">
        <v>19</v>
      </c>
      <c r="F1275" t="s">
        <v>20</v>
      </c>
      <c r="G1275" t="s">
        <v>335</v>
      </c>
      <c r="H1275" s="1">
        <v>45456.96875</v>
      </c>
      <c r="I1275" s="1">
        <v>45457.189583333333</v>
      </c>
      <c r="J1275">
        <v>235</v>
      </c>
      <c r="K1275">
        <v>318</v>
      </c>
      <c r="L1275">
        <v>1</v>
      </c>
      <c r="M1275" t="s">
        <v>22</v>
      </c>
      <c r="N1275">
        <v>2</v>
      </c>
      <c r="O1275">
        <v>191.62</v>
      </c>
    </row>
    <row r="1276" spans="1:15" x14ac:dyDescent="0.35">
      <c r="A1276" t="s">
        <v>2735</v>
      </c>
      <c r="B1276" t="s">
        <v>31</v>
      </c>
      <c r="C1276" t="s">
        <v>2736</v>
      </c>
      <c r="D1276" t="s">
        <v>44</v>
      </c>
      <c r="E1276" t="s">
        <v>85</v>
      </c>
      <c r="F1276" t="s">
        <v>34</v>
      </c>
      <c r="G1276" t="s">
        <v>114</v>
      </c>
      <c r="H1276" s="1">
        <v>45516.418055555558</v>
      </c>
      <c r="I1276" s="1">
        <v>45516.558333333334</v>
      </c>
      <c r="J1276">
        <v>130</v>
      </c>
      <c r="K1276">
        <v>202</v>
      </c>
      <c r="L1276">
        <v>1</v>
      </c>
      <c r="M1276" t="s">
        <v>22</v>
      </c>
      <c r="N1276">
        <v>10</v>
      </c>
      <c r="O1276">
        <v>232.16</v>
      </c>
    </row>
    <row r="1277" spans="1:15" x14ac:dyDescent="0.35">
      <c r="A1277" t="s">
        <v>2737</v>
      </c>
      <c r="B1277" t="s">
        <v>16</v>
      </c>
      <c r="C1277" t="s">
        <v>2738</v>
      </c>
      <c r="D1277" t="s">
        <v>48</v>
      </c>
      <c r="E1277" t="s">
        <v>33</v>
      </c>
      <c r="F1277" t="s">
        <v>39</v>
      </c>
      <c r="G1277" t="s">
        <v>500</v>
      </c>
      <c r="H1277" s="1">
        <v>45572.469444444447</v>
      </c>
      <c r="I1277" s="1">
        <v>45572.628472222219</v>
      </c>
      <c r="J1277">
        <v>183</v>
      </c>
      <c r="K1277">
        <v>229</v>
      </c>
      <c r="L1277">
        <v>1</v>
      </c>
      <c r="M1277" t="s">
        <v>29</v>
      </c>
      <c r="N1277">
        <v>4</v>
      </c>
      <c r="O1277">
        <v>115.62</v>
      </c>
    </row>
    <row r="1278" spans="1:15" x14ac:dyDescent="0.35">
      <c r="A1278" t="s">
        <v>2739</v>
      </c>
      <c r="B1278" t="s">
        <v>24</v>
      </c>
      <c r="C1278" t="s">
        <v>2740</v>
      </c>
      <c r="D1278" t="s">
        <v>26</v>
      </c>
      <c r="E1278" t="s">
        <v>85</v>
      </c>
      <c r="F1278" t="s">
        <v>39</v>
      </c>
      <c r="G1278" t="s">
        <v>418</v>
      </c>
      <c r="H1278" s="1">
        <v>45337.517361111109</v>
      </c>
      <c r="I1278" s="1">
        <v>45337.702777777777</v>
      </c>
      <c r="J1278">
        <v>166</v>
      </c>
      <c r="K1278">
        <v>267</v>
      </c>
      <c r="L1278">
        <v>1</v>
      </c>
      <c r="M1278" t="s">
        <v>29</v>
      </c>
      <c r="N1278">
        <v>2</v>
      </c>
      <c r="O1278">
        <v>162.01</v>
      </c>
    </row>
    <row r="1279" spans="1:15" x14ac:dyDescent="0.35">
      <c r="A1279" t="s">
        <v>2741</v>
      </c>
      <c r="B1279" t="s">
        <v>24</v>
      </c>
      <c r="C1279" t="s">
        <v>2742</v>
      </c>
      <c r="D1279" t="s">
        <v>56</v>
      </c>
      <c r="E1279" t="s">
        <v>19</v>
      </c>
      <c r="F1279" t="s">
        <v>57</v>
      </c>
      <c r="G1279" t="s">
        <v>983</v>
      </c>
      <c r="H1279" s="1">
        <v>45420.409722222219</v>
      </c>
      <c r="I1279" s="1">
        <v>45420.52847222222</v>
      </c>
      <c r="J1279">
        <v>170</v>
      </c>
      <c r="K1279">
        <v>171</v>
      </c>
      <c r="L1279">
        <v>1</v>
      </c>
      <c r="M1279" t="s">
        <v>29</v>
      </c>
      <c r="N1279">
        <v>8</v>
      </c>
      <c r="O1279">
        <v>302.39</v>
      </c>
    </row>
    <row r="1280" spans="1:15" x14ac:dyDescent="0.35">
      <c r="A1280" t="s">
        <v>2743</v>
      </c>
      <c r="B1280" t="s">
        <v>16</v>
      </c>
      <c r="C1280" t="s">
        <v>2744</v>
      </c>
      <c r="D1280" t="s">
        <v>18</v>
      </c>
      <c r="E1280" t="s">
        <v>38</v>
      </c>
      <c r="F1280" t="s">
        <v>20</v>
      </c>
      <c r="G1280" t="s">
        <v>126</v>
      </c>
      <c r="H1280" s="1">
        <v>45435.820833333331</v>
      </c>
      <c r="I1280" s="1">
        <v>45435.974305555559</v>
      </c>
      <c r="J1280">
        <v>195</v>
      </c>
      <c r="K1280">
        <v>221</v>
      </c>
      <c r="L1280">
        <v>1</v>
      </c>
      <c r="M1280" t="s">
        <v>22</v>
      </c>
      <c r="N1280">
        <v>3</v>
      </c>
      <c r="O1280">
        <v>289.27</v>
      </c>
    </row>
    <row r="1281" spans="1:15" x14ac:dyDescent="0.35">
      <c r="A1281" t="s">
        <v>2745</v>
      </c>
      <c r="B1281" t="s">
        <v>31</v>
      </c>
      <c r="C1281" t="s">
        <v>2746</v>
      </c>
      <c r="D1281" t="s">
        <v>48</v>
      </c>
      <c r="E1281" t="s">
        <v>19</v>
      </c>
      <c r="F1281" t="s">
        <v>20</v>
      </c>
      <c r="G1281" t="s">
        <v>182</v>
      </c>
      <c r="H1281" s="1">
        <v>45308.54791666667</v>
      </c>
      <c r="I1281" s="1">
        <v>45308.739583333336</v>
      </c>
      <c r="J1281">
        <v>214</v>
      </c>
      <c r="K1281">
        <v>276</v>
      </c>
      <c r="L1281">
        <v>1</v>
      </c>
      <c r="M1281" t="s">
        <v>22</v>
      </c>
      <c r="N1281">
        <v>2</v>
      </c>
      <c r="O1281">
        <v>440.23</v>
      </c>
    </row>
    <row r="1282" spans="1:15" x14ac:dyDescent="0.35">
      <c r="A1282" t="s">
        <v>2747</v>
      </c>
      <c r="B1282" t="s">
        <v>16</v>
      </c>
      <c r="C1282" t="s">
        <v>2748</v>
      </c>
      <c r="D1282" t="s">
        <v>48</v>
      </c>
      <c r="E1282" t="s">
        <v>85</v>
      </c>
      <c r="F1282" t="s">
        <v>39</v>
      </c>
      <c r="G1282" t="s">
        <v>650</v>
      </c>
      <c r="H1282" s="1">
        <v>45311.025694444441</v>
      </c>
      <c r="I1282" s="1">
        <v>45311.15347222222</v>
      </c>
      <c r="J1282">
        <v>96</v>
      </c>
      <c r="K1282">
        <v>184</v>
      </c>
      <c r="L1282">
        <v>1</v>
      </c>
      <c r="M1282" t="s">
        <v>41</v>
      </c>
      <c r="N1282">
        <v>5</v>
      </c>
      <c r="O1282">
        <v>74.209999999999994</v>
      </c>
    </row>
    <row r="1283" spans="1:15" x14ac:dyDescent="0.35">
      <c r="A1283" t="s">
        <v>2749</v>
      </c>
      <c r="B1283" t="s">
        <v>63</v>
      </c>
      <c r="C1283" t="s">
        <v>2750</v>
      </c>
      <c r="D1283" t="s">
        <v>44</v>
      </c>
      <c r="E1283" t="s">
        <v>38</v>
      </c>
      <c r="F1283" t="s">
        <v>34</v>
      </c>
      <c r="G1283" t="s">
        <v>754</v>
      </c>
      <c r="H1283" s="1">
        <v>45605.822916666664</v>
      </c>
      <c r="I1283" s="1">
        <v>45605.911111111112</v>
      </c>
      <c r="J1283">
        <v>124</v>
      </c>
      <c r="K1283">
        <v>127</v>
      </c>
      <c r="L1283">
        <v>1</v>
      </c>
      <c r="M1283" t="s">
        <v>29</v>
      </c>
      <c r="N1283">
        <v>8</v>
      </c>
      <c r="O1283">
        <v>267.99</v>
      </c>
    </row>
    <row r="1284" spans="1:15" x14ac:dyDescent="0.35">
      <c r="A1284" t="s">
        <v>2751</v>
      </c>
      <c r="B1284" t="s">
        <v>51</v>
      </c>
      <c r="C1284" t="s">
        <v>2752</v>
      </c>
      <c r="D1284" t="s">
        <v>48</v>
      </c>
      <c r="E1284" t="s">
        <v>19</v>
      </c>
      <c r="F1284" t="s">
        <v>39</v>
      </c>
      <c r="G1284" t="s">
        <v>167</v>
      </c>
      <c r="H1284" s="1">
        <v>45548.670138888891</v>
      </c>
      <c r="I1284" s="1">
        <v>45548.876388888886</v>
      </c>
      <c r="J1284">
        <v>195</v>
      </c>
      <c r="K1284">
        <v>297</v>
      </c>
      <c r="L1284">
        <v>1</v>
      </c>
      <c r="M1284" t="s">
        <v>22</v>
      </c>
      <c r="N1284">
        <v>10</v>
      </c>
      <c r="O1284">
        <v>104.69</v>
      </c>
    </row>
    <row r="1285" spans="1:15" x14ac:dyDescent="0.35">
      <c r="A1285" t="s">
        <v>2753</v>
      </c>
      <c r="B1285" t="s">
        <v>63</v>
      </c>
      <c r="C1285" t="s">
        <v>2754</v>
      </c>
      <c r="D1285" t="s">
        <v>26</v>
      </c>
      <c r="E1285" t="s">
        <v>33</v>
      </c>
      <c r="F1285" t="s">
        <v>20</v>
      </c>
      <c r="G1285" t="s">
        <v>430</v>
      </c>
      <c r="H1285" s="1">
        <v>45544.625694444447</v>
      </c>
      <c r="I1285" s="1">
        <v>45544.720138888886</v>
      </c>
      <c r="J1285">
        <v>107</v>
      </c>
      <c r="K1285">
        <v>136</v>
      </c>
      <c r="L1285">
        <v>1</v>
      </c>
      <c r="M1285" t="s">
        <v>29</v>
      </c>
      <c r="N1285">
        <v>8</v>
      </c>
      <c r="O1285">
        <v>493.81</v>
      </c>
    </row>
    <row r="1286" spans="1:15" x14ac:dyDescent="0.35">
      <c r="A1286" t="s">
        <v>2755</v>
      </c>
      <c r="B1286" t="s">
        <v>51</v>
      </c>
      <c r="C1286" t="s">
        <v>2756</v>
      </c>
      <c r="D1286" t="s">
        <v>18</v>
      </c>
      <c r="E1286" t="s">
        <v>38</v>
      </c>
      <c r="F1286" t="s">
        <v>39</v>
      </c>
      <c r="G1286" t="s">
        <v>546</v>
      </c>
      <c r="H1286" s="1">
        <v>45564.580555555556</v>
      </c>
      <c r="I1286" s="1">
        <v>45564.781944444447</v>
      </c>
      <c r="J1286">
        <v>208</v>
      </c>
      <c r="K1286">
        <v>290</v>
      </c>
      <c r="L1286">
        <v>1</v>
      </c>
      <c r="M1286" t="s">
        <v>29</v>
      </c>
      <c r="N1286">
        <v>5</v>
      </c>
      <c r="O1286">
        <v>434.77</v>
      </c>
    </row>
    <row r="1287" spans="1:15" x14ac:dyDescent="0.35">
      <c r="A1287" t="s">
        <v>2757</v>
      </c>
      <c r="B1287" t="s">
        <v>16</v>
      </c>
      <c r="C1287" t="s">
        <v>2758</v>
      </c>
      <c r="D1287" t="s">
        <v>18</v>
      </c>
      <c r="E1287" t="s">
        <v>19</v>
      </c>
      <c r="F1287" t="s">
        <v>20</v>
      </c>
      <c r="G1287" t="s">
        <v>647</v>
      </c>
      <c r="H1287" s="1">
        <v>45433.177083333336</v>
      </c>
      <c r="I1287" s="1">
        <v>45433.379166666666</v>
      </c>
      <c r="J1287">
        <v>191</v>
      </c>
      <c r="K1287">
        <v>291</v>
      </c>
      <c r="L1287">
        <v>1</v>
      </c>
      <c r="M1287" t="s">
        <v>22</v>
      </c>
      <c r="N1287">
        <v>8</v>
      </c>
      <c r="O1287">
        <v>279.55</v>
      </c>
    </row>
    <row r="1288" spans="1:15" x14ac:dyDescent="0.35">
      <c r="A1288" t="s">
        <v>2759</v>
      </c>
      <c r="B1288" t="s">
        <v>63</v>
      </c>
      <c r="C1288" t="s">
        <v>2760</v>
      </c>
      <c r="D1288" t="s">
        <v>48</v>
      </c>
      <c r="E1288" t="s">
        <v>38</v>
      </c>
      <c r="F1288" t="s">
        <v>57</v>
      </c>
      <c r="G1288" t="s">
        <v>40</v>
      </c>
      <c r="H1288" s="1">
        <v>45445.262499999997</v>
      </c>
      <c r="I1288" s="1">
        <v>45445.388888888891</v>
      </c>
      <c r="J1288">
        <v>181</v>
      </c>
      <c r="K1288">
        <v>182</v>
      </c>
      <c r="L1288">
        <v>1</v>
      </c>
      <c r="M1288" t="s">
        <v>22</v>
      </c>
      <c r="N1288">
        <v>5</v>
      </c>
      <c r="O1288">
        <v>413.21</v>
      </c>
    </row>
    <row r="1289" spans="1:15" x14ac:dyDescent="0.35">
      <c r="A1289" t="s">
        <v>2761</v>
      </c>
      <c r="B1289" t="s">
        <v>24</v>
      </c>
      <c r="C1289" t="s">
        <v>2762</v>
      </c>
      <c r="D1289" t="s">
        <v>56</v>
      </c>
      <c r="E1289" t="s">
        <v>33</v>
      </c>
      <c r="F1289" t="s">
        <v>20</v>
      </c>
      <c r="G1289" t="s">
        <v>459</v>
      </c>
      <c r="H1289" s="1">
        <v>45444.151388888888</v>
      </c>
      <c r="I1289" s="1">
        <v>45444.236805555556</v>
      </c>
      <c r="J1289">
        <v>57</v>
      </c>
      <c r="K1289">
        <v>123</v>
      </c>
      <c r="L1289">
        <v>1</v>
      </c>
      <c r="M1289" t="s">
        <v>41</v>
      </c>
      <c r="N1289">
        <v>4</v>
      </c>
      <c r="O1289">
        <v>378.16</v>
      </c>
    </row>
    <row r="1290" spans="1:15" x14ac:dyDescent="0.35">
      <c r="A1290" t="s">
        <v>2763</v>
      </c>
      <c r="B1290" t="s">
        <v>51</v>
      </c>
      <c r="C1290" t="s">
        <v>2764</v>
      </c>
      <c r="D1290" t="s">
        <v>18</v>
      </c>
      <c r="E1290" t="s">
        <v>38</v>
      </c>
      <c r="F1290" t="s">
        <v>34</v>
      </c>
      <c r="G1290" t="s">
        <v>402</v>
      </c>
      <c r="H1290" s="1">
        <v>45516.023611111108</v>
      </c>
      <c r="I1290" s="1">
        <v>45516.197222222225</v>
      </c>
      <c r="J1290">
        <v>161</v>
      </c>
      <c r="K1290">
        <v>250</v>
      </c>
      <c r="L1290">
        <v>1</v>
      </c>
      <c r="M1290" t="s">
        <v>41</v>
      </c>
      <c r="N1290">
        <v>1</v>
      </c>
      <c r="O1290">
        <v>97.15</v>
      </c>
    </row>
    <row r="1291" spans="1:15" x14ac:dyDescent="0.35">
      <c r="A1291" t="s">
        <v>2765</v>
      </c>
      <c r="B1291" t="s">
        <v>51</v>
      </c>
      <c r="C1291" t="s">
        <v>2766</v>
      </c>
      <c r="D1291" t="s">
        <v>26</v>
      </c>
      <c r="E1291" t="s">
        <v>85</v>
      </c>
      <c r="F1291" t="s">
        <v>34</v>
      </c>
      <c r="G1291" t="s">
        <v>402</v>
      </c>
      <c r="H1291" s="1">
        <v>45324.332638888889</v>
      </c>
      <c r="I1291" s="1">
        <v>45324.415972222225</v>
      </c>
      <c r="J1291">
        <v>43</v>
      </c>
      <c r="K1291">
        <v>120</v>
      </c>
      <c r="L1291">
        <v>1</v>
      </c>
      <c r="M1291" t="s">
        <v>41</v>
      </c>
      <c r="N1291">
        <v>3</v>
      </c>
      <c r="O1291">
        <v>168.15</v>
      </c>
    </row>
    <row r="1292" spans="1:15" x14ac:dyDescent="0.35">
      <c r="A1292" t="s">
        <v>2767</v>
      </c>
      <c r="B1292" t="s">
        <v>16</v>
      </c>
      <c r="C1292" t="s">
        <v>2768</v>
      </c>
      <c r="D1292" t="s">
        <v>18</v>
      </c>
      <c r="E1292" t="s">
        <v>38</v>
      </c>
      <c r="F1292" t="s">
        <v>57</v>
      </c>
      <c r="G1292" t="s">
        <v>132</v>
      </c>
      <c r="H1292" s="1">
        <v>45307.277083333334</v>
      </c>
      <c r="I1292" s="1">
        <v>45307.34652777778</v>
      </c>
      <c r="J1292">
        <v>62</v>
      </c>
      <c r="K1292">
        <v>100</v>
      </c>
      <c r="L1292">
        <v>1</v>
      </c>
      <c r="M1292" t="s">
        <v>29</v>
      </c>
      <c r="N1292">
        <v>4</v>
      </c>
      <c r="O1292">
        <v>400.1</v>
      </c>
    </row>
    <row r="1293" spans="1:15" x14ac:dyDescent="0.35">
      <c r="A1293" t="s">
        <v>2769</v>
      </c>
      <c r="B1293" t="s">
        <v>31</v>
      </c>
      <c r="C1293" t="s">
        <v>2770</v>
      </c>
      <c r="D1293" t="s">
        <v>26</v>
      </c>
      <c r="E1293" t="s">
        <v>85</v>
      </c>
      <c r="F1293" t="s">
        <v>34</v>
      </c>
      <c r="G1293" t="s">
        <v>335</v>
      </c>
      <c r="H1293" s="1">
        <v>45454.631944444445</v>
      </c>
      <c r="I1293" s="1">
        <v>45454.722916666666</v>
      </c>
      <c r="J1293">
        <v>59</v>
      </c>
      <c r="K1293">
        <v>131</v>
      </c>
      <c r="L1293">
        <v>1</v>
      </c>
      <c r="M1293" t="s">
        <v>22</v>
      </c>
      <c r="N1293">
        <v>6</v>
      </c>
      <c r="O1293">
        <v>284.02</v>
      </c>
    </row>
    <row r="1294" spans="1:15" x14ac:dyDescent="0.35">
      <c r="A1294" t="s">
        <v>2771</v>
      </c>
      <c r="B1294" t="s">
        <v>16</v>
      </c>
      <c r="C1294" t="s">
        <v>2772</v>
      </c>
      <c r="D1294" t="s">
        <v>26</v>
      </c>
      <c r="E1294" t="s">
        <v>85</v>
      </c>
      <c r="F1294" t="s">
        <v>39</v>
      </c>
      <c r="G1294" t="s">
        <v>94</v>
      </c>
      <c r="H1294" s="1">
        <v>45507.970138888886</v>
      </c>
      <c r="I1294" s="1">
        <v>45508.154166666667</v>
      </c>
      <c r="J1294">
        <v>160</v>
      </c>
      <c r="K1294">
        <v>265</v>
      </c>
      <c r="L1294">
        <v>1</v>
      </c>
      <c r="M1294" t="s">
        <v>29</v>
      </c>
      <c r="N1294">
        <v>9</v>
      </c>
      <c r="O1294">
        <v>366.96</v>
      </c>
    </row>
    <row r="1295" spans="1:15" x14ac:dyDescent="0.35">
      <c r="A1295" t="s">
        <v>2773</v>
      </c>
      <c r="B1295" t="s">
        <v>31</v>
      </c>
      <c r="C1295" t="s">
        <v>2774</v>
      </c>
      <c r="D1295" t="s">
        <v>18</v>
      </c>
      <c r="E1295" t="s">
        <v>19</v>
      </c>
      <c r="F1295" t="s">
        <v>34</v>
      </c>
      <c r="G1295" t="s">
        <v>681</v>
      </c>
      <c r="H1295" s="1">
        <v>45606.643750000003</v>
      </c>
      <c r="I1295" s="1">
        <v>45606.811111111114</v>
      </c>
      <c r="J1295">
        <v>147</v>
      </c>
      <c r="K1295">
        <v>241</v>
      </c>
      <c r="L1295">
        <v>1</v>
      </c>
      <c r="M1295" t="s">
        <v>41</v>
      </c>
      <c r="N1295">
        <v>9</v>
      </c>
      <c r="O1295">
        <v>426.54</v>
      </c>
    </row>
    <row r="1296" spans="1:15" x14ac:dyDescent="0.35">
      <c r="A1296" t="s">
        <v>2775</v>
      </c>
      <c r="B1296" t="s">
        <v>51</v>
      </c>
      <c r="C1296" t="s">
        <v>2776</v>
      </c>
      <c r="D1296" t="s">
        <v>26</v>
      </c>
      <c r="E1296" t="s">
        <v>85</v>
      </c>
      <c r="F1296" t="s">
        <v>20</v>
      </c>
      <c r="G1296" t="s">
        <v>117</v>
      </c>
      <c r="H1296" s="1">
        <v>45468.073611111111</v>
      </c>
      <c r="I1296" s="1">
        <v>45468.118055555555</v>
      </c>
      <c r="J1296">
        <v>26</v>
      </c>
      <c r="K1296">
        <v>64</v>
      </c>
      <c r="L1296">
        <v>1</v>
      </c>
      <c r="M1296" t="s">
        <v>22</v>
      </c>
      <c r="N1296">
        <v>10</v>
      </c>
      <c r="O1296">
        <v>134.72</v>
      </c>
    </row>
    <row r="1297" spans="1:15" x14ac:dyDescent="0.35">
      <c r="A1297" t="s">
        <v>2777</v>
      </c>
      <c r="B1297" t="s">
        <v>16</v>
      </c>
      <c r="C1297" t="s">
        <v>2778</v>
      </c>
      <c r="D1297" t="s">
        <v>56</v>
      </c>
      <c r="E1297" t="s">
        <v>33</v>
      </c>
      <c r="F1297" t="s">
        <v>57</v>
      </c>
      <c r="G1297" t="s">
        <v>191</v>
      </c>
      <c r="H1297" s="1">
        <v>45387.081944444442</v>
      </c>
      <c r="I1297" s="1">
        <v>45387.270833333336</v>
      </c>
      <c r="J1297">
        <v>211</v>
      </c>
      <c r="K1297">
        <v>272</v>
      </c>
      <c r="L1297">
        <v>1</v>
      </c>
      <c r="M1297" t="s">
        <v>29</v>
      </c>
      <c r="N1297">
        <v>4</v>
      </c>
      <c r="O1297">
        <v>437.8</v>
      </c>
    </row>
    <row r="1298" spans="1:15" x14ac:dyDescent="0.35">
      <c r="A1298" t="s">
        <v>2779</v>
      </c>
      <c r="B1298" t="s">
        <v>31</v>
      </c>
      <c r="C1298" t="s">
        <v>2780</v>
      </c>
      <c r="D1298" t="s">
        <v>48</v>
      </c>
      <c r="E1298" t="s">
        <v>38</v>
      </c>
      <c r="F1298" t="s">
        <v>27</v>
      </c>
      <c r="G1298" t="s">
        <v>251</v>
      </c>
      <c r="H1298" s="1">
        <v>45383.628472222219</v>
      </c>
      <c r="I1298" s="1">
        <v>45383.792361111111</v>
      </c>
      <c r="J1298">
        <v>201</v>
      </c>
      <c r="K1298">
        <v>236</v>
      </c>
      <c r="L1298">
        <v>1</v>
      </c>
      <c r="M1298" t="s">
        <v>41</v>
      </c>
      <c r="N1298">
        <v>10</v>
      </c>
      <c r="O1298">
        <v>95.31</v>
      </c>
    </row>
    <row r="1299" spans="1:15" x14ac:dyDescent="0.35">
      <c r="A1299" t="s">
        <v>2781</v>
      </c>
      <c r="B1299" t="s">
        <v>31</v>
      </c>
      <c r="C1299" t="s">
        <v>2782</v>
      </c>
      <c r="D1299" t="s">
        <v>44</v>
      </c>
      <c r="E1299" t="s">
        <v>85</v>
      </c>
      <c r="F1299" t="s">
        <v>39</v>
      </c>
      <c r="G1299" t="s">
        <v>65</v>
      </c>
      <c r="H1299" s="1">
        <v>45624.898611111108</v>
      </c>
      <c r="I1299" s="1">
        <v>45625.036111111112</v>
      </c>
      <c r="J1299">
        <v>200</v>
      </c>
      <c r="K1299">
        <v>198</v>
      </c>
      <c r="L1299">
        <v>0</v>
      </c>
      <c r="M1299" t="s">
        <v>22</v>
      </c>
      <c r="N1299">
        <v>2</v>
      </c>
      <c r="O1299">
        <v>95.92</v>
      </c>
    </row>
    <row r="1300" spans="1:15" x14ac:dyDescent="0.35">
      <c r="A1300" t="s">
        <v>2783</v>
      </c>
      <c r="B1300" t="s">
        <v>24</v>
      </c>
      <c r="C1300" t="s">
        <v>2784</v>
      </c>
      <c r="D1300" t="s">
        <v>44</v>
      </c>
      <c r="E1300" t="s">
        <v>33</v>
      </c>
      <c r="F1300" t="s">
        <v>39</v>
      </c>
      <c r="G1300" t="s">
        <v>167</v>
      </c>
      <c r="H1300" s="1">
        <v>45646.86041666667</v>
      </c>
      <c r="I1300" s="1">
        <v>45647.07916666667</v>
      </c>
      <c r="J1300">
        <v>195</v>
      </c>
      <c r="K1300">
        <v>315</v>
      </c>
      <c r="L1300">
        <v>1</v>
      </c>
      <c r="M1300" t="s">
        <v>22</v>
      </c>
      <c r="N1300">
        <v>7</v>
      </c>
      <c r="O1300">
        <v>167.93</v>
      </c>
    </row>
    <row r="1301" spans="1:15" x14ac:dyDescent="0.35">
      <c r="A1301" t="s">
        <v>2785</v>
      </c>
      <c r="B1301" t="s">
        <v>51</v>
      </c>
      <c r="C1301" t="s">
        <v>2786</v>
      </c>
      <c r="D1301" t="s">
        <v>56</v>
      </c>
      <c r="E1301" t="s">
        <v>19</v>
      </c>
      <c r="F1301" t="s">
        <v>57</v>
      </c>
      <c r="G1301" t="s">
        <v>640</v>
      </c>
      <c r="H1301" s="1">
        <v>45434.581250000003</v>
      </c>
      <c r="I1301" s="1">
        <v>45434.774305555555</v>
      </c>
      <c r="J1301">
        <v>216</v>
      </c>
      <c r="K1301">
        <v>278</v>
      </c>
      <c r="L1301">
        <v>1</v>
      </c>
      <c r="M1301" t="s">
        <v>22</v>
      </c>
      <c r="N1301">
        <v>2</v>
      </c>
      <c r="O1301">
        <v>215.1</v>
      </c>
    </row>
    <row r="1302" spans="1:15" x14ac:dyDescent="0.35">
      <c r="A1302" t="s">
        <v>2787</v>
      </c>
      <c r="B1302" t="s">
        <v>31</v>
      </c>
      <c r="C1302" t="s">
        <v>2788</v>
      </c>
      <c r="D1302" t="s">
        <v>18</v>
      </c>
      <c r="E1302" t="s">
        <v>38</v>
      </c>
      <c r="F1302" t="s">
        <v>27</v>
      </c>
      <c r="G1302" t="s">
        <v>213</v>
      </c>
      <c r="H1302" s="1">
        <v>45416.186805555553</v>
      </c>
      <c r="I1302" s="1">
        <v>45416.262499999997</v>
      </c>
      <c r="J1302">
        <v>10</v>
      </c>
      <c r="K1302">
        <v>109</v>
      </c>
      <c r="L1302">
        <v>1</v>
      </c>
      <c r="M1302" t="s">
        <v>22</v>
      </c>
      <c r="N1302">
        <v>7</v>
      </c>
      <c r="O1302">
        <v>77.319999999999993</v>
      </c>
    </row>
    <row r="1303" spans="1:15" x14ac:dyDescent="0.35">
      <c r="A1303" t="s">
        <v>2789</v>
      </c>
      <c r="B1303" t="s">
        <v>51</v>
      </c>
      <c r="C1303" t="s">
        <v>2790</v>
      </c>
      <c r="D1303" t="s">
        <v>18</v>
      </c>
      <c r="E1303" t="s">
        <v>85</v>
      </c>
      <c r="F1303" t="s">
        <v>27</v>
      </c>
      <c r="G1303" t="s">
        <v>1125</v>
      </c>
      <c r="H1303" s="1">
        <v>45358.586111111108</v>
      </c>
      <c r="I1303" s="1">
        <v>45358.784722222219</v>
      </c>
      <c r="J1303">
        <v>204</v>
      </c>
      <c r="K1303">
        <v>286</v>
      </c>
      <c r="L1303">
        <v>1</v>
      </c>
      <c r="M1303" t="s">
        <v>41</v>
      </c>
      <c r="N1303">
        <v>9</v>
      </c>
      <c r="O1303">
        <v>203.92</v>
      </c>
    </row>
    <row r="1304" spans="1:15" x14ac:dyDescent="0.35">
      <c r="A1304" t="s">
        <v>2791</v>
      </c>
      <c r="B1304" t="s">
        <v>16</v>
      </c>
      <c r="C1304" t="s">
        <v>2792</v>
      </c>
      <c r="D1304" t="s">
        <v>44</v>
      </c>
      <c r="E1304" t="s">
        <v>33</v>
      </c>
      <c r="F1304" t="s">
        <v>34</v>
      </c>
      <c r="G1304" t="s">
        <v>114</v>
      </c>
      <c r="H1304" s="1">
        <v>45330.734027777777</v>
      </c>
      <c r="I1304" s="1">
        <v>45330.870138888888</v>
      </c>
      <c r="J1304">
        <v>116</v>
      </c>
      <c r="K1304">
        <v>196</v>
      </c>
      <c r="L1304">
        <v>1</v>
      </c>
      <c r="M1304" t="s">
        <v>41</v>
      </c>
      <c r="N1304">
        <v>10</v>
      </c>
      <c r="O1304">
        <v>59.85</v>
      </c>
    </row>
    <row r="1305" spans="1:15" x14ac:dyDescent="0.35">
      <c r="A1305" t="s">
        <v>2793</v>
      </c>
      <c r="B1305" t="s">
        <v>16</v>
      </c>
      <c r="C1305" t="s">
        <v>2794</v>
      </c>
      <c r="D1305" t="s">
        <v>48</v>
      </c>
      <c r="E1305" t="s">
        <v>33</v>
      </c>
      <c r="F1305" t="s">
        <v>27</v>
      </c>
      <c r="G1305" t="s">
        <v>364</v>
      </c>
      <c r="H1305" s="1">
        <v>45589.432638888888</v>
      </c>
      <c r="I1305" s="1">
        <v>45589.561805555553</v>
      </c>
      <c r="J1305">
        <v>88</v>
      </c>
      <c r="K1305">
        <v>186</v>
      </c>
      <c r="L1305">
        <v>1</v>
      </c>
      <c r="M1305" t="s">
        <v>41</v>
      </c>
      <c r="N1305">
        <v>8</v>
      </c>
      <c r="O1305">
        <v>459.11</v>
      </c>
    </row>
    <row r="1306" spans="1:15" x14ac:dyDescent="0.35">
      <c r="A1306" t="s">
        <v>2795</v>
      </c>
      <c r="B1306" t="s">
        <v>63</v>
      </c>
      <c r="C1306" t="s">
        <v>2796</v>
      </c>
      <c r="D1306" t="s">
        <v>44</v>
      </c>
      <c r="E1306" t="s">
        <v>33</v>
      </c>
      <c r="F1306" t="s">
        <v>57</v>
      </c>
      <c r="G1306" t="s">
        <v>1413</v>
      </c>
      <c r="H1306" s="1">
        <v>45347.121527777781</v>
      </c>
      <c r="I1306" s="1">
        <v>45347.208333333336</v>
      </c>
      <c r="J1306">
        <v>47</v>
      </c>
      <c r="K1306">
        <v>125</v>
      </c>
      <c r="L1306">
        <v>1</v>
      </c>
      <c r="M1306" t="s">
        <v>22</v>
      </c>
      <c r="N1306">
        <v>10</v>
      </c>
      <c r="O1306">
        <v>173.91</v>
      </c>
    </row>
    <row r="1307" spans="1:15" x14ac:dyDescent="0.35">
      <c r="A1307" t="s">
        <v>2797</v>
      </c>
      <c r="B1307" t="s">
        <v>16</v>
      </c>
      <c r="C1307" t="s">
        <v>2798</v>
      </c>
      <c r="D1307" t="s">
        <v>44</v>
      </c>
      <c r="E1307" t="s">
        <v>85</v>
      </c>
      <c r="F1307" t="s">
        <v>34</v>
      </c>
      <c r="G1307" t="s">
        <v>602</v>
      </c>
      <c r="H1307" s="1">
        <v>45350.857638888891</v>
      </c>
      <c r="I1307" s="1">
        <v>45351.013888888891</v>
      </c>
      <c r="J1307">
        <v>158</v>
      </c>
      <c r="K1307">
        <v>225</v>
      </c>
      <c r="L1307">
        <v>1</v>
      </c>
      <c r="M1307" t="s">
        <v>29</v>
      </c>
      <c r="N1307">
        <v>8</v>
      </c>
      <c r="O1307">
        <v>495</v>
      </c>
    </row>
    <row r="1308" spans="1:15" x14ac:dyDescent="0.35">
      <c r="A1308" t="s">
        <v>2799</v>
      </c>
      <c r="B1308" t="s">
        <v>51</v>
      </c>
      <c r="C1308" t="s">
        <v>2800</v>
      </c>
      <c r="D1308" t="s">
        <v>26</v>
      </c>
      <c r="E1308" t="s">
        <v>33</v>
      </c>
      <c r="F1308" t="s">
        <v>34</v>
      </c>
      <c r="G1308" t="s">
        <v>161</v>
      </c>
      <c r="H1308" s="1">
        <v>45541.415972222225</v>
      </c>
      <c r="I1308" s="1">
        <v>45541.600694444445</v>
      </c>
      <c r="J1308">
        <v>229</v>
      </c>
      <c r="K1308">
        <v>266</v>
      </c>
      <c r="L1308">
        <v>1</v>
      </c>
      <c r="M1308" t="s">
        <v>29</v>
      </c>
      <c r="N1308">
        <v>8</v>
      </c>
      <c r="O1308">
        <v>306.48</v>
      </c>
    </row>
    <row r="1309" spans="1:15" x14ac:dyDescent="0.35">
      <c r="A1309" t="s">
        <v>2801</v>
      </c>
      <c r="B1309" t="s">
        <v>31</v>
      </c>
      <c r="C1309" t="s">
        <v>2802</v>
      </c>
      <c r="D1309" t="s">
        <v>44</v>
      </c>
      <c r="E1309" t="s">
        <v>38</v>
      </c>
      <c r="F1309" t="s">
        <v>57</v>
      </c>
      <c r="G1309" t="s">
        <v>299</v>
      </c>
      <c r="H1309" s="1">
        <v>45550.111805555556</v>
      </c>
      <c r="I1309" s="1">
        <v>45550.313194444447</v>
      </c>
      <c r="J1309">
        <v>194</v>
      </c>
      <c r="K1309">
        <v>290</v>
      </c>
      <c r="L1309">
        <v>1</v>
      </c>
      <c r="M1309" t="s">
        <v>41</v>
      </c>
      <c r="N1309">
        <v>10</v>
      </c>
      <c r="O1309">
        <v>297.52999999999997</v>
      </c>
    </row>
    <row r="1310" spans="1:15" x14ac:dyDescent="0.35">
      <c r="A1310" t="s">
        <v>2803</v>
      </c>
      <c r="B1310" t="s">
        <v>31</v>
      </c>
      <c r="C1310" t="s">
        <v>2804</v>
      </c>
      <c r="D1310" t="s">
        <v>26</v>
      </c>
      <c r="E1310" t="s">
        <v>33</v>
      </c>
      <c r="F1310" t="s">
        <v>27</v>
      </c>
      <c r="G1310" t="s">
        <v>58</v>
      </c>
      <c r="H1310" s="1">
        <v>45458.216666666667</v>
      </c>
      <c r="I1310" s="1">
        <v>45458.224305555559</v>
      </c>
      <c r="J1310">
        <v>15</v>
      </c>
      <c r="K1310">
        <v>11</v>
      </c>
      <c r="L1310">
        <v>0</v>
      </c>
      <c r="M1310" t="s">
        <v>41</v>
      </c>
      <c r="N1310">
        <v>10</v>
      </c>
      <c r="O1310">
        <v>105.21</v>
      </c>
    </row>
    <row r="1311" spans="1:15" x14ac:dyDescent="0.35">
      <c r="A1311" t="s">
        <v>2805</v>
      </c>
      <c r="B1311" t="s">
        <v>16</v>
      </c>
      <c r="C1311" t="s">
        <v>2806</v>
      </c>
      <c r="D1311" t="s">
        <v>56</v>
      </c>
      <c r="E1311" t="s">
        <v>19</v>
      </c>
      <c r="F1311" t="s">
        <v>34</v>
      </c>
      <c r="G1311" t="s">
        <v>669</v>
      </c>
      <c r="H1311" s="1">
        <v>45293.554166666669</v>
      </c>
      <c r="I1311" s="1">
        <v>45293.684027777781</v>
      </c>
      <c r="J1311">
        <v>68</v>
      </c>
      <c r="K1311">
        <v>187</v>
      </c>
      <c r="L1311">
        <v>1</v>
      </c>
      <c r="M1311" t="s">
        <v>29</v>
      </c>
      <c r="N1311">
        <v>6</v>
      </c>
      <c r="O1311">
        <v>158.02000000000001</v>
      </c>
    </row>
    <row r="1312" spans="1:15" x14ac:dyDescent="0.35">
      <c r="A1312" t="s">
        <v>2807</v>
      </c>
      <c r="B1312" t="s">
        <v>24</v>
      </c>
      <c r="C1312" t="s">
        <v>2808</v>
      </c>
      <c r="D1312" t="s">
        <v>48</v>
      </c>
      <c r="E1312" t="s">
        <v>19</v>
      </c>
      <c r="F1312" t="s">
        <v>20</v>
      </c>
      <c r="G1312" t="s">
        <v>111</v>
      </c>
      <c r="H1312" s="1">
        <v>45512.658333333333</v>
      </c>
      <c r="I1312" s="1">
        <v>45512.850694444445</v>
      </c>
      <c r="J1312">
        <v>226</v>
      </c>
      <c r="K1312">
        <v>277</v>
      </c>
      <c r="L1312">
        <v>1</v>
      </c>
      <c r="M1312" t="s">
        <v>22</v>
      </c>
      <c r="N1312">
        <v>6</v>
      </c>
      <c r="O1312">
        <v>202.59</v>
      </c>
    </row>
    <row r="1313" spans="1:15" x14ac:dyDescent="0.35">
      <c r="A1313" t="s">
        <v>2809</v>
      </c>
      <c r="B1313" t="s">
        <v>63</v>
      </c>
      <c r="C1313" t="s">
        <v>2810</v>
      </c>
      <c r="D1313" t="s">
        <v>18</v>
      </c>
      <c r="E1313" t="s">
        <v>19</v>
      </c>
      <c r="F1313" t="s">
        <v>27</v>
      </c>
      <c r="G1313" t="s">
        <v>73</v>
      </c>
      <c r="H1313" s="1">
        <v>45422.415972222225</v>
      </c>
      <c r="I1313" s="1">
        <v>45422.589583333334</v>
      </c>
      <c r="J1313">
        <v>211</v>
      </c>
      <c r="K1313">
        <v>250</v>
      </c>
      <c r="L1313">
        <v>1</v>
      </c>
      <c r="M1313" t="s">
        <v>22</v>
      </c>
      <c r="N1313">
        <v>9</v>
      </c>
      <c r="O1313">
        <v>260.48</v>
      </c>
    </row>
    <row r="1314" spans="1:15" x14ac:dyDescent="0.35">
      <c r="A1314" t="s">
        <v>2811</v>
      </c>
      <c r="B1314" t="s">
        <v>63</v>
      </c>
      <c r="C1314" t="s">
        <v>2812</v>
      </c>
      <c r="D1314" t="s">
        <v>44</v>
      </c>
      <c r="E1314" t="s">
        <v>19</v>
      </c>
      <c r="F1314" t="s">
        <v>27</v>
      </c>
      <c r="G1314" t="s">
        <v>21</v>
      </c>
      <c r="H1314" s="1">
        <v>45536.168055555558</v>
      </c>
      <c r="I1314" s="1">
        <v>45536.401388888888</v>
      </c>
      <c r="J1314">
        <v>231</v>
      </c>
      <c r="K1314">
        <v>336</v>
      </c>
      <c r="L1314">
        <v>1</v>
      </c>
      <c r="M1314" t="s">
        <v>22</v>
      </c>
      <c r="N1314">
        <v>8</v>
      </c>
      <c r="O1314">
        <v>326.45</v>
      </c>
    </row>
    <row r="1315" spans="1:15" x14ac:dyDescent="0.35">
      <c r="A1315" t="s">
        <v>2813</v>
      </c>
      <c r="B1315" t="s">
        <v>16</v>
      </c>
      <c r="C1315" t="s">
        <v>2814</v>
      </c>
      <c r="D1315" t="s">
        <v>18</v>
      </c>
      <c r="E1315" t="s">
        <v>38</v>
      </c>
      <c r="F1315" t="s">
        <v>57</v>
      </c>
      <c r="G1315" t="s">
        <v>383</v>
      </c>
      <c r="H1315" s="1">
        <v>45575.544444444444</v>
      </c>
      <c r="I1315" s="1">
        <v>45575.706250000003</v>
      </c>
      <c r="J1315">
        <v>202</v>
      </c>
      <c r="K1315">
        <v>233</v>
      </c>
      <c r="L1315">
        <v>1</v>
      </c>
      <c r="M1315" t="s">
        <v>41</v>
      </c>
      <c r="N1315">
        <v>9</v>
      </c>
      <c r="O1315">
        <v>350.59</v>
      </c>
    </row>
    <row r="1316" spans="1:15" x14ac:dyDescent="0.35">
      <c r="A1316" t="s">
        <v>2815</v>
      </c>
      <c r="B1316" t="s">
        <v>51</v>
      </c>
      <c r="C1316" t="s">
        <v>2816</v>
      </c>
      <c r="D1316" t="s">
        <v>56</v>
      </c>
      <c r="E1316" t="s">
        <v>85</v>
      </c>
      <c r="F1316" t="s">
        <v>20</v>
      </c>
      <c r="G1316" t="s">
        <v>359</v>
      </c>
      <c r="H1316" s="1">
        <v>45308.140277777777</v>
      </c>
      <c r="I1316" s="1">
        <v>45308.283333333333</v>
      </c>
      <c r="J1316">
        <v>94</v>
      </c>
      <c r="K1316">
        <v>206</v>
      </c>
      <c r="L1316">
        <v>1</v>
      </c>
      <c r="M1316" t="s">
        <v>22</v>
      </c>
      <c r="N1316">
        <v>2</v>
      </c>
      <c r="O1316">
        <v>384.23</v>
      </c>
    </row>
    <row r="1317" spans="1:15" x14ac:dyDescent="0.35">
      <c r="A1317" t="s">
        <v>2817</v>
      </c>
      <c r="B1317" t="s">
        <v>51</v>
      </c>
      <c r="C1317" t="s">
        <v>2818</v>
      </c>
      <c r="D1317" t="s">
        <v>48</v>
      </c>
      <c r="E1317" t="s">
        <v>85</v>
      </c>
      <c r="F1317" t="s">
        <v>39</v>
      </c>
      <c r="G1317" t="s">
        <v>222</v>
      </c>
      <c r="H1317" s="1">
        <v>45344.709722222222</v>
      </c>
      <c r="I1317" s="1">
        <v>45344.839583333334</v>
      </c>
      <c r="J1317">
        <v>68</v>
      </c>
      <c r="K1317">
        <v>187</v>
      </c>
      <c r="L1317">
        <v>1</v>
      </c>
      <c r="M1317" t="s">
        <v>22</v>
      </c>
      <c r="N1317">
        <v>6</v>
      </c>
      <c r="O1317">
        <v>166.92</v>
      </c>
    </row>
    <row r="1318" spans="1:15" x14ac:dyDescent="0.35">
      <c r="A1318" t="s">
        <v>2819</v>
      </c>
      <c r="B1318" t="s">
        <v>63</v>
      </c>
      <c r="C1318" t="s">
        <v>2820</v>
      </c>
      <c r="D1318" t="s">
        <v>18</v>
      </c>
      <c r="E1318" t="s">
        <v>33</v>
      </c>
      <c r="F1318" t="s">
        <v>20</v>
      </c>
      <c r="G1318" t="s">
        <v>577</v>
      </c>
      <c r="H1318" s="1">
        <v>45309.7</v>
      </c>
      <c r="I1318" s="1">
        <v>45309.853472222225</v>
      </c>
      <c r="J1318">
        <v>133</v>
      </c>
      <c r="K1318">
        <v>221</v>
      </c>
      <c r="L1318">
        <v>1</v>
      </c>
      <c r="M1318" t="s">
        <v>22</v>
      </c>
      <c r="N1318">
        <v>7</v>
      </c>
      <c r="O1318">
        <v>336.8</v>
      </c>
    </row>
    <row r="1319" spans="1:15" x14ac:dyDescent="0.35">
      <c r="A1319" t="s">
        <v>2821</v>
      </c>
      <c r="B1319" t="s">
        <v>16</v>
      </c>
      <c r="C1319" t="s">
        <v>2822</v>
      </c>
      <c r="D1319" t="s">
        <v>56</v>
      </c>
      <c r="E1319" t="s">
        <v>19</v>
      </c>
      <c r="F1319" t="s">
        <v>27</v>
      </c>
      <c r="G1319" t="s">
        <v>262</v>
      </c>
      <c r="H1319" s="1">
        <v>45601.09652777778</v>
      </c>
      <c r="I1319" s="1">
        <v>45601.198611111111</v>
      </c>
      <c r="J1319">
        <v>67</v>
      </c>
      <c r="K1319">
        <v>147</v>
      </c>
      <c r="L1319">
        <v>1</v>
      </c>
      <c r="M1319" t="s">
        <v>22</v>
      </c>
      <c r="N1319">
        <v>5</v>
      </c>
      <c r="O1319">
        <v>410.88</v>
      </c>
    </row>
    <row r="1320" spans="1:15" x14ac:dyDescent="0.35">
      <c r="A1320" t="s">
        <v>2823</v>
      </c>
      <c r="B1320" t="s">
        <v>31</v>
      </c>
      <c r="C1320" t="s">
        <v>2824</v>
      </c>
      <c r="D1320" t="s">
        <v>44</v>
      </c>
      <c r="E1320" t="s">
        <v>85</v>
      </c>
      <c r="F1320" t="s">
        <v>20</v>
      </c>
      <c r="G1320" t="s">
        <v>111</v>
      </c>
      <c r="H1320" s="1">
        <v>45304.442361111112</v>
      </c>
      <c r="I1320" s="1">
        <v>45304.529166666667</v>
      </c>
      <c r="J1320">
        <v>17</v>
      </c>
      <c r="K1320">
        <v>125</v>
      </c>
      <c r="L1320">
        <v>1</v>
      </c>
      <c r="M1320" t="s">
        <v>29</v>
      </c>
      <c r="N1320">
        <v>5</v>
      </c>
      <c r="O1320">
        <v>66.37</v>
      </c>
    </row>
    <row r="1321" spans="1:15" x14ac:dyDescent="0.35">
      <c r="A1321" t="s">
        <v>2825</v>
      </c>
      <c r="B1321" t="s">
        <v>16</v>
      </c>
      <c r="C1321" t="s">
        <v>2826</v>
      </c>
      <c r="D1321" t="s">
        <v>18</v>
      </c>
      <c r="E1321" t="s">
        <v>33</v>
      </c>
      <c r="F1321" t="s">
        <v>57</v>
      </c>
      <c r="G1321" t="s">
        <v>254</v>
      </c>
      <c r="H1321" s="1">
        <v>45389.588194444441</v>
      </c>
      <c r="I1321" s="1">
        <v>45389.638888888891</v>
      </c>
      <c r="J1321">
        <v>72</v>
      </c>
      <c r="K1321">
        <v>73</v>
      </c>
      <c r="L1321">
        <v>1</v>
      </c>
      <c r="M1321" t="s">
        <v>29</v>
      </c>
      <c r="N1321">
        <v>9</v>
      </c>
      <c r="O1321">
        <v>273.94</v>
      </c>
    </row>
    <row r="1322" spans="1:15" x14ac:dyDescent="0.35">
      <c r="A1322" t="s">
        <v>2827</v>
      </c>
      <c r="B1322" t="s">
        <v>16</v>
      </c>
      <c r="C1322" t="s">
        <v>2828</v>
      </c>
      <c r="D1322" t="s">
        <v>26</v>
      </c>
      <c r="E1322" t="s">
        <v>33</v>
      </c>
      <c r="F1322" t="s">
        <v>34</v>
      </c>
      <c r="G1322" t="s">
        <v>137</v>
      </c>
      <c r="H1322" s="1">
        <v>45569.325694444444</v>
      </c>
      <c r="I1322" s="1">
        <v>45569.47152777778</v>
      </c>
      <c r="J1322">
        <v>145</v>
      </c>
      <c r="K1322">
        <v>210</v>
      </c>
      <c r="L1322">
        <v>1</v>
      </c>
      <c r="M1322" t="s">
        <v>22</v>
      </c>
      <c r="N1322">
        <v>10</v>
      </c>
      <c r="O1322">
        <v>312.93</v>
      </c>
    </row>
    <row r="1323" spans="1:15" x14ac:dyDescent="0.35">
      <c r="A1323" t="s">
        <v>2829</v>
      </c>
      <c r="B1323" t="s">
        <v>16</v>
      </c>
      <c r="C1323" t="s">
        <v>2830</v>
      </c>
      <c r="D1323" t="s">
        <v>26</v>
      </c>
      <c r="E1323" t="s">
        <v>38</v>
      </c>
      <c r="F1323" t="s">
        <v>27</v>
      </c>
      <c r="G1323" t="s">
        <v>204</v>
      </c>
      <c r="H1323" s="1">
        <v>45530.256249999999</v>
      </c>
      <c r="I1323" s="1">
        <v>45530.393055555556</v>
      </c>
      <c r="J1323">
        <v>178</v>
      </c>
      <c r="K1323">
        <v>197</v>
      </c>
      <c r="L1323">
        <v>1</v>
      </c>
      <c r="M1323" t="s">
        <v>22</v>
      </c>
      <c r="N1323">
        <v>10</v>
      </c>
      <c r="O1323">
        <v>59.88</v>
      </c>
    </row>
    <row r="1324" spans="1:15" x14ac:dyDescent="0.35">
      <c r="A1324" t="s">
        <v>2831</v>
      </c>
      <c r="B1324" t="s">
        <v>31</v>
      </c>
      <c r="C1324" t="s">
        <v>2832</v>
      </c>
      <c r="D1324" t="s">
        <v>56</v>
      </c>
      <c r="E1324" t="s">
        <v>85</v>
      </c>
      <c r="F1324" t="s">
        <v>27</v>
      </c>
      <c r="G1324" t="s">
        <v>1172</v>
      </c>
      <c r="H1324" s="1">
        <v>45469.963194444441</v>
      </c>
      <c r="I1324" s="1">
        <v>45470.075694444444</v>
      </c>
      <c r="J1324">
        <v>97</v>
      </c>
      <c r="K1324">
        <v>162</v>
      </c>
      <c r="L1324">
        <v>1</v>
      </c>
      <c r="M1324" t="s">
        <v>41</v>
      </c>
      <c r="N1324">
        <v>5</v>
      </c>
      <c r="O1324">
        <v>310.25</v>
      </c>
    </row>
    <row r="1325" spans="1:15" x14ac:dyDescent="0.35">
      <c r="A1325" t="s">
        <v>2833</v>
      </c>
      <c r="B1325" t="s">
        <v>63</v>
      </c>
      <c r="C1325" t="s">
        <v>2834</v>
      </c>
      <c r="D1325" t="s">
        <v>56</v>
      </c>
      <c r="E1325" t="s">
        <v>33</v>
      </c>
      <c r="F1325" t="s">
        <v>27</v>
      </c>
      <c r="G1325" t="s">
        <v>231</v>
      </c>
      <c r="H1325" s="1">
        <v>45586.839583333334</v>
      </c>
      <c r="I1325" s="1">
        <v>45586.943055555559</v>
      </c>
      <c r="J1325">
        <v>140</v>
      </c>
      <c r="K1325">
        <v>149</v>
      </c>
      <c r="L1325">
        <v>1</v>
      </c>
      <c r="M1325" t="s">
        <v>41</v>
      </c>
      <c r="N1325">
        <v>3</v>
      </c>
      <c r="O1325">
        <v>62.95</v>
      </c>
    </row>
    <row r="1326" spans="1:15" x14ac:dyDescent="0.35">
      <c r="A1326" t="s">
        <v>2835</v>
      </c>
      <c r="B1326" t="s">
        <v>24</v>
      </c>
      <c r="C1326" t="s">
        <v>2836</v>
      </c>
      <c r="D1326" t="s">
        <v>48</v>
      </c>
      <c r="E1326" t="s">
        <v>19</v>
      </c>
      <c r="F1326" t="s">
        <v>27</v>
      </c>
      <c r="G1326" t="s">
        <v>539</v>
      </c>
      <c r="H1326" s="1">
        <v>45540.115972222222</v>
      </c>
      <c r="I1326" s="1">
        <v>45540.192361111112</v>
      </c>
      <c r="J1326">
        <v>44</v>
      </c>
      <c r="K1326">
        <v>110</v>
      </c>
      <c r="L1326">
        <v>1</v>
      </c>
      <c r="M1326" t="s">
        <v>29</v>
      </c>
      <c r="N1326">
        <v>2</v>
      </c>
      <c r="O1326">
        <v>85.36</v>
      </c>
    </row>
    <row r="1327" spans="1:15" x14ac:dyDescent="0.35">
      <c r="A1327" t="s">
        <v>2837</v>
      </c>
      <c r="B1327" t="s">
        <v>51</v>
      </c>
      <c r="C1327" t="s">
        <v>2838</v>
      </c>
      <c r="D1327" t="s">
        <v>48</v>
      </c>
      <c r="E1327" t="s">
        <v>85</v>
      </c>
      <c r="F1327" t="s">
        <v>20</v>
      </c>
      <c r="G1327" t="s">
        <v>35</v>
      </c>
      <c r="H1327" s="1">
        <v>45535.442361111112</v>
      </c>
      <c r="I1327" s="1">
        <v>45535.54791666667</v>
      </c>
      <c r="J1327">
        <v>139</v>
      </c>
      <c r="K1327">
        <v>152</v>
      </c>
      <c r="L1327">
        <v>1</v>
      </c>
      <c r="M1327" t="s">
        <v>22</v>
      </c>
      <c r="N1327">
        <v>2</v>
      </c>
      <c r="O1327">
        <v>56.67</v>
      </c>
    </row>
    <row r="1328" spans="1:15" x14ac:dyDescent="0.35">
      <c r="A1328" t="s">
        <v>2839</v>
      </c>
      <c r="B1328" t="s">
        <v>16</v>
      </c>
      <c r="C1328" t="s">
        <v>2840</v>
      </c>
      <c r="D1328" t="s">
        <v>44</v>
      </c>
      <c r="E1328" t="s">
        <v>85</v>
      </c>
      <c r="F1328" t="s">
        <v>34</v>
      </c>
      <c r="G1328" t="s">
        <v>65</v>
      </c>
      <c r="H1328" s="1">
        <v>45448.80972222222</v>
      </c>
      <c r="I1328" s="1">
        <v>45448.953472222223</v>
      </c>
      <c r="J1328">
        <v>111</v>
      </c>
      <c r="K1328">
        <v>207</v>
      </c>
      <c r="L1328">
        <v>1</v>
      </c>
      <c r="M1328" t="s">
        <v>22</v>
      </c>
      <c r="N1328">
        <v>5</v>
      </c>
      <c r="O1328">
        <v>309.47000000000003</v>
      </c>
    </row>
    <row r="1329" spans="1:15" x14ac:dyDescent="0.35">
      <c r="A1329" t="s">
        <v>2841</v>
      </c>
      <c r="B1329" t="s">
        <v>24</v>
      </c>
      <c r="C1329" t="s">
        <v>2842</v>
      </c>
      <c r="D1329" t="s">
        <v>56</v>
      </c>
      <c r="E1329" t="s">
        <v>85</v>
      </c>
      <c r="F1329" t="s">
        <v>20</v>
      </c>
      <c r="G1329" t="s">
        <v>810</v>
      </c>
      <c r="H1329" s="1">
        <v>45565.53125</v>
      </c>
      <c r="I1329" s="1">
        <v>45565.698611111111</v>
      </c>
      <c r="J1329">
        <v>172</v>
      </c>
      <c r="K1329">
        <v>241</v>
      </c>
      <c r="L1329">
        <v>1</v>
      </c>
      <c r="M1329" t="s">
        <v>22</v>
      </c>
      <c r="N1329">
        <v>3</v>
      </c>
      <c r="O1329">
        <v>341.04</v>
      </c>
    </row>
    <row r="1330" spans="1:15" x14ac:dyDescent="0.35">
      <c r="A1330" t="s">
        <v>2843</v>
      </c>
      <c r="B1330" t="s">
        <v>31</v>
      </c>
      <c r="C1330" t="s">
        <v>2844</v>
      </c>
      <c r="D1330" t="s">
        <v>44</v>
      </c>
      <c r="E1330" t="s">
        <v>19</v>
      </c>
      <c r="F1330" t="s">
        <v>39</v>
      </c>
      <c r="G1330" t="s">
        <v>120</v>
      </c>
      <c r="H1330" s="1">
        <v>45328.673611111109</v>
      </c>
      <c r="I1330" s="1">
        <v>45328.907638888886</v>
      </c>
      <c r="J1330">
        <v>221</v>
      </c>
      <c r="K1330">
        <v>337</v>
      </c>
      <c r="L1330">
        <v>1</v>
      </c>
      <c r="M1330" t="s">
        <v>29</v>
      </c>
      <c r="N1330">
        <v>9</v>
      </c>
      <c r="O1330">
        <v>425.7</v>
      </c>
    </row>
    <row r="1331" spans="1:15" x14ac:dyDescent="0.35">
      <c r="A1331" t="s">
        <v>2845</v>
      </c>
      <c r="B1331" t="s">
        <v>51</v>
      </c>
      <c r="C1331" t="s">
        <v>2846</v>
      </c>
      <c r="D1331" t="s">
        <v>56</v>
      </c>
      <c r="E1331" t="s">
        <v>19</v>
      </c>
      <c r="F1331" t="s">
        <v>20</v>
      </c>
      <c r="G1331" t="s">
        <v>288</v>
      </c>
      <c r="H1331" s="1">
        <v>45445.612500000003</v>
      </c>
      <c r="I1331" s="1">
        <v>45445.675000000003</v>
      </c>
      <c r="J1331">
        <v>84</v>
      </c>
      <c r="K1331">
        <v>90</v>
      </c>
      <c r="L1331">
        <v>1</v>
      </c>
      <c r="M1331" t="s">
        <v>29</v>
      </c>
      <c r="N1331">
        <v>10</v>
      </c>
      <c r="O1331">
        <v>307.22000000000003</v>
      </c>
    </row>
    <row r="1332" spans="1:15" x14ac:dyDescent="0.35">
      <c r="A1332" t="s">
        <v>2847</v>
      </c>
      <c r="B1332" t="s">
        <v>24</v>
      </c>
      <c r="C1332" t="s">
        <v>2848</v>
      </c>
      <c r="D1332" t="s">
        <v>44</v>
      </c>
      <c r="E1332" t="s">
        <v>19</v>
      </c>
      <c r="F1332" t="s">
        <v>57</v>
      </c>
      <c r="G1332" t="s">
        <v>316</v>
      </c>
      <c r="H1332" s="1">
        <v>45443.114583333336</v>
      </c>
      <c r="I1332" s="1">
        <v>45443.273611111108</v>
      </c>
      <c r="J1332">
        <v>170</v>
      </c>
      <c r="K1332">
        <v>229</v>
      </c>
      <c r="L1332">
        <v>1</v>
      </c>
      <c r="M1332" t="s">
        <v>41</v>
      </c>
      <c r="N1332">
        <v>1</v>
      </c>
      <c r="O1332">
        <v>223.77</v>
      </c>
    </row>
    <row r="1333" spans="1:15" x14ac:dyDescent="0.35">
      <c r="A1333" t="s">
        <v>2849</v>
      </c>
      <c r="B1333" t="s">
        <v>63</v>
      </c>
      <c r="C1333" t="s">
        <v>2850</v>
      </c>
      <c r="D1333" t="s">
        <v>48</v>
      </c>
      <c r="E1333" t="s">
        <v>85</v>
      </c>
      <c r="F1333" t="s">
        <v>39</v>
      </c>
      <c r="G1333" t="s">
        <v>182</v>
      </c>
      <c r="H1333" s="1">
        <v>45655.574999999997</v>
      </c>
      <c r="I1333" s="1">
        <v>45655.7</v>
      </c>
      <c r="J1333">
        <v>67</v>
      </c>
      <c r="K1333">
        <v>180</v>
      </c>
      <c r="L1333">
        <v>1</v>
      </c>
      <c r="M1333" t="s">
        <v>22</v>
      </c>
      <c r="N1333">
        <v>2</v>
      </c>
      <c r="O1333">
        <v>305.77</v>
      </c>
    </row>
    <row r="1334" spans="1:15" x14ac:dyDescent="0.35">
      <c r="A1334" t="s">
        <v>2851</v>
      </c>
      <c r="B1334" t="s">
        <v>63</v>
      </c>
      <c r="C1334" t="s">
        <v>2852</v>
      </c>
      <c r="D1334" t="s">
        <v>56</v>
      </c>
      <c r="E1334" t="s">
        <v>85</v>
      </c>
      <c r="F1334" t="s">
        <v>34</v>
      </c>
      <c r="G1334" t="s">
        <v>415</v>
      </c>
      <c r="H1334" s="1">
        <v>45360.818749999999</v>
      </c>
      <c r="I1334" s="1">
        <v>45360.914583333331</v>
      </c>
      <c r="J1334">
        <v>26</v>
      </c>
      <c r="K1334">
        <v>138</v>
      </c>
      <c r="L1334">
        <v>1</v>
      </c>
      <c r="M1334" t="s">
        <v>29</v>
      </c>
      <c r="N1334">
        <v>10</v>
      </c>
      <c r="O1334">
        <v>120.01</v>
      </c>
    </row>
    <row r="1335" spans="1:15" x14ac:dyDescent="0.35">
      <c r="A1335" t="s">
        <v>2853</v>
      </c>
      <c r="B1335" t="s">
        <v>31</v>
      </c>
      <c r="C1335" t="s">
        <v>2854</v>
      </c>
      <c r="D1335" t="s">
        <v>48</v>
      </c>
      <c r="E1335" t="s">
        <v>85</v>
      </c>
      <c r="F1335" t="s">
        <v>20</v>
      </c>
      <c r="G1335" t="s">
        <v>1730</v>
      </c>
      <c r="H1335" s="1">
        <v>45539.421527777777</v>
      </c>
      <c r="I1335" s="1">
        <v>45539.48333333333</v>
      </c>
      <c r="J1335">
        <v>11</v>
      </c>
      <c r="K1335">
        <v>89</v>
      </c>
      <c r="L1335">
        <v>1</v>
      </c>
      <c r="M1335" t="s">
        <v>22</v>
      </c>
      <c r="N1335">
        <v>2</v>
      </c>
      <c r="O1335">
        <v>444.03</v>
      </c>
    </row>
    <row r="1336" spans="1:15" x14ac:dyDescent="0.35">
      <c r="A1336" t="s">
        <v>2855</v>
      </c>
      <c r="B1336" t="s">
        <v>51</v>
      </c>
      <c r="C1336" t="s">
        <v>2856</v>
      </c>
      <c r="D1336" t="s">
        <v>56</v>
      </c>
      <c r="E1336" t="s">
        <v>38</v>
      </c>
      <c r="F1336" t="s">
        <v>34</v>
      </c>
      <c r="G1336" t="s">
        <v>283</v>
      </c>
      <c r="H1336" s="1">
        <v>45628.522222222222</v>
      </c>
      <c r="I1336" s="1">
        <v>45628.663194444445</v>
      </c>
      <c r="J1336">
        <v>173</v>
      </c>
      <c r="K1336">
        <v>203</v>
      </c>
      <c r="L1336">
        <v>1</v>
      </c>
      <c r="M1336" t="s">
        <v>41</v>
      </c>
      <c r="N1336">
        <v>3</v>
      </c>
      <c r="O1336">
        <v>381.94</v>
      </c>
    </row>
    <row r="1337" spans="1:15" x14ac:dyDescent="0.35">
      <c r="A1337" t="s">
        <v>2857</v>
      </c>
      <c r="B1337" t="s">
        <v>16</v>
      </c>
      <c r="C1337" t="s">
        <v>2858</v>
      </c>
      <c r="D1337" t="s">
        <v>56</v>
      </c>
      <c r="E1337" t="s">
        <v>19</v>
      </c>
      <c r="F1337" t="s">
        <v>39</v>
      </c>
      <c r="G1337" t="s">
        <v>296</v>
      </c>
      <c r="H1337" s="1">
        <v>45629.393750000003</v>
      </c>
      <c r="I1337" s="1">
        <v>45629.549305555556</v>
      </c>
      <c r="J1337">
        <v>120</v>
      </c>
      <c r="K1337">
        <v>224</v>
      </c>
      <c r="L1337">
        <v>1</v>
      </c>
      <c r="M1337" t="s">
        <v>41</v>
      </c>
      <c r="N1337">
        <v>1</v>
      </c>
      <c r="O1337">
        <v>414.33</v>
      </c>
    </row>
    <row r="1338" spans="1:15" x14ac:dyDescent="0.35">
      <c r="A1338" t="s">
        <v>2859</v>
      </c>
      <c r="B1338" t="s">
        <v>24</v>
      </c>
      <c r="C1338" t="s">
        <v>2860</v>
      </c>
      <c r="D1338" t="s">
        <v>48</v>
      </c>
      <c r="E1338" t="s">
        <v>85</v>
      </c>
      <c r="F1338" t="s">
        <v>34</v>
      </c>
      <c r="G1338" t="s">
        <v>676</v>
      </c>
      <c r="H1338" s="1">
        <v>45441.533333333333</v>
      </c>
      <c r="I1338" s="1">
        <v>45441.599305555559</v>
      </c>
      <c r="J1338">
        <v>19</v>
      </c>
      <c r="K1338">
        <v>95</v>
      </c>
      <c r="L1338">
        <v>1</v>
      </c>
      <c r="M1338" t="s">
        <v>29</v>
      </c>
      <c r="N1338">
        <v>4</v>
      </c>
      <c r="O1338">
        <v>225.69</v>
      </c>
    </row>
    <row r="1339" spans="1:15" x14ac:dyDescent="0.35">
      <c r="A1339" t="s">
        <v>2861</v>
      </c>
      <c r="B1339" t="s">
        <v>63</v>
      </c>
      <c r="C1339" t="s">
        <v>2862</v>
      </c>
      <c r="D1339" t="s">
        <v>44</v>
      </c>
      <c r="E1339" t="s">
        <v>33</v>
      </c>
      <c r="F1339" t="s">
        <v>34</v>
      </c>
      <c r="G1339" t="s">
        <v>251</v>
      </c>
      <c r="H1339" s="1">
        <v>45303.227777777778</v>
      </c>
      <c r="I1339" s="1">
        <v>45303.411111111112</v>
      </c>
      <c r="J1339">
        <v>192</v>
      </c>
      <c r="K1339">
        <v>264</v>
      </c>
      <c r="L1339">
        <v>1</v>
      </c>
      <c r="M1339" t="s">
        <v>22</v>
      </c>
      <c r="N1339">
        <v>4</v>
      </c>
      <c r="O1339">
        <v>380.2</v>
      </c>
    </row>
    <row r="1340" spans="1:15" x14ac:dyDescent="0.35">
      <c r="A1340" t="s">
        <v>2863</v>
      </c>
      <c r="B1340" t="s">
        <v>51</v>
      </c>
      <c r="C1340" t="s">
        <v>2864</v>
      </c>
      <c r="D1340" t="s">
        <v>44</v>
      </c>
      <c r="E1340" t="s">
        <v>33</v>
      </c>
      <c r="F1340" t="s">
        <v>39</v>
      </c>
      <c r="G1340" t="s">
        <v>407</v>
      </c>
      <c r="H1340" s="1">
        <v>45385.428472222222</v>
      </c>
      <c r="I1340" s="1">
        <v>45385.523611111108</v>
      </c>
      <c r="J1340">
        <v>39</v>
      </c>
      <c r="K1340">
        <v>137</v>
      </c>
      <c r="L1340">
        <v>1</v>
      </c>
      <c r="M1340" t="s">
        <v>29</v>
      </c>
      <c r="N1340">
        <v>8</v>
      </c>
      <c r="O1340">
        <v>263.43</v>
      </c>
    </row>
    <row r="1341" spans="1:15" x14ac:dyDescent="0.35">
      <c r="A1341" t="s">
        <v>2865</v>
      </c>
      <c r="B1341" t="s">
        <v>31</v>
      </c>
      <c r="C1341" t="s">
        <v>2866</v>
      </c>
      <c r="D1341" t="s">
        <v>18</v>
      </c>
      <c r="E1341" t="s">
        <v>38</v>
      </c>
      <c r="F1341" t="s">
        <v>34</v>
      </c>
      <c r="G1341" t="s">
        <v>94</v>
      </c>
      <c r="H1341" s="1">
        <v>45648.777777777781</v>
      </c>
      <c r="I1341" s="1">
        <v>45648.831944444442</v>
      </c>
      <c r="J1341">
        <v>16</v>
      </c>
      <c r="K1341">
        <v>78</v>
      </c>
      <c r="L1341">
        <v>1</v>
      </c>
      <c r="M1341" t="s">
        <v>22</v>
      </c>
      <c r="N1341">
        <v>7</v>
      </c>
      <c r="O1341">
        <v>283.06</v>
      </c>
    </row>
    <row r="1342" spans="1:15" x14ac:dyDescent="0.35">
      <c r="A1342" t="s">
        <v>2867</v>
      </c>
      <c r="B1342" t="s">
        <v>51</v>
      </c>
      <c r="C1342" t="s">
        <v>2868</v>
      </c>
      <c r="D1342" t="s">
        <v>18</v>
      </c>
      <c r="E1342" t="s">
        <v>85</v>
      </c>
      <c r="F1342" t="s">
        <v>20</v>
      </c>
      <c r="G1342" t="s">
        <v>321</v>
      </c>
      <c r="H1342" s="1">
        <v>45456.065972222219</v>
      </c>
      <c r="I1342" s="1">
        <v>45456.267361111109</v>
      </c>
      <c r="J1342">
        <v>196</v>
      </c>
      <c r="K1342">
        <v>290</v>
      </c>
      <c r="L1342">
        <v>1</v>
      </c>
      <c r="M1342" t="s">
        <v>41</v>
      </c>
      <c r="N1342">
        <v>9</v>
      </c>
      <c r="O1342">
        <v>160.68</v>
      </c>
    </row>
    <row r="1343" spans="1:15" x14ac:dyDescent="0.35">
      <c r="A1343" t="s">
        <v>2869</v>
      </c>
      <c r="B1343" t="s">
        <v>24</v>
      </c>
      <c r="C1343" t="s">
        <v>2870</v>
      </c>
      <c r="D1343" t="s">
        <v>26</v>
      </c>
      <c r="E1343" t="s">
        <v>19</v>
      </c>
      <c r="F1343" t="s">
        <v>20</v>
      </c>
      <c r="G1343" t="s">
        <v>126</v>
      </c>
      <c r="H1343" s="1">
        <v>45650.629861111112</v>
      </c>
      <c r="I1343" s="1">
        <v>45650.77847222222</v>
      </c>
      <c r="J1343">
        <v>194</v>
      </c>
      <c r="K1343">
        <v>214</v>
      </c>
      <c r="L1343">
        <v>1</v>
      </c>
      <c r="M1343" t="s">
        <v>41</v>
      </c>
      <c r="N1343">
        <v>8</v>
      </c>
      <c r="O1343">
        <v>145.69</v>
      </c>
    </row>
    <row r="1344" spans="1:15" x14ac:dyDescent="0.35">
      <c r="A1344" t="s">
        <v>2871</v>
      </c>
      <c r="B1344" t="s">
        <v>51</v>
      </c>
      <c r="C1344" t="s">
        <v>2872</v>
      </c>
      <c r="D1344" t="s">
        <v>44</v>
      </c>
      <c r="E1344" t="s">
        <v>38</v>
      </c>
      <c r="F1344" t="s">
        <v>34</v>
      </c>
      <c r="G1344" t="s">
        <v>456</v>
      </c>
      <c r="H1344" s="1">
        <v>45364</v>
      </c>
      <c r="I1344" s="1">
        <v>45364.171527777777</v>
      </c>
      <c r="J1344">
        <v>234</v>
      </c>
      <c r="K1344">
        <v>247</v>
      </c>
      <c r="L1344">
        <v>1</v>
      </c>
      <c r="M1344" t="s">
        <v>41</v>
      </c>
      <c r="N1344">
        <v>5</v>
      </c>
      <c r="O1344">
        <v>319.83999999999997</v>
      </c>
    </row>
    <row r="1345" spans="1:15" x14ac:dyDescent="0.35">
      <c r="A1345" t="s">
        <v>2873</v>
      </c>
      <c r="B1345" t="s">
        <v>63</v>
      </c>
      <c r="C1345" t="s">
        <v>2874</v>
      </c>
      <c r="D1345" t="s">
        <v>18</v>
      </c>
      <c r="E1345" t="s">
        <v>33</v>
      </c>
      <c r="F1345" t="s">
        <v>39</v>
      </c>
      <c r="G1345" t="s">
        <v>100</v>
      </c>
      <c r="H1345" s="1">
        <v>45500.07708333333</v>
      </c>
      <c r="I1345" s="1">
        <v>45500.245138888888</v>
      </c>
      <c r="J1345">
        <v>234</v>
      </c>
      <c r="K1345">
        <v>242</v>
      </c>
      <c r="L1345">
        <v>1</v>
      </c>
      <c r="M1345" t="s">
        <v>22</v>
      </c>
      <c r="N1345">
        <v>5</v>
      </c>
      <c r="O1345">
        <v>487.92</v>
      </c>
    </row>
    <row r="1346" spans="1:15" x14ac:dyDescent="0.35">
      <c r="A1346" t="s">
        <v>2875</v>
      </c>
      <c r="B1346" t="s">
        <v>16</v>
      </c>
      <c r="C1346" t="s">
        <v>2876</v>
      </c>
      <c r="D1346" t="s">
        <v>48</v>
      </c>
      <c r="E1346" t="s">
        <v>85</v>
      </c>
      <c r="F1346" t="s">
        <v>57</v>
      </c>
      <c r="G1346" t="s">
        <v>810</v>
      </c>
      <c r="H1346" s="1">
        <v>45442.769444444442</v>
      </c>
      <c r="I1346" s="1">
        <v>45442.978472222225</v>
      </c>
      <c r="J1346">
        <v>218</v>
      </c>
      <c r="K1346">
        <v>301</v>
      </c>
      <c r="L1346">
        <v>1</v>
      </c>
      <c r="M1346" t="s">
        <v>41</v>
      </c>
      <c r="N1346">
        <v>3</v>
      </c>
      <c r="O1346">
        <v>283.48</v>
      </c>
    </row>
    <row r="1347" spans="1:15" x14ac:dyDescent="0.35">
      <c r="A1347" t="s">
        <v>2877</v>
      </c>
      <c r="B1347" t="s">
        <v>51</v>
      </c>
      <c r="C1347" t="s">
        <v>2878</v>
      </c>
      <c r="D1347" t="s">
        <v>56</v>
      </c>
      <c r="E1347" t="s">
        <v>19</v>
      </c>
      <c r="F1347" t="s">
        <v>39</v>
      </c>
      <c r="G1347" t="s">
        <v>388</v>
      </c>
      <c r="H1347" s="1">
        <v>45353.12777777778</v>
      </c>
      <c r="I1347" s="1">
        <v>45353.163888888892</v>
      </c>
      <c r="J1347">
        <v>54</v>
      </c>
      <c r="K1347">
        <v>52</v>
      </c>
      <c r="L1347">
        <v>0</v>
      </c>
      <c r="M1347" t="s">
        <v>29</v>
      </c>
      <c r="N1347">
        <v>9</v>
      </c>
      <c r="O1347">
        <v>116.5</v>
      </c>
    </row>
    <row r="1348" spans="1:15" x14ac:dyDescent="0.35">
      <c r="A1348" t="s">
        <v>2879</v>
      </c>
      <c r="B1348" t="s">
        <v>24</v>
      </c>
      <c r="C1348" t="s">
        <v>2880</v>
      </c>
      <c r="D1348" t="s">
        <v>18</v>
      </c>
      <c r="E1348" t="s">
        <v>19</v>
      </c>
      <c r="F1348" t="s">
        <v>34</v>
      </c>
      <c r="G1348" t="s">
        <v>53</v>
      </c>
      <c r="H1348" s="1">
        <v>45643.45208333333</v>
      </c>
      <c r="I1348" s="1">
        <v>45643.496527777781</v>
      </c>
      <c r="J1348">
        <v>31</v>
      </c>
      <c r="K1348">
        <v>64</v>
      </c>
      <c r="L1348">
        <v>1</v>
      </c>
      <c r="M1348" t="s">
        <v>29</v>
      </c>
      <c r="N1348">
        <v>1</v>
      </c>
      <c r="O1348">
        <v>66.77</v>
      </c>
    </row>
    <row r="1349" spans="1:15" x14ac:dyDescent="0.35">
      <c r="A1349" t="s">
        <v>2881</v>
      </c>
      <c r="B1349" t="s">
        <v>16</v>
      </c>
      <c r="C1349" t="s">
        <v>2882</v>
      </c>
      <c r="D1349" t="s">
        <v>26</v>
      </c>
      <c r="E1349" t="s">
        <v>19</v>
      </c>
      <c r="F1349" t="s">
        <v>39</v>
      </c>
      <c r="G1349" t="s">
        <v>470</v>
      </c>
      <c r="H1349" s="1">
        <v>45376.029166666667</v>
      </c>
      <c r="I1349" s="1">
        <v>45376.197916666664</v>
      </c>
      <c r="J1349">
        <v>227</v>
      </c>
      <c r="K1349">
        <v>243</v>
      </c>
      <c r="L1349">
        <v>1</v>
      </c>
      <c r="M1349" t="s">
        <v>41</v>
      </c>
      <c r="N1349">
        <v>2</v>
      </c>
      <c r="O1349">
        <v>137.83000000000001</v>
      </c>
    </row>
    <row r="1350" spans="1:15" x14ac:dyDescent="0.35">
      <c r="A1350" t="s">
        <v>2883</v>
      </c>
      <c r="B1350" t="s">
        <v>24</v>
      </c>
      <c r="C1350" t="s">
        <v>2884</v>
      </c>
      <c r="D1350" t="s">
        <v>18</v>
      </c>
      <c r="E1350" t="s">
        <v>19</v>
      </c>
      <c r="F1350" t="s">
        <v>34</v>
      </c>
      <c r="G1350" t="s">
        <v>599</v>
      </c>
      <c r="H1350" s="1">
        <v>45523.544444444444</v>
      </c>
      <c r="I1350" s="1">
        <v>45523.589583333334</v>
      </c>
      <c r="J1350">
        <v>70</v>
      </c>
      <c r="K1350">
        <v>65</v>
      </c>
      <c r="L1350">
        <v>0</v>
      </c>
      <c r="M1350" t="s">
        <v>29</v>
      </c>
      <c r="N1350">
        <v>7</v>
      </c>
      <c r="O1350">
        <v>133.03</v>
      </c>
    </row>
    <row r="1351" spans="1:15" x14ac:dyDescent="0.35">
      <c r="A1351" t="s">
        <v>2885</v>
      </c>
      <c r="B1351" t="s">
        <v>24</v>
      </c>
      <c r="C1351" t="s">
        <v>2886</v>
      </c>
      <c r="D1351" t="s">
        <v>44</v>
      </c>
      <c r="E1351" t="s">
        <v>38</v>
      </c>
      <c r="F1351" t="s">
        <v>34</v>
      </c>
      <c r="G1351" t="s">
        <v>415</v>
      </c>
      <c r="H1351" s="1">
        <v>45435.081944444442</v>
      </c>
      <c r="I1351" s="1">
        <v>45435.163194444445</v>
      </c>
      <c r="J1351">
        <v>80</v>
      </c>
      <c r="K1351">
        <v>117</v>
      </c>
      <c r="L1351">
        <v>1</v>
      </c>
      <c r="M1351" t="s">
        <v>41</v>
      </c>
      <c r="N1351">
        <v>3</v>
      </c>
      <c r="O1351">
        <v>160.61000000000001</v>
      </c>
    </row>
    <row r="1352" spans="1:15" x14ac:dyDescent="0.35">
      <c r="A1352" t="s">
        <v>2887</v>
      </c>
      <c r="B1352" t="s">
        <v>16</v>
      </c>
      <c r="C1352" t="s">
        <v>2888</v>
      </c>
      <c r="D1352" t="s">
        <v>18</v>
      </c>
      <c r="E1352" t="s">
        <v>33</v>
      </c>
      <c r="F1352" t="s">
        <v>39</v>
      </c>
      <c r="G1352" t="s">
        <v>299</v>
      </c>
      <c r="H1352" s="1">
        <v>45599.361111111109</v>
      </c>
      <c r="I1352" s="1">
        <v>45599.388888888891</v>
      </c>
      <c r="J1352">
        <v>14</v>
      </c>
      <c r="K1352">
        <v>40</v>
      </c>
      <c r="L1352">
        <v>1</v>
      </c>
      <c r="M1352" t="s">
        <v>29</v>
      </c>
      <c r="N1352">
        <v>2</v>
      </c>
      <c r="O1352">
        <v>437.96</v>
      </c>
    </row>
    <row r="1353" spans="1:15" x14ac:dyDescent="0.35">
      <c r="A1353" t="s">
        <v>2889</v>
      </c>
      <c r="B1353" t="s">
        <v>31</v>
      </c>
      <c r="C1353" t="s">
        <v>2890</v>
      </c>
      <c r="D1353" t="s">
        <v>44</v>
      </c>
      <c r="E1353" t="s">
        <v>33</v>
      </c>
      <c r="F1353" t="s">
        <v>34</v>
      </c>
      <c r="G1353" t="s">
        <v>388</v>
      </c>
      <c r="H1353" s="1">
        <v>45441.97152777778</v>
      </c>
      <c r="I1353" s="1">
        <v>45442.05972222222</v>
      </c>
      <c r="J1353">
        <v>73</v>
      </c>
      <c r="K1353">
        <v>127</v>
      </c>
      <c r="L1353">
        <v>1</v>
      </c>
      <c r="M1353" t="s">
        <v>22</v>
      </c>
      <c r="N1353">
        <v>7</v>
      </c>
      <c r="O1353">
        <v>446.35</v>
      </c>
    </row>
    <row r="1354" spans="1:15" x14ac:dyDescent="0.35">
      <c r="A1354" t="s">
        <v>2891</v>
      </c>
      <c r="B1354" t="s">
        <v>51</v>
      </c>
      <c r="C1354" t="s">
        <v>2892</v>
      </c>
      <c r="D1354" t="s">
        <v>56</v>
      </c>
      <c r="E1354" t="s">
        <v>33</v>
      </c>
      <c r="F1354" t="s">
        <v>57</v>
      </c>
      <c r="G1354" t="s">
        <v>684</v>
      </c>
      <c r="H1354" s="1">
        <v>45387.669444444444</v>
      </c>
      <c r="I1354" s="1">
        <v>45387.759722222225</v>
      </c>
      <c r="J1354">
        <v>85</v>
      </c>
      <c r="K1354">
        <v>130</v>
      </c>
      <c r="L1354">
        <v>1</v>
      </c>
      <c r="M1354" t="s">
        <v>29</v>
      </c>
      <c r="N1354">
        <v>2</v>
      </c>
      <c r="O1354">
        <v>293.08999999999997</v>
      </c>
    </row>
    <row r="1355" spans="1:15" x14ac:dyDescent="0.35">
      <c r="A1355" t="s">
        <v>2893</v>
      </c>
      <c r="B1355" t="s">
        <v>16</v>
      </c>
      <c r="C1355" t="s">
        <v>2894</v>
      </c>
      <c r="D1355" t="s">
        <v>56</v>
      </c>
      <c r="E1355" t="s">
        <v>85</v>
      </c>
      <c r="F1355" t="s">
        <v>57</v>
      </c>
      <c r="G1355" t="s">
        <v>853</v>
      </c>
      <c r="H1355" s="1">
        <v>45325.568055555559</v>
      </c>
      <c r="I1355" s="1">
        <v>45325.706944444442</v>
      </c>
      <c r="J1355">
        <v>156</v>
      </c>
      <c r="K1355">
        <v>200</v>
      </c>
      <c r="L1355">
        <v>1</v>
      </c>
      <c r="M1355" t="s">
        <v>41</v>
      </c>
      <c r="N1355">
        <v>1</v>
      </c>
      <c r="O1355">
        <v>298.99</v>
      </c>
    </row>
    <row r="1356" spans="1:15" x14ac:dyDescent="0.35">
      <c r="A1356" t="s">
        <v>2895</v>
      </c>
      <c r="B1356" t="s">
        <v>31</v>
      </c>
      <c r="C1356" t="s">
        <v>2896</v>
      </c>
      <c r="D1356" t="s">
        <v>26</v>
      </c>
      <c r="E1356" t="s">
        <v>85</v>
      </c>
      <c r="F1356" t="s">
        <v>57</v>
      </c>
      <c r="G1356" t="s">
        <v>473</v>
      </c>
      <c r="H1356" s="1">
        <v>45298.230555555558</v>
      </c>
      <c r="I1356" s="1">
        <v>45298.273611111108</v>
      </c>
      <c r="J1356">
        <v>13</v>
      </c>
      <c r="K1356">
        <v>62</v>
      </c>
      <c r="L1356">
        <v>1</v>
      </c>
      <c r="M1356" t="s">
        <v>41</v>
      </c>
      <c r="N1356">
        <v>5</v>
      </c>
      <c r="O1356">
        <v>234.16</v>
      </c>
    </row>
    <row r="1357" spans="1:15" x14ac:dyDescent="0.35">
      <c r="A1357" t="s">
        <v>2897</v>
      </c>
      <c r="B1357" t="s">
        <v>31</v>
      </c>
      <c r="C1357" t="s">
        <v>2898</v>
      </c>
      <c r="D1357" t="s">
        <v>18</v>
      </c>
      <c r="E1357" t="s">
        <v>19</v>
      </c>
      <c r="F1357" t="s">
        <v>39</v>
      </c>
      <c r="G1357" t="s">
        <v>185</v>
      </c>
      <c r="H1357" s="1">
        <v>45297.465277777781</v>
      </c>
      <c r="I1357" s="1">
        <v>45297.561805555553</v>
      </c>
      <c r="J1357">
        <v>111</v>
      </c>
      <c r="K1357">
        <v>139</v>
      </c>
      <c r="L1357">
        <v>1</v>
      </c>
      <c r="M1357" t="s">
        <v>22</v>
      </c>
      <c r="N1357">
        <v>2</v>
      </c>
      <c r="O1357">
        <v>420.12</v>
      </c>
    </row>
    <row r="1358" spans="1:15" x14ac:dyDescent="0.35">
      <c r="A1358" t="s">
        <v>2899</v>
      </c>
      <c r="B1358" t="s">
        <v>16</v>
      </c>
      <c r="C1358" t="s">
        <v>2900</v>
      </c>
      <c r="D1358" t="s">
        <v>56</v>
      </c>
      <c r="E1358" t="s">
        <v>33</v>
      </c>
      <c r="F1358" t="s">
        <v>20</v>
      </c>
      <c r="G1358" t="s">
        <v>262</v>
      </c>
      <c r="H1358" s="1">
        <v>45472.180555555555</v>
      </c>
      <c r="I1358" s="1">
        <v>45472.226388888892</v>
      </c>
      <c r="J1358">
        <v>10</v>
      </c>
      <c r="K1358">
        <v>66</v>
      </c>
      <c r="L1358">
        <v>1</v>
      </c>
      <c r="M1358" t="s">
        <v>41</v>
      </c>
      <c r="N1358">
        <v>10</v>
      </c>
      <c r="O1358">
        <v>350.09</v>
      </c>
    </row>
    <row r="1359" spans="1:15" x14ac:dyDescent="0.35">
      <c r="A1359" t="s">
        <v>2901</v>
      </c>
      <c r="B1359" t="s">
        <v>63</v>
      </c>
      <c r="C1359" t="s">
        <v>2902</v>
      </c>
      <c r="D1359" t="s">
        <v>44</v>
      </c>
      <c r="E1359" t="s">
        <v>85</v>
      </c>
      <c r="F1359" t="s">
        <v>39</v>
      </c>
      <c r="G1359" t="s">
        <v>430</v>
      </c>
      <c r="H1359" s="1">
        <v>45559.672222222223</v>
      </c>
      <c r="I1359" s="1">
        <v>45559.832638888889</v>
      </c>
      <c r="J1359">
        <v>232</v>
      </c>
      <c r="K1359">
        <v>231</v>
      </c>
      <c r="L1359">
        <v>0</v>
      </c>
      <c r="M1359" t="s">
        <v>41</v>
      </c>
      <c r="N1359">
        <v>6</v>
      </c>
      <c r="O1359">
        <v>210.46</v>
      </c>
    </row>
    <row r="1360" spans="1:15" x14ac:dyDescent="0.35">
      <c r="A1360" t="s">
        <v>2903</v>
      </c>
      <c r="B1360" t="s">
        <v>63</v>
      </c>
      <c r="C1360" t="s">
        <v>2904</v>
      </c>
      <c r="D1360" t="s">
        <v>44</v>
      </c>
      <c r="E1360" t="s">
        <v>85</v>
      </c>
      <c r="F1360" t="s">
        <v>34</v>
      </c>
      <c r="G1360" t="s">
        <v>427</v>
      </c>
      <c r="H1360" s="1">
        <v>45509.364583333336</v>
      </c>
      <c r="I1360" s="1">
        <v>45509.484722222223</v>
      </c>
      <c r="J1360">
        <v>122</v>
      </c>
      <c r="K1360">
        <v>173</v>
      </c>
      <c r="L1360">
        <v>1</v>
      </c>
      <c r="M1360" t="s">
        <v>41</v>
      </c>
      <c r="N1360">
        <v>6</v>
      </c>
      <c r="O1360">
        <v>345.16</v>
      </c>
    </row>
    <row r="1361" spans="1:15" x14ac:dyDescent="0.35">
      <c r="A1361" t="s">
        <v>2905</v>
      </c>
      <c r="B1361" t="s">
        <v>16</v>
      </c>
      <c r="C1361" t="s">
        <v>2906</v>
      </c>
      <c r="D1361" t="s">
        <v>18</v>
      </c>
      <c r="E1361" t="s">
        <v>19</v>
      </c>
      <c r="F1361" t="s">
        <v>20</v>
      </c>
      <c r="G1361" t="s">
        <v>201</v>
      </c>
      <c r="H1361" s="1">
        <v>45491.943055555559</v>
      </c>
      <c r="I1361" s="1">
        <v>45492.04583333333</v>
      </c>
      <c r="J1361">
        <v>60</v>
      </c>
      <c r="K1361">
        <v>148</v>
      </c>
      <c r="L1361">
        <v>1</v>
      </c>
      <c r="M1361" t="s">
        <v>22</v>
      </c>
      <c r="N1361">
        <v>9</v>
      </c>
      <c r="O1361">
        <v>170.98</v>
      </c>
    </row>
    <row r="1362" spans="1:15" x14ac:dyDescent="0.35">
      <c r="A1362" t="s">
        <v>2907</v>
      </c>
      <c r="B1362" t="s">
        <v>24</v>
      </c>
      <c r="C1362" t="s">
        <v>2908</v>
      </c>
      <c r="D1362" t="s">
        <v>56</v>
      </c>
      <c r="E1362" t="s">
        <v>38</v>
      </c>
      <c r="F1362" t="s">
        <v>27</v>
      </c>
      <c r="G1362" t="s">
        <v>505</v>
      </c>
      <c r="H1362" s="1">
        <v>45391.606249999997</v>
      </c>
      <c r="I1362" s="1">
        <v>45391.82916666667</v>
      </c>
      <c r="J1362">
        <v>226</v>
      </c>
      <c r="K1362">
        <v>321</v>
      </c>
      <c r="L1362">
        <v>1</v>
      </c>
      <c r="M1362" t="s">
        <v>29</v>
      </c>
      <c r="N1362">
        <v>5</v>
      </c>
      <c r="O1362">
        <v>490.37</v>
      </c>
    </row>
    <row r="1363" spans="1:15" x14ac:dyDescent="0.35">
      <c r="A1363" t="s">
        <v>2909</v>
      </c>
      <c r="B1363" t="s">
        <v>24</v>
      </c>
      <c r="C1363" t="s">
        <v>2910</v>
      </c>
      <c r="D1363" t="s">
        <v>48</v>
      </c>
      <c r="E1363" t="s">
        <v>85</v>
      </c>
      <c r="F1363" t="s">
        <v>20</v>
      </c>
      <c r="G1363" t="s">
        <v>97</v>
      </c>
      <c r="H1363" s="1">
        <v>45619.206944444442</v>
      </c>
      <c r="I1363" s="1">
        <v>45619.260416666664</v>
      </c>
      <c r="J1363">
        <v>31</v>
      </c>
      <c r="K1363">
        <v>77</v>
      </c>
      <c r="L1363">
        <v>1</v>
      </c>
      <c r="M1363" t="s">
        <v>29</v>
      </c>
      <c r="N1363">
        <v>9</v>
      </c>
      <c r="O1363">
        <v>220.71</v>
      </c>
    </row>
    <row r="1364" spans="1:15" x14ac:dyDescent="0.35">
      <c r="A1364" t="s">
        <v>2911</v>
      </c>
      <c r="B1364" t="s">
        <v>24</v>
      </c>
      <c r="C1364" t="s">
        <v>2912</v>
      </c>
      <c r="D1364" t="s">
        <v>48</v>
      </c>
      <c r="E1364" t="s">
        <v>85</v>
      </c>
      <c r="F1364" t="s">
        <v>39</v>
      </c>
      <c r="G1364" t="s">
        <v>308</v>
      </c>
      <c r="H1364" s="1">
        <v>45299.074305555558</v>
      </c>
      <c r="I1364" s="1">
        <v>45299.271527777775</v>
      </c>
      <c r="J1364">
        <v>192</v>
      </c>
      <c r="K1364">
        <v>284</v>
      </c>
      <c r="L1364">
        <v>1</v>
      </c>
      <c r="M1364" t="s">
        <v>41</v>
      </c>
      <c r="N1364">
        <v>2</v>
      </c>
      <c r="O1364">
        <v>399.7</v>
      </c>
    </row>
    <row r="1365" spans="1:15" x14ac:dyDescent="0.35">
      <c r="A1365" t="s">
        <v>2913</v>
      </c>
      <c r="B1365" t="s">
        <v>24</v>
      </c>
      <c r="C1365" t="s">
        <v>2914</v>
      </c>
      <c r="D1365" t="s">
        <v>26</v>
      </c>
      <c r="E1365" t="s">
        <v>85</v>
      </c>
      <c r="F1365" t="s">
        <v>27</v>
      </c>
      <c r="G1365" t="s">
        <v>53</v>
      </c>
      <c r="H1365" s="1">
        <v>45553.531944444447</v>
      </c>
      <c r="I1365" s="1">
        <v>45553.669444444444</v>
      </c>
      <c r="J1365">
        <v>165</v>
      </c>
      <c r="K1365">
        <v>198</v>
      </c>
      <c r="L1365">
        <v>1</v>
      </c>
      <c r="M1365" t="s">
        <v>22</v>
      </c>
      <c r="N1365">
        <v>7</v>
      </c>
      <c r="O1365">
        <v>438.72</v>
      </c>
    </row>
    <row r="1366" spans="1:15" x14ac:dyDescent="0.35">
      <c r="A1366" t="s">
        <v>2915</v>
      </c>
      <c r="B1366" t="s">
        <v>31</v>
      </c>
      <c r="C1366" t="s">
        <v>2916</v>
      </c>
      <c r="D1366" t="s">
        <v>44</v>
      </c>
      <c r="E1366" t="s">
        <v>33</v>
      </c>
      <c r="F1366" t="s">
        <v>39</v>
      </c>
      <c r="G1366" t="s">
        <v>185</v>
      </c>
      <c r="H1366" s="1">
        <v>45415.296527777777</v>
      </c>
      <c r="I1366" s="1">
        <v>45415.387499999997</v>
      </c>
      <c r="J1366">
        <v>121</v>
      </c>
      <c r="K1366">
        <v>131</v>
      </c>
      <c r="L1366">
        <v>1</v>
      </c>
      <c r="M1366" t="s">
        <v>29</v>
      </c>
      <c r="N1366">
        <v>6</v>
      </c>
      <c r="O1366">
        <v>207.73</v>
      </c>
    </row>
    <row r="1367" spans="1:15" x14ac:dyDescent="0.35">
      <c r="A1367" t="s">
        <v>2917</v>
      </c>
      <c r="B1367" t="s">
        <v>63</v>
      </c>
      <c r="C1367" t="s">
        <v>2918</v>
      </c>
      <c r="D1367" t="s">
        <v>44</v>
      </c>
      <c r="E1367" t="s">
        <v>33</v>
      </c>
      <c r="F1367" t="s">
        <v>27</v>
      </c>
      <c r="G1367" t="s">
        <v>459</v>
      </c>
      <c r="H1367" s="1">
        <v>45302.61041666667</v>
      </c>
      <c r="I1367" s="1">
        <v>45302.844444444447</v>
      </c>
      <c r="J1367">
        <v>237</v>
      </c>
      <c r="K1367">
        <v>337</v>
      </c>
      <c r="L1367">
        <v>1</v>
      </c>
      <c r="M1367" t="s">
        <v>22</v>
      </c>
      <c r="N1367">
        <v>5</v>
      </c>
      <c r="O1367">
        <v>428.41</v>
      </c>
    </row>
    <row r="1368" spans="1:15" x14ac:dyDescent="0.35">
      <c r="A1368" t="s">
        <v>2919</v>
      </c>
      <c r="B1368" t="s">
        <v>51</v>
      </c>
      <c r="C1368" t="s">
        <v>2920</v>
      </c>
      <c r="D1368" t="s">
        <v>48</v>
      </c>
      <c r="E1368" t="s">
        <v>38</v>
      </c>
      <c r="F1368" t="s">
        <v>20</v>
      </c>
      <c r="G1368" t="s">
        <v>546</v>
      </c>
      <c r="H1368" s="1">
        <v>45414.475694444445</v>
      </c>
      <c r="I1368" s="1">
        <v>45414.611111111109</v>
      </c>
      <c r="J1368">
        <v>196</v>
      </c>
      <c r="K1368">
        <v>195</v>
      </c>
      <c r="L1368">
        <v>0</v>
      </c>
      <c r="M1368" t="s">
        <v>41</v>
      </c>
      <c r="N1368">
        <v>5</v>
      </c>
      <c r="O1368">
        <v>422.69</v>
      </c>
    </row>
    <row r="1369" spans="1:15" x14ac:dyDescent="0.35">
      <c r="A1369" t="s">
        <v>2921</v>
      </c>
      <c r="B1369" t="s">
        <v>51</v>
      </c>
      <c r="C1369" t="s">
        <v>2922</v>
      </c>
      <c r="D1369" t="s">
        <v>18</v>
      </c>
      <c r="E1369" t="s">
        <v>19</v>
      </c>
      <c r="F1369" t="s">
        <v>39</v>
      </c>
      <c r="G1369" t="s">
        <v>785</v>
      </c>
      <c r="H1369" s="1">
        <v>45527.14166666667</v>
      </c>
      <c r="I1369" s="1">
        <v>45527.311805555553</v>
      </c>
      <c r="J1369">
        <v>142</v>
      </c>
      <c r="K1369">
        <v>245</v>
      </c>
      <c r="L1369">
        <v>1</v>
      </c>
      <c r="M1369" t="s">
        <v>22</v>
      </c>
      <c r="N1369">
        <v>8</v>
      </c>
      <c r="O1369">
        <v>112.99</v>
      </c>
    </row>
    <row r="1370" spans="1:15" x14ac:dyDescent="0.35">
      <c r="A1370" t="s">
        <v>2923</v>
      </c>
      <c r="B1370" t="s">
        <v>24</v>
      </c>
      <c r="C1370" t="s">
        <v>2924</v>
      </c>
      <c r="D1370" t="s">
        <v>26</v>
      </c>
      <c r="E1370" t="s">
        <v>38</v>
      </c>
      <c r="F1370" t="s">
        <v>20</v>
      </c>
      <c r="G1370" t="s">
        <v>140</v>
      </c>
      <c r="H1370" s="1">
        <v>45395.418749999997</v>
      </c>
      <c r="I1370" s="1">
        <v>45395.631249999999</v>
      </c>
      <c r="J1370">
        <v>214</v>
      </c>
      <c r="K1370">
        <v>306</v>
      </c>
      <c r="L1370">
        <v>1</v>
      </c>
      <c r="M1370" t="s">
        <v>22</v>
      </c>
      <c r="N1370">
        <v>9</v>
      </c>
      <c r="O1370">
        <v>261.87</v>
      </c>
    </row>
    <row r="1371" spans="1:15" x14ac:dyDescent="0.35">
      <c r="A1371" t="s">
        <v>2925</v>
      </c>
      <c r="B1371" t="s">
        <v>16</v>
      </c>
      <c r="C1371" t="s">
        <v>2926</v>
      </c>
      <c r="D1371" t="s">
        <v>48</v>
      </c>
      <c r="E1371" t="s">
        <v>19</v>
      </c>
      <c r="F1371" t="s">
        <v>27</v>
      </c>
      <c r="G1371" t="s">
        <v>88</v>
      </c>
      <c r="H1371" s="1">
        <v>45477.455555555556</v>
      </c>
      <c r="I1371" s="1">
        <v>45477.630555555559</v>
      </c>
      <c r="J1371">
        <v>240</v>
      </c>
      <c r="K1371">
        <v>252</v>
      </c>
      <c r="L1371">
        <v>1</v>
      </c>
      <c r="M1371" t="s">
        <v>41</v>
      </c>
      <c r="N1371">
        <v>8</v>
      </c>
      <c r="O1371">
        <v>224.94</v>
      </c>
    </row>
    <row r="1372" spans="1:15" x14ac:dyDescent="0.35">
      <c r="A1372" t="s">
        <v>2927</v>
      </c>
      <c r="B1372" t="s">
        <v>24</v>
      </c>
      <c r="C1372" t="s">
        <v>2928</v>
      </c>
      <c r="D1372" t="s">
        <v>48</v>
      </c>
      <c r="E1372" t="s">
        <v>38</v>
      </c>
      <c r="F1372" t="s">
        <v>20</v>
      </c>
      <c r="G1372" t="s">
        <v>459</v>
      </c>
      <c r="H1372" s="1">
        <v>45344.724999999999</v>
      </c>
      <c r="I1372" s="1">
        <v>45344.811805555553</v>
      </c>
      <c r="J1372">
        <v>121</v>
      </c>
      <c r="K1372">
        <v>125</v>
      </c>
      <c r="L1372">
        <v>1</v>
      </c>
      <c r="M1372" t="s">
        <v>29</v>
      </c>
      <c r="N1372">
        <v>7</v>
      </c>
      <c r="O1372">
        <v>362.67</v>
      </c>
    </row>
    <row r="1373" spans="1:15" x14ac:dyDescent="0.35">
      <c r="A1373" t="s">
        <v>2929</v>
      </c>
      <c r="B1373" t="s">
        <v>51</v>
      </c>
      <c r="C1373" t="s">
        <v>2930</v>
      </c>
      <c r="D1373" t="s">
        <v>26</v>
      </c>
      <c r="E1373" t="s">
        <v>85</v>
      </c>
      <c r="F1373" t="s">
        <v>34</v>
      </c>
      <c r="G1373" t="s">
        <v>194</v>
      </c>
      <c r="H1373" s="1">
        <v>45516.819444444445</v>
      </c>
      <c r="I1373" s="1">
        <v>45516.981944444444</v>
      </c>
      <c r="J1373">
        <v>174</v>
      </c>
      <c r="K1373">
        <v>234</v>
      </c>
      <c r="L1373">
        <v>1</v>
      </c>
      <c r="M1373" t="s">
        <v>41</v>
      </c>
      <c r="N1373">
        <v>3</v>
      </c>
      <c r="O1373">
        <v>450.54</v>
      </c>
    </row>
    <row r="1374" spans="1:15" x14ac:dyDescent="0.35">
      <c r="A1374" t="s">
        <v>2931</v>
      </c>
      <c r="B1374" t="s">
        <v>51</v>
      </c>
      <c r="C1374" t="s">
        <v>2932</v>
      </c>
      <c r="D1374" t="s">
        <v>18</v>
      </c>
      <c r="E1374" t="s">
        <v>38</v>
      </c>
      <c r="F1374" t="s">
        <v>39</v>
      </c>
      <c r="G1374" t="s">
        <v>1125</v>
      </c>
      <c r="H1374" s="1">
        <v>45555.361111111109</v>
      </c>
      <c r="I1374" s="1">
        <v>45555.472222222219</v>
      </c>
      <c r="J1374">
        <v>139</v>
      </c>
      <c r="K1374">
        <v>160</v>
      </c>
      <c r="L1374">
        <v>1</v>
      </c>
      <c r="M1374" t="s">
        <v>41</v>
      </c>
      <c r="N1374">
        <v>2</v>
      </c>
      <c r="O1374">
        <v>166.47</v>
      </c>
    </row>
    <row r="1375" spans="1:15" x14ac:dyDescent="0.35">
      <c r="A1375" t="s">
        <v>2933</v>
      </c>
      <c r="B1375" t="s">
        <v>31</v>
      </c>
      <c r="C1375" t="s">
        <v>2934</v>
      </c>
      <c r="D1375" t="s">
        <v>26</v>
      </c>
      <c r="E1375" t="s">
        <v>33</v>
      </c>
      <c r="F1375" t="s">
        <v>20</v>
      </c>
      <c r="G1375" t="s">
        <v>473</v>
      </c>
      <c r="H1375" s="1">
        <v>45452.633333333331</v>
      </c>
      <c r="I1375" s="1">
        <v>45452.699305555558</v>
      </c>
      <c r="J1375">
        <v>92</v>
      </c>
      <c r="K1375">
        <v>95</v>
      </c>
      <c r="L1375">
        <v>1</v>
      </c>
      <c r="M1375" t="s">
        <v>22</v>
      </c>
      <c r="N1375">
        <v>9</v>
      </c>
      <c r="O1375">
        <v>497.09</v>
      </c>
    </row>
    <row r="1376" spans="1:15" x14ac:dyDescent="0.35">
      <c r="A1376" t="s">
        <v>2935</v>
      </c>
      <c r="B1376" t="s">
        <v>16</v>
      </c>
      <c r="C1376" t="s">
        <v>2936</v>
      </c>
      <c r="D1376" t="s">
        <v>44</v>
      </c>
      <c r="E1376" t="s">
        <v>19</v>
      </c>
      <c r="F1376" t="s">
        <v>34</v>
      </c>
      <c r="G1376" t="s">
        <v>100</v>
      </c>
      <c r="H1376" s="1">
        <v>45503.546527777777</v>
      </c>
      <c r="I1376" s="1">
        <v>45503.635416666664</v>
      </c>
      <c r="J1376">
        <v>10</v>
      </c>
      <c r="K1376">
        <v>128</v>
      </c>
      <c r="L1376">
        <v>1</v>
      </c>
      <c r="M1376" t="s">
        <v>22</v>
      </c>
      <c r="N1376">
        <v>10</v>
      </c>
      <c r="O1376">
        <v>149.16</v>
      </c>
    </row>
    <row r="1377" spans="1:15" x14ac:dyDescent="0.35">
      <c r="A1377" t="s">
        <v>2937</v>
      </c>
      <c r="B1377" t="s">
        <v>31</v>
      </c>
      <c r="C1377" t="s">
        <v>2938</v>
      </c>
      <c r="D1377" t="s">
        <v>44</v>
      </c>
      <c r="E1377" t="s">
        <v>85</v>
      </c>
      <c r="F1377" t="s">
        <v>20</v>
      </c>
      <c r="G1377" t="s">
        <v>204</v>
      </c>
      <c r="H1377" s="1">
        <v>45568.255555555559</v>
      </c>
      <c r="I1377" s="1">
        <v>45568.35</v>
      </c>
      <c r="J1377">
        <v>36</v>
      </c>
      <c r="K1377">
        <v>136</v>
      </c>
      <c r="L1377">
        <v>1</v>
      </c>
      <c r="M1377" t="s">
        <v>22</v>
      </c>
      <c r="N1377">
        <v>9</v>
      </c>
      <c r="O1377">
        <v>308.7</v>
      </c>
    </row>
    <row r="1378" spans="1:15" x14ac:dyDescent="0.35">
      <c r="A1378" t="s">
        <v>2939</v>
      </c>
      <c r="B1378" t="s">
        <v>51</v>
      </c>
      <c r="C1378" t="s">
        <v>2940</v>
      </c>
      <c r="D1378" t="s">
        <v>48</v>
      </c>
      <c r="E1378" t="s">
        <v>38</v>
      </c>
      <c r="F1378" t="s">
        <v>34</v>
      </c>
      <c r="G1378" t="s">
        <v>681</v>
      </c>
      <c r="H1378" s="1">
        <v>45630.973611111112</v>
      </c>
      <c r="I1378" s="1">
        <v>45631.1</v>
      </c>
      <c r="J1378">
        <v>107</v>
      </c>
      <c r="K1378">
        <v>182</v>
      </c>
      <c r="L1378">
        <v>1</v>
      </c>
      <c r="M1378" t="s">
        <v>29</v>
      </c>
      <c r="N1378">
        <v>5</v>
      </c>
      <c r="O1378">
        <v>138.44999999999999</v>
      </c>
    </row>
    <row r="1379" spans="1:15" x14ac:dyDescent="0.35">
      <c r="A1379" t="s">
        <v>2941</v>
      </c>
      <c r="B1379" t="s">
        <v>51</v>
      </c>
      <c r="C1379" t="s">
        <v>2942</v>
      </c>
      <c r="D1379" t="s">
        <v>26</v>
      </c>
      <c r="E1379" t="s">
        <v>33</v>
      </c>
      <c r="F1379" t="s">
        <v>20</v>
      </c>
      <c r="G1379" t="s">
        <v>473</v>
      </c>
      <c r="H1379" s="1">
        <v>45376.129166666666</v>
      </c>
      <c r="I1379" s="1">
        <v>45376.316666666666</v>
      </c>
      <c r="J1379">
        <v>216</v>
      </c>
      <c r="K1379">
        <v>270</v>
      </c>
      <c r="L1379">
        <v>1</v>
      </c>
      <c r="M1379" t="s">
        <v>41</v>
      </c>
      <c r="N1379">
        <v>4</v>
      </c>
      <c r="O1379">
        <v>384.88</v>
      </c>
    </row>
    <row r="1380" spans="1:15" x14ac:dyDescent="0.35">
      <c r="A1380" t="s">
        <v>2943</v>
      </c>
      <c r="B1380" t="s">
        <v>51</v>
      </c>
      <c r="C1380" t="s">
        <v>2944</v>
      </c>
      <c r="D1380" t="s">
        <v>18</v>
      </c>
      <c r="E1380" t="s">
        <v>85</v>
      </c>
      <c r="F1380" t="s">
        <v>39</v>
      </c>
      <c r="G1380" t="s">
        <v>459</v>
      </c>
      <c r="H1380" s="1">
        <v>45596.409722222219</v>
      </c>
      <c r="I1380" s="1">
        <v>45596.558333333334</v>
      </c>
      <c r="J1380">
        <v>114</v>
      </c>
      <c r="K1380">
        <v>214</v>
      </c>
      <c r="L1380">
        <v>1</v>
      </c>
      <c r="M1380" t="s">
        <v>22</v>
      </c>
      <c r="N1380">
        <v>7</v>
      </c>
      <c r="O1380">
        <v>436.38</v>
      </c>
    </row>
    <row r="1381" spans="1:15" x14ac:dyDescent="0.35">
      <c r="A1381" t="s">
        <v>2945</v>
      </c>
      <c r="B1381" t="s">
        <v>51</v>
      </c>
      <c r="C1381" t="s">
        <v>2946</v>
      </c>
      <c r="D1381" t="s">
        <v>56</v>
      </c>
      <c r="E1381" t="s">
        <v>19</v>
      </c>
      <c r="F1381" t="s">
        <v>57</v>
      </c>
      <c r="G1381" t="s">
        <v>240</v>
      </c>
      <c r="H1381" s="1">
        <v>45608.7</v>
      </c>
      <c r="I1381" s="1">
        <v>45608.770138888889</v>
      </c>
      <c r="J1381">
        <v>78</v>
      </c>
      <c r="K1381">
        <v>101</v>
      </c>
      <c r="L1381">
        <v>1</v>
      </c>
      <c r="M1381" t="s">
        <v>22</v>
      </c>
      <c r="N1381">
        <v>8</v>
      </c>
      <c r="O1381">
        <v>283.37</v>
      </c>
    </row>
    <row r="1382" spans="1:15" x14ac:dyDescent="0.35">
      <c r="A1382" t="s">
        <v>2947</v>
      </c>
      <c r="B1382" t="s">
        <v>16</v>
      </c>
      <c r="C1382" t="s">
        <v>2948</v>
      </c>
      <c r="D1382" t="s">
        <v>48</v>
      </c>
      <c r="E1382" t="s">
        <v>38</v>
      </c>
      <c r="F1382" t="s">
        <v>57</v>
      </c>
      <c r="G1382" t="s">
        <v>254</v>
      </c>
      <c r="H1382" s="1">
        <v>45331.321527777778</v>
      </c>
      <c r="I1382" s="1">
        <v>45331.49722222222</v>
      </c>
      <c r="J1382">
        <v>221</v>
      </c>
      <c r="K1382">
        <v>253</v>
      </c>
      <c r="L1382">
        <v>1</v>
      </c>
      <c r="M1382" t="s">
        <v>29</v>
      </c>
      <c r="N1382">
        <v>6</v>
      </c>
      <c r="O1382">
        <v>482.73</v>
      </c>
    </row>
    <row r="1383" spans="1:15" x14ac:dyDescent="0.35">
      <c r="A1383" t="s">
        <v>2949</v>
      </c>
      <c r="B1383" t="s">
        <v>51</v>
      </c>
      <c r="C1383" t="s">
        <v>2950</v>
      </c>
      <c r="D1383" t="s">
        <v>44</v>
      </c>
      <c r="E1383" t="s">
        <v>19</v>
      </c>
      <c r="F1383" t="s">
        <v>34</v>
      </c>
      <c r="G1383" t="s">
        <v>225</v>
      </c>
      <c r="H1383" s="1">
        <v>45544.198611111111</v>
      </c>
      <c r="I1383" s="1">
        <v>45544.365972222222</v>
      </c>
      <c r="J1383">
        <v>232</v>
      </c>
      <c r="K1383">
        <v>241</v>
      </c>
      <c r="L1383">
        <v>1</v>
      </c>
      <c r="M1383" t="s">
        <v>41</v>
      </c>
      <c r="N1383">
        <v>1</v>
      </c>
      <c r="O1383">
        <v>144.69</v>
      </c>
    </row>
    <row r="1384" spans="1:15" x14ac:dyDescent="0.35">
      <c r="A1384" t="s">
        <v>2951</v>
      </c>
      <c r="B1384" t="s">
        <v>51</v>
      </c>
      <c r="C1384" t="s">
        <v>2952</v>
      </c>
      <c r="D1384" t="s">
        <v>18</v>
      </c>
      <c r="E1384" t="s">
        <v>33</v>
      </c>
      <c r="F1384" t="s">
        <v>57</v>
      </c>
      <c r="G1384" t="s">
        <v>505</v>
      </c>
      <c r="H1384" s="1">
        <v>45415.15</v>
      </c>
      <c r="I1384" s="1">
        <v>45415.247916666667</v>
      </c>
      <c r="J1384">
        <v>137</v>
      </c>
      <c r="K1384">
        <v>141</v>
      </c>
      <c r="L1384">
        <v>1</v>
      </c>
      <c r="M1384" t="s">
        <v>22</v>
      </c>
      <c r="N1384">
        <v>9</v>
      </c>
      <c r="O1384">
        <v>232.67</v>
      </c>
    </row>
    <row r="1385" spans="1:15" x14ac:dyDescent="0.35">
      <c r="A1385" t="s">
        <v>2953</v>
      </c>
      <c r="B1385" t="s">
        <v>31</v>
      </c>
      <c r="C1385" t="s">
        <v>2954</v>
      </c>
      <c r="D1385" t="s">
        <v>18</v>
      </c>
      <c r="E1385" t="s">
        <v>38</v>
      </c>
      <c r="F1385" t="s">
        <v>34</v>
      </c>
      <c r="G1385" t="s">
        <v>143</v>
      </c>
      <c r="H1385" s="1">
        <v>45364.738194444442</v>
      </c>
      <c r="I1385" s="1">
        <v>45364.911805555559</v>
      </c>
      <c r="J1385">
        <v>157</v>
      </c>
      <c r="K1385">
        <v>250</v>
      </c>
      <c r="L1385">
        <v>1</v>
      </c>
      <c r="M1385" t="s">
        <v>22</v>
      </c>
      <c r="N1385">
        <v>3</v>
      </c>
      <c r="O1385">
        <v>241.11</v>
      </c>
    </row>
    <row r="1386" spans="1:15" x14ac:dyDescent="0.35">
      <c r="A1386" t="s">
        <v>2955</v>
      </c>
      <c r="B1386" t="s">
        <v>16</v>
      </c>
      <c r="C1386" t="s">
        <v>2956</v>
      </c>
      <c r="D1386" t="s">
        <v>48</v>
      </c>
      <c r="E1386" t="s">
        <v>33</v>
      </c>
      <c r="F1386" t="s">
        <v>34</v>
      </c>
      <c r="G1386" t="s">
        <v>293</v>
      </c>
      <c r="H1386" s="1">
        <v>45342.568749999999</v>
      </c>
      <c r="I1386" s="1">
        <v>45342.763888888891</v>
      </c>
      <c r="J1386">
        <v>199</v>
      </c>
      <c r="K1386">
        <v>281</v>
      </c>
      <c r="L1386">
        <v>1</v>
      </c>
      <c r="M1386" t="s">
        <v>41</v>
      </c>
      <c r="N1386">
        <v>10</v>
      </c>
      <c r="O1386">
        <v>313.52999999999997</v>
      </c>
    </row>
    <row r="1387" spans="1:15" x14ac:dyDescent="0.35">
      <c r="A1387" t="s">
        <v>2957</v>
      </c>
      <c r="B1387" t="s">
        <v>16</v>
      </c>
      <c r="C1387" t="s">
        <v>2958</v>
      </c>
      <c r="D1387" t="s">
        <v>18</v>
      </c>
      <c r="E1387" t="s">
        <v>33</v>
      </c>
      <c r="F1387" t="s">
        <v>57</v>
      </c>
      <c r="G1387" t="s">
        <v>512</v>
      </c>
      <c r="H1387" s="1">
        <v>45293.361111111109</v>
      </c>
      <c r="I1387" s="1">
        <v>45293.547222222223</v>
      </c>
      <c r="J1387">
        <v>226</v>
      </c>
      <c r="K1387">
        <v>268</v>
      </c>
      <c r="L1387">
        <v>1</v>
      </c>
      <c r="M1387" t="s">
        <v>22</v>
      </c>
      <c r="N1387">
        <v>7</v>
      </c>
      <c r="O1387">
        <v>336.18</v>
      </c>
    </row>
    <row r="1388" spans="1:15" x14ac:dyDescent="0.35">
      <c r="A1388" t="s">
        <v>2959</v>
      </c>
      <c r="B1388" t="s">
        <v>63</v>
      </c>
      <c r="C1388" t="s">
        <v>2960</v>
      </c>
      <c r="D1388" t="s">
        <v>56</v>
      </c>
      <c r="E1388" t="s">
        <v>85</v>
      </c>
      <c r="F1388" t="s">
        <v>27</v>
      </c>
      <c r="G1388" t="s">
        <v>669</v>
      </c>
      <c r="H1388" s="1">
        <v>45555.897916666669</v>
      </c>
      <c r="I1388" s="1">
        <v>45556.00277777778</v>
      </c>
      <c r="J1388">
        <v>35</v>
      </c>
      <c r="K1388">
        <v>151</v>
      </c>
      <c r="L1388">
        <v>1</v>
      </c>
      <c r="M1388" t="s">
        <v>29</v>
      </c>
      <c r="N1388">
        <v>8</v>
      </c>
      <c r="O1388">
        <v>457.06</v>
      </c>
    </row>
    <row r="1389" spans="1:15" x14ac:dyDescent="0.35">
      <c r="A1389" t="s">
        <v>2961</v>
      </c>
      <c r="B1389" t="s">
        <v>63</v>
      </c>
      <c r="C1389" t="s">
        <v>2962</v>
      </c>
      <c r="D1389" t="s">
        <v>18</v>
      </c>
      <c r="E1389" t="s">
        <v>38</v>
      </c>
      <c r="F1389" t="s">
        <v>20</v>
      </c>
      <c r="G1389" t="s">
        <v>681</v>
      </c>
      <c r="H1389" s="1">
        <v>45510.011111111111</v>
      </c>
      <c r="I1389" s="1">
        <v>45510.107638888891</v>
      </c>
      <c r="J1389">
        <v>67</v>
      </c>
      <c r="K1389">
        <v>139</v>
      </c>
      <c r="L1389">
        <v>1</v>
      </c>
      <c r="M1389" t="s">
        <v>29</v>
      </c>
      <c r="N1389">
        <v>1</v>
      </c>
      <c r="O1389">
        <v>328.95</v>
      </c>
    </row>
    <row r="1390" spans="1:15" x14ac:dyDescent="0.35">
      <c r="A1390" t="s">
        <v>2963</v>
      </c>
      <c r="B1390" t="s">
        <v>63</v>
      </c>
      <c r="C1390" t="s">
        <v>2964</v>
      </c>
      <c r="D1390" t="s">
        <v>44</v>
      </c>
      <c r="E1390" t="s">
        <v>85</v>
      </c>
      <c r="F1390" t="s">
        <v>39</v>
      </c>
      <c r="G1390" t="s">
        <v>194</v>
      </c>
      <c r="H1390" s="1">
        <v>45424.815972222219</v>
      </c>
      <c r="I1390" s="1">
        <v>45425.03402777778</v>
      </c>
      <c r="J1390">
        <v>215</v>
      </c>
      <c r="K1390">
        <v>314</v>
      </c>
      <c r="L1390">
        <v>1</v>
      </c>
      <c r="M1390" t="s">
        <v>29</v>
      </c>
      <c r="N1390">
        <v>8</v>
      </c>
      <c r="O1390">
        <v>284.23</v>
      </c>
    </row>
    <row r="1391" spans="1:15" x14ac:dyDescent="0.35">
      <c r="A1391" t="s">
        <v>2965</v>
      </c>
      <c r="B1391" t="s">
        <v>31</v>
      </c>
      <c r="C1391" t="s">
        <v>2966</v>
      </c>
      <c r="D1391" t="s">
        <v>26</v>
      </c>
      <c r="E1391" t="s">
        <v>19</v>
      </c>
      <c r="F1391" t="s">
        <v>34</v>
      </c>
      <c r="G1391" t="s">
        <v>754</v>
      </c>
      <c r="H1391" s="1">
        <v>45348.613194444442</v>
      </c>
      <c r="I1391" s="1">
        <v>45348.741666666669</v>
      </c>
      <c r="J1391">
        <v>133</v>
      </c>
      <c r="K1391">
        <v>185</v>
      </c>
      <c r="L1391">
        <v>1</v>
      </c>
      <c r="M1391" t="s">
        <v>41</v>
      </c>
      <c r="N1391">
        <v>3</v>
      </c>
      <c r="O1391">
        <v>390</v>
      </c>
    </row>
    <row r="1392" spans="1:15" x14ac:dyDescent="0.35">
      <c r="A1392" t="s">
        <v>2967</v>
      </c>
      <c r="B1392" t="s">
        <v>31</v>
      </c>
      <c r="C1392" t="s">
        <v>2968</v>
      </c>
      <c r="D1392" t="s">
        <v>26</v>
      </c>
      <c r="E1392" t="s">
        <v>38</v>
      </c>
      <c r="F1392" t="s">
        <v>20</v>
      </c>
      <c r="G1392" t="s">
        <v>364</v>
      </c>
      <c r="H1392" s="1">
        <v>45294.174305555556</v>
      </c>
      <c r="I1392" s="1">
        <v>45294.268055555556</v>
      </c>
      <c r="J1392">
        <v>81</v>
      </c>
      <c r="K1392">
        <v>135</v>
      </c>
      <c r="L1392">
        <v>1</v>
      </c>
      <c r="M1392" t="s">
        <v>41</v>
      </c>
      <c r="N1392">
        <v>2</v>
      </c>
      <c r="O1392">
        <v>431.03</v>
      </c>
    </row>
    <row r="1393" spans="1:15" x14ac:dyDescent="0.35">
      <c r="A1393" t="s">
        <v>2969</v>
      </c>
      <c r="B1393" t="s">
        <v>63</v>
      </c>
      <c r="C1393" t="s">
        <v>2970</v>
      </c>
      <c r="D1393" t="s">
        <v>44</v>
      </c>
      <c r="E1393" t="s">
        <v>85</v>
      </c>
      <c r="F1393" t="s">
        <v>27</v>
      </c>
      <c r="G1393" t="s">
        <v>21</v>
      </c>
      <c r="H1393" s="1">
        <v>45378.394444444442</v>
      </c>
      <c r="I1393" s="1">
        <v>45378.486111111109</v>
      </c>
      <c r="J1393">
        <v>103</v>
      </c>
      <c r="K1393">
        <v>132</v>
      </c>
      <c r="L1393">
        <v>1</v>
      </c>
      <c r="M1393" t="s">
        <v>41</v>
      </c>
      <c r="N1393">
        <v>3</v>
      </c>
      <c r="O1393">
        <v>155.03</v>
      </c>
    </row>
    <row r="1394" spans="1:15" x14ac:dyDescent="0.35">
      <c r="A1394" t="s">
        <v>2971</v>
      </c>
      <c r="B1394" t="s">
        <v>31</v>
      </c>
      <c r="C1394" t="s">
        <v>2972</v>
      </c>
      <c r="D1394" t="s">
        <v>26</v>
      </c>
      <c r="E1394" t="s">
        <v>85</v>
      </c>
      <c r="F1394" t="s">
        <v>39</v>
      </c>
      <c r="G1394" t="s">
        <v>1172</v>
      </c>
      <c r="H1394" s="1">
        <v>45380.436111111114</v>
      </c>
      <c r="I1394" s="1">
        <v>45380.631944444445</v>
      </c>
      <c r="J1394">
        <v>238</v>
      </c>
      <c r="K1394">
        <v>282</v>
      </c>
      <c r="L1394">
        <v>1</v>
      </c>
      <c r="M1394" t="s">
        <v>41</v>
      </c>
      <c r="N1394">
        <v>7</v>
      </c>
      <c r="O1394">
        <v>316.11</v>
      </c>
    </row>
    <row r="1395" spans="1:15" x14ac:dyDescent="0.35">
      <c r="A1395" t="s">
        <v>2973</v>
      </c>
      <c r="B1395" t="s">
        <v>16</v>
      </c>
      <c r="C1395" t="s">
        <v>2974</v>
      </c>
      <c r="D1395" t="s">
        <v>44</v>
      </c>
      <c r="E1395" t="s">
        <v>38</v>
      </c>
      <c r="F1395" t="s">
        <v>57</v>
      </c>
      <c r="G1395" t="s">
        <v>354</v>
      </c>
      <c r="H1395" s="1">
        <v>45601.384027777778</v>
      </c>
      <c r="I1395" s="1">
        <v>45601.522222222222</v>
      </c>
      <c r="J1395">
        <v>113</v>
      </c>
      <c r="K1395">
        <v>199</v>
      </c>
      <c r="L1395">
        <v>1</v>
      </c>
      <c r="M1395" t="s">
        <v>41</v>
      </c>
      <c r="N1395">
        <v>10</v>
      </c>
      <c r="O1395">
        <v>118.28</v>
      </c>
    </row>
    <row r="1396" spans="1:15" x14ac:dyDescent="0.35">
      <c r="A1396" t="s">
        <v>2975</v>
      </c>
      <c r="B1396" t="s">
        <v>24</v>
      </c>
      <c r="C1396" t="s">
        <v>2976</v>
      </c>
      <c r="D1396" t="s">
        <v>48</v>
      </c>
      <c r="E1396" t="s">
        <v>33</v>
      </c>
      <c r="F1396" t="s">
        <v>27</v>
      </c>
      <c r="G1396" t="s">
        <v>161</v>
      </c>
      <c r="H1396" s="1">
        <v>45425.851388888892</v>
      </c>
      <c r="I1396" s="1">
        <v>45425.972916666666</v>
      </c>
      <c r="J1396">
        <v>97</v>
      </c>
      <c r="K1396">
        <v>175</v>
      </c>
      <c r="L1396">
        <v>1</v>
      </c>
      <c r="M1396" t="s">
        <v>41</v>
      </c>
      <c r="N1396">
        <v>3</v>
      </c>
      <c r="O1396">
        <v>270.82</v>
      </c>
    </row>
    <row r="1397" spans="1:15" x14ac:dyDescent="0.35">
      <c r="A1397" t="s">
        <v>2977</v>
      </c>
      <c r="B1397" t="s">
        <v>24</v>
      </c>
      <c r="C1397" t="s">
        <v>2978</v>
      </c>
      <c r="D1397" t="s">
        <v>18</v>
      </c>
      <c r="E1397" t="s">
        <v>19</v>
      </c>
      <c r="F1397" t="s">
        <v>27</v>
      </c>
      <c r="G1397" t="s">
        <v>204</v>
      </c>
      <c r="H1397" s="1">
        <v>45509.982638888891</v>
      </c>
      <c r="I1397" s="1">
        <v>45510.180555555555</v>
      </c>
      <c r="J1397">
        <v>169</v>
      </c>
      <c r="K1397">
        <v>285</v>
      </c>
      <c r="L1397">
        <v>1</v>
      </c>
      <c r="M1397" t="s">
        <v>22</v>
      </c>
      <c r="N1397">
        <v>3</v>
      </c>
      <c r="O1397">
        <v>499.44</v>
      </c>
    </row>
    <row r="1398" spans="1:15" x14ac:dyDescent="0.35">
      <c r="A1398" t="s">
        <v>2979</v>
      </c>
      <c r="B1398" t="s">
        <v>63</v>
      </c>
      <c r="C1398" t="s">
        <v>2980</v>
      </c>
      <c r="D1398" t="s">
        <v>18</v>
      </c>
      <c r="E1398" t="s">
        <v>19</v>
      </c>
      <c r="F1398" t="s">
        <v>39</v>
      </c>
      <c r="G1398" t="s">
        <v>68</v>
      </c>
      <c r="H1398" s="1">
        <v>45353.363194444442</v>
      </c>
      <c r="I1398" s="1">
        <v>45353.40902777778</v>
      </c>
      <c r="J1398">
        <v>28</v>
      </c>
      <c r="K1398">
        <v>66</v>
      </c>
      <c r="L1398">
        <v>1</v>
      </c>
      <c r="M1398" t="s">
        <v>29</v>
      </c>
      <c r="N1398">
        <v>8</v>
      </c>
      <c r="O1398">
        <v>248.22</v>
      </c>
    </row>
    <row r="1399" spans="1:15" x14ac:dyDescent="0.35">
      <c r="A1399" t="s">
        <v>2981</v>
      </c>
      <c r="B1399" t="s">
        <v>16</v>
      </c>
      <c r="C1399" t="s">
        <v>2982</v>
      </c>
      <c r="D1399" t="s">
        <v>48</v>
      </c>
      <c r="E1399" t="s">
        <v>19</v>
      </c>
      <c r="F1399" t="s">
        <v>39</v>
      </c>
      <c r="G1399" t="s">
        <v>383</v>
      </c>
      <c r="H1399" s="1">
        <v>45595.78402777778</v>
      </c>
      <c r="I1399" s="1">
        <v>45595.9375</v>
      </c>
      <c r="J1399">
        <v>136</v>
      </c>
      <c r="K1399">
        <v>221</v>
      </c>
      <c r="L1399">
        <v>1</v>
      </c>
      <c r="M1399" t="s">
        <v>41</v>
      </c>
      <c r="N1399">
        <v>4</v>
      </c>
      <c r="O1399">
        <v>479.57</v>
      </c>
    </row>
    <row r="1400" spans="1:15" x14ac:dyDescent="0.35">
      <c r="A1400" t="s">
        <v>2983</v>
      </c>
      <c r="B1400" t="s">
        <v>16</v>
      </c>
      <c r="C1400" t="s">
        <v>2984</v>
      </c>
      <c r="D1400" t="s">
        <v>44</v>
      </c>
      <c r="E1400" t="s">
        <v>33</v>
      </c>
      <c r="F1400" t="s">
        <v>34</v>
      </c>
      <c r="G1400" t="s">
        <v>94</v>
      </c>
      <c r="H1400" s="1">
        <v>45513.831250000003</v>
      </c>
      <c r="I1400" s="1">
        <v>45513.975694444445</v>
      </c>
      <c r="J1400">
        <v>207</v>
      </c>
      <c r="K1400">
        <v>208</v>
      </c>
      <c r="L1400">
        <v>1</v>
      </c>
      <c r="M1400" t="s">
        <v>22</v>
      </c>
      <c r="N1400">
        <v>7</v>
      </c>
      <c r="O1400">
        <v>100.79</v>
      </c>
    </row>
    <row r="1401" spans="1:15" x14ac:dyDescent="0.35">
      <c r="A1401" t="s">
        <v>2985</v>
      </c>
      <c r="B1401" t="s">
        <v>24</v>
      </c>
      <c r="C1401" t="s">
        <v>2986</v>
      </c>
      <c r="D1401" t="s">
        <v>56</v>
      </c>
      <c r="E1401" t="s">
        <v>85</v>
      </c>
      <c r="F1401" t="s">
        <v>20</v>
      </c>
      <c r="G1401" t="s">
        <v>225</v>
      </c>
      <c r="H1401" s="1">
        <v>45603.62222222222</v>
      </c>
      <c r="I1401" s="1">
        <v>45603.71875</v>
      </c>
      <c r="J1401">
        <v>132</v>
      </c>
      <c r="K1401">
        <v>139</v>
      </c>
      <c r="L1401">
        <v>1</v>
      </c>
      <c r="M1401" t="s">
        <v>41</v>
      </c>
      <c r="N1401">
        <v>3</v>
      </c>
      <c r="O1401">
        <v>327.98</v>
      </c>
    </row>
    <row r="1402" spans="1:15" x14ac:dyDescent="0.35">
      <c r="A1402" t="s">
        <v>2987</v>
      </c>
      <c r="B1402" t="s">
        <v>31</v>
      </c>
      <c r="C1402" t="s">
        <v>2988</v>
      </c>
      <c r="D1402" t="s">
        <v>18</v>
      </c>
      <c r="E1402" t="s">
        <v>85</v>
      </c>
      <c r="F1402" t="s">
        <v>34</v>
      </c>
      <c r="G1402" t="s">
        <v>120</v>
      </c>
      <c r="H1402" s="1">
        <v>45619.72152777778</v>
      </c>
      <c r="I1402" s="1">
        <v>45619.776388888888</v>
      </c>
      <c r="J1402">
        <v>13</v>
      </c>
      <c r="K1402">
        <v>79</v>
      </c>
      <c r="L1402">
        <v>1</v>
      </c>
      <c r="M1402" t="s">
        <v>29</v>
      </c>
      <c r="N1402">
        <v>1</v>
      </c>
      <c r="O1402">
        <v>90.9</v>
      </c>
    </row>
    <row r="1403" spans="1:15" x14ac:dyDescent="0.35">
      <c r="A1403" t="s">
        <v>2989</v>
      </c>
      <c r="B1403" t="s">
        <v>63</v>
      </c>
      <c r="C1403" t="s">
        <v>2990</v>
      </c>
      <c r="D1403" t="s">
        <v>56</v>
      </c>
      <c r="E1403" t="s">
        <v>38</v>
      </c>
      <c r="F1403" t="s">
        <v>20</v>
      </c>
      <c r="G1403" t="s">
        <v>311</v>
      </c>
      <c r="H1403" s="1">
        <v>45342.164583333331</v>
      </c>
      <c r="I1403" s="1">
        <v>45342.270833333336</v>
      </c>
      <c r="J1403">
        <v>117</v>
      </c>
      <c r="K1403">
        <v>153</v>
      </c>
      <c r="L1403">
        <v>1</v>
      </c>
      <c r="M1403" t="s">
        <v>22</v>
      </c>
      <c r="N1403">
        <v>6</v>
      </c>
      <c r="O1403">
        <v>237.06</v>
      </c>
    </row>
    <row r="1404" spans="1:15" x14ac:dyDescent="0.35">
      <c r="A1404" t="s">
        <v>2991</v>
      </c>
      <c r="B1404" t="s">
        <v>24</v>
      </c>
      <c r="C1404" t="s">
        <v>2992</v>
      </c>
      <c r="D1404" t="s">
        <v>26</v>
      </c>
      <c r="E1404" t="s">
        <v>33</v>
      </c>
      <c r="F1404" t="s">
        <v>20</v>
      </c>
      <c r="G1404" t="s">
        <v>73</v>
      </c>
      <c r="H1404" s="1">
        <v>45439.265277777777</v>
      </c>
      <c r="I1404" s="1">
        <v>45439.405555555553</v>
      </c>
      <c r="J1404">
        <v>183</v>
      </c>
      <c r="K1404">
        <v>202</v>
      </c>
      <c r="L1404">
        <v>1</v>
      </c>
      <c r="M1404" t="s">
        <v>41</v>
      </c>
      <c r="N1404">
        <v>4</v>
      </c>
      <c r="O1404">
        <v>274.01</v>
      </c>
    </row>
    <row r="1405" spans="1:15" x14ac:dyDescent="0.35">
      <c r="A1405" t="s">
        <v>2993</v>
      </c>
      <c r="B1405" t="s">
        <v>31</v>
      </c>
      <c r="C1405" t="s">
        <v>2994</v>
      </c>
      <c r="D1405" t="s">
        <v>56</v>
      </c>
      <c r="E1405" t="s">
        <v>38</v>
      </c>
      <c r="F1405" t="s">
        <v>39</v>
      </c>
      <c r="G1405" t="s">
        <v>210</v>
      </c>
      <c r="H1405" s="1">
        <v>45632.695833333331</v>
      </c>
      <c r="I1405" s="1">
        <v>45632.718055555553</v>
      </c>
      <c r="J1405">
        <v>32</v>
      </c>
      <c r="K1405">
        <v>32</v>
      </c>
      <c r="L1405">
        <v>0</v>
      </c>
      <c r="M1405" t="s">
        <v>22</v>
      </c>
      <c r="N1405">
        <v>8</v>
      </c>
      <c r="O1405">
        <v>224.58</v>
      </c>
    </row>
    <row r="1406" spans="1:15" x14ac:dyDescent="0.35">
      <c r="A1406" t="s">
        <v>2995</v>
      </c>
      <c r="B1406" t="s">
        <v>24</v>
      </c>
      <c r="C1406" t="s">
        <v>2996</v>
      </c>
      <c r="D1406" t="s">
        <v>48</v>
      </c>
      <c r="E1406" t="s">
        <v>85</v>
      </c>
      <c r="F1406" t="s">
        <v>20</v>
      </c>
      <c r="G1406" t="s">
        <v>338</v>
      </c>
      <c r="H1406" s="1">
        <v>45483.15625</v>
      </c>
      <c r="I1406" s="1">
        <v>45483.218055555553</v>
      </c>
      <c r="J1406">
        <v>94</v>
      </c>
      <c r="K1406">
        <v>89</v>
      </c>
      <c r="L1406">
        <v>0</v>
      </c>
      <c r="M1406" t="s">
        <v>29</v>
      </c>
      <c r="N1406">
        <v>7</v>
      </c>
      <c r="O1406">
        <v>436.02</v>
      </c>
    </row>
    <row r="1407" spans="1:15" x14ac:dyDescent="0.35">
      <c r="A1407" t="s">
        <v>2997</v>
      </c>
      <c r="B1407" t="s">
        <v>31</v>
      </c>
      <c r="C1407" t="s">
        <v>2998</v>
      </c>
      <c r="D1407" t="s">
        <v>26</v>
      </c>
      <c r="E1407" t="s">
        <v>33</v>
      </c>
      <c r="F1407" t="s">
        <v>39</v>
      </c>
      <c r="G1407" t="s">
        <v>100</v>
      </c>
      <c r="H1407" s="1">
        <v>45418.869444444441</v>
      </c>
      <c r="I1407" s="1">
        <v>45418.991666666669</v>
      </c>
      <c r="J1407">
        <v>64</v>
      </c>
      <c r="K1407">
        <v>176</v>
      </c>
      <c r="L1407">
        <v>1</v>
      </c>
      <c r="M1407" t="s">
        <v>22</v>
      </c>
      <c r="N1407">
        <v>4</v>
      </c>
      <c r="O1407">
        <v>225.21</v>
      </c>
    </row>
    <row r="1408" spans="1:15" x14ac:dyDescent="0.35">
      <c r="A1408" t="s">
        <v>2999</v>
      </c>
      <c r="B1408" t="s">
        <v>63</v>
      </c>
      <c r="C1408" t="s">
        <v>3000</v>
      </c>
      <c r="D1408" t="s">
        <v>44</v>
      </c>
      <c r="E1408" t="s">
        <v>33</v>
      </c>
      <c r="F1408" t="s">
        <v>57</v>
      </c>
      <c r="G1408" t="s">
        <v>283</v>
      </c>
      <c r="H1408" s="1">
        <v>45541.938194444447</v>
      </c>
      <c r="I1408" s="1">
        <v>45542.074305555558</v>
      </c>
      <c r="J1408">
        <v>165</v>
      </c>
      <c r="K1408">
        <v>196</v>
      </c>
      <c r="L1408">
        <v>1</v>
      </c>
      <c r="M1408" t="s">
        <v>41</v>
      </c>
      <c r="N1408">
        <v>1</v>
      </c>
      <c r="O1408">
        <v>80.56</v>
      </c>
    </row>
    <row r="1409" spans="1:15" x14ac:dyDescent="0.35">
      <c r="A1409" t="s">
        <v>3001</v>
      </c>
      <c r="B1409" t="s">
        <v>24</v>
      </c>
      <c r="C1409" t="s">
        <v>3002</v>
      </c>
      <c r="D1409" t="s">
        <v>26</v>
      </c>
      <c r="E1409" t="s">
        <v>38</v>
      </c>
      <c r="F1409" t="s">
        <v>57</v>
      </c>
      <c r="G1409" t="s">
        <v>465</v>
      </c>
      <c r="H1409" s="1">
        <v>45488.216666666667</v>
      </c>
      <c r="I1409" s="1">
        <v>45488.293055555558</v>
      </c>
      <c r="J1409">
        <v>110</v>
      </c>
      <c r="K1409">
        <v>110</v>
      </c>
      <c r="L1409">
        <v>0</v>
      </c>
      <c r="M1409" t="s">
        <v>29</v>
      </c>
      <c r="N1409">
        <v>10</v>
      </c>
      <c r="O1409">
        <v>428.04</v>
      </c>
    </row>
    <row r="1410" spans="1:15" x14ac:dyDescent="0.35">
      <c r="A1410" t="s">
        <v>3003</v>
      </c>
      <c r="B1410" t="s">
        <v>51</v>
      </c>
      <c r="C1410" t="s">
        <v>3004</v>
      </c>
      <c r="D1410" t="s">
        <v>26</v>
      </c>
      <c r="E1410" t="s">
        <v>19</v>
      </c>
      <c r="F1410" t="s">
        <v>34</v>
      </c>
      <c r="G1410" t="s">
        <v>228</v>
      </c>
      <c r="H1410" s="1">
        <v>45523.706250000003</v>
      </c>
      <c r="I1410" s="1">
        <v>45523.784722222219</v>
      </c>
      <c r="J1410">
        <v>12</v>
      </c>
      <c r="K1410">
        <v>113</v>
      </c>
      <c r="L1410">
        <v>1</v>
      </c>
      <c r="M1410" t="s">
        <v>22</v>
      </c>
      <c r="N1410">
        <v>10</v>
      </c>
      <c r="O1410">
        <v>155.71</v>
      </c>
    </row>
    <row r="1411" spans="1:15" x14ac:dyDescent="0.35">
      <c r="A1411" t="s">
        <v>3005</v>
      </c>
      <c r="B1411" t="s">
        <v>51</v>
      </c>
      <c r="C1411" t="s">
        <v>3006</v>
      </c>
      <c r="D1411" t="s">
        <v>44</v>
      </c>
      <c r="E1411" t="s">
        <v>85</v>
      </c>
      <c r="F1411" t="s">
        <v>39</v>
      </c>
      <c r="G1411" t="s">
        <v>231</v>
      </c>
      <c r="H1411" s="1">
        <v>45650.90902777778</v>
      </c>
      <c r="I1411" s="1">
        <v>45651.042361111111</v>
      </c>
      <c r="J1411">
        <v>100</v>
      </c>
      <c r="K1411">
        <v>192</v>
      </c>
      <c r="L1411">
        <v>1</v>
      </c>
      <c r="M1411" t="s">
        <v>22</v>
      </c>
      <c r="N1411">
        <v>6</v>
      </c>
      <c r="O1411">
        <v>293.18</v>
      </c>
    </row>
    <row r="1412" spans="1:15" x14ac:dyDescent="0.35">
      <c r="A1412" t="s">
        <v>3007</v>
      </c>
      <c r="B1412" t="s">
        <v>16</v>
      </c>
      <c r="C1412" t="s">
        <v>3008</v>
      </c>
      <c r="D1412" t="s">
        <v>48</v>
      </c>
      <c r="E1412" t="s">
        <v>19</v>
      </c>
      <c r="F1412" t="s">
        <v>57</v>
      </c>
      <c r="G1412" t="s">
        <v>853</v>
      </c>
      <c r="H1412" s="1">
        <v>45397.839583333334</v>
      </c>
      <c r="I1412" s="1">
        <v>45397.940972222219</v>
      </c>
      <c r="J1412">
        <v>49</v>
      </c>
      <c r="K1412">
        <v>146</v>
      </c>
      <c r="L1412">
        <v>1</v>
      </c>
      <c r="M1412" t="s">
        <v>41</v>
      </c>
      <c r="N1412">
        <v>5</v>
      </c>
      <c r="O1412">
        <v>65.78</v>
      </c>
    </row>
    <row r="1413" spans="1:15" x14ac:dyDescent="0.35">
      <c r="A1413" t="s">
        <v>3009</v>
      </c>
      <c r="B1413" t="s">
        <v>31</v>
      </c>
      <c r="C1413" t="s">
        <v>3010</v>
      </c>
      <c r="D1413" t="s">
        <v>48</v>
      </c>
      <c r="E1413" t="s">
        <v>33</v>
      </c>
      <c r="F1413" t="s">
        <v>34</v>
      </c>
      <c r="G1413" t="s">
        <v>526</v>
      </c>
      <c r="H1413" s="1">
        <v>45436.856249999997</v>
      </c>
      <c r="I1413" s="1">
        <v>45436.963888888888</v>
      </c>
      <c r="J1413">
        <v>150</v>
      </c>
      <c r="K1413">
        <v>155</v>
      </c>
      <c r="L1413">
        <v>1</v>
      </c>
      <c r="M1413" t="s">
        <v>22</v>
      </c>
      <c r="N1413">
        <v>5</v>
      </c>
      <c r="O1413">
        <v>68.150000000000006</v>
      </c>
    </row>
    <row r="1414" spans="1:15" x14ac:dyDescent="0.35">
      <c r="A1414" t="s">
        <v>3011</v>
      </c>
      <c r="B1414" t="s">
        <v>51</v>
      </c>
      <c r="C1414" t="s">
        <v>3012</v>
      </c>
      <c r="D1414" t="s">
        <v>44</v>
      </c>
      <c r="E1414" t="s">
        <v>38</v>
      </c>
      <c r="F1414" t="s">
        <v>34</v>
      </c>
      <c r="G1414" t="s">
        <v>293</v>
      </c>
      <c r="H1414" s="1">
        <v>45378.074999999997</v>
      </c>
      <c r="I1414" s="1">
        <v>45378.158333333333</v>
      </c>
      <c r="J1414">
        <v>121</v>
      </c>
      <c r="K1414">
        <v>120</v>
      </c>
      <c r="L1414">
        <v>0</v>
      </c>
      <c r="M1414" t="s">
        <v>41</v>
      </c>
      <c r="N1414">
        <v>10</v>
      </c>
      <c r="O1414">
        <v>142.1</v>
      </c>
    </row>
    <row r="1415" spans="1:15" x14ac:dyDescent="0.35">
      <c r="A1415" t="s">
        <v>3013</v>
      </c>
      <c r="B1415" t="s">
        <v>31</v>
      </c>
      <c r="C1415" t="s">
        <v>3014</v>
      </c>
      <c r="D1415" t="s">
        <v>56</v>
      </c>
      <c r="E1415" t="s">
        <v>33</v>
      </c>
      <c r="F1415" t="s">
        <v>20</v>
      </c>
      <c r="G1415" t="s">
        <v>152</v>
      </c>
      <c r="H1415" s="1">
        <v>45316.177083333336</v>
      </c>
      <c r="I1415" s="1">
        <v>45316.34375</v>
      </c>
      <c r="J1415">
        <v>211</v>
      </c>
      <c r="K1415">
        <v>240</v>
      </c>
      <c r="L1415">
        <v>1</v>
      </c>
      <c r="M1415" t="s">
        <v>22</v>
      </c>
      <c r="N1415">
        <v>1</v>
      </c>
      <c r="O1415">
        <v>320.52</v>
      </c>
    </row>
    <row r="1416" spans="1:15" x14ac:dyDescent="0.35">
      <c r="A1416" t="s">
        <v>3015</v>
      </c>
      <c r="B1416" t="s">
        <v>51</v>
      </c>
      <c r="C1416" t="s">
        <v>3016</v>
      </c>
      <c r="D1416" t="s">
        <v>26</v>
      </c>
      <c r="E1416" t="s">
        <v>85</v>
      </c>
      <c r="F1416" t="s">
        <v>20</v>
      </c>
      <c r="G1416" t="s">
        <v>213</v>
      </c>
      <c r="H1416" s="1">
        <v>45357.924305555556</v>
      </c>
      <c r="I1416" s="1">
        <v>45358.036111111112</v>
      </c>
      <c r="J1416">
        <v>166</v>
      </c>
      <c r="K1416">
        <v>161</v>
      </c>
      <c r="L1416">
        <v>0</v>
      </c>
      <c r="M1416" t="s">
        <v>22</v>
      </c>
      <c r="N1416">
        <v>6</v>
      </c>
      <c r="O1416">
        <v>261.95</v>
      </c>
    </row>
    <row r="1417" spans="1:15" x14ac:dyDescent="0.35">
      <c r="A1417" t="s">
        <v>3017</v>
      </c>
      <c r="B1417" t="s">
        <v>51</v>
      </c>
      <c r="C1417" t="s">
        <v>3018</v>
      </c>
      <c r="D1417" t="s">
        <v>56</v>
      </c>
      <c r="E1417" t="s">
        <v>85</v>
      </c>
      <c r="F1417" t="s">
        <v>20</v>
      </c>
      <c r="G1417" t="s">
        <v>343</v>
      </c>
      <c r="H1417" s="1">
        <v>45641.993055555555</v>
      </c>
      <c r="I1417" s="1">
        <v>45642.093055555553</v>
      </c>
      <c r="J1417">
        <v>98</v>
      </c>
      <c r="K1417">
        <v>144</v>
      </c>
      <c r="L1417">
        <v>1</v>
      </c>
      <c r="M1417" t="s">
        <v>29</v>
      </c>
      <c r="N1417">
        <v>2</v>
      </c>
      <c r="O1417">
        <v>147.97999999999999</v>
      </c>
    </row>
    <row r="1418" spans="1:15" x14ac:dyDescent="0.35">
      <c r="A1418" t="s">
        <v>3019</v>
      </c>
      <c r="B1418" t="s">
        <v>24</v>
      </c>
      <c r="C1418" t="s">
        <v>3020</v>
      </c>
      <c r="D1418" t="s">
        <v>26</v>
      </c>
      <c r="E1418" t="s">
        <v>85</v>
      </c>
      <c r="F1418" t="s">
        <v>39</v>
      </c>
      <c r="G1418" t="s">
        <v>40</v>
      </c>
      <c r="H1418" s="1">
        <v>45654.120138888888</v>
      </c>
      <c r="I1418" s="1">
        <v>45654.304166666669</v>
      </c>
      <c r="J1418">
        <v>188</v>
      </c>
      <c r="K1418">
        <v>265</v>
      </c>
      <c r="L1418">
        <v>1</v>
      </c>
      <c r="M1418" t="s">
        <v>41</v>
      </c>
      <c r="N1418">
        <v>6</v>
      </c>
      <c r="O1418">
        <v>214.5</v>
      </c>
    </row>
    <row r="1419" spans="1:15" x14ac:dyDescent="0.35">
      <c r="A1419" t="s">
        <v>3021</v>
      </c>
      <c r="B1419" t="s">
        <v>16</v>
      </c>
      <c r="C1419" t="s">
        <v>3022</v>
      </c>
      <c r="D1419" t="s">
        <v>18</v>
      </c>
      <c r="E1419" t="s">
        <v>19</v>
      </c>
      <c r="F1419" t="s">
        <v>27</v>
      </c>
      <c r="G1419" t="s">
        <v>383</v>
      </c>
      <c r="H1419" s="1">
        <v>45378.227777777778</v>
      </c>
      <c r="I1419" s="1">
        <v>45378.305555555555</v>
      </c>
      <c r="J1419">
        <v>66</v>
      </c>
      <c r="K1419">
        <v>112</v>
      </c>
      <c r="L1419">
        <v>1</v>
      </c>
      <c r="M1419" t="s">
        <v>29</v>
      </c>
      <c r="N1419">
        <v>1</v>
      </c>
      <c r="O1419">
        <v>341.49</v>
      </c>
    </row>
    <row r="1420" spans="1:15" x14ac:dyDescent="0.35">
      <c r="A1420" t="s">
        <v>3023</v>
      </c>
      <c r="B1420" t="s">
        <v>31</v>
      </c>
      <c r="C1420" t="s">
        <v>3024</v>
      </c>
      <c r="D1420" t="s">
        <v>56</v>
      </c>
      <c r="E1420" t="s">
        <v>85</v>
      </c>
      <c r="F1420" t="s">
        <v>34</v>
      </c>
      <c r="G1420" t="s">
        <v>126</v>
      </c>
      <c r="H1420" s="1">
        <v>45400.948611111111</v>
      </c>
      <c r="I1420" s="1">
        <v>45401.061111111114</v>
      </c>
      <c r="J1420">
        <v>69</v>
      </c>
      <c r="K1420">
        <v>162</v>
      </c>
      <c r="L1420">
        <v>1</v>
      </c>
      <c r="M1420" t="s">
        <v>29</v>
      </c>
      <c r="N1420">
        <v>9</v>
      </c>
      <c r="O1420">
        <v>325.14</v>
      </c>
    </row>
    <row r="1421" spans="1:15" x14ac:dyDescent="0.35">
      <c r="A1421" t="s">
        <v>3025</v>
      </c>
      <c r="B1421" t="s">
        <v>16</v>
      </c>
      <c r="C1421" t="s">
        <v>3026</v>
      </c>
      <c r="D1421" t="s">
        <v>48</v>
      </c>
      <c r="E1421" t="s">
        <v>19</v>
      </c>
      <c r="F1421" t="s">
        <v>34</v>
      </c>
      <c r="G1421" t="s">
        <v>259</v>
      </c>
      <c r="H1421" s="1">
        <v>45385.979166666664</v>
      </c>
      <c r="I1421" s="1">
        <v>45386.071527777778</v>
      </c>
      <c r="J1421">
        <v>46</v>
      </c>
      <c r="K1421">
        <v>133</v>
      </c>
      <c r="L1421">
        <v>1</v>
      </c>
      <c r="M1421" t="s">
        <v>22</v>
      </c>
      <c r="N1421">
        <v>5</v>
      </c>
      <c r="O1421">
        <v>420.25</v>
      </c>
    </row>
    <row r="1422" spans="1:15" x14ac:dyDescent="0.35">
      <c r="A1422" t="s">
        <v>3027</v>
      </c>
      <c r="B1422" t="s">
        <v>51</v>
      </c>
      <c r="C1422" t="s">
        <v>3028</v>
      </c>
      <c r="D1422" t="s">
        <v>44</v>
      </c>
      <c r="E1422" t="s">
        <v>19</v>
      </c>
      <c r="F1422" t="s">
        <v>27</v>
      </c>
      <c r="G1422" t="s">
        <v>376</v>
      </c>
      <c r="H1422" s="1">
        <v>45642.900694444441</v>
      </c>
      <c r="I1422" s="1">
        <v>45643.003472222219</v>
      </c>
      <c r="J1422">
        <v>81</v>
      </c>
      <c r="K1422">
        <v>148</v>
      </c>
      <c r="L1422">
        <v>1</v>
      </c>
      <c r="M1422" t="s">
        <v>41</v>
      </c>
      <c r="N1422">
        <v>10</v>
      </c>
      <c r="O1422">
        <v>70.150000000000006</v>
      </c>
    </row>
    <row r="1423" spans="1:15" x14ac:dyDescent="0.35">
      <c r="A1423" t="s">
        <v>3029</v>
      </c>
      <c r="B1423" t="s">
        <v>31</v>
      </c>
      <c r="C1423" t="s">
        <v>3030</v>
      </c>
      <c r="D1423" t="s">
        <v>26</v>
      </c>
      <c r="E1423" t="s">
        <v>38</v>
      </c>
      <c r="F1423" t="s">
        <v>27</v>
      </c>
      <c r="G1423" t="s">
        <v>201</v>
      </c>
      <c r="H1423" s="1">
        <v>45642.512499999997</v>
      </c>
      <c r="I1423" s="1">
        <v>45642.7</v>
      </c>
      <c r="J1423">
        <v>220</v>
      </c>
      <c r="K1423">
        <v>270</v>
      </c>
      <c r="L1423">
        <v>1</v>
      </c>
      <c r="M1423" t="s">
        <v>41</v>
      </c>
      <c r="N1423">
        <v>5</v>
      </c>
      <c r="O1423">
        <v>471.49</v>
      </c>
    </row>
    <row r="1424" spans="1:15" x14ac:dyDescent="0.35">
      <c r="A1424" t="s">
        <v>3031</v>
      </c>
      <c r="B1424" t="s">
        <v>51</v>
      </c>
      <c r="C1424" t="s">
        <v>3032</v>
      </c>
      <c r="D1424" t="s">
        <v>48</v>
      </c>
      <c r="E1424" t="s">
        <v>33</v>
      </c>
      <c r="F1424" t="s">
        <v>39</v>
      </c>
      <c r="G1424" t="s">
        <v>65</v>
      </c>
      <c r="H1424" s="1">
        <v>45475.28402777778</v>
      </c>
      <c r="I1424" s="1">
        <v>45475.504166666666</v>
      </c>
      <c r="J1424">
        <v>229</v>
      </c>
      <c r="K1424">
        <v>317</v>
      </c>
      <c r="L1424">
        <v>1</v>
      </c>
      <c r="M1424" t="s">
        <v>41</v>
      </c>
      <c r="N1424">
        <v>9</v>
      </c>
      <c r="O1424">
        <v>168.89</v>
      </c>
    </row>
    <row r="1425" spans="1:15" x14ac:dyDescent="0.35">
      <c r="A1425" t="s">
        <v>3033</v>
      </c>
      <c r="B1425" t="s">
        <v>16</v>
      </c>
      <c r="C1425" t="s">
        <v>3034</v>
      </c>
      <c r="D1425" t="s">
        <v>48</v>
      </c>
      <c r="E1425" t="s">
        <v>19</v>
      </c>
      <c r="F1425" t="s">
        <v>20</v>
      </c>
      <c r="G1425" t="s">
        <v>61</v>
      </c>
      <c r="H1425" s="1">
        <v>45454.088888888888</v>
      </c>
      <c r="I1425" s="1">
        <v>45454.217361111114</v>
      </c>
      <c r="J1425">
        <v>127</v>
      </c>
      <c r="K1425">
        <v>185</v>
      </c>
      <c r="L1425">
        <v>1</v>
      </c>
      <c r="M1425" t="s">
        <v>29</v>
      </c>
      <c r="N1425">
        <v>5</v>
      </c>
      <c r="O1425">
        <v>352.34</v>
      </c>
    </row>
    <row r="1426" spans="1:15" x14ac:dyDescent="0.35">
      <c r="A1426" t="s">
        <v>3035</v>
      </c>
      <c r="B1426" t="s">
        <v>16</v>
      </c>
      <c r="C1426" t="s">
        <v>3036</v>
      </c>
      <c r="D1426" t="s">
        <v>26</v>
      </c>
      <c r="E1426" t="s">
        <v>19</v>
      </c>
      <c r="F1426" t="s">
        <v>20</v>
      </c>
      <c r="G1426" t="s">
        <v>100</v>
      </c>
      <c r="H1426" s="1">
        <v>45297.496527777781</v>
      </c>
      <c r="I1426" s="1">
        <v>45297.531944444447</v>
      </c>
      <c r="J1426">
        <v>53</v>
      </c>
      <c r="K1426">
        <v>51</v>
      </c>
      <c r="L1426">
        <v>0</v>
      </c>
      <c r="M1426" t="s">
        <v>29</v>
      </c>
      <c r="N1426">
        <v>10</v>
      </c>
      <c r="O1426">
        <v>371.89</v>
      </c>
    </row>
    <row r="1427" spans="1:15" x14ac:dyDescent="0.35">
      <c r="A1427" t="s">
        <v>3037</v>
      </c>
      <c r="B1427" t="s">
        <v>31</v>
      </c>
      <c r="C1427" t="s">
        <v>3038</v>
      </c>
      <c r="D1427" t="s">
        <v>26</v>
      </c>
      <c r="E1427" t="s">
        <v>38</v>
      </c>
      <c r="F1427" t="s">
        <v>34</v>
      </c>
      <c r="G1427" t="s">
        <v>1622</v>
      </c>
      <c r="H1427" s="1">
        <v>45404.161805555559</v>
      </c>
      <c r="I1427" s="1">
        <v>45404.243750000001</v>
      </c>
      <c r="J1427">
        <v>72</v>
      </c>
      <c r="K1427">
        <v>118</v>
      </c>
      <c r="L1427">
        <v>1</v>
      </c>
      <c r="M1427" t="s">
        <v>41</v>
      </c>
      <c r="N1427">
        <v>4</v>
      </c>
      <c r="O1427">
        <v>347.88</v>
      </c>
    </row>
    <row r="1428" spans="1:15" x14ac:dyDescent="0.35">
      <c r="A1428" t="s">
        <v>3039</v>
      </c>
      <c r="B1428" t="s">
        <v>16</v>
      </c>
      <c r="C1428" t="s">
        <v>3040</v>
      </c>
      <c r="D1428" t="s">
        <v>18</v>
      </c>
      <c r="E1428" t="s">
        <v>38</v>
      </c>
      <c r="F1428" t="s">
        <v>27</v>
      </c>
      <c r="G1428" t="s">
        <v>152</v>
      </c>
      <c r="H1428" s="1">
        <v>45329.302083333336</v>
      </c>
      <c r="I1428" s="1">
        <v>45329.368750000001</v>
      </c>
      <c r="J1428">
        <v>17</v>
      </c>
      <c r="K1428">
        <v>96</v>
      </c>
      <c r="L1428">
        <v>1</v>
      </c>
      <c r="M1428" t="s">
        <v>41</v>
      </c>
      <c r="N1428">
        <v>9</v>
      </c>
      <c r="O1428">
        <v>421.6</v>
      </c>
    </row>
    <row r="1429" spans="1:15" x14ac:dyDescent="0.35">
      <c r="A1429" t="s">
        <v>3041</v>
      </c>
      <c r="B1429" t="s">
        <v>16</v>
      </c>
      <c r="C1429" t="s">
        <v>3042</v>
      </c>
      <c r="D1429" t="s">
        <v>44</v>
      </c>
      <c r="E1429" t="s">
        <v>33</v>
      </c>
      <c r="F1429" t="s">
        <v>39</v>
      </c>
      <c r="G1429" t="s">
        <v>143</v>
      </c>
      <c r="H1429" s="1">
        <v>45333.01458333333</v>
      </c>
      <c r="I1429" s="1">
        <v>45333.089583333334</v>
      </c>
      <c r="J1429">
        <v>109</v>
      </c>
      <c r="K1429">
        <v>108</v>
      </c>
      <c r="L1429">
        <v>0</v>
      </c>
      <c r="M1429" t="s">
        <v>41</v>
      </c>
      <c r="N1429">
        <v>2</v>
      </c>
      <c r="O1429">
        <v>182.85</v>
      </c>
    </row>
    <row r="1430" spans="1:15" x14ac:dyDescent="0.35">
      <c r="A1430" t="s">
        <v>3043</v>
      </c>
      <c r="B1430" t="s">
        <v>24</v>
      </c>
      <c r="C1430" t="s">
        <v>3044</v>
      </c>
      <c r="D1430" t="s">
        <v>44</v>
      </c>
      <c r="E1430" t="s">
        <v>33</v>
      </c>
      <c r="F1430" t="s">
        <v>27</v>
      </c>
      <c r="G1430" t="s">
        <v>521</v>
      </c>
      <c r="H1430" s="1">
        <v>45398.15902777778</v>
      </c>
      <c r="I1430" s="1">
        <v>45398.36041666667</v>
      </c>
      <c r="J1430">
        <v>236</v>
      </c>
      <c r="K1430">
        <v>290</v>
      </c>
      <c r="L1430">
        <v>1</v>
      </c>
      <c r="M1430" t="s">
        <v>22</v>
      </c>
      <c r="N1430">
        <v>6</v>
      </c>
      <c r="O1430">
        <v>371.21</v>
      </c>
    </row>
    <row r="1431" spans="1:15" x14ac:dyDescent="0.35">
      <c r="A1431" t="s">
        <v>3045</v>
      </c>
      <c r="B1431" t="s">
        <v>31</v>
      </c>
      <c r="C1431" t="s">
        <v>3046</v>
      </c>
      <c r="D1431" t="s">
        <v>26</v>
      </c>
      <c r="E1431" t="s">
        <v>85</v>
      </c>
      <c r="F1431" t="s">
        <v>57</v>
      </c>
      <c r="G1431" t="s">
        <v>149</v>
      </c>
      <c r="H1431" s="1">
        <v>45424.398611111108</v>
      </c>
      <c r="I1431" s="1">
        <v>45424.503472222219</v>
      </c>
      <c r="J1431">
        <v>135</v>
      </c>
      <c r="K1431">
        <v>151</v>
      </c>
      <c r="L1431">
        <v>1</v>
      </c>
      <c r="M1431" t="s">
        <v>22</v>
      </c>
      <c r="N1431">
        <v>3</v>
      </c>
      <c r="O1431">
        <v>224.42</v>
      </c>
    </row>
    <row r="1432" spans="1:15" x14ac:dyDescent="0.35">
      <c r="A1432" t="s">
        <v>3047</v>
      </c>
      <c r="B1432" t="s">
        <v>24</v>
      </c>
      <c r="C1432" t="s">
        <v>3048</v>
      </c>
      <c r="D1432" t="s">
        <v>26</v>
      </c>
      <c r="E1432" t="s">
        <v>33</v>
      </c>
      <c r="F1432" t="s">
        <v>34</v>
      </c>
      <c r="G1432" t="s">
        <v>473</v>
      </c>
      <c r="H1432" s="1">
        <v>45478.027777777781</v>
      </c>
      <c r="I1432" s="1">
        <v>45478.098611111112</v>
      </c>
      <c r="J1432">
        <v>27</v>
      </c>
      <c r="K1432">
        <v>102</v>
      </c>
      <c r="L1432">
        <v>1</v>
      </c>
      <c r="M1432" t="s">
        <v>29</v>
      </c>
      <c r="N1432">
        <v>7</v>
      </c>
      <c r="O1432">
        <v>433.49</v>
      </c>
    </row>
    <row r="1433" spans="1:15" x14ac:dyDescent="0.35">
      <c r="A1433" t="s">
        <v>3049</v>
      </c>
      <c r="B1433" t="s">
        <v>31</v>
      </c>
      <c r="C1433" t="s">
        <v>3050</v>
      </c>
      <c r="D1433" t="s">
        <v>44</v>
      </c>
      <c r="E1433" t="s">
        <v>85</v>
      </c>
      <c r="F1433" t="s">
        <v>27</v>
      </c>
      <c r="G1433" t="s">
        <v>91</v>
      </c>
      <c r="H1433" s="1">
        <v>45588.165972222225</v>
      </c>
      <c r="I1433" s="1">
        <v>45588.307638888888</v>
      </c>
      <c r="J1433">
        <v>117</v>
      </c>
      <c r="K1433">
        <v>204</v>
      </c>
      <c r="L1433">
        <v>1</v>
      </c>
      <c r="M1433" t="s">
        <v>41</v>
      </c>
      <c r="N1433">
        <v>2</v>
      </c>
      <c r="O1433">
        <v>489</v>
      </c>
    </row>
    <row r="1434" spans="1:15" x14ac:dyDescent="0.35">
      <c r="A1434" t="s">
        <v>3051</v>
      </c>
      <c r="B1434" t="s">
        <v>63</v>
      </c>
      <c r="C1434" t="s">
        <v>3052</v>
      </c>
      <c r="D1434" t="s">
        <v>48</v>
      </c>
      <c r="E1434" t="s">
        <v>33</v>
      </c>
      <c r="F1434" t="s">
        <v>39</v>
      </c>
      <c r="G1434" t="s">
        <v>91</v>
      </c>
      <c r="H1434" s="1">
        <v>45478.670138888891</v>
      </c>
      <c r="I1434" s="1">
        <v>45478.765277777777</v>
      </c>
      <c r="J1434">
        <v>97</v>
      </c>
      <c r="K1434">
        <v>137</v>
      </c>
      <c r="L1434">
        <v>1</v>
      </c>
      <c r="M1434" t="s">
        <v>29</v>
      </c>
      <c r="N1434">
        <v>6</v>
      </c>
      <c r="O1434">
        <v>393.51</v>
      </c>
    </row>
    <row r="1435" spans="1:15" x14ac:dyDescent="0.35">
      <c r="A1435" t="s">
        <v>3053</v>
      </c>
      <c r="B1435" t="s">
        <v>24</v>
      </c>
      <c r="C1435" t="s">
        <v>3054</v>
      </c>
      <c r="D1435" t="s">
        <v>56</v>
      </c>
      <c r="E1435" t="s">
        <v>85</v>
      </c>
      <c r="F1435" t="s">
        <v>39</v>
      </c>
      <c r="G1435" t="s">
        <v>167</v>
      </c>
      <c r="H1435" s="1">
        <v>45602.598611111112</v>
      </c>
      <c r="I1435" s="1">
        <v>45602.763194444444</v>
      </c>
      <c r="J1435">
        <v>141</v>
      </c>
      <c r="K1435">
        <v>237</v>
      </c>
      <c r="L1435">
        <v>1</v>
      </c>
      <c r="M1435" t="s">
        <v>41</v>
      </c>
      <c r="N1435">
        <v>7</v>
      </c>
      <c r="O1435">
        <v>94.05</v>
      </c>
    </row>
    <row r="1436" spans="1:15" x14ac:dyDescent="0.35">
      <c r="A1436" t="s">
        <v>3055</v>
      </c>
      <c r="B1436" t="s">
        <v>24</v>
      </c>
      <c r="C1436" t="s">
        <v>3056</v>
      </c>
      <c r="D1436" t="s">
        <v>56</v>
      </c>
      <c r="E1436" t="s">
        <v>85</v>
      </c>
      <c r="F1436" t="s">
        <v>34</v>
      </c>
      <c r="G1436" t="s">
        <v>155</v>
      </c>
      <c r="H1436" s="1">
        <v>45443.211111111108</v>
      </c>
      <c r="I1436" s="1">
        <v>45443.271527777775</v>
      </c>
      <c r="J1436">
        <v>21</v>
      </c>
      <c r="K1436">
        <v>87</v>
      </c>
      <c r="L1436">
        <v>1</v>
      </c>
      <c r="M1436" t="s">
        <v>22</v>
      </c>
      <c r="N1436">
        <v>1</v>
      </c>
      <c r="O1436">
        <v>238.46</v>
      </c>
    </row>
    <row r="1437" spans="1:15" x14ac:dyDescent="0.35">
      <c r="A1437" t="s">
        <v>3057</v>
      </c>
      <c r="B1437" t="s">
        <v>24</v>
      </c>
      <c r="C1437" t="s">
        <v>3058</v>
      </c>
      <c r="D1437" t="s">
        <v>26</v>
      </c>
      <c r="E1437" t="s">
        <v>33</v>
      </c>
      <c r="F1437" t="s">
        <v>20</v>
      </c>
      <c r="G1437" t="s">
        <v>359</v>
      </c>
      <c r="H1437" s="1">
        <v>45414.441666666666</v>
      </c>
      <c r="I1437" s="1">
        <v>45414.637499999997</v>
      </c>
      <c r="J1437">
        <v>162</v>
      </c>
      <c r="K1437">
        <v>282</v>
      </c>
      <c r="L1437">
        <v>1</v>
      </c>
      <c r="M1437" t="s">
        <v>41</v>
      </c>
      <c r="N1437">
        <v>7</v>
      </c>
      <c r="O1437">
        <v>316.13</v>
      </c>
    </row>
    <row r="1438" spans="1:15" x14ac:dyDescent="0.35">
      <c r="A1438" t="s">
        <v>3059</v>
      </c>
      <c r="B1438" t="s">
        <v>16</v>
      </c>
      <c r="C1438" t="s">
        <v>3060</v>
      </c>
      <c r="D1438" t="s">
        <v>18</v>
      </c>
      <c r="E1438" t="s">
        <v>85</v>
      </c>
      <c r="F1438" t="s">
        <v>34</v>
      </c>
      <c r="G1438" t="s">
        <v>669</v>
      </c>
      <c r="H1438" s="1">
        <v>45332.680555555555</v>
      </c>
      <c r="I1438" s="1">
        <v>45332.761805555558</v>
      </c>
      <c r="J1438">
        <v>22</v>
      </c>
      <c r="K1438">
        <v>117</v>
      </c>
      <c r="L1438">
        <v>1</v>
      </c>
      <c r="M1438" t="s">
        <v>41</v>
      </c>
      <c r="N1438">
        <v>9</v>
      </c>
      <c r="O1438">
        <v>404.54</v>
      </c>
    </row>
    <row r="1439" spans="1:15" x14ac:dyDescent="0.35">
      <c r="A1439" t="s">
        <v>3061</v>
      </c>
      <c r="B1439" t="s">
        <v>31</v>
      </c>
      <c r="C1439" t="s">
        <v>3062</v>
      </c>
      <c r="D1439" t="s">
        <v>18</v>
      </c>
      <c r="E1439" t="s">
        <v>19</v>
      </c>
      <c r="F1439" t="s">
        <v>34</v>
      </c>
      <c r="G1439" t="s">
        <v>376</v>
      </c>
      <c r="H1439" s="1">
        <v>45526.143055555556</v>
      </c>
      <c r="I1439" s="1">
        <v>45526.242361111108</v>
      </c>
      <c r="J1439">
        <v>81</v>
      </c>
      <c r="K1439">
        <v>143</v>
      </c>
      <c r="L1439">
        <v>1</v>
      </c>
      <c r="M1439" t="s">
        <v>22</v>
      </c>
      <c r="N1439">
        <v>10</v>
      </c>
      <c r="O1439">
        <v>320.64999999999998</v>
      </c>
    </row>
    <row r="1440" spans="1:15" x14ac:dyDescent="0.35">
      <c r="A1440" t="s">
        <v>3063</v>
      </c>
      <c r="B1440" t="s">
        <v>63</v>
      </c>
      <c r="C1440" t="s">
        <v>3064</v>
      </c>
      <c r="D1440" t="s">
        <v>44</v>
      </c>
      <c r="E1440" t="s">
        <v>38</v>
      </c>
      <c r="F1440" t="s">
        <v>20</v>
      </c>
      <c r="G1440" t="s">
        <v>185</v>
      </c>
      <c r="H1440" s="1">
        <v>45533.186111111114</v>
      </c>
      <c r="I1440" s="1">
        <v>45533.34097222222</v>
      </c>
      <c r="J1440">
        <v>107</v>
      </c>
      <c r="K1440">
        <v>223</v>
      </c>
      <c r="L1440">
        <v>1</v>
      </c>
      <c r="M1440" t="s">
        <v>29</v>
      </c>
      <c r="N1440">
        <v>7</v>
      </c>
      <c r="O1440">
        <v>221.55</v>
      </c>
    </row>
    <row r="1441" spans="1:15" x14ac:dyDescent="0.35">
      <c r="A1441" t="s">
        <v>3065</v>
      </c>
      <c r="B1441" t="s">
        <v>16</v>
      </c>
      <c r="C1441" t="s">
        <v>3066</v>
      </c>
      <c r="D1441" t="s">
        <v>44</v>
      </c>
      <c r="E1441" t="s">
        <v>33</v>
      </c>
      <c r="F1441" t="s">
        <v>57</v>
      </c>
      <c r="G1441" t="s">
        <v>308</v>
      </c>
      <c r="H1441" s="1">
        <v>45464.856249999997</v>
      </c>
      <c r="I1441" s="1">
        <v>45465.084027777775</v>
      </c>
      <c r="J1441">
        <v>225</v>
      </c>
      <c r="K1441">
        <v>328</v>
      </c>
      <c r="L1441">
        <v>1</v>
      </c>
      <c r="M1441" t="s">
        <v>22</v>
      </c>
      <c r="N1441">
        <v>4</v>
      </c>
      <c r="O1441">
        <v>284.13</v>
      </c>
    </row>
    <row r="1442" spans="1:15" x14ac:dyDescent="0.35">
      <c r="A1442" t="s">
        <v>3067</v>
      </c>
      <c r="B1442" t="s">
        <v>63</v>
      </c>
      <c r="C1442" t="s">
        <v>3068</v>
      </c>
      <c r="D1442" t="s">
        <v>56</v>
      </c>
      <c r="E1442" t="s">
        <v>85</v>
      </c>
      <c r="F1442" t="s">
        <v>27</v>
      </c>
      <c r="G1442" t="s">
        <v>777</v>
      </c>
      <c r="H1442" s="1">
        <v>45601.601388888892</v>
      </c>
      <c r="I1442" s="1">
        <v>45601.67291666667</v>
      </c>
      <c r="J1442">
        <v>82</v>
      </c>
      <c r="K1442">
        <v>103</v>
      </c>
      <c r="L1442">
        <v>1</v>
      </c>
      <c r="M1442" t="s">
        <v>29</v>
      </c>
      <c r="N1442">
        <v>6</v>
      </c>
      <c r="O1442">
        <v>220.6</v>
      </c>
    </row>
    <row r="1443" spans="1:15" x14ac:dyDescent="0.35">
      <c r="A1443" t="s">
        <v>3069</v>
      </c>
      <c r="B1443" t="s">
        <v>31</v>
      </c>
      <c r="C1443" t="s">
        <v>3070</v>
      </c>
      <c r="D1443" t="s">
        <v>26</v>
      </c>
      <c r="E1443" t="s">
        <v>85</v>
      </c>
      <c r="F1443" t="s">
        <v>27</v>
      </c>
      <c r="G1443" t="s">
        <v>68</v>
      </c>
      <c r="H1443" s="1">
        <v>45654.520833333336</v>
      </c>
      <c r="I1443" s="1">
        <v>45654.71875</v>
      </c>
      <c r="J1443">
        <v>187</v>
      </c>
      <c r="K1443">
        <v>285</v>
      </c>
      <c r="L1443">
        <v>1</v>
      </c>
      <c r="M1443" t="s">
        <v>22</v>
      </c>
      <c r="N1443">
        <v>6</v>
      </c>
      <c r="O1443">
        <v>166.04</v>
      </c>
    </row>
    <row r="1444" spans="1:15" x14ac:dyDescent="0.35">
      <c r="A1444" t="s">
        <v>3071</v>
      </c>
      <c r="B1444" t="s">
        <v>24</v>
      </c>
      <c r="C1444" t="s">
        <v>3072</v>
      </c>
      <c r="D1444" t="s">
        <v>56</v>
      </c>
      <c r="E1444" t="s">
        <v>85</v>
      </c>
      <c r="F1444" t="s">
        <v>39</v>
      </c>
      <c r="G1444" t="s">
        <v>456</v>
      </c>
      <c r="H1444" s="1">
        <v>45481.211111111108</v>
      </c>
      <c r="I1444" s="1">
        <v>45481.35</v>
      </c>
      <c r="J1444">
        <v>179</v>
      </c>
      <c r="K1444">
        <v>200</v>
      </c>
      <c r="L1444">
        <v>1</v>
      </c>
      <c r="M1444" t="s">
        <v>22</v>
      </c>
      <c r="N1444">
        <v>9</v>
      </c>
      <c r="O1444">
        <v>188.42</v>
      </c>
    </row>
    <row r="1445" spans="1:15" x14ac:dyDescent="0.35">
      <c r="A1445" t="s">
        <v>3073</v>
      </c>
      <c r="B1445" t="s">
        <v>51</v>
      </c>
      <c r="C1445" t="s">
        <v>3074</v>
      </c>
      <c r="D1445" t="s">
        <v>44</v>
      </c>
      <c r="E1445" t="s">
        <v>85</v>
      </c>
      <c r="F1445" t="s">
        <v>57</v>
      </c>
      <c r="G1445" t="s">
        <v>73</v>
      </c>
      <c r="H1445" s="1">
        <v>45507.988888888889</v>
      </c>
      <c r="I1445" s="1">
        <v>45508.138194444444</v>
      </c>
      <c r="J1445">
        <v>129</v>
      </c>
      <c r="K1445">
        <v>215</v>
      </c>
      <c r="L1445">
        <v>1</v>
      </c>
      <c r="M1445" t="s">
        <v>41</v>
      </c>
      <c r="N1445">
        <v>5</v>
      </c>
      <c r="O1445">
        <v>158.74</v>
      </c>
    </row>
    <row r="1446" spans="1:15" x14ac:dyDescent="0.35">
      <c r="A1446" t="s">
        <v>3075</v>
      </c>
      <c r="B1446" t="s">
        <v>16</v>
      </c>
      <c r="C1446" t="s">
        <v>3076</v>
      </c>
      <c r="D1446" t="s">
        <v>18</v>
      </c>
      <c r="E1446" t="s">
        <v>85</v>
      </c>
      <c r="F1446" t="s">
        <v>57</v>
      </c>
      <c r="G1446" t="s">
        <v>152</v>
      </c>
      <c r="H1446" s="1">
        <v>45588.345138888886</v>
      </c>
      <c r="I1446" s="1">
        <v>45588.534722222219</v>
      </c>
      <c r="J1446">
        <v>154</v>
      </c>
      <c r="K1446">
        <v>273</v>
      </c>
      <c r="L1446">
        <v>1</v>
      </c>
      <c r="M1446" t="s">
        <v>29</v>
      </c>
      <c r="N1446">
        <v>7</v>
      </c>
      <c r="O1446">
        <v>210.58</v>
      </c>
    </row>
    <row r="1447" spans="1:15" x14ac:dyDescent="0.35">
      <c r="A1447" t="s">
        <v>3077</v>
      </c>
      <c r="B1447" t="s">
        <v>31</v>
      </c>
      <c r="C1447" t="s">
        <v>3078</v>
      </c>
      <c r="D1447" t="s">
        <v>56</v>
      </c>
      <c r="E1447" t="s">
        <v>19</v>
      </c>
      <c r="F1447" t="s">
        <v>39</v>
      </c>
      <c r="G1447" t="s">
        <v>505</v>
      </c>
      <c r="H1447" s="1">
        <v>45354.814583333333</v>
      </c>
      <c r="I1447" s="1">
        <v>45354.915277777778</v>
      </c>
      <c r="J1447">
        <v>143</v>
      </c>
      <c r="K1447">
        <v>145</v>
      </c>
      <c r="L1447">
        <v>1</v>
      </c>
      <c r="M1447" t="s">
        <v>22</v>
      </c>
      <c r="N1447">
        <v>7</v>
      </c>
      <c r="O1447">
        <v>219.55</v>
      </c>
    </row>
    <row r="1448" spans="1:15" x14ac:dyDescent="0.35">
      <c r="A1448" t="s">
        <v>3079</v>
      </c>
      <c r="B1448" t="s">
        <v>51</v>
      </c>
      <c r="C1448" t="s">
        <v>3080</v>
      </c>
      <c r="D1448" t="s">
        <v>44</v>
      </c>
      <c r="E1448" t="s">
        <v>85</v>
      </c>
      <c r="F1448" t="s">
        <v>39</v>
      </c>
      <c r="G1448" t="s">
        <v>500</v>
      </c>
      <c r="H1448" s="1">
        <v>45315.306250000001</v>
      </c>
      <c r="I1448" s="1">
        <v>45315.478472222225</v>
      </c>
      <c r="J1448">
        <v>169</v>
      </c>
      <c r="K1448">
        <v>248</v>
      </c>
      <c r="L1448">
        <v>1</v>
      </c>
      <c r="M1448" t="s">
        <v>41</v>
      </c>
      <c r="N1448">
        <v>3</v>
      </c>
      <c r="O1448">
        <v>310.89</v>
      </c>
    </row>
    <row r="1449" spans="1:15" x14ac:dyDescent="0.35">
      <c r="A1449" t="s">
        <v>3081</v>
      </c>
      <c r="B1449" t="s">
        <v>51</v>
      </c>
      <c r="C1449" t="s">
        <v>3082</v>
      </c>
      <c r="D1449" t="s">
        <v>26</v>
      </c>
      <c r="E1449" t="s">
        <v>85</v>
      </c>
      <c r="F1449" t="s">
        <v>34</v>
      </c>
      <c r="G1449" t="s">
        <v>311</v>
      </c>
      <c r="H1449" s="1">
        <v>45633.97152777778</v>
      </c>
      <c r="I1449" s="1">
        <v>45634.033333333333</v>
      </c>
      <c r="J1449">
        <v>43</v>
      </c>
      <c r="K1449">
        <v>89</v>
      </c>
      <c r="L1449">
        <v>1</v>
      </c>
      <c r="M1449" t="s">
        <v>41</v>
      </c>
      <c r="N1449">
        <v>5</v>
      </c>
      <c r="O1449">
        <v>260.61</v>
      </c>
    </row>
    <row r="1450" spans="1:15" x14ac:dyDescent="0.35">
      <c r="A1450" t="s">
        <v>3083</v>
      </c>
      <c r="B1450" t="s">
        <v>31</v>
      </c>
      <c r="C1450" t="s">
        <v>3084</v>
      </c>
      <c r="D1450" t="s">
        <v>48</v>
      </c>
      <c r="E1450" t="s">
        <v>85</v>
      </c>
      <c r="F1450" t="s">
        <v>39</v>
      </c>
      <c r="G1450" t="s">
        <v>225</v>
      </c>
      <c r="H1450" s="1">
        <v>45541.925000000003</v>
      </c>
      <c r="I1450" s="1">
        <v>45541.973611111112</v>
      </c>
      <c r="J1450">
        <v>40</v>
      </c>
      <c r="K1450">
        <v>70</v>
      </c>
      <c r="L1450">
        <v>1</v>
      </c>
      <c r="M1450" t="s">
        <v>29</v>
      </c>
      <c r="N1450">
        <v>8</v>
      </c>
      <c r="O1450">
        <v>139.03</v>
      </c>
    </row>
    <row r="1451" spans="1:15" x14ac:dyDescent="0.35">
      <c r="A1451" t="s">
        <v>3085</v>
      </c>
      <c r="B1451" t="s">
        <v>31</v>
      </c>
      <c r="C1451" t="s">
        <v>3086</v>
      </c>
      <c r="D1451" t="s">
        <v>56</v>
      </c>
      <c r="E1451" t="s">
        <v>85</v>
      </c>
      <c r="F1451" t="s">
        <v>20</v>
      </c>
      <c r="G1451" t="s">
        <v>539</v>
      </c>
      <c r="H1451" s="1">
        <v>45635.781944444447</v>
      </c>
      <c r="I1451" s="1">
        <v>45635.976388888892</v>
      </c>
      <c r="J1451">
        <v>217</v>
      </c>
      <c r="K1451">
        <v>280</v>
      </c>
      <c r="L1451">
        <v>1</v>
      </c>
      <c r="M1451" t="s">
        <v>29</v>
      </c>
      <c r="N1451">
        <v>9</v>
      </c>
      <c r="O1451">
        <v>324.99</v>
      </c>
    </row>
    <row r="1452" spans="1:15" x14ac:dyDescent="0.35">
      <c r="A1452" t="s">
        <v>3087</v>
      </c>
      <c r="B1452" t="s">
        <v>63</v>
      </c>
      <c r="C1452" t="s">
        <v>3088</v>
      </c>
      <c r="D1452" t="s">
        <v>44</v>
      </c>
      <c r="E1452" t="s">
        <v>38</v>
      </c>
      <c r="F1452" t="s">
        <v>34</v>
      </c>
      <c r="G1452" t="s">
        <v>415</v>
      </c>
      <c r="H1452" s="1">
        <v>45347.081944444442</v>
      </c>
      <c r="I1452" s="1">
        <v>45347.210416666669</v>
      </c>
      <c r="J1452">
        <v>143</v>
      </c>
      <c r="K1452">
        <v>185</v>
      </c>
      <c r="L1452">
        <v>1</v>
      </c>
      <c r="M1452" t="s">
        <v>41</v>
      </c>
      <c r="N1452">
        <v>6</v>
      </c>
      <c r="O1452">
        <v>404.01</v>
      </c>
    </row>
    <row r="1453" spans="1:15" x14ac:dyDescent="0.35">
      <c r="A1453" t="s">
        <v>3089</v>
      </c>
      <c r="B1453" t="s">
        <v>16</v>
      </c>
      <c r="C1453" t="s">
        <v>3090</v>
      </c>
      <c r="D1453" t="s">
        <v>26</v>
      </c>
      <c r="E1453" t="s">
        <v>33</v>
      </c>
      <c r="F1453" t="s">
        <v>20</v>
      </c>
      <c r="G1453" t="s">
        <v>335</v>
      </c>
      <c r="H1453" s="1">
        <v>45535.009027777778</v>
      </c>
      <c r="I1453" s="1">
        <v>45535.168749999997</v>
      </c>
      <c r="J1453">
        <v>218</v>
      </c>
      <c r="K1453">
        <v>230</v>
      </c>
      <c r="L1453">
        <v>1</v>
      </c>
      <c r="M1453" t="s">
        <v>41</v>
      </c>
      <c r="N1453">
        <v>1</v>
      </c>
      <c r="O1453">
        <v>149.63</v>
      </c>
    </row>
    <row r="1454" spans="1:15" x14ac:dyDescent="0.35">
      <c r="A1454" t="s">
        <v>3091</v>
      </c>
      <c r="B1454" t="s">
        <v>31</v>
      </c>
      <c r="C1454" t="s">
        <v>3092</v>
      </c>
      <c r="D1454" t="s">
        <v>26</v>
      </c>
      <c r="E1454" t="s">
        <v>33</v>
      </c>
      <c r="F1454" t="s">
        <v>57</v>
      </c>
      <c r="G1454" t="s">
        <v>288</v>
      </c>
      <c r="H1454" s="1">
        <v>45466.418055555558</v>
      </c>
      <c r="I1454" s="1">
        <v>45466.492361111108</v>
      </c>
      <c r="J1454">
        <v>28</v>
      </c>
      <c r="K1454">
        <v>107</v>
      </c>
      <c r="L1454">
        <v>1</v>
      </c>
      <c r="M1454" t="s">
        <v>41</v>
      </c>
      <c r="N1454">
        <v>10</v>
      </c>
      <c r="O1454">
        <v>473.53</v>
      </c>
    </row>
    <row r="1455" spans="1:15" x14ac:dyDescent="0.35">
      <c r="A1455" t="s">
        <v>3093</v>
      </c>
      <c r="B1455" t="s">
        <v>51</v>
      </c>
      <c r="C1455" t="s">
        <v>3094</v>
      </c>
      <c r="D1455" t="s">
        <v>44</v>
      </c>
      <c r="E1455" t="s">
        <v>19</v>
      </c>
      <c r="F1455" t="s">
        <v>27</v>
      </c>
      <c r="G1455" t="s">
        <v>191</v>
      </c>
      <c r="H1455" s="1">
        <v>45457.316666666666</v>
      </c>
      <c r="I1455" s="1">
        <v>45457.467361111114</v>
      </c>
      <c r="J1455">
        <v>106</v>
      </c>
      <c r="K1455">
        <v>217</v>
      </c>
      <c r="L1455">
        <v>1</v>
      </c>
      <c r="M1455" t="s">
        <v>29</v>
      </c>
      <c r="N1455">
        <v>2</v>
      </c>
      <c r="O1455">
        <v>75.12</v>
      </c>
    </row>
    <row r="1456" spans="1:15" x14ac:dyDescent="0.35">
      <c r="A1456" t="s">
        <v>3095</v>
      </c>
      <c r="B1456" t="s">
        <v>24</v>
      </c>
      <c r="C1456" t="s">
        <v>3096</v>
      </c>
      <c r="D1456" t="s">
        <v>48</v>
      </c>
      <c r="E1456" t="s">
        <v>38</v>
      </c>
      <c r="F1456" t="s">
        <v>27</v>
      </c>
      <c r="G1456" t="s">
        <v>204</v>
      </c>
      <c r="H1456" s="1">
        <v>45509.886805555558</v>
      </c>
      <c r="I1456" s="1">
        <v>45509.939583333333</v>
      </c>
      <c r="J1456">
        <v>70</v>
      </c>
      <c r="K1456">
        <v>76</v>
      </c>
      <c r="L1456">
        <v>1</v>
      </c>
      <c r="M1456" t="s">
        <v>41</v>
      </c>
      <c r="N1456">
        <v>10</v>
      </c>
      <c r="O1456">
        <v>178.13</v>
      </c>
    </row>
    <row r="1457" spans="1:15" x14ac:dyDescent="0.35">
      <c r="A1457" t="s">
        <v>3097</v>
      </c>
      <c r="B1457" t="s">
        <v>63</v>
      </c>
      <c r="C1457" t="s">
        <v>3098</v>
      </c>
      <c r="D1457" t="s">
        <v>48</v>
      </c>
      <c r="E1457" t="s">
        <v>38</v>
      </c>
      <c r="F1457" t="s">
        <v>57</v>
      </c>
      <c r="G1457" t="s">
        <v>485</v>
      </c>
      <c r="H1457" s="1">
        <v>45464.529861111114</v>
      </c>
      <c r="I1457" s="1">
        <v>45464.695138888892</v>
      </c>
      <c r="J1457">
        <v>154</v>
      </c>
      <c r="K1457">
        <v>238</v>
      </c>
      <c r="L1457">
        <v>1</v>
      </c>
      <c r="M1457" t="s">
        <v>29</v>
      </c>
      <c r="N1457">
        <v>3</v>
      </c>
      <c r="O1457">
        <v>127.09</v>
      </c>
    </row>
    <row r="1458" spans="1:15" x14ac:dyDescent="0.35">
      <c r="A1458" t="s">
        <v>3099</v>
      </c>
      <c r="B1458" t="s">
        <v>31</v>
      </c>
      <c r="C1458" t="s">
        <v>3100</v>
      </c>
      <c r="D1458" t="s">
        <v>18</v>
      </c>
      <c r="E1458" t="s">
        <v>85</v>
      </c>
      <c r="F1458" t="s">
        <v>34</v>
      </c>
      <c r="G1458" t="s">
        <v>650</v>
      </c>
      <c r="H1458" s="1">
        <v>45392.077777777777</v>
      </c>
      <c r="I1458" s="1">
        <v>45392.195138888892</v>
      </c>
      <c r="J1458">
        <v>123</v>
      </c>
      <c r="K1458">
        <v>169</v>
      </c>
      <c r="L1458">
        <v>1</v>
      </c>
      <c r="M1458" t="s">
        <v>29</v>
      </c>
      <c r="N1458">
        <v>4</v>
      </c>
      <c r="O1458">
        <v>454.51</v>
      </c>
    </row>
    <row r="1459" spans="1:15" x14ac:dyDescent="0.35">
      <c r="A1459" t="s">
        <v>3101</v>
      </c>
      <c r="B1459" t="s">
        <v>24</v>
      </c>
      <c r="C1459" t="s">
        <v>3102</v>
      </c>
      <c r="D1459" t="s">
        <v>18</v>
      </c>
      <c r="E1459" t="s">
        <v>33</v>
      </c>
      <c r="F1459" t="s">
        <v>20</v>
      </c>
      <c r="G1459" t="s">
        <v>79</v>
      </c>
      <c r="H1459" s="1">
        <v>45638.039583333331</v>
      </c>
      <c r="I1459" s="1">
        <v>45638.25277777778</v>
      </c>
      <c r="J1459">
        <v>207</v>
      </c>
      <c r="K1459">
        <v>307</v>
      </c>
      <c r="L1459">
        <v>1</v>
      </c>
      <c r="M1459" t="s">
        <v>29</v>
      </c>
      <c r="N1459">
        <v>3</v>
      </c>
      <c r="O1459">
        <v>496.59</v>
      </c>
    </row>
    <row r="1460" spans="1:15" x14ac:dyDescent="0.35">
      <c r="A1460" t="s">
        <v>3103</v>
      </c>
      <c r="B1460" t="s">
        <v>31</v>
      </c>
      <c r="C1460" t="s">
        <v>3104</v>
      </c>
      <c r="D1460" t="s">
        <v>26</v>
      </c>
      <c r="E1460" t="s">
        <v>85</v>
      </c>
      <c r="F1460" t="s">
        <v>39</v>
      </c>
      <c r="G1460" t="s">
        <v>293</v>
      </c>
      <c r="H1460" s="1">
        <v>45436.15347222222</v>
      </c>
      <c r="I1460" s="1">
        <v>45436.304861111108</v>
      </c>
      <c r="J1460">
        <v>136</v>
      </c>
      <c r="K1460">
        <v>218</v>
      </c>
      <c r="L1460">
        <v>1</v>
      </c>
      <c r="M1460" t="s">
        <v>41</v>
      </c>
      <c r="N1460">
        <v>9</v>
      </c>
      <c r="O1460">
        <v>350.05</v>
      </c>
    </row>
    <row r="1461" spans="1:15" x14ac:dyDescent="0.35">
      <c r="A1461" t="s">
        <v>3105</v>
      </c>
      <c r="B1461" t="s">
        <v>16</v>
      </c>
      <c r="C1461" t="s">
        <v>3106</v>
      </c>
      <c r="D1461" t="s">
        <v>56</v>
      </c>
      <c r="E1461" t="s">
        <v>33</v>
      </c>
      <c r="F1461" t="s">
        <v>57</v>
      </c>
      <c r="G1461" t="s">
        <v>1413</v>
      </c>
      <c r="H1461" s="1">
        <v>45612.726388888892</v>
      </c>
      <c r="I1461" s="1">
        <v>45612.853472222225</v>
      </c>
      <c r="J1461">
        <v>136</v>
      </c>
      <c r="K1461">
        <v>183</v>
      </c>
      <c r="L1461">
        <v>1</v>
      </c>
      <c r="M1461" t="s">
        <v>41</v>
      </c>
      <c r="N1461">
        <v>10</v>
      </c>
      <c r="O1461">
        <v>189.19</v>
      </c>
    </row>
    <row r="1462" spans="1:15" x14ac:dyDescent="0.35">
      <c r="A1462" t="s">
        <v>3107</v>
      </c>
      <c r="B1462" t="s">
        <v>16</v>
      </c>
      <c r="C1462" t="s">
        <v>3108</v>
      </c>
      <c r="D1462" t="s">
        <v>18</v>
      </c>
      <c r="E1462" t="s">
        <v>33</v>
      </c>
      <c r="F1462" t="s">
        <v>39</v>
      </c>
      <c r="G1462" t="s">
        <v>1030</v>
      </c>
      <c r="H1462" s="1">
        <v>45542.070833333331</v>
      </c>
      <c r="I1462" s="1">
        <v>45542.112500000003</v>
      </c>
      <c r="J1462">
        <v>58</v>
      </c>
      <c r="K1462">
        <v>60</v>
      </c>
      <c r="L1462">
        <v>1</v>
      </c>
      <c r="M1462" t="s">
        <v>29</v>
      </c>
      <c r="N1462">
        <v>4</v>
      </c>
      <c r="O1462">
        <v>264.43</v>
      </c>
    </row>
    <row r="1463" spans="1:15" x14ac:dyDescent="0.35">
      <c r="A1463" t="s">
        <v>3109</v>
      </c>
      <c r="B1463" t="s">
        <v>63</v>
      </c>
      <c r="C1463" t="s">
        <v>3110</v>
      </c>
      <c r="D1463" t="s">
        <v>44</v>
      </c>
      <c r="E1463" t="s">
        <v>33</v>
      </c>
      <c r="F1463" t="s">
        <v>57</v>
      </c>
      <c r="G1463" t="s">
        <v>68</v>
      </c>
      <c r="H1463" s="1">
        <v>45386.603472222225</v>
      </c>
      <c r="I1463" s="1">
        <v>45386.805555555555</v>
      </c>
      <c r="J1463">
        <v>177</v>
      </c>
      <c r="K1463">
        <v>291</v>
      </c>
      <c r="L1463">
        <v>1</v>
      </c>
      <c r="M1463" t="s">
        <v>41</v>
      </c>
      <c r="N1463">
        <v>10</v>
      </c>
      <c r="O1463">
        <v>85.82</v>
      </c>
    </row>
    <row r="1464" spans="1:15" x14ac:dyDescent="0.35">
      <c r="A1464" t="s">
        <v>3111</v>
      </c>
      <c r="B1464" t="s">
        <v>16</v>
      </c>
      <c r="C1464" t="s">
        <v>3112</v>
      </c>
      <c r="D1464" t="s">
        <v>26</v>
      </c>
      <c r="E1464" t="s">
        <v>33</v>
      </c>
      <c r="F1464" t="s">
        <v>57</v>
      </c>
      <c r="G1464" t="s">
        <v>476</v>
      </c>
      <c r="H1464" s="1">
        <v>45493.056944444441</v>
      </c>
      <c r="I1464" s="1">
        <v>45493.253472222219</v>
      </c>
      <c r="J1464">
        <v>168</v>
      </c>
      <c r="K1464">
        <v>283</v>
      </c>
      <c r="L1464">
        <v>1</v>
      </c>
      <c r="M1464" t="s">
        <v>41</v>
      </c>
      <c r="N1464">
        <v>2</v>
      </c>
      <c r="O1464">
        <v>409.93</v>
      </c>
    </row>
    <row r="1465" spans="1:15" x14ac:dyDescent="0.35">
      <c r="A1465" t="s">
        <v>3113</v>
      </c>
      <c r="B1465" t="s">
        <v>51</v>
      </c>
      <c r="C1465" t="s">
        <v>3114</v>
      </c>
      <c r="D1465" t="s">
        <v>48</v>
      </c>
      <c r="E1465" t="s">
        <v>33</v>
      </c>
      <c r="F1465" t="s">
        <v>34</v>
      </c>
      <c r="G1465" t="s">
        <v>521</v>
      </c>
      <c r="H1465" s="1">
        <v>45317.673611111109</v>
      </c>
      <c r="I1465" s="1">
        <v>45317.852777777778</v>
      </c>
      <c r="J1465">
        <v>204</v>
      </c>
      <c r="K1465">
        <v>258</v>
      </c>
      <c r="L1465">
        <v>1</v>
      </c>
      <c r="M1465" t="s">
        <v>41</v>
      </c>
      <c r="N1465">
        <v>1</v>
      </c>
      <c r="O1465">
        <v>78</v>
      </c>
    </row>
    <row r="1466" spans="1:15" x14ac:dyDescent="0.35">
      <c r="A1466" t="s">
        <v>3115</v>
      </c>
      <c r="B1466" t="s">
        <v>24</v>
      </c>
      <c r="C1466" t="s">
        <v>3116</v>
      </c>
      <c r="D1466" t="s">
        <v>48</v>
      </c>
      <c r="E1466" t="s">
        <v>19</v>
      </c>
      <c r="F1466" t="s">
        <v>20</v>
      </c>
      <c r="G1466" t="s">
        <v>225</v>
      </c>
      <c r="H1466" s="1">
        <v>45593.38958333333</v>
      </c>
      <c r="I1466" s="1">
        <v>45593.50277777778</v>
      </c>
      <c r="J1466">
        <v>99</v>
      </c>
      <c r="K1466">
        <v>163</v>
      </c>
      <c r="L1466">
        <v>1</v>
      </c>
      <c r="M1466" t="s">
        <v>29</v>
      </c>
      <c r="N1466">
        <v>4</v>
      </c>
      <c r="O1466">
        <v>126.13</v>
      </c>
    </row>
    <row r="1467" spans="1:15" x14ac:dyDescent="0.35">
      <c r="A1467" t="s">
        <v>3117</v>
      </c>
      <c r="B1467" t="s">
        <v>16</v>
      </c>
      <c r="C1467" t="s">
        <v>3118</v>
      </c>
      <c r="D1467" t="s">
        <v>18</v>
      </c>
      <c r="E1467" t="s">
        <v>85</v>
      </c>
      <c r="F1467" t="s">
        <v>39</v>
      </c>
      <c r="G1467" t="s">
        <v>108</v>
      </c>
      <c r="H1467" s="1">
        <v>45450.382638888892</v>
      </c>
      <c r="I1467" s="1">
        <v>45450.49722222222</v>
      </c>
      <c r="J1467">
        <v>55</v>
      </c>
      <c r="K1467">
        <v>165</v>
      </c>
      <c r="L1467">
        <v>1</v>
      </c>
      <c r="M1467" t="s">
        <v>22</v>
      </c>
      <c r="N1467">
        <v>2</v>
      </c>
      <c r="O1467">
        <v>356.42</v>
      </c>
    </row>
    <row r="1468" spans="1:15" x14ac:dyDescent="0.35">
      <c r="A1468" t="s">
        <v>3119</v>
      </c>
      <c r="B1468" t="s">
        <v>51</v>
      </c>
      <c r="C1468" t="s">
        <v>3120</v>
      </c>
      <c r="D1468" t="s">
        <v>18</v>
      </c>
      <c r="E1468" t="s">
        <v>19</v>
      </c>
      <c r="F1468" t="s">
        <v>39</v>
      </c>
      <c r="G1468" t="s">
        <v>853</v>
      </c>
      <c r="H1468" s="1">
        <v>45380.27847222222</v>
      </c>
      <c r="I1468" s="1">
        <v>45380.414583333331</v>
      </c>
      <c r="J1468">
        <v>84</v>
      </c>
      <c r="K1468">
        <v>196</v>
      </c>
      <c r="L1468">
        <v>1</v>
      </c>
      <c r="M1468" t="s">
        <v>22</v>
      </c>
      <c r="N1468">
        <v>6</v>
      </c>
      <c r="O1468">
        <v>481.66</v>
      </c>
    </row>
    <row r="1469" spans="1:15" x14ac:dyDescent="0.35">
      <c r="A1469" t="s">
        <v>3121</v>
      </c>
      <c r="B1469" t="s">
        <v>24</v>
      </c>
      <c r="C1469" t="s">
        <v>3122</v>
      </c>
      <c r="D1469" t="s">
        <v>26</v>
      </c>
      <c r="E1469" t="s">
        <v>38</v>
      </c>
      <c r="F1469" t="s">
        <v>34</v>
      </c>
      <c r="G1469" t="s">
        <v>470</v>
      </c>
      <c r="H1469" s="1">
        <v>45544.677083333336</v>
      </c>
      <c r="I1469" s="1">
        <v>45544.84097222222</v>
      </c>
      <c r="J1469">
        <v>222</v>
      </c>
      <c r="K1469">
        <v>236</v>
      </c>
      <c r="L1469">
        <v>1</v>
      </c>
      <c r="M1469" t="s">
        <v>29</v>
      </c>
      <c r="N1469">
        <v>6</v>
      </c>
      <c r="O1469">
        <v>290.13</v>
      </c>
    </row>
    <row r="1470" spans="1:15" x14ac:dyDescent="0.35">
      <c r="A1470" t="s">
        <v>3123</v>
      </c>
      <c r="B1470" t="s">
        <v>31</v>
      </c>
      <c r="C1470" t="s">
        <v>3124</v>
      </c>
      <c r="D1470" t="s">
        <v>18</v>
      </c>
      <c r="E1470" t="s">
        <v>85</v>
      </c>
      <c r="F1470" t="s">
        <v>20</v>
      </c>
      <c r="G1470" t="s">
        <v>149</v>
      </c>
      <c r="H1470" s="1">
        <v>45472.386111111111</v>
      </c>
      <c r="I1470" s="1">
        <v>45472.582638888889</v>
      </c>
      <c r="J1470">
        <v>166</v>
      </c>
      <c r="K1470">
        <v>283</v>
      </c>
      <c r="L1470">
        <v>1</v>
      </c>
      <c r="M1470" t="s">
        <v>29</v>
      </c>
      <c r="N1470">
        <v>7</v>
      </c>
      <c r="O1470">
        <v>282.91000000000003</v>
      </c>
    </row>
    <row r="1471" spans="1:15" x14ac:dyDescent="0.35">
      <c r="A1471" t="s">
        <v>3125</v>
      </c>
      <c r="B1471" t="s">
        <v>24</v>
      </c>
      <c r="C1471" t="s">
        <v>3126</v>
      </c>
      <c r="D1471" t="s">
        <v>56</v>
      </c>
      <c r="E1471" t="s">
        <v>85</v>
      </c>
      <c r="F1471" t="s">
        <v>57</v>
      </c>
      <c r="G1471" t="s">
        <v>456</v>
      </c>
      <c r="H1471" s="1">
        <v>45343.914583333331</v>
      </c>
      <c r="I1471" s="1">
        <v>45344.043055555558</v>
      </c>
      <c r="J1471">
        <v>131</v>
      </c>
      <c r="K1471">
        <v>185</v>
      </c>
      <c r="L1471">
        <v>1</v>
      </c>
      <c r="M1471" t="s">
        <v>22</v>
      </c>
      <c r="N1471">
        <v>9</v>
      </c>
      <c r="O1471">
        <v>155.88999999999999</v>
      </c>
    </row>
    <row r="1472" spans="1:15" x14ac:dyDescent="0.35">
      <c r="A1472" t="s">
        <v>3127</v>
      </c>
      <c r="B1472" t="s">
        <v>24</v>
      </c>
      <c r="C1472" t="s">
        <v>3128</v>
      </c>
      <c r="D1472" t="s">
        <v>56</v>
      </c>
      <c r="E1472" t="s">
        <v>19</v>
      </c>
      <c r="F1472" t="s">
        <v>27</v>
      </c>
      <c r="G1472" t="s">
        <v>594</v>
      </c>
      <c r="H1472" s="1">
        <v>45327.956944444442</v>
      </c>
      <c r="I1472" s="1">
        <v>45328.052083333336</v>
      </c>
      <c r="J1472">
        <v>27</v>
      </c>
      <c r="K1472">
        <v>137</v>
      </c>
      <c r="L1472">
        <v>1</v>
      </c>
      <c r="M1472" t="s">
        <v>29</v>
      </c>
      <c r="N1472">
        <v>6</v>
      </c>
      <c r="O1472">
        <v>428.59</v>
      </c>
    </row>
    <row r="1473" spans="1:15" x14ac:dyDescent="0.35">
      <c r="A1473" t="s">
        <v>3129</v>
      </c>
      <c r="B1473" t="s">
        <v>63</v>
      </c>
      <c r="C1473" t="s">
        <v>3130</v>
      </c>
      <c r="D1473" t="s">
        <v>18</v>
      </c>
      <c r="E1473" t="s">
        <v>33</v>
      </c>
      <c r="F1473" t="s">
        <v>20</v>
      </c>
      <c r="G1473" t="s">
        <v>79</v>
      </c>
      <c r="H1473" s="1">
        <v>45464.663194444445</v>
      </c>
      <c r="I1473" s="1">
        <v>45464.790972222225</v>
      </c>
      <c r="J1473">
        <v>151</v>
      </c>
      <c r="K1473">
        <v>184</v>
      </c>
      <c r="L1473">
        <v>1</v>
      </c>
      <c r="M1473" t="s">
        <v>22</v>
      </c>
      <c r="N1473">
        <v>5</v>
      </c>
      <c r="O1473">
        <v>331.49</v>
      </c>
    </row>
    <row r="1474" spans="1:15" x14ac:dyDescent="0.35">
      <c r="A1474" t="s">
        <v>3131</v>
      </c>
      <c r="B1474" t="s">
        <v>16</v>
      </c>
      <c r="C1474" t="s">
        <v>3132</v>
      </c>
      <c r="D1474" t="s">
        <v>44</v>
      </c>
      <c r="E1474" t="s">
        <v>33</v>
      </c>
      <c r="F1474" t="s">
        <v>34</v>
      </c>
      <c r="G1474" t="s">
        <v>669</v>
      </c>
      <c r="H1474" s="1">
        <v>45413.07708333333</v>
      </c>
      <c r="I1474" s="1">
        <v>45413.136111111111</v>
      </c>
      <c r="J1474">
        <v>37</v>
      </c>
      <c r="K1474">
        <v>85</v>
      </c>
      <c r="L1474">
        <v>1</v>
      </c>
      <c r="M1474" t="s">
        <v>22</v>
      </c>
      <c r="N1474">
        <v>8</v>
      </c>
      <c r="O1474">
        <v>357.76</v>
      </c>
    </row>
    <row r="1475" spans="1:15" x14ac:dyDescent="0.35">
      <c r="A1475" t="s">
        <v>3133</v>
      </c>
      <c r="B1475" t="s">
        <v>16</v>
      </c>
      <c r="C1475" t="s">
        <v>3134</v>
      </c>
      <c r="D1475" t="s">
        <v>56</v>
      </c>
      <c r="E1475" t="s">
        <v>33</v>
      </c>
      <c r="F1475" t="s">
        <v>57</v>
      </c>
      <c r="G1475" t="s">
        <v>594</v>
      </c>
      <c r="H1475" s="1">
        <v>45513.474999999999</v>
      </c>
      <c r="I1475" s="1">
        <v>45513.637499999997</v>
      </c>
      <c r="J1475">
        <v>227</v>
      </c>
      <c r="K1475">
        <v>234</v>
      </c>
      <c r="L1475">
        <v>1</v>
      </c>
      <c r="M1475" t="s">
        <v>22</v>
      </c>
      <c r="N1475">
        <v>9</v>
      </c>
      <c r="O1475">
        <v>242.25</v>
      </c>
    </row>
    <row r="1476" spans="1:15" x14ac:dyDescent="0.35">
      <c r="A1476" t="s">
        <v>3135</v>
      </c>
      <c r="B1476" t="s">
        <v>31</v>
      </c>
      <c r="C1476" t="s">
        <v>3136</v>
      </c>
      <c r="D1476" t="s">
        <v>48</v>
      </c>
      <c r="E1476" t="s">
        <v>33</v>
      </c>
      <c r="F1476" t="s">
        <v>27</v>
      </c>
      <c r="G1476" t="s">
        <v>691</v>
      </c>
      <c r="H1476" s="1">
        <v>45600.882638888892</v>
      </c>
      <c r="I1476" s="1">
        <v>45600.97152777778</v>
      </c>
      <c r="J1476">
        <v>71</v>
      </c>
      <c r="K1476">
        <v>128</v>
      </c>
      <c r="L1476">
        <v>1</v>
      </c>
      <c r="M1476" t="s">
        <v>41</v>
      </c>
      <c r="N1476">
        <v>5</v>
      </c>
      <c r="O1476">
        <v>250.31</v>
      </c>
    </row>
    <row r="1477" spans="1:15" x14ac:dyDescent="0.35">
      <c r="A1477" t="s">
        <v>3137</v>
      </c>
      <c r="B1477" t="s">
        <v>63</v>
      </c>
      <c r="C1477" t="s">
        <v>3138</v>
      </c>
      <c r="D1477" t="s">
        <v>18</v>
      </c>
      <c r="E1477" t="s">
        <v>38</v>
      </c>
      <c r="F1477" t="s">
        <v>20</v>
      </c>
      <c r="G1477" t="s">
        <v>418</v>
      </c>
      <c r="H1477" s="1">
        <v>45358.762499999997</v>
      </c>
      <c r="I1477" s="1">
        <v>45358.888888888891</v>
      </c>
      <c r="J1477">
        <v>168</v>
      </c>
      <c r="K1477">
        <v>182</v>
      </c>
      <c r="L1477">
        <v>1</v>
      </c>
      <c r="M1477" t="s">
        <v>41</v>
      </c>
      <c r="N1477">
        <v>3</v>
      </c>
      <c r="O1477">
        <v>172.78</v>
      </c>
    </row>
    <row r="1478" spans="1:15" x14ac:dyDescent="0.35">
      <c r="A1478" t="s">
        <v>3139</v>
      </c>
      <c r="B1478" t="s">
        <v>16</v>
      </c>
      <c r="C1478" t="s">
        <v>3140</v>
      </c>
      <c r="D1478" t="s">
        <v>44</v>
      </c>
      <c r="E1478" t="s">
        <v>33</v>
      </c>
      <c r="F1478" t="s">
        <v>39</v>
      </c>
      <c r="G1478" t="s">
        <v>262</v>
      </c>
      <c r="H1478" s="1">
        <v>45593.295138888891</v>
      </c>
      <c r="I1478" s="1">
        <v>45593.384027777778</v>
      </c>
      <c r="J1478">
        <v>115</v>
      </c>
      <c r="K1478">
        <v>128</v>
      </c>
      <c r="L1478">
        <v>1</v>
      </c>
      <c r="M1478" t="s">
        <v>29</v>
      </c>
      <c r="N1478">
        <v>7</v>
      </c>
      <c r="O1478">
        <v>254.65</v>
      </c>
    </row>
    <row r="1479" spans="1:15" x14ac:dyDescent="0.35">
      <c r="A1479" t="s">
        <v>3141</v>
      </c>
      <c r="B1479" t="s">
        <v>63</v>
      </c>
      <c r="C1479" t="s">
        <v>3142</v>
      </c>
      <c r="D1479" t="s">
        <v>56</v>
      </c>
      <c r="E1479" t="s">
        <v>38</v>
      </c>
      <c r="F1479" t="s">
        <v>20</v>
      </c>
      <c r="G1479" t="s">
        <v>76</v>
      </c>
      <c r="H1479" s="1">
        <v>45326.067361111112</v>
      </c>
      <c r="I1479" s="1">
        <v>45326.182638888888</v>
      </c>
      <c r="J1479">
        <v>129</v>
      </c>
      <c r="K1479">
        <v>166</v>
      </c>
      <c r="L1479">
        <v>1</v>
      </c>
      <c r="M1479" t="s">
        <v>22</v>
      </c>
      <c r="N1479">
        <v>7</v>
      </c>
      <c r="O1479">
        <v>450.55</v>
      </c>
    </row>
    <row r="1480" spans="1:15" x14ac:dyDescent="0.35">
      <c r="A1480" t="s">
        <v>3143</v>
      </c>
      <c r="B1480" t="s">
        <v>24</v>
      </c>
      <c r="C1480" t="s">
        <v>3144</v>
      </c>
      <c r="D1480" t="s">
        <v>48</v>
      </c>
      <c r="E1480" t="s">
        <v>38</v>
      </c>
      <c r="F1480" t="s">
        <v>57</v>
      </c>
      <c r="G1480" t="s">
        <v>383</v>
      </c>
      <c r="H1480" s="1">
        <v>45510.495138888888</v>
      </c>
      <c r="I1480" s="1">
        <v>45510.595833333333</v>
      </c>
      <c r="J1480">
        <v>54</v>
      </c>
      <c r="K1480">
        <v>145</v>
      </c>
      <c r="L1480">
        <v>1</v>
      </c>
      <c r="M1480" t="s">
        <v>29</v>
      </c>
      <c r="N1480">
        <v>6</v>
      </c>
      <c r="O1480">
        <v>313.94</v>
      </c>
    </row>
    <row r="1481" spans="1:15" x14ac:dyDescent="0.35">
      <c r="A1481" t="s">
        <v>3145</v>
      </c>
      <c r="B1481" t="s">
        <v>24</v>
      </c>
      <c r="C1481" t="s">
        <v>3146</v>
      </c>
      <c r="D1481" t="s">
        <v>56</v>
      </c>
      <c r="E1481" t="s">
        <v>33</v>
      </c>
      <c r="F1481" t="s">
        <v>57</v>
      </c>
      <c r="G1481" t="s">
        <v>237</v>
      </c>
      <c r="H1481" s="1">
        <v>45634.28402777778</v>
      </c>
      <c r="I1481" s="1">
        <v>45634.357638888891</v>
      </c>
      <c r="J1481">
        <v>65</v>
      </c>
      <c r="K1481">
        <v>106</v>
      </c>
      <c r="L1481">
        <v>1</v>
      </c>
      <c r="M1481" t="s">
        <v>41</v>
      </c>
      <c r="N1481">
        <v>6</v>
      </c>
      <c r="O1481">
        <v>441.09</v>
      </c>
    </row>
    <row r="1482" spans="1:15" x14ac:dyDescent="0.35">
      <c r="A1482" t="s">
        <v>3147</v>
      </c>
      <c r="B1482" t="s">
        <v>51</v>
      </c>
      <c r="C1482" t="s">
        <v>3148</v>
      </c>
      <c r="D1482" t="s">
        <v>18</v>
      </c>
      <c r="E1482" t="s">
        <v>85</v>
      </c>
      <c r="F1482" t="s">
        <v>39</v>
      </c>
      <c r="G1482" t="s">
        <v>129</v>
      </c>
      <c r="H1482" s="1">
        <v>45358.09097222222</v>
      </c>
      <c r="I1482" s="1">
        <v>45358.177083333336</v>
      </c>
      <c r="J1482">
        <v>30</v>
      </c>
      <c r="K1482">
        <v>124</v>
      </c>
      <c r="L1482">
        <v>1</v>
      </c>
      <c r="M1482" t="s">
        <v>41</v>
      </c>
      <c r="N1482">
        <v>1</v>
      </c>
      <c r="O1482">
        <v>147.16</v>
      </c>
    </row>
    <row r="1483" spans="1:15" x14ac:dyDescent="0.35">
      <c r="A1483" t="s">
        <v>3149</v>
      </c>
      <c r="B1483" t="s">
        <v>63</v>
      </c>
      <c r="C1483" t="s">
        <v>3150</v>
      </c>
      <c r="D1483" t="s">
        <v>26</v>
      </c>
      <c r="E1483" t="s">
        <v>33</v>
      </c>
      <c r="F1483" t="s">
        <v>39</v>
      </c>
      <c r="G1483" t="s">
        <v>146</v>
      </c>
      <c r="H1483" s="1">
        <v>45458.032638888886</v>
      </c>
      <c r="I1483" s="1">
        <v>45458.104861111111</v>
      </c>
      <c r="J1483">
        <v>100</v>
      </c>
      <c r="K1483">
        <v>104</v>
      </c>
      <c r="L1483">
        <v>1</v>
      </c>
      <c r="M1483" t="s">
        <v>41</v>
      </c>
      <c r="N1483">
        <v>8</v>
      </c>
      <c r="O1483">
        <v>498.35</v>
      </c>
    </row>
    <row r="1484" spans="1:15" x14ac:dyDescent="0.35">
      <c r="A1484" t="s">
        <v>3151</v>
      </c>
      <c r="B1484" t="s">
        <v>24</v>
      </c>
      <c r="C1484" t="s">
        <v>3152</v>
      </c>
      <c r="D1484" t="s">
        <v>48</v>
      </c>
      <c r="E1484" t="s">
        <v>33</v>
      </c>
      <c r="F1484" t="s">
        <v>39</v>
      </c>
      <c r="G1484" t="s">
        <v>35</v>
      </c>
      <c r="H1484" s="1">
        <v>45573.637499999997</v>
      </c>
      <c r="I1484" s="1">
        <v>45573.835416666669</v>
      </c>
      <c r="J1484">
        <v>185</v>
      </c>
      <c r="K1484">
        <v>285</v>
      </c>
      <c r="L1484">
        <v>1</v>
      </c>
      <c r="M1484" t="s">
        <v>22</v>
      </c>
      <c r="N1484">
        <v>6</v>
      </c>
      <c r="O1484">
        <v>71.83</v>
      </c>
    </row>
    <row r="1485" spans="1:15" x14ac:dyDescent="0.35">
      <c r="A1485" t="s">
        <v>3153</v>
      </c>
      <c r="B1485" t="s">
        <v>16</v>
      </c>
      <c r="C1485" t="s">
        <v>3154</v>
      </c>
      <c r="D1485" t="s">
        <v>26</v>
      </c>
      <c r="E1485" t="s">
        <v>19</v>
      </c>
      <c r="F1485" t="s">
        <v>57</v>
      </c>
      <c r="G1485" t="s">
        <v>500</v>
      </c>
      <c r="H1485" s="1">
        <v>45361.925000000003</v>
      </c>
      <c r="I1485" s="1">
        <v>45362.160416666666</v>
      </c>
      <c r="J1485">
        <v>238</v>
      </c>
      <c r="K1485">
        <v>339</v>
      </c>
      <c r="L1485">
        <v>1</v>
      </c>
      <c r="M1485" t="s">
        <v>22</v>
      </c>
      <c r="N1485">
        <v>3</v>
      </c>
      <c r="O1485">
        <v>212.94</v>
      </c>
    </row>
    <row r="1486" spans="1:15" x14ac:dyDescent="0.35">
      <c r="A1486" t="s">
        <v>3155</v>
      </c>
      <c r="B1486" t="s">
        <v>16</v>
      </c>
      <c r="C1486" t="s">
        <v>3156</v>
      </c>
      <c r="D1486" t="s">
        <v>56</v>
      </c>
      <c r="E1486" t="s">
        <v>85</v>
      </c>
      <c r="F1486" t="s">
        <v>27</v>
      </c>
      <c r="G1486" t="s">
        <v>296</v>
      </c>
      <c r="H1486" s="1">
        <v>45481.980555555558</v>
      </c>
      <c r="I1486" s="1">
        <v>45482.197916666664</v>
      </c>
      <c r="J1486">
        <v>232</v>
      </c>
      <c r="K1486">
        <v>313</v>
      </c>
      <c r="L1486">
        <v>1</v>
      </c>
      <c r="M1486" t="s">
        <v>41</v>
      </c>
      <c r="N1486">
        <v>1</v>
      </c>
      <c r="O1486">
        <v>292.45</v>
      </c>
    </row>
    <row r="1487" spans="1:15" x14ac:dyDescent="0.35">
      <c r="A1487" t="s">
        <v>3157</v>
      </c>
      <c r="B1487" t="s">
        <v>31</v>
      </c>
      <c r="C1487" t="s">
        <v>3158</v>
      </c>
      <c r="D1487" t="s">
        <v>18</v>
      </c>
      <c r="E1487" t="s">
        <v>33</v>
      </c>
      <c r="F1487" t="s">
        <v>39</v>
      </c>
      <c r="G1487" t="s">
        <v>185</v>
      </c>
      <c r="H1487" s="1">
        <v>45394.804166666669</v>
      </c>
      <c r="I1487" s="1">
        <v>45394.999305555553</v>
      </c>
      <c r="J1487">
        <v>193</v>
      </c>
      <c r="K1487">
        <v>281</v>
      </c>
      <c r="L1487">
        <v>1</v>
      </c>
      <c r="M1487" t="s">
        <v>41</v>
      </c>
      <c r="N1487">
        <v>1</v>
      </c>
      <c r="O1487">
        <v>128.66</v>
      </c>
    </row>
    <row r="1488" spans="1:15" x14ac:dyDescent="0.35">
      <c r="A1488" t="s">
        <v>3159</v>
      </c>
      <c r="B1488" t="s">
        <v>63</v>
      </c>
      <c r="C1488" t="s">
        <v>3160</v>
      </c>
      <c r="D1488" t="s">
        <v>18</v>
      </c>
      <c r="E1488" t="s">
        <v>33</v>
      </c>
      <c r="F1488" t="s">
        <v>27</v>
      </c>
      <c r="G1488" t="s">
        <v>201</v>
      </c>
      <c r="H1488" s="1">
        <v>45421.868750000001</v>
      </c>
      <c r="I1488" s="1">
        <v>45422.044444444444</v>
      </c>
      <c r="J1488">
        <v>209</v>
      </c>
      <c r="K1488">
        <v>253</v>
      </c>
      <c r="L1488">
        <v>1</v>
      </c>
      <c r="M1488" t="s">
        <v>29</v>
      </c>
      <c r="N1488">
        <v>5</v>
      </c>
      <c r="O1488">
        <v>136.54</v>
      </c>
    </row>
    <row r="1489" spans="1:15" x14ac:dyDescent="0.35">
      <c r="A1489" t="s">
        <v>3161</v>
      </c>
      <c r="B1489" t="s">
        <v>16</v>
      </c>
      <c r="C1489" t="s">
        <v>3162</v>
      </c>
      <c r="D1489" t="s">
        <v>48</v>
      </c>
      <c r="E1489" t="s">
        <v>85</v>
      </c>
      <c r="F1489" t="s">
        <v>34</v>
      </c>
      <c r="G1489" t="s">
        <v>359</v>
      </c>
      <c r="H1489" s="1">
        <v>45596.590277777781</v>
      </c>
      <c r="I1489" s="1">
        <v>45596.724999999999</v>
      </c>
      <c r="J1489">
        <v>120</v>
      </c>
      <c r="K1489">
        <v>194</v>
      </c>
      <c r="L1489">
        <v>1</v>
      </c>
      <c r="M1489" t="s">
        <v>41</v>
      </c>
      <c r="N1489">
        <v>5</v>
      </c>
      <c r="O1489">
        <v>380.06</v>
      </c>
    </row>
    <row r="1490" spans="1:15" x14ac:dyDescent="0.35">
      <c r="A1490" t="s">
        <v>3163</v>
      </c>
      <c r="B1490" t="s">
        <v>51</v>
      </c>
      <c r="C1490" t="s">
        <v>3164</v>
      </c>
      <c r="D1490" t="s">
        <v>44</v>
      </c>
      <c r="E1490" t="s">
        <v>85</v>
      </c>
      <c r="F1490" t="s">
        <v>20</v>
      </c>
      <c r="G1490" t="s">
        <v>476</v>
      </c>
      <c r="H1490" s="1">
        <v>45341.458333333336</v>
      </c>
      <c r="I1490" s="1">
        <v>45341.554861111108</v>
      </c>
      <c r="J1490">
        <v>38</v>
      </c>
      <c r="K1490">
        <v>139</v>
      </c>
      <c r="L1490">
        <v>1</v>
      </c>
      <c r="M1490" t="s">
        <v>22</v>
      </c>
      <c r="N1490">
        <v>4</v>
      </c>
      <c r="O1490">
        <v>473.68</v>
      </c>
    </row>
    <row r="1491" spans="1:15" x14ac:dyDescent="0.35">
      <c r="A1491" t="s">
        <v>3165</v>
      </c>
      <c r="B1491" t="s">
        <v>24</v>
      </c>
      <c r="C1491" t="s">
        <v>3166</v>
      </c>
      <c r="D1491" t="s">
        <v>48</v>
      </c>
      <c r="E1491" t="s">
        <v>33</v>
      </c>
      <c r="F1491" t="s">
        <v>57</v>
      </c>
      <c r="G1491" t="s">
        <v>164</v>
      </c>
      <c r="H1491" s="1">
        <v>45569.861111111109</v>
      </c>
      <c r="I1491" s="1">
        <v>45569.950694444444</v>
      </c>
      <c r="J1491">
        <v>69</v>
      </c>
      <c r="K1491">
        <v>129</v>
      </c>
      <c r="L1491">
        <v>1</v>
      </c>
      <c r="M1491" t="s">
        <v>29</v>
      </c>
      <c r="N1491">
        <v>8</v>
      </c>
      <c r="O1491">
        <v>161.56</v>
      </c>
    </row>
    <row r="1492" spans="1:15" x14ac:dyDescent="0.35">
      <c r="A1492" t="s">
        <v>3167</v>
      </c>
      <c r="B1492" t="s">
        <v>51</v>
      </c>
      <c r="C1492" t="s">
        <v>3168</v>
      </c>
      <c r="D1492" t="s">
        <v>48</v>
      </c>
      <c r="E1492" t="s">
        <v>85</v>
      </c>
      <c r="F1492" t="s">
        <v>27</v>
      </c>
      <c r="G1492" t="s">
        <v>1187</v>
      </c>
      <c r="H1492" s="1">
        <v>45569.959027777775</v>
      </c>
      <c r="I1492" s="1">
        <v>45570.001388888886</v>
      </c>
      <c r="J1492">
        <v>40</v>
      </c>
      <c r="K1492">
        <v>61</v>
      </c>
      <c r="L1492">
        <v>1</v>
      </c>
      <c r="M1492" t="s">
        <v>29</v>
      </c>
      <c r="N1492">
        <v>5</v>
      </c>
      <c r="O1492">
        <v>331.21</v>
      </c>
    </row>
    <row r="1493" spans="1:15" x14ac:dyDescent="0.35">
      <c r="A1493" t="s">
        <v>3169</v>
      </c>
      <c r="B1493" t="s">
        <v>16</v>
      </c>
      <c r="C1493" t="s">
        <v>3170</v>
      </c>
      <c r="D1493" t="s">
        <v>26</v>
      </c>
      <c r="E1493" t="s">
        <v>19</v>
      </c>
      <c r="F1493" t="s">
        <v>27</v>
      </c>
      <c r="G1493" t="s">
        <v>49</v>
      </c>
      <c r="H1493" s="1">
        <v>45392.816666666666</v>
      </c>
      <c r="I1493" s="1">
        <v>45392.831250000003</v>
      </c>
      <c r="J1493">
        <v>25</v>
      </c>
      <c r="K1493">
        <v>21</v>
      </c>
      <c r="L1493">
        <v>0</v>
      </c>
      <c r="M1493" t="s">
        <v>22</v>
      </c>
      <c r="N1493">
        <v>9</v>
      </c>
      <c r="O1493">
        <v>176.33</v>
      </c>
    </row>
    <row r="1494" spans="1:15" x14ac:dyDescent="0.35">
      <c r="A1494" t="s">
        <v>3171</v>
      </c>
      <c r="B1494" t="s">
        <v>63</v>
      </c>
      <c r="C1494" t="s">
        <v>3172</v>
      </c>
      <c r="D1494" t="s">
        <v>56</v>
      </c>
      <c r="E1494" t="s">
        <v>19</v>
      </c>
      <c r="F1494" t="s">
        <v>57</v>
      </c>
      <c r="G1494" t="s">
        <v>842</v>
      </c>
      <c r="H1494" s="1">
        <v>45539.52847222222</v>
      </c>
      <c r="I1494" s="1">
        <v>45539.646527777775</v>
      </c>
      <c r="J1494">
        <v>59</v>
      </c>
      <c r="K1494">
        <v>170</v>
      </c>
      <c r="L1494">
        <v>1</v>
      </c>
      <c r="M1494" t="s">
        <v>22</v>
      </c>
      <c r="N1494">
        <v>3</v>
      </c>
      <c r="O1494">
        <v>382.96</v>
      </c>
    </row>
    <row r="1495" spans="1:15" x14ac:dyDescent="0.35">
      <c r="A1495" t="s">
        <v>3173</v>
      </c>
      <c r="B1495" t="s">
        <v>51</v>
      </c>
      <c r="C1495" t="s">
        <v>3174</v>
      </c>
      <c r="D1495" t="s">
        <v>44</v>
      </c>
      <c r="E1495" t="s">
        <v>19</v>
      </c>
      <c r="F1495" t="s">
        <v>27</v>
      </c>
      <c r="G1495" t="s">
        <v>397</v>
      </c>
      <c r="H1495" s="1">
        <v>45460.101388888892</v>
      </c>
      <c r="I1495" s="1">
        <v>45460.222222222219</v>
      </c>
      <c r="J1495">
        <v>154</v>
      </c>
      <c r="K1495">
        <v>174</v>
      </c>
      <c r="L1495">
        <v>1</v>
      </c>
      <c r="M1495" t="s">
        <v>22</v>
      </c>
      <c r="N1495">
        <v>3</v>
      </c>
      <c r="O1495">
        <v>262.05</v>
      </c>
    </row>
    <row r="1496" spans="1:15" x14ac:dyDescent="0.35">
      <c r="A1496" t="s">
        <v>3175</v>
      </c>
      <c r="B1496" t="s">
        <v>24</v>
      </c>
      <c r="C1496" t="s">
        <v>3176</v>
      </c>
      <c r="D1496" t="s">
        <v>48</v>
      </c>
      <c r="E1496" t="s">
        <v>85</v>
      </c>
      <c r="F1496" t="s">
        <v>57</v>
      </c>
      <c r="G1496" t="s">
        <v>88</v>
      </c>
      <c r="H1496" s="1">
        <v>45527.529166666667</v>
      </c>
      <c r="I1496" s="1">
        <v>45527.650694444441</v>
      </c>
      <c r="J1496">
        <v>159</v>
      </c>
      <c r="K1496">
        <v>175</v>
      </c>
      <c r="L1496">
        <v>1</v>
      </c>
      <c r="M1496" t="s">
        <v>41</v>
      </c>
      <c r="N1496">
        <v>3</v>
      </c>
      <c r="O1496">
        <v>100.82</v>
      </c>
    </row>
    <row r="1497" spans="1:15" x14ac:dyDescent="0.35">
      <c r="A1497" t="s">
        <v>3177</v>
      </c>
      <c r="B1497" t="s">
        <v>63</v>
      </c>
      <c r="C1497" t="s">
        <v>3178</v>
      </c>
      <c r="D1497" t="s">
        <v>26</v>
      </c>
      <c r="E1497" t="s">
        <v>19</v>
      </c>
      <c r="F1497" t="s">
        <v>20</v>
      </c>
      <c r="G1497" t="s">
        <v>754</v>
      </c>
      <c r="H1497" s="1">
        <v>45309.49722222222</v>
      </c>
      <c r="I1497" s="1">
        <v>45309.599305555559</v>
      </c>
      <c r="J1497">
        <v>104</v>
      </c>
      <c r="K1497">
        <v>147</v>
      </c>
      <c r="L1497">
        <v>1</v>
      </c>
      <c r="M1497" t="s">
        <v>41</v>
      </c>
      <c r="N1497">
        <v>5</v>
      </c>
      <c r="O1497">
        <v>62.94</v>
      </c>
    </row>
    <row r="1498" spans="1:15" x14ac:dyDescent="0.35">
      <c r="A1498" t="s">
        <v>3179</v>
      </c>
      <c r="B1498" t="s">
        <v>63</v>
      </c>
      <c r="C1498" t="s">
        <v>3180</v>
      </c>
      <c r="D1498" t="s">
        <v>44</v>
      </c>
      <c r="E1498" t="s">
        <v>38</v>
      </c>
      <c r="F1498" t="s">
        <v>34</v>
      </c>
      <c r="G1498" t="s">
        <v>265</v>
      </c>
      <c r="H1498" s="1">
        <v>45545.503472222219</v>
      </c>
      <c r="I1498" s="1">
        <v>45545.661805555559</v>
      </c>
      <c r="J1498">
        <v>188</v>
      </c>
      <c r="K1498">
        <v>228</v>
      </c>
      <c r="L1498">
        <v>1</v>
      </c>
      <c r="M1498" t="s">
        <v>41</v>
      </c>
      <c r="N1498">
        <v>7</v>
      </c>
      <c r="O1498">
        <v>330.85</v>
      </c>
    </row>
    <row r="1499" spans="1:15" x14ac:dyDescent="0.35">
      <c r="A1499" t="s">
        <v>3181</v>
      </c>
      <c r="B1499" t="s">
        <v>16</v>
      </c>
      <c r="C1499" t="s">
        <v>3182</v>
      </c>
      <c r="D1499" t="s">
        <v>44</v>
      </c>
      <c r="E1499" t="s">
        <v>85</v>
      </c>
      <c r="F1499" t="s">
        <v>20</v>
      </c>
      <c r="G1499" t="s">
        <v>21</v>
      </c>
      <c r="H1499" s="1">
        <v>45377.279166666667</v>
      </c>
      <c r="I1499" s="1">
        <v>45377.321527777778</v>
      </c>
      <c r="J1499">
        <v>36</v>
      </c>
      <c r="K1499">
        <v>61</v>
      </c>
      <c r="L1499">
        <v>1</v>
      </c>
      <c r="M1499" t="s">
        <v>22</v>
      </c>
      <c r="N1499">
        <v>9</v>
      </c>
      <c r="O1499">
        <v>237.89</v>
      </c>
    </row>
    <row r="1500" spans="1:15" x14ac:dyDescent="0.35">
      <c r="A1500" t="s">
        <v>3183</v>
      </c>
      <c r="B1500" t="s">
        <v>51</v>
      </c>
      <c r="C1500" t="s">
        <v>3184</v>
      </c>
      <c r="D1500" t="s">
        <v>56</v>
      </c>
      <c r="E1500" t="s">
        <v>19</v>
      </c>
      <c r="F1500" t="s">
        <v>57</v>
      </c>
      <c r="G1500" t="s">
        <v>462</v>
      </c>
      <c r="H1500" s="1">
        <v>45347.479861111111</v>
      </c>
      <c r="I1500" s="1">
        <v>45347.574305555558</v>
      </c>
      <c r="J1500">
        <v>126</v>
      </c>
      <c r="K1500">
        <v>136</v>
      </c>
      <c r="L1500">
        <v>1</v>
      </c>
      <c r="M1500" t="s">
        <v>41</v>
      </c>
      <c r="N1500">
        <v>5</v>
      </c>
      <c r="O1500">
        <v>228.89</v>
      </c>
    </row>
    <row r="1501" spans="1:15" x14ac:dyDescent="0.35">
      <c r="A1501" t="s">
        <v>3185</v>
      </c>
      <c r="B1501" t="s">
        <v>51</v>
      </c>
      <c r="C1501" t="s">
        <v>3186</v>
      </c>
      <c r="D1501" t="s">
        <v>56</v>
      </c>
      <c r="E1501" t="s">
        <v>19</v>
      </c>
      <c r="F1501" t="s">
        <v>57</v>
      </c>
      <c r="G1501" t="s">
        <v>79</v>
      </c>
      <c r="H1501" s="1">
        <v>45617.179861111108</v>
      </c>
      <c r="I1501" s="1">
        <v>45617.272916666669</v>
      </c>
      <c r="J1501">
        <v>43</v>
      </c>
      <c r="K1501">
        <v>134</v>
      </c>
      <c r="L1501">
        <v>1</v>
      </c>
      <c r="M1501" t="s">
        <v>22</v>
      </c>
      <c r="N1501">
        <v>4</v>
      </c>
      <c r="O1501">
        <v>278.98</v>
      </c>
    </row>
    <row r="1502" spans="1:15" x14ac:dyDescent="0.35">
      <c r="A1502" t="s">
        <v>3187</v>
      </c>
      <c r="B1502" t="s">
        <v>51</v>
      </c>
      <c r="C1502" t="s">
        <v>3188</v>
      </c>
      <c r="D1502" t="s">
        <v>56</v>
      </c>
      <c r="E1502" t="s">
        <v>33</v>
      </c>
      <c r="F1502" t="s">
        <v>20</v>
      </c>
      <c r="G1502" t="s">
        <v>58</v>
      </c>
      <c r="H1502" s="1">
        <v>45305.020138888889</v>
      </c>
      <c r="I1502" s="1">
        <v>45305.084027777775</v>
      </c>
      <c r="J1502">
        <v>15</v>
      </c>
      <c r="K1502">
        <v>92</v>
      </c>
      <c r="L1502">
        <v>1</v>
      </c>
      <c r="M1502" t="s">
        <v>29</v>
      </c>
      <c r="N1502">
        <v>10</v>
      </c>
      <c r="O1502">
        <v>304.87</v>
      </c>
    </row>
    <row r="1503" spans="1:15" x14ac:dyDescent="0.35">
      <c r="A1503" t="s">
        <v>3189</v>
      </c>
      <c r="B1503" t="s">
        <v>63</v>
      </c>
      <c r="C1503" t="s">
        <v>3190</v>
      </c>
      <c r="D1503" t="s">
        <v>18</v>
      </c>
      <c r="E1503" t="s">
        <v>85</v>
      </c>
      <c r="F1503" t="s">
        <v>34</v>
      </c>
      <c r="G1503" t="s">
        <v>254</v>
      </c>
      <c r="H1503" s="1">
        <v>45310.847222222219</v>
      </c>
      <c r="I1503" s="1">
        <v>45311.004861111112</v>
      </c>
      <c r="J1503">
        <v>184</v>
      </c>
      <c r="K1503">
        <v>227</v>
      </c>
      <c r="L1503">
        <v>1</v>
      </c>
      <c r="M1503" t="s">
        <v>22</v>
      </c>
      <c r="N1503">
        <v>2</v>
      </c>
      <c r="O1503">
        <v>459.3</v>
      </c>
    </row>
    <row r="1504" spans="1:15" x14ac:dyDescent="0.35">
      <c r="A1504" t="s">
        <v>3191</v>
      </c>
      <c r="B1504" t="s">
        <v>24</v>
      </c>
      <c r="C1504" t="s">
        <v>3192</v>
      </c>
      <c r="D1504" t="s">
        <v>48</v>
      </c>
      <c r="E1504" t="s">
        <v>85</v>
      </c>
      <c r="F1504" t="s">
        <v>39</v>
      </c>
      <c r="G1504" t="s">
        <v>810</v>
      </c>
      <c r="H1504" s="1">
        <v>45582.484027777777</v>
      </c>
      <c r="I1504" s="1">
        <v>45582.618750000001</v>
      </c>
      <c r="J1504">
        <v>131</v>
      </c>
      <c r="K1504">
        <v>194</v>
      </c>
      <c r="L1504">
        <v>1</v>
      </c>
      <c r="M1504" t="s">
        <v>29</v>
      </c>
      <c r="N1504">
        <v>10</v>
      </c>
      <c r="O1504">
        <v>319.18</v>
      </c>
    </row>
    <row r="1505" spans="1:15" x14ac:dyDescent="0.35">
      <c r="A1505" t="s">
        <v>3193</v>
      </c>
      <c r="B1505" t="s">
        <v>24</v>
      </c>
      <c r="C1505" t="s">
        <v>3194</v>
      </c>
      <c r="D1505" t="s">
        <v>18</v>
      </c>
      <c r="E1505" t="s">
        <v>38</v>
      </c>
      <c r="F1505" t="s">
        <v>39</v>
      </c>
      <c r="G1505" t="s">
        <v>335</v>
      </c>
      <c r="H1505" s="1">
        <v>45592.573611111111</v>
      </c>
      <c r="I1505" s="1">
        <v>45592.714583333334</v>
      </c>
      <c r="J1505">
        <v>145</v>
      </c>
      <c r="K1505">
        <v>203</v>
      </c>
      <c r="L1505">
        <v>1</v>
      </c>
      <c r="M1505" t="s">
        <v>22</v>
      </c>
      <c r="N1505">
        <v>7</v>
      </c>
      <c r="O1505">
        <v>375.76</v>
      </c>
    </row>
    <row r="1506" spans="1:15" x14ac:dyDescent="0.35">
      <c r="A1506" t="s">
        <v>3195</v>
      </c>
      <c r="B1506" t="s">
        <v>24</v>
      </c>
      <c r="C1506" t="s">
        <v>3196</v>
      </c>
      <c r="D1506" t="s">
        <v>18</v>
      </c>
      <c r="E1506" t="s">
        <v>19</v>
      </c>
      <c r="F1506" t="s">
        <v>20</v>
      </c>
      <c r="G1506" t="s">
        <v>28</v>
      </c>
      <c r="H1506" s="1">
        <v>45324.679166666669</v>
      </c>
      <c r="I1506" s="1">
        <v>45324.754166666666</v>
      </c>
      <c r="J1506">
        <v>10</v>
      </c>
      <c r="K1506">
        <v>108</v>
      </c>
      <c r="L1506">
        <v>1</v>
      </c>
      <c r="M1506" t="s">
        <v>41</v>
      </c>
      <c r="N1506">
        <v>9</v>
      </c>
      <c r="O1506">
        <v>450.48</v>
      </c>
    </row>
    <row r="1507" spans="1:15" x14ac:dyDescent="0.35">
      <c r="A1507" t="s">
        <v>3197</v>
      </c>
      <c r="B1507" t="s">
        <v>63</v>
      </c>
      <c r="C1507" t="s">
        <v>3198</v>
      </c>
      <c r="D1507" t="s">
        <v>56</v>
      </c>
      <c r="E1507" t="s">
        <v>85</v>
      </c>
      <c r="F1507" t="s">
        <v>20</v>
      </c>
      <c r="G1507" t="s">
        <v>143</v>
      </c>
      <c r="H1507" s="1">
        <v>45493.241666666669</v>
      </c>
      <c r="I1507" s="1">
        <v>45493.336111111108</v>
      </c>
      <c r="J1507">
        <v>60</v>
      </c>
      <c r="K1507">
        <v>136</v>
      </c>
      <c r="L1507">
        <v>1</v>
      </c>
      <c r="M1507" t="s">
        <v>29</v>
      </c>
      <c r="N1507">
        <v>1</v>
      </c>
      <c r="O1507">
        <v>427.33</v>
      </c>
    </row>
    <row r="1508" spans="1:15" x14ac:dyDescent="0.35">
      <c r="A1508" t="s">
        <v>3199</v>
      </c>
      <c r="B1508" t="s">
        <v>24</v>
      </c>
      <c r="C1508" t="s">
        <v>3200</v>
      </c>
      <c r="D1508" t="s">
        <v>44</v>
      </c>
      <c r="E1508" t="s">
        <v>19</v>
      </c>
      <c r="F1508" t="s">
        <v>27</v>
      </c>
      <c r="G1508" t="s">
        <v>161</v>
      </c>
      <c r="H1508" s="1">
        <v>45549.655555555553</v>
      </c>
      <c r="I1508" s="1">
        <v>45549.723611111112</v>
      </c>
      <c r="J1508">
        <v>98</v>
      </c>
      <c r="K1508">
        <v>98</v>
      </c>
      <c r="L1508">
        <v>0</v>
      </c>
      <c r="M1508" t="s">
        <v>22</v>
      </c>
      <c r="N1508">
        <v>7</v>
      </c>
      <c r="O1508">
        <v>319.64</v>
      </c>
    </row>
    <row r="1509" spans="1:15" x14ac:dyDescent="0.35">
      <c r="A1509" t="s">
        <v>3201</v>
      </c>
      <c r="B1509" t="s">
        <v>63</v>
      </c>
      <c r="C1509" t="s">
        <v>3202</v>
      </c>
      <c r="D1509" t="s">
        <v>44</v>
      </c>
      <c r="E1509" t="s">
        <v>19</v>
      </c>
      <c r="F1509" t="s">
        <v>39</v>
      </c>
      <c r="G1509" t="s">
        <v>40</v>
      </c>
      <c r="H1509" s="1">
        <v>45339.540972222225</v>
      </c>
      <c r="I1509" s="1">
        <v>45339.707638888889</v>
      </c>
      <c r="J1509">
        <v>195</v>
      </c>
      <c r="K1509">
        <v>240</v>
      </c>
      <c r="L1509">
        <v>1</v>
      </c>
      <c r="M1509" t="s">
        <v>22</v>
      </c>
      <c r="N1509">
        <v>3</v>
      </c>
      <c r="O1509">
        <v>458.5</v>
      </c>
    </row>
    <row r="1510" spans="1:15" x14ac:dyDescent="0.35">
      <c r="A1510" t="s">
        <v>3203</v>
      </c>
      <c r="B1510" t="s">
        <v>51</v>
      </c>
      <c r="C1510" t="s">
        <v>3204</v>
      </c>
      <c r="D1510" t="s">
        <v>26</v>
      </c>
      <c r="E1510" t="s">
        <v>38</v>
      </c>
      <c r="F1510" t="s">
        <v>20</v>
      </c>
      <c r="G1510" t="s">
        <v>100</v>
      </c>
      <c r="H1510" s="1">
        <v>45446.493750000001</v>
      </c>
      <c r="I1510" s="1">
        <v>45446.705555555556</v>
      </c>
      <c r="J1510">
        <v>239</v>
      </c>
      <c r="K1510">
        <v>305</v>
      </c>
      <c r="L1510">
        <v>1</v>
      </c>
      <c r="M1510" t="s">
        <v>22</v>
      </c>
      <c r="N1510">
        <v>8</v>
      </c>
      <c r="O1510">
        <v>158.16999999999999</v>
      </c>
    </row>
    <row r="1511" spans="1:15" x14ac:dyDescent="0.35">
      <c r="A1511" t="s">
        <v>3205</v>
      </c>
      <c r="B1511" t="s">
        <v>63</v>
      </c>
      <c r="C1511" t="s">
        <v>3206</v>
      </c>
      <c r="D1511" t="s">
        <v>44</v>
      </c>
      <c r="E1511" t="s">
        <v>38</v>
      </c>
      <c r="F1511" t="s">
        <v>27</v>
      </c>
      <c r="G1511" t="s">
        <v>402</v>
      </c>
      <c r="H1511" s="1">
        <v>45399.558333333334</v>
      </c>
      <c r="I1511" s="1">
        <v>45399.703472222223</v>
      </c>
      <c r="J1511">
        <v>154</v>
      </c>
      <c r="K1511">
        <v>209</v>
      </c>
      <c r="L1511">
        <v>1</v>
      </c>
      <c r="M1511" t="s">
        <v>29</v>
      </c>
      <c r="N1511">
        <v>8</v>
      </c>
      <c r="O1511">
        <v>56.21</v>
      </c>
    </row>
    <row r="1512" spans="1:15" x14ac:dyDescent="0.35">
      <c r="A1512" t="s">
        <v>3207</v>
      </c>
      <c r="B1512" t="s">
        <v>16</v>
      </c>
      <c r="C1512" t="s">
        <v>3208</v>
      </c>
      <c r="D1512" t="s">
        <v>48</v>
      </c>
      <c r="E1512" t="s">
        <v>19</v>
      </c>
      <c r="F1512" t="s">
        <v>20</v>
      </c>
      <c r="G1512" t="s">
        <v>49</v>
      </c>
      <c r="H1512" s="1">
        <v>45470.428472222222</v>
      </c>
      <c r="I1512" s="1">
        <v>45470.604166666664</v>
      </c>
      <c r="J1512">
        <v>152</v>
      </c>
      <c r="K1512">
        <v>253</v>
      </c>
      <c r="L1512">
        <v>1</v>
      </c>
      <c r="M1512" t="s">
        <v>29</v>
      </c>
      <c r="N1512">
        <v>4</v>
      </c>
      <c r="O1512">
        <v>487.29</v>
      </c>
    </row>
    <row r="1513" spans="1:15" x14ac:dyDescent="0.35">
      <c r="A1513" t="s">
        <v>3209</v>
      </c>
      <c r="B1513" t="s">
        <v>63</v>
      </c>
      <c r="C1513" t="s">
        <v>3210</v>
      </c>
      <c r="D1513" t="s">
        <v>48</v>
      </c>
      <c r="E1513" t="s">
        <v>85</v>
      </c>
      <c r="F1513" t="s">
        <v>27</v>
      </c>
      <c r="G1513" t="s">
        <v>473</v>
      </c>
      <c r="H1513" s="1">
        <v>45334.133333333331</v>
      </c>
      <c r="I1513" s="1">
        <v>45334.194444444445</v>
      </c>
      <c r="J1513">
        <v>33</v>
      </c>
      <c r="K1513">
        <v>88</v>
      </c>
      <c r="L1513">
        <v>1</v>
      </c>
      <c r="M1513" t="s">
        <v>22</v>
      </c>
      <c r="N1513">
        <v>9</v>
      </c>
      <c r="O1513">
        <v>176.84</v>
      </c>
    </row>
    <row r="1514" spans="1:15" x14ac:dyDescent="0.35">
      <c r="A1514" t="s">
        <v>3211</v>
      </c>
      <c r="B1514" t="s">
        <v>51</v>
      </c>
      <c r="C1514" t="s">
        <v>3212</v>
      </c>
      <c r="D1514" t="s">
        <v>56</v>
      </c>
      <c r="E1514" t="s">
        <v>33</v>
      </c>
      <c r="F1514" t="s">
        <v>57</v>
      </c>
      <c r="G1514" t="s">
        <v>749</v>
      </c>
      <c r="H1514" s="1">
        <v>45589.128472222219</v>
      </c>
      <c r="I1514" s="1">
        <v>45589.277083333334</v>
      </c>
      <c r="J1514">
        <v>211</v>
      </c>
      <c r="K1514">
        <v>214</v>
      </c>
      <c r="L1514">
        <v>1</v>
      </c>
      <c r="M1514" t="s">
        <v>41</v>
      </c>
      <c r="N1514">
        <v>9</v>
      </c>
      <c r="O1514">
        <v>244.16</v>
      </c>
    </row>
    <row r="1515" spans="1:15" x14ac:dyDescent="0.35">
      <c r="A1515" t="s">
        <v>3213</v>
      </c>
      <c r="B1515" t="s">
        <v>24</v>
      </c>
      <c r="C1515" t="s">
        <v>3214</v>
      </c>
      <c r="D1515" t="s">
        <v>48</v>
      </c>
      <c r="E1515" t="s">
        <v>38</v>
      </c>
      <c r="F1515" t="s">
        <v>34</v>
      </c>
      <c r="G1515" t="s">
        <v>185</v>
      </c>
      <c r="H1515" s="1">
        <v>45365.740277777775</v>
      </c>
      <c r="I1515" s="1">
        <v>45365.839583333334</v>
      </c>
      <c r="J1515">
        <v>72</v>
      </c>
      <c r="K1515">
        <v>143</v>
      </c>
      <c r="L1515">
        <v>1</v>
      </c>
      <c r="M1515" t="s">
        <v>22</v>
      </c>
      <c r="N1515">
        <v>5</v>
      </c>
      <c r="O1515">
        <v>228.27</v>
      </c>
    </row>
    <row r="1516" spans="1:15" x14ac:dyDescent="0.35">
      <c r="A1516" t="s">
        <v>3215</v>
      </c>
      <c r="B1516" t="s">
        <v>16</v>
      </c>
      <c r="C1516" t="s">
        <v>3216</v>
      </c>
      <c r="D1516" t="s">
        <v>18</v>
      </c>
      <c r="E1516" t="s">
        <v>85</v>
      </c>
      <c r="F1516" t="s">
        <v>39</v>
      </c>
      <c r="G1516" t="s">
        <v>167</v>
      </c>
      <c r="H1516" s="1">
        <v>45478.136111111111</v>
      </c>
      <c r="I1516" s="1">
        <v>45478.234722222223</v>
      </c>
      <c r="J1516">
        <v>105</v>
      </c>
      <c r="K1516">
        <v>142</v>
      </c>
      <c r="L1516">
        <v>1</v>
      </c>
      <c r="M1516" t="s">
        <v>29</v>
      </c>
      <c r="N1516">
        <v>3</v>
      </c>
      <c r="O1516">
        <v>153.19999999999999</v>
      </c>
    </row>
    <row r="1517" spans="1:15" x14ac:dyDescent="0.35">
      <c r="A1517" t="s">
        <v>3217</v>
      </c>
      <c r="B1517" t="s">
        <v>63</v>
      </c>
      <c r="C1517" t="s">
        <v>3218</v>
      </c>
      <c r="D1517" t="s">
        <v>26</v>
      </c>
      <c r="E1517" t="s">
        <v>33</v>
      </c>
      <c r="F1517" t="s">
        <v>27</v>
      </c>
      <c r="G1517" t="s">
        <v>1125</v>
      </c>
      <c r="H1517" s="1">
        <v>45541.811805555553</v>
      </c>
      <c r="I1517" s="1">
        <v>45541.984027777777</v>
      </c>
      <c r="J1517">
        <v>173</v>
      </c>
      <c r="K1517">
        <v>248</v>
      </c>
      <c r="L1517">
        <v>1</v>
      </c>
      <c r="M1517" t="s">
        <v>22</v>
      </c>
      <c r="N1517">
        <v>7</v>
      </c>
      <c r="O1517">
        <v>420.38</v>
      </c>
    </row>
    <row r="1518" spans="1:15" x14ac:dyDescent="0.35">
      <c r="A1518" t="s">
        <v>3219</v>
      </c>
      <c r="B1518" t="s">
        <v>31</v>
      </c>
      <c r="C1518" t="s">
        <v>3220</v>
      </c>
      <c r="D1518" t="s">
        <v>18</v>
      </c>
      <c r="E1518" t="s">
        <v>33</v>
      </c>
      <c r="F1518" t="s">
        <v>34</v>
      </c>
      <c r="G1518" t="s">
        <v>293</v>
      </c>
      <c r="H1518" s="1">
        <v>45460.482638888891</v>
      </c>
      <c r="I1518" s="1">
        <v>45460.623611111114</v>
      </c>
      <c r="J1518">
        <v>132</v>
      </c>
      <c r="K1518">
        <v>203</v>
      </c>
      <c r="L1518">
        <v>1</v>
      </c>
      <c r="M1518" t="s">
        <v>22</v>
      </c>
      <c r="N1518">
        <v>7</v>
      </c>
      <c r="O1518">
        <v>85.75</v>
      </c>
    </row>
    <row r="1519" spans="1:15" x14ac:dyDescent="0.35">
      <c r="A1519" t="s">
        <v>3221</v>
      </c>
      <c r="B1519" t="s">
        <v>51</v>
      </c>
      <c r="C1519" t="s">
        <v>3222</v>
      </c>
      <c r="D1519" t="s">
        <v>18</v>
      </c>
      <c r="E1519" t="s">
        <v>38</v>
      </c>
      <c r="F1519" t="s">
        <v>20</v>
      </c>
      <c r="G1519" t="s">
        <v>505</v>
      </c>
      <c r="H1519" s="1">
        <v>45492.984722222223</v>
      </c>
      <c r="I1519" s="1">
        <v>45493.134027777778</v>
      </c>
      <c r="J1519">
        <v>123</v>
      </c>
      <c r="K1519">
        <v>215</v>
      </c>
      <c r="L1519">
        <v>1</v>
      </c>
      <c r="M1519" t="s">
        <v>22</v>
      </c>
      <c r="N1519">
        <v>10</v>
      </c>
      <c r="O1519">
        <v>402.94</v>
      </c>
    </row>
    <row r="1520" spans="1:15" x14ac:dyDescent="0.35">
      <c r="A1520" t="s">
        <v>3223</v>
      </c>
      <c r="B1520" t="s">
        <v>16</v>
      </c>
      <c r="C1520" t="s">
        <v>3224</v>
      </c>
      <c r="D1520" t="s">
        <v>56</v>
      </c>
      <c r="E1520" t="s">
        <v>33</v>
      </c>
      <c r="F1520" t="s">
        <v>39</v>
      </c>
      <c r="G1520" t="s">
        <v>194</v>
      </c>
      <c r="H1520" s="1">
        <v>45503.689583333333</v>
      </c>
      <c r="I1520" s="1">
        <v>45503.789583333331</v>
      </c>
      <c r="J1520">
        <v>132</v>
      </c>
      <c r="K1520">
        <v>144</v>
      </c>
      <c r="L1520">
        <v>1</v>
      </c>
      <c r="M1520" t="s">
        <v>22</v>
      </c>
      <c r="N1520">
        <v>5</v>
      </c>
      <c r="O1520">
        <v>326.5</v>
      </c>
    </row>
    <row r="1521" spans="1:15" x14ac:dyDescent="0.35">
      <c r="A1521" t="s">
        <v>3225</v>
      </c>
      <c r="B1521" t="s">
        <v>63</v>
      </c>
      <c r="C1521" t="s">
        <v>3226</v>
      </c>
      <c r="D1521" t="s">
        <v>44</v>
      </c>
      <c r="E1521" t="s">
        <v>38</v>
      </c>
      <c r="F1521" t="s">
        <v>39</v>
      </c>
      <c r="G1521" t="s">
        <v>40</v>
      </c>
      <c r="H1521" s="1">
        <v>45589.03125</v>
      </c>
      <c r="I1521" s="1">
        <v>45589.140277777777</v>
      </c>
      <c r="J1521">
        <v>122</v>
      </c>
      <c r="K1521">
        <v>157</v>
      </c>
      <c r="L1521">
        <v>1</v>
      </c>
      <c r="M1521" t="s">
        <v>29</v>
      </c>
      <c r="N1521">
        <v>3</v>
      </c>
      <c r="O1521">
        <v>176.2</v>
      </c>
    </row>
    <row r="1522" spans="1:15" x14ac:dyDescent="0.35">
      <c r="A1522" t="s">
        <v>3227</v>
      </c>
      <c r="B1522" t="s">
        <v>51</v>
      </c>
      <c r="C1522" t="s">
        <v>3228</v>
      </c>
      <c r="D1522" t="s">
        <v>18</v>
      </c>
      <c r="E1522" t="s">
        <v>33</v>
      </c>
      <c r="F1522" t="s">
        <v>27</v>
      </c>
      <c r="G1522" t="s">
        <v>143</v>
      </c>
      <c r="H1522" s="1">
        <v>45636.540277777778</v>
      </c>
      <c r="I1522" s="1">
        <v>45636.616666666669</v>
      </c>
      <c r="J1522">
        <v>61</v>
      </c>
      <c r="K1522">
        <v>110</v>
      </c>
      <c r="L1522">
        <v>1</v>
      </c>
      <c r="M1522" t="s">
        <v>29</v>
      </c>
      <c r="N1522">
        <v>10</v>
      </c>
      <c r="O1522">
        <v>484.38</v>
      </c>
    </row>
    <row r="1523" spans="1:15" x14ac:dyDescent="0.35">
      <c r="A1523" t="s">
        <v>3229</v>
      </c>
      <c r="B1523" t="s">
        <v>31</v>
      </c>
      <c r="C1523" t="s">
        <v>3230</v>
      </c>
      <c r="D1523" t="s">
        <v>48</v>
      </c>
      <c r="E1523" t="s">
        <v>85</v>
      </c>
      <c r="F1523" t="s">
        <v>20</v>
      </c>
      <c r="G1523" t="s">
        <v>103</v>
      </c>
      <c r="H1523" s="1">
        <v>45611.523611111108</v>
      </c>
      <c r="I1523" s="1">
        <v>45611.715277777781</v>
      </c>
      <c r="J1523">
        <v>170</v>
      </c>
      <c r="K1523">
        <v>276</v>
      </c>
      <c r="L1523">
        <v>1</v>
      </c>
      <c r="M1523" t="s">
        <v>41</v>
      </c>
      <c r="N1523">
        <v>4</v>
      </c>
      <c r="O1523">
        <v>280.87</v>
      </c>
    </row>
    <row r="1524" spans="1:15" x14ac:dyDescent="0.35">
      <c r="A1524" t="s">
        <v>3231</v>
      </c>
      <c r="B1524" t="s">
        <v>16</v>
      </c>
      <c r="C1524" t="s">
        <v>3232</v>
      </c>
      <c r="D1524" t="s">
        <v>48</v>
      </c>
      <c r="E1524" t="s">
        <v>85</v>
      </c>
      <c r="F1524" t="s">
        <v>39</v>
      </c>
      <c r="G1524" t="s">
        <v>810</v>
      </c>
      <c r="H1524" s="1">
        <v>45496.513194444444</v>
      </c>
      <c r="I1524" s="1">
        <v>45496.615277777775</v>
      </c>
      <c r="J1524">
        <v>38</v>
      </c>
      <c r="K1524">
        <v>147</v>
      </c>
      <c r="L1524">
        <v>1</v>
      </c>
      <c r="M1524" t="s">
        <v>41</v>
      </c>
      <c r="N1524">
        <v>3</v>
      </c>
      <c r="O1524">
        <v>133.36000000000001</v>
      </c>
    </row>
    <row r="1525" spans="1:15" x14ac:dyDescent="0.35">
      <c r="A1525" t="s">
        <v>3233</v>
      </c>
      <c r="B1525" t="s">
        <v>51</v>
      </c>
      <c r="C1525" t="s">
        <v>3234</v>
      </c>
      <c r="D1525" t="s">
        <v>48</v>
      </c>
      <c r="E1525" t="s">
        <v>19</v>
      </c>
      <c r="F1525" t="s">
        <v>34</v>
      </c>
      <c r="G1525" t="s">
        <v>191</v>
      </c>
      <c r="H1525" s="1">
        <v>45626.232638888891</v>
      </c>
      <c r="I1525" s="1">
        <v>45626.310416666667</v>
      </c>
      <c r="J1525">
        <v>67</v>
      </c>
      <c r="K1525">
        <v>112</v>
      </c>
      <c r="L1525">
        <v>1</v>
      </c>
      <c r="M1525" t="s">
        <v>29</v>
      </c>
      <c r="N1525">
        <v>8</v>
      </c>
      <c r="O1525">
        <v>348.42</v>
      </c>
    </row>
    <row r="1526" spans="1:15" x14ac:dyDescent="0.35">
      <c r="A1526" t="s">
        <v>3235</v>
      </c>
      <c r="B1526" t="s">
        <v>51</v>
      </c>
      <c r="C1526" t="s">
        <v>3236</v>
      </c>
      <c r="D1526" t="s">
        <v>56</v>
      </c>
      <c r="E1526" t="s">
        <v>33</v>
      </c>
      <c r="F1526" t="s">
        <v>27</v>
      </c>
      <c r="G1526" t="s">
        <v>114</v>
      </c>
      <c r="H1526" s="1">
        <v>45557.941666666666</v>
      </c>
      <c r="I1526" s="1">
        <v>45558.140277777777</v>
      </c>
      <c r="J1526">
        <v>218</v>
      </c>
      <c r="K1526">
        <v>286</v>
      </c>
      <c r="L1526">
        <v>1</v>
      </c>
      <c r="M1526" t="s">
        <v>22</v>
      </c>
      <c r="N1526">
        <v>2</v>
      </c>
      <c r="O1526">
        <v>137.81</v>
      </c>
    </row>
    <row r="1527" spans="1:15" x14ac:dyDescent="0.35">
      <c r="A1527" t="s">
        <v>3237</v>
      </c>
      <c r="B1527" t="s">
        <v>63</v>
      </c>
      <c r="C1527" t="s">
        <v>3238</v>
      </c>
      <c r="D1527" t="s">
        <v>44</v>
      </c>
      <c r="E1527" t="s">
        <v>85</v>
      </c>
      <c r="F1527" t="s">
        <v>39</v>
      </c>
      <c r="G1527" t="s">
        <v>234</v>
      </c>
      <c r="H1527" s="1">
        <v>45451.984027777777</v>
      </c>
      <c r="I1527" s="1">
        <v>45452.134027777778</v>
      </c>
      <c r="J1527">
        <v>109</v>
      </c>
      <c r="K1527">
        <v>216</v>
      </c>
      <c r="L1527">
        <v>1</v>
      </c>
      <c r="M1527" t="s">
        <v>22</v>
      </c>
      <c r="N1527">
        <v>3</v>
      </c>
      <c r="O1527">
        <v>495.57</v>
      </c>
    </row>
    <row r="1528" spans="1:15" x14ac:dyDescent="0.35">
      <c r="A1528" t="s">
        <v>3239</v>
      </c>
      <c r="B1528" t="s">
        <v>31</v>
      </c>
      <c r="C1528" t="s">
        <v>3240</v>
      </c>
      <c r="D1528" t="s">
        <v>18</v>
      </c>
      <c r="E1528" t="s">
        <v>38</v>
      </c>
      <c r="F1528" t="s">
        <v>39</v>
      </c>
      <c r="G1528" t="s">
        <v>676</v>
      </c>
      <c r="H1528" s="1">
        <v>45300.669444444444</v>
      </c>
      <c r="I1528" s="1">
        <v>45300.795138888891</v>
      </c>
      <c r="J1528">
        <v>87</v>
      </c>
      <c r="K1528">
        <v>181</v>
      </c>
      <c r="L1528">
        <v>1</v>
      </c>
      <c r="M1528" t="s">
        <v>22</v>
      </c>
      <c r="N1528">
        <v>5</v>
      </c>
      <c r="O1528">
        <v>413.88</v>
      </c>
    </row>
    <row r="1529" spans="1:15" x14ac:dyDescent="0.35">
      <c r="A1529" t="s">
        <v>3241</v>
      </c>
      <c r="B1529" t="s">
        <v>51</v>
      </c>
      <c r="C1529" t="s">
        <v>3242</v>
      </c>
      <c r="D1529" t="s">
        <v>26</v>
      </c>
      <c r="E1529" t="s">
        <v>38</v>
      </c>
      <c r="F1529" t="s">
        <v>57</v>
      </c>
      <c r="G1529" t="s">
        <v>108</v>
      </c>
      <c r="H1529" s="1">
        <v>45410.20416666667</v>
      </c>
      <c r="I1529" s="1">
        <v>45410.276388888888</v>
      </c>
      <c r="J1529">
        <v>102</v>
      </c>
      <c r="K1529">
        <v>104</v>
      </c>
      <c r="L1529">
        <v>1</v>
      </c>
      <c r="M1529" t="s">
        <v>41</v>
      </c>
      <c r="N1529">
        <v>7</v>
      </c>
      <c r="O1529">
        <v>182.85</v>
      </c>
    </row>
    <row r="1530" spans="1:15" x14ac:dyDescent="0.35">
      <c r="A1530" t="s">
        <v>3243</v>
      </c>
      <c r="B1530" t="s">
        <v>63</v>
      </c>
      <c r="C1530" t="s">
        <v>3244</v>
      </c>
      <c r="D1530" t="s">
        <v>48</v>
      </c>
      <c r="E1530" t="s">
        <v>38</v>
      </c>
      <c r="F1530" t="s">
        <v>20</v>
      </c>
      <c r="G1530" t="s">
        <v>988</v>
      </c>
      <c r="H1530" s="1">
        <v>45514.196527777778</v>
      </c>
      <c r="I1530" s="1">
        <v>45514.394444444442</v>
      </c>
      <c r="J1530">
        <v>239</v>
      </c>
      <c r="K1530">
        <v>285</v>
      </c>
      <c r="L1530">
        <v>1</v>
      </c>
      <c r="M1530" t="s">
        <v>41</v>
      </c>
      <c r="N1530">
        <v>5</v>
      </c>
      <c r="O1530">
        <v>64.7</v>
      </c>
    </row>
    <row r="1531" spans="1:15" x14ac:dyDescent="0.35">
      <c r="A1531" t="s">
        <v>3245</v>
      </c>
      <c r="B1531" t="s">
        <v>24</v>
      </c>
      <c r="C1531" t="s">
        <v>3246</v>
      </c>
      <c r="D1531" t="s">
        <v>26</v>
      </c>
      <c r="E1531" t="s">
        <v>19</v>
      </c>
      <c r="F1531" t="s">
        <v>20</v>
      </c>
      <c r="G1531" t="s">
        <v>251</v>
      </c>
      <c r="H1531" s="1">
        <v>45332.28402777778</v>
      </c>
      <c r="I1531" s="1">
        <v>45332.438194444447</v>
      </c>
      <c r="J1531">
        <v>115</v>
      </c>
      <c r="K1531">
        <v>222</v>
      </c>
      <c r="L1531">
        <v>1</v>
      </c>
      <c r="M1531" t="s">
        <v>41</v>
      </c>
      <c r="N1531">
        <v>5</v>
      </c>
      <c r="O1531">
        <v>359.56</v>
      </c>
    </row>
    <row r="1532" spans="1:15" x14ac:dyDescent="0.35">
      <c r="A1532" t="s">
        <v>3247</v>
      </c>
      <c r="B1532" t="s">
        <v>63</v>
      </c>
      <c r="C1532" t="s">
        <v>3248</v>
      </c>
      <c r="D1532" t="s">
        <v>26</v>
      </c>
      <c r="E1532" t="s">
        <v>85</v>
      </c>
      <c r="F1532" t="s">
        <v>27</v>
      </c>
      <c r="G1532" t="s">
        <v>853</v>
      </c>
      <c r="H1532" s="1">
        <v>45329.034722222219</v>
      </c>
      <c r="I1532" s="1">
        <v>45329.09652777778</v>
      </c>
      <c r="J1532">
        <v>20</v>
      </c>
      <c r="K1532">
        <v>89</v>
      </c>
      <c r="L1532">
        <v>1</v>
      </c>
      <c r="M1532" t="s">
        <v>41</v>
      </c>
      <c r="N1532">
        <v>9</v>
      </c>
      <c r="O1532">
        <v>336.35</v>
      </c>
    </row>
    <row r="1533" spans="1:15" x14ac:dyDescent="0.35">
      <c r="A1533" t="s">
        <v>3249</v>
      </c>
      <c r="B1533" t="s">
        <v>24</v>
      </c>
      <c r="C1533" t="s">
        <v>3250</v>
      </c>
      <c r="D1533" t="s">
        <v>18</v>
      </c>
      <c r="E1533" t="s">
        <v>19</v>
      </c>
      <c r="F1533" t="s">
        <v>20</v>
      </c>
      <c r="G1533" t="s">
        <v>521</v>
      </c>
      <c r="H1533" s="1">
        <v>45304.771527777775</v>
      </c>
      <c r="I1533" s="1">
        <v>45304.879861111112</v>
      </c>
      <c r="J1533">
        <v>82</v>
      </c>
      <c r="K1533">
        <v>156</v>
      </c>
      <c r="L1533">
        <v>1</v>
      </c>
      <c r="M1533" t="s">
        <v>41</v>
      </c>
      <c r="N1533">
        <v>3</v>
      </c>
      <c r="O1533">
        <v>434.15</v>
      </c>
    </row>
    <row r="1534" spans="1:15" x14ac:dyDescent="0.35">
      <c r="A1534" t="s">
        <v>3251</v>
      </c>
      <c r="B1534" t="s">
        <v>51</v>
      </c>
      <c r="C1534" t="s">
        <v>3252</v>
      </c>
      <c r="D1534" t="s">
        <v>18</v>
      </c>
      <c r="E1534" t="s">
        <v>33</v>
      </c>
      <c r="F1534" t="s">
        <v>20</v>
      </c>
      <c r="G1534" t="s">
        <v>1719</v>
      </c>
      <c r="H1534" s="1">
        <v>45626.350694444445</v>
      </c>
      <c r="I1534" s="1">
        <v>45626.404861111114</v>
      </c>
      <c r="J1534">
        <v>42</v>
      </c>
      <c r="K1534">
        <v>78</v>
      </c>
      <c r="L1534">
        <v>1</v>
      </c>
      <c r="M1534" t="s">
        <v>29</v>
      </c>
      <c r="N1534">
        <v>7</v>
      </c>
      <c r="O1534">
        <v>304.45</v>
      </c>
    </row>
    <row r="1535" spans="1:15" x14ac:dyDescent="0.35">
      <c r="A1535" t="s">
        <v>3253</v>
      </c>
      <c r="B1535" t="s">
        <v>31</v>
      </c>
      <c r="C1535" t="s">
        <v>3254</v>
      </c>
      <c r="D1535" t="s">
        <v>26</v>
      </c>
      <c r="E1535" t="s">
        <v>19</v>
      </c>
      <c r="F1535" t="s">
        <v>20</v>
      </c>
      <c r="G1535" t="s">
        <v>161</v>
      </c>
      <c r="H1535" s="1">
        <v>45635.713194444441</v>
      </c>
      <c r="I1535" s="1">
        <v>45635.830555555556</v>
      </c>
      <c r="J1535">
        <v>123</v>
      </c>
      <c r="K1535">
        <v>169</v>
      </c>
      <c r="L1535">
        <v>1</v>
      </c>
      <c r="M1535" t="s">
        <v>22</v>
      </c>
      <c r="N1535">
        <v>6</v>
      </c>
      <c r="O1535">
        <v>317.75</v>
      </c>
    </row>
    <row r="1536" spans="1:15" x14ac:dyDescent="0.35">
      <c r="A1536" t="s">
        <v>3255</v>
      </c>
      <c r="B1536" t="s">
        <v>63</v>
      </c>
      <c r="C1536" t="s">
        <v>3256</v>
      </c>
      <c r="D1536" t="s">
        <v>56</v>
      </c>
      <c r="E1536" t="s">
        <v>19</v>
      </c>
      <c r="F1536" t="s">
        <v>20</v>
      </c>
      <c r="G1536" t="s">
        <v>311</v>
      </c>
      <c r="H1536" s="1">
        <v>45575.401388888888</v>
      </c>
      <c r="I1536" s="1">
        <v>45575.536805555559</v>
      </c>
      <c r="J1536">
        <v>154</v>
      </c>
      <c r="K1536">
        <v>195</v>
      </c>
      <c r="L1536">
        <v>1</v>
      </c>
      <c r="M1536" t="s">
        <v>41</v>
      </c>
      <c r="N1536">
        <v>3</v>
      </c>
      <c r="O1536">
        <v>418.57</v>
      </c>
    </row>
    <row r="1537" spans="1:15" x14ac:dyDescent="0.35">
      <c r="A1537" t="s">
        <v>3257</v>
      </c>
      <c r="B1537" t="s">
        <v>16</v>
      </c>
      <c r="C1537" t="s">
        <v>3258</v>
      </c>
      <c r="D1537" t="s">
        <v>56</v>
      </c>
      <c r="E1537" t="s">
        <v>19</v>
      </c>
      <c r="F1537" t="s">
        <v>57</v>
      </c>
      <c r="G1537" t="s">
        <v>79</v>
      </c>
      <c r="H1537" s="1">
        <v>45516.453472222223</v>
      </c>
      <c r="I1537" s="1">
        <v>45516.590277777781</v>
      </c>
      <c r="J1537">
        <v>140</v>
      </c>
      <c r="K1537">
        <v>197</v>
      </c>
      <c r="L1537">
        <v>1</v>
      </c>
      <c r="M1537" t="s">
        <v>29</v>
      </c>
      <c r="N1537">
        <v>3</v>
      </c>
      <c r="O1537">
        <v>341.31</v>
      </c>
    </row>
    <row r="1538" spans="1:15" x14ac:dyDescent="0.35">
      <c r="A1538" t="s">
        <v>3259</v>
      </c>
      <c r="B1538" t="s">
        <v>51</v>
      </c>
      <c r="C1538" t="s">
        <v>3260</v>
      </c>
      <c r="D1538" t="s">
        <v>56</v>
      </c>
      <c r="E1538" t="s">
        <v>38</v>
      </c>
      <c r="F1538" t="s">
        <v>57</v>
      </c>
      <c r="G1538" t="s">
        <v>983</v>
      </c>
      <c r="H1538" s="1">
        <v>45448.439583333333</v>
      </c>
      <c r="I1538" s="1">
        <v>45448.569444444445</v>
      </c>
      <c r="J1538">
        <v>169</v>
      </c>
      <c r="K1538">
        <v>187</v>
      </c>
      <c r="L1538">
        <v>1</v>
      </c>
      <c r="M1538" t="s">
        <v>22</v>
      </c>
      <c r="N1538">
        <v>5</v>
      </c>
      <c r="O1538">
        <v>83.62</v>
      </c>
    </row>
    <row r="1539" spans="1:15" x14ac:dyDescent="0.35">
      <c r="A1539" t="s">
        <v>3261</v>
      </c>
      <c r="B1539" t="s">
        <v>63</v>
      </c>
      <c r="C1539" t="s">
        <v>3262</v>
      </c>
      <c r="D1539" t="s">
        <v>56</v>
      </c>
      <c r="E1539" t="s">
        <v>85</v>
      </c>
      <c r="F1539" t="s">
        <v>57</v>
      </c>
      <c r="G1539" t="s">
        <v>207</v>
      </c>
      <c r="H1539" s="1">
        <v>45493.418749999997</v>
      </c>
      <c r="I1539" s="1">
        <v>45493.504861111112</v>
      </c>
      <c r="J1539">
        <v>15</v>
      </c>
      <c r="K1539">
        <v>124</v>
      </c>
      <c r="L1539">
        <v>1</v>
      </c>
      <c r="M1539" t="s">
        <v>29</v>
      </c>
      <c r="N1539">
        <v>6</v>
      </c>
      <c r="O1539">
        <v>113.22</v>
      </c>
    </row>
    <row r="1540" spans="1:15" x14ac:dyDescent="0.35">
      <c r="A1540" t="s">
        <v>3263</v>
      </c>
      <c r="B1540" t="s">
        <v>51</v>
      </c>
      <c r="C1540" t="s">
        <v>3264</v>
      </c>
      <c r="D1540" t="s">
        <v>56</v>
      </c>
      <c r="E1540" t="s">
        <v>38</v>
      </c>
      <c r="F1540" t="s">
        <v>34</v>
      </c>
      <c r="G1540" t="s">
        <v>669</v>
      </c>
      <c r="H1540" s="1">
        <v>45602.087500000001</v>
      </c>
      <c r="I1540" s="1">
        <v>45602.225694444445</v>
      </c>
      <c r="J1540">
        <v>196</v>
      </c>
      <c r="K1540">
        <v>199</v>
      </c>
      <c r="L1540">
        <v>1</v>
      </c>
      <c r="M1540" t="s">
        <v>29</v>
      </c>
      <c r="N1540">
        <v>10</v>
      </c>
      <c r="O1540">
        <v>228.02</v>
      </c>
    </row>
    <row r="1541" spans="1:15" x14ac:dyDescent="0.35">
      <c r="A1541" t="s">
        <v>3265</v>
      </c>
      <c r="B1541" t="s">
        <v>51</v>
      </c>
      <c r="C1541" t="s">
        <v>3266</v>
      </c>
      <c r="D1541" t="s">
        <v>56</v>
      </c>
      <c r="E1541" t="s">
        <v>33</v>
      </c>
      <c r="F1541" t="s">
        <v>20</v>
      </c>
      <c r="G1541" t="s">
        <v>354</v>
      </c>
      <c r="H1541" s="1">
        <v>45384.529861111114</v>
      </c>
      <c r="I1541" s="1">
        <v>45384.713194444441</v>
      </c>
      <c r="J1541">
        <v>180</v>
      </c>
      <c r="K1541">
        <v>264</v>
      </c>
      <c r="L1541">
        <v>1</v>
      </c>
      <c r="M1541" t="s">
        <v>41</v>
      </c>
      <c r="N1541">
        <v>10</v>
      </c>
      <c r="O1541">
        <v>234.55</v>
      </c>
    </row>
    <row r="1542" spans="1:15" x14ac:dyDescent="0.35">
      <c r="A1542" t="s">
        <v>3267</v>
      </c>
      <c r="B1542" t="s">
        <v>16</v>
      </c>
      <c r="C1542" t="s">
        <v>3268</v>
      </c>
      <c r="D1542" t="s">
        <v>18</v>
      </c>
      <c r="E1542" t="s">
        <v>85</v>
      </c>
      <c r="F1542" t="s">
        <v>34</v>
      </c>
      <c r="G1542" t="s">
        <v>897</v>
      </c>
      <c r="H1542" s="1">
        <v>45543.368055555555</v>
      </c>
      <c r="I1542" s="1">
        <v>45543.531944444447</v>
      </c>
      <c r="J1542">
        <v>124</v>
      </c>
      <c r="K1542">
        <v>236</v>
      </c>
      <c r="L1542">
        <v>1</v>
      </c>
      <c r="M1542" t="s">
        <v>22</v>
      </c>
      <c r="N1542">
        <v>4</v>
      </c>
      <c r="O1542">
        <v>418.63</v>
      </c>
    </row>
    <row r="1543" spans="1:15" x14ac:dyDescent="0.35">
      <c r="A1543" t="s">
        <v>3269</v>
      </c>
      <c r="B1543" t="s">
        <v>16</v>
      </c>
      <c r="C1543" t="s">
        <v>3270</v>
      </c>
      <c r="D1543" t="s">
        <v>48</v>
      </c>
      <c r="E1543" t="s">
        <v>85</v>
      </c>
      <c r="F1543" t="s">
        <v>20</v>
      </c>
      <c r="G1543" t="s">
        <v>191</v>
      </c>
      <c r="H1543" s="1">
        <v>45638.335416666669</v>
      </c>
      <c r="I1543" s="1">
        <v>45638.54583333333</v>
      </c>
      <c r="J1543">
        <v>223</v>
      </c>
      <c r="K1543">
        <v>303</v>
      </c>
      <c r="L1543">
        <v>1</v>
      </c>
      <c r="M1543" t="s">
        <v>29</v>
      </c>
      <c r="N1543">
        <v>4</v>
      </c>
      <c r="O1543">
        <v>393.98</v>
      </c>
    </row>
    <row r="1544" spans="1:15" x14ac:dyDescent="0.35">
      <c r="A1544" t="s">
        <v>3271</v>
      </c>
      <c r="B1544" t="s">
        <v>63</v>
      </c>
      <c r="C1544" t="s">
        <v>3272</v>
      </c>
      <c r="D1544" t="s">
        <v>44</v>
      </c>
      <c r="E1544" t="s">
        <v>85</v>
      </c>
      <c r="F1544" t="s">
        <v>20</v>
      </c>
      <c r="G1544" t="s">
        <v>207</v>
      </c>
      <c r="H1544" s="1">
        <v>45644.193055555559</v>
      </c>
      <c r="I1544" s="1">
        <v>45644.292361111111</v>
      </c>
      <c r="J1544">
        <v>43</v>
      </c>
      <c r="K1544">
        <v>143</v>
      </c>
      <c r="L1544">
        <v>1</v>
      </c>
      <c r="M1544" t="s">
        <v>41</v>
      </c>
      <c r="N1544">
        <v>9</v>
      </c>
      <c r="O1544">
        <v>289.91000000000003</v>
      </c>
    </row>
    <row r="1545" spans="1:15" x14ac:dyDescent="0.35">
      <c r="A1545" t="s">
        <v>3273</v>
      </c>
      <c r="B1545" t="s">
        <v>16</v>
      </c>
      <c r="C1545" t="s">
        <v>3274</v>
      </c>
      <c r="D1545" t="s">
        <v>44</v>
      </c>
      <c r="E1545" t="s">
        <v>33</v>
      </c>
      <c r="F1545" t="s">
        <v>20</v>
      </c>
      <c r="G1545" t="s">
        <v>430</v>
      </c>
      <c r="H1545" s="1">
        <v>45307.147222222222</v>
      </c>
      <c r="I1545" s="1">
        <v>45307.279166666667</v>
      </c>
      <c r="J1545">
        <v>140</v>
      </c>
      <c r="K1545">
        <v>190</v>
      </c>
      <c r="L1545">
        <v>1</v>
      </c>
      <c r="M1545" t="s">
        <v>22</v>
      </c>
      <c r="N1545">
        <v>8</v>
      </c>
      <c r="O1545">
        <v>386.33</v>
      </c>
    </row>
    <row r="1546" spans="1:15" x14ac:dyDescent="0.35">
      <c r="A1546" t="s">
        <v>3275</v>
      </c>
      <c r="B1546" t="s">
        <v>31</v>
      </c>
      <c r="C1546" t="s">
        <v>3276</v>
      </c>
      <c r="D1546" t="s">
        <v>26</v>
      </c>
      <c r="E1546" t="s">
        <v>19</v>
      </c>
      <c r="F1546" t="s">
        <v>27</v>
      </c>
      <c r="G1546" t="s">
        <v>164</v>
      </c>
      <c r="H1546" s="1">
        <v>45581.600694444445</v>
      </c>
      <c r="I1546" s="1">
        <v>45581.662499999999</v>
      </c>
      <c r="J1546">
        <v>56</v>
      </c>
      <c r="K1546">
        <v>89</v>
      </c>
      <c r="L1546">
        <v>1</v>
      </c>
      <c r="M1546" t="s">
        <v>41</v>
      </c>
      <c r="N1546">
        <v>10</v>
      </c>
      <c r="O1546">
        <v>430.7</v>
      </c>
    </row>
    <row r="1547" spans="1:15" x14ac:dyDescent="0.35">
      <c r="A1547" t="s">
        <v>3277</v>
      </c>
      <c r="B1547" t="s">
        <v>31</v>
      </c>
      <c r="C1547" t="s">
        <v>3278</v>
      </c>
      <c r="D1547" t="s">
        <v>18</v>
      </c>
      <c r="E1547" t="s">
        <v>33</v>
      </c>
      <c r="F1547" t="s">
        <v>27</v>
      </c>
      <c r="G1547" t="s">
        <v>296</v>
      </c>
      <c r="H1547" s="1">
        <v>45326.679166666669</v>
      </c>
      <c r="I1547" s="1">
        <v>45326.754861111112</v>
      </c>
      <c r="J1547">
        <v>33</v>
      </c>
      <c r="K1547">
        <v>109</v>
      </c>
      <c r="L1547">
        <v>1</v>
      </c>
      <c r="M1547" t="s">
        <v>22</v>
      </c>
      <c r="N1547">
        <v>4</v>
      </c>
      <c r="O1547">
        <v>93.21</v>
      </c>
    </row>
    <row r="1548" spans="1:15" x14ac:dyDescent="0.35">
      <c r="A1548" t="s">
        <v>3279</v>
      </c>
      <c r="B1548" t="s">
        <v>16</v>
      </c>
      <c r="C1548" t="s">
        <v>3280</v>
      </c>
      <c r="D1548" t="s">
        <v>44</v>
      </c>
      <c r="E1548" t="s">
        <v>19</v>
      </c>
      <c r="F1548" t="s">
        <v>34</v>
      </c>
      <c r="G1548" t="s">
        <v>983</v>
      </c>
      <c r="H1548" s="1">
        <v>45298.072222222225</v>
      </c>
      <c r="I1548" s="1">
        <v>45298.247916666667</v>
      </c>
      <c r="J1548">
        <v>194</v>
      </c>
      <c r="K1548">
        <v>253</v>
      </c>
      <c r="L1548">
        <v>1</v>
      </c>
      <c r="M1548" t="s">
        <v>22</v>
      </c>
      <c r="N1548">
        <v>10</v>
      </c>
      <c r="O1548">
        <v>170.55</v>
      </c>
    </row>
    <row r="1549" spans="1:15" x14ac:dyDescent="0.35">
      <c r="A1549" t="s">
        <v>3281</v>
      </c>
      <c r="B1549" t="s">
        <v>16</v>
      </c>
      <c r="C1549" t="s">
        <v>3282</v>
      </c>
      <c r="D1549" t="s">
        <v>48</v>
      </c>
      <c r="E1549" t="s">
        <v>38</v>
      </c>
      <c r="F1549" t="s">
        <v>20</v>
      </c>
      <c r="G1549" t="s">
        <v>1187</v>
      </c>
      <c r="H1549" s="1">
        <v>45302.915972222225</v>
      </c>
      <c r="I1549" s="1">
        <v>45303.101388888892</v>
      </c>
      <c r="J1549">
        <v>167</v>
      </c>
      <c r="K1549">
        <v>267</v>
      </c>
      <c r="L1549">
        <v>1</v>
      </c>
      <c r="M1549" t="s">
        <v>29</v>
      </c>
      <c r="N1549">
        <v>3</v>
      </c>
      <c r="O1549">
        <v>260.16000000000003</v>
      </c>
    </row>
    <row r="1550" spans="1:15" x14ac:dyDescent="0.35">
      <c r="A1550" t="s">
        <v>3283</v>
      </c>
      <c r="B1550" t="s">
        <v>24</v>
      </c>
      <c r="C1550" t="s">
        <v>3284</v>
      </c>
      <c r="D1550" t="s">
        <v>44</v>
      </c>
      <c r="E1550" t="s">
        <v>38</v>
      </c>
      <c r="F1550" t="s">
        <v>20</v>
      </c>
      <c r="G1550" t="s">
        <v>129</v>
      </c>
      <c r="H1550" s="1">
        <v>45521.056944444441</v>
      </c>
      <c r="I1550" s="1">
        <v>45521.135416666664</v>
      </c>
      <c r="J1550">
        <v>114</v>
      </c>
      <c r="K1550">
        <v>113</v>
      </c>
      <c r="L1550">
        <v>0</v>
      </c>
      <c r="M1550" t="s">
        <v>41</v>
      </c>
      <c r="N1550">
        <v>3</v>
      </c>
      <c r="O1550">
        <v>126.35</v>
      </c>
    </row>
    <row r="1551" spans="1:15" x14ac:dyDescent="0.35">
      <c r="A1551" t="s">
        <v>3285</v>
      </c>
      <c r="B1551" t="s">
        <v>51</v>
      </c>
      <c r="C1551" t="s">
        <v>3286</v>
      </c>
      <c r="D1551" t="s">
        <v>18</v>
      </c>
      <c r="E1551" t="s">
        <v>33</v>
      </c>
      <c r="F1551" t="s">
        <v>57</v>
      </c>
      <c r="G1551" t="s">
        <v>161</v>
      </c>
      <c r="H1551" s="1">
        <v>45601.236805555556</v>
      </c>
      <c r="I1551" s="1">
        <v>45601.302083333336</v>
      </c>
      <c r="J1551">
        <v>44</v>
      </c>
      <c r="K1551">
        <v>94</v>
      </c>
      <c r="L1551">
        <v>1</v>
      </c>
      <c r="M1551" t="s">
        <v>29</v>
      </c>
      <c r="N1551">
        <v>1</v>
      </c>
      <c r="O1551">
        <v>409.65</v>
      </c>
    </row>
    <row r="1552" spans="1:15" x14ac:dyDescent="0.35">
      <c r="A1552" t="s">
        <v>3287</v>
      </c>
      <c r="B1552" t="s">
        <v>31</v>
      </c>
      <c r="C1552" t="s">
        <v>3288</v>
      </c>
      <c r="D1552" t="s">
        <v>44</v>
      </c>
      <c r="E1552" t="s">
        <v>85</v>
      </c>
      <c r="F1552" t="s">
        <v>39</v>
      </c>
      <c r="G1552" t="s">
        <v>185</v>
      </c>
      <c r="H1552" s="1">
        <v>45568.350694444445</v>
      </c>
      <c r="I1552" s="1">
        <v>45568.469444444447</v>
      </c>
      <c r="J1552">
        <v>94</v>
      </c>
      <c r="K1552">
        <v>171</v>
      </c>
      <c r="L1552">
        <v>1</v>
      </c>
      <c r="M1552" t="s">
        <v>22</v>
      </c>
      <c r="N1552">
        <v>1</v>
      </c>
      <c r="O1552">
        <v>61.43</v>
      </c>
    </row>
    <row r="1553" spans="1:15" x14ac:dyDescent="0.35">
      <c r="A1553" t="s">
        <v>3289</v>
      </c>
      <c r="B1553" t="s">
        <v>24</v>
      </c>
      <c r="C1553" t="s">
        <v>3290</v>
      </c>
      <c r="D1553" t="s">
        <v>26</v>
      </c>
      <c r="E1553" t="s">
        <v>38</v>
      </c>
      <c r="F1553" t="s">
        <v>20</v>
      </c>
      <c r="G1553" t="s">
        <v>526</v>
      </c>
      <c r="H1553" s="1">
        <v>45320.69027777778</v>
      </c>
      <c r="I1553" s="1">
        <v>45320.84652777778</v>
      </c>
      <c r="J1553">
        <v>217</v>
      </c>
      <c r="K1553">
        <v>225</v>
      </c>
      <c r="L1553">
        <v>1</v>
      </c>
      <c r="M1553" t="s">
        <v>22</v>
      </c>
      <c r="N1553">
        <v>5</v>
      </c>
      <c r="O1553">
        <v>102.02</v>
      </c>
    </row>
    <row r="1554" spans="1:15" x14ac:dyDescent="0.35">
      <c r="A1554" t="s">
        <v>3291</v>
      </c>
      <c r="B1554" t="s">
        <v>63</v>
      </c>
      <c r="C1554" t="s">
        <v>3292</v>
      </c>
      <c r="D1554" t="s">
        <v>26</v>
      </c>
      <c r="E1554" t="s">
        <v>38</v>
      </c>
      <c r="F1554" t="s">
        <v>39</v>
      </c>
      <c r="G1554" t="s">
        <v>402</v>
      </c>
      <c r="H1554" s="1">
        <v>45341.186805555553</v>
      </c>
      <c r="I1554" s="1">
        <v>45341.248611111114</v>
      </c>
      <c r="J1554">
        <v>53</v>
      </c>
      <c r="K1554">
        <v>89</v>
      </c>
      <c r="L1554">
        <v>1</v>
      </c>
      <c r="M1554" t="s">
        <v>22</v>
      </c>
      <c r="N1554">
        <v>6</v>
      </c>
      <c r="O1554">
        <v>363.98</v>
      </c>
    </row>
    <row r="1555" spans="1:15" x14ac:dyDescent="0.35">
      <c r="A1555" t="s">
        <v>3293</v>
      </c>
      <c r="B1555" t="s">
        <v>51</v>
      </c>
      <c r="C1555" t="s">
        <v>3294</v>
      </c>
      <c r="D1555" t="s">
        <v>26</v>
      </c>
      <c r="E1555" t="s">
        <v>33</v>
      </c>
      <c r="F1555" t="s">
        <v>39</v>
      </c>
      <c r="G1555" t="s">
        <v>158</v>
      </c>
      <c r="H1555" s="1">
        <v>45470.587500000001</v>
      </c>
      <c r="I1555" s="1">
        <v>45470.698611111111</v>
      </c>
      <c r="J1555">
        <v>128</v>
      </c>
      <c r="K1555">
        <v>160</v>
      </c>
      <c r="L1555">
        <v>1</v>
      </c>
      <c r="M1555" t="s">
        <v>41</v>
      </c>
      <c r="N1555">
        <v>5</v>
      </c>
      <c r="O1555">
        <v>362.73</v>
      </c>
    </row>
    <row r="1556" spans="1:15" x14ac:dyDescent="0.35">
      <c r="A1556" t="s">
        <v>3295</v>
      </c>
      <c r="B1556" t="s">
        <v>24</v>
      </c>
      <c r="C1556" t="s">
        <v>3296</v>
      </c>
      <c r="D1556" t="s">
        <v>18</v>
      </c>
      <c r="E1556" t="s">
        <v>38</v>
      </c>
      <c r="F1556" t="s">
        <v>27</v>
      </c>
      <c r="G1556" t="s">
        <v>65</v>
      </c>
      <c r="H1556" s="1">
        <v>45458.451388888891</v>
      </c>
      <c r="I1556" s="1">
        <v>45458.558333333334</v>
      </c>
      <c r="J1556">
        <v>71</v>
      </c>
      <c r="K1556">
        <v>154</v>
      </c>
      <c r="L1556">
        <v>1</v>
      </c>
      <c r="M1556" t="s">
        <v>29</v>
      </c>
      <c r="N1556">
        <v>7</v>
      </c>
      <c r="O1556">
        <v>91.85</v>
      </c>
    </row>
    <row r="1557" spans="1:15" x14ac:dyDescent="0.35">
      <c r="A1557" t="s">
        <v>3297</v>
      </c>
      <c r="B1557" t="s">
        <v>51</v>
      </c>
      <c r="C1557" t="s">
        <v>3298</v>
      </c>
      <c r="D1557" t="s">
        <v>18</v>
      </c>
      <c r="E1557" t="s">
        <v>19</v>
      </c>
      <c r="F1557" t="s">
        <v>20</v>
      </c>
      <c r="G1557" t="s">
        <v>143</v>
      </c>
      <c r="H1557" s="1">
        <v>45577.75</v>
      </c>
      <c r="I1557" s="1">
        <v>45577.818749999999</v>
      </c>
      <c r="J1557">
        <v>101</v>
      </c>
      <c r="K1557">
        <v>99</v>
      </c>
      <c r="L1557">
        <v>0</v>
      </c>
      <c r="M1557" t="s">
        <v>29</v>
      </c>
      <c r="N1557">
        <v>9</v>
      </c>
      <c r="O1557">
        <v>432.48</v>
      </c>
    </row>
    <row r="1558" spans="1:15" x14ac:dyDescent="0.35">
      <c r="A1558" t="s">
        <v>3299</v>
      </c>
      <c r="B1558" t="s">
        <v>31</v>
      </c>
      <c r="C1558" t="s">
        <v>3300</v>
      </c>
      <c r="D1558" t="s">
        <v>26</v>
      </c>
      <c r="E1558" t="s">
        <v>85</v>
      </c>
      <c r="F1558" t="s">
        <v>39</v>
      </c>
      <c r="G1558" t="s">
        <v>777</v>
      </c>
      <c r="H1558" s="1">
        <v>45364.897222222222</v>
      </c>
      <c r="I1558" s="1">
        <v>45365.095138888886</v>
      </c>
      <c r="J1558">
        <v>186</v>
      </c>
      <c r="K1558">
        <v>285</v>
      </c>
      <c r="L1558">
        <v>1</v>
      </c>
      <c r="M1558" t="s">
        <v>22</v>
      </c>
      <c r="N1558">
        <v>8</v>
      </c>
      <c r="O1558">
        <v>215.41</v>
      </c>
    </row>
    <row r="1559" spans="1:15" x14ac:dyDescent="0.35">
      <c r="A1559" t="s">
        <v>3301</v>
      </c>
      <c r="B1559" t="s">
        <v>31</v>
      </c>
      <c r="C1559" t="s">
        <v>3302</v>
      </c>
      <c r="D1559" t="s">
        <v>18</v>
      </c>
      <c r="E1559" t="s">
        <v>38</v>
      </c>
      <c r="F1559" t="s">
        <v>20</v>
      </c>
      <c r="G1559" t="s">
        <v>526</v>
      </c>
      <c r="H1559" s="1">
        <v>45424.191666666666</v>
      </c>
      <c r="I1559" s="1">
        <v>45424.322222222225</v>
      </c>
      <c r="J1559">
        <v>112</v>
      </c>
      <c r="K1559">
        <v>188</v>
      </c>
      <c r="L1559">
        <v>1</v>
      </c>
      <c r="M1559" t="s">
        <v>41</v>
      </c>
      <c r="N1559">
        <v>5</v>
      </c>
      <c r="O1559">
        <v>399.95</v>
      </c>
    </row>
    <row r="1560" spans="1:15" x14ac:dyDescent="0.35">
      <c r="A1560" t="s">
        <v>3303</v>
      </c>
      <c r="B1560" t="s">
        <v>31</v>
      </c>
      <c r="C1560" t="s">
        <v>3304</v>
      </c>
      <c r="D1560" t="s">
        <v>56</v>
      </c>
      <c r="E1560" t="s">
        <v>38</v>
      </c>
      <c r="F1560" t="s">
        <v>39</v>
      </c>
      <c r="G1560" t="s">
        <v>316</v>
      </c>
      <c r="H1560" s="1">
        <v>45335.564583333333</v>
      </c>
      <c r="I1560" s="1">
        <v>45335.708333333336</v>
      </c>
      <c r="J1560">
        <v>185</v>
      </c>
      <c r="K1560">
        <v>207</v>
      </c>
      <c r="L1560">
        <v>1</v>
      </c>
      <c r="M1560" t="s">
        <v>29</v>
      </c>
      <c r="N1560">
        <v>9</v>
      </c>
      <c r="O1560">
        <v>281.81</v>
      </c>
    </row>
    <row r="1561" spans="1:15" x14ac:dyDescent="0.35">
      <c r="A1561" t="s">
        <v>3305</v>
      </c>
      <c r="B1561" t="s">
        <v>24</v>
      </c>
      <c r="C1561" t="s">
        <v>3306</v>
      </c>
      <c r="D1561" t="s">
        <v>18</v>
      </c>
      <c r="E1561" t="s">
        <v>85</v>
      </c>
      <c r="F1561" t="s">
        <v>27</v>
      </c>
      <c r="G1561" t="s">
        <v>354</v>
      </c>
      <c r="H1561" s="1">
        <v>45460.801388888889</v>
      </c>
      <c r="I1561" s="1">
        <v>45461.027777777781</v>
      </c>
      <c r="J1561">
        <v>234</v>
      </c>
      <c r="K1561">
        <v>326</v>
      </c>
      <c r="L1561">
        <v>1</v>
      </c>
      <c r="M1561" t="s">
        <v>29</v>
      </c>
      <c r="N1561">
        <v>9</v>
      </c>
      <c r="O1561">
        <v>375.68</v>
      </c>
    </row>
    <row r="1562" spans="1:15" x14ac:dyDescent="0.35">
      <c r="A1562" t="s">
        <v>3307</v>
      </c>
      <c r="B1562" t="s">
        <v>51</v>
      </c>
      <c r="C1562" t="s">
        <v>3308</v>
      </c>
      <c r="D1562" t="s">
        <v>18</v>
      </c>
      <c r="E1562" t="s">
        <v>19</v>
      </c>
      <c r="F1562" t="s">
        <v>20</v>
      </c>
      <c r="G1562" t="s">
        <v>283</v>
      </c>
      <c r="H1562" s="1">
        <v>45296.863194444442</v>
      </c>
      <c r="I1562" s="1">
        <v>45297.013888888891</v>
      </c>
      <c r="J1562">
        <v>143</v>
      </c>
      <c r="K1562">
        <v>217</v>
      </c>
      <c r="L1562">
        <v>1</v>
      </c>
      <c r="M1562" t="s">
        <v>41</v>
      </c>
      <c r="N1562">
        <v>1</v>
      </c>
      <c r="O1562">
        <v>412.39</v>
      </c>
    </row>
    <row r="1563" spans="1:15" x14ac:dyDescent="0.35">
      <c r="A1563" t="s">
        <v>3309</v>
      </c>
      <c r="B1563" t="s">
        <v>51</v>
      </c>
      <c r="C1563" t="s">
        <v>3310</v>
      </c>
      <c r="D1563" t="s">
        <v>18</v>
      </c>
      <c r="E1563" t="s">
        <v>38</v>
      </c>
      <c r="F1563" t="s">
        <v>20</v>
      </c>
      <c r="G1563" t="s">
        <v>445</v>
      </c>
      <c r="H1563" s="1">
        <v>45536.98333333333</v>
      </c>
      <c r="I1563" s="1">
        <v>45537.044444444444</v>
      </c>
      <c r="J1563">
        <v>68</v>
      </c>
      <c r="K1563">
        <v>88</v>
      </c>
      <c r="L1563">
        <v>1</v>
      </c>
      <c r="M1563" t="s">
        <v>29</v>
      </c>
      <c r="N1563">
        <v>4</v>
      </c>
      <c r="O1563">
        <v>89.24</v>
      </c>
    </row>
    <row r="1564" spans="1:15" x14ac:dyDescent="0.35">
      <c r="A1564" t="s">
        <v>3311</v>
      </c>
      <c r="B1564" t="s">
        <v>16</v>
      </c>
      <c r="C1564" t="s">
        <v>3312</v>
      </c>
      <c r="D1564" t="s">
        <v>56</v>
      </c>
      <c r="E1564" t="s">
        <v>19</v>
      </c>
      <c r="F1564" t="s">
        <v>20</v>
      </c>
      <c r="G1564" t="s">
        <v>194</v>
      </c>
      <c r="H1564" s="1">
        <v>45480.424305555556</v>
      </c>
      <c r="I1564" s="1">
        <v>45480.541666666664</v>
      </c>
      <c r="J1564">
        <v>98</v>
      </c>
      <c r="K1564">
        <v>169</v>
      </c>
      <c r="L1564">
        <v>1</v>
      </c>
      <c r="M1564" t="s">
        <v>22</v>
      </c>
      <c r="N1564">
        <v>6</v>
      </c>
      <c r="O1564">
        <v>182.69</v>
      </c>
    </row>
    <row r="1565" spans="1:15" x14ac:dyDescent="0.35">
      <c r="A1565" t="s">
        <v>3313</v>
      </c>
      <c r="B1565" t="s">
        <v>16</v>
      </c>
      <c r="C1565" t="s">
        <v>3314</v>
      </c>
      <c r="D1565" t="s">
        <v>48</v>
      </c>
      <c r="E1565" t="s">
        <v>19</v>
      </c>
      <c r="F1565" t="s">
        <v>20</v>
      </c>
      <c r="G1565" t="s">
        <v>1187</v>
      </c>
      <c r="H1565" s="1">
        <v>45490.095138888886</v>
      </c>
      <c r="I1565" s="1">
        <v>45490.313194444447</v>
      </c>
      <c r="J1565">
        <v>232</v>
      </c>
      <c r="K1565">
        <v>314</v>
      </c>
      <c r="L1565">
        <v>1</v>
      </c>
      <c r="M1565" t="s">
        <v>29</v>
      </c>
      <c r="N1565">
        <v>10</v>
      </c>
      <c r="O1565">
        <v>321.01</v>
      </c>
    </row>
    <row r="1566" spans="1:15" x14ac:dyDescent="0.35">
      <c r="A1566" t="s">
        <v>3315</v>
      </c>
      <c r="B1566" t="s">
        <v>51</v>
      </c>
      <c r="C1566" t="s">
        <v>3316</v>
      </c>
      <c r="D1566" t="s">
        <v>44</v>
      </c>
      <c r="E1566" t="s">
        <v>85</v>
      </c>
      <c r="F1566" t="s">
        <v>34</v>
      </c>
      <c r="G1566" t="s">
        <v>465</v>
      </c>
      <c r="H1566" s="1">
        <v>45360.284722222219</v>
      </c>
      <c r="I1566" s="1">
        <v>45360.481249999997</v>
      </c>
      <c r="J1566">
        <v>237</v>
      </c>
      <c r="K1566">
        <v>283</v>
      </c>
      <c r="L1566">
        <v>1</v>
      </c>
      <c r="M1566" t="s">
        <v>22</v>
      </c>
      <c r="N1566">
        <v>6</v>
      </c>
      <c r="O1566">
        <v>385.95</v>
      </c>
    </row>
    <row r="1567" spans="1:15" x14ac:dyDescent="0.35">
      <c r="A1567" t="s">
        <v>3317</v>
      </c>
      <c r="B1567" t="s">
        <v>24</v>
      </c>
      <c r="C1567" t="s">
        <v>3318</v>
      </c>
      <c r="D1567" t="s">
        <v>56</v>
      </c>
      <c r="E1567" t="s">
        <v>85</v>
      </c>
      <c r="F1567" t="s">
        <v>27</v>
      </c>
      <c r="G1567" t="s">
        <v>676</v>
      </c>
      <c r="H1567" s="1">
        <v>45597.40347222222</v>
      </c>
      <c r="I1567" s="1">
        <v>45597.518750000003</v>
      </c>
      <c r="J1567">
        <v>110</v>
      </c>
      <c r="K1567">
        <v>166</v>
      </c>
      <c r="L1567">
        <v>1</v>
      </c>
      <c r="M1567" t="s">
        <v>41</v>
      </c>
      <c r="N1567">
        <v>6</v>
      </c>
      <c r="O1567">
        <v>302.29000000000002</v>
      </c>
    </row>
    <row r="1568" spans="1:15" x14ac:dyDescent="0.35">
      <c r="A1568" t="s">
        <v>3319</v>
      </c>
      <c r="B1568" t="s">
        <v>51</v>
      </c>
      <c r="C1568" t="s">
        <v>3320</v>
      </c>
      <c r="D1568" t="s">
        <v>44</v>
      </c>
      <c r="E1568" t="s">
        <v>85</v>
      </c>
      <c r="F1568" t="s">
        <v>39</v>
      </c>
      <c r="G1568" t="s">
        <v>681</v>
      </c>
      <c r="H1568" s="1">
        <v>45402.688194444447</v>
      </c>
      <c r="I1568" s="1">
        <v>45402.727083333331</v>
      </c>
      <c r="J1568">
        <v>29</v>
      </c>
      <c r="K1568">
        <v>56</v>
      </c>
      <c r="L1568">
        <v>1</v>
      </c>
      <c r="M1568" t="s">
        <v>22</v>
      </c>
      <c r="N1568">
        <v>7</v>
      </c>
      <c r="O1568">
        <v>58.15</v>
      </c>
    </row>
    <row r="1569" spans="1:15" x14ac:dyDescent="0.35">
      <c r="A1569" t="s">
        <v>3321</v>
      </c>
      <c r="B1569" t="s">
        <v>16</v>
      </c>
      <c r="C1569" t="s">
        <v>3322</v>
      </c>
      <c r="D1569" t="s">
        <v>44</v>
      </c>
      <c r="E1569" t="s">
        <v>38</v>
      </c>
      <c r="F1569" t="s">
        <v>20</v>
      </c>
      <c r="G1569" t="s">
        <v>288</v>
      </c>
      <c r="H1569" s="1">
        <v>45653.682638888888</v>
      </c>
      <c r="I1569" s="1">
        <v>45653.822916666664</v>
      </c>
      <c r="J1569">
        <v>132</v>
      </c>
      <c r="K1569">
        <v>202</v>
      </c>
      <c r="L1569">
        <v>1</v>
      </c>
      <c r="M1569" t="s">
        <v>29</v>
      </c>
      <c r="N1569">
        <v>5</v>
      </c>
      <c r="O1569">
        <v>99.63</v>
      </c>
    </row>
    <row r="1570" spans="1:15" x14ac:dyDescent="0.35">
      <c r="A1570" t="s">
        <v>3323</v>
      </c>
      <c r="B1570" t="s">
        <v>24</v>
      </c>
      <c r="C1570" t="s">
        <v>3324</v>
      </c>
      <c r="D1570" t="s">
        <v>56</v>
      </c>
      <c r="E1570" t="s">
        <v>38</v>
      </c>
      <c r="F1570" t="s">
        <v>27</v>
      </c>
      <c r="G1570" t="s">
        <v>418</v>
      </c>
      <c r="H1570" s="1">
        <v>45457.549305555556</v>
      </c>
      <c r="I1570" s="1">
        <v>45457.613194444442</v>
      </c>
      <c r="J1570">
        <v>55</v>
      </c>
      <c r="K1570">
        <v>92</v>
      </c>
      <c r="L1570">
        <v>1</v>
      </c>
      <c r="M1570" t="s">
        <v>29</v>
      </c>
      <c r="N1570">
        <v>1</v>
      </c>
      <c r="O1570">
        <v>71.56</v>
      </c>
    </row>
    <row r="1571" spans="1:15" x14ac:dyDescent="0.35">
      <c r="A1571" t="s">
        <v>3325</v>
      </c>
      <c r="B1571" t="s">
        <v>24</v>
      </c>
      <c r="C1571" t="s">
        <v>3326</v>
      </c>
      <c r="D1571" t="s">
        <v>18</v>
      </c>
      <c r="E1571" t="s">
        <v>38</v>
      </c>
      <c r="F1571" t="s">
        <v>27</v>
      </c>
      <c r="G1571" t="s">
        <v>1730</v>
      </c>
      <c r="H1571" s="1">
        <v>45642.371527777781</v>
      </c>
      <c r="I1571" s="1">
        <v>45642.479166666664</v>
      </c>
      <c r="J1571">
        <v>138</v>
      </c>
      <c r="K1571">
        <v>155</v>
      </c>
      <c r="L1571">
        <v>1</v>
      </c>
      <c r="M1571" t="s">
        <v>29</v>
      </c>
      <c r="N1571">
        <v>7</v>
      </c>
      <c r="O1571">
        <v>79.36</v>
      </c>
    </row>
    <row r="1572" spans="1:15" x14ac:dyDescent="0.35">
      <c r="A1572" t="s">
        <v>3327</v>
      </c>
      <c r="B1572" t="s">
        <v>51</v>
      </c>
      <c r="C1572" t="s">
        <v>3328</v>
      </c>
      <c r="D1572" t="s">
        <v>26</v>
      </c>
      <c r="E1572" t="s">
        <v>33</v>
      </c>
      <c r="F1572" t="s">
        <v>27</v>
      </c>
      <c r="G1572" t="s">
        <v>210</v>
      </c>
      <c r="H1572" s="1">
        <v>45655.963888888888</v>
      </c>
      <c r="I1572" s="1">
        <v>45656.082638888889</v>
      </c>
      <c r="J1572">
        <v>67</v>
      </c>
      <c r="K1572">
        <v>171</v>
      </c>
      <c r="L1572">
        <v>1</v>
      </c>
      <c r="M1572" t="s">
        <v>41</v>
      </c>
      <c r="N1572">
        <v>7</v>
      </c>
      <c r="O1572">
        <v>183.09</v>
      </c>
    </row>
    <row r="1573" spans="1:15" x14ac:dyDescent="0.35">
      <c r="A1573" t="s">
        <v>3329</v>
      </c>
      <c r="B1573" t="s">
        <v>63</v>
      </c>
      <c r="C1573" t="s">
        <v>3330</v>
      </c>
      <c r="D1573" t="s">
        <v>18</v>
      </c>
      <c r="E1573" t="s">
        <v>33</v>
      </c>
      <c r="F1573" t="s">
        <v>57</v>
      </c>
      <c r="G1573" t="s">
        <v>894</v>
      </c>
      <c r="H1573" s="1">
        <v>45513.845138888886</v>
      </c>
      <c r="I1573" s="1">
        <v>45514.002083333333</v>
      </c>
      <c r="J1573">
        <v>230</v>
      </c>
      <c r="K1573">
        <v>226</v>
      </c>
      <c r="L1573">
        <v>0</v>
      </c>
      <c r="M1573" t="s">
        <v>41</v>
      </c>
      <c r="N1573">
        <v>3</v>
      </c>
      <c r="O1573">
        <v>190.76</v>
      </c>
    </row>
    <row r="1574" spans="1:15" x14ac:dyDescent="0.35">
      <c r="A1574" t="s">
        <v>3331</v>
      </c>
      <c r="B1574" t="s">
        <v>31</v>
      </c>
      <c r="C1574" t="s">
        <v>3332</v>
      </c>
      <c r="D1574" t="s">
        <v>44</v>
      </c>
      <c r="E1574" t="s">
        <v>19</v>
      </c>
      <c r="F1574" t="s">
        <v>57</v>
      </c>
      <c r="G1574" t="s">
        <v>132</v>
      </c>
      <c r="H1574" s="1">
        <v>45601.037499999999</v>
      </c>
      <c r="I1574" s="1">
        <v>45601.238888888889</v>
      </c>
      <c r="J1574">
        <v>235</v>
      </c>
      <c r="K1574">
        <v>290</v>
      </c>
      <c r="L1574">
        <v>1</v>
      </c>
      <c r="M1574" t="s">
        <v>29</v>
      </c>
      <c r="N1574">
        <v>7</v>
      </c>
      <c r="O1574">
        <v>296.36</v>
      </c>
    </row>
    <row r="1575" spans="1:15" x14ac:dyDescent="0.35">
      <c r="A1575" t="s">
        <v>3333</v>
      </c>
      <c r="B1575" t="s">
        <v>51</v>
      </c>
      <c r="C1575" t="s">
        <v>3334</v>
      </c>
      <c r="D1575" t="s">
        <v>48</v>
      </c>
      <c r="E1575" t="s">
        <v>19</v>
      </c>
      <c r="F1575" t="s">
        <v>34</v>
      </c>
      <c r="G1575" t="s">
        <v>268</v>
      </c>
      <c r="H1575" s="1">
        <v>45617.370138888888</v>
      </c>
      <c r="I1575" s="1">
        <v>45617.40625</v>
      </c>
      <c r="J1575">
        <v>36</v>
      </c>
      <c r="K1575">
        <v>52</v>
      </c>
      <c r="L1575">
        <v>1</v>
      </c>
      <c r="M1575" t="s">
        <v>29</v>
      </c>
      <c r="N1575">
        <v>10</v>
      </c>
      <c r="O1575">
        <v>485.97</v>
      </c>
    </row>
    <row r="1576" spans="1:15" x14ac:dyDescent="0.35">
      <c r="A1576" t="s">
        <v>3335</v>
      </c>
      <c r="B1576" t="s">
        <v>63</v>
      </c>
      <c r="C1576" t="s">
        <v>3336</v>
      </c>
      <c r="D1576" t="s">
        <v>18</v>
      </c>
      <c r="E1576" t="s">
        <v>19</v>
      </c>
      <c r="F1576" t="s">
        <v>27</v>
      </c>
      <c r="G1576" t="s">
        <v>465</v>
      </c>
      <c r="H1576" s="1">
        <v>45638.026388888888</v>
      </c>
      <c r="I1576" s="1">
        <v>45638.192361111112</v>
      </c>
      <c r="J1576">
        <v>140</v>
      </c>
      <c r="K1576">
        <v>239</v>
      </c>
      <c r="L1576">
        <v>1</v>
      </c>
      <c r="M1576" t="s">
        <v>29</v>
      </c>
      <c r="N1576">
        <v>10</v>
      </c>
      <c r="O1576">
        <v>431.69</v>
      </c>
    </row>
    <row r="1577" spans="1:15" x14ac:dyDescent="0.35">
      <c r="A1577" t="s">
        <v>3337</v>
      </c>
      <c r="B1577" t="s">
        <v>31</v>
      </c>
      <c r="C1577" t="s">
        <v>3338</v>
      </c>
      <c r="D1577" t="s">
        <v>44</v>
      </c>
      <c r="E1577" t="s">
        <v>38</v>
      </c>
      <c r="F1577" t="s">
        <v>27</v>
      </c>
      <c r="G1577" t="s">
        <v>91</v>
      </c>
      <c r="H1577" s="1">
        <v>45584.049305555556</v>
      </c>
      <c r="I1577" s="1">
        <v>45584.160416666666</v>
      </c>
      <c r="J1577">
        <v>68</v>
      </c>
      <c r="K1577">
        <v>160</v>
      </c>
      <c r="L1577">
        <v>1</v>
      </c>
      <c r="M1577" t="s">
        <v>29</v>
      </c>
      <c r="N1577">
        <v>2</v>
      </c>
      <c r="O1577">
        <v>383.96</v>
      </c>
    </row>
    <row r="1578" spans="1:15" x14ac:dyDescent="0.35">
      <c r="A1578" t="s">
        <v>3339</v>
      </c>
      <c r="B1578" t="s">
        <v>24</v>
      </c>
      <c r="C1578" t="s">
        <v>3340</v>
      </c>
      <c r="D1578" t="s">
        <v>44</v>
      </c>
      <c r="E1578" t="s">
        <v>19</v>
      </c>
      <c r="F1578" t="s">
        <v>39</v>
      </c>
      <c r="G1578" t="s">
        <v>456</v>
      </c>
      <c r="H1578" s="1">
        <v>45560.519444444442</v>
      </c>
      <c r="I1578" s="1">
        <v>45560.693749999999</v>
      </c>
      <c r="J1578">
        <v>137</v>
      </c>
      <c r="K1578">
        <v>251</v>
      </c>
      <c r="L1578">
        <v>1</v>
      </c>
      <c r="M1578" t="s">
        <v>22</v>
      </c>
      <c r="N1578">
        <v>8</v>
      </c>
      <c r="O1578">
        <v>456.16</v>
      </c>
    </row>
    <row r="1579" spans="1:15" x14ac:dyDescent="0.35">
      <c r="A1579" t="s">
        <v>3341</v>
      </c>
      <c r="B1579" t="s">
        <v>31</v>
      </c>
      <c r="C1579" t="s">
        <v>3342</v>
      </c>
      <c r="D1579" t="s">
        <v>48</v>
      </c>
      <c r="E1579" t="s">
        <v>85</v>
      </c>
      <c r="F1579" t="s">
        <v>39</v>
      </c>
      <c r="G1579" t="s">
        <v>222</v>
      </c>
      <c r="H1579" s="1">
        <v>45462.521527777775</v>
      </c>
      <c r="I1579" s="1">
        <v>45462.623611111114</v>
      </c>
      <c r="J1579">
        <v>119</v>
      </c>
      <c r="K1579">
        <v>147</v>
      </c>
      <c r="L1579">
        <v>1</v>
      </c>
      <c r="M1579" t="s">
        <v>29</v>
      </c>
      <c r="N1579">
        <v>6</v>
      </c>
      <c r="O1579">
        <v>495.9</v>
      </c>
    </row>
    <row r="1580" spans="1:15" x14ac:dyDescent="0.35">
      <c r="A1580" t="s">
        <v>3343</v>
      </c>
      <c r="B1580" t="s">
        <v>51</v>
      </c>
      <c r="C1580" t="s">
        <v>3344</v>
      </c>
      <c r="D1580" t="s">
        <v>44</v>
      </c>
      <c r="E1580" t="s">
        <v>85</v>
      </c>
      <c r="F1580" t="s">
        <v>20</v>
      </c>
      <c r="G1580" t="s">
        <v>293</v>
      </c>
      <c r="H1580" s="1">
        <v>45425.865277777775</v>
      </c>
      <c r="I1580" s="1">
        <v>45426.019444444442</v>
      </c>
      <c r="J1580">
        <v>221</v>
      </c>
      <c r="K1580">
        <v>222</v>
      </c>
      <c r="L1580">
        <v>1</v>
      </c>
      <c r="M1580" t="s">
        <v>29</v>
      </c>
      <c r="N1580">
        <v>4</v>
      </c>
      <c r="O1580">
        <v>142.79</v>
      </c>
    </row>
    <row r="1581" spans="1:15" x14ac:dyDescent="0.35">
      <c r="A1581" t="s">
        <v>3345</v>
      </c>
      <c r="B1581" t="s">
        <v>63</v>
      </c>
      <c r="C1581" t="s">
        <v>3346</v>
      </c>
      <c r="D1581" t="s">
        <v>56</v>
      </c>
      <c r="E1581" t="s">
        <v>33</v>
      </c>
      <c r="F1581" t="s">
        <v>39</v>
      </c>
      <c r="G1581" t="s">
        <v>669</v>
      </c>
      <c r="H1581" s="1">
        <v>45465.279166666667</v>
      </c>
      <c r="I1581" s="1">
        <v>45465.40625</v>
      </c>
      <c r="J1581">
        <v>122</v>
      </c>
      <c r="K1581">
        <v>183</v>
      </c>
      <c r="L1581">
        <v>1</v>
      </c>
      <c r="M1581" t="s">
        <v>22</v>
      </c>
      <c r="N1581">
        <v>7</v>
      </c>
      <c r="O1581">
        <v>196.2</v>
      </c>
    </row>
    <row r="1582" spans="1:15" x14ac:dyDescent="0.35">
      <c r="A1582" t="s">
        <v>3347</v>
      </c>
      <c r="B1582" t="s">
        <v>51</v>
      </c>
      <c r="C1582" t="s">
        <v>3348</v>
      </c>
      <c r="D1582" t="s">
        <v>26</v>
      </c>
      <c r="E1582" t="s">
        <v>33</v>
      </c>
      <c r="F1582" t="s">
        <v>34</v>
      </c>
      <c r="G1582" t="s">
        <v>152</v>
      </c>
      <c r="H1582" s="1">
        <v>45525.890277777777</v>
      </c>
      <c r="I1582" s="1">
        <v>45526.075694444444</v>
      </c>
      <c r="J1582">
        <v>171</v>
      </c>
      <c r="K1582">
        <v>267</v>
      </c>
      <c r="L1582">
        <v>1</v>
      </c>
      <c r="M1582" t="s">
        <v>41</v>
      </c>
      <c r="N1582">
        <v>8</v>
      </c>
      <c r="O1582">
        <v>373.68</v>
      </c>
    </row>
    <row r="1583" spans="1:15" x14ac:dyDescent="0.35">
      <c r="A1583" t="s">
        <v>3349</v>
      </c>
      <c r="B1583" t="s">
        <v>51</v>
      </c>
      <c r="C1583" t="s">
        <v>3350</v>
      </c>
      <c r="D1583" t="s">
        <v>48</v>
      </c>
      <c r="E1583" t="s">
        <v>19</v>
      </c>
      <c r="F1583" t="s">
        <v>34</v>
      </c>
      <c r="G1583" t="s">
        <v>73</v>
      </c>
      <c r="H1583" s="1">
        <v>45540.622916666667</v>
      </c>
      <c r="I1583" s="1">
        <v>45540.720138888886</v>
      </c>
      <c r="J1583">
        <v>100</v>
      </c>
      <c r="K1583">
        <v>140</v>
      </c>
      <c r="L1583">
        <v>1</v>
      </c>
      <c r="M1583" t="s">
        <v>41</v>
      </c>
      <c r="N1583">
        <v>10</v>
      </c>
      <c r="O1583">
        <v>367.2</v>
      </c>
    </row>
    <row r="1584" spans="1:15" x14ac:dyDescent="0.35">
      <c r="A1584" t="s">
        <v>3351</v>
      </c>
      <c r="B1584" t="s">
        <v>63</v>
      </c>
      <c r="C1584" t="s">
        <v>3352</v>
      </c>
      <c r="D1584" t="s">
        <v>26</v>
      </c>
      <c r="E1584" t="s">
        <v>85</v>
      </c>
      <c r="F1584" t="s">
        <v>27</v>
      </c>
      <c r="G1584" t="s">
        <v>132</v>
      </c>
      <c r="H1584" s="1">
        <v>45517.843055555553</v>
      </c>
      <c r="I1584" s="1">
        <v>45518.013194444444</v>
      </c>
      <c r="J1584">
        <v>235</v>
      </c>
      <c r="K1584">
        <v>245</v>
      </c>
      <c r="L1584">
        <v>1</v>
      </c>
      <c r="M1584" t="s">
        <v>41</v>
      </c>
      <c r="N1584">
        <v>3</v>
      </c>
      <c r="O1584">
        <v>100.96</v>
      </c>
    </row>
    <row r="1585" spans="1:15" x14ac:dyDescent="0.35">
      <c r="A1585" t="s">
        <v>3353</v>
      </c>
      <c r="B1585" t="s">
        <v>63</v>
      </c>
      <c r="C1585" t="s">
        <v>3354</v>
      </c>
      <c r="D1585" t="s">
        <v>48</v>
      </c>
      <c r="E1585" t="s">
        <v>38</v>
      </c>
      <c r="F1585" t="s">
        <v>57</v>
      </c>
      <c r="G1585" t="s">
        <v>308</v>
      </c>
      <c r="H1585" s="1">
        <v>45541.601388888892</v>
      </c>
      <c r="I1585" s="1">
        <v>45541.67083333333</v>
      </c>
      <c r="J1585">
        <v>81</v>
      </c>
      <c r="K1585">
        <v>100</v>
      </c>
      <c r="L1585">
        <v>1</v>
      </c>
      <c r="M1585" t="s">
        <v>29</v>
      </c>
      <c r="N1585">
        <v>7</v>
      </c>
      <c r="O1585">
        <v>368.8</v>
      </c>
    </row>
    <row r="1586" spans="1:15" x14ac:dyDescent="0.35">
      <c r="A1586" t="s">
        <v>3355</v>
      </c>
      <c r="B1586" t="s">
        <v>51</v>
      </c>
      <c r="C1586" t="s">
        <v>3356</v>
      </c>
      <c r="D1586" t="s">
        <v>18</v>
      </c>
      <c r="E1586" t="s">
        <v>33</v>
      </c>
      <c r="F1586" t="s">
        <v>34</v>
      </c>
      <c r="G1586" t="s">
        <v>126</v>
      </c>
      <c r="H1586" s="1">
        <v>45325.15625</v>
      </c>
      <c r="I1586" s="1">
        <v>45325.280555555553</v>
      </c>
      <c r="J1586">
        <v>62</v>
      </c>
      <c r="K1586">
        <v>179</v>
      </c>
      <c r="L1586">
        <v>1</v>
      </c>
      <c r="M1586" t="s">
        <v>41</v>
      </c>
      <c r="N1586">
        <v>3</v>
      </c>
      <c r="O1586">
        <v>278.23</v>
      </c>
    </row>
    <row r="1587" spans="1:15" x14ac:dyDescent="0.35">
      <c r="A1587" t="s">
        <v>3357</v>
      </c>
      <c r="B1587" t="s">
        <v>24</v>
      </c>
      <c r="C1587" t="s">
        <v>3358</v>
      </c>
      <c r="D1587" t="s">
        <v>18</v>
      </c>
      <c r="E1587" t="s">
        <v>19</v>
      </c>
      <c r="F1587" t="s">
        <v>39</v>
      </c>
      <c r="G1587" t="s">
        <v>470</v>
      </c>
      <c r="H1587" s="1">
        <v>45559.982638888891</v>
      </c>
      <c r="I1587" s="1">
        <v>45560.114583333336</v>
      </c>
      <c r="J1587">
        <v>126</v>
      </c>
      <c r="K1587">
        <v>190</v>
      </c>
      <c r="L1587">
        <v>1</v>
      </c>
      <c r="M1587" t="s">
        <v>29</v>
      </c>
      <c r="N1587">
        <v>2</v>
      </c>
      <c r="O1587">
        <v>445.88</v>
      </c>
    </row>
    <row r="1588" spans="1:15" x14ac:dyDescent="0.35">
      <c r="A1588" t="s">
        <v>3359</v>
      </c>
      <c r="B1588" t="s">
        <v>16</v>
      </c>
      <c r="C1588" t="s">
        <v>3360</v>
      </c>
      <c r="D1588" t="s">
        <v>56</v>
      </c>
      <c r="E1588" t="s">
        <v>85</v>
      </c>
      <c r="F1588" t="s">
        <v>57</v>
      </c>
      <c r="G1588" t="s">
        <v>594</v>
      </c>
      <c r="H1588" s="1">
        <v>45546.402083333334</v>
      </c>
      <c r="I1588" s="1">
        <v>45546.602083333331</v>
      </c>
      <c r="J1588">
        <v>179</v>
      </c>
      <c r="K1588">
        <v>288</v>
      </c>
      <c r="L1588">
        <v>1</v>
      </c>
      <c r="M1588" t="s">
        <v>29</v>
      </c>
      <c r="N1588">
        <v>10</v>
      </c>
      <c r="O1588">
        <v>68.040000000000006</v>
      </c>
    </row>
    <row r="1589" spans="1:15" x14ac:dyDescent="0.35">
      <c r="A1589" t="s">
        <v>3361</v>
      </c>
      <c r="B1589" t="s">
        <v>63</v>
      </c>
      <c r="C1589" t="s">
        <v>3362</v>
      </c>
      <c r="D1589" t="s">
        <v>18</v>
      </c>
      <c r="E1589" t="s">
        <v>19</v>
      </c>
      <c r="F1589" t="s">
        <v>34</v>
      </c>
      <c r="G1589" t="s">
        <v>152</v>
      </c>
      <c r="H1589" s="1">
        <v>45506.37777777778</v>
      </c>
      <c r="I1589" s="1">
        <v>45506.574999999997</v>
      </c>
      <c r="J1589">
        <v>166</v>
      </c>
      <c r="K1589">
        <v>284</v>
      </c>
      <c r="L1589">
        <v>1</v>
      </c>
      <c r="M1589" t="s">
        <v>22</v>
      </c>
      <c r="N1589">
        <v>1</v>
      </c>
      <c r="O1589">
        <v>246.03</v>
      </c>
    </row>
    <row r="1590" spans="1:15" x14ac:dyDescent="0.35">
      <c r="A1590" t="s">
        <v>3363</v>
      </c>
      <c r="B1590" t="s">
        <v>63</v>
      </c>
      <c r="C1590" t="s">
        <v>3364</v>
      </c>
      <c r="D1590" t="s">
        <v>56</v>
      </c>
      <c r="E1590" t="s">
        <v>85</v>
      </c>
      <c r="F1590" t="s">
        <v>27</v>
      </c>
      <c r="G1590" t="s">
        <v>97</v>
      </c>
      <c r="H1590" s="1">
        <v>45354.525694444441</v>
      </c>
      <c r="I1590" s="1">
        <v>45354.618055555555</v>
      </c>
      <c r="J1590">
        <v>134</v>
      </c>
      <c r="K1590">
        <v>133</v>
      </c>
      <c r="L1590">
        <v>0</v>
      </c>
      <c r="M1590" t="s">
        <v>41</v>
      </c>
      <c r="N1590">
        <v>3</v>
      </c>
      <c r="O1590">
        <v>291.04000000000002</v>
      </c>
    </row>
    <row r="1591" spans="1:15" x14ac:dyDescent="0.35">
      <c r="A1591" t="s">
        <v>3365</v>
      </c>
      <c r="B1591" t="s">
        <v>63</v>
      </c>
      <c r="C1591" t="s">
        <v>3366</v>
      </c>
      <c r="D1591" t="s">
        <v>44</v>
      </c>
      <c r="E1591" t="s">
        <v>19</v>
      </c>
      <c r="F1591" t="s">
        <v>20</v>
      </c>
      <c r="G1591" t="s">
        <v>173</v>
      </c>
      <c r="H1591" s="1">
        <v>45309.802777777775</v>
      </c>
      <c r="I1591" s="1">
        <v>45309.920138888891</v>
      </c>
      <c r="J1591">
        <v>174</v>
      </c>
      <c r="K1591">
        <v>169</v>
      </c>
      <c r="L1591">
        <v>0</v>
      </c>
      <c r="M1591" t="s">
        <v>29</v>
      </c>
      <c r="N1591">
        <v>5</v>
      </c>
      <c r="O1591">
        <v>284.79000000000002</v>
      </c>
    </row>
    <row r="1592" spans="1:15" x14ac:dyDescent="0.35">
      <c r="A1592" t="s">
        <v>3367</v>
      </c>
      <c r="B1592" t="s">
        <v>16</v>
      </c>
      <c r="C1592" t="s">
        <v>3368</v>
      </c>
      <c r="D1592" t="s">
        <v>18</v>
      </c>
      <c r="E1592" t="s">
        <v>38</v>
      </c>
      <c r="F1592" t="s">
        <v>57</v>
      </c>
      <c r="G1592" t="s">
        <v>49</v>
      </c>
      <c r="H1592" s="1">
        <v>45612.052083333336</v>
      </c>
      <c r="I1592" s="1">
        <v>45612.183333333334</v>
      </c>
      <c r="J1592">
        <v>107</v>
      </c>
      <c r="K1592">
        <v>189</v>
      </c>
      <c r="L1592">
        <v>1</v>
      </c>
      <c r="M1592" t="s">
        <v>29</v>
      </c>
      <c r="N1592">
        <v>3</v>
      </c>
      <c r="O1592">
        <v>400.19</v>
      </c>
    </row>
    <row r="1593" spans="1:15" x14ac:dyDescent="0.35">
      <c r="A1593" t="s">
        <v>3369</v>
      </c>
      <c r="B1593" t="s">
        <v>24</v>
      </c>
      <c r="C1593" t="s">
        <v>3370</v>
      </c>
      <c r="D1593" t="s">
        <v>44</v>
      </c>
      <c r="E1593" t="s">
        <v>85</v>
      </c>
      <c r="F1593" t="s">
        <v>27</v>
      </c>
      <c r="G1593" t="s">
        <v>338</v>
      </c>
      <c r="H1593" s="1">
        <v>45349.227777777778</v>
      </c>
      <c r="I1593" s="1">
        <v>45349.445138888892</v>
      </c>
      <c r="J1593">
        <v>233</v>
      </c>
      <c r="K1593">
        <v>313</v>
      </c>
      <c r="L1593">
        <v>1</v>
      </c>
      <c r="M1593" t="s">
        <v>22</v>
      </c>
      <c r="N1593">
        <v>7</v>
      </c>
      <c r="O1593">
        <v>226.04</v>
      </c>
    </row>
    <row r="1594" spans="1:15" x14ac:dyDescent="0.35">
      <c r="A1594" t="s">
        <v>3371</v>
      </c>
      <c r="B1594" t="s">
        <v>63</v>
      </c>
      <c r="C1594" t="s">
        <v>3372</v>
      </c>
      <c r="D1594" t="s">
        <v>26</v>
      </c>
      <c r="E1594" t="s">
        <v>85</v>
      </c>
      <c r="F1594" t="s">
        <v>27</v>
      </c>
      <c r="G1594" t="s">
        <v>188</v>
      </c>
      <c r="H1594" s="1">
        <v>45462.371527777781</v>
      </c>
      <c r="I1594" s="1">
        <v>45462.513888888891</v>
      </c>
      <c r="J1594">
        <v>162</v>
      </c>
      <c r="K1594">
        <v>205</v>
      </c>
      <c r="L1594">
        <v>1</v>
      </c>
      <c r="M1594" t="s">
        <v>22</v>
      </c>
      <c r="N1594">
        <v>2</v>
      </c>
      <c r="O1594">
        <v>469.09</v>
      </c>
    </row>
    <row r="1595" spans="1:15" x14ac:dyDescent="0.35">
      <c r="A1595" t="s">
        <v>3373</v>
      </c>
      <c r="B1595" t="s">
        <v>16</v>
      </c>
      <c r="C1595" t="s">
        <v>3374</v>
      </c>
      <c r="D1595" t="s">
        <v>18</v>
      </c>
      <c r="E1595" t="s">
        <v>33</v>
      </c>
      <c r="F1595" t="s">
        <v>20</v>
      </c>
      <c r="G1595" t="s">
        <v>476</v>
      </c>
      <c r="H1595" s="1">
        <v>45375.736111111109</v>
      </c>
      <c r="I1595" s="1">
        <v>45375.916666666664</v>
      </c>
      <c r="J1595">
        <v>216</v>
      </c>
      <c r="K1595">
        <v>260</v>
      </c>
      <c r="L1595">
        <v>1</v>
      </c>
      <c r="M1595" t="s">
        <v>22</v>
      </c>
      <c r="N1595">
        <v>7</v>
      </c>
      <c r="O1595">
        <v>445.11</v>
      </c>
    </row>
    <row r="1596" spans="1:15" x14ac:dyDescent="0.35">
      <c r="A1596" t="s">
        <v>3375</v>
      </c>
      <c r="B1596" t="s">
        <v>24</v>
      </c>
      <c r="C1596" t="s">
        <v>3376</v>
      </c>
      <c r="D1596" t="s">
        <v>44</v>
      </c>
      <c r="E1596" t="s">
        <v>38</v>
      </c>
      <c r="F1596" t="s">
        <v>39</v>
      </c>
      <c r="G1596" t="s">
        <v>28</v>
      </c>
      <c r="H1596" s="1">
        <v>45575.051388888889</v>
      </c>
      <c r="I1596" s="1">
        <v>45575.229166666664</v>
      </c>
      <c r="J1596">
        <v>239</v>
      </c>
      <c r="K1596">
        <v>256</v>
      </c>
      <c r="L1596">
        <v>1</v>
      </c>
      <c r="M1596" t="s">
        <v>41</v>
      </c>
      <c r="N1596">
        <v>5</v>
      </c>
      <c r="O1596">
        <v>306.02999999999997</v>
      </c>
    </row>
    <row r="1597" spans="1:15" x14ac:dyDescent="0.35">
      <c r="A1597" t="s">
        <v>3377</v>
      </c>
      <c r="B1597" t="s">
        <v>31</v>
      </c>
      <c r="C1597" t="s">
        <v>3378</v>
      </c>
      <c r="D1597" t="s">
        <v>44</v>
      </c>
      <c r="E1597" t="s">
        <v>38</v>
      </c>
      <c r="F1597" t="s">
        <v>20</v>
      </c>
      <c r="G1597" t="s">
        <v>810</v>
      </c>
      <c r="H1597" s="1">
        <v>45556.818055555559</v>
      </c>
      <c r="I1597" s="1">
        <v>45556.924305555556</v>
      </c>
      <c r="J1597">
        <v>131</v>
      </c>
      <c r="K1597">
        <v>153</v>
      </c>
      <c r="L1597">
        <v>1</v>
      </c>
      <c r="M1597" t="s">
        <v>22</v>
      </c>
      <c r="N1597">
        <v>1</v>
      </c>
      <c r="O1597">
        <v>328.77</v>
      </c>
    </row>
    <row r="1598" spans="1:15" x14ac:dyDescent="0.35">
      <c r="A1598" t="s">
        <v>3379</v>
      </c>
      <c r="B1598" t="s">
        <v>51</v>
      </c>
      <c r="C1598" t="s">
        <v>3380</v>
      </c>
      <c r="D1598" t="s">
        <v>18</v>
      </c>
      <c r="E1598" t="s">
        <v>33</v>
      </c>
      <c r="F1598" t="s">
        <v>57</v>
      </c>
      <c r="G1598" t="s">
        <v>650</v>
      </c>
      <c r="H1598" s="1">
        <v>45528.408333333333</v>
      </c>
      <c r="I1598" s="1">
        <v>45528.493750000001</v>
      </c>
      <c r="J1598">
        <v>59</v>
      </c>
      <c r="K1598">
        <v>123</v>
      </c>
      <c r="L1598">
        <v>1</v>
      </c>
      <c r="M1598" t="s">
        <v>41</v>
      </c>
      <c r="N1598">
        <v>2</v>
      </c>
      <c r="O1598">
        <v>217.96</v>
      </c>
    </row>
    <row r="1599" spans="1:15" x14ac:dyDescent="0.35">
      <c r="A1599" t="s">
        <v>3381</v>
      </c>
      <c r="B1599" t="s">
        <v>63</v>
      </c>
      <c r="C1599" t="s">
        <v>3382</v>
      </c>
      <c r="D1599" t="s">
        <v>56</v>
      </c>
      <c r="E1599" t="s">
        <v>85</v>
      </c>
      <c r="F1599" t="s">
        <v>39</v>
      </c>
      <c r="G1599" t="s">
        <v>194</v>
      </c>
      <c r="H1599" s="1">
        <v>45552.027083333334</v>
      </c>
      <c r="I1599" s="1">
        <v>45552.157638888886</v>
      </c>
      <c r="J1599">
        <v>145</v>
      </c>
      <c r="K1599">
        <v>188</v>
      </c>
      <c r="L1599">
        <v>1</v>
      </c>
      <c r="M1599" t="s">
        <v>41</v>
      </c>
      <c r="N1599">
        <v>7</v>
      </c>
      <c r="O1599">
        <v>155.26</v>
      </c>
    </row>
    <row r="1600" spans="1:15" x14ac:dyDescent="0.35">
      <c r="A1600" t="s">
        <v>3383</v>
      </c>
      <c r="B1600" t="s">
        <v>16</v>
      </c>
      <c r="C1600" t="s">
        <v>3384</v>
      </c>
      <c r="D1600" t="s">
        <v>18</v>
      </c>
      <c r="E1600" t="s">
        <v>38</v>
      </c>
      <c r="F1600" t="s">
        <v>39</v>
      </c>
      <c r="G1600" t="s">
        <v>445</v>
      </c>
      <c r="H1600" s="1">
        <v>45363.136111111111</v>
      </c>
      <c r="I1600" s="1">
        <v>45363.18472222222</v>
      </c>
      <c r="J1600">
        <v>48</v>
      </c>
      <c r="K1600">
        <v>70</v>
      </c>
      <c r="L1600">
        <v>1</v>
      </c>
      <c r="M1600" t="s">
        <v>41</v>
      </c>
      <c r="N1600">
        <v>5</v>
      </c>
      <c r="O1600">
        <v>494.89</v>
      </c>
    </row>
    <row r="1601" spans="1:15" x14ac:dyDescent="0.35">
      <c r="A1601" t="s">
        <v>3385</v>
      </c>
      <c r="B1601" t="s">
        <v>24</v>
      </c>
      <c r="C1601" t="s">
        <v>3386</v>
      </c>
      <c r="D1601" t="s">
        <v>48</v>
      </c>
      <c r="E1601" t="s">
        <v>38</v>
      </c>
      <c r="F1601" t="s">
        <v>39</v>
      </c>
      <c r="G1601" t="s">
        <v>68</v>
      </c>
      <c r="H1601" s="1">
        <v>45608.1</v>
      </c>
      <c r="I1601" s="1">
        <v>45608.304166666669</v>
      </c>
      <c r="J1601">
        <v>236</v>
      </c>
      <c r="K1601">
        <v>294</v>
      </c>
      <c r="L1601">
        <v>1</v>
      </c>
      <c r="M1601" t="s">
        <v>22</v>
      </c>
      <c r="N1601">
        <v>4</v>
      </c>
      <c r="O1601">
        <v>429</v>
      </c>
    </row>
    <row r="1602" spans="1:15" x14ac:dyDescent="0.35">
      <c r="A1602" t="s">
        <v>3387</v>
      </c>
      <c r="B1602" t="s">
        <v>16</v>
      </c>
      <c r="C1602" t="s">
        <v>3388</v>
      </c>
      <c r="D1602" t="s">
        <v>26</v>
      </c>
      <c r="E1602" t="s">
        <v>85</v>
      </c>
      <c r="F1602" t="s">
        <v>20</v>
      </c>
      <c r="G1602" t="s">
        <v>28</v>
      </c>
      <c r="H1602" s="1">
        <v>45633.645138888889</v>
      </c>
      <c r="I1602" s="1">
        <v>45633.743055555555</v>
      </c>
      <c r="J1602">
        <v>68</v>
      </c>
      <c r="K1602">
        <v>141</v>
      </c>
      <c r="L1602">
        <v>1</v>
      </c>
      <c r="M1602" t="s">
        <v>29</v>
      </c>
      <c r="N1602">
        <v>1</v>
      </c>
      <c r="O1602">
        <v>178.27</v>
      </c>
    </row>
    <row r="1603" spans="1:15" x14ac:dyDescent="0.35">
      <c r="A1603" t="s">
        <v>3389</v>
      </c>
      <c r="B1603" t="s">
        <v>51</v>
      </c>
      <c r="C1603" t="s">
        <v>3390</v>
      </c>
      <c r="D1603" t="s">
        <v>44</v>
      </c>
      <c r="E1603" t="s">
        <v>19</v>
      </c>
      <c r="F1603" t="s">
        <v>34</v>
      </c>
      <c r="G1603" t="s">
        <v>521</v>
      </c>
      <c r="H1603" s="1">
        <v>45453.255555555559</v>
      </c>
      <c r="I1603" s="1">
        <v>45453.277083333334</v>
      </c>
      <c r="J1603">
        <v>25</v>
      </c>
      <c r="K1603">
        <v>31</v>
      </c>
      <c r="L1603">
        <v>1</v>
      </c>
      <c r="M1603" t="s">
        <v>41</v>
      </c>
      <c r="N1603">
        <v>4</v>
      </c>
      <c r="O1603">
        <v>475.12</v>
      </c>
    </row>
    <row r="1604" spans="1:15" x14ac:dyDescent="0.35">
      <c r="A1604" t="s">
        <v>3391</v>
      </c>
      <c r="B1604" t="s">
        <v>63</v>
      </c>
      <c r="C1604" t="s">
        <v>3392</v>
      </c>
      <c r="D1604" t="s">
        <v>56</v>
      </c>
      <c r="E1604" t="s">
        <v>38</v>
      </c>
      <c r="F1604" t="s">
        <v>20</v>
      </c>
      <c r="G1604" t="s">
        <v>146</v>
      </c>
      <c r="H1604" s="1">
        <v>45388.427777777775</v>
      </c>
      <c r="I1604" s="1">
        <v>45388.493750000001</v>
      </c>
      <c r="J1604">
        <v>76</v>
      </c>
      <c r="K1604">
        <v>95</v>
      </c>
      <c r="L1604">
        <v>1</v>
      </c>
      <c r="M1604" t="s">
        <v>22</v>
      </c>
      <c r="N1604">
        <v>5</v>
      </c>
      <c r="O1604">
        <v>394.48</v>
      </c>
    </row>
    <row r="1605" spans="1:15" x14ac:dyDescent="0.35">
      <c r="A1605" t="s">
        <v>3393</v>
      </c>
      <c r="B1605" t="s">
        <v>24</v>
      </c>
      <c r="C1605" t="s">
        <v>3394</v>
      </c>
      <c r="D1605" t="s">
        <v>48</v>
      </c>
      <c r="E1605" t="s">
        <v>19</v>
      </c>
      <c r="F1605" t="s">
        <v>39</v>
      </c>
      <c r="G1605" t="s">
        <v>299</v>
      </c>
      <c r="H1605" s="1">
        <v>45409.882638888892</v>
      </c>
      <c r="I1605" s="1">
        <v>45410.008333333331</v>
      </c>
      <c r="J1605">
        <v>81</v>
      </c>
      <c r="K1605">
        <v>181</v>
      </c>
      <c r="L1605">
        <v>1</v>
      </c>
      <c r="M1605" t="s">
        <v>22</v>
      </c>
      <c r="N1605">
        <v>5</v>
      </c>
      <c r="O1605">
        <v>231.03</v>
      </c>
    </row>
    <row r="1606" spans="1:15" x14ac:dyDescent="0.35">
      <c r="A1606" t="s">
        <v>3395</v>
      </c>
      <c r="B1606" t="s">
        <v>51</v>
      </c>
      <c r="C1606" t="s">
        <v>3396</v>
      </c>
      <c r="D1606" t="s">
        <v>56</v>
      </c>
      <c r="E1606" t="s">
        <v>33</v>
      </c>
      <c r="F1606" t="s">
        <v>39</v>
      </c>
      <c r="G1606" t="s">
        <v>842</v>
      </c>
      <c r="H1606" s="1">
        <v>45521.967361111114</v>
      </c>
      <c r="I1606" s="1">
        <v>45522.086111111108</v>
      </c>
      <c r="J1606">
        <v>68</v>
      </c>
      <c r="K1606">
        <v>171</v>
      </c>
      <c r="L1606">
        <v>1</v>
      </c>
      <c r="M1606" t="s">
        <v>22</v>
      </c>
      <c r="N1606">
        <v>4</v>
      </c>
      <c r="O1606">
        <v>273.61</v>
      </c>
    </row>
    <row r="1607" spans="1:15" x14ac:dyDescent="0.35">
      <c r="A1607" t="s">
        <v>3397</v>
      </c>
      <c r="B1607" t="s">
        <v>16</v>
      </c>
      <c r="C1607" t="s">
        <v>3398</v>
      </c>
      <c r="D1607" t="s">
        <v>26</v>
      </c>
      <c r="E1607" t="s">
        <v>85</v>
      </c>
      <c r="F1607" t="s">
        <v>34</v>
      </c>
      <c r="G1607" t="s">
        <v>459</v>
      </c>
      <c r="H1607" s="1">
        <v>45437.745833333334</v>
      </c>
      <c r="I1607" s="1">
        <v>45437.910416666666</v>
      </c>
      <c r="J1607">
        <v>198</v>
      </c>
      <c r="K1607">
        <v>237</v>
      </c>
      <c r="L1607">
        <v>1</v>
      </c>
      <c r="M1607" t="s">
        <v>22</v>
      </c>
      <c r="N1607">
        <v>9</v>
      </c>
      <c r="O1607">
        <v>250.98</v>
      </c>
    </row>
    <row r="1608" spans="1:15" x14ac:dyDescent="0.35">
      <c r="A1608" t="s">
        <v>3399</v>
      </c>
      <c r="B1608" t="s">
        <v>24</v>
      </c>
      <c r="C1608" t="s">
        <v>3400</v>
      </c>
      <c r="D1608" t="s">
        <v>48</v>
      </c>
      <c r="E1608" t="s">
        <v>19</v>
      </c>
      <c r="F1608" t="s">
        <v>57</v>
      </c>
      <c r="G1608" t="s">
        <v>283</v>
      </c>
      <c r="H1608" s="1">
        <v>45561.402083333334</v>
      </c>
      <c r="I1608" s="1">
        <v>45561.503472222219</v>
      </c>
      <c r="J1608">
        <v>104</v>
      </c>
      <c r="K1608">
        <v>146</v>
      </c>
      <c r="L1608">
        <v>1</v>
      </c>
      <c r="M1608" t="s">
        <v>29</v>
      </c>
      <c r="N1608">
        <v>9</v>
      </c>
      <c r="O1608">
        <v>413.05</v>
      </c>
    </row>
    <row r="1609" spans="1:15" x14ac:dyDescent="0.35">
      <c r="A1609" t="s">
        <v>3401</v>
      </c>
      <c r="B1609" t="s">
        <v>63</v>
      </c>
      <c r="C1609" t="s">
        <v>3402</v>
      </c>
      <c r="D1609" t="s">
        <v>26</v>
      </c>
      <c r="E1609" t="s">
        <v>19</v>
      </c>
      <c r="F1609" t="s">
        <v>57</v>
      </c>
      <c r="G1609" t="s">
        <v>234</v>
      </c>
      <c r="H1609" s="1">
        <v>45628.120138888888</v>
      </c>
      <c r="I1609" s="1">
        <v>45628.309027777781</v>
      </c>
      <c r="J1609">
        <v>173</v>
      </c>
      <c r="K1609">
        <v>272</v>
      </c>
      <c r="L1609">
        <v>1</v>
      </c>
      <c r="M1609" t="s">
        <v>41</v>
      </c>
      <c r="N1609">
        <v>3</v>
      </c>
      <c r="O1609">
        <v>439.94</v>
      </c>
    </row>
    <row r="1610" spans="1:15" x14ac:dyDescent="0.35">
      <c r="A1610" t="s">
        <v>3403</v>
      </c>
      <c r="B1610" t="s">
        <v>16</v>
      </c>
      <c r="C1610" t="s">
        <v>3404</v>
      </c>
      <c r="D1610" t="s">
        <v>56</v>
      </c>
      <c r="E1610" t="s">
        <v>85</v>
      </c>
      <c r="F1610" t="s">
        <v>20</v>
      </c>
      <c r="G1610" t="s">
        <v>445</v>
      </c>
      <c r="H1610" s="1">
        <v>45379.115277777775</v>
      </c>
      <c r="I1610" s="1">
        <v>45379.222916666666</v>
      </c>
      <c r="J1610">
        <v>51</v>
      </c>
      <c r="K1610">
        <v>155</v>
      </c>
      <c r="L1610">
        <v>1</v>
      </c>
      <c r="M1610" t="s">
        <v>22</v>
      </c>
      <c r="N1610">
        <v>3</v>
      </c>
      <c r="O1610">
        <v>217.3</v>
      </c>
    </row>
    <row r="1611" spans="1:15" x14ac:dyDescent="0.35">
      <c r="A1611" t="s">
        <v>3405</v>
      </c>
      <c r="B1611" t="s">
        <v>51</v>
      </c>
      <c r="C1611" t="s">
        <v>3406</v>
      </c>
      <c r="D1611" t="s">
        <v>44</v>
      </c>
      <c r="E1611" t="s">
        <v>85</v>
      </c>
      <c r="F1611" t="s">
        <v>27</v>
      </c>
      <c r="G1611" t="s">
        <v>65</v>
      </c>
      <c r="H1611" s="1">
        <v>45453.86041666667</v>
      </c>
      <c r="I1611" s="1">
        <v>45453.92291666667</v>
      </c>
      <c r="J1611">
        <v>44</v>
      </c>
      <c r="K1611">
        <v>90</v>
      </c>
      <c r="L1611">
        <v>1</v>
      </c>
      <c r="M1611" t="s">
        <v>41</v>
      </c>
      <c r="N1611">
        <v>4</v>
      </c>
      <c r="O1611">
        <v>491.78</v>
      </c>
    </row>
    <row r="1612" spans="1:15" x14ac:dyDescent="0.35">
      <c r="A1612" t="s">
        <v>3407</v>
      </c>
      <c r="B1612" t="s">
        <v>51</v>
      </c>
      <c r="C1612" t="s">
        <v>3408</v>
      </c>
      <c r="D1612" t="s">
        <v>48</v>
      </c>
      <c r="E1612" t="s">
        <v>38</v>
      </c>
      <c r="F1612" t="s">
        <v>57</v>
      </c>
      <c r="G1612" t="s">
        <v>240</v>
      </c>
      <c r="H1612" s="1">
        <v>45537.152083333334</v>
      </c>
      <c r="I1612" s="1">
        <v>45537.280555555553</v>
      </c>
      <c r="J1612">
        <v>70</v>
      </c>
      <c r="K1612">
        <v>185</v>
      </c>
      <c r="L1612">
        <v>1</v>
      </c>
      <c r="M1612" t="s">
        <v>41</v>
      </c>
      <c r="N1612">
        <v>1</v>
      </c>
      <c r="O1612">
        <v>445.2</v>
      </c>
    </row>
    <row r="1613" spans="1:15" x14ac:dyDescent="0.35">
      <c r="A1613" t="s">
        <v>3409</v>
      </c>
      <c r="B1613" t="s">
        <v>63</v>
      </c>
      <c r="C1613" t="s">
        <v>3410</v>
      </c>
      <c r="D1613" t="s">
        <v>26</v>
      </c>
      <c r="E1613" t="s">
        <v>19</v>
      </c>
      <c r="F1613" t="s">
        <v>27</v>
      </c>
      <c r="G1613" t="s">
        <v>103</v>
      </c>
      <c r="H1613" s="1">
        <v>45363.622916666667</v>
      </c>
      <c r="I1613" s="1">
        <v>45363.744444444441</v>
      </c>
      <c r="J1613">
        <v>60</v>
      </c>
      <c r="K1613">
        <v>175</v>
      </c>
      <c r="L1613">
        <v>1</v>
      </c>
      <c r="M1613" t="s">
        <v>29</v>
      </c>
      <c r="N1613">
        <v>7</v>
      </c>
      <c r="O1613">
        <v>86.19</v>
      </c>
    </row>
    <row r="1614" spans="1:15" x14ac:dyDescent="0.35">
      <c r="A1614" t="s">
        <v>3411</v>
      </c>
      <c r="B1614" t="s">
        <v>24</v>
      </c>
      <c r="C1614" t="s">
        <v>3412</v>
      </c>
      <c r="D1614" t="s">
        <v>26</v>
      </c>
      <c r="E1614" t="s">
        <v>85</v>
      </c>
      <c r="F1614" t="s">
        <v>27</v>
      </c>
      <c r="G1614" t="s">
        <v>364</v>
      </c>
      <c r="H1614" s="1">
        <v>45529.334722222222</v>
      </c>
      <c r="I1614" s="1">
        <v>45529.461111111108</v>
      </c>
      <c r="J1614">
        <v>128</v>
      </c>
      <c r="K1614">
        <v>182</v>
      </c>
      <c r="L1614">
        <v>1</v>
      </c>
      <c r="M1614" t="s">
        <v>41</v>
      </c>
      <c r="N1614">
        <v>10</v>
      </c>
      <c r="O1614">
        <v>434.11</v>
      </c>
    </row>
    <row r="1615" spans="1:15" x14ac:dyDescent="0.35">
      <c r="A1615" t="s">
        <v>3413</v>
      </c>
      <c r="B1615" t="s">
        <v>63</v>
      </c>
      <c r="C1615" t="s">
        <v>3414</v>
      </c>
      <c r="D1615" t="s">
        <v>44</v>
      </c>
      <c r="E1615" t="s">
        <v>38</v>
      </c>
      <c r="F1615" t="s">
        <v>57</v>
      </c>
      <c r="G1615" t="s">
        <v>810</v>
      </c>
      <c r="H1615" s="1">
        <v>45589.364583333336</v>
      </c>
      <c r="I1615" s="1">
        <v>45589.48333333333</v>
      </c>
      <c r="J1615">
        <v>134</v>
      </c>
      <c r="K1615">
        <v>171</v>
      </c>
      <c r="L1615">
        <v>1</v>
      </c>
      <c r="M1615" t="s">
        <v>22</v>
      </c>
      <c r="N1615">
        <v>1</v>
      </c>
      <c r="O1615">
        <v>446.62</v>
      </c>
    </row>
    <row r="1616" spans="1:15" x14ac:dyDescent="0.35">
      <c r="A1616" t="s">
        <v>3415</v>
      </c>
      <c r="B1616" t="s">
        <v>24</v>
      </c>
      <c r="C1616" t="s">
        <v>3416</v>
      </c>
      <c r="D1616" t="s">
        <v>26</v>
      </c>
      <c r="E1616" t="s">
        <v>85</v>
      </c>
      <c r="F1616" t="s">
        <v>39</v>
      </c>
      <c r="G1616" t="s">
        <v>225</v>
      </c>
      <c r="H1616" s="1">
        <v>45562.03402777778</v>
      </c>
      <c r="I1616" s="1">
        <v>45562.172222222223</v>
      </c>
      <c r="J1616">
        <v>86</v>
      </c>
      <c r="K1616">
        <v>199</v>
      </c>
      <c r="L1616">
        <v>1</v>
      </c>
      <c r="M1616" t="s">
        <v>29</v>
      </c>
      <c r="N1616">
        <v>6</v>
      </c>
      <c r="O1616">
        <v>265.08</v>
      </c>
    </row>
    <row r="1617" spans="1:15" x14ac:dyDescent="0.35">
      <c r="A1617" t="s">
        <v>3417</v>
      </c>
      <c r="B1617" t="s">
        <v>16</v>
      </c>
      <c r="C1617" t="s">
        <v>3418</v>
      </c>
      <c r="D1617" t="s">
        <v>44</v>
      </c>
      <c r="E1617" t="s">
        <v>33</v>
      </c>
      <c r="F1617" t="s">
        <v>27</v>
      </c>
      <c r="G1617" t="s">
        <v>149</v>
      </c>
      <c r="H1617" s="1">
        <v>45412.179166666669</v>
      </c>
      <c r="I1617" s="1">
        <v>45412.31527777778</v>
      </c>
      <c r="J1617">
        <v>190</v>
      </c>
      <c r="K1617">
        <v>196</v>
      </c>
      <c r="L1617">
        <v>1</v>
      </c>
      <c r="M1617" t="s">
        <v>29</v>
      </c>
      <c r="N1617">
        <v>2</v>
      </c>
      <c r="O1617">
        <v>383.36</v>
      </c>
    </row>
    <row r="1618" spans="1:15" x14ac:dyDescent="0.35">
      <c r="A1618" t="s">
        <v>3419</v>
      </c>
      <c r="B1618" t="s">
        <v>51</v>
      </c>
      <c r="C1618" t="s">
        <v>3420</v>
      </c>
      <c r="D1618" t="s">
        <v>26</v>
      </c>
      <c r="E1618" t="s">
        <v>19</v>
      </c>
      <c r="F1618" t="s">
        <v>27</v>
      </c>
      <c r="G1618" t="s">
        <v>117</v>
      </c>
      <c r="H1618" s="1">
        <v>45350.347222222219</v>
      </c>
      <c r="I1618" s="1">
        <v>45350.492361111108</v>
      </c>
      <c r="J1618">
        <v>122</v>
      </c>
      <c r="K1618">
        <v>209</v>
      </c>
      <c r="L1618">
        <v>1</v>
      </c>
      <c r="M1618" t="s">
        <v>41</v>
      </c>
      <c r="N1618">
        <v>10</v>
      </c>
      <c r="O1618">
        <v>376.41</v>
      </c>
    </row>
    <row r="1619" spans="1:15" x14ac:dyDescent="0.35">
      <c r="A1619" t="s">
        <v>3421</v>
      </c>
      <c r="B1619" t="s">
        <v>16</v>
      </c>
      <c r="C1619" t="s">
        <v>3422</v>
      </c>
      <c r="D1619" t="s">
        <v>56</v>
      </c>
      <c r="E1619" t="s">
        <v>19</v>
      </c>
      <c r="F1619" t="s">
        <v>20</v>
      </c>
      <c r="G1619" t="s">
        <v>470</v>
      </c>
      <c r="H1619" s="1">
        <v>45443.50277777778</v>
      </c>
      <c r="I1619" s="1">
        <v>45443.592361111114</v>
      </c>
      <c r="J1619">
        <v>116</v>
      </c>
      <c r="K1619">
        <v>129</v>
      </c>
      <c r="L1619">
        <v>1</v>
      </c>
      <c r="M1619" t="s">
        <v>22</v>
      </c>
      <c r="N1619">
        <v>6</v>
      </c>
      <c r="O1619">
        <v>105.98</v>
      </c>
    </row>
    <row r="1620" spans="1:15" x14ac:dyDescent="0.35">
      <c r="A1620" t="s">
        <v>3423</v>
      </c>
      <c r="B1620" t="s">
        <v>16</v>
      </c>
      <c r="C1620" t="s">
        <v>3424</v>
      </c>
      <c r="D1620" t="s">
        <v>48</v>
      </c>
      <c r="E1620" t="s">
        <v>33</v>
      </c>
      <c r="F1620" t="s">
        <v>39</v>
      </c>
      <c r="G1620" t="s">
        <v>191</v>
      </c>
      <c r="H1620" s="1">
        <v>45465.710416666669</v>
      </c>
      <c r="I1620" s="1">
        <v>45465.850694444445</v>
      </c>
      <c r="J1620">
        <v>169</v>
      </c>
      <c r="K1620">
        <v>202</v>
      </c>
      <c r="L1620">
        <v>1</v>
      </c>
      <c r="M1620" t="s">
        <v>29</v>
      </c>
      <c r="N1620">
        <v>10</v>
      </c>
      <c r="O1620">
        <v>379.78</v>
      </c>
    </row>
    <row r="1621" spans="1:15" x14ac:dyDescent="0.35">
      <c r="A1621" t="s">
        <v>3425</v>
      </c>
      <c r="B1621" t="s">
        <v>24</v>
      </c>
      <c r="C1621" t="s">
        <v>3426</v>
      </c>
      <c r="D1621" t="s">
        <v>48</v>
      </c>
      <c r="E1621" t="s">
        <v>38</v>
      </c>
      <c r="F1621" t="s">
        <v>27</v>
      </c>
      <c r="G1621" t="s">
        <v>222</v>
      </c>
      <c r="H1621" s="1">
        <v>45511.868750000001</v>
      </c>
      <c r="I1621" s="1">
        <v>45512.015277777777</v>
      </c>
      <c r="J1621">
        <v>106</v>
      </c>
      <c r="K1621">
        <v>211</v>
      </c>
      <c r="L1621">
        <v>1</v>
      </c>
      <c r="M1621" t="s">
        <v>41</v>
      </c>
      <c r="N1621">
        <v>6</v>
      </c>
      <c r="O1621">
        <v>482.5</v>
      </c>
    </row>
    <row r="1622" spans="1:15" x14ac:dyDescent="0.35">
      <c r="A1622" t="s">
        <v>3427</v>
      </c>
      <c r="B1622" t="s">
        <v>24</v>
      </c>
      <c r="C1622" t="s">
        <v>3428</v>
      </c>
      <c r="D1622" t="s">
        <v>56</v>
      </c>
      <c r="E1622" t="s">
        <v>19</v>
      </c>
      <c r="F1622" t="s">
        <v>39</v>
      </c>
      <c r="G1622" t="s">
        <v>140</v>
      </c>
      <c r="H1622" s="1">
        <v>45336.325694444444</v>
      </c>
      <c r="I1622" s="1">
        <v>45336.394444444442</v>
      </c>
      <c r="J1622">
        <v>22</v>
      </c>
      <c r="K1622">
        <v>99</v>
      </c>
      <c r="L1622">
        <v>1</v>
      </c>
      <c r="M1622" t="s">
        <v>29</v>
      </c>
      <c r="N1622">
        <v>9</v>
      </c>
      <c r="O1622">
        <v>63.07</v>
      </c>
    </row>
    <row r="1623" spans="1:15" x14ac:dyDescent="0.35">
      <c r="A1623" t="s">
        <v>3429</v>
      </c>
      <c r="B1623" t="s">
        <v>16</v>
      </c>
      <c r="C1623" t="s">
        <v>3430</v>
      </c>
      <c r="D1623" t="s">
        <v>48</v>
      </c>
      <c r="E1623" t="s">
        <v>38</v>
      </c>
      <c r="F1623" t="s">
        <v>34</v>
      </c>
      <c r="G1623" t="s">
        <v>853</v>
      </c>
      <c r="H1623" s="1">
        <v>45639.461805555555</v>
      </c>
      <c r="I1623" s="1">
        <v>45639.674305555556</v>
      </c>
      <c r="J1623">
        <v>220</v>
      </c>
      <c r="K1623">
        <v>306</v>
      </c>
      <c r="L1623">
        <v>1</v>
      </c>
      <c r="M1623" t="s">
        <v>41</v>
      </c>
      <c r="N1623">
        <v>3</v>
      </c>
      <c r="O1623">
        <v>216.68</v>
      </c>
    </row>
    <row r="1624" spans="1:15" x14ac:dyDescent="0.35">
      <c r="A1624" t="s">
        <v>3431</v>
      </c>
      <c r="B1624" t="s">
        <v>51</v>
      </c>
      <c r="C1624" t="s">
        <v>3432</v>
      </c>
      <c r="D1624" t="s">
        <v>48</v>
      </c>
      <c r="E1624" t="s">
        <v>19</v>
      </c>
      <c r="F1624" t="s">
        <v>34</v>
      </c>
      <c r="G1624" t="s">
        <v>640</v>
      </c>
      <c r="H1624" s="1">
        <v>45515.74722222222</v>
      </c>
      <c r="I1624" s="1">
        <v>45515.811805555553</v>
      </c>
      <c r="J1624">
        <v>94</v>
      </c>
      <c r="K1624">
        <v>93</v>
      </c>
      <c r="L1624">
        <v>0</v>
      </c>
      <c r="M1624" t="s">
        <v>29</v>
      </c>
      <c r="N1624">
        <v>8</v>
      </c>
      <c r="O1624">
        <v>116.48</v>
      </c>
    </row>
    <row r="1625" spans="1:15" x14ac:dyDescent="0.35">
      <c r="A1625" t="s">
        <v>3433</v>
      </c>
      <c r="B1625" t="s">
        <v>51</v>
      </c>
      <c r="C1625" t="s">
        <v>3434</v>
      </c>
      <c r="D1625" t="s">
        <v>44</v>
      </c>
      <c r="E1625" t="s">
        <v>85</v>
      </c>
      <c r="F1625" t="s">
        <v>57</v>
      </c>
      <c r="G1625" t="s">
        <v>207</v>
      </c>
      <c r="H1625" s="1">
        <v>45634.095138888886</v>
      </c>
      <c r="I1625" s="1">
        <v>45634.267361111109</v>
      </c>
      <c r="J1625">
        <v>186</v>
      </c>
      <c r="K1625">
        <v>248</v>
      </c>
      <c r="L1625">
        <v>1</v>
      </c>
      <c r="M1625" t="s">
        <v>41</v>
      </c>
      <c r="N1625">
        <v>9</v>
      </c>
      <c r="O1625">
        <v>95.4</v>
      </c>
    </row>
    <row r="1626" spans="1:15" x14ac:dyDescent="0.35">
      <c r="A1626" t="s">
        <v>3435</v>
      </c>
      <c r="B1626" t="s">
        <v>63</v>
      </c>
      <c r="C1626" t="s">
        <v>3436</v>
      </c>
      <c r="D1626" t="s">
        <v>56</v>
      </c>
      <c r="E1626" t="s">
        <v>19</v>
      </c>
      <c r="F1626" t="s">
        <v>20</v>
      </c>
      <c r="G1626" t="s">
        <v>512</v>
      </c>
      <c r="H1626" s="1">
        <v>45606.69027777778</v>
      </c>
      <c r="I1626" s="1">
        <v>45606.881249999999</v>
      </c>
      <c r="J1626">
        <v>184</v>
      </c>
      <c r="K1626">
        <v>275</v>
      </c>
      <c r="L1626">
        <v>1</v>
      </c>
      <c r="M1626" t="s">
        <v>22</v>
      </c>
      <c r="N1626">
        <v>9</v>
      </c>
      <c r="O1626">
        <v>360.09</v>
      </c>
    </row>
    <row r="1627" spans="1:15" x14ac:dyDescent="0.35">
      <c r="A1627" t="s">
        <v>3437</v>
      </c>
      <c r="B1627" t="s">
        <v>63</v>
      </c>
      <c r="C1627" t="s">
        <v>3438</v>
      </c>
      <c r="D1627" t="s">
        <v>48</v>
      </c>
      <c r="E1627" t="s">
        <v>19</v>
      </c>
      <c r="F1627" t="s">
        <v>57</v>
      </c>
      <c r="G1627" t="s">
        <v>149</v>
      </c>
      <c r="H1627" s="1">
        <v>45614.424305555556</v>
      </c>
      <c r="I1627" s="1">
        <v>45614.540972222225</v>
      </c>
      <c r="J1627">
        <v>162</v>
      </c>
      <c r="K1627">
        <v>168</v>
      </c>
      <c r="L1627">
        <v>1</v>
      </c>
      <c r="M1627" t="s">
        <v>22</v>
      </c>
      <c r="N1627">
        <v>3</v>
      </c>
      <c r="O1627">
        <v>75.05</v>
      </c>
    </row>
    <row r="1628" spans="1:15" x14ac:dyDescent="0.35">
      <c r="A1628" t="s">
        <v>3439</v>
      </c>
      <c r="B1628" t="s">
        <v>63</v>
      </c>
      <c r="C1628" t="s">
        <v>3440</v>
      </c>
      <c r="D1628" t="s">
        <v>18</v>
      </c>
      <c r="E1628" t="s">
        <v>38</v>
      </c>
      <c r="F1628" t="s">
        <v>20</v>
      </c>
      <c r="G1628" t="s">
        <v>108</v>
      </c>
      <c r="H1628" s="1">
        <v>45566.839583333334</v>
      </c>
      <c r="I1628" s="1">
        <v>45566.90902777778</v>
      </c>
      <c r="J1628">
        <v>85</v>
      </c>
      <c r="K1628">
        <v>100</v>
      </c>
      <c r="L1628">
        <v>1</v>
      </c>
      <c r="M1628" t="s">
        <v>41</v>
      </c>
      <c r="N1628">
        <v>2</v>
      </c>
      <c r="O1628">
        <v>288.5</v>
      </c>
    </row>
    <row r="1629" spans="1:15" x14ac:dyDescent="0.35">
      <c r="A1629" t="s">
        <v>3441</v>
      </c>
      <c r="B1629" t="s">
        <v>51</v>
      </c>
      <c r="C1629" t="s">
        <v>3442</v>
      </c>
      <c r="D1629" t="s">
        <v>48</v>
      </c>
      <c r="E1629" t="s">
        <v>38</v>
      </c>
      <c r="F1629" t="s">
        <v>34</v>
      </c>
      <c r="G1629" t="s">
        <v>1187</v>
      </c>
      <c r="H1629" s="1">
        <v>45490.365277777775</v>
      </c>
      <c r="I1629" s="1">
        <v>45490.525694444441</v>
      </c>
      <c r="J1629">
        <v>167</v>
      </c>
      <c r="K1629">
        <v>231</v>
      </c>
      <c r="L1629">
        <v>1</v>
      </c>
      <c r="M1629" t="s">
        <v>41</v>
      </c>
      <c r="N1629">
        <v>10</v>
      </c>
      <c r="O1629">
        <v>394.95</v>
      </c>
    </row>
    <row r="1630" spans="1:15" x14ac:dyDescent="0.35">
      <c r="A1630" t="s">
        <v>3443</v>
      </c>
      <c r="B1630" t="s">
        <v>16</v>
      </c>
      <c r="C1630" t="s">
        <v>3444</v>
      </c>
      <c r="D1630" t="s">
        <v>48</v>
      </c>
      <c r="E1630" t="s">
        <v>19</v>
      </c>
      <c r="F1630" t="s">
        <v>57</v>
      </c>
      <c r="G1630" t="s">
        <v>459</v>
      </c>
      <c r="H1630" s="1">
        <v>45643.311111111114</v>
      </c>
      <c r="I1630" s="1">
        <v>45643.429861111108</v>
      </c>
      <c r="J1630">
        <v>143</v>
      </c>
      <c r="K1630">
        <v>171</v>
      </c>
      <c r="L1630">
        <v>1</v>
      </c>
      <c r="M1630" t="s">
        <v>41</v>
      </c>
      <c r="N1630">
        <v>7</v>
      </c>
      <c r="O1630">
        <v>339.58</v>
      </c>
    </row>
    <row r="1631" spans="1:15" x14ac:dyDescent="0.35">
      <c r="A1631" t="s">
        <v>3445</v>
      </c>
      <c r="B1631" t="s">
        <v>63</v>
      </c>
      <c r="C1631" t="s">
        <v>3446</v>
      </c>
      <c r="D1631" t="s">
        <v>26</v>
      </c>
      <c r="E1631" t="s">
        <v>19</v>
      </c>
      <c r="F1631" t="s">
        <v>20</v>
      </c>
      <c r="G1631" t="s">
        <v>473</v>
      </c>
      <c r="H1631" s="1">
        <v>45616.683333333334</v>
      </c>
      <c r="I1631" s="1">
        <v>45616.784722222219</v>
      </c>
      <c r="J1631">
        <v>115</v>
      </c>
      <c r="K1631">
        <v>146</v>
      </c>
      <c r="L1631">
        <v>1</v>
      </c>
      <c r="M1631" t="s">
        <v>29</v>
      </c>
      <c r="N1631">
        <v>8</v>
      </c>
      <c r="O1631">
        <v>142.28</v>
      </c>
    </row>
    <row r="1632" spans="1:15" x14ac:dyDescent="0.35">
      <c r="A1632" t="s">
        <v>3447</v>
      </c>
      <c r="B1632" t="s">
        <v>63</v>
      </c>
      <c r="C1632" t="s">
        <v>3448</v>
      </c>
      <c r="D1632" t="s">
        <v>18</v>
      </c>
      <c r="E1632" t="s">
        <v>19</v>
      </c>
      <c r="F1632" t="s">
        <v>20</v>
      </c>
      <c r="G1632" t="s">
        <v>388</v>
      </c>
      <c r="H1632" s="1">
        <v>45323.326388888891</v>
      </c>
      <c r="I1632" s="1">
        <v>45323.484027777777</v>
      </c>
      <c r="J1632">
        <v>176</v>
      </c>
      <c r="K1632">
        <v>227</v>
      </c>
      <c r="L1632">
        <v>1</v>
      </c>
      <c r="M1632" t="s">
        <v>41</v>
      </c>
      <c r="N1632">
        <v>6</v>
      </c>
      <c r="O1632">
        <v>417.02</v>
      </c>
    </row>
    <row r="1633" spans="1:15" x14ac:dyDescent="0.35">
      <c r="A1633" t="s">
        <v>3449</v>
      </c>
      <c r="B1633" t="s">
        <v>16</v>
      </c>
      <c r="C1633" t="s">
        <v>3450</v>
      </c>
      <c r="D1633" t="s">
        <v>44</v>
      </c>
      <c r="E1633" t="s">
        <v>85</v>
      </c>
      <c r="F1633" t="s">
        <v>39</v>
      </c>
      <c r="G1633" t="s">
        <v>388</v>
      </c>
      <c r="H1633" s="1">
        <v>45484.195833333331</v>
      </c>
      <c r="I1633" s="1">
        <v>45484.299305555556</v>
      </c>
      <c r="J1633">
        <v>56</v>
      </c>
      <c r="K1633">
        <v>149</v>
      </c>
      <c r="L1633">
        <v>1</v>
      </c>
      <c r="M1633" t="s">
        <v>41</v>
      </c>
      <c r="N1633">
        <v>1</v>
      </c>
      <c r="O1633">
        <v>484.64</v>
      </c>
    </row>
    <row r="1634" spans="1:15" x14ac:dyDescent="0.35">
      <c r="A1634" t="s">
        <v>3451</v>
      </c>
      <c r="B1634" t="s">
        <v>63</v>
      </c>
      <c r="C1634" t="s">
        <v>3452</v>
      </c>
      <c r="D1634" t="s">
        <v>48</v>
      </c>
      <c r="E1634" t="s">
        <v>19</v>
      </c>
      <c r="F1634" t="s">
        <v>57</v>
      </c>
      <c r="G1634" t="s">
        <v>1278</v>
      </c>
      <c r="H1634" s="1">
        <v>45560.857638888891</v>
      </c>
      <c r="I1634" s="1">
        <v>45561.059027777781</v>
      </c>
      <c r="J1634">
        <v>212</v>
      </c>
      <c r="K1634">
        <v>290</v>
      </c>
      <c r="L1634">
        <v>1</v>
      </c>
      <c r="M1634" t="s">
        <v>29</v>
      </c>
      <c r="N1634">
        <v>3</v>
      </c>
      <c r="O1634">
        <v>158.24</v>
      </c>
    </row>
    <row r="1635" spans="1:15" x14ac:dyDescent="0.35">
      <c r="A1635" t="s">
        <v>3453</v>
      </c>
      <c r="B1635" t="s">
        <v>63</v>
      </c>
      <c r="C1635" t="s">
        <v>3454</v>
      </c>
      <c r="D1635" t="s">
        <v>56</v>
      </c>
      <c r="E1635" t="s">
        <v>19</v>
      </c>
      <c r="F1635" t="s">
        <v>39</v>
      </c>
      <c r="G1635" t="s">
        <v>68</v>
      </c>
      <c r="H1635" s="1">
        <v>45584.563888888886</v>
      </c>
      <c r="I1635" s="1">
        <v>45584.751388888886</v>
      </c>
      <c r="J1635">
        <v>225</v>
      </c>
      <c r="K1635">
        <v>270</v>
      </c>
      <c r="L1635">
        <v>1</v>
      </c>
      <c r="M1635" t="s">
        <v>41</v>
      </c>
      <c r="N1635">
        <v>2</v>
      </c>
      <c r="O1635">
        <v>175.35</v>
      </c>
    </row>
    <row r="1636" spans="1:15" x14ac:dyDescent="0.35">
      <c r="A1636" t="s">
        <v>3455</v>
      </c>
      <c r="B1636" t="s">
        <v>24</v>
      </c>
      <c r="C1636" t="s">
        <v>3456</v>
      </c>
      <c r="D1636" t="s">
        <v>44</v>
      </c>
      <c r="E1636" t="s">
        <v>38</v>
      </c>
      <c r="F1636" t="s">
        <v>39</v>
      </c>
      <c r="G1636" t="s">
        <v>427</v>
      </c>
      <c r="H1636" s="1">
        <v>45437.524305555555</v>
      </c>
      <c r="I1636" s="1">
        <v>45437.616666666669</v>
      </c>
      <c r="J1636">
        <v>116</v>
      </c>
      <c r="K1636">
        <v>133</v>
      </c>
      <c r="L1636">
        <v>1</v>
      </c>
      <c r="M1636" t="s">
        <v>22</v>
      </c>
      <c r="N1636">
        <v>6</v>
      </c>
      <c r="O1636">
        <v>267.82</v>
      </c>
    </row>
    <row r="1637" spans="1:15" x14ac:dyDescent="0.35">
      <c r="A1637" t="s">
        <v>3457</v>
      </c>
      <c r="B1637" t="s">
        <v>16</v>
      </c>
      <c r="C1637" t="s">
        <v>3458</v>
      </c>
      <c r="D1637" t="s">
        <v>44</v>
      </c>
      <c r="E1637" t="s">
        <v>19</v>
      </c>
      <c r="F1637" t="s">
        <v>27</v>
      </c>
      <c r="G1637" t="s">
        <v>129</v>
      </c>
      <c r="H1637" s="1">
        <v>45563.974305555559</v>
      </c>
      <c r="I1637" s="1">
        <v>45564.1875</v>
      </c>
      <c r="J1637">
        <v>225</v>
      </c>
      <c r="K1637">
        <v>307</v>
      </c>
      <c r="L1637">
        <v>1</v>
      </c>
      <c r="M1637" t="s">
        <v>41</v>
      </c>
      <c r="N1637">
        <v>5</v>
      </c>
      <c r="O1637">
        <v>93.99</v>
      </c>
    </row>
    <row r="1638" spans="1:15" x14ac:dyDescent="0.35">
      <c r="A1638" t="s">
        <v>3459</v>
      </c>
      <c r="B1638" t="s">
        <v>63</v>
      </c>
      <c r="C1638" t="s">
        <v>3460</v>
      </c>
      <c r="D1638" t="s">
        <v>44</v>
      </c>
      <c r="E1638" t="s">
        <v>85</v>
      </c>
      <c r="F1638" t="s">
        <v>27</v>
      </c>
      <c r="G1638" t="s">
        <v>376</v>
      </c>
      <c r="H1638" s="1">
        <v>45652.000694444447</v>
      </c>
      <c r="I1638" s="1">
        <v>45652.161805555559</v>
      </c>
      <c r="J1638">
        <v>211</v>
      </c>
      <c r="K1638">
        <v>232</v>
      </c>
      <c r="L1638">
        <v>1</v>
      </c>
      <c r="M1638" t="s">
        <v>41</v>
      </c>
      <c r="N1638">
        <v>6</v>
      </c>
      <c r="O1638">
        <v>100.13</v>
      </c>
    </row>
    <row r="1639" spans="1:15" x14ac:dyDescent="0.35">
      <c r="A1639" t="s">
        <v>3461</v>
      </c>
      <c r="B1639" t="s">
        <v>16</v>
      </c>
      <c r="C1639" t="s">
        <v>3462</v>
      </c>
      <c r="D1639" t="s">
        <v>44</v>
      </c>
      <c r="E1639" t="s">
        <v>33</v>
      </c>
      <c r="F1639" t="s">
        <v>20</v>
      </c>
      <c r="G1639" t="s">
        <v>137</v>
      </c>
      <c r="H1639" s="1">
        <v>45334.944444444445</v>
      </c>
      <c r="I1639" s="1">
        <v>45335.037499999999</v>
      </c>
      <c r="J1639">
        <v>67</v>
      </c>
      <c r="K1639">
        <v>134</v>
      </c>
      <c r="L1639">
        <v>1</v>
      </c>
      <c r="M1639" t="s">
        <v>41</v>
      </c>
      <c r="N1639">
        <v>9</v>
      </c>
      <c r="O1639">
        <v>90.3</v>
      </c>
    </row>
    <row r="1640" spans="1:15" x14ac:dyDescent="0.35">
      <c r="A1640" t="s">
        <v>3463</v>
      </c>
      <c r="B1640" t="s">
        <v>63</v>
      </c>
      <c r="C1640" t="s">
        <v>3464</v>
      </c>
      <c r="D1640" t="s">
        <v>56</v>
      </c>
      <c r="E1640" t="s">
        <v>85</v>
      </c>
      <c r="F1640" t="s">
        <v>39</v>
      </c>
      <c r="G1640" t="s">
        <v>111</v>
      </c>
      <c r="H1640" s="1">
        <v>45639.467361111114</v>
      </c>
      <c r="I1640" s="1">
        <v>45639.712500000001</v>
      </c>
      <c r="J1640">
        <v>239</v>
      </c>
      <c r="K1640">
        <v>353</v>
      </c>
      <c r="L1640">
        <v>1</v>
      </c>
      <c r="M1640" t="s">
        <v>29</v>
      </c>
      <c r="N1640">
        <v>3</v>
      </c>
      <c r="O1640">
        <v>313.73</v>
      </c>
    </row>
    <row r="1641" spans="1:15" x14ac:dyDescent="0.35">
      <c r="A1641" t="s">
        <v>3465</v>
      </c>
      <c r="B1641" t="s">
        <v>51</v>
      </c>
      <c r="C1641" t="s">
        <v>3466</v>
      </c>
      <c r="D1641" t="s">
        <v>18</v>
      </c>
      <c r="E1641" t="s">
        <v>33</v>
      </c>
      <c r="F1641" t="s">
        <v>57</v>
      </c>
      <c r="G1641" t="s">
        <v>137</v>
      </c>
      <c r="H1641" s="1">
        <v>45480.288888888892</v>
      </c>
      <c r="I1641" s="1">
        <v>45480.411111111112</v>
      </c>
      <c r="J1641">
        <v>67</v>
      </c>
      <c r="K1641">
        <v>176</v>
      </c>
      <c r="L1641">
        <v>1</v>
      </c>
      <c r="M1641" t="s">
        <v>41</v>
      </c>
      <c r="N1641">
        <v>9</v>
      </c>
      <c r="O1641">
        <v>470.75</v>
      </c>
    </row>
    <row r="1642" spans="1:15" x14ac:dyDescent="0.35">
      <c r="A1642" t="s">
        <v>3467</v>
      </c>
      <c r="B1642" t="s">
        <v>51</v>
      </c>
      <c r="C1642" t="s">
        <v>3468</v>
      </c>
      <c r="D1642" t="s">
        <v>44</v>
      </c>
      <c r="E1642" t="s">
        <v>33</v>
      </c>
      <c r="F1642" t="s">
        <v>57</v>
      </c>
      <c r="G1642" t="s">
        <v>28</v>
      </c>
      <c r="H1642" s="1">
        <v>45324.259722222225</v>
      </c>
      <c r="I1642" s="1">
        <v>45324.393750000003</v>
      </c>
      <c r="J1642">
        <v>143</v>
      </c>
      <c r="K1642">
        <v>193</v>
      </c>
      <c r="L1642">
        <v>1</v>
      </c>
      <c r="M1642" t="s">
        <v>22</v>
      </c>
      <c r="N1642">
        <v>8</v>
      </c>
      <c r="O1642">
        <v>86.74</v>
      </c>
    </row>
    <row r="1643" spans="1:15" x14ac:dyDescent="0.35">
      <c r="A1643" t="s">
        <v>3469</v>
      </c>
      <c r="B1643" t="s">
        <v>16</v>
      </c>
      <c r="C1643" t="s">
        <v>3470</v>
      </c>
      <c r="D1643" t="s">
        <v>18</v>
      </c>
      <c r="E1643" t="s">
        <v>85</v>
      </c>
      <c r="F1643" t="s">
        <v>57</v>
      </c>
      <c r="G1643" t="s">
        <v>117</v>
      </c>
      <c r="H1643" s="1">
        <v>45557.759722222225</v>
      </c>
      <c r="I1643" s="1">
        <v>45557.824305555558</v>
      </c>
      <c r="J1643">
        <v>24</v>
      </c>
      <c r="K1643">
        <v>93</v>
      </c>
      <c r="L1643">
        <v>1</v>
      </c>
      <c r="M1643" t="s">
        <v>41</v>
      </c>
      <c r="N1643">
        <v>5</v>
      </c>
      <c r="O1643">
        <v>185.39</v>
      </c>
    </row>
    <row r="1644" spans="1:15" x14ac:dyDescent="0.35">
      <c r="A1644" t="s">
        <v>3471</v>
      </c>
      <c r="B1644" t="s">
        <v>63</v>
      </c>
      <c r="C1644" t="s">
        <v>3472</v>
      </c>
      <c r="D1644" t="s">
        <v>48</v>
      </c>
      <c r="E1644" t="s">
        <v>19</v>
      </c>
      <c r="F1644" t="s">
        <v>39</v>
      </c>
      <c r="G1644" t="s">
        <v>894</v>
      </c>
      <c r="H1644" s="1">
        <v>45649.40625</v>
      </c>
      <c r="I1644" s="1">
        <v>45649.493055555555</v>
      </c>
      <c r="J1644">
        <v>48</v>
      </c>
      <c r="K1644">
        <v>125</v>
      </c>
      <c r="L1644">
        <v>1</v>
      </c>
      <c r="M1644" t="s">
        <v>29</v>
      </c>
      <c r="N1644">
        <v>1</v>
      </c>
      <c r="O1644">
        <v>285.99</v>
      </c>
    </row>
    <row r="1645" spans="1:15" x14ac:dyDescent="0.35">
      <c r="A1645" t="s">
        <v>3473</v>
      </c>
      <c r="B1645" t="s">
        <v>51</v>
      </c>
      <c r="C1645" t="s">
        <v>3474</v>
      </c>
      <c r="D1645" t="s">
        <v>56</v>
      </c>
      <c r="E1645" t="s">
        <v>85</v>
      </c>
      <c r="F1645" t="s">
        <v>34</v>
      </c>
      <c r="G1645" t="s">
        <v>427</v>
      </c>
      <c r="H1645" s="1">
        <v>45485.743055555555</v>
      </c>
      <c r="I1645" s="1">
        <v>45485.854166666664</v>
      </c>
      <c r="J1645">
        <v>107</v>
      </c>
      <c r="K1645">
        <v>160</v>
      </c>
      <c r="L1645">
        <v>1</v>
      </c>
      <c r="M1645" t="s">
        <v>41</v>
      </c>
      <c r="N1645">
        <v>9</v>
      </c>
      <c r="O1645">
        <v>433.17</v>
      </c>
    </row>
    <row r="1646" spans="1:15" x14ac:dyDescent="0.35">
      <c r="A1646" t="s">
        <v>3475</v>
      </c>
      <c r="B1646" t="s">
        <v>63</v>
      </c>
      <c r="C1646" t="s">
        <v>3476</v>
      </c>
      <c r="D1646" t="s">
        <v>26</v>
      </c>
      <c r="E1646" t="s">
        <v>33</v>
      </c>
      <c r="F1646" t="s">
        <v>34</v>
      </c>
      <c r="G1646" t="s">
        <v>207</v>
      </c>
      <c r="H1646" s="1">
        <v>45387.979166666664</v>
      </c>
      <c r="I1646" s="1">
        <v>45388.127083333333</v>
      </c>
      <c r="J1646">
        <v>122</v>
      </c>
      <c r="K1646">
        <v>213</v>
      </c>
      <c r="L1646">
        <v>1</v>
      </c>
      <c r="M1646" t="s">
        <v>22</v>
      </c>
      <c r="N1646">
        <v>6</v>
      </c>
      <c r="O1646">
        <v>116.28</v>
      </c>
    </row>
    <row r="1647" spans="1:15" x14ac:dyDescent="0.35">
      <c r="A1647" t="s">
        <v>3477</v>
      </c>
      <c r="B1647" t="s">
        <v>16</v>
      </c>
      <c r="C1647" t="s">
        <v>3478</v>
      </c>
      <c r="D1647" t="s">
        <v>44</v>
      </c>
      <c r="E1647" t="s">
        <v>33</v>
      </c>
      <c r="F1647" t="s">
        <v>34</v>
      </c>
      <c r="G1647" t="s">
        <v>539</v>
      </c>
      <c r="H1647" s="1">
        <v>45311.499305555553</v>
      </c>
      <c r="I1647" s="1">
        <v>45311.647222222222</v>
      </c>
      <c r="J1647">
        <v>213</v>
      </c>
      <c r="K1647">
        <v>213</v>
      </c>
      <c r="L1647">
        <v>0</v>
      </c>
      <c r="M1647" t="s">
        <v>41</v>
      </c>
      <c r="N1647">
        <v>6</v>
      </c>
      <c r="O1647">
        <v>483.28</v>
      </c>
    </row>
    <row r="1648" spans="1:15" x14ac:dyDescent="0.35">
      <c r="A1648" t="s">
        <v>3479</v>
      </c>
      <c r="B1648" t="s">
        <v>24</v>
      </c>
      <c r="C1648" t="s">
        <v>3480</v>
      </c>
      <c r="D1648" t="s">
        <v>56</v>
      </c>
      <c r="E1648" t="s">
        <v>85</v>
      </c>
      <c r="F1648" t="s">
        <v>34</v>
      </c>
      <c r="G1648" t="s">
        <v>201</v>
      </c>
      <c r="H1648" s="1">
        <v>45509.792361111111</v>
      </c>
      <c r="I1648" s="1">
        <v>45509.993750000001</v>
      </c>
      <c r="J1648">
        <v>204</v>
      </c>
      <c r="K1648">
        <v>290</v>
      </c>
      <c r="L1648">
        <v>1</v>
      </c>
      <c r="M1648" t="s">
        <v>22</v>
      </c>
      <c r="N1648">
        <v>5</v>
      </c>
      <c r="O1648">
        <v>61.74</v>
      </c>
    </row>
    <row r="1649" spans="1:15" x14ac:dyDescent="0.35">
      <c r="A1649" t="s">
        <v>3481</v>
      </c>
      <c r="B1649" t="s">
        <v>63</v>
      </c>
      <c r="C1649" t="s">
        <v>3482</v>
      </c>
      <c r="D1649" t="s">
        <v>56</v>
      </c>
      <c r="E1649" t="s">
        <v>85</v>
      </c>
      <c r="F1649" t="s">
        <v>57</v>
      </c>
      <c r="G1649" t="s">
        <v>427</v>
      </c>
      <c r="H1649" s="1">
        <v>45633.70416666667</v>
      </c>
      <c r="I1649" s="1">
        <v>45633.854861111111</v>
      </c>
      <c r="J1649">
        <v>177</v>
      </c>
      <c r="K1649">
        <v>217</v>
      </c>
      <c r="L1649">
        <v>1</v>
      </c>
      <c r="M1649" t="s">
        <v>29</v>
      </c>
      <c r="N1649">
        <v>6</v>
      </c>
      <c r="O1649">
        <v>262.39</v>
      </c>
    </row>
    <row r="1650" spans="1:15" x14ac:dyDescent="0.35">
      <c r="A1650" t="s">
        <v>3483</v>
      </c>
      <c r="B1650" t="s">
        <v>24</v>
      </c>
      <c r="C1650" t="s">
        <v>3484</v>
      </c>
      <c r="D1650" t="s">
        <v>18</v>
      </c>
      <c r="E1650" t="s">
        <v>85</v>
      </c>
      <c r="F1650" t="s">
        <v>39</v>
      </c>
      <c r="G1650" t="s">
        <v>123</v>
      </c>
      <c r="H1650" s="1">
        <v>45418.087500000001</v>
      </c>
      <c r="I1650" s="1">
        <v>45418.124305555553</v>
      </c>
      <c r="J1650">
        <v>31</v>
      </c>
      <c r="K1650">
        <v>53</v>
      </c>
      <c r="L1650">
        <v>1</v>
      </c>
      <c r="M1650" t="s">
        <v>29</v>
      </c>
      <c r="N1650">
        <v>9</v>
      </c>
      <c r="O1650">
        <v>468.94</v>
      </c>
    </row>
    <row r="1651" spans="1:15" x14ac:dyDescent="0.35">
      <c r="A1651" t="s">
        <v>3485</v>
      </c>
      <c r="B1651" t="s">
        <v>24</v>
      </c>
      <c r="C1651" t="s">
        <v>3486</v>
      </c>
      <c r="D1651" t="s">
        <v>18</v>
      </c>
      <c r="E1651" t="s">
        <v>85</v>
      </c>
      <c r="F1651" t="s">
        <v>27</v>
      </c>
      <c r="G1651" t="s">
        <v>213</v>
      </c>
      <c r="H1651" s="1">
        <v>45332.970833333333</v>
      </c>
      <c r="I1651" s="1">
        <v>45333.058333333334</v>
      </c>
      <c r="J1651">
        <v>108</v>
      </c>
      <c r="K1651">
        <v>126</v>
      </c>
      <c r="L1651">
        <v>1</v>
      </c>
      <c r="M1651" t="s">
        <v>41</v>
      </c>
      <c r="N1651">
        <v>10</v>
      </c>
      <c r="O1651">
        <v>72.040000000000006</v>
      </c>
    </row>
    <row r="1652" spans="1:15" x14ac:dyDescent="0.35">
      <c r="A1652" t="s">
        <v>3487</v>
      </c>
      <c r="B1652" t="s">
        <v>24</v>
      </c>
      <c r="C1652" t="s">
        <v>3488</v>
      </c>
      <c r="D1652" t="s">
        <v>44</v>
      </c>
      <c r="E1652" t="s">
        <v>33</v>
      </c>
      <c r="F1652" t="s">
        <v>34</v>
      </c>
      <c r="G1652" t="s">
        <v>299</v>
      </c>
      <c r="H1652" s="1">
        <v>45380.994444444441</v>
      </c>
      <c r="I1652" s="1">
        <v>45381.189583333333</v>
      </c>
      <c r="J1652">
        <v>229</v>
      </c>
      <c r="K1652">
        <v>281</v>
      </c>
      <c r="L1652">
        <v>1</v>
      </c>
      <c r="M1652" t="s">
        <v>29</v>
      </c>
      <c r="N1652">
        <v>2</v>
      </c>
      <c r="O1652">
        <v>492.76</v>
      </c>
    </row>
    <row r="1653" spans="1:15" x14ac:dyDescent="0.35">
      <c r="A1653" t="s">
        <v>3489</v>
      </c>
      <c r="B1653" t="s">
        <v>24</v>
      </c>
      <c r="C1653" t="s">
        <v>3490</v>
      </c>
      <c r="D1653" t="s">
        <v>56</v>
      </c>
      <c r="E1653" t="s">
        <v>85</v>
      </c>
      <c r="F1653" t="s">
        <v>34</v>
      </c>
      <c r="G1653" t="s">
        <v>539</v>
      </c>
      <c r="H1653" s="1">
        <v>45603.75277777778</v>
      </c>
      <c r="I1653" s="1">
        <v>45603.876388888886</v>
      </c>
      <c r="J1653">
        <v>77</v>
      </c>
      <c r="K1653">
        <v>178</v>
      </c>
      <c r="L1653">
        <v>1</v>
      </c>
      <c r="M1653" t="s">
        <v>41</v>
      </c>
      <c r="N1653">
        <v>2</v>
      </c>
      <c r="O1653">
        <v>449.21</v>
      </c>
    </row>
    <row r="1654" spans="1:15" x14ac:dyDescent="0.35">
      <c r="A1654" t="s">
        <v>3491</v>
      </c>
      <c r="B1654" t="s">
        <v>16</v>
      </c>
      <c r="C1654" t="s">
        <v>3492</v>
      </c>
      <c r="D1654" t="s">
        <v>18</v>
      </c>
      <c r="E1654" t="s">
        <v>33</v>
      </c>
      <c r="F1654" t="s">
        <v>20</v>
      </c>
      <c r="G1654" t="s">
        <v>97</v>
      </c>
      <c r="H1654" s="1">
        <v>45596.722222222219</v>
      </c>
      <c r="I1654" s="1">
        <v>45596.879166666666</v>
      </c>
      <c r="J1654">
        <v>217</v>
      </c>
      <c r="K1654">
        <v>226</v>
      </c>
      <c r="L1654">
        <v>1</v>
      </c>
      <c r="M1654" t="s">
        <v>41</v>
      </c>
      <c r="N1654">
        <v>8</v>
      </c>
      <c r="O1654">
        <v>249.7</v>
      </c>
    </row>
    <row r="1655" spans="1:15" x14ac:dyDescent="0.35">
      <c r="A1655" t="s">
        <v>3493</v>
      </c>
      <c r="B1655" t="s">
        <v>31</v>
      </c>
      <c r="C1655" t="s">
        <v>3494</v>
      </c>
      <c r="D1655" t="s">
        <v>44</v>
      </c>
      <c r="E1655" t="s">
        <v>38</v>
      </c>
      <c r="F1655" t="s">
        <v>57</v>
      </c>
      <c r="G1655" t="s">
        <v>82</v>
      </c>
      <c r="H1655" s="1">
        <v>45474.769444444442</v>
      </c>
      <c r="I1655" s="1">
        <v>45474.865277777775</v>
      </c>
      <c r="J1655">
        <v>143</v>
      </c>
      <c r="K1655">
        <v>138</v>
      </c>
      <c r="L1655">
        <v>0</v>
      </c>
      <c r="M1655" t="s">
        <v>29</v>
      </c>
      <c r="N1655">
        <v>3</v>
      </c>
      <c r="O1655">
        <v>410.19</v>
      </c>
    </row>
    <row r="1656" spans="1:15" x14ac:dyDescent="0.35">
      <c r="A1656" t="s">
        <v>3495</v>
      </c>
      <c r="B1656" t="s">
        <v>16</v>
      </c>
      <c r="C1656" t="s">
        <v>3496</v>
      </c>
      <c r="D1656" t="s">
        <v>44</v>
      </c>
      <c r="E1656" t="s">
        <v>19</v>
      </c>
      <c r="F1656" t="s">
        <v>39</v>
      </c>
      <c r="G1656" t="s">
        <v>123</v>
      </c>
      <c r="H1656" s="1">
        <v>45448.588194444441</v>
      </c>
      <c r="I1656" s="1">
        <v>45448.6875</v>
      </c>
      <c r="J1656">
        <v>117</v>
      </c>
      <c r="K1656">
        <v>143</v>
      </c>
      <c r="L1656">
        <v>1</v>
      </c>
      <c r="M1656" t="s">
        <v>22</v>
      </c>
      <c r="N1656">
        <v>10</v>
      </c>
      <c r="O1656">
        <v>352.96</v>
      </c>
    </row>
    <row r="1657" spans="1:15" x14ac:dyDescent="0.35">
      <c r="A1657" t="s">
        <v>3497</v>
      </c>
      <c r="B1657" t="s">
        <v>16</v>
      </c>
      <c r="C1657" t="s">
        <v>3498</v>
      </c>
      <c r="D1657" t="s">
        <v>48</v>
      </c>
      <c r="E1657" t="s">
        <v>19</v>
      </c>
      <c r="F1657" t="s">
        <v>34</v>
      </c>
      <c r="G1657" t="s">
        <v>149</v>
      </c>
      <c r="H1657" s="1">
        <v>45301.698611111111</v>
      </c>
      <c r="I1657" s="1">
        <v>45301.779166666667</v>
      </c>
      <c r="J1657">
        <v>36</v>
      </c>
      <c r="K1657">
        <v>116</v>
      </c>
      <c r="L1657">
        <v>1</v>
      </c>
      <c r="M1657" t="s">
        <v>22</v>
      </c>
      <c r="N1657">
        <v>3</v>
      </c>
      <c r="O1657">
        <v>146.38</v>
      </c>
    </row>
    <row r="1658" spans="1:15" x14ac:dyDescent="0.35">
      <c r="A1658" t="s">
        <v>3499</v>
      </c>
      <c r="B1658" t="s">
        <v>51</v>
      </c>
      <c r="C1658" t="s">
        <v>3500</v>
      </c>
      <c r="D1658" t="s">
        <v>56</v>
      </c>
      <c r="E1658" t="s">
        <v>38</v>
      </c>
      <c r="F1658" t="s">
        <v>20</v>
      </c>
      <c r="G1658" t="s">
        <v>782</v>
      </c>
      <c r="H1658" s="1">
        <v>45437.388888888891</v>
      </c>
      <c r="I1658" s="1">
        <v>45437.611111111109</v>
      </c>
      <c r="J1658">
        <v>237</v>
      </c>
      <c r="K1658">
        <v>320</v>
      </c>
      <c r="L1658">
        <v>1</v>
      </c>
      <c r="M1658" t="s">
        <v>41</v>
      </c>
      <c r="N1658">
        <v>1</v>
      </c>
      <c r="O1658">
        <v>57.21</v>
      </c>
    </row>
    <row r="1659" spans="1:15" x14ac:dyDescent="0.35">
      <c r="A1659" t="s">
        <v>3501</v>
      </c>
      <c r="B1659" t="s">
        <v>51</v>
      </c>
      <c r="C1659" t="s">
        <v>3502</v>
      </c>
      <c r="D1659" t="s">
        <v>26</v>
      </c>
      <c r="E1659" t="s">
        <v>38</v>
      </c>
      <c r="F1659" t="s">
        <v>34</v>
      </c>
      <c r="G1659" t="s">
        <v>132</v>
      </c>
      <c r="H1659" s="1">
        <v>45461.428472222222</v>
      </c>
      <c r="I1659" s="1">
        <v>45461.534722222219</v>
      </c>
      <c r="J1659">
        <v>130</v>
      </c>
      <c r="K1659">
        <v>153</v>
      </c>
      <c r="L1659">
        <v>1</v>
      </c>
      <c r="M1659" t="s">
        <v>22</v>
      </c>
      <c r="N1659">
        <v>7</v>
      </c>
      <c r="O1659">
        <v>464.75</v>
      </c>
    </row>
    <row r="1660" spans="1:15" x14ac:dyDescent="0.35">
      <c r="A1660" t="s">
        <v>3503</v>
      </c>
      <c r="B1660" t="s">
        <v>31</v>
      </c>
      <c r="C1660" t="s">
        <v>3504</v>
      </c>
      <c r="D1660" t="s">
        <v>56</v>
      </c>
      <c r="E1660" t="s">
        <v>38</v>
      </c>
      <c r="F1660" t="s">
        <v>39</v>
      </c>
      <c r="G1660" t="s">
        <v>754</v>
      </c>
      <c r="H1660" s="1">
        <v>45484.399305555555</v>
      </c>
      <c r="I1660" s="1">
        <v>45484.591666666667</v>
      </c>
      <c r="J1660">
        <v>177</v>
      </c>
      <c r="K1660">
        <v>277</v>
      </c>
      <c r="L1660">
        <v>1</v>
      </c>
      <c r="M1660" t="s">
        <v>41</v>
      </c>
      <c r="N1660">
        <v>8</v>
      </c>
      <c r="O1660">
        <v>286.8</v>
      </c>
    </row>
    <row r="1661" spans="1:15" x14ac:dyDescent="0.35">
      <c r="A1661" t="s">
        <v>3505</v>
      </c>
      <c r="B1661" t="s">
        <v>51</v>
      </c>
      <c r="C1661" t="s">
        <v>3506</v>
      </c>
      <c r="D1661" t="s">
        <v>18</v>
      </c>
      <c r="E1661" t="s">
        <v>85</v>
      </c>
      <c r="F1661" t="s">
        <v>39</v>
      </c>
      <c r="G1661" t="s">
        <v>853</v>
      </c>
      <c r="H1661" s="1">
        <v>45351.725694444445</v>
      </c>
      <c r="I1661" s="1">
        <v>45351.859722222223</v>
      </c>
      <c r="J1661">
        <v>108</v>
      </c>
      <c r="K1661">
        <v>193</v>
      </c>
      <c r="L1661">
        <v>1</v>
      </c>
      <c r="M1661" t="s">
        <v>29</v>
      </c>
      <c r="N1661">
        <v>8</v>
      </c>
      <c r="O1661">
        <v>277.17</v>
      </c>
    </row>
    <row r="1662" spans="1:15" x14ac:dyDescent="0.35">
      <c r="A1662" t="s">
        <v>3507</v>
      </c>
      <c r="B1662" t="s">
        <v>31</v>
      </c>
      <c r="C1662" t="s">
        <v>3508</v>
      </c>
      <c r="D1662" t="s">
        <v>48</v>
      </c>
      <c r="E1662" t="s">
        <v>19</v>
      </c>
      <c r="F1662" t="s">
        <v>34</v>
      </c>
      <c r="G1662" t="s">
        <v>397</v>
      </c>
      <c r="H1662" s="1">
        <v>45455.693055555559</v>
      </c>
      <c r="I1662" s="1">
        <v>45455.8</v>
      </c>
      <c r="J1662">
        <v>113</v>
      </c>
      <c r="K1662">
        <v>154</v>
      </c>
      <c r="L1662">
        <v>1</v>
      </c>
      <c r="M1662" t="s">
        <v>41</v>
      </c>
      <c r="N1662">
        <v>3</v>
      </c>
      <c r="O1662">
        <v>331.29</v>
      </c>
    </row>
    <row r="1663" spans="1:15" x14ac:dyDescent="0.35">
      <c r="A1663" t="s">
        <v>3509</v>
      </c>
      <c r="B1663" t="s">
        <v>31</v>
      </c>
      <c r="C1663" t="s">
        <v>3510</v>
      </c>
      <c r="D1663" t="s">
        <v>48</v>
      </c>
      <c r="E1663" t="s">
        <v>33</v>
      </c>
      <c r="F1663" t="s">
        <v>27</v>
      </c>
      <c r="G1663" t="s">
        <v>251</v>
      </c>
      <c r="H1663" s="1">
        <v>45449.065972222219</v>
      </c>
      <c r="I1663" s="1">
        <v>45449.133333333331</v>
      </c>
      <c r="J1663">
        <v>76</v>
      </c>
      <c r="K1663">
        <v>97</v>
      </c>
      <c r="L1663">
        <v>1</v>
      </c>
      <c r="M1663" t="s">
        <v>22</v>
      </c>
      <c r="N1663">
        <v>2</v>
      </c>
      <c r="O1663">
        <v>292.16000000000003</v>
      </c>
    </row>
    <row r="1664" spans="1:15" x14ac:dyDescent="0.35">
      <c r="A1664" t="s">
        <v>3511</v>
      </c>
      <c r="B1664" t="s">
        <v>16</v>
      </c>
      <c r="C1664" t="s">
        <v>3512</v>
      </c>
      <c r="D1664" t="s">
        <v>56</v>
      </c>
      <c r="E1664" t="s">
        <v>38</v>
      </c>
      <c r="F1664" t="s">
        <v>34</v>
      </c>
      <c r="G1664" t="s">
        <v>594</v>
      </c>
      <c r="H1664" s="1">
        <v>45355.236111111109</v>
      </c>
      <c r="I1664" s="1">
        <v>45355.420138888891</v>
      </c>
      <c r="J1664">
        <v>178</v>
      </c>
      <c r="K1664">
        <v>265</v>
      </c>
      <c r="L1664">
        <v>1</v>
      </c>
      <c r="M1664" t="s">
        <v>29</v>
      </c>
      <c r="N1664">
        <v>3</v>
      </c>
      <c r="O1664">
        <v>333.55</v>
      </c>
    </row>
    <row r="1665" spans="1:15" x14ac:dyDescent="0.35">
      <c r="A1665" t="s">
        <v>3513</v>
      </c>
      <c r="B1665" t="s">
        <v>31</v>
      </c>
      <c r="C1665" t="s">
        <v>3514</v>
      </c>
      <c r="D1665" t="s">
        <v>26</v>
      </c>
      <c r="E1665" t="s">
        <v>38</v>
      </c>
      <c r="F1665" t="s">
        <v>34</v>
      </c>
      <c r="G1665" t="s">
        <v>1413</v>
      </c>
      <c r="H1665" s="1">
        <v>45502.684027777781</v>
      </c>
      <c r="I1665" s="1">
        <v>45502.774305555555</v>
      </c>
      <c r="J1665">
        <v>19</v>
      </c>
      <c r="K1665">
        <v>130</v>
      </c>
      <c r="L1665">
        <v>1</v>
      </c>
      <c r="M1665" t="s">
        <v>22</v>
      </c>
      <c r="N1665">
        <v>1</v>
      </c>
      <c r="O1665">
        <v>116.21</v>
      </c>
    </row>
    <row r="1666" spans="1:15" x14ac:dyDescent="0.35">
      <c r="A1666" t="s">
        <v>3515</v>
      </c>
      <c r="B1666" t="s">
        <v>16</v>
      </c>
      <c r="C1666" t="s">
        <v>3516</v>
      </c>
      <c r="D1666" t="s">
        <v>44</v>
      </c>
      <c r="E1666" t="s">
        <v>38</v>
      </c>
      <c r="F1666" t="s">
        <v>34</v>
      </c>
      <c r="G1666" t="s">
        <v>647</v>
      </c>
      <c r="H1666" s="1">
        <v>45563.925694444442</v>
      </c>
      <c r="I1666" s="1">
        <v>45564.033333333333</v>
      </c>
      <c r="J1666">
        <v>160</v>
      </c>
      <c r="K1666">
        <v>155</v>
      </c>
      <c r="L1666">
        <v>0</v>
      </c>
      <c r="M1666" t="s">
        <v>22</v>
      </c>
      <c r="N1666">
        <v>5</v>
      </c>
      <c r="O1666">
        <v>185.74</v>
      </c>
    </row>
    <row r="1667" spans="1:15" x14ac:dyDescent="0.35">
      <c r="A1667" t="s">
        <v>3517</v>
      </c>
      <c r="B1667" t="s">
        <v>51</v>
      </c>
      <c r="C1667" t="s">
        <v>3518</v>
      </c>
      <c r="D1667" t="s">
        <v>56</v>
      </c>
      <c r="E1667" t="s">
        <v>38</v>
      </c>
      <c r="F1667" t="s">
        <v>27</v>
      </c>
      <c r="G1667" t="s">
        <v>35</v>
      </c>
      <c r="H1667" s="1">
        <v>45347.200694444444</v>
      </c>
      <c r="I1667" s="1">
        <v>45347.328472222223</v>
      </c>
      <c r="J1667">
        <v>101</v>
      </c>
      <c r="K1667">
        <v>184</v>
      </c>
      <c r="L1667">
        <v>1</v>
      </c>
      <c r="M1667" t="s">
        <v>41</v>
      </c>
      <c r="N1667">
        <v>5</v>
      </c>
      <c r="O1667">
        <v>380.02</v>
      </c>
    </row>
    <row r="1668" spans="1:15" x14ac:dyDescent="0.35">
      <c r="A1668" t="s">
        <v>3519</v>
      </c>
      <c r="B1668" t="s">
        <v>31</v>
      </c>
      <c r="C1668" t="s">
        <v>3520</v>
      </c>
      <c r="D1668" t="s">
        <v>18</v>
      </c>
      <c r="E1668" t="s">
        <v>19</v>
      </c>
      <c r="F1668" t="s">
        <v>57</v>
      </c>
      <c r="G1668" t="s">
        <v>123</v>
      </c>
      <c r="H1668" s="1">
        <v>45313.06527777778</v>
      </c>
      <c r="I1668" s="1">
        <v>45313.255555555559</v>
      </c>
      <c r="J1668">
        <v>158</v>
      </c>
      <c r="K1668">
        <v>274</v>
      </c>
      <c r="L1668">
        <v>1</v>
      </c>
      <c r="M1668" t="s">
        <v>22</v>
      </c>
      <c r="N1668">
        <v>6</v>
      </c>
      <c r="O1668">
        <v>448.89</v>
      </c>
    </row>
    <row r="1669" spans="1:15" x14ac:dyDescent="0.35">
      <c r="A1669" t="s">
        <v>3521</v>
      </c>
      <c r="B1669" t="s">
        <v>51</v>
      </c>
      <c r="C1669" t="s">
        <v>3522</v>
      </c>
      <c r="D1669" t="s">
        <v>44</v>
      </c>
      <c r="E1669" t="s">
        <v>38</v>
      </c>
      <c r="F1669" t="s">
        <v>34</v>
      </c>
      <c r="G1669" t="s">
        <v>210</v>
      </c>
      <c r="H1669" s="1">
        <v>45384.130555555559</v>
      </c>
      <c r="I1669" s="1">
        <v>45384.35</v>
      </c>
      <c r="J1669">
        <v>215</v>
      </c>
      <c r="K1669">
        <v>316</v>
      </c>
      <c r="L1669">
        <v>1</v>
      </c>
      <c r="M1669" t="s">
        <v>22</v>
      </c>
      <c r="N1669">
        <v>9</v>
      </c>
      <c r="O1669">
        <v>285.31</v>
      </c>
    </row>
    <row r="1670" spans="1:15" x14ac:dyDescent="0.35">
      <c r="A1670" t="s">
        <v>3523</v>
      </c>
      <c r="B1670" t="s">
        <v>31</v>
      </c>
      <c r="C1670" t="s">
        <v>3524</v>
      </c>
      <c r="D1670" t="s">
        <v>48</v>
      </c>
      <c r="E1670" t="s">
        <v>33</v>
      </c>
      <c r="F1670" t="s">
        <v>57</v>
      </c>
      <c r="G1670" t="s">
        <v>296</v>
      </c>
      <c r="H1670" s="1">
        <v>45554.786111111112</v>
      </c>
      <c r="I1670" s="1">
        <v>45554.876388888886</v>
      </c>
      <c r="J1670">
        <v>100</v>
      </c>
      <c r="K1670">
        <v>130</v>
      </c>
      <c r="L1670">
        <v>1</v>
      </c>
      <c r="M1670" t="s">
        <v>29</v>
      </c>
      <c r="N1670">
        <v>10</v>
      </c>
      <c r="O1670">
        <v>393.91</v>
      </c>
    </row>
    <row r="1671" spans="1:15" x14ac:dyDescent="0.35">
      <c r="A1671" t="s">
        <v>3525</v>
      </c>
      <c r="B1671" t="s">
        <v>24</v>
      </c>
      <c r="C1671" t="s">
        <v>3526</v>
      </c>
      <c r="D1671" t="s">
        <v>44</v>
      </c>
      <c r="E1671" t="s">
        <v>33</v>
      </c>
      <c r="F1671" t="s">
        <v>27</v>
      </c>
      <c r="G1671" t="s">
        <v>321</v>
      </c>
      <c r="H1671" s="1">
        <v>45630.434027777781</v>
      </c>
      <c r="I1671" s="1">
        <v>45630.675000000003</v>
      </c>
      <c r="J1671">
        <v>232</v>
      </c>
      <c r="K1671">
        <v>347</v>
      </c>
      <c r="L1671">
        <v>1</v>
      </c>
      <c r="M1671" t="s">
        <v>41</v>
      </c>
      <c r="N1671">
        <v>10</v>
      </c>
      <c r="O1671">
        <v>258.57</v>
      </c>
    </row>
    <row r="1672" spans="1:15" x14ac:dyDescent="0.35">
      <c r="A1672" t="s">
        <v>3527</v>
      </c>
      <c r="B1672" t="s">
        <v>16</v>
      </c>
      <c r="C1672" t="s">
        <v>3528</v>
      </c>
      <c r="D1672" t="s">
        <v>26</v>
      </c>
      <c r="E1672" t="s">
        <v>85</v>
      </c>
      <c r="F1672" t="s">
        <v>20</v>
      </c>
      <c r="G1672" t="s">
        <v>207</v>
      </c>
      <c r="H1672" s="1">
        <v>45505.631249999999</v>
      </c>
      <c r="I1672" s="1">
        <v>45505.770833333336</v>
      </c>
      <c r="J1672">
        <v>190</v>
      </c>
      <c r="K1672">
        <v>201</v>
      </c>
      <c r="L1672">
        <v>1</v>
      </c>
      <c r="M1672" t="s">
        <v>22</v>
      </c>
      <c r="N1672">
        <v>6</v>
      </c>
      <c r="O1672">
        <v>243.88</v>
      </c>
    </row>
    <row r="1673" spans="1:15" x14ac:dyDescent="0.35">
      <c r="A1673" t="s">
        <v>3529</v>
      </c>
      <c r="B1673" t="s">
        <v>51</v>
      </c>
      <c r="C1673" t="s">
        <v>3530</v>
      </c>
      <c r="D1673" t="s">
        <v>44</v>
      </c>
      <c r="E1673" t="s">
        <v>38</v>
      </c>
      <c r="F1673" t="s">
        <v>39</v>
      </c>
      <c r="G1673" t="s">
        <v>97</v>
      </c>
      <c r="H1673" s="1">
        <v>45386.678472222222</v>
      </c>
      <c r="I1673" s="1">
        <v>45386.863888888889</v>
      </c>
      <c r="J1673">
        <v>154</v>
      </c>
      <c r="K1673">
        <v>267</v>
      </c>
      <c r="L1673">
        <v>1</v>
      </c>
      <c r="M1673" t="s">
        <v>22</v>
      </c>
      <c r="N1673">
        <v>6</v>
      </c>
      <c r="O1673">
        <v>422.18</v>
      </c>
    </row>
    <row r="1674" spans="1:15" x14ac:dyDescent="0.35">
      <c r="A1674" t="s">
        <v>3531</v>
      </c>
      <c r="B1674" t="s">
        <v>63</v>
      </c>
      <c r="C1674" t="s">
        <v>3532</v>
      </c>
      <c r="D1674" t="s">
        <v>18</v>
      </c>
      <c r="E1674" t="s">
        <v>38</v>
      </c>
      <c r="F1674" t="s">
        <v>57</v>
      </c>
      <c r="G1674" t="s">
        <v>1413</v>
      </c>
      <c r="H1674" s="1">
        <v>45347.065972222219</v>
      </c>
      <c r="I1674" s="1">
        <v>45347.188888888886</v>
      </c>
      <c r="J1674">
        <v>84</v>
      </c>
      <c r="K1674">
        <v>177</v>
      </c>
      <c r="L1674">
        <v>1</v>
      </c>
      <c r="M1674" t="s">
        <v>41</v>
      </c>
      <c r="N1674">
        <v>6</v>
      </c>
      <c r="O1674">
        <v>63.69</v>
      </c>
    </row>
    <row r="1675" spans="1:15" x14ac:dyDescent="0.35">
      <c r="A1675" t="s">
        <v>3533</v>
      </c>
      <c r="B1675" t="s">
        <v>24</v>
      </c>
      <c r="C1675" t="s">
        <v>3534</v>
      </c>
      <c r="D1675" t="s">
        <v>26</v>
      </c>
      <c r="E1675" t="s">
        <v>33</v>
      </c>
      <c r="F1675" t="s">
        <v>27</v>
      </c>
      <c r="G1675" t="s">
        <v>158</v>
      </c>
      <c r="H1675" s="1">
        <v>45333.347222222219</v>
      </c>
      <c r="I1675" s="1">
        <v>45333.432638888888</v>
      </c>
      <c r="J1675">
        <v>76</v>
      </c>
      <c r="K1675">
        <v>123</v>
      </c>
      <c r="L1675">
        <v>1</v>
      </c>
      <c r="M1675" t="s">
        <v>41</v>
      </c>
      <c r="N1675">
        <v>6</v>
      </c>
      <c r="O1675">
        <v>439.44</v>
      </c>
    </row>
    <row r="1676" spans="1:15" x14ac:dyDescent="0.35">
      <c r="A1676" t="s">
        <v>3535</v>
      </c>
      <c r="B1676" t="s">
        <v>31</v>
      </c>
      <c r="C1676" t="s">
        <v>3536</v>
      </c>
      <c r="D1676" t="s">
        <v>56</v>
      </c>
      <c r="E1676" t="s">
        <v>33</v>
      </c>
      <c r="F1676" t="s">
        <v>20</v>
      </c>
      <c r="G1676" t="s">
        <v>371</v>
      </c>
      <c r="H1676" s="1">
        <v>45461.260416666664</v>
      </c>
      <c r="I1676" s="1">
        <v>45461.315972222219</v>
      </c>
      <c r="J1676">
        <v>29</v>
      </c>
      <c r="K1676">
        <v>80</v>
      </c>
      <c r="L1676">
        <v>1</v>
      </c>
      <c r="M1676" t="s">
        <v>41</v>
      </c>
      <c r="N1676">
        <v>8</v>
      </c>
      <c r="O1676">
        <v>425.89</v>
      </c>
    </row>
    <row r="1677" spans="1:15" x14ac:dyDescent="0.35">
      <c r="A1677" t="s">
        <v>3537</v>
      </c>
      <c r="B1677" t="s">
        <v>63</v>
      </c>
      <c r="C1677" t="s">
        <v>3538</v>
      </c>
      <c r="D1677" t="s">
        <v>56</v>
      </c>
      <c r="E1677" t="s">
        <v>85</v>
      </c>
      <c r="F1677" t="s">
        <v>39</v>
      </c>
      <c r="G1677" t="s">
        <v>330</v>
      </c>
      <c r="H1677" s="1">
        <v>45525.863888888889</v>
      </c>
      <c r="I1677" s="1">
        <v>45525.92083333333</v>
      </c>
      <c r="J1677">
        <v>12</v>
      </c>
      <c r="K1677">
        <v>82</v>
      </c>
      <c r="L1677">
        <v>1</v>
      </c>
      <c r="M1677" t="s">
        <v>22</v>
      </c>
      <c r="N1677">
        <v>2</v>
      </c>
      <c r="O1677">
        <v>409.84</v>
      </c>
    </row>
    <row r="1678" spans="1:15" x14ac:dyDescent="0.35">
      <c r="A1678" t="s">
        <v>3539</v>
      </c>
      <c r="B1678" t="s">
        <v>16</v>
      </c>
      <c r="C1678" t="s">
        <v>3540</v>
      </c>
      <c r="D1678" t="s">
        <v>44</v>
      </c>
      <c r="E1678" t="s">
        <v>19</v>
      </c>
      <c r="F1678" t="s">
        <v>27</v>
      </c>
      <c r="G1678" t="s">
        <v>237</v>
      </c>
      <c r="H1678" s="1">
        <v>45381</v>
      </c>
      <c r="I1678" s="1">
        <v>45381.068749999999</v>
      </c>
      <c r="J1678">
        <v>67</v>
      </c>
      <c r="K1678">
        <v>99</v>
      </c>
      <c r="L1678">
        <v>1</v>
      </c>
      <c r="M1678" t="s">
        <v>22</v>
      </c>
      <c r="N1678">
        <v>8</v>
      </c>
      <c r="O1678">
        <v>242.12</v>
      </c>
    </row>
    <row r="1679" spans="1:15" x14ac:dyDescent="0.35">
      <c r="A1679" t="s">
        <v>3541</v>
      </c>
      <c r="B1679" t="s">
        <v>51</v>
      </c>
      <c r="C1679" t="s">
        <v>3542</v>
      </c>
      <c r="D1679" t="s">
        <v>56</v>
      </c>
      <c r="E1679" t="s">
        <v>19</v>
      </c>
      <c r="F1679" t="s">
        <v>27</v>
      </c>
      <c r="G1679" t="s">
        <v>164</v>
      </c>
      <c r="H1679" s="1">
        <v>45335.37222222222</v>
      </c>
      <c r="I1679" s="1">
        <v>45335.46875</v>
      </c>
      <c r="J1679">
        <v>110</v>
      </c>
      <c r="K1679">
        <v>139</v>
      </c>
      <c r="L1679">
        <v>1</v>
      </c>
      <c r="M1679" t="s">
        <v>22</v>
      </c>
      <c r="N1679">
        <v>2</v>
      </c>
      <c r="O1679">
        <v>123.54</v>
      </c>
    </row>
    <row r="1680" spans="1:15" x14ac:dyDescent="0.35">
      <c r="A1680" t="s">
        <v>3543</v>
      </c>
      <c r="B1680" t="s">
        <v>24</v>
      </c>
      <c r="C1680" t="s">
        <v>3544</v>
      </c>
      <c r="D1680" t="s">
        <v>18</v>
      </c>
      <c r="E1680" t="s">
        <v>85</v>
      </c>
      <c r="F1680" t="s">
        <v>27</v>
      </c>
      <c r="G1680" t="s">
        <v>149</v>
      </c>
      <c r="H1680" s="1">
        <v>45314.427083333336</v>
      </c>
      <c r="I1680" s="1">
        <v>45314.612500000003</v>
      </c>
      <c r="J1680">
        <v>155</v>
      </c>
      <c r="K1680">
        <v>267</v>
      </c>
      <c r="L1680">
        <v>1</v>
      </c>
      <c r="M1680" t="s">
        <v>41</v>
      </c>
      <c r="N1680">
        <v>7</v>
      </c>
      <c r="O1680">
        <v>409.29</v>
      </c>
    </row>
    <row r="1681" spans="1:15" x14ac:dyDescent="0.35">
      <c r="A1681" t="s">
        <v>3545</v>
      </c>
      <c r="B1681" t="s">
        <v>24</v>
      </c>
      <c r="C1681" t="s">
        <v>3546</v>
      </c>
      <c r="D1681" t="s">
        <v>48</v>
      </c>
      <c r="E1681" t="s">
        <v>19</v>
      </c>
      <c r="F1681" t="s">
        <v>39</v>
      </c>
      <c r="G1681" t="s">
        <v>397</v>
      </c>
      <c r="H1681" s="1">
        <v>45602.868750000001</v>
      </c>
      <c r="I1681" s="1">
        <v>45603.067361111112</v>
      </c>
      <c r="J1681">
        <v>232</v>
      </c>
      <c r="K1681">
        <v>286</v>
      </c>
      <c r="L1681">
        <v>1</v>
      </c>
      <c r="M1681" t="s">
        <v>29</v>
      </c>
      <c r="N1681">
        <v>1</v>
      </c>
      <c r="O1681">
        <v>141.79</v>
      </c>
    </row>
    <row r="1682" spans="1:15" x14ac:dyDescent="0.35">
      <c r="A1682" t="s">
        <v>3547</v>
      </c>
      <c r="B1682" t="s">
        <v>51</v>
      </c>
      <c r="C1682" t="s">
        <v>3548</v>
      </c>
      <c r="D1682" t="s">
        <v>18</v>
      </c>
      <c r="E1682" t="s">
        <v>85</v>
      </c>
      <c r="F1682" t="s">
        <v>39</v>
      </c>
      <c r="G1682" t="s">
        <v>299</v>
      </c>
      <c r="H1682" s="1">
        <v>45514.129861111112</v>
      </c>
      <c r="I1682" s="1">
        <v>45514.24722222222</v>
      </c>
      <c r="J1682">
        <v>121</v>
      </c>
      <c r="K1682">
        <v>169</v>
      </c>
      <c r="L1682">
        <v>1</v>
      </c>
      <c r="M1682" t="s">
        <v>41</v>
      </c>
      <c r="N1682">
        <v>9</v>
      </c>
      <c r="O1682">
        <v>372.59</v>
      </c>
    </row>
    <row r="1683" spans="1:15" x14ac:dyDescent="0.35">
      <c r="A1683" t="s">
        <v>3549</v>
      </c>
      <c r="B1683" t="s">
        <v>63</v>
      </c>
      <c r="C1683" t="s">
        <v>3550</v>
      </c>
      <c r="D1683" t="s">
        <v>48</v>
      </c>
      <c r="E1683" t="s">
        <v>19</v>
      </c>
      <c r="F1683" t="s">
        <v>39</v>
      </c>
      <c r="G1683" t="s">
        <v>21</v>
      </c>
      <c r="H1683" s="1">
        <v>45571.189583333333</v>
      </c>
      <c r="I1683" s="1">
        <v>45571.282638888886</v>
      </c>
      <c r="J1683">
        <v>127</v>
      </c>
      <c r="K1683">
        <v>134</v>
      </c>
      <c r="L1683">
        <v>1</v>
      </c>
      <c r="M1683" t="s">
        <v>22</v>
      </c>
      <c r="N1683">
        <v>1</v>
      </c>
      <c r="O1683">
        <v>317.33</v>
      </c>
    </row>
    <row r="1684" spans="1:15" x14ac:dyDescent="0.35">
      <c r="A1684" t="s">
        <v>3551</v>
      </c>
      <c r="B1684" t="s">
        <v>63</v>
      </c>
      <c r="C1684" t="s">
        <v>3552</v>
      </c>
      <c r="D1684" t="s">
        <v>56</v>
      </c>
      <c r="E1684" t="s">
        <v>19</v>
      </c>
      <c r="F1684" t="s">
        <v>57</v>
      </c>
      <c r="G1684" t="s">
        <v>418</v>
      </c>
      <c r="H1684" s="1">
        <v>45440.864583333336</v>
      </c>
      <c r="I1684" s="1">
        <v>45441.009722222225</v>
      </c>
      <c r="J1684">
        <v>211</v>
      </c>
      <c r="K1684">
        <v>209</v>
      </c>
      <c r="L1684">
        <v>0</v>
      </c>
      <c r="M1684" t="s">
        <v>29</v>
      </c>
      <c r="N1684">
        <v>6</v>
      </c>
      <c r="O1684">
        <v>306.33999999999997</v>
      </c>
    </row>
    <row r="1685" spans="1:15" x14ac:dyDescent="0.35">
      <c r="A1685" t="s">
        <v>3553</v>
      </c>
      <c r="B1685" t="s">
        <v>51</v>
      </c>
      <c r="C1685" t="s">
        <v>3554</v>
      </c>
      <c r="D1685" t="s">
        <v>56</v>
      </c>
      <c r="E1685" t="s">
        <v>19</v>
      </c>
      <c r="F1685" t="s">
        <v>27</v>
      </c>
      <c r="G1685" t="s">
        <v>265</v>
      </c>
      <c r="H1685" s="1">
        <v>45605.773611111108</v>
      </c>
      <c r="I1685" s="1">
        <v>45605.854861111111</v>
      </c>
      <c r="J1685">
        <v>111</v>
      </c>
      <c r="K1685">
        <v>117</v>
      </c>
      <c r="L1685">
        <v>1</v>
      </c>
      <c r="M1685" t="s">
        <v>22</v>
      </c>
      <c r="N1685">
        <v>6</v>
      </c>
      <c r="O1685">
        <v>299.97000000000003</v>
      </c>
    </row>
    <row r="1686" spans="1:15" x14ac:dyDescent="0.35">
      <c r="A1686" t="s">
        <v>3555</v>
      </c>
      <c r="B1686" t="s">
        <v>63</v>
      </c>
      <c r="C1686" t="s">
        <v>3556</v>
      </c>
      <c r="D1686" t="s">
        <v>56</v>
      </c>
      <c r="E1686" t="s">
        <v>85</v>
      </c>
      <c r="F1686" t="s">
        <v>27</v>
      </c>
      <c r="G1686" t="s">
        <v>68</v>
      </c>
      <c r="H1686" s="1">
        <v>45569.835416666669</v>
      </c>
      <c r="I1686" s="1">
        <v>45570.013194444444</v>
      </c>
      <c r="J1686">
        <v>207</v>
      </c>
      <c r="K1686">
        <v>256</v>
      </c>
      <c r="L1686">
        <v>1</v>
      </c>
      <c r="M1686" t="s">
        <v>41</v>
      </c>
      <c r="N1686">
        <v>5</v>
      </c>
      <c r="O1686">
        <v>209.53</v>
      </c>
    </row>
    <row r="1687" spans="1:15" x14ac:dyDescent="0.35">
      <c r="A1687" t="s">
        <v>3557</v>
      </c>
      <c r="B1687" t="s">
        <v>63</v>
      </c>
      <c r="C1687" t="s">
        <v>3558</v>
      </c>
      <c r="D1687" t="s">
        <v>18</v>
      </c>
      <c r="E1687" t="s">
        <v>19</v>
      </c>
      <c r="F1687" t="s">
        <v>39</v>
      </c>
      <c r="G1687" t="s">
        <v>602</v>
      </c>
      <c r="H1687" s="1">
        <v>45590.613888888889</v>
      </c>
      <c r="I1687" s="1">
        <v>45590.780555555553</v>
      </c>
      <c r="J1687">
        <v>147</v>
      </c>
      <c r="K1687">
        <v>240</v>
      </c>
      <c r="L1687">
        <v>1</v>
      </c>
      <c r="M1687" t="s">
        <v>41</v>
      </c>
      <c r="N1687">
        <v>3</v>
      </c>
      <c r="O1687">
        <v>190.88</v>
      </c>
    </row>
    <row r="1688" spans="1:15" x14ac:dyDescent="0.35">
      <c r="A1688" t="s">
        <v>3559</v>
      </c>
      <c r="B1688" t="s">
        <v>16</v>
      </c>
      <c r="C1688" t="s">
        <v>3560</v>
      </c>
      <c r="D1688" t="s">
        <v>48</v>
      </c>
      <c r="E1688" t="s">
        <v>19</v>
      </c>
      <c r="F1688" t="s">
        <v>57</v>
      </c>
      <c r="G1688" t="s">
        <v>213</v>
      </c>
      <c r="H1688" s="1">
        <v>45336.745138888888</v>
      </c>
      <c r="I1688" s="1">
        <v>45336.823611111111</v>
      </c>
      <c r="J1688">
        <v>93</v>
      </c>
      <c r="K1688">
        <v>113</v>
      </c>
      <c r="L1688">
        <v>1</v>
      </c>
      <c r="M1688" t="s">
        <v>41</v>
      </c>
      <c r="N1688">
        <v>9</v>
      </c>
      <c r="O1688">
        <v>272.49</v>
      </c>
    </row>
    <row r="1689" spans="1:15" x14ac:dyDescent="0.35">
      <c r="A1689" t="s">
        <v>3561</v>
      </c>
      <c r="B1689" t="s">
        <v>31</v>
      </c>
      <c r="C1689" t="s">
        <v>3562</v>
      </c>
      <c r="D1689" t="s">
        <v>18</v>
      </c>
      <c r="E1689" t="s">
        <v>19</v>
      </c>
      <c r="F1689" t="s">
        <v>27</v>
      </c>
      <c r="G1689" t="s">
        <v>207</v>
      </c>
      <c r="H1689" s="1">
        <v>45498.506249999999</v>
      </c>
      <c r="I1689" s="1">
        <v>45498.545138888891</v>
      </c>
      <c r="J1689">
        <v>30</v>
      </c>
      <c r="K1689">
        <v>56</v>
      </c>
      <c r="L1689">
        <v>1</v>
      </c>
      <c r="M1689" t="s">
        <v>29</v>
      </c>
      <c r="N1689">
        <v>9</v>
      </c>
      <c r="O1689">
        <v>294.8</v>
      </c>
    </row>
    <row r="1690" spans="1:15" x14ac:dyDescent="0.35">
      <c r="A1690" t="s">
        <v>3563</v>
      </c>
      <c r="B1690" t="s">
        <v>51</v>
      </c>
      <c r="C1690" t="s">
        <v>3564</v>
      </c>
      <c r="D1690" t="s">
        <v>48</v>
      </c>
      <c r="E1690" t="s">
        <v>19</v>
      </c>
      <c r="F1690" t="s">
        <v>34</v>
      </c>
      <c r="G1690" t="s">
        <v>228</v>
      </c>
      <c r="H1690" s="1">
        <v>45345.006249999999</v>
      </c>
      <c r="I1690" s="1">
        <v>45345.135416666664</v>
      </c>
      <c r="J1690">
        <v>108</v>
      </c>
      <c r="K1690">
        <v>186</v>
      </c>
      <c r="L1690">
        <v>1</v>
      </c>
      <c r="M1690" t="s">
        <v>41</v>
      </c>
      <c r="N1690">
        <v>7</v>
      </c>
      <c r="O1690">
        <v>234.46</v>
      </c>
    </row>
    <row r="1691" spans="1:15" x14ac:dyDescent="0.35">
      <c r="A1691" t="s">
        <v>3565</v>
      </c>
      <c r="B1691" t="s">
        <v>63</v>
      </c>
      <c r="C1691" t="s">
        <v>3566</v>
      </c>
      <c r="D1691" t="s">
        <v>48</v>
      </c>
      <c r="E1691" t="s">
        <v>38</v>
      </c>
      <c r="F1691" t="s">
        <v>20</v>
      </c>
      <c r="G1691" t="s">
        <v>91</v>
      </c>
      <c r="H1691" s="1">
        <v>45441.92291666667</v>
      </c>
      <c r="I1691" s="1">
        <v>45442.09097222222</v>
      </c>
      <c r="J1691">
        <v>168</v>
      </c>
      <c r="K1691">
        <v>242</v>
      </c>
      <c r="L1691">
        <v>1</v>
      </c>
      <c r="M1691" t="s">
        <v>41</v>
      </c>
      <c r="N1691">
        <v>5</v>
      </c>
      <c r="O1691">
        <v>307.81</v>
      </c>
    </row>
    <row r="1692" spans="1:15" x14ac:dyDescent="0.35">
      <c r="A1692" t="s">
        <v>3567</v>
      </c>
      <c r="B1692" t="s">
        <v>16</v>
      </c>
      <c r="C1692" t="s">
        <v>3568</v>
      </c>
      <c r="D1692" t="s">
        <v>44</v>
      </c>
      <c r="E1692" t="s">
        <v>38</v>
      </c>
      <c r="F1692" t="s">
        <v>57</v>
      </c>
      <c r="G1692" t="s">
        <v>359</v>
      </c>
      <c r="H1692" s="1">
        <v>45451.065972222219</v>
      </c>
      <c r="I1692" s="1">
        <v>45451.12222222222</v>
      </c>
      <c r="J1692">
        <v>59</v>
      </c>
      <c r="K1692">
        <v>81</v>
      </c>
      <c r="L1692">
        <v>1</v>
      </c>
      <c r="M1692" t="s">
        <v>29</v>
      </c>
      <c r="N1692">
        <v>10</v>
      </c>
      <c r="O1692">
        <v>439.27</v>
      </c>
    </row>
    <row r="1693" spans="1:15" x14ac:dyDescent="0.35">
      <c r="A1693" t="s">
        <v>3569</v>
      </c>
      <c r="B1693" t="s">
        <v>24</v>
      </c>
      <c r="C1693" t="s">
        <v>3570</v>
      </c>
      <c r="D1693" t="s">
        <v>48</v>
      </c>
      <c r="E1693" t="s">
        <v>33</v>
      </c>
      <c r="F1693" t="s">
        <v>57</v>
      </c>
      <c r="G1693" t="s">
        <v>316</v>
      </c>
      <c r="H1693" s="1">
        <v>45344.061805555553</v>
      </c>
      <c r="I1693" s="1">
        <v>45344.215277777781</v>
      </c>
      <c r="J1693">
        <v>114</v>
      </c>
      <c r="K1693">
        <v>221</v>
      </c>
      <c r="L1693">
        <v>1</v>
      </c>
      <c r="M1693" t="s">
        <v>22</v>
      </c>
      <c r="N1693">
        <v>8</v>
      </c>
      <c r="O1693">
        <v>412.75</v>
      </c>
    </row>
    <row r="1694" spans="1:15" x14ac:dyDescent="0.35">
      <c r="A1694" t="s">
        <v>3571</v>
      </c>
      <c r="B1694" t="s">
        <v>31</v>
      </c>
      <c r="C1694" t="s">
        <v>3572</v>
      </c>
      <c r="D1694" t="s">
        <v>56</v>
      </c>
      <c r="E1694" t="s">
        <v>19</v>
      </c>
      <c r="F1694" t="s">
        <v>39</v>
      </c>
      <c r="G1694" t="s">
        <v>894</v>
      </c>
      <c r="H1694" s="1">
        <v>45452.995138888888</v>
      </c>
      <c r="I1694" s="1">
        <v>45453.170138888891</v>
      </c>
      <c r="J1694">
        <v>184</v>
      </c>
      <c r="K1694">
        <v>252</v>
      </c>
      <c r="L1694">
        <v>1</v>
      </c>
      <c r="M1694" t="s">
        <v>22</v>
      </c>
      <c r="N1694">
        <v>4</v>
      </c>
      <c r="O1694">
        <v>204.76</v>
      </c>
    </row>
    <row r="1695" spans="1:15" x14ac:dyDescent="0.35">
      <c r="A1695" t="s">
        <v>3573</v>
      </c>
      <c r="B1695" t="s">
        <v>16</v>
      </c>
      <c r="C1695" t="s">
        <v>3574</v>
      </c>
      <c r="D1695" t="s">
        <v>48</v>
      </c>
      <c r="E1695" t="s">
        <v>19</v>
      </c>
      <c r="F1695" t="s">
        <v>27</v>
      </c>
      <c r="G1695" t="s">
        <v>158</v>
      </c>
      <c r="H1695" s="1">
        <v>45345.171527777777</v>
      </c>
      <c r="I1695" s="1">
        <v>45345.333333333336</v>
      </c>
      <c r="J1695">
        <v>198</v>
      </c>
      <c r="K1695">
        <v>233</v>
      </c>
      <c r="L1695">
        <v>1</v>
      </c>
      <c r="M1695" t="s">
        <v>29</v>
      </c>
      <c r="N1695">
        <v>4</v>
      </c>
      <c r="O1695">
        <v>273.56</v>
      </c>
    </row>
    <row r="1696" spans="1:15" x14ac:dyDescent="0.35">
      <c r="A1696" t="s">
        <v>3575</v>
      </c>
      <c r="B1696" t="s">
        <v>16</v>
      </c>
      <c r="C1696" t="s">
        <v>3576</v>
      </c>
      <c r="D1696" t="s">
        <v>44</v>
      </c>
      <c r="E1696" t="s">
        <v>19</v>
      </c>
      <c r="F1696" t="s">
        <v>20</v>
      </c>
      <c r="G1696" t="s">
        <v>397</v>
      </c>
      <c r="H1696" s="1">
        <v>45342.26458333333</v>
      </c>
      <c r="I1696" s="1">
        <v>45342.375</v>
      </c>
      <c r="J1696">
        <v>118</v>
      </c>
      <c r="K1696">
        <v>159</v>
      </c>
      <c r="L1696">
        <v>1</v>
      </c>
      <c r="M1696" t="s">
        <v>22</v>
      </c>
      <c r="N1696">
        <v>4</v>
      </c>
      <c r="O1696">
        <v>269.75</v>
      </c>
    </row>
    <row r="1697" spans="1:15" x14ac:dyDescent="0.35">
      <c r="A1697" t="s">
        <v>3577</v>
      </c>
      <c r="B1697" t="s">
        <v>31</v>
      </c>
      <c r="C1697" t="s">
        <v>3578</v>
      </c>
      <c r="D1697" t="s">
        <v>48</v>
      </c>
      <c r="E1697" t="s">
        <v>85</v>
      </c>
      <c r="F1697" t="s">
        <v>34</v>
      </c>
      <c r="G1697" t="s">
        <v>228</v>
      </c>
      <c r="H1697" s="1">
        <v>45323.258333333331</v>
      </c>
      <c r="I1697" s="1">
        <v>45323.40625</v>
      </c>
      <c r="J1697">
        <v>140</v>
      </c>
      <c r="K1697">
        <v>213</v>
      </c>
      <c r="L1697">
        <v>1</v>
      </c>
      <c r="M1697" t="s">
        <v>41</v>
      </c>
      <c r="N1697">
        <v>4</v>
      </c>
      <c r="O1697">
        <v>441.9</v>
      </c>
    </row>
    <row r="1698" spans="1:15" x14ac:dyDescent="0.35">
      <c r="A1698" t="s">
        <v>3579</v>
      </c>
      <c r="B1698" t="s">
        <v>16</v>
      </c>
      <c r="C1698" t="s">
        <v>3580</v>
      </c>
      <c r="D1698" t="s">
        <v>26</v>
      </c>
      <c r="E1698" t="s">
        <v>85</v>
      </c>
      <c r="F1698" t="s">
        <v>20</v>
      </c>
      <c r="G1698" t="s">
        <v>79</v>
      </c>
      <c r="H1698" s="1">
        <v>45623.621527777781</v>
      </c>
      <c r="I1698" s="1">
        <v>45623.755555555559</v>
      </c>
      <c r="J1698">
        <v>109</v>
      </c>
      <c r="K1698">
        <v>193</v>
      </c>
      <c r="L1698">
        <v>1</v>
      </c>
      <c r="M1698" t="s">
        <v>29</v>
      </c>
      <c r="N1698">
        <v>10</v>
      </c>
      <c r="O1698">
        <v>441.74</v>
      </c>
    </row>
    <row r="1699" spans="1:15" x14ac:dyDescent="0.35">
      <c r="A1699" t="s">
        <v>3581</v>
      </c>
      <c r="B1699" t="s">
        <v>24</v>
      </c>
      <c r="C1699" t="s">
        <v>3582</v>
      </c>
      <c r="D1699" t="s">
        <v>44</v>
      </c>
      <c r="E1699" t="s">
        <v>33</v>
      </c>
      <c r="F1699" t="s">
        <v>20</v>
      </c>
      <c r="G1699" t="s">
        <v>288</v>
      </c>
      <c r="H1699" s="1">
        <v>45546.642361111109</v>
      </c>
      <c r="I1699" s="1">
        <v>45546.746527777781</v>
      </c>
      <c r="J1699">
        <v>104</v>
      </c>
      <c r="K1699">
        <v>150</v>
      </c>
      <c r="L1699">
        <v>1</v>
      </c>
      <c r="M1699" t="s">
        <v>41</v>
      </c>
      <c r="N1699">
        <v>5</v>
      </c>
      <c r="O1699">
        <v>379.57</v>
      </c>
    </row>
    <row r="1700" spans="1:15" x14ac:dyDescent="0.35">
      <c r="A1700" t="s">
        <v>3583</v>
      </c>
      <c r="B1700" t="s">
        <v>31</v>
      </c>
      <c r="C1700" t="s">
        <v>3584</v>
      </c>
      <c r="D1700" t="s">
        <v>44</v>
      </c>
      <c r="E1700" t="s">
        <v>38</v>
      </c>
      <c r="F1700" t="s">
        <v>57</v>
      </c>
      <c r="G1700" t="s">
        <v>330</v>
      </c>
      <c r="H1700" s="1">
        <v>45579.045138888891</v>
      </c>
      <c r="I1700" s="1">
        <v>45579.138888888891</v>
      </c>
      <c r="J1700">
        <v>91</v>
      </c>
      <c r="K1700">
        <v>135</v>
      </c>
      <c r="L1700">
        <v>1</v>
      </c>
      <c r="M1700" t="s">
        <v>22</v>
      </c>
      <c r="N1700">
        <v>7</v>
      </c>
      <c r="O1700">
        <v>449.47</v>
      </c>
    </row>
    <row r="1701" spans="1:15" x14ac:dyDescent="0.35">
      <c r="A1701" t="s">
        <v>3585</v>
      </c>
      <c r="B1701" t="s">
        <v>51</v>
      </c>
      <c r="C1701" t="s">
        <v>3586</v>
      </c>
      <c r="D1701" t="s">
        <v>44</v>
      </c>
      <c r="E1701" t="s">
        <v>19</v>
      </c>
      <c r="F1701" t="s">
        <v>27</v>
      </c>
      <c r="G1701" t="s">
        <v>777</v>
      </c>
      <c r="H1701" s="1">
        <v>45524.604166666664</v>
      </c>
      <c r="I1701" s="1">
        <v>45524.65902777778</v>
      </c>
      <c r="J1701">
        <v>56</v>
      </c>
      <c r="K1701">
        <v>79</v>
      </c>
      <c r="L1701">
        <v>1</v>
      </c>
      <c r="M1701" t="s">
        <v>41</v>
      </c>
      <c r="N1701">
        <v>3</v>
      </c>
      <c r="O1701">
        <v>451.72</v>
      </c>
    </row>
    <row r="1702" spans="1:15" x14ac:dyDescent="0.35">
      <c r="A1702" t="s">
        <v>3587</v>
      </c>
      <c r="B1702" t="s">
        <v>51</v>
      </c>
      <c r="C1702" t="s">
        <v>3588</v>
      </c>
      <c r="D1702" t="s">
        <v>56</v>
      </c>
      <c r="E1702" t="s">
        <v>33</v>
      </c>
      <c r="F1702" t="s">
        <v>57</v>
      </c>
      <c r="G1702" t="s">
        <v>842</v>
      </c>
      <c r="H1702" s="1">
        <v>45325.452777777777</v>
      </c>
      <c r="I1702" s="1">
        <v>45325.65347222222</v>
      </c>
      <c r="J1702">
        <v>178</v>
      </c>
      <c r="K1702">
        <v>289</v>
      </c>
      <c r="L1702">
        <v>1</v>
      </c>
      <c r="M1702" t="s">
        <v>41</v>
      </c>
      <c r="N1702">
        <v>3</v>
      </c>
      <c r="O1702">
        <v>381.24</v>
      </c>
    </row>
    <row r="1703" spans="1:15" x14ac:dyDescent="0.35">
      <c r="A1703" t="s">
        <v>3589</v>
      </c>
      <c r="B1703" t="s">
        <v>63</v>
      </c>
      <c r="C1703" t="s">
        <v>3590</v>
      </c>
      <c r="D1703" t="s">
        <v>44</v>
      </c>
      <c r="E1703" t="s">
        <v>33</v>
      </c>
      <c r="F1703" t="s">
        <v>39</v>
      </c>
      <c r="G1703" t="s">
        <v>164</v>
      </c>
      <c r="H1703" s="1">
        <v>45594.286111111112</v>
      </c>
      <c r="I1703" s="1">
        <v>45594.477777777778</v>
      </c>
      <c r="J1703">
        <v>191</v>
      </c>
      <c r="K1703">
        <v>276</v>
      </c>
      <c r="L1703">
        <v>1</v>
      </c>
      <c r="M1703" t="s">
        <v>41</v>
      </c>
      <c r="N1703">
        <v>7</v>
      </c>
      <c r="O1703">
        <v>244.13</v>
      </c>
    </row>
    <row r="1704" spans="1:15" x14ac:dyDescent="0.35">
      <c r="A1704" t="s">
        <v>3591</v>
      </c>
      <c r="B1704" t="s">
        <v>51</v>
      </c>
      <c r="C1704" t="s">
        <v>3592</v>
      </c>
      <c r="D1704" t="s">
        <v>26</v>
      </c>
      <c r="E1704" t="s">
        <v>85</v>
      </c>
      <c r="F1704" t="s">
        <v>39</v>
      </c>
      <c r="G1704" t="s">
        <v>1187</v>
      </c>
      <c r="H1704" s="1">
        <v>45346.959722222222</v>
      </c>
      <c r="I1704" s="1">
        <v>45346.979861111111</v>
      </c>
      <c r="J1704">
        <v>26</v>
      </c>
      <c r="K1704">
        <v>29</v>
      </c>
      <c r="L1704">
        <v>1</v>
      </c>
      <c r="M1704" t="s">
        <v>29</v>
      </c>
      <c r="N1704">
        <v>7</v>
      </c>
      <c r="O1704">
        <v>167.92</v>
      </c>
    </row>
    <row r="1705" spans="1:15" x14ac:dyDescent="0.35">
      <c r="A1705" t="s">
        <v>3593</v>
      </c>
      <c r="B1705" t="s">
        <v>16</v>
      </c>
      <c r="C1705" t="s">
        <v>3594</v>
      </c>
      <c r="D1705" t="s">
        <v>44</v>
      </c>
      <c r="E1705" t="s">
        <v>33</v>
      </c>
      <c r="F1705" t="s">
        <v>20</v>
      </c>
      <c r="G1705" t="s">
        <v>335</v>
      </c>
      <c r="H1705" s="1">
        <v>45477.625</v>
      </c>
      <c r="I1705" s="1">
        <v>45477.65</v>
      </c>
      <c r="J1705">
        <v>39</v>
      </c>
      <c r="K1705">
        <v>36</v>
      </c>
      <c r="L1705">
        <v>0</v>
      </c>
      <c r="M1705" t="s">
        <v>22</v>
      </c>
      <c r="N1705">
        <v>8</v>
      </c>
      <c r="O1705">
        <v>198.72</v>
      </c>
    </row>
    <row r="1706" spans="1:15" x14ac:dyDescent="0.35">
      <c r="A1706" t="s">
        <v>3595</v>
      </c>
      <c r="B1706" t="s">
        <v>31</v>
      </c>
      <c r="C1706" t="s">
        <v>3596</v>
      </c>
      <c r="D1706" t="s">
        <v>44</v>
      </c>
      <c r="E1706" t="s">
        <v>38</v>
      </c>
      <c r="F1706" t="s">
        <v>20</v>
      </c>
      <c r="G1706" t="s">
        <v>526</v>
      </c>
      <c r="H1706" s="1">
        <v>45406.256249999999</v>
      </c>
      <c r="I1706" s="1">
        <v>45406.324999999997</v>
      </c>
      <c r="J1706">
        <v>40</v>
      </c>
      <c r="K1706">
        <v>99</v>
      </c>
      <c r="L1706">
        <v>1</v>
      </c>
      <c r="M1706" t="s">
        <v>29</v>
      </c>
      <c r="N1706">
        <v>1</v>
      </c>
      <c r="O1706">
        <v>489.7</v>
      </c>
    </row>
    <row r="1707" spans="1:15" x14ac:dyDescent="0.35">
      <c r="A1707" t="s">
        <v>3597</v>
      </c>
      <c r="B1707" t="s">
        <v>31</v>
      </c>
      <c r="C1707" t="s">
        <v>3598</v>
      </c>
      <c r="D1707" t="s">
        <v>26</v>
      </c>
      <c r="E1707" t="s">
        <v>19</v>
      </c>
      <c r="F1707" t="s">
        <v>34</v>
      </c>
      <c r="G1707" t="s">
        <v>359</v>
      </c>
      <c r="H1707" s="1">
        <v>45544.502083333333</v>
      </c>
      <c r="I1707" s="1">
        <v>45544.609027777777</v>
      </c>
      <c r="J1707">
        <v>68</v>
      </c>
      <c r="K1707">
        <v>154</v>
      </c>
      <c r="L1707">
        <v>1</v>
      </c>
      <c r="M1707" t="s">
        <v>22</v>
      </c>
      <c r="N1707">
        <v>2</v>
      </c>
      <c r="O1707">
        <v>196.1</v>
      </c>
    </row>
    <row r="1708" spans="1:15" x14ac:dyDescent="0.35">
      <c r="A1708" t="s">
        <v>3599</v>
      </c>
      <c r="B1708" t="s">
        <v>16</v>
      </c>
      <c r="C1708" t="s">
        <v>3600</v>
      </c>
      <c r="D1708" t="s">
        <v>56</v>
      </c>
      <c r="E1708" t="s">
        <v>19</v>
      </c>
      <c r="F1708" t="s">
        <v>34</v>
      </c>
      <c r="G1708" t="s">
        <v>293</v>
      </c>
      <c r="H1708" s="1">
        <v>45543.636805555558</v>
      </c>
      <c r="I1708" s="1">
        <v>45543.799305555556</v>
      </c>
      <c r="J1708">
        <v>152</v>
      </c>
      <c r="K1708">
        <v>234</v>
      </c>
      <c r="L1708">
        <v>1</v>
      </c>
      <c r="M1708" t="s">
        <v>22</v>
      </c>
      <c r="N1708">
        <v>9</v>
      </c>
      <c r="O1708">
        <v>98.66</v>
      </c>
    </row>
    <row r="1709" spans="1:15" x14ac:dyDescent="0.35">
      <c r="A1709" t="s">
        <v>3601</v>
      </c>
      <c r="B1709" t="s">
        <v>31</v>
      </c>
      <c r="C1709" t="s">
        <v>3602</v>
      </c>
      <c r="D1709" t="s">
        <v>26</v>
      </c>
      <c r="E1709" t="s">
        <v>33</v>
      </c>
      <c r="F1709" t="s">
        <v>27</v>
      </c>
      <c r="G1709" t="s">
        <v>817</v>
      </c>
      <c r="H1709" s="1">
        <v>45529.281944444447</v>
      </c>
      <c r="I1709" s="1">
        <v>45529.293749999997</v>
      </c>
      <c r="J1709">
        <v>17</v>
      </c>
      <c r="K1709">
        <v>17</v>
      </c>
      <c r="L1709">
        <v>0</v>
      </c>
      <c r="M1709" t="s">
        <v>29</v>
      </c>
      <c r="N1709">
        <v>3</v>
      </c>
      <c r="O1709">
        <v>129.81</v>
      </c>
    </row>
    <row r="1710" spans="1:15" x14ac:dyDescent="0.35">
      <c r="A1710" t="s">
        <v>3603</v>
      </c>
      <c r="B1710" t="s">
        <v>63</v>
      </c>
      <c r="C1710" t="s">
        <v>3604</v>
      </c>
      <c r="D1710" t="s">
        <v>44</v>
      </c>
      <c r="E1710" t="s">
        <v>33</v>
      </c>
      <c r="F1710" t="s">
        <v>27</v>
      </c>
      <c r="G1710" t="s">
        <v>68</v>
      </c>
      <c r="H1710" s="1">
        <v>45578.777777777781</v>
      </c>
      <c r="I1710" s="1">
        <v>45578.934027777781</v>
      </c>
      <c r="J1710">
        <v>139</v>
      </c>
      <c r="K1710">
        <v>225</v>
      </c>
      <c r="L1710">
        <v>1</v>
      </c>
      <c r="M1710" t="s">
        <v>22</v>
      </c>
      <c r="N1710">
        <v>5</v>
      </c>
      <c r="O1710">
        <v>148.91</v>
      </c>
    </row>
    <row r="1711" spans="1:15" x14ac:dyDescent="0.35">
      <c r="A1711" t="s">
        <v>3605</v>
      </c>
      <c r="B1711" t="s">
        <v>16</v>
      </c>
      <c r="C1711" t="s">
        <v>3606</v>
      </c>
      <c r="D1711" t="s">
        <v>18</v>
      </c>
      <c r="E1711" t="s">
        <v>33</v>
      </c>
      <c r="F1711" t="s">
        <v>39</v>
      </c>
      <c r="G1711" t="s">
        <v>222</v>
      </c>
      <c r="H1711" s="1">
        <v>45519.818055555559</v>
      </c>
      <c r="I1711" s="1">
        <v>45519.918055555558</v>
      </c>
      <c r="J1711">
        <v>68</v>
      </c>
      <c r="K1711">
        <v>144</v>
      </c>
      <c r="L1711">
        <v>1</v>
      </c>
      <c r="M1711" t="s">
        <v>41</v>
      </c>
      <c r="N1711">
        <v>10</v>
      </c>
      <c r="O1711">
        <v>160.35</v>
      </c>
    </row>
    <row r="1712" spans="1:15" x14ac:dyDescent="0.35">
      <c r="A1712" t="s">
        <v>3607</v>
      </c>
      <c r="B1712" t="s">
        <v>31</v>
      </c>
      <c r="C1712" t="s">
        <v>3608</v>
      </c>
      <c r="D1712" t="s">
        <v>26</v>
      </c>
      <c r="E1712" t="s">
        <v>85</v>
      </c>
      <c r="F1712" t="s">
        <v>27</v>
      </c>
      <c r="G1712" t="s">
        <v>88</v>
      </c>
      <c r="H1712" s="1">
        <v>45622.191666666666</v>
      </c>
      <c r="I1712" s="1">
        <v>45622.234722222223</v>
      </c>
      <c r="J1712">
        <v>39</v>
      </c>
      <c r="K1712">
        <v>62</v>
      </c>
      <c r="L1712">
        <v>1</v>
      </c>
      <c r="M1712" t="s">
        <v>41</v>
      </c>
      <c r="N1712">
        <v>2</v>
      </c>
      <c r="O1712">
        <v>332.05</v>
      </c>
    </row>
    <row r="1713" spans="1:15" x14ac:dyDescent="0.35">
      <c r="A1713" t="s">
        <v>3609</v>
      </c>
      <c r="B1713" t="s">
        <v>24</v>
      </c>
      <c r="C1713" t="s">
        <v>3610</v>
      </c>
      <c r="D1713" t="s">
        <v>56</v>
      </c>
      <c r="E1713" t="s">
        <v>33</v>
      </c>
      <c r="F1713" t="s">
        <v>20</v>
      </c>
      <c r="G1713" t="s">
        <v>485</v>
      </c>
      <c r="H1713" s="1">
        <v>45443.606249999997</v>
      </c>
      <c r="I1713" s="1">
        <v>45443.69027777778</v>
      </c>
      <c r="J1713">
        <v>113</v>
      </c>
      <c r="K1713">
        <v>121</v>
      </c>
      <c r="L1713">
        <v>1</v>
      </c>
      <c r="M1713" t="s">
        <v>41</v>
      </c>
      <c r="N1713">
        <v>9</v>
      </c>
      <c r="O1713">
        <v>80.19</v>
      </c>
    </row>
    <row r="1714" spans="1:15" x14ac:dyDescent="0.35">
      <c r="A1714" t="s">
        <v>3611</v>
      </c>
      <c r="B1714" t="s">
        <v>51</v>
      </c>
      <c r="C1714" t="s">
        <v>3612</v>
      </c>
      <c r="D1714" t="s">
        <v>56</v>
      </c>
      <c r="E1714" t="s">
        <v>85</v>
      </c>
      <c r="F1714" t="s">
        <v>57</v>
      </c>
      <c r="G1714" t="s">
        <v>123</v>
      </c>
      <c r="H1714" s="1">
        <v>45439.039583333331</v>
      </c>
      <c r="I1714" s="1">
        <v>45439.079861111109</v>
      </c>
      <c r="J1714">
        <v>48</v>
      </c>
      <c r="K1714">
        <v>58</v>
      </c>
      <c r="L1714">
        <v>1</v>
      </c>
      <c r="M1714" t="s">
        <v>22</v>
      </c>
      <c r="N1714">
        <v>9</v>
      </c>
      <c r="O1714">
        <v>317.62</v>
      </c>
    </row>
    <row r="1715" spans="1:15" x14ac:dyDescent="0.35">
      <c r="A1715" t="s">
        <v>3613</v>
      </c>
      <c r="B1715" t="s">
        <v>31</v>
      </c>
      <c r="C1715" t="s">
        <v>3614</v>
      </c>
      <c r="D1715" t="s">
        <v>44</v>
      </c>
      <c r="E1715" t="s">
        <v>33</v>
      </c>
      <c r="F1715" t="s">
        <v>34</v>
      </c>
      <c r="G1715" t="s">
        <v>1125</v>
      </c>
      <c r="H1715" s="1">
        <v>45292.111111111109</v>
      </c>
      <c r="I1715" s="1">
        <v>45292.224999999999</v>
      </c>
      <c r="J1715">
        <v>55</v>
      </c>
      <c r="K1715">
        <v>164</v>
      </c>
      <c r="L1715">
        <v>1</v>
      </c>
      <c r="M1715" t="s">
        <v>41</v>
      </c>
      <c r="N1715">
        <v>4</v>
      </c>
      <c r="O1715">
        <v>309.56</v>
      </c>
    </row>
    <row r="1716" spans="1:15" x14ac:dyDescent="0.35">
      <c r="A1716" t="s">
        <v>3615</v>
      </c>
      <c r="B1716" t="s">
        <v>24</v>
      </c>
      <c r="C1716" t="s">
        <v>3616</v>
      </c>
      <c r="D1716" t="s">
        <v>18</v>
      </c>
      <c r="E1716" t="s">
        <v>38</v>
      </c>
      <c r="F1716" t="s">
        <v>27</v>
      </c>
      <c r="G1716" t="s">
        <v>152</v>
      </c>
      <c r="H1716" s="1">
        <v>45488.794444444444</v>
      </c>
      <c r="I1716" s="1">
        <v>45488.864583333336</v>
      </c>
      <c r="J1716">
        <v>64</v>
      </c>
      <c r="K1716">
        <v>101</v>
      </c>
      <c r="L1716">
        <v>1</v>
      </c>
      <c r="M1716" t="s">
        <v>41</v>
      </c>
      <c r="N1716">
        <v>6</v>
      </c>
      <c r="O1716">
        <v>345.38</v>
      </c>
    </row>
    <row r="1717" spans="1:15" x14ac:dyDescent="0.35">
      <c r="A1717" t="s">
        <v>3617</v>
      </c>
      <c r="B1717" t="s">
        <v>16</v>
      </c>
      <c r="C1717" t="s">
        <v>3618</v>
      </c>
      <c r="D1717" t="s">
        <v>18</v>
      </c>
      <c r="E1717" t="s">
        <v>19</v>
      </c>
      <c r="F1717" t="s">
        <v>20</v>
      </c>
      <c r="G1717" t="s">
        <v>410</v>
      </c>
      <c r="H1717" s="1">
        <v>45550.574999999997</v>
      </c>
      <c r="I1717" s="1">
        <v>45550.684027777781</v>
      </c>
      <c r="J1717">
        <v>58</v>
      </c>
      <c r="K1717">
        <v>157</v>
      </c>
      <c r="L1717">
        <v>1</v>
      </c>
      <c r="M1717" t="s">
        <v>41</v>
      </c>
      <c r="N1717">
        <v>4</v>
      </c>
      <c r="O1717">
        <v>378.51</v>
      </c>
    </row>
    <row r="1718" spans="1:15" x14ac:dyDescent="0.35">
      <c r="A1718" t="s">
        <v>3619</v>
      </c>
      <c r="B1718" t="s">
        <v>51</v>
      </c>
      <c r="C1718" t="s">
        <v>3620</v>
      </c>
      <c r="D1718" t="s">
        <v>18</v>
      </c>
      <c r="E1718" t="s">
        <v>38</v>
      </c>
      <c r="F1718" t="s">
        <v>20</v>
      </c>
      <c r="G1718" t="s">
        <v>231</v>
      </c>
      <c r="H1718" s="1">
        <v>45531.06527777778</v>
      </c>
      <c r="I1718" s="1">
        <v>45531.211111111108</v>
      </c>
      <c r="J1718">
        <v>174</v>
      </c>
      <c r="K1718">
        <v>210</v>
      </c>
      <c r="L1718">
        <v>1</v>
      </c>
      <c r="M1718" t="s">
        <v>41</v>
      </c>
      <c r="N1718">
        <v>6</v>
      </c>
      <c r="O1718">
        <v>90.85</v>
      </c>
    </row>
    <row r="1719" spans="1:15" x14ac:dyDescent="0.35">
      <c r="A1719" t="s">
        <v>3621</v>
      </c>
      <c r="B1719" t="s">
        <v>31</v>
      </c>
      <c r="C1719" t="s">
        <v>3622</v>
      </c>
      <c r="D1719" t="s">
        <v>26</v>
      </c>
      <c r="E1719" t="s">
        <v>19</v>
      </c>
      <c r="F1719" t="s">
        <v>27</v>
      </c>
      <c r="G1719" t="s">
        <v>94</v>
      </c>
      <c r="H1719" s="1">
        <v>45472.259027777778</v>
      </c>
      <c r="I1719" s="1">
        <v>45472.383333333331</v>
      </c>
      <c r="J1719">
        <v>72</v>
      </c>
      <c r="K1719">
        <v>179</v>
      </c>
      <c r="L1719">
        <v>1</v>
      </c>
      <c r="M1719" t="s">
        <v>29</v>
      </c>
      <c r="N1719">
        <v>8</v>
      </c>
      <c r="O1719">
        <v>244.06</v>
      </c>
    </row>
    <row r="1720" spans="1:15" x14ac:dyDescent="0.35">
      <c r="A1720" t="s">
        <v>3623</v>
      </c>
      <c r="B1720" t="s">
        <v>16</v>
      </c>
      <c r="C1720" t="s">
        <v>3624</v>
      </c>
      <c r="D1720" t="s">
        <v>18</v>
      </c>
      <c r="E1720" t="s">
        <v>33</v>
      </c>
      <c r="F1720" t="s">
        <v>57</v>
      </c>
      <c r="G1720" t="s">
        <v>155</v>
      </c>
      <c r="H1720" s="1">
        <v>45507.924305555556</v>
      </c>
      <c r="I1720" s="1">
        <v>45508.080555555556</v>
      </c>
      <c r="J1720">
        <v>129</v>
      </c>
      <c r="K1720">
        <v>225</v>
      </c>
      <c r="L1720">
        <v>1</v>
      </c>
      <c r="M1720" t="s">
        <v>22</v>
      </c>
      <c r="N1720">
        <v>3</v>
      </c>
      <c r="O1720">
        <v>413.71</v>
      </c>
    </row>
    <row r="1721" spans="1:15" x14ac:dyDescent="0.35">
      <c r="A1721" t="s">
        <v>3625</v>
      </c>
      <c r="B1721" t="s">
        <v>16</v>
      </c>
      <c r="C1721" t="s">
        <v>3626</v>
      </c>
      <c r="D1721" t="s">
        <v>44</v>
      </c>
      <c r="E1721" t="s">
        <v>19</v>
      </c>
      <c r="F1721" t="s">
        <v>57</v>
      </c>
      <c r="G1721" t="s">
        <v>473</v>
      </c>
      <c r="H1721" s="1">
        <v>45491.668055555558</v>
      </c>
      <c r="I1721" s="1">
        <v>45491.870138888888</v>
      </c>
      <c r="J1721">
        <v>191</v>
      </c>
      <c r="K1721">
        <v>291</v>
      </c>
      <c r="L1721">
        <v>1</v>
      </c>
      <c r="M1721" t="s">
        <v>29</v>
      </c>
      <c r="N1721">
        <v>7</v>
      </c>
      <c r="O1721">
        <v>437.16</v>
      </c>
    </row>
    <row r="1722" spans="1:15" x14ac:dyDescent="0.35">
      <c r="A1722" t="s">
        <v>3627</v>
      </c>
      <c r="B1722" t="s">
        <v>31</v>
      </c>
      <c r="C1722" t="s">
        <v>3628</v>
      </c>
      <c r="D1722" t="s">
        <v>44</v>
      </c>
      <c r="E1722" t="s">
        <v>38</v>
      </c>
      <c r="F1722" t="s">
        <v>27</v>
      </c>
      <c r="G1722" t="s">
        <v>123</v>
      </c>
      <c r="H1722" s="1">
        <v>45586.632638888892</v>
      </c>
      <c r="I1722" s="1">
        <v>45586.714583333334</v>
      </c>
      <c r="J1722">
        <v>89</v>
      </c>
      <c r="K1722">
        <v>118</v>
      </c>
      <c r="L1722">
        <v>1</v>
      </c>
      <c r="M1722" t="s">
        <v>29</v>
      </c>
      <c r="N1722">
        <v>5</v>
      </c>
      <c r="O1722">
        <v>470.19</v>
      </c>
    </row>
    <row r="1723" spans="1:15" x14ac:dyDescent="0.35">
      <c r="A1723" t="s">
        <v>3629</v>
      </c>
      <c r="B1723" t="s">
        <v>16</v>
      </c>
      <c r="C1723" t="s">
        <v>3630</v>
      </c>
      <c r="D1723" t="s">
        <v>56</v>
      </c>
      <c r="E1723" t="s">
        <v>38</v>
      </c>
      <c r="F1723" t="s">
        <v>34</v>
      </c>
      <c r="G1723" t="s">
        <v>470</v>
      </c>
      <c r="H1723" s="1">
        <v>45328.113888888889</v>
      </c>
      <c r="I1723" s="1">
        <v>45328.227083333331</v>
      </c>
      <c r="J1723">
        <v>54</v>
      </c>
      <c r="K1723">
        <v>163</v>
      </c>
      <c r="L1723">
        <v>1</v>
      </c>
      <c r="M1723" t="s">
        <v>29</v>
      </c>
      <c r="N1723">
        <v>1</v>
      </c>
      <c r="O1723">
        <v>150.21</v>
      </c>
    </row>
    <row r="1724" spans="1:15" x14ac:dyDescent="0.35">
      <c r="A1724" t="s">
        <v>3631</v>
      </c>
      <c r="B1724" t="s">
        <v>63</v>
      </c>
      <c r="C1724" t="s">
        <v>3632</v>
      </c>
      <c r="D1724" t="s">
        <v>56</v>
      </c>
      <c r="E1724" t="s">
        <v>19</v>
      </c>
      <c r="F1724" t="s">
        <v>34</v>
      </c>
      <c r="G1724" t="s">
        <v>61</v>
      </c>
      <c r="H1724" s="1">
        <v>45432.879861111112</v>
      </c>
      <c r="I1724" s="1">
        <v>45433.037499999999</v>
      </c>
      <c r="J1724">
        <v>205</v>
      </c>
      <c r="K1724">
        <v>227</v>
      </c>
      <c r="L1724">
        <v>1</v>
      </c>
      <c r="M1724" t="s">
        <v>29</v>
      </c>
      <c r="N1724">
        <v>9</v>
      </c>
      <c r="O1724">
        <v>62.06</v>
      </c>
    </row>
    <row r="1725" spans="1:15" x14ac:dyDescent="0.35">
      <c r="A1725" t="s">
        <v>3633</v>
      </c>
      <c r="B1725" t="s">
        <v>31</v>
      </c>
      <c r="C1725" t="s">
        <v>3634</v>
      </c>
      <c r="D1725" t="s">
        <v>48</v>
      </c>
      <c r="E1725" t="s">
        <v>33</v>
      </c>
      <c r="F1725" t="s">
        <v>39</v>
      </c>
      <c r="G1725" t="s">
        <v>817</v>
      </c>
      <c r="H1725" s="1">
        <v>45514.82708333333</v>
      </c>
      <c r="I1725" s="1">
        <v>45514.908333333333</v>
      </c>
      <c r="J1725">
        <v>77</v>
      </c>
      <c r="K1725">
        <v>117</v>
      </c>
      <c r="L1725">
        <v>1</v>
      </c>
      <c r="M1725" t="s">
        <v>29</v>
      </c>
      <c r="N1725">
        <v>5</v>
      </c>
      <c r="O1725">
        <v>212.11</v>
      </c>
    </row>
    <row r="1726" spans="1:15" x14ac:dyDescent="0.35">
      <c r="A1726" t="s">
        <v>3635</v>
      </c>
      <c r="B1726" t="s">
        <v>63</v>
      </c>
      <c r="C1726" t="s">
        <v>3636</v>
      </c>
      <c r="D1726" t="s">
        <v>26</v>
      </c>
      <c r="E1726" t="s">
        <v>19</v>
      </c>
      <c r="F1726" t="s">
        <v>34</v>
      </c>
      <c r="G1726" t="s">
        <v>120</v>
      </c>
      <c r="H1726" s="1">
        <v>45593.197916666664</v>
      </c>
      <c r="I1726" s="1">
        <v>45593.415972222225</v>
      </c>
      <c r="J1726">
        <v>209</v>
      </c>
      <c r="K1726">
        <v>314</v>
      </c>
      <c r="L1726">
        <v>1</v>
      </c>
      <c r="M1726" t="s">
        <v>41</v>
      </c>
      <c r="N1726">
        <v>5</v>
      </c>
      <c r="O1726">
        <v>66.760000000000005</v>
      </c>
    </row>
    <row r="1727" spans="1:15" x14ac:dyDescent="0.35">
      <c r="A1727" t="s">
        <v>3637</v>
      </c>
      <c r="B1727" t="s">
        <v>63</v>
      </c>
      <c r="C1727" t="s">
        <v>3638</v>
      </c>
      <c r="D1727" t="s">
        <v>18</v>
      </c>
      <c r="E1727" t="s">
        <v>33</v>
      </c>
      <c r="F1727" t="s">
        <v>34</v>
      </c>
      <c r="G1727" t="s">
        <v>170</v>
      </c>
      <c r="H1727" s="1">
        <v>45374.965277777781</v>
      </c>
      <c r="I1727" s="1">
        <v>45375.054861111108</v>
      </c>
      <c r="J1727">
        <v>118</v>
      </c>
      <c r="K1727">
        <v>129</v>
      </c>
      <c r="L1727">
        <v>1</v>
      </c>
      <c r="M1727" t="s">
        <v>22</v>
      </c>
      <c r="N1727">
        <v>8</v>
      </c>
      <c r="O1727">
        <v>387.55</v>
      </c>
    </row>
    <row r="1728" spans="1:15" x14ac:dyDescent="0.35">
      <c r="A1728" t="s">
        <v>3639</v>
      </c>
      <c r="B1728" t="s">
        <v>63</v>
      </c>
      <c r="C1728" t="s">
        <v>3640</v>
      </c>
      <c r="D1728" t="s">
        <v>18</v>
      </c>
      <c r="E1728" t="s">
        <v>38</v>
      </c>
      <c r="F1728" t="s">
        <v>57</v>
      </c>
      <c r="G1728" t="s">
        <v>526</v>
      </c>
      <c r="H1728" s="1">
        <v>45494.770138888889</v>
      </c>
      <c r="I1728" s="1">
        <v>45494.855555555558</v>
      </c>
      <c r="J1728">
        <v>82</v>
      </c>
      <c r="K1728">
        <v>123</v>
      </c>
      <c r="L1728">
        <v>1</v>
      </c>
      <c r="M1728" t="s">
        <v>41</v>
      </c>
      <c r="N1728">
        <v>5</v>
      </c>
      <c r="O1728">
        <v>212.24</v>
      </c>
    </row>
    <row r="1729" spans="1:15" x14ac:dyDescent="0.35">
      <c r="A1729" t="s">
        <v>3641</v>
      </c>
      <c r="B1729" t="s">
        <v>24</v>
      </c>
      <c r="C1729" t="s">
        <v>3642</v>
      </c>
      <c r="D1729" t="s">
        <v>26</v>
      </c>
      <c r="E1729" t="s">
        <v>33</v>
      </c>
      <c r="F1729" t="s">
        <v>27</v>
      </c>
      <c r="G1729" t="s">
        <v>691</v>
      </c>
      <c r="H1729" s="1">
        <v>45520.29791666667</v>
      </c>
      <c r="I1729" s="1">
        <v>45520.413888888892</v>
      </c>
      <c r="J1729">
        <v>62</v>
      </c>
      <c r="K1729">
        <v>167</v>
      </c>
      <c r="L1729">
        <v>1</v>
      </c>
      <c r="M1729" t="s">
        <v>22</v>
      </c>
      <c r="N1729">
        <v>2</v>
      </c>
      <c r="O1729">
        <v>440.75</v>
      </c>
    </row>
    <row r="1730" spans="1:15" x14ac:dyDescent="0.35">
      <c r="A1730" t="s">
        <v>3643</v>
      </c>
      <c r="B1730" t="s">
        <v>51</v>
      </c>
      <c r="C1730" t="s">
        <v>3644</v>
      </c>
      <c r="D1730" t="s">
        <v>48</v>
      </c>
      <c r="E1730" t="s">
        <v>85</v>
      </c>
      <c r="F1730" t="s">
        <v>39</v>
      </c>
      <c r="G1730" t="s">
        <v>170</v>
      </c>
      <c r="H1730" s="1">
        <v>45399.740972222222</v>
      </c>
      <c r="I1730" s="1">
        <v>45399.924305555556</v>
      </c>
      <c r="J1730">
        <v>229</v>
      </c>
      <c r="K1730">
        <v>264</v>
      </c>
      <c r="L1730">
        <v>1</v>
      </c>
      <c r="M1730" t="s">
        <v>29</v>
      </c>
      <c r="N1730">
        <v>3</v>
      </c>
      <c r="O1730">
        <v>104.51</v>
      </c>
    </row>
    <row r="1731" spans="1:15" x14ac:dyDescent="0.35">
      <c r="A1731" t="s">
        <v>3645</v>
      </c>
      <c r="B1731" t="s">
        <v>16</v>
      </c>
      <c r="C1731" t="s">
        <v>3646</v>
      </c>
      <c r="D1731" t="s">
        <v>56</v>
      </c>
      <c r="E1731" t="s">
        <v>38</v>
      </c>
      <c r="F1731" t="s">
        <v>39</v>
      </c>
      <c r="G1731" t="s">
        <v>188</v>
      </c>
      <c r="H1731" s="1">
        <v>45518.020833333336</v>
      </c>
      <c r="I1731" s="1">
        <v>45518.168055555558</v>
      </c>
      <c r="J1731">
        <v>105</v>
      </c>
      <c r="K1731">
        <v>212</v>
      </c>
      <c r="L1731">
        <v>1</v>
      </c>
      <c r="M1731" t="s">
        <v>29</v>
      </c>
      <c r="N1731">
        <v>4</v>
      </c>
      <c r="O1731">
        <v>228.52</v>
      </c>
    </row>
    <row r="1732" spans="1:15" x14ac:dyDescent="0.35">
      <c r="A1732" t="s">
        <v>3647</v>
      </c>
      <c r="B1732" t="s">
        <v>31</v>
      </c>
      <c r="C1732" t="s">
        <v>3648</v>
      </c>
      <c r="D1732" t="s">
        <v>44</v>
      </c>
      <c r="E1732" t="s">
        <v>33</v>
      </c>
      <c r="F1732" t="s">
        <v>39</v>
      </c>
      <c r="G1732" t="s">
        <v>222</v>
      </c>
      <c r="H1732" s="1">
        <v>45572.5</v>
      </c>
      <c r="I1732" s="1">
        <v>45572.554166666669</v>
      </c>
      <c r="J1732">
        <v>57</v>
      </c>
      <c r="K1732">
        <v>78</v>
      </c>
      <c r="L1732">
        <v>1</v>
      </c>
      <c r="M1732" t="s">
        <v>22</v>
      </c>
      <c r="N1732">
        <v>10</v>
      </c>
      <c r="O1732">
        <v>253.08</v>
      </c>
    </row>
    <row r="1733" spans="1:15" x14ac:dyDescent="0.35">
      <c r="A1733" t="s">
        <v>3649</v>
      </c>
      <c r="B1733" t="s">
        <v>51</v>
      </c>
      <c r="C1733" t="s">
        <v>3650</v>
      </c>
      <c r="D1733" t="s">
        <v>48</v>
      </c>
      <c r="E1733" t="s">
        <v>33</v>
      </c>
      <c r="F1733" t="s">
        <v>20</v>
      </c>
      <c r="G1733" t="s">
        <v>916</v>
      </c>
      <c r="H1733" s="1">
        <v>45393.572916666664</v>
      </c>
      <c r="I1733" s="1">
        <v>45393.728472222225</v>
      </c>
      <c r="J1733">
        <v>151</v>
      </c>
      <c r="K1733">
        <v>224</v>
      </c>
      <c r="L1733">
        <v>1</v>
      </c>
      <c r="M1733" t="s">
        <v>22</v>
      </c>
      <c r="N1733">
        <v>4</v>
      </c>
      <c r="O1733">
        <v>492.13</v>
      </c>
    </row>
    <row r="1734" spans="1:15" x14ac:dyDescent="0.35">
      <c r="A1734" t="s">
        <v>3651</v>
      </c>
      <c r="B1734" t="s">
        <v>16</v>
      </c>
      <c r="C1734" t="s">
        <v>3652</v>
      </c>
      <c r="D1734" t="s">
        <v>26</v>
      </c>
      <c r="E1734" t="s">
        <v>33</v>
      </c>
      <c r="F1734" t="s">
        <v>39</v>
      </c>
      <c r="G1734" t="s">
        <v>155</v>
      </c>
      <c r="H1734" s="1">
        <v>45434.402083333334</v>
      </c>
      <c r="I1734" s="1">
        <v>45434.645833333336</v>
      </c>
      <c r="J1734">
        <v>238</v>
      </c>
      <c r="K1734">
        <v>351</v>
      </c>
      <c r="L1734">
        <v>1</v>
      </c>
      <c r="M1734" t="s">
        <v>29</v>
      </c>
      <c r="N1734">
        <v>4</v>
      </c>
      <c r="O1734">
        <v>118.73</v>
      </c>
    </row>
    <row r="1735" spans="1:15" x14ac:dyDescent="0.35">
      <c r="A1735" t="s">
        <v>3653</v>
      </c>
      <c r="B1735" t="s">
        <v>24</v>
      </c>
      <c r="C1735" t="s">
        <v>3654</v>
      </c>
      <c r="D1735" t="s">
        <v>44</v>
      </c>
      <c r="E1735" t="s">
        <v>38</v>
      </c>
      <c r="F1735" t="s">
        <v>20</v>
      </c>
      <c r="G1735" t="s">
        <v>207</v>
      </c>
      <c r="H1735" s="1">
        <v>45531.960416666669</v>
      </c>
      <c r="I1735" s="1">
        <v>45532.029166666667</v>
      </c>
      <c r="J1735">
        <v>17</v>
      </c>
      <c r="K1735">
        <v>99</v>
      </c>
      <c r="L1735">
        <v>1</v>
      </c>
      <c r="M1735" t="s">
        <v>41</v>
      </c>
      <c r="N1735">
        <v>10</v>
      </c>
      <c r="O1735">
        <v>90.55</v>
      </c>
    </row>
    <row r="1736" spans="1:15" x14ac:dyDescent="0.35">
      <c r="A1736" t="s">
        <v>3655</v>
      </c>
      <c r="B1736" t="s">
        <v>51</v>
      </c>
      <c r="C1736" t="s">
        <v>3656</v>
      </c>
      <c r="D1736" t="s">
        <v>18</v>
      </c>
      <c r="E1736" t="s">
        <v>33</v>
      </c>
      <c r="F1736" t="s">
        <v>34</v>
      </c>
      <c r="G1736" t="s">
        <v>268</v>
      </c>
      <c r="H1736" s="1">
        <v>45515.393750000003</v>
      </c>
      <c r="I1736" s="1">
        <v>45515.561805555553</v>
      </c>
      <c r="J1736">
        <v>163</v>
      </c>
      <c r="K1736">
        <v>242</v>
      </c>
      <c r="L1736">
        <v>1</v>
      </c>
      <c r="M1736" t="s">
        <v>41</v>
      </c>
      <c r="N1736">
        <v>8</v>
      </c>
      <c r="O1736">
        <v>374.27</v>
      </c>
    </row>
    <row r="1737" spans="1:15" x14ac:dyDescent="0.35">
      <c r="A1737" t="s">
        <v>3657</v>
      </c>
      <c r="B1737" t="s">
        <v>63</v>
      </c>
      <c r="C1737" t="s">
        <v>3658</v>
      </c>
      <c r="D1737" t="s">
        <v>18</v>
      </c>
      <c r="E1737" t="s">
        <v>19</v>
      </c>
      <c r="F1737" t="s">
        <v>57</v>
      </c>
      <c r="G1737" t="s">
        <v>777</v>
      </c>
      <c r="H1737" s="1">
        <v>45339.134027777778</v>
      </c>
      <c r="I1737" s="1">
        <v>45339.302777777775</v>
      </c>
      <c r="J1737">
        <v>210</v>
      </c>
      <c r="K1737">
        <v>243</v>
      </c>
      <c r="L1737">
        <v>1</v>
      </c>
      <c r="M1737" t="s">
        <v>41</v>
      </c>
      <c r="N1737">
        <v>5</v>
      </c>
      <c r="O1737">
        <v>399.54</v>
      </c>
    </row>
    <row r="1738" spans="1:15" x14ac:dyDescent="0.35">
      <c r="A1738" t="s">
        <v>3659</v>
      </c>
      <c r="B1738" t="s">
        <v>31</v>
      </c>
      <c r="C1738" t="s">
        <v>3660</v>
      </c>
      <c r="D1738" t="s">
        <v>44</v>
      </c>
      <c r="E1738" t="s">
        <v>19</v>
      </c>
      <c r="F1738" t="s">
        <v>39</v>
      </c>
      <c r="G1738" t="s">
        <v>470</v>
      </c>
      <c r="H1738" s="1">
        <v>45617.738194444442</v>
      </c>
      <c r="I1738" s="1">
        <v>45617.907638888886</v>
      </c>
      <c r="J1738">
        <v>206</v>
      </c>
      <c r="K1738">
        <v>244</v>
      </c>
      <c r="L1738">
        <v>1</v>
      </c>
      <c r="M1738" t="s">
        <v>29</v>
      </c>
      <c r="N1738">
        <v>8</v>
      </c>
      <c r="O1738">
        <v>398.92</v>
      </c>
    </row>
    <row r="1739" spans="1:15" x14ac:dyDescent="0.35">
      <c r="A1739" t="s">
        <v>3661</v>
      </c>
      <c r="B1739" t="s">
        <v>16</v>
      </c>
      <c r="C1739" t="s">
        <v>3662</v>
      </c>
      <c r="D1739" t="s">
        <v>26</v>
      </c>
      <c r="E1739" t="s">
        <v>19</v>
      </c>
      <c r="F1739" t="s">
        <v>57</v>
      </c>
      <c r="G1739" t="s">
        <v>126</v>
      </c>
      <c r="H1739" s="1">
        <v>45437.045138888891</v>
      </c>
      <c r="I1739" s="1">
        <v>45437.245138888888</v>
      </c>
      <c r="J1739">
        <v>203</v>
      </c>
      <c r="K1739">
        <v>288</v>
      </c>
      <c r="L1739">
        <v>1</v>
      </c>
      <c r="M1739" t="s">
        <v>22</v>
      </c>
      <c r="N1739">
        <v>9</v>
      </c>
      <c r="O1739">
        <v>131.01</v>
      </c>
    </row>
    <row r="1740" spans="1:15" x14ac:dyDescent="0.35">
      <c r="A1740" t="s">
        <v>3663</v>
      </c>
      <c r="B1740" t="s">
        <v>63</v>
      </c>
      <c r="C1740" t="s">
        <v>3664</v>
      </c>
      <c r="D1740" t="s">
        <v>44</v>
      </c>
      <c r="E1740" t="s">
        <v>38</v>
      </c>
      <c r="F1740" t="s">
        <v>57</v>
      </c>
      <c r="G1740" t="s">
        <v>321</v>
      </c>
      <c r="H1740" s="1">
        <v>45427.814583333333</v>
      </c>
      <c r="I1740" s="1">
        <v>45427.984027777777</v>
      </c>
      <c r="J1740">
        <v>147</v>
      </c>
      <c r="K1740">
        <v>244</v>
      </c>
      <c r="L1740">
        <v>1</v>
      </c>
      <c r="M1740" t="s">
        <v>22</v>
      </c>
      <c r="N1740">
        <v>9</v>
      </c>
      <c r="O1740">
        <v>79.739999999999995</v>
      </c>
    </row>
    <row r="1741" spans="1:15" x14ac:dyDescent="0.35">
      <c r="A1741" t="s">
        <v>3665</v>
      </c>
      <c r="B1741" t="s">
        <v>51</v>
      </c>
      <c r="C1741" t="s">
        <v>3666</v>
      </c>
      <c r="D1741" t="s">
        <v>48</v>
      </c>
      <c r="E1741" t="s">
        <v>85</v>
      </c>
      <c r="F1741" t="s">
        <v>39</v>
      </c>
      <c r="G1741" t="s">
        <v>288</v>
      </c>
      <c r="H1741" s="1">
        <v>45487.138194444444</v>
      </c>
      <c r="I1741" s="1">
        <v>45487.23333333333</v>
      </c>
      <c r="J1741">
        <v>136</v>
      </c>
      <c r="K1741">
        <v>137</v>
      </c>
      <c r="L1741">
        <v>1</v>
      </c>
      <c r="M1741" t="s">
        <v>29</v>
      </c>
      <c r="N1741">
        <v>6</v>
      </c>
      <c r="O1741">
        <v>406.32</v>
      </c>
    </row>
    <row r="1742" spans="1:15" x14ac:dyDescent="0.35">
      <c r="A1742" t="s">
        <v>3667</v>
      </c>
      <c r="B1742" t="s">
        <v>16</v>
      </c>
      <c r="C1742" t="s">
        <v>3668</v>
      </c>
      <c r="D1742" t="s">
        <v>26</v>
      </c>
      <c r="E1742" t="s">
        <v>33</v>
      </c>
      <c r="F1742" t="s">
        <v>39</v>
      </c>
      <c r="G1742" t="s">
        <v>149</v>
      </c>
      <c r="H1742" s="1">
        <v>45349.488194444442</v>
      </c>
      <c r="I1742" s="1">
        <v>45349.72152777778</v>
      </c>
      <c r="J1742">
        <v>240</v>
      </c>
      <c r="K1742">
        <v>336</v>
      </c>
      <c r="L1742">
        <v>1</v>
      </c>
      <c r="M1742" t="s">
        <v>29</v>
      </c>
      <c r="N1742">
        <v>5</v>
      </c>
      <c r="O1742">
        <v>207.81</v>
      </c>
    </row>
    <row r="1743" spans="1:15" x14ac:dyDescent="0.35">
      <c r="A1743" t="s">
        <v>3669</v>
      </c>
      <c r="B1743" t="s">
        <v>51</v>
      </c>
      <c r="C1743" t="s">
        <v>3670</v>
      </c>
      <c r="D1743" t="s">
        <v>18</v>
      </c>
      <c r="E1743" t="s">
        <v>19</v>
      </c>
      <c r="F1743" t="s">
        <v>34</v>
      </c>
      <c r="G1743" t="s">
        <v>222</v>
      </c>
      <c r="H1743" s="1">
        <v>45403.549305555556</v>
      </c>
      <c r="I1743" s="1">
        <v>45403.645138888889</v>
      </c>
      <c r="J1743">
        <v>90</v>
      </c>
      <c r="K1743">
        <v>138</v>
      </c>
      <c r="L1743">
        <v>1</v>
      </c>
      <c r="M1743" t="s">
        <v>29</v>
      </c>
      <c r="N1743">
        <v>1</v>
      </c>
      <c r="O1743">
        <v>363.77</v>
      </c>
    </row>
    <row r="1744" spans="1:15" x14ac:dyDescent="0.35">
      <c r="A1744" t="s">
        <v>3671</v>
      </c>
      <c r="B1744" t="s">
        <v>31</v>
      </c>
      <c r="C1744" t="s">
        <v>3672</v>
      </c>
      <c r="D1744" t="s">
        <v>44</v>
      </c>
      <c r="E1744" t="s">
        <v>19</v>
      </c>
      <c r="F1744" t="s">
        <v>27</v>
      </c>
      <c r="G1744" t="s">
        <v>473</v>
      </c>
      <c r="H1744" s="1">
        <v>45512.761805555558</v>
      </c>
      <c r="I1744" s="1">
        <v>45512.843055555553</v>
      </c>
      <c r="J1744">
        <v>16</v>
      </c>
      <c r="K1744">
        <v>117</v>
      </c>
      <c r="L1744">
        <v>1</v>
      </c>
      <c r="M1744" t="s">
        <v>29</v>
      </c>
      <c r="N1744">
        <v>6</v>
      </c>
      <c r="O1744">
        <v>268.47000000000003</v>
      </c>
    </row>
    <row r="1745" spans="1:15" x14ac:dyDescent="0.35">
      <c r="A1745" t="s">
        <v>3673</v>
      </c>
      <c r="B1745" t="s">
        <v>24</v>
      </c>
      <c r="C1745" t="s">
        <v>3674</v>
      </c>
      <c r="D1745" t="s">
        <v>44</v>
      </c>
      <c r="E1745" t="s">
        <v>85</v>
      </c>
      <c r="F1745" t="s">
        <v>57</v>
      </c>
      <c r="G1745" t="s">
        <v>476</v>
      </c>
      <c r="H1745" s="1">
        <v>45354.932638888888</v>
      </c>
      <c r="I1745" s="1">
        <v>45355.113194444442</v>
      </c>
      <c r="J1745">
        <v>195</v>
      </c>
      <c r="K1745">
        <v>260</v>
      </c>
      <c r="L1745">
        <v>1</v>
      </c>
      <c r="M1745" t="s">
        <v>29</v>
      </c>
      <c r="N1745">
        <v>4</v>
      </c>
      <c r="O1745">
        <v>201.17</v>
      </c>
    </row>
    <row r="1746" spans="1:15" x14ac:dyDescent="0.35">
      <c r="A1746" t="s">
        <v>3675</v>
      </c>
      <c r="B1746" t="s">
        <v>63</v>
      </c>
      <c r="C1746" t="s">
        <v>3676</v>
      </c>
      <c r="D1746" t="s">
        <v>18</v>
      </c>
      <c r="E1746" t="s">
        <v>33</v>
      </c>
      <c r="F1746" t="s">
        <v>27</v>
      </c>
      <c r="G1746" t="s">
        <v>49</v>
      </c>
      <c r="H1746" s="1">
        <v>45295.649305555555</v>
      </c>
      <c r="I1746" s="1">
        <v>45295.715277777781</v>
      </c>
      <c r="J1746">
        <v>47</v>
      </c>
      <c r="K1746">
        <v>95</v>
      </c>
      <c r="L1746">
        <v>1</v>
      </c>
      <c r="M1746" t="s">
        <v>29</v>
      </c>
      <c r="N1746">
        <v>5</v>
      </c>
      <c r="O1746">
        <v>367.56</v>
      </c>
    </row>
    <row r="1747" spans="1:15" x14ac:dyDescent="0.35">
      <c r="A1747" t="s">
        <v>3677</v>
      </c>
      <c r="B1747" t="s">
        <v>24</v>
      </c>
      <c r="C1747" t="s">
        <v>3678</v>
      </c>
      <c r="D1747" t="s">
        <v>48</v>
      </c>
      <c r="E1747" t="s">
        <v>85</v>
      </c>
      <c r="F1747" t="s">
        <v>27</v>
      </c>
      <c r="G1747" t="s">
        <v>397</v>
      </c>
      <c r="H1747" s="1">
        <v>45359.484027777777</v>
      </c>
      <c r="I1747" s="1">
        <v>45359.59375</v>
      </c>
      <c r="J1747">
        <v>80</v>
      </c>
      <c r="K1747">
        <v>158</v>
      </c>
      <c r="L1747">
        <v>1</v>
      </c>
      <c r="M1747" t="s">
        <v>41</v>
      </c>
      <c r="N1747">
        <v>2</v>
      </c>
      <c r="O1747">
        <v>433.93</v>
      </c>
    </row>
    <row r="1748" spans="1:15" x14ac:dyDescent="0.35">
      <c r="A1748" t="s">
        <v>3679</v>
      </c>
      <c r="B1748" t="s">
        <v>16</v>
      </c>
      <c r="C1748" t="s">
        <v>3680</v>
      </c>
      <c r="D1748" t="s">
        <v>26</v>
      </c>
      <c r="E1748" t="s">
        <v>19</v>
      </c>
      <c r="F1748" t="s">
        <v>27</v>
      </c>
      <c r="G1748" t="s">
        <v>293</v>
      </c>
      <c r="H1748" s="1">
        <v>45428.890972222223</v>
      </c>
      <c r="I1748" s="1">
        <v>45429.018750000003</v>
      </c>
      <c r="J1748">
        <v>84</v>
      </c>
      <c r="K1748">
        <v>184</v>
      </c>
      <c r="L1748">
        <v>1</v>
      </c>
      <c r="M1748" t="s">
        <v>41</v>
      </c>
      <c r="N1748">
        <v>10</v>
      </c>
      <c r="O1748">
        <v>414.42</v>
      </c>
    </row>
    <row r="1749" spans="1:15" x14ac:dyDescent="0.35">
      <c r="A1749" t="s">
        <v>3681</v>
      </c>
      <c r="B1749" t="s">
        <v>31</v>
      </c>
      <c r="C1749" t="s">
        <v>3682</v>
      </c>
      <c r="D1749" t="s">
        <v>18</v>
      </c>
      <c r="E1749" t="s">
        <v>19</v>
      </c>
      <c r="F1749" t="s">
        <v>27</v>
      </c>
      <c r="G1749" t="s">
        <v>359</v>
      </c>
      <c r="H1749" s="1">
        <v>45413.323611111111</v>
      </c>
      <c r="I1749" s="1">
        <v>45413.488888888889</v>
      </c>
      <c r="J1749">
        <v>136</v>
      </c>
      <c r="K1749">
        <v>238</v>
      </c>
      <c r="L1749">
        <v>1</v>
      </c>
      <c r="M1749" t="s">
        <v>29</v>
      </c>
      <c r="N1749">
        <v>7</v>
      </c>
      <c r="O1749">
        <v>455.17</v>
      </c>
    </row>
    <row r="1750" spans="1:15" x14ac:dyDescent="0.35">
      <c r="A1750" t="s">
        <v>3683</v>
      </c>
      <c r="B1750" t="s">
        <v>63</v>
      </c>
      <c r="C1750" t="s">
        <v>3684</v>
      </c>
      <c r="D1750" t="s">
        <v>44</v>
      </c>
      <c r="E1750" t="s">
        <v>38</v>
      </c>
      <c r="F1750" t="s">
        <v>27</v>
      </c>
      <c r="G1750" t="s">
        <v>749</v>
      </c>
      <c r="H1750" s="1">
        <v>45318.313888888886</v>
      </c>
      <c r="I1750" s="1">
        <v>45318.534722222219</v>
      </c>
      <c r="J1750">
        <v>211</v>
      </c>
      <c r="K1750">
        <v>318</v>
      </c>
      <c r="L1750">
        <v>1</v>
      </c>
      <c r="M1750" t="s">
        <v>22</v>
      </c>
      <c r="N1750">
        <v>3</v>
      </c>
      <c r="O1750">
        <v>214.89</v>
      </c>
    </row>
    <row r="1751" spans="1:15" x14ac:dyDescent="0.35">
      <c r="A1751" t="s">
        <v>3685</v>
      </c>
      <c r="B1751" t="s">
        <v>24</v>
      </c>
      <c r="C1751" t="s">
        <v>3686</v>
      </c>
      <c r="D1751" t="s">
        <v>48</v>
      </c>
      <c r="E1751" t="s">
        <v>19</v>
      </c>
      <c r="F1751" t="s">
        <v>20</v>
      </c>
      <c r="G1751" t="s">
        <v>459</v>
      </c>
      <c r="H1751" s="1">
        <v>45386.052777777775</v>
      </c>
      <c r="I1751" s="1">
        <v>45386.205555555556</v>
      </c>
      <c r="J1751">
        <v>121</v>
      </c>
      <c r="K1751">
        <v>220</v>
      </c>
      <c r="L1751">
        <v>1</v>
      </c>
      <c r="M1751" t="s">
        <v>29</v>
      </c>
      <c r="N1751">
        <v>10</v>
      </c>
      <c r="O1751">
        <v>247.79</v>
      </c>
    </row>
    <row r="1752" spans="1:15" x14ac:dyDescent="0.35">
      <c r="A1752" t="s">
        <v>3687</v>
      </c>
      <c r="B1752" t="s">
        <v>31</v>
      </c>
      <c r="C1752" t="s">
        <v>3688</v>
      </c>
      <c r="D1752" t="s">
        <v>26</v>
      </c>
      <c r="E1752" t="s">
        <v>85</v>
      </c>
      <c r="F1752" t="s">
        <v>34</v>
      </c>
      <c r="G1752" t="s">
        <v>94</v>
      </c>
      <c r="H1752" s="1">
        <v>45583.011111111111</v>
      </c>
      <c r="I1752" s="1">
        <v>45583.215277777781</v>
      </c>
      <c r="J1752">
        <v>205</v>
      </c>
      <c r="K1752">
        <v>294</v>
      </c>
      <c r="L1752">
        <v>1</v>
      </c>
      <c r="M1752" t="s">
        <v>22</v>
      </c>
      <c r="N1752">
        <v>5</v>
      </c>
      <c r="O1752">
        <v>185.35</v>
      </c>
    </row>
    <row r="1753" spans="1:15" x14ac:dyDescent="0.35">
      <c r="A1753" t="s">
        <v>3689</v>
      </c>
      <c r="B1753" t="s">
        <v>63</v>
      </c>
      <c r="C1753" t="s">
        <v>3690</v>
      </c>
      <c r="D1753" t="s">
        <v>44</v>
      </c>
      <c r="E1753" t="s">
        <v>33</v>
      </c>
      <c r="F1753" t="s">
        <v>20</v>
      </c>
      <c r="G1753" t="s">
        <v>45</v>
      </c>
      <c r="H1753" s="1">
        <v>45295.250694444447</v>
      </c>
      <c r="I1753" s="1">
        <v>45295.275000000001</v>
      </c>
      <c r="J1753">
        <v>21</v>
      </c>
      <c r="K1753">
        <v>35</v>
      </c>
      <c r="L1753">
        <v>1</v>
      </c>
      <c r="M1753" t="s">
        <v>41</v>
      </c>
      <c r="N1753">
        <v>10</v>
      </c>
      <c r="O1753">
        <v>300.88</v>
      </c>
    </row>
    <row r="1754" spans="1:15" x14ac:dyDescent="0.35">
      <c r="A1754" t="s">
        <v>3691</v>
      </c>
      <c r="B1754" t="s">
        <v>31</v>
      </c>
      <c r="C1754" t="s">
        <v>3692</v>
      </c>
      <c r="D1754" t="s">
        <v>44</v>
      </c>
      <c r="E1754" t="s">
        <v>33</v>
      </c>
      <c r="F1754" t="s">
        <v>34</v>
      </c>
      <c r="G1754" t="s">
        <v>521</v>
      </c>
      <c r="H1754" s="1">
        <v>45575.432638888888</v>
      </c>
      <c r="I1754" s="1">
        <v>45575.622916666667</v>
      </c>
      <c r="J1754">
        <v>233</v>
      </c>
      <c r="K1754">
        <v>274</v>
      </c>
      <c r="L1754">
        <v>1</v>
      </c>
      <c r="M1754" t="s">
        <v>29</v>
      </c>
      <c r="N1754">
        <v>8</v>
      </c>
      <c r="O1754">
        <v>375.89</v>
      </c>
    </row>
    <row r="1755" spans="1:15" x14ac:dyDescent="0.35">
      <c r="A1755" t="s">
        <v>3693</v>
      </c>
      <c r="B1755" t="s">
        <v>51</v>
      </c>
      <c r="C1755" t="s">
        <v>3694</v>
      </c>
      <c r="D1755" t="s">
        <v>26</v>
      </c>
      <c r="E1755" t="s">
        <v>38</v>
      </c>
      <c r="F1755" t="s">
        <v>57</v>
      </c>
      <c r="G1755" t="s">
        <v>137</v>
      </c>
      <c r="H1755" s="1">
        <v>45364.354166666664</v>
      </c>
      <c r="I1755" s="1">
        <v>45364.488194444442</v>
      </c>
      <c r="J1755">
        <v>100</v>
      </c>
      <c r="K1755">
        <v>193</v>
      </c>
      <c r="L1755">
        <v>1</v>
      </c>
      <c r="M1755" t="s">
        <v>22</v>
      </c>
      <c r="N1755">
        <v>7</v>
      </c>
      <c r="O1755">
        <v>377.33</v>
      </c>
    </row>
    <row r="1756" spans="1:15" x14ac:dyDescent="0.35">
      <c r="A1756" t="s">
        <v>3695</v>
      </c>
      <c r="B1756" t="s">
        <v>31</v>
      </c>
      <c r="C1756" t="s">
        <v>3696</v>
      </c>
      <c r="D1756" t="s">
        <v>44</v>
      </c>
      <c r="E1756" t="s">
        <v>38</v>
      </c>
      <c r="F1756" t="s">
        <v>20</v>
      </c>
      <c r="G1756" t="s">
        <v>94</v>
      </c>
      <c r="H1756" s="1">
        <v>45485.317361111112</v>
      </c>
      <c r="I1756" s="1">
        <v>45485.393750000003</v>
      </c>
      <c r="J1756">
        <v>110</v>
      </c>
      <c r="K1756">
        <v>110</v>
      </c>
      <c r="L1756">
        <v>0</v>
      </c>
      <c r="M1756" t="s">
        <v>22</v>
      </c>
      <c r="N1756">
        <v>4</v>
      </c>
      <c r="O1756">
        <v>298.31</v>
      </c>
    </row>
    <row r="1757" spans="1:15" x14ac:dyDescent="0.35">
      <c r="A1757" t="s">
        <v>3697</v>
      </c>
      <c r="B1757" t="s">
        <v>31</v>
      </c>
      <c r="C1757" t="s">
        <v>3698</v>
      </c>
      <c r="D1757" t="s">
        <v>26</v>
      </c>
      <c r="E1757" t="s">
        <v>38</v>
      </c>
      <c r="F1757" t="s">
        <v>57</v>
      </c>
      <c r="G1757" t="s">
        <v>415</v>
      </c>
      <c r="H1757" s="1">
        <v>45338.567361111112</v>
      </c>
      <c r="I1757" s="1">
        <v>45338.761805555558</v>
      </c>
      <c r="J1757">
        <v>214</v>
      </c>
      <c r="K1757">
        <v>280</v>
      </c>
      <c r="L1757">
        <v>1</v>
      </c>
      <c r="M1757" t="s">
        <v>29</v>
      </c>
      <c r="N1757">
        <v>3</v>
      </c>
      <c r="O1757">
        <v>392.42</v>
      </c>
    </row>
    <row r="1758" spans="1:15" x14ac:dyDescent="0.35">
      <c r="A1758" t="s">
        <v>3699</v>
      </c>
      <c r="B1758" t="s">
        <v>51</v>
      </c>
      <c r="C1758" t="s">
        <v>3700</v>
      </c>
      <c r="D1758" t="s">
        <v>18</v>
      </c>
      <c r="E1758" t="s">
        <v>38</v>
      </c>
      <c r="F1758" t="s">
        <v>34</v>
      </c>
      <c r="G1758" t="s">
        <v>204</v>
      </c>
      <c r="H1758" s="1">
        <v>45638.948611111111</v>
      </c>
      <c r="I1758" s="1">
        <v>45639.042361111111</v>
      </c>
      <c r="J1758">
        <v>71</v>
      </c>
      <c r="K1758">
        <v>135</v>
      </c>
      <c r="L1758">
        <v>1</v>
      </c>
      <c r="M1758" t="s">
        <v>29</v>
      </c>
      <c r="N1758">
        <v>10</v>
      </c>
      <c r="O1758">
        <v>458.81</v>
      </c>
    </row>
    <row r="1759" spans="1:15" x14ac:dyDescent="0.35">
      <c r="A1759" t="s">
        <v>3701</v>
      </c>
      <c r="B1759" t="s">
        <v>16</v>
      </c>
      <c r="C1759" t="s">
        <v>3702</v>
      </c>
      <c r="D1759" t="s">
        <v>18</v>
      </c>
      <c r="E1759" t="s">
        <v>85</v>
      </c>
      <c r="F1759" t="s">
        <v>20</v>
      </c>
      <c r="G1759" t="s">
        <v>188</v>
      </c>
      <c r="H1759" s="1">
        <v>45524.177083333336</v>
      </c>
      <c r="I1759" s="1">
        <v>45524.293055555558</v>
      </c>
      <c r="J1759">
        <v>119</v>
      </c>
      <c r="K1759">
        <v>167</v>
      </c>
      <c r="L1759">
        <v>1</v>
      </c>
      <c r="M1759" t="s">
        <v>29</v>
      </c>
      <c r="N1759">
        <v>1</v>
      </c>
      <c r="O1759">
        <v>50.75</v>
      </c>
    </row>
    <row r="1760" spans="1:15" x14ac:dyDescent="0.35">
      <c r="A1760" t="s">
        <v>3703</v>
      </c>
      <c r="B1760" t="s">
        <v>24</v>
      </c>
      <c r="C1760" t="s">
        <v>3704</v>
      </c>
      <c r="D1760" t="s">
        <v>26</v>
      </c>
      <c r="E1760" t="s">
        <v>33</v>
      </c>
      <c r="F1760" t="s">
        <v>20</v>
      </c>
      <c r="G1760" t="s">
        <v>647</v>
      </c>
      <c r="H1760" s="1">
        <v>45308.146527777775</v>
      </c>
      <c r="I1760" s="1">
        <v>45308.19027777778</v>
      </c>
      <c r="J1760">
        <v>55</v>
      </c>
      <c r="K1760">
        <v>63</v>
      </c>
      <c r="L1760">
        <v>1</v>
      </c>
      <c r="M1760" t="s">
        <v>41</v>
      </c>
      <c r="N1760">
        <v>5</v>
      </c>
      <c r="O1760">
        <v>317.43</v>
      </c>
    </row>
    <row r="1761" spans="1:15" x14ac:dyDescent="0.35">
      <c r="A1761" t="s">
        <v>3705</v>
      </c>
      <c r="B1761" t="s">
        <v>24</v>
      </c>
      <c r="C1761" t="s">
        <v>3706</v>
      </c>
      <c r="D1761" t="s">
        <v>48</v>
      </c>
      <c r="E1761" t="s">
        <v>85</v>
      </c>
      <c r="F1761" t="s">
        <v>20</v>
      </c>
      <c r="G1761" t="s">
        <v>158</v>
      </c>
      <c r="H1761" s="1">
        <v>45588.552083333336</v>
      </c>
      <c r="I1761" s="1">
        <v>45588.712500000001</v>
      </c>
      <c r="J1761">
        <v>174</v>
      </c>
      <c r="K1761">
        <v>231</v>
      </c>
      <c r="L1761">
        <v>1</v>
      </c>
      <c r="M1761" t="s">
        <v>29</v>
      </c>
      <c r="N1761">
        <v>1</v>
      </c>
      <c r="O1761">
        <v>135.18</v>
      </c>
    </row>
    <row r="1762" spans="1:15" x14ac:dyDescent="0.35">
      <c r="A1762" t="s">
        <v>3707</v>
      </c>
      <c r="B1762" t="s">
        <v>63</v>
      </c>
      <c r="C1762" t="s">
        <v>3708</v>
      </c>
      <c r="D1762" t="s">
        <v>56</v>
      </c>
      <c r="E1762" t="s">
        <v>19</v>
      </c>
      <c r="F1762" t="s">
        <v>20</v>
      </c>
      <c r="G1762" t="s">
        <v>126</v>
      </c>
      <c r="H1762" s="1">
        <v>45456.924305555556</v>
      </c>
      <c r="I1762" s="1">
        <v>45456.989583333336</v>
      </c>
      <c r="J1762">
        <v>27</v>
      </c>
      <c r="K1762">
        <v>94</v>
      </c>
      <c r="L1762">
        <v>1</v>
      </c>
      <c r="M1762" t="s">
        <v>29</v>
      </c>
      <c r="N1762">
        <v>4</v>
      </c>
      <c r="O1762">
        <v>239.77</v>
      </c>
    </row>
    <row r="1763" spans="1:15" x14ac:dyDescent="0.35">
      <c r="A1763" t="s">
        <v>3709</v>
      </c>
      <c r="B1763" t="s">
        <v>24</v>
      </c>
      <c r="C1763" t="s">
        <v>3710</v>
      </c>
      <c r="D1763" t="s">
        <v>18</v>
      </c>
      <c r="E1763" t="s">
        <v>85</v>
      </c>
      <c r="F1763" t="s">
        <v>20</v>
      </c>
      <c r="G1763" t="s">
        <v>182</v>
      </c>
      <c r="H1763" s="1">
        <v>45482.919444444444</v>
      </c>
      <c r="I1763" s="1">
        <v>45483.06527777778</v>
      </c>
      <c r="J1763">
        <v>185</v>
      </c>
      <c r="K1763">
        <v>210</v>
      </c>
      <c r="L1763">
        <v>1</v>
      </c>
      <c r="M1763" t="s">
        <v>29</v>
      </c>
      <c r="N1763">
        <v>6</v>
      </c>
      <c r="O1763">
        <v>326.16000000000003</v>
      </c>
    </row>
    <row r="1764" spans="1:15" x14ac:dyDescent="0.35">
      <c r="A1764" t="s">
        <v>3711</v>
      </c>
      <c r="B1764" t="s">
        <v>51</v>
      </c>
      <c r="C1764" t="s">
        <v>3712</v>
      </c>
      <c r="D1764" t="s">
        <v>18</v>
      </c>
      <c r="E1764" t="s">
        <v>19</v>
      </c>
      <c r="F1764" t="s">
        <v>20</v>
      </c>
      <c r="G1764" t="s">
        <v>316</v>
      </c>
      <c r="H1764" s="1">
        <v>45600.905555555553</v>
      </c>
      <c r="I1764" s="1">
        <v>45601</v>
      </c>
      <c r="J1764">
        <v>96</v>
      </c>
      <c r="K1764">
        <v>136</v>
      </c>
      <c r="L1764">
        <v>1</v>
      </c>
      <c r="M1764" t="s">
        <v>41</v>
      </c>
      <c r="N1764">
        <v>7</v>
      </c>
      <c r="O1764">
        <v>88.07</v>
      </c>
    </row>
    <row r="1765" spans="1:15" x14ac:dyDescent="0.35">
      <c r="A1765" t="s">
        <v>3713</v>
      </c>
      <c r="B1765" t="s">
        <v>16</v>
      </c>
      <c r="C1765" t="s">
        <v>3714</v>
      </c>
      <c r="D1765" t="s">
        <v>26</v>
      </c>
      <c r="E1765" t="s">
        <v>85</v>
      </c>
      <c r="F1765" t="s">
        <v>27</v>
      </c>
      <c r="G1765" t="s">
        <v>225</v>
      </c>
      <c r="H1765" s="1">
        <v>45424.427083333336</v>
      </c>
      <c r="I1765" s="1">
        <v>45424.502083333333</v>
      </c>
      <c r="J1765">
        <v>96</v>
      </c>
      <c r="K1765">
        <v>108</v>
      </c>
      <c r="L1765">
        <v>1</v>
      </c>
      <c r="M1765" t="s">
        <v>22</v>
      </c>
      <c r="N1765">
        <v>6</v>
      </c>
      <c r="O1765">
        <v>316</v>
      </c>
    </row>
    <row r="1766" spans="1:15" x14ac:dyDescent="0.35">
      <c r="A1766" t="s">
        <v>3715</v>
      </c>
      <c r="B1766" t="s">
        <v>51</v>
      </c>
      <c r="C1766" t="s">
        <v>3716</v>
      </c>
      <c r="D1766" t="s">
        <v>18</v>
      </c>
      <c r="E1766" t="s">
        <v>19</v>
      </c>
      <c r="F1766" t="s">
        <v>39</v>
      </c>
      <c r="G1766" t="s">
        <v>308</v>
      </c>
      <c r="H1766" s="1">
        <v>45501.109027777777</v>
      </c>
      <c r="I1766" s="1">
        <v>45501.271527777775</v>
      </c>
      <c r="J1766">
        <v>141</v>
      </c>
      <c r="K1766">
        <v>234</v>
      </c>
      <c r="L1766">
        <v>1</v>
      </c>
      <c r="M1766" t="s">
        <v>29</v>
      </c>
      <c r="N1766">
        <v>6</v>
      </c>
      <c r="O1766">
        <v>120.04</v>
      </c>
    </row>
    <row r="1767" spans="1:15" x14ac:dyDescent="0.35">
      <c r="A1767" t="s">
        <v>3717</v>
      </c>
      <c r="B1767" t="s">
        <v>31</v>
      </c>
      <c r="C1767" t="s">
        <v>3718</v>
      </c>
      <c r="D1767" t="s">
        <v>56</v>
      </c>
      <c r="E1767" t="s">
        <v>85</v>
      </c>
      <c r="F1767" t="s">
        <v>34</v>
      </c>
      <c r="G1767" t="s">
        <v>152</v>
      </c>
      <c r="H1767" s="1">
        <v>45536.076388888891</v>
      </c>
      <c r="I1767" s="1">
        <v>45536.20416666667</v>
      </c>
      <c r="J1767">
        <v>139</v>
      </c>
      <c r="K1767">
        <v>184</v>
      </c>
      <c r="L1767">
        <v>1</v>
      </c>
      <c r="M1767" t="s">
        <v>22</v>
      </c>
      <c r="N1767">
        <v>3</v>
      </c>
      <c r="O1767">
        <v>322.83999999999997</v>
      </c>
    </row>
    <row r="1768" spans="1:15" x14ac:dyDescent="0.35">
      <c r="A1768" t="s">
        <v>3719</v>
      </c>
      <c r="B1768" t="s">
        <v>16</v>
      </c>
      <c r="C1768" t="s">
        <v>3720</v>
      </c>
      <c r="D1768" t="s">
        <v>48</v>
      </c>
      <c r="E1768" t="s">
        <v>38</v>
      </c>
      <c r="F1768" t="s">
        <v>34</v>
      </c>
      <c r="G1768" t="s">
        <v>1030</v>
      </c>
      <c r="H1768" s="1">
        <v>45565.272916666669</v>
      </c>
      <c r="I1768" s="1">
        <v>45565.32916666667</v>
      </c>
      <c r="J1768">
        <v>16</v>
      </c>
      <c r="K1768">
        <v>81</v>
      </c>
      <c r="L1768">
        <v>1</v>
      </c>
      <c r="M1768" t="s">
        <v>41</v>
      </c>
      <c r="N1768">
        <v>3</v>
      </c>
      <c r="O1768">
        <v>421.59</v>
      </c>
    </row>
    <row r="1769" spans="1:15" x14ac:dyDescent="0.35">
      <c r="A1769" t="s">
        <v>3721</v>
      </c>
      <c r="B1769" t="s">
        <v>16</v>
      </c>
      <c r="C1769" t="s">
        <v>3722</v>
      </c>
      <c r="D1769" t="s">
        <v>44</v>
      </c>
      <c r="E1769" t="s">
        <v>85</v>
      </c>
      <c r="F1769" t="s">
        <v>34</v>
      </c>
      <c r="G1769" t="s">
        <v>700</v>
      </c>
      <c r="H1769" s="1">
        <v>45295.302083333336</v>
      </c>
      <c r="I1769" s="1">
        <v>45295.411111111112</v>
      </c>
      <c r="J1769">
        <v>81</v>
      </c>
      <c r="K1769">
        <v>157</v>
      </c>
      <c r="L1769">
        <v>1</v>
      </c>
      <c r="M1769" t="s">
        <v>41</v>
      </c>
      <c r="N1769">
        <v>5</v>
      </c>
      <c r="O1769">
        <v>381.05</v>
      </c>
    </row>
    <row r="1770" spans="1:15" x14ac:dyDescent="0.35">
      <c r="A1770" t="s">
        <v>3723</v>
      </c>
      <c r="B1770" t="s">
        <v>16</v>
      </c>
      <c r="C1770" t="s">
        <v>3724</v>
      </c>
      <c r="D1770" t="s">
        <v>26</v>
      </c>
      <c r="E1770" t="s">
        <v>33</v>
      </c>
      <c r="F1770" t="s">
        <v>34</v>
      </c>
      <c r="G1770" t="s">
        <v>521</v>
      </c>
      <c r="H1770" s="1">
        <v>45542.465277777781</v>
      </c>
      <c r="I1770" s="1">
        <v>45542.578472222223</v>
      </c>
      <c r="J1770">
        <v>100</v>
      </c>
      <c r="K1770">
        <v>163</v>
      </c>
      <c r="L1770">
        <v>1</v>
      </c>
      <c r="M1770" t="s">
        <v>41</v>
      </c>
      <c r="N1770">
        <v>1</v>
      </c>
      <c r="O1770">
        <v>76.48</v>
      </c>
    </row>
    <row r="1771" spans="1:15" x14ac:dyDescent="0.35">
      <c r="A1771" t="s">
        <v>3725</v>
      </c>
      <c r="B1771" t="s">
        <v>63</v>
      </c>
      <c r="C1771" t="s">
        <v>3726</v>
      </c>
      <c r="D1771" t="s">
        <v>56</v>
      </c>
      <c r="E1771" t="s">
        <v>33</v>
      </c>
      <c r="F1771" t="s">
        <v>20</v>
      </c>
      <c r="G1771" t="s">
        <v>338</v>
      </c>
      <c r="H1771" s="1">
        <v>45644.081944444442</v>
      </c>
      <c r="I1771" s="1">
        <v>45644.196527777778</v>
      </c>
      <c r="J1771">
        <v>168</v>
      </c>
      <c r="K1771">
        <v>165</v>
      </c>
      <c r="L1771">
        <v>0</v>
      </c>
      <c r="M1771" t="s">
        <v>41</v>
      </c>
      <c r="N1771">
        <v>6</v>
      </c>
      <c r="O1771">
        <v>242.98</v>
      </c>
    </row>
    <row r="1772" spans="1:15" x14ac:dyDescent="0.35">
      <c r="A1772" t="s">
        <v>3727</v>
      </c>
      <c r="B1772" t="s">
        <v>31</v>
      </c>
      <c r="C1772" t="s">
        <v>3728</v>
      </c>
      <c r="D1772" t="s">
        <v>26</v>
      </c>
      <c r="E1772" t="s">
        <v>19</v>
      </c>
      <c r="F1772" t="s">
        <v>39</v>
      </c>
      <c r="G1772" t="s">
        <v>526</v>
      </c>
      <c r="H1772" s="1">
        <v>45567.268750000003</v>
      </c>
      <c r="I1772" s="1">
        <v>45567.310416666667</v>
      </c>
      <c r="J1772">
        <v>45</v>
      </c>
      <c r="K1772">
        <v>60</v>
      </c>
      <c r="L1772">
        <v>1</v>
      </c>
      <c r="M1772" t="s">
        <v>41</v>
      </c>
      <c r="N1772">
        <v>5</v>
      </c>
      <c r="O1772">
        <v>273.43</v>
      </c>
    </row>
    <row r="1773" spans="1:15" x14ac:dyDescent="0.35">
      <c r="A1773" t="s">
        <v>3729</v>
      </c>
      <c r="B1773" t="s">
        <v>16</v>
      </c>
      <c r="C1773" t="s">
        <v>3730</v>
      </c>
      <c r="D1773" t="s">
        <v>26</v>
      </c>
      <c r="E1773" t="s">
        <v>38</v>
      </c>
      <c r="F1773" t="s">
        <v>20</v>
      </c>
      <c r="G1773" t="s">
        <v>338</v>
      </c>
      <c r="H1773" s="1">
        <v>45452.070138888892</v>
      </c>
      <c r="I1773" s="1">
        <v>45452.100694444445</v>
      </c>
      <c r="J1773">
        <v>23</v>
      </c>
      <c r="K1773">
        <v>44</v>
      </c>
      <c r="L1773">
        <v>1</v>
      </c>
      <c r="M1773" t="s">
        <v>29</v>
      </c>
      <c r="N1773">
        <v>1</v>
      </c>
      <c r="O1773">
        <v>289.26</v>
      </c>
    </row>
    <row r="1774" spans="1:15" x14ac:dyDescent="0.35">
      <c r="A1774" t="s">
        <v>3731</v>
      </c>
      <c r="B1774" t="s">
        <v>63</v>
      </c>
      <c r="C1774" t="s">
        <v>3732</v>
      </c>
      <c r="D1774" t="s">
        <v>44</v>
      </c>
      <c r="E1774" t="s">
        <v>38</v>
      </c>
      <c r="F1774" t="s">
        <v>20</v>
      </c>
      <c r="G1774" t="s">
        <v>268</v>
      </c>
      <c r="H1774" s="1">
        <v>45460.060416666667</v>
      </c>
      <c r="I1774" s="1">
        <v>45460.242361111108</v>
      </c>
      <c r="J1774">
        <v>170</v>
      </c>
      <c r="K1774">
        <v>262</v>
      </c>
      <c r="L1774">
        <v>1</v>
      </c>
      <c r="M1774" t="s">
        <v>29</v>
      </c>
      <c r="N1774">
        <v>8</v>
      </c>
      <c r="O1774">
        <v>111.64</v>
      </c>
    </row>
    <row r="1775" spans="1:15" x14ac:dyDescent="0.35">
      <c r="A1775" t="s">
        <v>3733</v>
      </c>
      <c r="B1775" t="s">
        <v>63</v>
      </c>
      <c r="C1775" t="s">
        <v>3734</v>
      </c>
      <c r="D1775" t="s">
        <v>56</v>
      </c>
      <c r="E1775" t="s">
        <v>19</v>
      </c>
      <c r="F1775" t="s">
        <v>39</v>
      </c>
      <c r="G1775" t="s">
        <v>185</v>
      </c>
      <c r="H1775" s="1">
        <v>45345.73541666667</v>
      </c>
      <c r="I1775" s="1">
        <v>45345.885416666664</v>
      </c>
      <c r="J1775">
        <v>155</v>
      </c>
      <c r="K1775">
        <v>216</v>
      </c>
      <c r="L1775">
        <v>1</v>
      </c>
      <c r="M1775" t="s">
        <v>22</v>
      </c>
      <c r="N1775">
        <v>10</v>
      </c>
      <c r="O1775">
        <v>99.08</v>
      </c>
    </row>
    <row r="1776" spans="1:15" x14ac:dyDescent="0.35">
      <c r="A1776" t="s">
        <v>3735</v>
      </c>
      <c r="B1776" t="s">
        <v>63</v>
      </c>
      <c r="C1776" t="s">
        <v>3736</v>
      </c>
      <c r="D1776" t="s">
        <v>18</v>
      </c>
      <c r="E1776" t="s">
        <v>19</v>
      </c>
      <c r="F1776" t="s">
        <v>34</v>
      </c>
      <c r="G1776" t="s">
        <v>1125</v>
      </c>
      <c r="H1776" s="1">
        <v>45315.238888888889</v>
      </c>
      <c r="I1776" s="1">
        <v>45315.270833333336</v>
      </c>
      <c r="J1776">
        <v>31</v>
      </c>
      <c r="K1776">
        <v>46</v>
      </c>
      <c r="L1776">
        <v>1</v>
      </c>
      <c r="M1776" t="s">
        <v>29</v>
      </c>
      <c r="N1776">
        <v>10</v>
      </c>
      <c r="O1776">
        <v>458.58</v>
      </c>
    </row>
    <row r="1777" spans="1:15" x14ac:dyDescent="0.35">
      <c r="A1777" t="s">
        <v>3737</v>
      </c>
      <c r="B1777" t="s">
        <v>31</v>
      </c>
      <c r="C1777" t="s">
        <v>3738</v>
      </c>
      <c r="D1777" t="s">
        <v>18</v>
      </c>
      <c r="E1777" t="s">
        <v>85</v>
      </c>
      <c r="F1777" t="s">
        <v>39</v>
      </c>
      <c r="G1777" t="s">
        <v>129</v>
      </c>
      <c r="H1777" s="1">
        <v>45378.57916666667</v>
      </c>
      <c r="I1777" s="1">
        <v>45378.76458333333</v>
      </c>
      <c r="J1777">
        <v>226</v>
      </c>
      <c r="K1777">
        <v>267</v>
      </c>
      <c r="L1777">
        <v>1</v>
      </c>
      <c r="M1777" t="s">
        <v>22</v>
      </c>
      <c r="N1777">
        <v>8</v>
      </c>
      <c r="O1777">
        <v>438.62</v>
      </c>
    </row>
    <row r="1778" spans="1:15" x14ac:dyDescent="0.35">
      <c r="A1778" t="s">
        <v>3739</v>
      </c>
      <c r="B1778" t="s">
        <v>51</v>
      </c>
      <c r="C1778" t="s">
        <v>3740</v>
      </c>
      <c r="D1778" t="s">
        <v>18</v>
      </c>
      <c r="E1778" t="s">
        <v>85</v>
      </c>
      <c r="F1778" t="s">
        <v>20</v>
      </c>
      <c r="G1778" t="s">
        <v>462</v>
      </c>
      <c r="H1778" s="1">
        <v>45604.268750000003</v>
      </c>
      <c r="I1778" s="1">
        <v>45604.338888888888</v>
      </c>
      <c r="J1778">
        <v>35</v>
      </c>
      <c r="K1778">
        <v>101</v>
      </c>
      <c r="L1778">
        <v>1</v>
      </c>
      <c r="M1778" t="s">
        <v>22</v>
      </c>
      <c r="N1778">
        <v>1</v>
      </c>
      <c r="O1778">
        <v>350</v>
      </c>
    </row>
    <row r="1779" spans="1:15" x14ac:dyDescent="0.35">
      <c r="A1779" t="s">
        <v>3741</v>
      </c>
      <c r="B1779" t="s">
        <v>24</v>
      </c>
      <c r="C1779" t="s">
        <v>3742</v>
      </c>
      <c r="D1779" t="s">
        <v>44</v>
      </c>
      <c r="E1779" t="s">
        <v>38</v>
      </c>
      <c r="F1779" t="s">
        <v>39</v>
      </c>
      <c r="G1779" t="s">
        <v>445</v>
      </c>
      <c r="H1779" s="1">
        <v>45638.70208333333</v>
      </c>
      <c r="I1779" s="1">
        <v>45638.79791666667</v>
      </c>
      <c r="J1779">
        <v>125</v>
      </c>
      <c r="K1779">
        <v>138</v>
      </c>
      <c r="L1779">
        <v>1</v>
      </c>
      <c r="M1779" t="s">
        <v>29</v>
      </c>
      <c r="N1779">
        <v>1</v>
      </c>
      <c r="O1779">
        <v>242.14</v>
      </c>
    </row>
    <row r="1780" spans="1:15" x14ac:dyDescent="0.35">
      <c r="A1780" t="s">
        <v>3743</v>
      </c>
      <c r="B1780" t="s">
        <v>63</v>
      </c>
      <c r="C1780" t="s">
        <v>3744</v>
      </c>
      <c r="D1780" t="s">
        <v>26</v>
      </c>
      <c r="E1780" t="s">
        <v>38</v>
      </c>
      <c r="F1780" t="s">
        <v>57</v>
      </c>
      <c r="G1780" t="s">
        <v>82</v>
      </c>
      <c r="H1780" s="1">
        <v>45562.15347222222</v>
      </c>
      <c r="I1780" s="1">
        <v>45562.288888888892</v>
      </c>
      <c r="J1780">
        <v>161</v>
      </c>
      <c r="K1780">
        <v>195</v>
      </c>
      <c r="L1780">
        <v>1</v>
      </c>
      <c r="M1780" t="s">
        <v>29</v>
      </c>
      <c r="N1780">
        <v>9</v>
      </c>
      <c r="O1780">
        <v>224.93</v>
      </c>
    </row>
    <row r="1781" spans="1:15" x14ac:dyDescent="0.35">
      <c r="A1781" t="s">
        <v>3745</v>
      </c>
      <c r="B1781" t="s">
        <v>24</v>
      </c>
      <c r="C1781" t="s">
        <v>3746</v>
      </c>
      <c r="D1781" t="s">
        <v>26</v>
      </c>
      <c r="E1781" t="s">
        <v>85</v>
      </c>
      <c r="F1781" t="s">
        <v>39</v>
      </c>
      <c r="G1781" t="s">
        <v>684</v>
      </c>
      <c r="H1781" s="1">
        <v>45294.678472222222</v>
      </c>
      <c r="I1781" s="1">
        <v>45294.772222222222</v>
      </c>
      <c r="J1781">
        <v>24</v>
      </c>
      <c r="K1781">
        <v>135</v>
      </c>
      <c r="L1781">
        <v>1</v>
      </c>
      <c r="M1781" t="s">
        <v>22</v>
      </c>
      <c r="N1781">
        <v>4</v>
      </c>
      <c r="O1781">
        <v>64.86</v>
      </c>
    </row>
    <row r="1782" spans="1:15" x14ac:dyDescent="0.35">
      <c r="A1782" t="s">
        <v>3747</v>
      </c>
      <c r="B1782" t="s">
        <v>63</v>
      </c>
      <c r="C1782" t="s">
        <v>3748</v>
      </c>
      <c r="D1782" t="s">
        <v>44</v>
      </c>
      <c r="E1782" t="s">
        <v>33</v>
      </c>
      <c r="F1782" t="s">
        <v>34</v>
      </c>
      <c r="G1782" t="s">
        <v>1719</v>
      </c>
      <c r="H1782" s="1">
        <v>45386.13958333333</v>
      </c>
      <c r="I1782" s="1">
        <v>45386.283333333333</v>
      </c>
      <c r="J1782">
        <v>119</v>
      </c>
      <c r="K1782">
        <v>207</v>
      </c>
      <c r="L1782">
        <v>1</v>
      </c>
      <c r="M1782" t="s">
        <v>29</v>
      </c>
      <c r="N1782">
        <v>8</v>
      </c>
      <c r="O1782">
        <v>476.91</v>
      </c>
    </row>
    <row r="1783" spans="1:15" x14ac:dyDescent="0.35">
      <c r="A1783" t="s">
        <v>3749</v>
      </c>
      <c r="B1783" t="s">
        <v>16</v>
      </c>
      <c r="C1783" t="s">
        <v>3750</v>
      </c>
      <c r="D1783" t="s">
        <v>18</v>
      </c>
      <c r="E1783" t="s">
        <v>85</v>
      </c>
      <c r="F1783" t="s">
        <v>20</v>
      </c>
      <c r="G1783" t="s">
        <v>204</v>
      </c>
      <c r="H1783" s="1">
        <v>45629.611111111109</v>
      </c>
      <c r="I1783" s="1">
        <v>45629.770138888889</v>
      </c>
      <c r="J1783">
        <v>111</v>
      </c>
      <c r="K1783">
        <v>229</v>
      </c>
      <c r="L1783">
        <v>1</v>
      </c>
      <c r="M1783" t="s">
        <v>41</v>
      </c>
      <c r="N1783">
        <v>4</v>
      </c>
      <c r="O1783">
        <v>261.62</v>
      </c>
    </row>
    <row r="1784" spans="1:15" x14ac:dyDescent="0.35">
      <c r="A1784" t="s">
        <v>3751</v>
      </c>
      <c r="B1784" t="s">
        <v>31</v>
      </c>
      <c r="C1784" t="s">
        <v>3752</v>
      </c>
      <c r="D1784" t="s">
        <v>44</v>
      </c>
      <c r="E1784" t="s">
        <v>85</v>
      </c>
      <c r="F1784" t="s">
        <v>57</v>
      </c>
      <c r="G1784" t="s">
        <v>476</v>
      </c>
      <c r="H1784" s="1">
        <v>45438.879166666666</v>
      </c>
      <c r="I1784" s="1">
        <v>45438.930555555555</v>
      </c>
      <c r="J1784">
        <v>72</v>
      </c>
      <c r="K1784">
        <v>74</v>
      </c>
      <c r="L1784">
        <v>1</v>
      </c>
      <c r="M1784" t="s">
        <v>22</v>
      </c>
      <c r="N1784">
        <v>5</v>
      </c>
      <c r="O1784">
        <v>474.65</v>
      </c>
    </row>
    <row r="1785" spans="1:15" x14ac:dyDescent="0.35">
      <c r="A1785" t="s">
        <v>3753</v>
      </c>
      <c r="B1785" t="s">
        <v>51</v>
      </c>
      <c r="C1785" t="s">
        <v>3754</v>
      </c>
      <c r="D1785" t="s">
        <v>18</v>
      </c>
      <c r="E1785" t="s">
        <v>33</v>
      </c>
      <c r="F1785" t="s">
        <v>34</v>
      </c>
      <c r="G1785" t="s">
        <v>512</v>
      </c>
      <c r="H1785" s="1">
        <v>45534.037499999999</v>
      </c>
      <c r="I1785" s="1">
        <v>45534.146527777775</v>
      </c>
      <c r="J1785">
        <v>150</v>
      </c>
      <c r="K1785">
        <v>157</v>
      </c>
      <c r="L1785">
        <v>1</v>
      </c>
      <c r="M1785" t="s">
        <v>41</v>
      </c>
      <c r="N1785">
        <v>5</v>
      </c>
      <c r="O1785">
        <v>60.9</v>
      </c>
    </row>
    <row r="1786" spans="1:15" x14ac:dyDescent="0.35">
      <c r="A1786" t="s">
        <v>3755</v>
      </c>
      <c r="B1786" t="s">
        <v>51</v>
      </c>
      <c r="C1786" t="s">
        <v>3756</v>
      </c>
      <c r="D1786" t="s">
        <v>44</v>
      </c>
      <c r="E1786" t="s">
        <v>33</v>
      </c>
      <c r="F1786" t="s">
        <v>27</v>
      </c>
      <c r="G1786" t="s">
        <v>456</v>
      </c>
      <c r="H1786" s="1">
        <v>45534.696527777778</v>
      </c>
      <c r="I1786" s="1">
        <v>45534.79583333333</v>
      </c>
      <c r="J1786">
        <v>85</v>
      </c>
      <c r="K1786">
        <v>143</v>
      </c>
      <c r="L1786">
        <v>1</v>
      </c>
      <c r="M1786" t="s">
        <v>22</v>
      </c>
      <c r="N1786">
        <v>2</v>
      </c>
      <c r="O1786">
        <v>470.43</v>
      </c>
    </row>
    <row r="1787" spans="1:15" x14ac:dyDescent="0.35">
      <c r="A1787" t="s">
        <v>3757</v>
      </c>
      <c r="B1787" t="s">
        <v>24</v>
      </c>
      <c r="C1787" t="s">
        <v>3758</v>
      </c>
      <c r="D1787" t="s">
        <v>48</v>
      </c>
      <c r="E1787" t="s">
        <v>19</v>
      </c>
      <c r="F1787" t="s">
        <v>34</v>
      </c>
      <c r="G1787" t="s">
        <v>999</v>
      </c>
      <c r="H1787" s="1">
        <v>45339.025000000001</v>
      </c>
      <c r="I1787" s="1">
        <v>45339.120138888888</v>
      </c>
      <c r="J1787">
        <v>50</v>
      </c>
      <c r="K1787">
        <v>137</v>
      </c>
      <c r="L1787">
        <v>1</v>
      </c>
      <c r="M1787" t="s">
        <v>29</v>
      </c>
      <c r="N1787">
        <v>4</v>
      </c>
      <c r="O1787">
        <v>449.83</v>
      </c>
    </row>
    <row r="1788" spans="1:15" x14ac:dyDescent="0.35">
      <c r="A1788" t="s">
        <v>3759</v>
      </c>
      <c r="B1788" t="s">
        <v>51</v>
      </c>
      <c r="C1788" t="s">
        <v>3760</v>
      </c>
      <c r="D1788" t="s">
        <v>18</v>
      </c>
      <c r="E1788" t="s">
        <v>85</v>
      </c>
      <c r="F1788" t="s">
        <v>34</v>
      </c>
      <c r="G1788" t="s">
        <v>640</v>
      </c>
      <c r="H1788" s="1">
        <v>45559.972222222219</v>
      </c>
      <c r="I1788" s="1">
        <v>45560.018055555556</v>
      </c>
      <c r="J1788">
        <v>33</v>
      </c>
      <c r="K1788">
        <v>66</v>
      </c>
      <c r="L1788">
        <v>1</v>
      </c>
      <c r="M1788" t="s">
        <v>41</v>
      </c>
      <c r="N1788">
        <v>2</v>
      </c>
      <c r="O1788">
        <v>301.48</v>
      </c>
    </row>
    <row r="1789" spans="1:15" x14ac:dyDescent="0.35">
      <c r="A1789" t="s">
        <v>3761</v>
      </c>
      <c r="B1789" t="s">
        <v>24</v>
      </c>
      <c r="C1789" t="s">
        <v>3762</v>
      </c>
      <c r="D1789" t="s">
        <v>26</v>
      </c>
      <c r="E1789" t="s">
        <v>19</v>
      </c>
      <c r="F1789" t="s">
        <v>27</v>
      </c>
      <c r="G1789" t="s">
        <v>146</v>
      </c>
      <c r="H1789" s="1">
        <v>45630.950694444444</v>
      </c>
      <c r="I1789" s="1">
        <v>45631.088194444441</v>
      </c>
      <c r="J1789">
        <v>129</v>
      </c>
      <c r="K1789">
        <v>198</v>
      </c>
      <c r="L1789">
        <v>1</v>
      </c>
      <c r="M1789" t="s">
        <v>41</v>
      </c>
      <c r="N1789">
        <v>4</v>
      </c>
      <c r="O1789">
        <v>496.2</v>
      </c>
    </row>
    <row r="1790" spans="1:15" x14ac:dyDescent="0.35">
      <c r="A1790" t="s">
        <v>3763</v>
      </c>
      <c r="B1790" t="s">
        <v>31</v>
      </c>
      <c r="C1790" t="s">
        <v>3764</v>
      </c>
      <c r="D1790" t="s">
        <v>18</v>
      </c>
      <c r="E1790" t="s">
        <v>38</v>
      </c>
      <c r="F1790" t="s">
        <v>20</v>
      </c>
      <c r="G1790" t="s">
        <v>161</v>
      </c>
      <c r="H1790" s="1">
        <v>45323.192361111112</v>
      </c>
      <c r="I1790" s="1">
        <v>45323.323611111111</v>
      </c>
      <c r="J1790">
        <v>73</v>
      </c>
      <c r="K1790">
        <v>189</v>
      </c>
      <c r="L1790">
        <v>1</v>
      </c>
      <c r="M1790" t="s">
        <v>22</v>
      </c>
      <c r="N1790">
        <v>2</v>
      </c>
      <c r="O1790">
        <v>284.60000000000002</v>
      </c>
    </row>
    <row r="1791" spans="1:15" x14ac:dyDescent="0.35">
      <c r="A1791" t="s">
        <v>3765</v>
      </c>
      <c r="B1791" t="s">
        <v>51</v>
      </c>
      <c r="C1791" t="s">
        <v>3766</v>
      </c>
      <c r="D1791" t="s">
        <v>18</v>
      </c>
      <c r="E1791" t="s">
        <v>33</v>
      </c>
      <c r="F1791" t="s">
        <v>27</v>
      </c>
      <c r="G1791" t="s">
        <v>254</v>
      </c>
      <c r="H1791" s="1">
        <v>45524.208333333336</v>
      </c>
      <c r="I1791" s="1">
        <v>45524.320138888892</v>
      </c>
      <c r="J1791">
        <v>44</v>
      </c>
      <c r="K1791">
        <v>161</v>
      </c>
      <c r="L1791">
        <v>1</v>
      </c>
      <c r="M1791" t="s">
        <v>41</v>
      </c>
      <c r="N1791">
        <v>7</v>
      </c>
      <c r="O1791">
        <v>85.38</v>
      </c>
    </row>
    <row r="1792" spans="1:15" x14ac:dyDescent="0.35">
      <c r="A1792" t="s">
        <v>3767</v>
      </c>
      <c r="B1792" t="s">
        <v>16</v>
      </c>
      <c r="C1792" t="s">
        <v>3768</v>
      </c>
      <c r="D1792" t="s">
        <v>56</v>
      </c>
      <c r="E1792" t="s">
        <v>19</v>
      </c>
      <c r="F1792" t="s">
        <v>20</v>
      </c>
      <c r="G1792" t="s">
        <v>231</v>
      </c>
      <c r="H1792" s="1">
        <v>45292.507638888892</v>
      </c>
      <c r="I1792" s="1">
        <v>45292.629166666666</v>
      </c>
      <c r="J1792">
        <v>60</v>
      </c>
      <c r="K1792">
        <v>175</v>
      </c>
      <c r="L1792">
        <v>1</v>
      </c>
      <c r="M1792" t="s">
        <v>29</v>
      </c>
      <c r="N1792">
        <v>10</v>
      </c>
      <c r="O1792">
        <v>453.27</v>
      </c>
    </row>
    <row r="1793" spans="1:15" x14ac:dyDescent="0.35">
      <c r="A1793" t="s">
        <v>3769</v>
      </c>
      <c r="B1793" t="s">
        <v>16</v>
      </c>
      <c r="C1793" t="s">
        <v>3770</v>
      </c>
      <c r="D1793" t="s">
        <v>56</v>
      </c>
      <c r="E1793" t="s">
        <v>85</v>
      </c>
      <c r="F1793" t="s">
        <v>20</v>
      </c>
      <c r="G1793" t="s">
        <v>120</v>
      </c>
      <c r="H1793" s="1">
        <v>45458.243055555555</v>
      </c>
      <c r="I1793" s="1">
        <v>45458.322916666664</v>
      </c>
      <c r="J1793">
        <v>107</v>
      </c>
      <c r="K1793">
        <v>115</v>
      </c>
      <c r="L1793">
        <v>1</v>
      </c>
      <c r="M1793" t="s">
        <v>41</v>
      </c>
      <c r="N1793">
        <v>6</v>
      </c>
      <c r="O1793">
        <v>476.28</v>
      </c>
    </row>
    <row r="1794" spans="1:15" x14ac:dyDescent="0.35">
      <c r="A1794" t="s">
        <v>3771</v>
      </c>
      <c r="B1794" t="s">
        <v>31</v>
      </c>
      <c r="C1794" t="s">
        <v>3772</v>
      </c>
      <c r="D1794" t="s">
        <v>18</v>
      </c>
      <c r="E1794" t="s">
        <v>38</v>
      </c>
      <c r="F1794" t="s">
        <v>27</v>
      </c>
      <c r="G1794" t="s">
        <v>445</v>
      </c>
      <c r="H1794" s="1">
        <v>45365.527083333334</v>
      </c>
      <c r="I1794" s="1">
        <v>45365.652777777781</v>
      </c>
      <c r="J1794">
        <v>112</v>
      </c>
      <c r="K1794">
        <v>181</v>
      </c>
      <c r="L1794">
        <v>1</v>
      </c>
      <c r="M1794" t="s">
        <v>22</v>
      </c>
      <c r="N1794">
        <v>2</v>
      </c>
      <c r="O1794">
        <v>207.36</v>
      </c>
    </row>
    <row r="1795" spans="1:15" x14ac:dyDescent="0.35">
      <c r="A1795" t="s">
        <v>3773</v>
      </c>
      <c r="B1795" t="s">
        <v>63</v>
      </c>
      <c r="C1795" t="s">
        <v>3774</v>
      </c>
      <c r="D1795" t="s">
        <v>56</v>
      </c>
      <c r="E1795" t="s">
        <v>85</v>
      </c>
      <c r="F1795" t="s">
        <v>39</v>
      </c>
      <c r="G1795" t="s">
        <v>299</v>
      </c>
      <c r="H1795" s="1">
        <v>45556.375694444447</v>
      </c>
      <c r="I1795" s="1">
        <v>45556.421527777777</v>
      </c>
      <c r="J1795">
        <v>12</v>
      </c>
      <c r="K1795">
        <v>66</v>
      </c>
      <c r="L1795">
        <v>1</v>
      </c>
      <c r="M1795" t="s">
        <v>41</v>
      </c>
      <c r="N1795">
        <v>6</v>
      </c>
      <c r="O1795">
        <v>142.35</v>
      </c>
    </row>
    <row r="1796" spans="1:15" x14ac:dyDescent="0.35">
      <c r="A1796" t="s">
        <v>3775</v>
      </c>
      <c r="B1796" t="s">
        <v>16</v>
      </c>
      <c r="C1796" t="s">
        <v>3776</v>
      </c>
      <c r="D1796" t="s">
        <v>48</v>
      </c>
      <c r="E1796" t="s">
        <v>85</v>
      </c>
      <c r="F1796" t="s">
        <v>34</v>
      </c>
      <c r="G1796" t="s">
        <v>283</v>
      </c>
      <c r="H1796" s="1">
        <v>45408.151388888888</v>
      </c>
      <c r="I1796" s="1">
        <v>45408.220138888886</v>
      </c>
      <c r="J1796">
        <v>55</v>
      </c>
      <c r="K1796">
        <v>99</v>
      </c>
      <c r="L1796">
        <v>1</v>
      </c>
      <c r="M1796" t="s">
        <v>22</v>
      </c>
      <c r="N1796">
        <v>3</v>
      </c>
      <c r="O1796">
        <v>266.88</v>
      </c>
    </row>
    <row r="1797" spans="1:15" x14ac:dyDescent="0.35">
      <c r="A1797" t="s">
        <v>3777</v>
      </c>
      <c r="B1797" t="s">
        <v>24</v>
      </c>
      <c r="C1797" t="s">
        <v>3778</v>
      </c>
      <c r="D1797" t="s">
        <v>18</v>
      </c>
      <c r="E1797" t="s">
        <v>33</v>
      </c>
      <c r="F1797" t="s">
        <v>27</v>
      </c>
      <c r="G1797" t="s">
        <v>1172</v>
      </c>
      <c r="H1797" s="1">
        <v>45413.765277777777</v>
      </c>
      <c r="I1797" s="1">
        <v>45413.970138888886</v>
      </c>
      <c r="J1797">
        <v>226</v>
      </c>
      <c r="K1797">
        <v>295</v>
      </c>
      <c r="L1797">
        <v>1</v>
      </c>
      <c r="M1797" t="s">
        <v>41</v>
      </c>
      <c r="N1797">
        <v>5</v>
      </c>
      <c r="O1797">
        <v>357.19</v>
      </c>
    </row>
    <row r="1798" spans="1:15" x14ac:dyDescent="0.35">
      <c r="A1798" t="s">
        <v>3779</v>
      </c>
      <c r="B1798" t="s">
        <v>51</v>
      </c>
      <c r="C1798" t="s">
        <v>3780</v>
      </c>
      <c r="D1798" t="s">
        <v>48</v>
      </c>
      <c r="E1798" t="s">
        <v>19</v>
      </c>
      <c r="F1798" t="s">
        <v>39</v>
      </c>
      <c r="G1798" t="s">
        <v>669</v>
      </c>
      <c r="H1798" s="1">
        <v>45538.748611111114</v>
      </c>
      <c r="I1798" s="1">
        <v>45538.866666666669</v>
      </c>
      <c r="J1798">
        <v>169</v>
      </c>
      <c r="K1798">
        <v>170</v>
      </c>
      <c r="L1798">
        <v>1</v>
      </c>
      <c r="M1798" t="s">
        <v>29</v>
      </c>
      <c r="N1798">
        <v>9</v>
      </c>
      <c r="O1798">
        <v>353.05</v>
      </c>
    </row>
    <row r="1799" spans="1:15" x14ac:dyDescent="0.35">
      <c r="A1799" t="s">
        <v>3781</v>
      </c>
      <c r="B1799" t="s">
        <v>24</v>
      </c>
      <c r="C1799" t="s">
        <v>3782</v>
      </c>
      <c r="D1799" t="s">
        <v>44</v>
      </c>
      <c r="E1799" t="s">
        <v>33</v>
      </c>
      <c r="F1799" t="s">
        <v>39</v>
      </c>
      <c r="G1799" t="s">
        <v>402</v>
      </c>
      <c r="H1799" s="1">
        <v>45295.073611111111</v>
      </c>
      <c r="I1799" s="1">
        <v>45295.177777777775</v>
      </c>
      <c r="J1799">
        <v>148</v>
      </c>
      <c r="K1799">
        <v>150</v>
      </c>
      <c r="L1799">
        <v>1</v>
      </c>
      <c r="M1799" t="s">
        <v>22</v>
      </c>
      <c r="N1799">
        <v>1</v>
      </c>
      <c r="O1799">
        <v>410.48</v>
      </c>
    </row>
    <row r="1800" spans="1:15" x14ac:dyDescent="0.35">
      <c r="A1800" t="s">
        <v>3783</v>
      </c>
      <c r="B1800" t="s">
        <v>24</v>
      </c>
      <c r="C1800" t="s">
        <v>3784</v>
      </c>
      <c r="D1800" t="s">
        <v>56</v>
      </c>
      <c r="E1800" t="s">
        <v>33</v>
      </c>
      <c r="F1800" t="s">
        <v>34</v>
      </c>
      <c r="G1800" t="s">
        <v>647</v>
      </c>
      <c r="H1800" s="1">
        <v>45593.027777777781</v>
      </c>
      <c r="I1800" s="1">
        <v>45593.142361111109</v>
      </c>
      <c r="J1800">
        <v>120</v>
      </c>
      <c r="K1800">
        <v>165</v>
      </c>
      <c r="L1800">
        <v>1</v>
      </c>
      <c r="M1800" t="s">
        <v>41</v>
      </c>
      <c r="N1800">
        <v>4</v>
      </c>
      <c r="O1800">
        <v>228.09</v>
      </c>
    </row>
    <row r="1801" spans="1:15" x14ac:dyDescent="0.35">
      <c r="A1801" t="s">
        <v>3785</v>
      </c>
      <c r="B1801" t="s">
        <v>24</v>
      </c>
      <c r="C1801" t="s">
        <v>3786</v>
      </c>
      <c r="D1801" t="s">
        <v>26</v>
      </c>
      <c r="E1801" t="s">
        <v>38</v>
      </c>
      <c r="F1801" t="s">
        <v>20</v>
      </c>
      <c r="G1801" t="s">
        <v>622</v>
      </c>
      <c r="H1801" s="1">
        <v>45381.037499999999</v>
      </c>
      <c r="I1801" s="1">
        <v>45381.119444444441</v>
      </c>
      <c r="J1801">
        <v>49</v>
      </c>
      <c r="K1801">
        <v>118</v>
      </c>
      <c r="L1801">
        <v>1</v>
      </c>
      <c r="M1801" t="s">
        <v>22</v>
      </c>
      <c r="N1801">
        <v>10</v>
      </c>
      <c r="O1801">
        <v>223</v>
      </c>
    </row>
    <row r="1802" spans="1:15" x14ac:dyDescent="0.35">
      <c r="A1802" t="s">
        <v>3787</v>
      </c>
      <c r="B1802" t="s">
        <v>31</v>
      </c>
      <c r="C1802" t="s">
        <v>3788</v>
      </c>
      <c r="D1802" t="s">
        <v>56</v>
      </c>
      <c r="E1802" t="s">
        <v>85</v>
      </c>
      <c r="F1802" t="s">
        <v>57</v>
      </c>
      <c r="G1802" t="s">
        <v>459</v>
      </c>
      <c r="H1802" s="1">
        <v>45418.395138888889</v>
      </c>
      <c r="I1802" s="1">
        <v>45418.457638888889</v>
      </c>
      <c r="J1802">
        <v>32</v>
      </c>
      <c r="K1802">
        <v>90</v>
      </c>
      <c r="L1802">
        <v>1</v>
      </c>
      <c r="M1802" t="s">
        <v>29</v>
      </c>
      <c r="N1802">
        <v>7</v>
      </c>
      <c r="O1802">
        <v>499.92</v>
      </c>
    </row>
    <row r="1803" spans="1:15" x14ac:dyDescent="0.35">
      <c r="A1803" t="s">
        <v>3789</v>
      </c>
      <c r="B1803" t="s">
        <v>31</v>
      </c>
      <c r="C1803" t="s">
        <v>3790</v>
      </c>
      <c r="D1803" t="s">
        <v>18</v>
      </c>
      <c r="E1803" t="s">
        <v>33</v>
      </c>
      <c r="F1803" t="s">
        <v>20</v>
      </c>
      <c r="G1803" t="s">
        <v>810</v>
      </c>
      <c r="H1803" s="1">
        <v>45462.823611111111</v>
      </c>
      <c r="I1803" s="1">
        <v>45463.006249999999</v>
      </c>
      <c r="J1803">
        <v>166</v>
      </c>
      <c r="K1803">
        <v>263</v>
      </c>
      <c r="L1803">
        <v>1</v>
      </c>
      <c r="M1803" t="s">
        <v>29</v>
      </c>
      <c r="N1803">
        <v>1</v>
      </c>
      <c r="O1803">
        <v>490.78</v>
      </c>
    </row>
    <row r="1804" spans="1:15" x14ac:dyDescent="0.35">
      <c r="A1804" t="s">
        <v>3791</v>
      </c>
      <c r="B1804" t="s">
        <v>24</v>
      </c>
      <c r="C1804" t="s">
        <v>3792</v>
      </c>
      <c r="D1804" t="s">
        <v>18</v>
      </c>
      <c r="E1804" t="s">
        <v>33</v>
      </c>
      <c r="F1804" t="s">
        <v>39</v>
      </c>
      <c r="G1804" t="s">
        <v>749</v>
      </c>
      <c r="H1804" s="1">
        <v>45508.25277777778</v>
      </c>
      <c r="I1804" s="1">
        <v>45508.395833333336</v>
      </c>
      <c r="J1804">
        <v>86</v>
      </c>
      <c r="K1804">
        <v>206</v>
      </c>
      <c r="L1804">
        <v>1</v>
      </c>
      <c r="M1804" t="s">
        <v>29</v>
      </c>
      <c r="N1804">
        <v>3</v>
      </c>
      <c r="O1804">
        <v>112.01</v>
      </c>
    </row>
    <row r="1805" spans="1:15" x14ac:dyDescent="0.35">
      <c r="A1805" t="s">
        <v>3793</v>
      </c>
      <c r="B1805" t="s">
        <v>51</v>
      </c>
      <c r="C1805" t="s">
        <v>3794</v>
      </c>
      <c r="D1805" t="s">
        <v>44</v>
      </c>
      <c r="E1805" t="s">
        <v>33</v>
      </c>
      <c r="F1805" t="s">
        <v>27</v>
      </c>
      <c r="G1805" t="s">
        <v>577</v>
      </c>
      <c r="H1805" s="1">
        <v>45485.761111111111</v>
      </c>
      <c r="I1805" s="1">
        <v>45485.863194444442</v>
      </c>
      <c r="J1805">
        <v>132</v>
      </c>
      <c r="K1805">
        <v>147</v>
      </c>
      <c r="L1805">
        <v>1</v>
      </c>
      <c r="M1805" t="s">
        <v>29</v>
      </c>
      <c r="N1805">
        <v>7</v>
      </c>
      <c r="O1805">
        <v>129.63999999999999</v>
      </c>
    </row>
    <row r="1806" spans="1:15" x14ac:dyDescent="0.35">
      <c r="A1806" t="s">
        <v>3795</v>
      </c>
      <c r="B1806" t="s">
        <v>31</v>
      </c>
      <c r="C1806" t="s">
        <v>3796</v>
      </c>
      <c r="D1806" t="s">
        <v>48</v>
      </c>
      <c r="E1806" t="s">
        <v>85</v>
      </c>
      <c r="F1806" t="s">
        <v>34</v>
      </c>
      <c r="G1806" t="s">
        <v>1030</v>
      </c>
      <c r="H1806" s="1">
        <v>45593.275694444441</v>
      </c>
      <c r="I1806" s="1">
        <v>45593.46875</v>
      </c>
      <c r="J1806">
        <v>210</v>
      </c>
      <c r="K1806">
        <v>278</v>
      </c>
      <c r="L1806">
        <v>1</v>
      </c>
      <c r="M1806" t="s">
        <v>22</v>
      </c>
      <c r="N1806">
        <v>7</v>
      </c>
      <c r="O1806">
        <v>376.91</v>
      </c>
    </row>
    <row r="1807" spans="1:15" x14ac:dyDescent="0.35">
      <c r="A1807" t="s">
        <v>3797</v>
      </c>
      <c r="B1807" t="s">
        <v>16</v>
      </c>
      <c r="C1807" t="s">
        <v>3798</v>
      </c>
      <c r="D1807" t="s">
        <v>48</v>
      </c>
      <c r="E1807" t="s">
        <v>38</v>
      </c>
      <c r="F1807" t="s">
        <v>34</v>
      </c>
      <c r="G1807" t="s">
        <v>445</v>
      </c>
      <c r="H1807" s="1">
        <v>45340.967361111114</v>
      </c>
      <c r="I1807" s="1">
        <v>45341.167361111111</v>
      </c>
      <c r="J1807">
        <v>240</v>
      </c>
      <c r="K1807">
        <v>288</v>
      </c>
      <c r="L1807">
        <v>1</v>
      </c>
      <c r="M1807" t="s">
        <v>29</v>
      </c>
      <c r="N1807">
        <v>9</v>
      </c>
      <c r="O1807">
        <v>143.47</v>
      </c>
    </row>
    <row r="1808" spans="1:15" x14ac:dyDescent="0.35">
      <c r="A1808" t="s">
        <v>3799</v>
      </c>
      <c r="B1808" t="s">
        <v>31</v>
      </c>
      <c r="C1808" t="s">
        <v>3800</v>
      </c>
      <c r="D1808" t="s">
        <v>48</v>
      </c>
      <c r="E1808" t="s">
        <v>19</v>
      </c>
      <c r="F1808" t="s">
        <v>27</v>
      </c>
      <c r="G1808" t="s">
        <v>231</v>
      </c>
      <c r="H1808" s="1">
        <v>45492.239583333336</v>
      </c>
      <c r="I1808" s="1">
        <v>45492.443055555559</v>
      </c>
      <c r="J1808">
        <v>196</v>
      </c>
      <c r="K1808">
        <v>293</v>
      </c>
      <c r="L1808">
        <v>1</v>
      </c>
      <c r="M1808" t="s">
        <v>22</v>
      </c>
      <c r="N1808">
        <v>5</v>
      </c>
      <c r="O1808">
        <v>88.24</v>
      </c>
    </row>
    <row r="1809" spans="1:15" x14ac:dyDescent="0.35">
      <c r="A1809" t="s">
        <v>3801</v>
      </c>
      <c r="B1809" t="s">
        <v>63</v>
      </c>
      <c r="C1809" t="s">
        <v>3802</v>
      </c>
      <c r="D1809" t="s">
        <v>18</v>
      </c>
      <c r="E1809" t="s">
        <v>38</v>
      </c>
      <c r="F1809" t="s">
        <v>39</v>
      </c>
      <c r="G1809" t="s">
        <v>45</v>
      </c>
      <c r="H1809" s="1">
        <v>45610.245138888888</v>
      </c>
      <c r="I1809" s="1">
        <v>45610.381944444445</v>
      </c>
      <c r="J1809">
        <v>81</v>
      </c>
      <c r="K1809">
        <v>197</v>
      </c>
      <c r="L1809">
        <v>1</v>
      </c>
      <c r="M1809" t="s">
        <v>41</v>
      </c>
      <c r="N1809">
        <v>6</v>
      </c>
      <c r="O1809">
        <v>358.89</v>
      </c>
    </row>
    <row r="1810" spans="1:15" x14ac:dyDescent="0.35">
      <c r="A1810" t="s">
        <v>3803</v>
      </c>
      <c r="B1810" t="s">
        <v>51</v>
      </c>
      <c r="C1810" t="s">
        <v>3804</v>
      </c>
      <c r="D1810" t="s">
        <v>48</v>
      </c>
      <c r="E1810" t="s">
        <v>85</v>
      </c>
      <c r="F1810" t="s">
        <v>39</v>
      </c>
      <c r="G1810" t="s">
        <v>577</v>
      </c>
      <c r="H1810" s="1">
        <v>45524.525000000001</v>
      </c>
      <c r="I1810" s="1">
        <v>45524.555555555555</v>
      </c>
      <c r="J1810">
        <v>22</v>
      </c>
      <c r="K1810">
        <v>44</v>
      </c>
      <c r="L1810">
        <v>1</v>
      </c>
      <c r="M1810" t="s">
        <v>29</v>
      </c>
      <c r="N1810">
        <v>3</v>
      </c>
      <c r="O1810">
        <v>463.92</v>
      </c>
    </row>
    <row r="1811" spans="1:15" x14ac:dyDescent="0.35">
      <c r="A1811" t="s">
        <v>3805</v>
      </c>
      <c r="B1811" t="s">
        <v>63</v>
      </c>
      <c r="C1811" t="s">
        <v>3806</v>
      </c>
      <c r="D1811" t="s">
        <v>18</v>
      </c>
      <c r="E1811" t="s">
        <v>38</v>
      </c>
      <c r="F1811" t="s">
        <v>20</v>
      </c>
      <c r="G1811" t="s">
        <v>140</v>
      </c>
      <c r="H1811" s="1">
        <v>45485.537499999999</v>
      </c>
      <c r="I1811" s="1">
        <v>45485.649305555555</v>
      </c>
      <c r="J1811">
        <v>123</v>
      </c>
      <c r="K1811">
        <v>161</v>
      </c>
      <c r="L1811">
        <v>1</v>
      </c>
      <c r="M1811" t="s">
        <v>29</v>
      </c>
      <c r="N1811">
        <v>7</v>
      </c>
      <c r="O1811">
        <v>314.11</v>
      </c>
    </row>
    <row r="1812" spans="1:15" x14ac:dyDescent="0.35">
      <c r="A1812" t="s">
        <v>3807</v>
      </c>
      <c r="B1812" t="s">
        <v>51</v>
      </c>
      <c r="C1812" t="s">
        <v>3808</v>
      </c>
      <c r="D1812" t="s">
        <v>26</v>
      </c>
      <c r="E1812" t="s">
        <v>33</v>
      </c>
      <c r="F1812" t="s">
        <v>39</v>
      </c>
      <c r="G1812" t="s">
        <v>622</v>
      </c>
      <c r="H1812" s="1">
        <v>45635.394444444442</v>
      </c>
      <c r="I1812" s="1">
        <v>45635.558333333334</v>
      </c>
      <c r="J1812">
        <v>169</v>
      </c>
      <c r="K1812">
        <v>236</v>
      </c>
      <c r="L1812">
        <v>1</v>
      </c>
      <c r="M1812" t="s">
        <v>22</v>
      </c>
      <c r="N1812">
        <v>5</v>
      </c>
      <c r="O1812">
        <v>380.78</v>
      </c>
    </row>
    <row r="1813" spans="1:15" x14ac:dyDescent="0.35">
      <c r="A1813" t="s">
        <v>3809</v>
      </c>
      <c r="B1813" t="s">
        <v>24</v>
      </c>
      <c r="C1813" t="s">
        <v>3810</v>
      </c>
      <c r="D1813" t="s">
        <v>56</v>
      </c>
      <c r="E1813" t="s">
        <v>19</v>
      </c>
      <c r="F1813" t="s">
        <v>39</v>
      </c>
      <c r="G1813" t="s">
        <v>155</v>
      </c>
      <c r="H1813" s="1">
        <v>45333.652777777781</v>
      </c>
      <c r="I1813" s="1">
        <v>45333.738194444442</v>
      </c>
      <c r="J1813">
        <v>125</v>
      </c>
      <c r="K1813">
        <v>123</v>
      </c>
      <c r="L1813">
        <v>0</v>
      </c>
      <c r="M1813" t="s">
        <v>41</v>
      </c>
      <c r="N1813">
        <v>9</v>
      </c>
      <c r="O1813">
        <v>305.35000000000002</v>
      </c>
    </row>
    <row r="1814" spans="1:15" x14ac:dyDescent="0.35">
      <c r="A1814" t="s">
        <v>3811</v>
      </c>
      <c r="B1814" t="s">
        <v>16</v>
      </c>
      <c r="C1814" t="s">
        <v>3812</v>
      </c>
      <c r="D1814" t="s">
        <v>56</v>
      </c>
      <c r="E1814" t="s">
        <v>33</v>
      </c>
      <c r="F1814" t="s">
        <v>57</v>
      </c>
      <c r="G1814" t="s">
        <v>188</v>
      </c>
      <c r="H1814" s="1">
        <v>45345.222222222219</v>
      </c>
      <c r="I1814" s="1">
        <v>45345.270833333336</v>
      </c>
      <c r="J1814">
        <v>15</v>
      </c>
      <c r="K1814">
        <v>70</v>
      </c>
      <c r="L1814">
        <v>1</v>
      </c>
      <c r="M1814" t="s">
        <v>29</v>
      </c>
      <c r="N1814">
        <v>5</v>
      </c>
      <c r="O1814">
        <v>344.2</v>
      </c>
    </row>
    <row r="1815" spans="1:15" x14ac:dyDescent="0.35">
      <c r="A1815" t="s">
        <v>3813</v>
      </c>
      <c r="B1815" t="s">
        <v>31</v>
      </c>
      <c r="C1815" t="s">
        <v>3814</v>
      </c>
      <c r="D1815" t="s">
        <v>44</v>
      </c>
      <c r="E1815" t="s">
        <v>19</v>
      </c>
      <c r="F1815" t="s">
        <v>34</v>
      </c>
      <c r="G1815" t="s">
        <v>810</v>
      </c>
      <c r="H1815" s="1">
        <v>45614.227777777778</v>
      </c>
      <c r="I1815" s="1">
        <v>45614.34097222222</v>
      </c>
      <c r="J1815">
        <v>140</v>
      </c>
      <c r="K1815">
        <v>163</v>
      </c>
      <c r="L1815">
        <v>1</v>
      </c>
      <c r="M1815" t="s">
        <v>29</v>
      </c>
      <c r="N1815">
        <v>10</v>
      </c>
      <c r="O1815">
        <v>486.63</v>
      </c>
    </row>
    <row r="1816" spans="1:15" x14ac:dyDescent="0.35">
      <c r="A1816" t="s">
        <v>3815</v>
      </c>
      <c r="B1816" t="s">
        <v>63</v>
      </c>
      <c r="C1816" t="s">
        <v>3816</v>
      </c>
      <c r="D1816" t="s">
        <v>26</v>
      </c>
      <c r="E1816" t="s">
        <v>85</v>
      </c>
      <c r="F1816" t="s">
        <v>57</v>
      </c>
      <c r="G1816" t="s">
        <v>383</v>
      </c>
      <c r="H1816" s="1">
        <v>45396.553472222222</v>
      </c>
      <c r="I1816" s="1">
        <v>45396.638888888891</v>
      </c>
      <c r="J1816">
        <v>23</v>
      </c>
      <c r="K1816">
        <v>123</v>
      </c>
      <c r="L1816">
        <v>1</v>
      </c>
      <c r="M1816" t="s">
        <v>22</v>
      </c>
      <c r="N1816">
        <v>3</v>
      </c>
      <c r="O1816">
        <v>450.74</v>
      </c>
    </row>
    <row r="1817" spans="1:15" x14ac:dyDescent="0.35">
      <c r="A1817" t="s">
        <v>3817</v>
      </c>
      <c r="B1817" t="s">
        <v>51</v>
      </c>
      <c r="C1817" t="s">
        <v>3818</v>
      </c>
      <c r="D1817" t="s">
        <v>56</v>
      </c>
      <c r="E1817" t="s">
        <v>19</v>
      </c>
      <c r="F1817" t="s">
        <v>57</v>
      </c>
      <c r="G1817" t="s">
        <v>1719</v>
      </c>
      <c r="H1817" s="1">
        <v>45493.438888888886</v>
      </c>
      <c r="I1817" s="1">
        <v>45493.612500000003</v>
      </c>
      <c r="J1817">
        <v>131</v>
      </c>
      <c r="K1817">
        <v>250</v>
      </c>
      <c r="L1817">
        <v>1</v>
      </c>
      <c r="M1817" t="s">
        <v>22</v>
      </c>
      <c r="N1817">
        <v>10</v>
      </c>
      <c r="O1817">
        <v>114.87</v>
      </c>
    </row>
    <row r="1818" spans="1:15" x14ac:dyDescent="0.35">
      <c r="A1818" t="s">
        <v>3819</v>
      </c>
      <c r="B1818" t="s">
        <v>24</v>
      </c>
      <c r="C1818" t="s">
        <v>3820</v>
      </c>
      <c r="D1818" t="s">
        <v>56</v>
      </c>
      <c r="E1818" t="s">
        <v>38</v>
      </c>
      <c r="F1818" t="s">
        <v>57</v>
      </c>
      <c r="G1818" t="s">
        <v>40</v>
      </c>
      <c r="H1818" s="1">
        <v>45339.133333333331</v>
      </c>
      <c r="I1818" s="1">
        <v>45339.188194444447</v>
      </c>
      <c r="J1818">
        <v>43</v>
      </c>
      <c r="K1818">
        <v>79</v>
      </c>
      <c r="L1818">
        <v>1</v>
      </c>
      <c r="M1818" t="s">
        <v>41</v>
      </c>
      <c r="N1818">
        <v>2</v>
      </c>
      <c r="O1818">
        <v>75.55</v>
      </c>
    </row>
    <row r="1819" spans="1:15" x14ac:dyDescent="0.35">
      <c r="A1819" t="s">
        <v>3821</v>
      </c>
      <c r="B1819" t="s">
        <v>63</v>
      </c>
      <c r="C1819" t="s">
        <v>3822</v>
      </c>
      <c r="D1819" t="s">
        <v>18</v>
      </c>
      <c r="E1819" t="s">
        <v>38</v>
      </c>
      <c r="F1819" t="s">
        <v>27</v>
      </c>
      <c r="G1819" t="s">
        <v>58</v>
      </c>
      <c r="H1819" s="1">
        <v>45296.29583333333</v>
      </c>
      <c r="I1819" s="1">
        <v>45296.347916666666</v>
      </c>
      <c r="J1819">
        <v>16</v>
      </c>
      <c r="K1819">
        <v>75</v>
      </c>
      <c r="L1819">
        <v>1</v>
      </c>
      <c r="M1819" t="s">
        <v>22</v>
      </c>
      <c r="N1819">
        <v>2</v>
      </c>
      <c r="O1819">
        <v>270.04000000000002</v>
      </c>
    </row>
    <row r="1820" spans="1:15" x14ac:dyDescent="0.35">
      <c r="A1820" t="s">
        <v>3823</v>
      </c>
      <c r="B1820" t="s">
        <v>16</v>
      </c>
      <c r="C1820" t="s">
        <v>3824</v>
      </c>
      <c r="D1820" t="s">
        <v>56</v>
      </c>
      <c r="E1820" t="s">
        <v>33</v>
      </c>
      <c r="F1820" t="s">
        <v>57</v>
      </c>
      <c r="G1820" t="s">
        <v>615</v>
      </c>
      <c r="H1820" s="1">
        <v>45438.466666666667</v>
      </c>
      <c r="I1820" s="1">
        <v>45438.51666666667</v>
      </c>
      <c r="J1820">
        <v>60</v>
      </c>
      <c r="K1820">
        <v>72</v>
      </c>
      <c r="L1820">
        <v>1</v>
      </c>
      <c r="M1820" t="s">
        <v>29</v>
      </c>
      <c r="N1820">
        <v>1</v>
      </c>
      <c r="O1820">
        <v>333.84</v>
      </c>
    </row>
    <row r="1821" spans="1:15" x14ac:dyDescent="0.35">
      <c r="A1821" t="s">
        <v>3825</v>
      </c>
      <c r="B1821" t="s">
        <v>63</v>
      </c>
      <c r="C1821" t="s">
        <v>3826</v>
      </c>
      <c r="D1821" t="s">
        <v>56</v>
      </c>
      <c r="E1821" t="s">
        <v>85</v>
      </c>
      <c r="F1821" t="s">
        <v>20</v>
      </c>
      <c r="G1821" t="s">
        <v>338</v>
      </c>
      <c r="H1821" s="1">
        <v>45384.219444444447</v>
      </c>
      <c r="I1821" s="1">
        <v>45384.371527777781</v>
      </c>
      <c r="J1821">
        <v>149</v>
      </c>
      <c r="K1821">
        <v>219</v>
      </c>
      <c r="L1821">
        <v>1</v>
      </c>
      <c r="M1821" t="s">
        <v>22</v>
      </c>
      <c r="N1821">
        <v>8</v>
      </c>
      <c r="O1821">
        <v>404.39</v>
      </c>
    </row>
    <row r="1822" spans="1:15" x14ac:dyDescent="0.35">
      <c r="A1822" t="s">
        <v>3827</v>
      </c>
      <c r="B1822" t="s">
        <v>24</v>
      </c>
      <c r="C1822" t="s">
        <v>3828</v>
      </c>
      <c r="D1822" t="s">
        <v>44</v>
      </c>
      <c r="E1822" t="s">
        <v>33</v>
      </c>
      <c r="F1822" t="s">
        <v>39</v>
      </c>
      <c r="G1822" t="s">
        <v>500</v>
      </c>
      <c r="H1822" s="1">
        <v>45610.712500000001</v>
      </c>
      <c r="I1822" s="1">
        <v>45610.856944444444</v>
      </c>
      <c r="J1822">
        <v>174</v>
      </c>
      <c r="K1822">
        <v>208</v>
      </c>
      <c r="L1822">
        <v>1</v>
      </c>
      <c r="M1822" t="s">
        <v>22</v>
      </c>
      <c r="N1822">
        <v>7</v>
      </c>
      <c r="O1822">
        <v>114.29</v>
      </c>
    </row>
    <row r="1823" spans="1:15" x14ac:dyDescent="0.35">
      <c r="A1823" t="s">
        <v>3829</v>
      </c>
      <c r="B1823" t="s">
        <v>63</v>
      </c>
      <c r="C1823" t="s">
        <v>3830</v>
      </c>
      <c r="D1823" t="s">
        <v>56</v>
      </c>
      <c r="E1823" t="s">
        <v>85</v>
      </c>
      <c r="F1823" t="s">
        <v>57</v>
      </c>
      <c r="G1823" t="s">
        <v>231</v>
      </c>
      <c r="H1823" s="1">
        <v>45431.938888888886</v>
      </c>
      <c r="I1823" s="1">
        <v>45432.100694444445</v>
      </c>
      <c r="J1823">
        <v>174</v>
      </c>
      <c r="K1823">
        <v>233</v>
      </c>
      <c r="L1823">
        <v>1</v>
      </c>
      <c r="M1823" t="s">
        <v>22</v>
      </c>
      <c r="N1823">
        <v>5</v>
      </c>
      <c r="O1823">
        <v>285.24</v>
      </c>
    </row>
    <row r="1824" spans="1:15" x14ac:dyDescent="0.35">
      <c r="A1824" t="s">
        <v>3831</v>
      </c>
      <c r="B1824" t="s">
        <v>24</v>
      </c>
      <c r="C1824" t="s">
        <v>3832</v>
      </c>
      <c r="D1824" t="s">
        <v>26</v>
      </c>
      <c r="E1824" t="s">
        <v>85</v>
      </c>
      <c r="F1824" t="s">
        <v>27</v>
      </c>
      <c r="G1824" t="s">
        <v>1413</v>
      </c>
      <c r="H1824" s="1">
        <v>45347.051388888889</v>
      </c>
      <c r="I1824" s="1">
        <v>45347.224999999999</v>
      </c>
      <c r="J1824">
        <v>220</v>
      </c>
      <c r="K1824">
        <v>250</v>
      </c>
      <c r="L1824">
        <v>1</v>
      </c>
      <c r="M1824" t="s">
        <v>29</v>
      </c>
      <c r="N1824">
        <v>9</v>
      </c>
      <c r="O1824">
        <v>497.42</v>
      </c>
    </row>
    <row r="1825" spans="1:15" x14ac:dyDescent="0.35">
      <c r="A1825" t="s">
        <v>3833</v>
      </c>
      <c r="B1825" t="s">
        <v>24</v>
      </c>
      <c r="C1825" t="s">
        <v>3834</v>
      </c>
      <c r="D1825" t="s">
        <v>18</v>
      </c>
      <c r="E1825" t="s">
        <v>85</v>
      </c>
      <c r="F1825" t="s">
        <v>57</v>
      </c>
      <c r="G1825" t="s">
        <v>640</v>
      </c>
      <c r="H1825" s="1">
        <v>45638.44027777778</v>
      </c>
      <c r="I1825" s="1">
        <v>45638.540277777778</v>
      </c>
      <c r="J1825">
        <v>67</v>
      </c>
      <c r="K1825">
        <v>144</v>
      </c>
      <c r="L1825">
        <v>1</v>
      </c>
      <c r="M1825" t="s">
        <v>22</v>
      </c>
      <c r="N1825">
        <v>8</v>
      </c>
      <c r="O1825">
        <v>387.21</v>
      </c>
    </row>
    <row r="1826" spans="1:15" x14ac:dyDescent="0.35">
      <c r="A1826" t="s">
        <v>3835</v>
      </c>
      <c r="B1826" t="s">
        <v>51</v>
      </c>
      <c r="C1826" t="s">
        <v>3836</v>
      </c>
      <c r="D1826" t="s">
        <v>18</v>
      </c>
      <c r="E1826" t="s">
        <v>33</v>
      </c>
      <c r="F1826" t="s">
        <v>27</v>
      </c>
      <c r="G1826" t="s">
        <v>299</v>
      </c>
      <c r="H1826" s="1">
        <v>45506.712500000001</v>
      </c>
      <c r="I1826" s="1">
        <v>45506.805555555555</v>
      </c>
      <c r="J1826">
        <v>81</v>
      </c>
      <c r="K1826">
        <v>134</v>
      </c>
      <c r="L1826">
        <v>1</v>
      </c>
      <c r="M1826" t="s">
        <v>22</v>
      </c>
      <c r="N1826">
        <v>5</v>
      </c>
      <c r="O1826">
        <v>357.09</v>
      </c>
    </row>
    <row r="1827" spans="1:15" x14ac:dyDescent="0.35">
      <c r="A1827" t="s">
        <v>3837</v>
      </c>
      <c r="B1827" t="s">
        <v>16</v>
      </c>
      <c r="C1827" t="s">
        <v>3838</v>
      </c>
      <c r="D1827" t="s">
        <v>48</v>
      </c>
      <c r="E1827" t="s">
        <v>33</v>
      </c>
      <c r="F1827" t="s">
        <v>57</v>
      </c>
      <c r="G1827" t="s">
        <v>65</v>
      </c>
      <c r="H1827" s="1">
        <v>45647.931250000001</v>
      </c>
      <c r="I1827" s="1">
        <v>45648.149305555555</v>
      </c>
      <c r="J1827">
        <v>206</v>
      </c>
      <c r="K1827">
        <v>314</v>
      </c>
      <c r="L1827">
        <v>1</v>
      </c>
      <c r="M1827" t="s">
        <v>22</v>
      </c>
      <c r="N1827">
        <v>4</v>
      </c>
      <c r="O1827">
        <v>267.07</v>
      </c>
    </row>
    <row r="1828" spans="1:15" x14ac:dyDescent="0.35">
      <c r="A1828" t="s">
        <v>3839</v>
      </c>
      <c r="B1828" t="s">
        <v>31</v>
      </c>
      <c r="C1828" t="s">
        <v>3840</v>
      </c>
      <c r="D1828" t="s">
        <v>56</v>
      </c>
      <c r="E1828" t="s">
        <v>38</v>
      </c>
      <c r="F1828" t="s">
        <v>39</v>
      </c>
      <c r="G1828" t="s">
        <v>161</v>
      </c>
      <c r="H1828" s="1">
        <v>45593.943749999999</v>
      </c>
      <c r="I1828" s="1">
        <v>45594.045138888891</v>
      </c>
      <c r="J1828">
        <v>135</v>
      </c>
      <c r="K1828">
        <v>146</v>
      </c>
      <c r="L1828">
        <v>1</v>
      </c>
      <c r="M1828" t="s">
        <v>22</v>
      </c>
      <c r="N1828">
        <v>7</v>
      </c>
      <c r="O1828">
        <v>65.95</v>
      </c>
    </row>
    <row r="1829" spans="1:15" x14ac:dyDescent="0.35">
      <c r="A1829" t="s">
        <v>3841</v>
      </c>
      <c r="B1829" t="s">
        <v>16</v>
      </c>
      <c r="C1829" t="s">
        <v>3842</v>
      </c>
      <c r="D1829" t="s">
        <v>44</v>
      </c>
      <c r="E1829" t="s">
        <v>85</v>
      </c>
      <c r="F1829" t="s">
        <v>34</v>
      </c>
      <c r="G1829" t="s">
        <v>1719</v>
      </c>
      <c r="H1829" s="1">
        <v>45465.219444444447</v>
      </c>
      <c r="I1829" s="1">
        <v>45465.448611111111</v>
      </c>
      <c r="J1829">
        <v>213</v>
      </c>
      <c r="K1829">
        <v>330</v>
      </c>
      <c r="L1829">
        <v>1</v>
      </c>
      <c r="M1829" t="s">
        <v>41</v>
      </c>
      <c r="N1829">
        <v>5</v>
      </c>
      <c r="O1829">
        <v>189.64</v>
      </c>
    </row>
    <row r="1830" spans="1:15" x14ac:dyDescent="0.35">
      <c r="A1830" t="s">
        <v>3843</v>
      </c>
      <c r="B1830" t="s">
        <v>24</v>
      </c>
      <c r="C1830" t="s">
        <v>3844</v>
      </c>
      <c r="D1830" t="s">
        <v>44</v>
      </c>
      <c r="E1830" t="s">
        <v>38</v>
      </c>
      <c r="F1830" t="s">
        <v>27</v>
      </c>
      <c r="G1830" t="s">
        <v>1187</v>
      </c>
      <c r="H1830" s="1">
        <v>45373.815972222219</v>
      </c>
      <c r="I1830" s="1">
        <v>45373.927777777775</v>
      </c>
      <c r="J1830">
        <v>106</v>
      </c>
      <c r="K1830">
        <v>161</v>
      </c>
      <c r="L1830">
        <v>1</v>
      </c>
      <c r="M1830" t="s">
        <v>29</v>
      </c>
      <c r="N1830">
        <v>1</v>
      </c>
      <c r="O1830">
        <v>299.63</v>
      </c>
    </row>
    <row r="1831" spans="1:15" x14ac:dyDescent="0.35">
      <c r="A1831" t="s">
        <v>3845</v>
      </c>
      <c r="B1831" t="s">
        <v>31</v>
      </c>
      <c r="C1831" t="s">
        <v>3846</v>
      </c>
      <c r="D1831" t="s">
        <v>48</v>
      </c>
      <c r="E1831" t="s">
        <v>38</v>
      </c>
      <c r="F1831" t="s">
        <v>39</v>
      </c>
      <c r="G1831" t="s">
        <v>293</v>
      </c>
      <c r="H1831" s="1">
        <v>45420.052777777775</v>
      </c>
      <c r="I1831" s="1">
        <v>45420.142361111109</v>
      </c>
      <c r="J1831">
        <v>81</v>
      </c>
      <c r="K1831">
        <v>129</v>
      </c>
      <c r="L1831">
        <v>1</v>
      </c>
      <c r="M1831" t="s">
        <v>41</v>
      </c>
      <c r="N1831">
        <v>4</v>
      </c>
      <c r="O1831">
        <v>99.66</v>
      </c>
    </row>
    <row r="1832" spans="1:15" x14ac:dyDescent="0.35">
      <c r="A1832" t="s">
        <v>3847</v>
      </c>
      <c r="B1832" t="s">
        <v>51</v>
      </c>
      <c r="C1832" t="s">
        <v>3848</v>
      </c>
      <c r="D1832" t="s">
        <v>56</v>
      </c>
      <c r="E1832" t="s">
        <v>85</v>
      </c>
      <c r="F1832" t="s">
        <v>39</v>
      </c>
      <c r="G1832" t="s">
        <v>1413</v>
      </c>
      <c r="H1832" s="1">
        <v>45646.87777777778</v>
      </c>
      <c r="I1832" s="1">
        <v>45647.056250000001</v>
      </c>
      <c r="J1832">
        <v>222</v>
      </c>
      <c r="K1832">
        <v>257</v>
      </c>
      <c r="L1832">
        <v>1</v>
      </c>
      <c r="M1832" t="s">
        <v>22</v>
      </c>
      <c r="N1832">
        <v>10</v>
      </c>
      <c r="O1832">
        <v>165.58</v>
      </c>
    </row>
    <row r="1833" spans="1:15" x14ac:dyDescent="0.35">
      <c r="A1833" t="s">
        <v>3849</v>
      </c>
      <c r="B1833" t="s">
        <v>31</v>
      </c>
      <c r="C1833" t="s">
        <v>3850</v>
      </c>
      <c r="D1833" t="s">
        <v>18</v>
      </c>
      <c r="E1833" t="s">
        <v>33</v>
      </c>
      <c r="F1833" t="s">
        <v>39</v>
      </c>
      <c r="G1833" t="s">
        <v>94</v>
      </c>
      <c r="H1833" s="1">
        <v>45436.561111111114</v>
      </c>
      <c r="I1833" s="1">
        <v>45436.676388888889</v>
      </c>
      <c r="J1833">
        <v>109</v>
      </c>
      <c r="K1833">
        <v>166</v>
      </c>
      <c r="L1833">
        <v>1</v>
      </c>
      <c r="M1833" t="s">
        <v>41</v>
      </c>
      <c r="N1833">
        <v>2</v>
      </c>
      <c r="O1833">
        <v>317.27999999999997</v>
      </c>
    </row>
    <row r="1834" spans="1:15" x14ac:dyDescent="0.35">
      <c r="A1834" t="s">
        <v>3851</v>
      </c>
      <c r="B1834" t="s">
        <v>63</v>
      </c>
      <c r="C1834" t="s">
        <v>3852</v>
      </c>
      <c r="D1834" t="s">
        <v>18</v>
      </c>
      <c r="E1834" t="s">
        <v>38</v>
      </c>
      <c r="F1834" t="s">
        <v>57</v>
      </c>
      <c r="G1834" t="s">
        <v>418</v>
      </c>
      <c r="H1834" s="1">
        <v>45491.966666666667</v>
      </c>
      <c r="I1834" s="1">
        <v>45492.050694444442</v>
      </c>
      <c r="J1834">
        <v>104</v>
      </c>
      <c r="K1834">
        <v>121</v>
      </c>
      <c r="L1834">
        <v>1</v>
      </c>
      <c r="M1834" t="s">
        <v>29</v>
      </c>
      <c r="N1834">
        <v>2</v>
      </c>
      <c r="O1834">
        <v>267.83999999999997</v>
      </c>
    </row>
    <row r="1835" spans="1:15" x14ac:dyDescent="0.35">
      <c r="A1835" t="s">
        <v>3853</v>
      </c>
      <c r="B1835" t="s">
        <v>63</v>
      </c>
      <c r="C1835" t="s">
        <v>3854</v>
      </c>
      <c r="D1835" t="s">
        <v>26</v>
      </c>
      <c r="E1835" t="s">
        <v>38</v>
      </c>
      <c r="F1835" t="s">
        <v>39</v>
      </c>
      <c r="G1835" t="s">
        <v>782</v>
      </c>
      <c r="H1835" s="1">
        <v>45599.884027777778</v>
      </c>
      <c r="I1835" s="1">
        <v>45600.010416666664</v>
      </c>
      <c r="J1835">
        <v>157</v>
      </c>
      <c r="K1835">
        <v>182</v>
      </c>
      <c r="L1835">
        <v>1</v>
      </c>
      <c r="M1835" t="s">
        <v>41</v>
      </c>
      <c r="N1835">
        <v>2</v>
      </c>
      <c r="O1835">
        <v>497.73</v>
      </c>
    </row>
    <row r="1836" spans="1:15" x14ac:dyDescent="0.35">
      <c r="A1836" t="s">
        <v>3855</v>
      </c>
      <c r="B1836" t="s">
        <v>24</v>
      </c>
      <c r="C1836" t="s">
        <v>3856</v>
      </c>
      <c r="D1836" t="s">
        <v>56</v>
      </c>
      <c r="E1836" t="s">
        <v>19</v>
      </c>
      <c r="F1836" t="s">
        <v>20</v>
      </c>
      <c r="G1836" t="s">
        <v>82</v>
      </c>
      <c r="H1836" s="1">
        <v>45378.695833333331</v>
      </c>
      <c r="I1836" s="1">
        <v>45378.816666666666</v>
      </c>
      <c r="J1836">
        <v>56</v>
      </c>
      <c r="K1836">
        <v>174</v>
      </c>
      <c r="L1836">
        <v>1</v>
      </c>
      <c r="M1836" t="s">
        <v>22</v>
      </c>
      <c r="N1836">
        <v>7</v>
      </c>
      <c r="O1836">
        <v>422.24</v>
      </c>
    </row>
    <row r="1837" spans="1:15" x14ac:dyDescent="0.35">
      <c r="A1837" t="s">
        <v>3857</v>
      </c>
      <c r="B1837" t="s">
        <v>31</v>
      </c>
      <c r="C1837" t="s">
        <v>3858</v>
      </c>
      <c r="D1837" t="s">
        <v>44</v>
      </c>
      <c r="E1837" t="s">
        <v>33</v>
      </c>
      <c r="F1837" t="s">
        <v>27</v>
      </c>
      <c r="G1837" t="s">
        <v>299</v>
      </c>
      <c r="H1837" s="1">
        <v>45310.98333333333</v>
      </c>
      <c r="I1837" s="1">
        <v>45311.154166666667</v>
      </c>
      <c r="J1837">
        <v>227</v>
      </c>
      <c r="K1837">
        <v>246</v>
      </c>
      <c r="L1837">
        <v>1</v>
      </c>
      <c r="M1837" t="s">
        <v>29</v>
      </c>
      <c r="N1837">
        <v>3</v>
      </c>
      <c r="O1837">
        <v>347.69</v>
      </c>
    </row>
    <row r="1838" spans="1:15" x14ac:dyDescent="0.35">
      <c r="A1838" t="s">
        <v>3859</v>
      </c>
      <c r="B1838" t="s">
        <v>63</v>
      </c>
      <c r="C1838" t="s">
        <v>3860</v>
      </c>
      <c r="D1838" t="s">
        <v>56</v>
      </c>
      <c r="E1838" t="s">
        <v>19</v>
      </c>
      <c r="F1838" t="s">
        <v>39</v>
      </c>
      <c r="G1838" t="s">
        <v>785</v>
      </c>
      <c r="H1838" s="1">
        <v>45444.384722222225</v>
      </c>
      <c r="I1838" s="1">
        <v>45444.574305555558</v>
      </c>
      <c r="J1838">
        <v>219</v>
      </c>
      <c r="K1838">
        <v>273</v>
      </c>
      <c r="L1838">
        <v>1</v>
      </c>
      <c r="M1838" t="s">
        <v>29</v>
      </c>
      <c r="N1838">
        <v>5</v>
      </c>
      <c r="O1838">
        <v>164.5</v>
      </c>
    </row>
    <row r="1839" spans="1:15" x14ac:dyDescent="0.35">
      <c r="A1839" t="s">
        <v>3861</v>
      </c>
      <c r="B1839" t="s">
        <v>63</v>
      </c>
      <c r="C1839" t="s">
        <v>3862</v>
      </c>
      <c r="D1839" t="s">
        <v>44</v>
      </c>
      <c r="E1839" t="s">
        <v>38</v>
      </c>
      <c r="F1839" t="s">
        <v>57</v>
      </c>
      <c r="G1839" t="s">
        <v>1030</v>
      </c>
      <c r="H1839" s="1">
        <v>45416.281944444447</v>
      </c>
      <c r="I1839" s="1">
        <v>45416.374305555553</v>
      </c>
      <c r="J1839">
        <v>126</v>
      </c>
      <c r="K1839">
        <v>133</v>
      </c>
      <c r="L1839">
        <v>1</v>
      </c>
      <c r="M1839" t="s">
        <v>29</v>
      </c>
      <c r="N1839">
        <v>5</v>
      </c>
      <c r="O1839">
        <v>250.37</v>
      </c>
    </row>
    <row r="1840" spans="1:15" x14ac:dyDescent="0.35">
      <c r="A1840" t="s">
        <v>3863</v>
      </c>
      <c r="B1840" t="s">
        <v>31</v>
      </c>
      <c r="C1840" t="s">
        <v>3864</v>
      </c>
      <c r="D1840" t="s">
        <v>18</v>
      </c>
      <c r="E1840" t="s">
        <v>85</v>
      </c>
      <c r="F1840" t="s">
        <v>20</v>
      </c>
      <c r="G1840" t="s">
        <v>97</v>
      </c>
      <c r="H1840" s="1">
        <v>45456.944444444445</v>
      </c>
      <c r="I1840" s="1">
        <v>45457.023611111108</v>
      </c>
      <c r="J1840">
        <v>106</v>
      </c>
      <c r="K1840">
        <v>114</v>
      </c>
      <c r="L1840">
        <v>1</v>
      </c>
      <c r="M1840" t="s">
        <v>29</v>
      </c>
      <c r="N1840">
        <v>6</v>
      </c>
      <c r="O1840">
        <v>398.78</v>
      </c>
    </row>
    <row r="1841" spans="1:15" x14ac:dyDescent="0.35">
      <c r="A1841" t="s">
        <v>3865</v>
      </c>
      <c r="B1841" t="s">
        <v>63</v>
      </c>
      <c r="C1841" t="s">
        <v>3866</v>
      </c>
      <c r="D1841" t="s">
        <v>48</v>
      </c>
      <c r="E1841" t="s">
        <v>85</v>
      </c>
      <c r="F1841" t="s">
        <v>27</v>
      </c>
      <c r="G1841" t="s">
        <v>669</v>
      </c>
      <c r="H1841" s="1">
        <v>45411.07916666667</v>
      </c>
      <c r="I1841" s="1">
        <v>45411.172222222223</v>
      </c>
      <c r="J1841">
        <v>118</v>
      </c>
      <c r="K1841">
        <v>134</v>
      </c>
      <c r="L1841">
        <v>1</v>
      </c>
      <c r="M1841" t="s">
        <v>22</v>
      </c>
      <c r="N1841">
        <v>8</v>
      </c>
      <c r="O1841">
        <v>458.89</v>
      </c>
    </row>
    <row r="1842" spans="1:15" x14ac:dyDescent="0.35">
      <c r="A1842" t="s">
        <v>3867</v>
      </c>
      <c r="B1842" t="s">
        <v>31</v>
      </c>
      <c r="C1842" t="s">
        <v>3868</v>
      </c>
      <c r="D1842" t="s">
        <v>18</v>
      </c>
      <c r="E1842" t="s">
        <v>38</v>
      </c>
      <c r="F1842" t="s">
        <v>20</v>
      </c>
      <c r="G1842" t="s">
        <v>500</v>
      </c>
      <c r="H1842" s="1">
        <v>45528.00277777778</v>
      </c>
      <c r="I1842" s="1">
        <v>45528.197222222225</v>
      </c>
      <c r="J1842">
        <v>226</v>
      </c>
      <c r="K1842">
        <v>280</v>
      </c>
      <c r="L1842">
        <v>1</v>
      </c>
      <c r="M1842" t="s">
        <v>41</v>
      </c>
      <c r="N1842">
        <v>1</v>
      </c>
      <c r="O1842">
        <v>233.05</v>
      </c>
    </row>
    <row r="1843" spans="1:15" x14ac:dyDescent="0.35">
      <c r="A1843" t="s">
        <v>3869</v>
      </c>
      <c r="B1843" t="s">
        <v>63</v>
      </c>
      <c r="C1843" t="s">
        <v>3870</v>
      </c>
      <c r="D1843" t="s">
        <v>48</v>
      </c>
      <c r="E1843" t="s">
        <v>85</v>
      </c>
      <c r="F1843" t="s">
        <v>27</v>
      </c>
      <c r="G1843" t="s">
        <v>691</v>
      </c>
      <c r="H1843" s="1">
        <v>45650.584722222222</v>
      </c>
      <c r="I1843" s="1">
        <v>45650.615277777775</v>
      </c>
      <c r="J1843">
        <v>20</v>
      </c>
      <c r="K1843">
        <v>44</v>
      </c>
      <c r="L1843">
        <v>1</v>
      </c>
      <c r="M1843" t="s">
        <v>29</v>
      </c>
      <c r="N1843">
        <v>10</v>
      </c>
      <c r="O1843">
        <v>299.11</v>
      </c>
    </row>
    <row r="1844" spans="1:15" x14ac:dyDescent="0.35">
      <c r="A1844" t="s">
        <v>3871</v>
      </c>
      <c r="B1844" t="s">
        <v>24</v>
      </c>
      <c r="C1844" t="s">
        <v>3872</v>
      </c>
      <c r="D1844" t="s">
        <v>44</v>
      </c>
      <c r="E1844" t="s">
        <v>85</v>
      </c>
      <c r="F1844" t="s">
        <v>34</v>
      </c>
      <c r="G1844" t="s">
        <v>410</v>
      </c>
      <c r="H1844" s="1">
        <v>45650.652777777781</v>
      </c>
      <c r="I1844" s="1">
        <v>45650.847916666666</v>
      </c>
      <c r="J1844">
        <v>234</v>
      </c>
      <c r="K1844">
        <v>281</v>
      </c>
      <c r="L1844">
        <v>1</v>
      </c>
      <c r="M1844" t="s">
        <v>22</v>
      </c>
      <c r="N1844">
        <v>4</v>
      </c>
      <c r="O1844">
        <v>144.69999999999999</v>
      </c>
    </row>
    <row r="1845" spans="1:15" x14ac:dyDescent="0.35">
      <c r="A1845" t="s">
        <v>3873</v>
      </c>
      <c r="B1845" t="s">
        <v>31</v>
      </c>
      <c r="C1845" t="s">
        <v>3874</v>
      </c>
      <c r="D1845" t="s">
        <v>44</v>
      </c>
      <c r="E1845" t="s">
        <v>19</v>
      </c>
      <c r="F1845" t="s">
        <v>20</v>
      </c>
      <c r="G1845" t="s">
        <v>810</v>
      </c>
      <c r="H1845" s="1">
        <v>45597.84652777778</v>
      </c>
      <c r="I1845" s="1">
        <v>45598.077777777777</v>
      </c>
      <c r="J1845">
        <v>227</v>
      </c>
      <c r="K1845">
        <v>333</v>
      </c>
      <c r="L1845">
        <v>1</v>
      </c>
      <c r="M1845" t="s">
        <v>41</v>
      </c>
      <c r="N1845">
        <v>9</v>
      </c>
      <c r="O1845">
        <v>105.68</v>
      </c>
    </row>
    <row r="1846" spans="1:15" x14ac:dyDescent="0.35">
      <c r="A1846" t="s">
        <v>3875</v>
      </c>
      <c r="B1846" t="s">
        <v>63</v>
      </c>
      <c r="C1846" t="s">
        <v>3876</v>
      </c>
      <c r="D1846" t="s">
        <v>26</v>
      </c>
      <c r="E1846" t="s">
        <v>85</v>
      </c>
      <c r="F1846" t="s">
        <v>27</v>
      </c>
      <c r="G1846" t="s">
        <v>505</v>
      </c>
      <c r="H1846" s="1">
        <v>45319.713194444441</v>
      </c>
      <c r="I1846" s="1">
        <v>45319.886111111111</v>
      </c>
      <c r="J1846">
        <v>215</v>
      </c>
      <c r="K1846">
        <v>249</v>
      </c>
      <c r="L1846">
        <v>1</v>
      </c>
      <c r="M1846" t="s">
        <v>29</v>
      </c>
      <c r="N1846">
        <v>4</v>
      </c>
      <c r="O1846">
        <v>181.8</v>
      </c>
    </row>
    <row r="1847" spans="1:15" x14ac:dyDescent="0.35">
      <c r="A1847" t="s">
        <v>3877</v>
      </c>
      <c r="B1847" t="s">
        <v>51</v>
      </c>
      <c r="C1847" t="s">
        <v>3878</v>
      </c>
      <c r="D1847" t="s">
        <v>26</v>
      </c>
      <c r="E1847" t="s">
        <v>19</v>
      </c>
      <c r="F1847" t="s">
        <v>57</v>
      </c>
      <c r="G1847" t="s">
        <v>521</v>
      </c>
      <c r="H1847" s="1">
        <v>45339.206944444442</v>
      </c>
      <c r="I1847" s="1">
        <v>45339.433333333334</v>
      </c>
      <c r="J1847">
        <v>239</v>
      </c>
      <c r="K1847">
        <v>326</v>
      </c>
      <c r="L1847">
        <v>1</v>
      </c>
      <c r="M1847" t="s">
        <v>29</v>
      </c>
      <c r="N1847">
        <v>2</v>
      </c>
      <c r="O1847">
        <v>482.94</v>
      </c>
    </row>
    <row r="1848" spans="1:15" x14ac:dyDescent="0.35">
      <c r="A1848" t="s">
        <v>3879</v>
      </c>
      <c r="B1848" t="s">
        <v>31</v>
      </c>
      <c r="C1848" t="s">
        <v>3880</v>
      </c>
      <c r="D1848" t="s">
        <v>44</v>
      </c>
      <c r="E1848" t="s">
        <v>33</v>
      </c>
      <c r="F1848" t="s">
        <v>57</v>
      </c>
      <c r="G1848" t="s">
        <v>546</v>
      </c>
      <c r="H1848" s="1">
        <v>45501.197222222225</v>
      </c>
      <c r="I1848" s="1">
        <v>45501.348611111112</v>
      </c>
      <c r="J1848">
        <v>107</v>
      </c>
      <c r="K1848">
        <v>218</v>
      </c>
      <c r="L1848">
        <v>1</v>
      </c>
      <c r="M1848" t="s">
        <v>29</v>
      </c>
      <c r="N1848">
        <v>10</v>
      </c>
      <c r="O1848">
        <v>440.72</v>
      </c>
    </row>
    <row r="1849" spans="1:15" x14ac:dyDescent="0.35">
      <c r="A1849" t="s">
        <v>3881</v>
      </c>
      <c r="B1849" t="s">
        <v>63</v>
      </c>
      <c r="C1849" t="s">
        <v>3882</v>
      </c>
      <c r="D1849" t="s">
        <v>44</v>
      </c>
      <c r="E1849" t="s">
        <v>33</v>
      </c>
      <c r="F1849" t="s">
        <v>27</v>
      </c>
      <c r="G1849" t="s">
        <v>149</v>
      </c>
      <c r="H1849" s="1">
        <v>45445.769444444442</v>
      </c>
      <c r="I1849" s="1">
        <v>45445.914583333331</v>
      </c>
      <c r="J1849">
        <v>127</v>
      </c>
      <c r="K1849">
        <v>209</v>
      </c>
      <c r="L1849">
        <v>1</v>
      </c>
      <c r="M1849" t="s">
        <v>29</v>
      </c>
      <c r="N1849">
        <v>6</v>
      </c>
      <c r="O1849">
        <v>67.180000000000007</v>
      </c>
    </row>
    <row r="1850" spans="1:15" x14ac:dyDescent="0.35">
      <c r="A1850" t="s">
        <v>3883</v>
      </c>
      <c r="B1850" t="s">
        <v>63</v>
      </c>
      <c r="C1850" t="s">
        <v>3884</v>
      </c>
      <c r="D1850" t="s">
        <v>18</v>
      </c>
      <c r="E1850" t="s">
        <v>38</v>
      </c>
      <c r="F1850" t="s">
        <v>27</v>
      </c>
      <c r="G1850" t="s">
        <v>73</v>
      </c>
      <c r="H1850" s="1">
        <v>45616.703472222223</v>
      </c>
      <c r="I1850" s="1">
        <v>45616.833333333336</v>
      </c>
      <c r="J1850">
        <v>155</v>
      </c>
      <c r="K1850">
        <v>187</v>
      </c>
      <c r="L1850">
        <v>1</v>
      </c>
      <c r="M1850" t="s">
        <v>22</v>
      </c>
      <c r="N1850">
        <v>8</v>
      </c>
      <c r="O1850">
        <v>69.53</v>
      </c>
    </row>
    <row r="1851" spans="1:15" x14ac:dyDescent="0.35">
      <c r="A1851" t="s">
        <v>3885</v>
      </c>
      <c r="B1851" t="s">
        <v>16</v>
      </c>
      <c r="C1851" t="s">
        <v>3886</v>
      </c>
      <c r="D1851" t="s">
        <v>18</v>
      </c>
      <c r="E1851" t="s">
        <v>33</v>
      </c>
      <c r="F1851" t="s">
        <v>34</v>
      </c>
      <c r="G1851" t="s">
        <v>299</v>
      </c>
      <c r="H1851" s="1">
        <v>45435.165972222225</v>
      </c>
      <c r="I1851" s="1">
        <v>45435.270138888889</v>
      </c>
      <c r="J1851">
        <v>33</v>
      </c>
      <c r="K1851">
        <v>150</v>
      </c>
      <c r="L1851">
        <v>1</v>
      </c>
      <c r="M1851" t="s">
        <v>41</v>
      </c>
      <c r="N1851">
        <v>4</v>
      </c>
      <c r="O1851">
        <v>198.36</v>
      </c>
    </row>
    <row r="1852" spans="1:15" x14ac:dyDescent="0.35">
      <c r="A1852" t="s">
        <v>3887</v>
      </c>
      <c r="B1852" t="s">
        <v>31</v>
      </c>
      <c r="C1852" t="s">
        <v>3888</v>
      </c>
      <c r="D1852" t="s">
        <v>26</v>
      </c>
      <c r="E1852" t="s">
        <v>33</v>
      </c>
      <c r="F1852" t="s">
        <v>27</v>
      </c>
      <c r="G1852" t="s">
        <v>259</v>
      </c>
      <c r="H1852" s="1">
        <v>45592.869444444441</v>
      </c>
      <c r="I1852" s="1">
        <v>45592.958333333336</v>
      </c>
      <c r="J1852">
        <v>54</v>
      </c>
      <c r="K1852">
        <v>128</v>
      </c>
      <c r="L1852">
        <v>1</v>
      </c>
      <c r="M1852" t="s">
        <v>22</v>
      </c>
      <c r="N1852">
        <v>8</v>
      </c>
      <c r="O1852">
        <v>374.65</v>
      </c>
    </row>
    <row r="1853" spans="1:15" x14ac:dyDescent="0.35">
      <c r="A1853" t="s">
        <v>3889</v>
      </c>
      <c r="B1853" t="s">
        <v>51</v>
      </c>
      <c r="C1853" t="s">
        <v>3890</v>
      </c>
      <c r="D1853" t="s">
        <v>44</v>
      </c>
      <c r="E1853" t="s">
        <v>19</v>
      </c>
      <c r="F1853" t="s">
        <v>39</v>
      </c>
      <c r="G1853" t="s">
        <v>120</v>
      </c>
      <c r="H1853" s="1">
        <v>45353.535416666666</v>
      </c>
      <c r="I1853" s="1">
        <v>45353.676388888889</v>
      </c>
      <c r="J1853">
        <v>104</v>
      </c>
      <c r="K1853">
        <v>203</v>
      </c>
      <c r="L1853">
        <v>1</v>
      </c>
      <c r="M1853" t="s">
        <v>29</v>
      </c>
      <c r="N1853">
        <v>7</v>
      </c>
      <c r="O1853">
        <v>138.97</v>
      </c>
    </row>
    <row r="1854" spans="1:15" x14ac:dyDescent="0.35">
      <c r="A1854" t="s">
        <v>3891</v>
      </c>
      <c r="B1854" t="s">
        <v>63</v>
      </c>
      <c r="C1854" t="s">
        <v>3892</v>
      </c>
      <c r="D1854" t="s">
        <v>56</v>
      </c>
      <c r="E1854" t="s">
        <v>38</v>
      </c>
      <c r="F1854" t="s">
        <v>34</v>
      </c>
      <c r="G1854" t="s">
        <v>251</v>
      </c>
      <c r="H1854" s="1">
        <v>45376.936805555553</v>
      </c>
      <c r="I1854" s="1">
        <v>45376.977083333331</v>
      </c>
      <c r="J1854">
        <v>51</v>
      </c>
      <c r="K1854">
        <v>58</v>
      </c>
      <c r="L1854">
        <v>1</v>
      </c>
      <c r="M1854" t="s">
        <v>41</v>
      </c>
      <c r="N1854">
        <v>7</v>
      </c>
      <c r="O1854">
        <v>75.599999999999994</v>
      </c>
    </row>
    <row r="1855" spans="1:15" x14ac:dyDescent="0.35">
      <c r="A1855" t="s">
        <v>3893</v>
      </c>
      <c r="B1855" t="s">
        <v>51</v>
      </c>
      <c r="C1855" t="s">
        <v>3894</v>
      </c>
      <c r="D1855" t="s">
        <v>26</v>
      </c>
      <c r="E1855" t="s">
        <v>19</v>
      </c>
      <c r="F1855" t="s">
        <v>27</v>
      </c>
      <c r="G1855" t="s">
        <v>296</v>
      </c>
      <c r="H1855" s="1">
        <v>45411.925000000003</v>
      </c>
      <c r="I1855" s="1">
        <v>45412.031944444447</v>
      </c>
      <c r="J1855">
        <v>90</v>
      </c>
      <c r="K1855">
        <v>154</v>
      </c>
      <c r="L1855">
        <v>1</v>
      </c>
      <c r="M1855" t="s">
        <v>41</v>
      </c>
      <c r="N1855">
        <v>5</v>
      </c>
      <c r="O1855">
        <v>447.63</v>
      </c>
    </row>
    <row r="1856" spans="1:15" x14ac:dyDescent="0.35">
      <c r="A1856" t="s">
        <v>3895</v>
      </c>
      <c r="B1856" t="s">
        <v>63</v>
      </c>
      <c r="C1856" t="s">
        <v>3896</v>
      </c>
      <c r="D1856" t="s">
        <v>56</v>
      </c>
      <c r="E1856" t="s">
        <v>38</v>
      </c>
      <c r="F1856" t="s">
        <v>57</v>
      </c>
      <c r="G1856" t="s">
        <v>58</v>
      </c>
      <c r="H1856" s="1">
        <v>45442.852777777778</v>
      </c>
      <c r="I1856" s="1">
        <v>45442.897916666669</v>
      </c>
      <c r="J1856">
        <v>40</v>
      </c>
      <c r="K1856">
        <v>65</v>
      </c>
      <c r="L1856">
        <v>1</v>
      </c>
      <c r="M1856" t="s">
        <v>22</v>
      </c>
      <c r="N1856">
        <v>1</v>
      </c>
      <c r="O1856">
        <v>440.14</v>
      </c>
    </row>
    <row r="1857" spans="1:15" x14ac:dyDescent="0.35">
      <c r="A1857" t="s">
        <v>3897</v>
      </c>
      <c r="B1857" t="s">
        <v>51</v>
      </c>
      <c r="C1857" t="s">
        <v>3898</v>
      </c>
      <c r="D1857" t="s">
        <v>44</v>
      </c>
      <c r="E1857" t="s">
        <v>85</v>
      </c>
      <c r="F1857" t="s">
        <v>57</v>
      </c>
      <c r="G1857" t="s">
        <v>100</v>
      </c>
      <c r="H1857" s="1">
        <v>45308.356249999997</v>
      </c>
      <c r="I1857" s="1">
        <v>45308.554166666669</v>
      </c>
      <c r="J1857">
        <v>236</v>
      </c>
      <c r="K1857">
        <v>285</v>
      </c>
      <c r="L1857">
        <v>1</v>
      </c>
      <c r="M1857" t="s">
        <v>22</v>
      </c>
      <c r="N1857">
        <v>3</v>
      </c>
      <c r="O1857">
        <v>235.07</v>
      </c>
    </row>
    <row r="1858" spans="1:15" x14ac:dyDescent="0.35">
      <c r="A1858" t="s">
        <v>3899</v>
      </c>
      <c r="B1858" t="s">
        <v>31</v>
      </c>
      <c r="C1858" t="s">
        <v>3900</v>
      </c>
      <c r="D1858" t="s">
        <v>56</v>
      </c>
      <c r="E1858" t="s">
        <v>85</v>
      </c>
      <c r="F1858" t="s">
        <v>39</v>
      </c>
      <c r="G1858" t="s">
        <v>376</v>
      </c>
      <c r="H1858" s="1">
        <v>45576.347916666666</v>
      </c>
      <c r="I1858" s="1">
        <v>45576.424305555556</v>
      </c>
      <c r="J1858">
        <v>56</v>
      </c>
      <c r="K1858">
        <v>110</v>
      </c>
      <c r="L1858">
        <v>1</v>
      </c>
      <c r="M1858" t="s">
        <v>41</v>
      </c>
      <c r="N1858">
        <v>9</v>
      </c>
      <c r="O1858">
        <v>104.83</v>
      </c>
    </row>
    <row r="1859" spans="1:15" x14ac:dyDescent="0.35">
      <c r="A1859" t="s">
        <v>3901</v>
      </c>
      <c r="B1859" t="s">
        <v>24</v>
      </c>
      <c r="C1859" t="s">
        <v>3902</v>
      </c>
      <c r="D1859" t="s">
        <v>48</v>
      </c>
      <c r="E1859" t="s">
        <v>38</v>
      </c>
      <c r="F1859" t="s">
        <v>39</v>
      </c>
      <c r="G1859" t="s">
        <v>91</v>
      </c>
      <c r="H1859" s="1">
        <v>45477.818055555559</v>
      </c>
      <c r="I1859" s="1">
        <v>45477.906944444447</v>
      </c>
      <c r="J1859">
        <v>91</v>
      </c>
      <c r="K1859">
        <v>128</v>
      </c>
      <c r="L1859">
        <v>1</v>
      </c>
      <c r="M1859" t="s">
        <v>41</v>
      </c>
      <c r="N1859">
        <v>2</v>
      </c>
      <c r="O1859">
        <v>313.86</v>
      </c>
    </row>
    <row r="1860" spans="1:15" x14ac:dyDescent="0.35">
      <c r="A1860" t="s">
        <v>3903</v>
      </c>
      <c r="B1860" t="s">
        <v>16</v>
      </c>
      <c r="C1860" t="s">
        <v>3904</v>
      </c>
      <c r="D1860" t="s">
        <v>18</v>
      </c>
      <c r="E1860" t="s">
        <v>19</v>
      </c>
      <c r="F1860" t="s">
        <v>27</v>
      </c>
      <c r="G1860" t="s">
        <v>207</v>
      </c>
      <c r="H1860" s="1">
        <v>45478.15902777778</v>
      </c>
      <c r="I1860" s="1">
        <v>45478.318749999999</v>
      </c>
      <c r="J1860">
        <v>191</v>
      </c>
      <c r="K1860">
        <v>230</v>
      </c>
      <c r="L1860">
        <v>1</v>
      </c>
      <c r="M1860" t="s">
        <v>22</v>
      </c>
      <c r="N1860">
        <v>8</v>
      </c>
      <c r="O1860">
        <v>98.75</v>
      </c>
    </row>
    <row r="1861" spans="1:15" x14ac:dyDescent="0.35">
      <c r="A1861" t="s">
        <v>3905</v>
      </c>
      <c r="B1861" t="s">
        <v>31</v>
      </c>
      <c r="C1861" t="s">
        <v>3906</v>
      </c>
      <c r="D1861" t="s">
        <v>44</v>
      </c>
      <c r="E1861" t="s">
        <v>38</v>
      </c>
      <c r="F1861" t="s">
        <v>27</v>
      </c>
      <c r="G1861" t="s">
        <v>58</v>
      </c>
      <c r="H1861" s="1">
        <v>45365.048611111109</v>
      </c>
      <c r="I1861" s="1">
        <v>45365.179861111108</v>
      </c>
      <c r="J1861">
        <v>84</v>
      </c>
      <c r="K1861">
        <v>189</v>
      </c>
      <c r="L1861">
        <v>1</v>
      </c>
      <c r="M1861" t="s">
        <v>41</v>
      </c>
      <c r="N1861">
        <v>3</v>
      </c>
      <c r="O1861">
        <v>390</v>
      </c>
    </row>
    <row r="1862" spans="1:15" x14ac:dyDescent="0.35">
      <c r="A1862" t="s">
        <v>3907</v>
      </c>
      <c r="B1862" t="s">
        <v>51</v>
      </c>
      <c r="C1862" t="s">
        <v>3908</v>
      </c>
      <c r="D1862" t="s">
        <v>26</v>
      </c>
      <c r="E1862" t="s">
        <v>85</v>
      </c>
      <c r="F1862" t="s">
        <v>27</v>
      </c>
      <c r="G1862" t="s">
        <v>228</v>
      </c>
      <c r="H1862" s="1">
        <v>45577.468055555553</v>
      </c>
      <c r="I1862" s="1">
        <v>45577.670138888891</v>
      </c>
      <c r="J1862">
        <v>182</v>
      </c>
      <c r="K1862">
        <v>291</v>
      </c>
      <c r="L1862">
        <v>1</v>
      </c>
      <c r="M1862" t="s">
        <v>41</v>
      </c>
      <c r="N1862">
        <v>5</v>
      </c>
      <c r="O1862">
        <v>339.24</v>
      </c>
    </row>
    <row r="1863" spans="1:15" x14ac:dyDescent="0.35">
      <c r="A1863" t="s">
        <v>3909</v>
      </c>
      <c r="B1863" t="s">
        <v>63</v>
      </c>
      <c r="C1863" t="s">
        <v>3910</v>
      </c>
      <c r="D1863" t="s">
        <v>56</v>
      </c>
      <c r="E1863" t="s">
        <v>33</v>
      </c>
      <c r="F1863" t="s">
        <v>39</v>
      </c>
      <c r="G1863" t="s">
        <v>288</v>
      </c>
      <c r="H1863" s="1">
        <v>45608.214583333334</v>
      </c>
      <c r="I1863" s="1">
        <v>45608.273611111108</v>
      </c>
      <c r="J1863">
        <v>89</v>
      </c>
      <c r="K1863">
        <v>85</v>
      </c>
      <c r="L1863">
        <v>0</v>
      </c>
      <c r="M1863" t="s">
        <v>29</v>
      </c>
      <c r="N1863">
        <v>5</v>
      </c>
      <c r="O1863">
        <v>58.16</v>
      </c>
    </row>
    <row r="1864" spans="1:15" x14ac:dyDescent="0.35">
      <c r="A1864" t="s">
        <v>3911</v>
      </c>
      <c r="B1864" t="s">
        <v>63</v>
      </c>
      <c r="C1864" t="s">
        <v>3912</v>
      </c>
      <c r="D1864" t="s">
        <v>44</v>
      </c>
      <c r="E1864" t="s">
        <v>38</v>
      </c>
      <c r="F1864" t="s">
        <v>27</v>
      </c>
      <c r="G1864" t="s">
        <v>45</v>
      </c>
      <c r="H1864" s="1">
        <v>45440.195138888892</v>
      </c>
      <c r="I1864" s="1">
        <v>45440.40347222222</v>
      </c>
      <c r="J1864">
        <v>184</v>
      </c>
      <c r="K1864">
        <v>300</v>
      </c>
      <c r="L1864">
        <v>1</v>
      </c>
      <c r="M1864" t="s">
        <v>41</v>
      </c>
      <c r="N1864">
        <v>1</v>
      </c>
      <c r="O1864">
        <v>260.38</v>
      </c>
    </row>
    <row r="1865" spans="1:15" x14ac:dyDescent="0.35">
      <c r="A1865" t="s">
        <v>3913</v>
      </c>
      <c r="B1865" t="s">
        <v>51</v>
      </c>
      <c r="C1865" t="s">
        <v>3914</v>
      </c>
      <c r="D1865" t="s">
        <v>56</v>
      </c>
      <c r="E1865" t="s">
        <v>85</v>
      </c>
      <c r="F1865" t="s">
        <v>39</v>
      </c>
      <c r="G1865" t="s">
        <v>126</v>
      </c>
      <c r="H1865" s="1">
        <v>45524.936111111114</v>
      </c>
      <c r="I1865" s="1">
        <v>45525.09097222222</v>
      </c>
      <c r="J1865">
        <v>194</v>
      </c>
      <c r="K1865">
        <v>223</v>
      </c>
      <c r="L1865">
        <v>1</v>
      </c>
      <c r="M1865" t="s">
        <v>29</v>
      </c>
      <c r="N1865">
        <v>9</v>
      </c>
      <c r="O1865">
        <v>459.44</v>
      </c>
    </row>
    <row r="1866" spans="1:15" x14ac:dyDescent="0.35">
      <c r="A1866" t="s">
        <v>3915</v>
      </c>
      <c r="B1866" t="s">
        <v>63</v>
      </c>
      <c r="C1866" t="s">
        <v>3916</v>
      </c>
      <c r="D1866" t="s">
        <v>26</v>
      </c>
      <c r="E1866" t="s">
        <v>85</v>
      </c>
      <c r="F1866" t="s">
        <v>57</v>
      </c>
      <c r="G1866" t="s">
        <v>473</v>
      </c>
      <c r="H1866" s="1">
        <v>45558.802083333336</v>
      </c>
      <c r="I1866" s="1">
        <v>45558.952777777777</v>
      </c>
      <c r="J1866">
        <v>133</v>
      </c>
      <c r="K1866">
        <v>217</v>
      </c>
      <c r="L1866">
        <v>1</v>
      </c>
      <c r="M1866" t="s">
        <v>29</v>
      </c>
      <c r="N1866">
        <v>10</v>
      </c>
      <c r="O1866">
        <v>453.24</v>
      </c>
    </row>
    <row r="1867" spans="1:15" x14ac:dyDescent="0.35">
      <c r="A1867" t="s">
        <v>3917</v>
      </c>
      <c r="B1867" t="s">
        <v>31</v>
      </c>
      <c r="C1867" t="s">
        <v>3918</v>
      </c>
      <c r="D1867" t="s">
        <v>26</v>
      </c>
      <c r="E1867" t="s">
        <v>38</v>
      </c>
      <c r="F1867" t="s">
        <v>20</v>
      </c>
      <c r="G1867" t="s">
        <v>916</v>
      </c>
      <c r="H1867" s="1">
        <v>45429.590277777781</v>
      </c>
      <c r="I1867" s="1">
        <v>45429.657638888886</v>
      </c>
      <c r="J1867">
        <v>97</v>
      </c>
      <c r="K1867">
        <v>97</v>
      </c>
      <c r="L1867">
        <v>0</v>
      </c>
      <c r="M1867" t="s">
        <v>41</v>
      </c>
      <c r="N1867">
        <v>10</v>
      </c>
      <c r="O1867">
        <v>181.25</v>
      </c>
    </row>
    <row r="1868" spans="1:15" x14ac:dyDescent="0.35">
      <c r="A1868" t="s">
        <v>3919</v>
      </c>
      <c r="B1868" t="s">
        <v>51</v>
      </c>
      <c r="C1868" t="s">
        <v>3920</v>
      </c>
      <c r="D1868" t="s">
        <v>18</v>
      </c>
      <c r="E1868" t="s">
        <v>33</v>
      </c>
      <c r="F1868" t="s">
        <v>34</v>
      </c>
      <c r="G1868" t="s">
        <v>430</v>
      </c>
      <c r="H1868" s="1">
        <v>45377.915972222225</v>
      </c>
      <c r="I1868" s="1">
        <v>45378.04791666667</v>
      </c>
      <c r="J1868">
        <v>70</v>
      </c>
      <c r="K1868">
        <v>190</v>
      </c>
      <c r="L1868">
        <v>1</v>
      </c>
      <c r="M1868" t="s">
        <v>41</v>
      </c>
      <c r="N1868">
        <v>7</v>
      </c>
      <c r="O1868">
        <v>191.91</v>
      </c>
    </row>
    <row r="1869" spans="1:15" x14ac:dyDescent="0.35">
      <c r="A1869" t="s">
        <v>3921</v>
      </c>
      <c r="B1869" t="s">
        <v>24</v>
      </c>
      <c r="C1869" t="s">
        <v>3922</v>
      </c>
      <c r="D1869" t="s">
        <v>26</v>
      </c>
      <c r="E1869" t="s">
        <v>33</v>
      </c>
      <c r="F1869" t="s">
        <v>57</v>
      </c>
      <c r="G1869" t="s">
        <v>283</v>
      </c>
      <c r="H1869" s="1">
        <v>45434.338194444441</v>
      </c>
      <c r="I1869" s="1">
        <v>45434.515277777777</v>
      </c>
      <c r="J1869">
        <v>136</v>
      </c>
      <c r="K1869">
        <v>255</v>
      </c>
      <c r="L1869">
        <v>1</v>
      </c>
      <c r="M1869" t="s">
        <v>22</v>
      </c>
      <c r="N1869">
        <v>6</v>
      </c>
      <c r="O1869">
        <v>242.6</v>
      </c>
    </row>
    <row r="1870" spans="1:15" x14ac:dyDescent="0.35">
      <c r="A1870" t="s">
        <v>3923</v>
      </c>
      <c r="B1870" t="s">
        <v>63</v>
      </c>
      <c r="C1870" t="s">
        <v>3924</v>
      </c>
      <c r="D1870" t="s">
        <v>48</v>
      </c>
      <c r="E1870" t="s">
        <v>85</v>
      </c>
      <c r="F1870" t="s">
        <v>57</v>
      </c>
      <c r="G1870" t="s">
        <v>137</v>
      </c>
      <c r="H1870" s="1">
        <v>45348.707638888889</v>
      </c>
      <c r="I1870" s="1">
        <v>45348.818749999999</v>
      </c>
      <c r="J1870">
        <v>100</v>
      </c>
      <c r="K1870">
        <v>160</v>
      </c>
      <c r="L1870">
        <v>1</v>
      </c>
      <c r="M1870" t="s">
        <v>41</v>
      </c>
      <c r="N1870">
        <v>2</v>
      </c>
      <c r="O1870">
        <v>329.38</v>
      </c>
    </row>
    <row r="1871" spans="1:15" x14ac:dyDescent="0.35">
      <c r="A1871" t="s">
        <v>3925</v>
      </c>
      <c r="B1871" t="s">
        <v>16</v>
      </c>
      <c r="C1871" t="s">
        <v>3926</v>
      </c>
      <c r="D1871" t="s">
        <v>18</v>
      </c>
      <c r="E1871" t="s">
        <v>38</v>
      </c>
      <c r="F1871" t="s">
        <v>34</v>
      </c>
      <c r="G1871" t="s">
        <v>388</v>
      </c>
      <c r="H1871" s="1">
        <v>45497.500694444447</v>
      </c>
      <c r="I1871" s="1">
        <v>45497.604861111111</v>
      </c>
      <c r="J1871">
        <v>70</v>
      </c>
      <c r="K1871">
        <v>150</v>
      </c>
      <c r="L1871">
        <v>1</v>
      </c>
      <c r="M1871" t="s">
        <v>41</v>
      </c>
      <c r="N1871">
        <v>4</v>
      </c>
      <c r="O1871">
        <v>183.11</v>
      </c>
    </row>
    <row r="1872" spans="1:15" x14ac:dyDescent="0.35">
      <c r="A1872" t="s">
        <v>3927</v>
      </c>
      <c r="B1872" t="s">
        <v>31</v>
      </c>
      <c r="C1872" t="s">
        <v>3928</v>
      </c>
      <c r="D1872" t="s">
        <v>56</v>
      </c>
      <c r="E1872" t="s">
        <v>38</v>
      </c>
      <c r="F1872" t="s">
        <v>20</v>
      </c>
      <c r="G1872" t="s">
        <v>308</v>
      </c>
      <c r="H1872" s="1">
        <v>45651.731944444444</v>
      </c>
      <c r="I1872" s="1">
        <v>45651.850694444445</v>
      </c>
      <c r="J1872">
        <v>107</v>
      </c>
      <c r="K1872">
        <v>171</v>
      </c>
      <c r="L1872">
        <v>1</v>
      </c>
      <c r="M1872" t="s">
        <v>29</v>
      </c>
      <c r="N1872">
        <v>10</v>
      </c>
      <c r="O1872">
        <v>462.11</v>
      </c>
    </row>
    <row r="1873" spans="1:15" x14ac:dyDescent="0.35">
      <c r="A1873" t="s">
        <v>3929</v>
      </c>
      <c r="B1873" t="s">
        <v>51</v>
      </c>
      <c r="C1873" t="s">
        <v>3930</v>
      </c>
      <c r="D1873" t="s">
        <v>26</v>
      </c>
      <c r="E1873" t="s">
        <v>19</v>
      </c>
      <c r="F1873" t="s">
        <v>57</v>
      </c>
      <c r="G1873" t="s">
        <v>521</v>
      </c>
      <c r="H1873" s="1">
        <v>45606.063194444447</v>
      </c>
      <c r="I1873" s="1">
        <v>45606.22152777778</v>
      </c>
      <c r="J1873">
        <v>210</v>
      </c>
      <c r="K1873">
        <v>228</v>
      </c>
      <c r="L1873">
        <v>1</v>
      </c>
      <c r="M1873" t="s">
        <v>22</v>
      </c>
      <c r="N1873">
        <v>8</v>
      </c>
      <c r="O1873">
        <v>488.31</v>
      </c>
    </row>
    <row r="1874" spans="1:15" x14ac:dyDescent="0.35">
      <c r="A1874" t="s">
        <v>3931</v>
      </c>
      <c r="B1874" t="s">
        <v>51</v>
      </c>
      <c r="C1874" t="s">
        <v>3932</v>
      </c>
      <c r="D1874" t="s">
        <v>56</v>
      </c>
      <c r="E1874" t="s">
        <v>85</v>
      </c>
      <c r="F1874" t="s">
        <v>39</v>
      </c>
      <c r="G1874" t="s">
        <v>210</v>
      </c>
      <c r="H1874" s="1">
        <v>45648.201388888891</v>
      </c>
      <c r="I1874" s="1">
        <v>45648.315972222219</v>
      </c>
      <c r="J1874">
        <v>51</v>
      </c>
      <c r="K1874">
        <v>165</v>
      </c>
      <c r="L1874">
        <v>1</v>
      </c>
      <c r="M1874" t="s">
        <v>41</v>
      </c>
      <c r="N1874">
        <v>7</v>
      </c>
      <c r="O1874">
        <v>410.86</v>
      </c>
    </row>
    <row r="1875" spans="1:15" x14ac:dyDescent="0.35">
      <c r="A1875" t="s">
        <v>3933</v>
      </c>
      <c r="B1875" t="s">
        <v>24</v>
      </c>
      <c r="C1875" t="s">
        <v>3934</v>
      </c>
      <c r="D1875" t="s">
        <v>26</v>
      </c>
      <c r="E1875" t="s">
        <v>38</v>
      </c>
      <c r="F1875" t="s">
        <v>39</v>
      </c>
      <c r="G1875" t="s">
        <v>132</v>
      </c>
      <c r="H1875" s="1">
        <v>45500.441666666666</v>
      </c>
      <c r="I1875" s="1">
        <v>45500.550694444442</v>
      </c>
      <c r="J1875">
        <v>154</v>
      </c>
      <c r="K1875">
        <v>157</v>
      </c>
      <c r="L1875">
        <v>1</v>
      </c>
      <c r="M1875" t="s">
        <v>41</v>
      </c>
      <c r="N1875">
        <v>2</v>
      </c>
      <c r="O1875">
        <v>496.1</v>
      </c>
    </row>
    <row r="1876" spans="1:15" x14ac:dyDescent="0.35">
      <c r="A1876" t="s">
        <v>3935</v>
      </c>
      <c r="B1876" t="s">
        <v>24</v>
      </c>
      <c r="C1876" t="s">
        <v>3936</v>
      </c>
      <c r="D1876" t="s">
        <v>44</v>
      </c>
      <c r="E1876" t="s">
        <v>38</v>
      </c>
      <c r="F1876" t="s">
        <v>34</v>
      </c>
      <c r="G1876" t="s">
        <v>335</v>
      </c>
      <c r="H1876" s="1">
        <v>45513.561111111114</v>
      </c>
      <c r="I1876" s="1">
        <v>45513.727777777778</v>
      </c>
      <c r="J1876">
        <v>177</v>
      </c>
      <c r="K1876">
        <v>240</v>
      </c>
      <c r="L1876">
        <v>1</v>
      </c>
      <c r="M1876" t="s">
        <v>41</v>
      </c>
      <c r="N1876">
        <v>5</v>
      </c>
      <c r="O1876">
        <v>183.72</v>
      </c>
    </row>
    <row r="1877" spans="1:15" x14ac:dyDescent="0.35">
      <c r="A1877" t="s">
        <v>3937</v>
      </c>
      <c r="B1877" t="s">
        <v>51</v>
      </c>
      <c r="C1877" t="s">
        <v>3938</v>
      </c>
      <c r="D1877" t="s">
        <v>26</v>
      </c>
      <c r="E1877" t="s">
        <v>19</v>
      </c>
      <c r="F1877" t="s">
        <v>27</v>
      </c>
      <c r="G1877" t="s">
        <v>383</v>
      </c>
      <c r="H1877" s="1">
        <v>45476.86041666667</v>
      </c>
      <c r="I1877" s="1">
        <v>45476.927083333336</v>
      </c>
      <c r="J1877">
        <v>21</v>
      </c>
      <c r="K1877">
        <v>96</v>
      </c>
      <c r="L1877">
        <v>1</v>
      </c>
      <c r="M1877" t="s">
        <v>29</v>
      </c>
      <c r="N1877">
        <v>1</v>
      </c>
      <c r="O1877">
        <v>299.16000000000003</v>
      </c>
    </row>
    <row r="1878" spans="1:15" x14ac:dyDescent="0.35">
      <c r="A1878" t="s">
        <v>3939</v>
      </c>
      <c r="B1878" t="s">
        <v>16</v>
      </c>
      <c r="C1878" t="s">
        <v>3940</v>
      </c>
      <c r="D1878" t="s">
        <v>44</v>
      </c>
      <c r="E1878" t="s">
        <v>19</v>
      </c>
      <c r="F1878" t="s">
        <v>27</v>
      </c>
      <c r="G1878" t="s">
        <v>262</v>
      </c>
      <c r="H1878" s="1">
        <v>45389.388888888891</v>
      </c>
      <c r="I1878" s="1">
        <v>45389.496527777781</v>
      </c>
      <c r="J1878">
        <v>126</v>
      </c>
      <c r="K1878">
        <v>155</v>
      </c>
      <c r="L1878">
        <v>1</v>
      </c>
      <c r="M1878" t="s">
        <v>41</v>
      </c>
      <c r="N1878">
        <v>7</v>
      </c>
      <c r="O1878">
        <v>499.48</v>
      </c>
    </row>
    <row r="1879" spans="1:15" x14ac:dyDescent="0.35">
      <c r="A1879" t="s">
        <v>3941</v>
      </c>
      <c r="B1879" t="s">
        <v>63</v>
      </c>
      <c r="C1879" t="s">
        <v>3942</v>
      </c>
      <c r="D1879" t="s">
        <v>26</v>
      </c>
      <c r="E1879" t="s">
        <v>19</v>
      </c>
      <c r="F1879" t="s">
        <v>39</v>
      </c>
      <c r="G1879" t="s">
        <v>265</v>
      </c>
      <c r="H1879" s="1">
        <v>45504.218055555553</v>
      </c>
      <c r="I1879" s="1">
        <v>45504.338194444441</v>
      </c>
      <c r="J1879">
        <v>75</v>
      </c>
      <c r="K1879">
        <v>173</v>
      </c>
      <c r="L1879">
        <v>1</v>
      </c>
      <c r="M1879" t="s">
        <v>29</v>
      </c>
      <c r="N1879">
        <v>9</v>
      </c>
      <c r="O1879">
        <v>496.54</v>
      </c>
    </row>
    <row r="1880" spans="1:15" x14ac:dyDescent="0.35">
      <c r="A1880" t="s">
        <v>3943</v>
      </c>
      <c r="B1880" t="s">
        <v>16</v>
      </c>
      <c r="C1880" t="s">
        <v>3944</v>
      </c>
      <c r="D1880" t="s">
        <v>26</v>
      </c>
      <c r="E1880" t="s">
        <v>33</v>
      </c>
      <c r="F1880" t="s">
        <v>20</v>
      </c>
      <c r="G1880" t="s">
        <v>185</v>
      </c>
      <c r="H1880" s="1">
        <v>45588.920138888891</v>
      </c>
      <c r="I1880" s="1">
        <v>45588.954861111109</v>
      </c>
      <c r="J1880">
        <v>17</v>
      </c>
      <c r="K1880">
        <v>50</v>
      </c>
      <c r="L1880">
        <v>1</v>
      </c>
      <c r="M1880" t="s">
        <v>22</v>
      </c>
      <c r="N1880">
        <v>5</v>
      </c>
      <c r="O1880">
        <v>364.96</v>
      </c>
    </row>
    <row r="1881" spans="1:15" x14ac:dyDescent="0.35">
      <c r="A1881" t="s">
        <v>3945</v>
      </c>
      <c r="B1881" t="s">
        <v>63</v>
      </c>
      <c r="C1881" t="s">
        <v>3946</v>
      </c>
      <c r="D1881" t="s">
        <v>26</v>
      </c>
      <c r="E1881" t="s">
        <v>19</v>
      </c>
      <c r="F1881" t="s">
        <v>39</v>
      </c>
      <c r="G1881" t="s">
        <v>262</v>
      </c>
      <c r="H1881" s="1">
        <v>45395.620833333334</v>
      </c>
      <c r="I1881" s="1">
        <v>45395.804861111108</v>
      </c>
      <c r="J1881">
        <v>193</v>
      </c>
      <c r="K1881">
        <v>265</v>
      </c>
      <c r="L1881">
        <v>1</v>
      </c>
      <c r="M1881" t="s">
        <v>22</v>
      </c>
      <c r="N1881">
        <v>5</v>
      </c>
      <c r="O1881">
        <v>96.18</v>
      </c>
    </row>
    <row r="1882" spans="1:15" x14ac:dyDescent="0.35">
      <c r="A1882" t="s">
        <v>3947</v>
      </c>
      <c r="B1882" t="s">
        <v>51</v>
      </c>
      <c r="C1882" t="s">
        <v>3948</v>
      </c>
      <c r="D1882" t="s">
        <v>44</v>
      </c>
      <c r="E1882" t="s">
        <v>85</v>
      </c>
      <c r="F1882" t="s">
        <v>34</v>
      </c>
      <c r="G1882" t="s">
        <v>676</v>
      </c>
      <c r="H1882" s="1">
        <v>45493.046527777777</v>
      </c>
      <c r="I1882" s="1">
        <v>45493.203472222223</v>
      </c>
      <c r="J1882">
        <v>175</v>
      </c>
      <c r="K1882">
        <v>226</v>
      </c>
      <c r="L1882">
        <v>1</v>
      </c>
      <c r="M1882" t="s">
        <v>41</v>
      </c>
      <c r="N1882">
        <v>8</v>
      </c>
      <c r="O1882">
        <v>466.27</v>
      </c>
    </row>
    <row r="1883" spans="1:15" x14ac:dyDescent="0.35">
      <c r="A1883" t="s">
        <v>3949</v>
      </c>
      <c r="B1883" t="s">
        <v>51</v>
      </c>
      <c r="C1883" t="s">
        <v>3950</v>
      </c>
      <c r="D1883" t="s">
        <v>48</v>
      </c>
      <c r="E1883" t="s">
        <v>19</v>
      </c>
      <c r="F1883" t="s">
        <v>57</v>
      </c>
      <c r="G1883" t="s">
        <v>49</v>
      </c>
      <c r="H1883" s="1">
        <v>45573.896527777775</v>
      </c>
      <c r="I1883" s="1">
        <v>45573.96597222222</v>
      </c>
      <c r="J1883">
        <v>87</v>
      </c>
      <c r="K1883">
        <v>100</v>
      </c>
      <c r="L1883">
        <v>1</v>
      </c>
      <c r="M1883" t="s">
        <v>22</v>
      </c>
      <c r="N1883">
        <v>1</v>
      </c>
      <c r="O1883">
        <v>67.709999999999994</v>
      </c>
    </row>
    <row r="1884" spans="1:15" x14ac:dyDescent="0.35">
      <c r="A1884" t="s">
        <v>3951</v>
      </c>
      <c r="B1884" t="s">
        <v>16</v>
      </c>
      <c r="C1884" t="s">
        <v>3952</v>
      </c>
      <c r="D1884" t="s">
        <v>26</v>
      </c>
      <c r="E1884" t="s">
        <v>19</v>
      </c>
      <c r="F1884" t="s">
        <v>57</v>
      </c>
      <c r="G1884" t="s">
        <v>120</v>
      </c>
      <c r="H1884" s="1">
        <v>45367.279166666667</v>
      </c>
      <c r="I1884" s="1">
        <v>45367.438194444447</v>
      </c>
      <c r="J1884">
        <v>218</v>
      </c>
      <c r="K1884">
        <v>229</v>
      </c>
      <c r="L1884">
        <v>1</v>
      </c>
      <c r="M1884" t="s">
        <v>22</v>
      </c>
      <c r="N1884">
        <v>4</v>
      </c>
      <c r="O1884">
        <v>279.24</v>
      </c>
    </row>
    <row r="1885" spans="1:15" x14ac:dyDescent="0.35">
      <c r="A1885" t="s">
        <v>3953</v>
      </c>
      <c r="B1885" t="s">
        <v>31</v>
      </c>
      <c r="C1885" t="s">
        <v>3954</v>
      </c>
      <c r="D1885" t="s">
        <v>26</v>
      </c>
      <c r="E1885" t="s">
        <v>85</v>
      </c>
      <c r="F1885" t="s">
        <v>34</v>
      </c>
      <c r="G1885" t="s">
        <v>388</v>
      </c>
      <c r="H1885" s="1">
        <v>45301.59652777778</v>
      </c>
      <c r="I1885" s="1">
        <v>45301.777083333334</v>
      </c>
      <c r="J1885">
        <v>143</v>
      </c>
      <c r="K1885">
        <v>260</v>
      </c>
      <c r="L1885">
        <v>1</v>
      </c>
      <c r="M1885" t="s">
        <v>29</v>
      </c>
      <c r="N1885">
        <v>6</v>
      </c>
      <c r="O1885">
        <v>270.89999999999998</v>
      </c>
    </row>
    <row r="1886" spans="1:15" x14ac:dyDescent="0.35">
      <c r="A1886" t="s">
        <v>3955</v>
      </c>
      <c r="B1886" t="s">
        <v>16</v>
      </c>
      <c r="C1886" t="s">
        <v>3956</v>
      </c>
      <c r="D1886" t="s">
        <v>18</v>
      </c>
      <c r="E1886" t="s">
        <v>19</v>
      </c>
      <c r="F1886" t="s">
        <v>34</v>
      </c>
      <c r="G1886" t="s">
        <v>65</v>
      </c>
      <c r="H1886" s="1">
        <v>45449.101388888892</v>
      </c>
      <c r="I1886" s="1">
        <v>45449.193055555559</v>
      </c>
      <c r="J1886">
        <v>68</v>
      </c>
      <c r="K1886">
        <v>132</v>
      </c>
      <c r="L1886">
        <v>1</v>
      </c>
      <c r="M1886" t="s">
        <v>22</v>
      </c>
      <c r="N1886">
        <v>9</v>
      </c>
      <c r="O1886">
        <v>66.599999999999994</v>
      </c>
    </row>
    <row r="1887" spans="1:15" x14ac:dyDescent="0.35">
      <c r="A1887" t="s">
        <v>3957</v>
      </c>
      <c r="B1887" t="s">
        <v>51</v>
      </c>
      <c r="C1887" t="s">
        <v>3958</v>
      </c>
      <c r="D1887" t="s">
        <v>44</v>
      </c>
      <c r="E1887" t="s">
        <v>33</v>
      </c>
      <c r="F1887" t="s">
        <v>34</v>
      </c>
      <c r="G1887" t="s">
        <v>810</v>
      </c>
      <c r="H1887" s="1">
        <v>45372.336111111108</v>
      </c>
      <c r="I1887" s="1">
        <v>45372.463888888888</v>
      </c>
      <c r="J1887">
        <v>82</v>
      </c>
      <c r="K1887">
        <v>184</v>
      </c>
      <c r="L1887">
        <v>1</v>
      </c>
      <c r="M1887" t="s">
        <v>29</v>
      </c>
      <c r="N1887">
        <v>6</v>
      </c>
      <c r="O1887">
        <v>351.31</v>
      </c>
    </row>
    <row r="1888" spans="1:15" x14ac:dyDescent="0.35">
      <c r="A1888" t="s">
        <v>3959</v>
      </c>
      <c r="B1888" t="s">
        <v>24</v>
      </c>
      <c r="C1888" t="s">
        <v>3960</v>
      </c>
      <c r="D1888" t="s">
        <v>56</v>
      </c>
      <c r="E1888" t="s">
        <v>19</v>
      </c>
      <c r="F1888" t="s">
        <v>34</v>
      </c>
      <c r="G1888" t="s">
        <v>647</v>
      </c>
      <c r="H1888" s="1">
        <v>45351.588194444441</v>
      </c>
      <c r="I1888" s="1">
        <v>45351.76458333333</v>
      </c>
      <c r="J1888">
        <v>187</v>
      </c>
      <c r="K1888">
        <v>254</v>
      </c>
      <c r="L1888">
        <v>1</v>
      </c>
      <c r="M1888" t="s">
        <v>22</v>
      </c>
      <c r="N1888">
        <v>5</v>
      </c>
      <c r="O1888">
        <v>60.75</v>
      </c>
    </row>
    <row r="1889" spans="1:15" x14ac:dyDescent="0.35">
      <c r="A1889" t="s">
        <v>3961</v>
      </c>
      <c r="B1889" t="s">
        <v>16</v>
      </c>
      <c r="C1889" t="s">
        <v>3962</v>
      </c>
      <c r="D1889" t="s">
        <v>56</v>
      </c>
      <c r="E1889" t="s">
        <v>33</v>
      </c>
      <c r="F1889" t="s">
        <v>27</v>
      </c>
      <c r="G1889" t="s">
        <v>254</v>
      </c>
      <c r="H1889" s="1">
        <v>45581.443749999999</v>
      </c>
      <c r="I1889" s="1">
        <v>45581.527083333334</v>
      </c>
      <c r="J1889">
        <v>116</v>
      </c>
      <c r="K1889">
        <v>120</v>
      </c>
      <c r="L1889">
        <v>1</v>
      </c>
      <c r="M1889" t="s">
        <v>22</v>
      </c>
      <c r="N1889">
        <v>10</v>
      </c>
      <c r="O1889">
        <v>387.57</v>
      </c>
    </row>
    <row r="1890" spans="1:15" x14ac:dyDescent="0.35">
      <c r="A1890" t="s">
        <v>3963</v>
      </c>
      <c r="B1890" t="s">
        <v>24</v>
      </c>
      <c r="C1890" t="s">
        <v>3964</v>
      </c>
      <c r="D1890" t="s">
        <v>18</v>
      </c>
      <c r="E1890" t="s">
        <v>38</v>
      </c>
      <c r="F1890" t="s">
        <v>27</v>
      </c>
      <c r="G1890" t="s">
        <v>1278</v>
      </c>
      <c r="H1890" s="1">
        <v>45312.456250000003</v>
      </c>
      <c r="I1890" s="1">
        <v>45312.618750000001</v>
      </c>
      <c r="J1890">
        <v>222</v>
      </c>
      <c r="K1890">
        <v>234</v>
      </c>
      <c r="L1890">
        <v>1</v>
      </c>
      <c r="M1890" t="s">
        <v>41</v>
      </c>
      <c r="N1890">
        <v>7</v>
      </c>
      <c r="O1890">
        <v>115.84</v>
      </c>
    </row>
    <row r="1891" spans="1:15" x14ac:dyDescent="0.35">
      <c r="A1891" t="s">
        <v>3965</v>
      </c>
      <c r="B1891" t="s">
        <v>31</v>
      </c>
      <c r="C1891" t="s">
        <v>3966</v>
      </c>
      <c r="D1891" t="s">
        <v>44</v>
      </c>
      <c r="E1891" t="s">
        <v>19</v>
      </c>
      <c r="F1891" t="s">
        <v>20</v>
      </c>
      <c r="G1891" t="s">
        <v>21</v>
      </c>
      <c r="H1891" s="1">
        <v>45503.838194444441</v>
      </c>
      <c r="I1891" s="1">
        <v>45503.895833333336</v>
      </c>
      <c r="J1891">
        <v>36</v>
      </c>
      <c r="K1891">
        <v>83</v>
      </c>
      <c r="L1891">
        <v>1</v>
      </c>
      <c r="M1891" t="s">
        <v>29</v>
      </c>
      <c r="N1891">
        <v>4</v>
      </c>
      <c r="O1891">
        <v>376.18</v>
      </c>
    </row>
    <row r="1892" spans="1:15" x14ac:dyDescent="0.35">
      <c r="A1892" t="s">
        <v>3967</v>
      </c>
      <c r="B1892" t="s">
        <v>16</v>
      </c>
      <c r="C1892" t="s">
        <v>3968</v>
      </c>
      <c r="D1892" t="s">
        <v>26</v>
      </c>
      <c r="E1892" t="s">
        <v>33</v>
      </c>
      <c r="F1892" t="s">
        <v>34</v>
      </c>
      <c r="G1892" t="s">
        <v>204</v>
      </c>
      <c r="H1892" s="1">
        <v>45394.863888888889</v>
      </c>
      <c r="I1892" s="1">
        <v>45394.960416666669</v>
      </c>
      <c r="J1892">
        <v>109</v>
      </c>
      <c r="K1892">
        <v>139</v>
      </c>
      <c r="L1892">
        <v>1</v>
      </c>
      <c r="M1892" t="s">
        <v>22</v>
      </c>
      <c r="N1892">
        <v>7</v>
      </c>
      <c r="O1892">
        <v>244.33</v>
      </c>
    </row>
    <row r="1893" spans="1:15" x14ac:dyDescent="0.35">
      <c r="A1893" t="s">
        <v>3969</v>
      </c>
      <c r="B1893" t="s">
        <v>63</v>
      </c>
      <c r="C1893" t="s">
        <v>3970</v>
      </c>
      <c r="D1893" t="s">
        <v>18</v>
      </c>
      <c r="E1893" t="s">
        <v>85</v>
      </c>
      <c r="F1893" t="s">
        <v>20</v>
      </c>
      <c r="G1893" t="s">
        <v>194</v>
      </c>
      <c r="H1893" s="1">
        <v>45343.892361111109</v>
      </c>
      <c r="I1893" s="1">
        <v>45344.068055555559</v>
      </c>
      <c r="J1893">
        <v>224</v>
      </c>
      <c r="K1893">
        <v>253</v>
      </c>
      <c r="L1893">
        <v>1</v>
      </c>
      <c r="M1893" t="s">
        <v>22</v>
      </c>
      <c r="N1893">
        <v>5</v>
      </c>
      <c r="O1893">
        <v>359.69</v>
      </c>
    </row>
    <row r="1894" spans="1:15" x14ac:dyDescent="0.35">
      <c r="A1894" t="s">
        <v>3971</v>
      </c>
      <c r="B1894" t="s">
        <v>63</v>
      </c>
      <c r="C1894" t="s">
        <v>3972</v>
      </c>
      <c r="D1894" t="s">
        <v>56</v>
      </c>
      <c r="E1894" t="s">
        <v>38</v>
      </c>
      <c r="F1894" t="s">
        <v>39</v>
      </c>
      <c r="G1894" t="s">
        <v>251</v>
      </c>
      <c r="H1894" s="1">
        <v>45347.258333333331</v>
      </c>
      <c r="I1894" s="1">
        <v>45347.409722222219</v>
      </c>
      <c r="J1894">
        <v>131</v>
      </c>
      <c r="K1894">
        <v>218</v>
      </c>
      <c r="L1894">
        <v>1</v>
      </c>
      <c r="M1894" t="s">
        <v>41</v>
      </c>
      <c r="N1894">
        <v>2</v>
      </c>
      <c r="O1894">
        <v>419.65</v>
      </c>
    </row>
    <row r="1895" spans="1:15" x14ac:dyDescent="0.35">
      <c r="A1895" t="s">
        <v>3973</v>
      </c>
      <c r="B1895" t="s">
        <v>63</v>
      </c>
      <c r="C1895" t="s">
        <v>3974</v>
      </c>
      <c r="D1895" t="s">
        <v>44</v>
      </c>
      <c r="E1895" t="s">
        <v>19</v>
      </c>
      <c r="F1895" t="s">
        <v>27</v>
      </c>
      <c r="G1895" t="s">
        <v>167</v>
      </c>
      <c r="H1895" s="1">
        <v>45426.7</v>
      </c>
      <c r="I1895" s="1">
        <v>45426.926388888889</v>
      </c>
      <c r="J1895">
        <v>210</v>
      </c>
      <c r="K1895">
        <v>326</v>
      </c>
      <c r="L1895">
        <v>1</v>
      </c>
      <c r="M1895" t="s">
        <v>22</v>
      </c>
      <c r="N1895">
        <v>8</v>
      </c>
      <c r="O1895">
        <v>310.62</v>
      </c>
    </row>
    <row r="1896" spans="1:15" x14ac:dyDescent="0.35">
      <c r="A1896" t="s">
        <v>3975</v>
      </c>
      <c r="B1896" t="s">
        <v>24</v>
      </c>
      <c r="C1896" t="s">
        <v>3976</v>
      </c>
      <c r="D1896" t="s">
        <v>18</v>
      </c>
      <c r="E1896" t="s">
        <v>38</v>
      </c>
      <c r="F1896" t="s">
        <v>57</v>
      </c>
      <c r="G1896" t="s">
        <v>140</v>
      </c>
      <c r="H1896" s="1">
        <v>45447.913194444445</v>
      </c>
      <c r="I1896" s="1">
        <v>45448.006944444445</v>
      </c>
      <c r="J1896">
        <v>81</v>
      </c>
      <c r="K1896">
        <v>135</v>
      </c>
      <c r="L1896">
        <v>1</v>
      </c>
      <c r="M1896" t="s">
        <v>29</v>
      </c>
      <c r="N1896">
        <v>2</v>
      </c>
      <c r="O1896">
        <v>292.14</v>
      </c>
    </row>
    <row r="1897" spans="1:15" x14ac:dyDescent="0.35">
      <c r="A1897" t="s">
        <v>3977</v>
      </c>
      <c r="B1897" t="s">
        <v>63</v>
      </c>
      <c r="C1897" t="s">
        <v>3978</v>
      </c>
      <c r="D1897" t="s">
        <v>18</v>
      </c>
      <c r="E1897" t="s">
        <v>85</v>
      </c>
      <c r="F1897" t="s">
        <v>20</v>
      </c>
      <c r="G1897" t="s">
        <v>316</v>
      </c>
      <c r="H1897" s="1">
        <v>45358.154166666667</v>
      </c>
      <c r="I1897" s="1">
        <v>45358.371527777781</v>
      </c>
      <c r="J1897">
        <v>216</v>
      </c>
      <c r="K1897">
        <v>313</v>
      </c>
      <c r="L1897">
        <v>1</v>
      </c>
      <c r="M1897" t="s">
        <v>22</v>
      </c>
      <c r="N1897">
        <v>4</v>
      </c>
      <c r="O1897">
        <v>445.15</v>
      </c>
    </row>
    <row r="1898" spans="1:15" x14ac:dyDescent="0.35">
      <c r="A1898" t="s">
        <v>3979</v>
      </c>
      <c r="B1898" t="s">
        <v>51</v>
      </c>
      <c r="C1898" t="s">
        <v>3980</v>
      </c>
      <c r="D1898" t="s">
        <v>44</v>
      </c>
      <c r="E1898" t="s">
        <v>38</v>
      </c>
      <c r="F1898" t="s">
        <v>20</v>
      </c>
      <c r="G1898" t="s">
        <v>194</v>
      </c>
      <c r="H1898" s="1">
        <v>45355.820833333331</v>
      </c>
      <c r="I1898" s="1">
        <v>45355.888888888891</v>
      </c>
      <c r="J1898">
        <v>51</v>
      </c>
      <c r="K1898">
        <v>98</v>
      </c>
      <c r="L1898">
        <v>1</v>
      </c>
      <c r="M1898" t="s">
        <v>41</v>
      </c>
      <c r="N1898">
        <v>7</v>
      </c>
      <c r="O1898">
        <v>197.16</v>
      </c>
    </row>
    <row r="1899" spans="1:15" x14ac:dyDescent="0.35">
      <c r="A1899" t="s">
        <v>3981</v>
      </c>
      <c r="B1899" t="s">
        <v>31</v>
      </c>
      <c r="C1899" t="s">
        <v>3982</v>
      </c>
      <c r="D1899" t="s">
        <v>44</v>
      </c>
      <c r="E1899" t="s">
        <v>33</v>
      </c>
      <c r="F1899" t="s">
        <v>34</v>
      </c>
      <c r="G1899" t="s">
        <v>650</v>
      </c>
      <c r="H1899" s="1">
        <v>45535.697222222225</v>
      </c>
      <c r="I1899" s="1">
        <v>45535.730555555558</v>
      </c>
      <c r="J1899">
        <v>49</v>
      </c>
      <c r="K1899">
        <v>48</v>
      </c>
      <c r="L1899">
        <v>0</v>
      </c>
      <c r="M1899" t="s">
        <v>29</v>
      </c>
      <c r="N1899">
        <v>1</v>
      </c>
      <c r="O1899">
        <v>295.20999999999998</v>
      </c>
    </row>
    <row r="1900" spans="1:15" x14ac:dyDescent="0.35">
      <c r="A1900" t="s">
        <v>3983</v>
      </c>
      <c r="B1900" t="s">
        <v>31</v>
      </c>
      <c r="C1900" t="s">
        <v>3984</v>
      </c>
      <c r="D1900" t="s">
        <v>48</v>
      </c>
      <c r="E1900" t="s">
        <v>38</v>
      </c>
      <c r="F1900" t="s">
        <v>27</v>
      </c>
      <c r="G1900" t="s">
        <v>53</v>
      </c>
      <c r="H1900" s="1">
        <v>45462.679166666669</v>
      </c>
      <c r="I1900" s="1">
        <v>45462.868055555555</v>
      </c>
      <c r="J1900">
        <v>208</v>
      </c>
      <c r="K1900">
        <v>272</v>
      </c>
      <c r="L1900">
        <v>1</v>
      </c>
      <c r="M1900" t="s">
        <v>29</v>
      </c>
      <c r="N1900">
        <v>9</v>
      </c>
      <c r="O1900">
        <v>82.97</v>
      </c>
    </row>
    <row r="1901" spans="1:15" x14ac:dyDescent="0.35">
      <c r="A1901" t="s">
        <v>3985</v>
      </c>
      <c r="B1901" t="s">
        <v>24</v>
      </c>
      <c r="C1901" t="s">
        <v>3986</v>
      </c>
      <c r="D1901" t="s">
        <v>18</v>
      </c>
      <c r="E1901" t="s">
        <v>33</v>
      </c>
      <c r="F1901" t="s">
        <v>34</v>
      </c>
      <c r="G1901" t="s">
        <v>251</v>
      </c>
      <c r="H1901" s="1">
        <v>45495.271527777775</v>
      </c>
      <c r="I1901" s="1">
        <v>45495.333333333336</v>
      </c>
      <c r="J1901">
        <v>11</v>
      </c>
      <c r="K1901">
        <v>89</v>
      </c>
      <c r="L1901">
        <v>1</v>
      </c>
      <c r="M1901" t="s">
        <v>29</v>
      </c>
      <c r="N1901">
        <v>4</v>
      </c>
      <c r="O1901">
        <v>96.31</v>
      </c>
    </row>
    <row r="1902" spans="1:15" x14ac:dyDescent="0.35">
      <c r="A1902" t="s">
        <v>3987</v>
      </c>
      <c r="B1902" t="s">
        <v>16</v>
      </c>
      <c r="C1902" t="s">
        <v>3988</v>
      </c>
      <c r="D1902" t="s">
        <v>48</v>
      </c>
      <c r="E1902" t="s">
        <v>38</v>
      </c>
      <c r="F1902" t="s">
        <v>27</v>
      </c>
      <c r="G1902" t="s">
        <v>88</v>
      </c>
      <c r="H1902" s="1">
        <v>45477.856944444444</v>
      </c>
      <c r="I1902" s="1">
        <v>45477.921527777777</v>
      </c>
      <c r="J1902">
        <v>55</v>
      </c>
      <c r="K1902">
        <v>93</v>
      </c>
      <c r="L1902">
        <v>1</v>
      </c>
      <c r="M1902" t="s">
        <v>22</v>
      </c>
      <c r="N1902">
        <v>1</v>
      </c>
      <c r="O1902">
        <v>65.430000000000007</v>
      </c>
    </row>
    <row r="1903" spans="1:15" x14ac:dyDescent="0.35">
      <c r="A1903" t="s">
        <v>3989</v>
      </c>
      <c r="B1903" t="s">
        <v>31</v>
      </c>
      <c r="C1903" t="s">
        <v>3990</v>
      </c>
      <c r="D1903" t="s">
        <v>48</v>
      </c>
      <c r="E1903" t="s">
        <v>33</v>
      </c>
      <c r="F1903" t="s">
        <v>20</v>
      </c>
      <c r="G1903" t="s">
        <v>259</v>
      </c>
      <c r="H1903" s="1">
        <v>45519.685416666667</v>
      </c>
      <c r="I1903" s="1">
        <v>45519.802777777775</v>
      </c>
      <c r="J1903">
        <v>77</v>
      </c>
      <c r="K1903">
        <v>169</v>
      </c>
      <c r="L1903">
        <v>1</v>
      </c>
      <c r="M1903" t="s">
        <v>29</v>
      </c>
      <c r="N1903">
        <v>1</v>
      </c>
      <c r="O1903">
        <v>201.38</v>
      </c>
    </row>
    <row r="1904" spans="1:15" x14ac:dyDescent="0.35">
      <c r="A1904" t="s">
        <v>3991</v>
      </c>
      <c r="B1904" t="s">
        <v>63</v>
      </c>
      <c r="C1904" t="s">
        <v>3992</v>
      </c>
      <c r="D1904" t="s">
        <v>18</v>
      </c>
      <c r="E1904" t="s">
        <v>85</v>
      </c>
      <c r="F1904" t="s">
        <v>39</v>
      </c>
      <c r="G1904" t="s">
        <v>669</v>
      </c>
      <c r="H1904" s="1">
        <v>45441.629166666666</v>
      </c>
      <c r="I1904" s="1">
        <v>45441.828472222223</v>
      </c>
      <c r="J1904">
        <v>192</v>
      </c>
      <c r="K1904">
        <v>287</v>
      </c>
      <c r="L1904">
        <v>1</v>
      </c>
      <c r="M1904" t="s">
        <v>22</v>
      </c>
      <c r="N1904">
        <v>2</v>
      </c>
      <c r="O1904">
        <v>188.4</v>
      </c>
    </row>
    <row r="1905" spans="1:15" x14ac:dyDescent="0.35">
      <c r="A1905" t="s">
        <v>3993</v>
      </c>
      <c r="B1905" t="s">
        <v>24</v>
      </c>
      <c r="C1905" t="s">
        <v>3994</v>
      </c>
      <c r="D1905" t="s">
        <v>44</v>
      </c>
      <c r="E1905" t="s">
        <v>85</v>
      </c>
      <c r="F1905" t="s">
        <v>34</v>
      </c>
      <c r="G1905" t="s">
        <v>170</v>
      </c>
      <c r="H1905" s="1">
        <v>45363.363888888889</v>
      </c>
      <c r="I1905" s="1">
        <v>45363.481944444444</v>
      </c>
      <c r="J1905">
        <v>64</v>
      </c>
      <c r="K1905">
        <v>170</v>
      </c>
      <c r="L1905">
        <v>1</v>
      </c>
      <c r="M1905" t="s">
        <v>41</v>
      </c>
      <c r="N1905">
        <v>8</v>
      </c>
      <c r="O1905">
        <v>342.09</v>
      </c>
    </row>
    <row r="1906" spans="1:15" x14ac:dyDescent="0.35">
      <c r="A1906" t="s">
        <v>3995</v>
      </c>
      <c r="B1906" t="s">
        <v>51</v>
      </c>
      <c r="C1906" t="s">
        <v>3996</v>
      </c>
      <c r="D1906" t="s">
        <v>26</v>
      </c>
      <c r="E1906" t="s">
        <v>85</v>
      </c>
      <c r="F1906" t="s">
        <v>57</v>
      </c>
      <c r="G1906" t="s">
        <v>445</v>
      </c>
      <c r="H1906" s="1">
        <v>45452.167361111111</v>
      </c>
      <c r="I1906" s="1">
        <v>45452.3</v>
      </c>
      <c r="J1906">
        <v>187</v>
      </c>
      <c r="K1906">
        <v>191</v>
      </c>
      <c r="L1906">
        <v>1</v>
      </c>
      <c r="M1906" t="s">
        <v>22</v>
      </c>
      <c r="N1906">
        <v>4</v>
      </c>
      <c r="O1906">
        <v>412.01</v>
      </c>
    </row>
    <row r="1907" spans="1:15" x14ac:dyDescent="0.35">
      <c r="A1907" t="s">
        <v>3997</v>
      </c>
      <c r="B1907" t="s">
        <v>31</v>
      </c>
      <c r="C1907" t="s">
        <v>3998</v>
      </c>
      <c r="D1907" t="s">
        <v>48</v>
      </c>
      <c r="E1907" t="s">
        <v>33</v>
      </c>
      <c r="F1907" t="s">
        <v>57</v>
      </c>
      <c r="G1907" t="s">
        <v>418</v>
      </c>
      <c r="H1907" s="1">
        <v>45443.15347222222</v>
      </c>
      <c r="I1907" s="1">
        <v>45443.345833333333</v>
      </c>
      <c r="J1907">
        <v>180</v>
      </c>
      <c r="K1907">
        <v>277</v>
      </c>
      <c r="L1907">
        <v>1</v>
      </c>
      <c r="M1907" t="s">
        <v>22</v>
      </c>
      <c r="N1907">
        <v>6</v>
      </c>
      <c r="O1907">
        <v>347.26</v>
      </c>
    </row>
    <row r="1908" spans="1:15" x14ac:dyDescent="0.35">
      <c r="A1908" t="s">
        <v>3999</v>
      </c>
      <c r="B1908" t="s">
        <v>16</v>
      </c>
      <c r="C1908" t="s">
        <v>4000</v>
      </c>
      <c r="D1908" t="s">
        <v>56</v>
      </c>
      <c r="E1908" t="s">
        <v>33</v>
      </c>
      <c r="F1908" t="s">
        <v>27</v>
      </c>
      <c r="G1908" t="s">
        <v>615</v>
      </c>
      <c r="H1908" s="1">
        <v>45459.135416666664</v>
      </c>
      <c r="I1908" s="1">
        <v>45459.205555555556</v>
      </c>
      <c r="J1908">
        <v>76</v>
      </c>
      <c r="K1908">
        <v>101</v>
      </c>
      <c r="L1908">
        <v>1</v>
      </c>
      <c r="M1908" t="s">
        <v>22</v>
      </c>
      <c r="N1908">
        <v>5</v>
      </c>
      <c r="O1908">
        <v>89.84</v>
      </c>
    </row>
    <row r="1909" spans="1:15" x14ac:dyDescent="0.35">
      <c r="A1909" t="s">
        <v>4001</v>
      </c>
      <c r="B1909" t="s">
        <v>24</v>
      </c>
      <c r="C1909" t="s">
        <v>4002</v>
      </c>
      <c r="D1909" t="s">
        <v>44</v>
      </c>
      <c r="E1909" t="s">
        <v>33</v>
      </c>
      <c r="F1909" t="s">
        <v>39</v>
      </c>
      <c r="G1909" t="s">
        <v>111</v>
      </c>
      <c r="H1909" s="1">
        <v>45358.759722222225</v>
      </c>
      <c r="I1909" s="1">
        <v>45358.890972222223</v>
      </c>
      <c r="J1909">
        <v>69</v>
      </c>
      <c r="K1909">
        <v>189</v>
      </c>
      <c r="L1909">
        <v>1</v>
      </c>
      <c r="M1909" t="s">
        <v>29</v>
      </c>
      <c r="N1909">
        <v>4</v>
      </c>
      <c r="O1909">
        <v>164.08</v>
      </c>
    </row>
    <row r="1910" spans="1:15" x14ac:dyDescent="0.35">
      <c r="A1910" t="s">
        <v>4003</v>
      </c>
      <c r="B1910" t="s">
        <v>31</v>
      </c>
      <c r="C1910" t="s">
        <v>4004</v>
      </c>
      <c r="D1910" t="s">
        <v>48</v>
      </c>
      <c r="E1910" t="s">
        <v>85</v>
      </c>
      <c r="F1910" t="s">
        <v>39</v>
      </c>
      <c r="G1910" t="s">
        <v>376</v>
      </c>
      <c r="H1910" s="1">
        <v>45534.32708333333</v>
      </c>
      <c r="I1910" s="1">
        <v>45534.474999999999</v>
      </c>
      <c r="J1910">
        <v>208</v>
      </c>
      <c r="K1910">
        <v>213</v>
      </c>
      <c r="L1910">
        <v>1</v>
      </c>
      <c r="M1910" t="s">
        <v>29</v>
      </c>
      <c r="N1910">
        <v>5</v>
      </c>
      <c r="O1910">
        <v>251.03</v>
      </c>
    </row>
    <row r="1911" spans="1:15" x14ac:dyDescent="0.35">
      <c r="A1911" t="s">
        <v>4005</v>
      </c>
      <c r="B1911" t="s">
        <v>16</v>
      </c>
      <c r="C1911" t="s">
        <v>4006</v>
      </c>
      <c r="D1911" t="s">
        <v>44</v>
      </c>
      <c r="E1911" t="s">
        <v>38</v>
      </c>
      <c r="F1911" t="s">
        <v>39</v>
      </c>
      <c r="G1911" t="s">
        <v>782</v>
      </c>
      <c r="H1911" s="1">
        <v>45570.78125</v>
      </c>
      <c r="I1911" s="1">
        <v>45570.944444444445</v>
      </c>
      <c r="J1911">
        <v>145</v>
      </c>
      <c r="K1911">
        <v>235</v>
      </c>
      <c r="L1911">
        <v>1</v>
      </c>
      <c r="M1911" t="s">
        <v>29</v>
      </c>
      <c r="N1911">
        <v>1</v>
      </c>
      <c r="O1911">
        <v>245.32</v>
      </c>
    </row>
    <row r="1912" spans="1:15" x14ac:dyDescent="0.35">
      <c r="A1912" t="s">
        <v>4007</v>
      </c>
      <c r="B1912" t="s">
        <v>16</v>
      </c>
      <c r="C1912" t="s">
        <v>4008</v>
      </c>
      <c r="D1912" t="s">
        <v>44</v>
      </c>
      <c r="E1912" t="s">
        <v>33</v>
      </c>
      <c r="F1912" t="s">
        <v>27</v>
      </c>
      <c r="G1912" t="s">
        <v>602</v>
      </c>
      <c r="H1912" s="1">
        <v>45352.230555555558</v>
      </c>
      <c r="I1912" s="1">
        <v>45352.425694444442</v>
      </c>
      <c r="J1912">
        <v>201</v>
      </c>
      <c r="K1912">
        <v>281</v>
      </c>
      <c r="L1912">
        <v>1</v>
      </c>
      <c r="M1912" t="s">
        <v>29</v>
      </c>
      <c r="N1912">
        <v>6</v>
      </c>
      <c r="O1912">
        <v>427.55</v>
      </c>
    </row>
    <row r="1913" spans="1:15" x14ac:dyDescent="0.35">
      <c r="A1913" t="s">
        <v>4009</v>
      </c>
      <c r="B1913" t="s">
        <v>31</v>
      </c>
      <c r="C1913" t="s">
        <v>4010</v>
      </c>
      <c r="D1913" t="s">
        <v>26</v>
      </c>
      <c r="E1913" t="s">
        <v>19</v>
      </c>
      <c r="F1913" t="s">
        <v>27</v>
      </c>
      <c r="G1913" t="s">
        <v>140</v>
      </c>
      <c r="H1913" s="1">
        <v>45302.649305555555</v>
      </c>
      <c r="I1913" s="1">
        <v>45302.835416666669</v>
      </c>
      <c r="J1913">
        <v>218</v>
      </c>
      <c r="K1913">
        <v>268</v>
      </c>
      <c r="L1913">
        <v>1</v>
      </c>
      <c r="M1913" t="s">
        <v>22</v>
      </c>
      <c r="N1913">
        <v>9</v>
      </c>
      <c r="O1913">
        <v>187.9</v>
      </c>
    </row>
    <row r="1914" spans="1:15" x14ac:dyDescent="0.35">
      <c r="A1914" t="s">
        <v>4011</v>
      </c>
      <c r="B1914" t="s">
        <v>51</v>
      </c>
      <c r="C1914" t="s">
        <v>4012</v>
      </c>
      <c r="D1914" t="s">
        <v>48</v>
      </c>
      <c r="E1914" t="s">
        <v>33</v>
      </c>
      <c r="F1914" t="s">
        <v>57</v>
      </c>
      <c r="G1914" t="s">
        <v>288</v>
      </c>
      <c r="H1914" s="1">
        <v>45552.742361111108</v>
      </c>
      <c r="I1914" s="1">
        <v>45552.861111111109</v>
      </c>
      <c r="J1914">
        <v>119</v>
      </c>
      <c r="K1914">
        <v>171</v>
      </c>
      <c r="L1914">
        <v>1</v>
      </c>
      <c r="M1914" t="s">
        <v>22</v>
      </c>
      <c r="N1914">
        <v>10</v>
      </c>
      <c r="O1914">
        <v>78.52</v>
      </c>
    </row>
    <row r="1915" spans="1:15" x14ac:dyDescent="0.35">
      <c r="A1915" t="s">
        <v>4013</v>
      </c>
      <c r="B1915" t="s">
        <v>63</v>
      </c>
      <c r="C1915" t="s">
        <v>4014</v>
      </c>
      <c r="D1915" t="s">
        <v>26</v>
      </c>
      <c r="E1915" t="s">
        <v>19</v>
      </c>
      <c r="F1915" t="s">
        <v>34</v>
      </c>
      <c r="G1915" t="s">
        <v>1187</v>
      </c>
      <c r="H1915" s="1">
        <v>45510.614583333336</v>
      </c>
      <c r="I1915" s="1">
        <v>45510.662499999999</v>
      </c>
      <c r="J1915">
        <v>60</v>
      </c>
      <c r="K1915">
        <v>69</v>
      </c>
      <c r="L1915">
        <v>1</v>
      </c>
      <c r="M1915" t="s">
        <v>41</v>
      </c>
      <c r="N1915">
        <v>1</v>
      </c>
      <c r="O1915">
        <v>435.24</v>
      </c>
    </row>
    <row r="1916" spans="1:15" x14ac:dyDescent="0.35">
      <c r="A1916" t="s">
        <v>4015</v>
      </c>
      <c r="B1916" t="s">
        <v>51</v>
      </c>
      <c r="C1916" t="s">
        <v>4016</v>
      </c>
      <c r="D1916" t="s">
        <v>26</v>
      </c>
      <c r="E1916" t="s">
        <v>85</v>
      </c>
      <c r="F1916" t="s">
        <v>57</v>
      </c>
      <c r="G1916" t="s">
        <v>191</v>
      </c>
      <c r="H1916" s="1">
        <v>45491.831250000003</v>
      </c>
      <c r="I1916" s="1">
        <v>45491.956250000003</v>
      </c>
      <c r="J1916">
        <v>97</v>
      </c>
      <c r="K1916">
        <v>180</v>
      </c>
      <c r="L1916">
        <v>1</v>
      </c>
      <c r="M1916" t="s">
        <v>29</v>
      </c>
      <c r="N1916">
        <v>7</v>
      </c>
      <c r="O1916">
        <v>379.64</v>
      </c>
    </row>
    <row r="1917" spans="1:15" x14ac:dyDescent="0.35">
      <c r="A1917" t="s">
        <v>4017</v>
      </c>
      <c r="B1917" t="s">
        <v>24</v>
      </c>
      <c r="C1917" t="s">
        <v>4018</v>
      </c>
      <c r="D1917" t="s">
        <v>56</v>
      </c>
      <c r="E1917" t="s">
        <v>85</v>
      </c>
      <c r="F1917" t="s">
        <v>34</v>
      </c>
      <c r="G1917" t="s">
        <v>143</v>
      </c>
      <c r="H1917" s="1">
        <v>45301.396527777775</v>
      </c>
      <c r="I1917" s="1">
        <v>45301.527777777781</v>
      </c>
      <c r="J1917">
        <v>80</v>
      </c>
      <c r="K1917">
        <v>189</v>
      </c>
      <c r="L1917">
        <v>1</v>
      </c>
      <c r="M1917" t="s">
        <v>29</v>
      </c>
      <c r="N1917">
        <v>10</v>
      </c>
      <c r="O1917">
        <v>437.71</v>
      </c>
    </row>
    <row r="1918" spans="1:15" x14ac:dyDescent="0.35">
      <c r="A1918" t="s">
        <v>4019</v>
      </c>
      <c r="B1918" t="s">
        <v>31</v>
      </c>
      <c r="C1918" t="s">
        <v>4020</v>
      </c>
      <c r="D1918" t="s">
        <v>26</v>
      </c>
      <c r="E1918" t="s">
        <v>33</v>
      </c>
      <c r="F1918" t="s">
        <v>34</v>
      </c>
      <c r="G1918" t="s">
        <v>79</v>
      </c>
      <c r="H1918" s="1">
        <v>45352.989583333336</v>
      </c>
      <c r="I1918" s="1">
        <v>45353.01458333333</v>
      </c>
      <c r="J1918">
        <v>16</v>
      </c>
      <c r="K1918">
        <v>36</v>
      </c>
      <c r="L1918">
        <v>1</v>
      </c>
      <c r="M1918" t="s">
        <v>29</v>
      </c>
      <c r="N1918">
        <v>10</v>
      </c>
      <c r="O1918">
        <v>304.67</v>
      </c>
    </row>
    <row r="1919" spans="1:15" x14ac:dyDescent="0.35">
      <c r="A1919" t="s">
        <v>4021</v>
      </c>
      <c r="B1919" t="s">
        <v>31</v>
      </c>
      <c r="C1919" t="s">
        <v>4022</v>
      </c>
      <c r="D1919" t="s">
        <v>48</v>
      </c>
      <c r="E1919" t="s">
        <v>19</v>
      </c>
      <c r="F1919" t="s">
        <v>20</v>
      </c>
      <c r="G1919" t="s">
        <v>316</v>
      </c>
      <c r="H1919" s="1">
        <v>45603.674305555556</v>
      </c>
      <c r="I1919" s="1">
        <v>45603.791666666664</v>
      </c>
      <c r="J1919">
        <v>94</v>
      </c>
      <c r="K1919">
        <v>169</v>
      </c>
      <c r="L1919">
        <v>1</v>
      </c>
      <c r="M1919" t="s">
        <v>29</v>
      </c>
      <c r="N1919">
        <v>1</v>
      </c>
      <c r="O1919">
        <v>163.57</v>
      </c>
    </row>
    <row r="1920" spans="1:15" x14ac:dyDescent="0.35">
      <c r="A1920" t="s">
        <v>4023</v>
      </c>
      <c r="B1920" t="s">
        <v>63</v>
      </c>
      <c r="C1920" t="s">
        <v>4024</v>
      </c>
      <c r="D1920" t="s">
        <v>48</v>
      </c>
      <c r="E1920" t="s">
        <v>38</v>
      </c>
      <c r="F1920" t="s">
        <v>57</v>
      </c>
      <c r="G1920" t="s">
        <v>676</v>
      </c>
      <c r="H1920" s="1">
        <v>45597.741666666669</v>
      </c>
      <c r="I1920" s="1">
        <v>45597.904861111114</v>
      </c>
      <c r="J1920">
        <v>183</v>
      </c>
      <c r="K1920">
        <v>235</v>
      </c>
      <c r="L1920">
        <v>1</v>
      </c>
      <c r="M1920" t="s">
        <v>29</v>
      </c>
      <c r="N1920">
        <v>8</v>
      </c>
      <c r="O1920">
        <v>219.98</v>
      </c>
    </row>
    <row r="1921" spans="1:15" x14ac:dyDescent="0.35">
      <c r="A1921" t="s">
        <v>4025</v>
      </c>
      <c r="B1921" t="s">
        <v>31</v>
      </c>
      <c r="C1921" t="s">
        <v>4026</v>
      </c>
      <c r="D1921" t="s">
        <v>44</v>
      </c>
      <c r="E1921" t="s">
        <v>19</v>
      </c>
      <c r="F1921" t="s">
        <v>39</v>
      </c>
      <c r="G1921" t="s">
        <v>988</v>
      </c>
      <c r="H1921" s="1">
        <v>45647.76458333333</v>
      </c>
      <c r="I1921" s="1">
        <v>45647.821527777778</v>
      </c>
      <c r="J1921">
        <v>24</v>
      </c>
      <c r="K1921">
        <v>82</v>
      </c>
      <c r="L1921">
        <v>1</v>
      </c>
      <c r="M1921" t="s">
        <v>22</v>
      </c>
      <c r="N1921">
        <v>1</v>
      </c>
      <c r="O1921">
        <v>157.1</v>
      </c>
    </row>
    <row r="1922" spans="1:15" x14ac:dyDescent="0.35">
      <c r="A1922" t="s">
        <v>4027</v>
      </c>
      <c r="B1922" t="s">
        <v>63</v>
      </c>
      <c r="C1922" t="s">
        <v>4028</v>
      </c>
      <c r="D1922" t="s">
        <v>56</v>
      </c>
      <c r="E1922" t="s">
        <v>85</v>
      </c>
      <c r="F1922" t="s">
        <v>57</v>
      </c>
      <c r="G1922" t="s">
        <v>1622</v>
      </c>
      <c r="H1922" s="1">
        <v>45652.496527777781</v>
      </c>
      <c r="I1922" s="1">
        <v>45652.630555555559</v>
      </c>
      <c r="J1922">
        <v>191</v>
      </c>
      <c r="K1922">
        <v>193</v>
      </c>
      <c r="L1922">
        <v>1</v>
      </c>
      <c r="M1922" t="s">
        <v>41</v>
      </c>
      <c r="N1922">
        <v>5</v>
      </c>
      <c r="O1922">
        <v>387.61</v>
      </c>
    </row>
    <row r="1923" spans="1:15" x14ac:dyDescent="0.35">
      <c r="A1923" t="s">
        <v>4029</v>
      </c>
      <c r="B1923" t="s">
        <v>24</v>
      </c>
      <c r="C1923" t="s">
        <v>4030</v>
      </c>
      <c r="D1923" t="s">
        <v>18</v>
      </c>
      <c r="E1923" t="s">
        <v>85</v>
      </c>
      <c r="F1923" t="s">
        <v>20</v>
      </c>
      <c r="G1923" t="s">
        <v>283</v>
      </c>
      <c r="H1923" s="1">
        <v>45365.25</v>
      </c>
      <c r="I1923" s="1">
        <v>45365.341666666667</v>
      </c>
      <c r="J1923">
        <v>29</v>
      </c>
      <c r="K1923">
        <v>132</v>
      </c>
      <c r="L1923">
        <v>1</v>
      </c>
      <c r="M1923" t="s">
        <v>41</v>
      </c>
      <c r="N1923">
        <v>2</v>
      </c>
      <c r="O1923">
        <v>171.98</v>
      </c>
    </row>
    <row r="1924" spans="1:15" x14ac:dyDescent="0.35">
      <c r="A1924" t="s">
        <v>4031</v>
      </c>
      <c r="B1924" t="s">
        <v>16</v>
      </c>
      <c r="C1924" t="s">
        <v>4032</v>
      </c>
      <c r="D1924" t="s">
        <v>56</v>
      </c>
      <c r="E1924" t="s">
        <v>38</v>
      </c>
      <c r="F1924" t="s">
        <v>20</v>
      </c>
      <c r="G1924" t="s">
        <v>316</v>
      </c>
      <c r="H1924" s="1">
        <v>45504.063194444447</v>
      </c>
      <c r="I1924" s="1">
        <v>45504.136805555558</v>
      </c>
      <c r="J1924">
        <v>41</v>
      </c>
      <c r="K1924">
        <v>106</v>
      </c>
      <c r="L1924">
        <v>1</v>
      </c>
      <c r="M1924" t="s">
        <v>22</v>
      </c>
      <c r="N1924">
        <v>1</v>
      </c>
      <c r="O1924">
        <v>57.54</v>
      </c>
    </row>
    <row r="1925" spans="1:15" x14ac:dyDescent="0.35">
      <c r="A1925" t="s">
        <v>4033</v>
      </c>
      <c r="B1925" t="s">
        <v>24</v>
      </c>
      <c r="C1925" t="s">
        <v>4034</v>
      </c>
      <c r="D1925" t="s">
        <v>56</v>
      </c>
      <c r="E1925" t="s">
        <v>38</v>
      </c>
      <c r="F1925" t="s">
        <v>39</v>
      </c>
      <c r="G1925" t="s">
        <v>754</v>
      </c>
      <c r="H1925" s="1">
        <v>45318.452777777777</v>
      </c>
      <c r="I1925" s="1">
        <v>45318.663888888892</v>
      </c>
      <c r="J1925">
        <v>204</v>
      </c>
      <c r="K1925">
        <v>304</v>
      </c>
      <c r="L1925">
        <v>1</v>
      </c>
      <c r="M1925" t="s">
        <v>22</v>
      </c>
      <c r="N1925">
        <v>3</v>
      </c>
      <c r="O1925">
        <v>246.76</v>
      </c>
    </row>
    <row r="1926" spans="1:15" x14ac:dyDescent="0.35">
      <c r="A1926" t="s">
        <v>4035</v>
      </c>
      <c r="B1926" t="s">
        <v>63</v>
      </c>
      <c r="C1926" t="s">
        <v>4036</v>
      </c>
      <c r="D1926" t="s">
        <v>48</v>
      </c>
      <c r="E1926" t="s">
        <v>38</v>
      </c>
      <c r="F1926" t="s">
        <v>57</v>
      </c>
      <c r="G1926" t="s">
        <v>330</v>
      </c>
      <c r="H1926" s="1">
        <v>45352.876388888886</v>
      </c>
      <c r="I1926" s="1">
        <v>45353.004861111112</v>
      </c>
      <c r="J1926">
        <v>174</v>
      </c>
      <c r="K1926">
        <v>185</v>
      </c>
      <c r="L1926">
        <v>1</v>
      </c>
      <c r="M1926" t="s">
        <v>41</v>
      </c>
      <c r="N1926">
        <v>6</v>
      </c>
      <c r="O1926">
        <v>274.64</v>
      </c>
    </row>
    <row r="1927" spans="1:15" x14ac:dyDescent="0.35">
      <c r="A1927" t="s">
        <v>4037</v>
      </c>
      <c r="B1927" t="s">
        <v>63</v>
      </c>
      <c r="C1927" t="s">
        <v>4038</v>
      </c>
      <c r="D1927" t="s">
        <v>18</v>
      </c>
      <c r="E1927" t="s">
        <v>38</v>
      </c>
      <c r="F1927" t="s">
        <v>20</v>
      </c>
      <c r="G1927" t="s">
        <v>782</v>
      </c>
      <c r="H1927" s="1">
        <v>45608.420138888891</v>
      </c>
      <c r="I1927" s="1">
        <v>45608.482638888891</v>
      </c>
      <c r="J1927">
        <v>20</v>
      </c>
      <c r="K1927">
        <v>90</v>
      </c>
      <c r="L1927">
        <v>1</v>
      </c>
      <c r="M1927" t="s">
        <v>22</v>
      </c>
      <c r="N1927">
        <v>10</v>
      </c>
      <c r="O1927">
        <v>70.02</v>
      </c>
    </row>
    <row r="1928" spans="1:15" x14ac:dyDescent="0.35">
      <c r="A1928" t="s">
        <v>4039</v>
      </c>
      <c r="B1928" t="s">
        <v>24</v>
      </c>
      <c r="C1928" t="s">
        <v>4040</v>
      </c>
      <c r="D1928" t="s">
        <v>18</v>
      </c>
      <c r="E1928" t="s">
        <v>33</v>
      </c>
      <c r="F1928" t="s">
        <v>27</v>
      </c>
      <c r="G1928" t="s">
        <v>120</v>
      </c>
      <c r="H1928" s="1">
        <v>45499.262499999997</v>
      </c>
      <c r="I1928" s="1">
        <v>45499.32708333333</v>
      </c>
      <c r="J1928">
        <v>37</v>
      </c>
      <c r="K1928">
        <v>93</v>
      </c>
      <c r="L1928">
        <v>1</v>
      </c>
      <c r="M1928" t="s">
        <v>22</v>
      </c>
      <c r="N1928">
        <v>4</v>
      </c>
      <c r="O1928">
        <v>65.63</v>
      </c>
    </row>
    <row r="1929" spans="1:15" x14ac:dyDescent="0.35">
      <c r="A1929" t="s">
        <v>4041</v>
      </c>
      <c r="B1929" t="s">
        <v>51</v>
      </c>
      <c r="C1929" t="s">
        <v>4042</v>
      </c>
      <c r="D1929" t="s">
        <v>48</v>
      </c>
      <c r="E1929" t="s">
        <v>85</v>
      </c>
      <c r="F1929" t="s">
        <v>34</v>
      </c>
      <c r="G1929" t="s">
        <v>35</v>
      </c>
      <c r="H1929" s="1">
        <v>45519.936111111114</v>
      </c>
      <c r="I1929" s="1">
        <v>45520.018750000003</v>
      </c>
      <c r="J1929">
        <v>122</v>
      </c>
      <c r="K1929">
        <v>119</v>
      </c>
      <c r="L1929">
        <v>0</v>
      </c>
      <c r="M1929" t="s">
        <v>29</v>
      </c>
      <c r="N1929">
        <v>10</v>
      </c>
      <c r="O1929">
        <v>497.34</v>
      </c>
    </row>
    <row r="1930" spans="1:15" x14ac:dyDescent="0.35">
      <c r="A1930" t="s">
        <v>4043</v>
      </c>
      <c r="B1930" t="s">
        <v>63</v>
      </c>
      <c r="C1930" t="s">
        <v>4044</v>
      </c>
      <c r="D1930" t="s">
        <v>56</v>
      </c>
      <c r="E1930" t="s">
        <v>19</v>
      </c>
      <c r="F1930" t="s">
        <v>57</v>
      </c>
      <c r="G1930" t="s">
        <v>316</v>
      </c>
      <c r="H1930" s="1">
        <v>45583.990972222222</v>
      </c>
      <c r="I1930" s="1">
        <v>45584.0625</v>
      </c>
      <c r="J1930">
        <v>88</v>
      </c>
      <c r="K1930">
        <v>103</v>
      </c>
      <c r="L1930">
        <v>1</v>
      </c>
      <c r="M1930" t="s">
        <v>41</v>
      </c>
      <c r="N1930">
        <v>4</v>
      </c>
      <c r="O1930">
        <v>496.87</v>
      </c>
    </row>
    <row r="1931" spans="1:15" x14ac:dyDescent="0.35">
      <c r="A1931" t="s">
        <v>4045</v>
      </c>
      <c r="B1931" t="s">
        <v>51</v>
      </c>
      <c r="C1931" t="s">
        <v>4046</v>
      </c>
      <c r="D1931" t="s">
        <v>26</v>
      </c>
      <c r="E1931" t="s">
        <v>19</v>
      </c>
      <c r="F1931" t="s">
        <v>27</v>
      </c>
      <c r="G1931" t="s">
        <v>308</v>
      </c>
      <c r="H1931" s="1">
        <v>45489.859722222223</v>
      </c>
      <c r="I1931" s="1">
        <v>45490.061805555553</v>
      </c>
      <c r="J1931">
        <v>238</v>
      </c>
      <c r="K1931">
        <v>291</v>
      </c>
      <c r="L1931">
        <v>1</v>
      </c>
      <c r="M1931" t="s">
        <v>29</v>
      </c>
      <c r="N1931">
        <v>4</v>
      </c>
      <c r="O1931">
        <v>187.97</v>
      </c>
    </row>
    <row r="1932" spans="1:15" x14ac:dyDescent="0.35">
      <c r="A1932" t="s">
        <v>4047</v>
      </c>
      <c r="B1932" t="s">
        <v>63</v>
      </c>
      <c r="C1932" t="s">
        <v>4048</v>
      </c>
      <c r="D1932" t="s">
        <v>18</v>
      </c>
      <c r="E1932" t="s">
        <v>19</v>
      </c>
      <c r="F1932" t="s">
        <v>57</v>
      </c>
      <c r="G1932" t="s">
        <v>296</v>
      </c>
      <c r="H1932" s="1">
        <v>45349.388888888891</v>
      </c>
      <c r="I1932" s="1">
        <v>45349.486805555556</v>
      </c>
      <c r="J1932">
        <v>139</v>
      </c>
      <c r="K1932">
        <v>141</v>
      </c>
      <c r="L1932">
        <v>1</v>
      </c>
      <c r="M1932" t="s">
        <v>22</v>
      </c>
      <c r="N1932">
        <v>7</v>
      </c>
      <c r="O1932">
        <v>199.63</v>
      </c>
    </row>
    <row r="1933" spans="1:15" x14ac:dyDescent="0.35">
      <c r="A1933" t="s">
        <v>4049</v>
      </c>
      <c r="B1933" t="s">
        <v>31</v>
      </c>
      <c r="C1933" t="s">
        <v>4050</v>
      </c>
      <c r="D1933" t="s">
        <v>48</v>
      </c>
      <c r="E1933" t="s">
        <v>19</v>
      </c>
      <c r="F1933" t="s">
        <v>57</v>
      </c>
      <c r="G1933" t="s">
        <v>676</v>
      </c>
      <c r="H1933" s="1">
        <v>45541.964583333334</v>
      </c>
      <c r="I1933" s="1">
        <v>45542.067361111112</v>
      </c>
      <c r="J1933">
        <v>125</v>
      </c>
      <c r="K1933">
        <v>148</v>
      </c>
      <c r="L1933">
        <v>1</v>
      </c>
      <c r="M1933" t="s">
        <v>22</v>
      </c>
      <c r="N1933">
        <v>5</v>
      </c>
      <c r="O1933">
        <v>159.66999999999999</v>
      </c>
    </row>
    <row r="1934" spans="1:15" x14ac:dyDescent="0.35">
      <c r="A1934" t="s">
        <v>4051</v>
      </c>
      <c r="B1934" t="s">
        <v>24</v>
      </c>
      <c r="C1934" t="s">
        <v>4052</v>
      </c>
      <c r="D1934" t="s">
        <v>18</v>
      </c>
      <c r="E1934" t="s">
        <v>85</v>
      </c>
      <c r="F1934" t="s">
        <v>20</v>
      </c>
      <c r="G1934" t="s">
        <v>681</v>
      </c>
      <c r="H1934" s="1">
        <v>45539.390277777777</v>
      </c>
      <c r="I1934" s="1">
        <v>45539.555555555555</v>
      </c>
      <c r="J1934">
        <v>202</v>
      </c>
      <c r="K1934">
        <v>238</v>
      </c>
      <c r="L1934">
        <v>1</v>
      </c>
      <c r="M1934" t="s">
        <v>29</v>
      </c>
      <c r="N1934">
        <v>6</v>
      </c>
      <c r="O1934">
        <v>271.58</v>
      </c>
    </row>
    <row r="1935" spans="1:15" x14ac:dyDescent="0.35">
      <c r="A1935" t="s">
        <v>4053</v>
      </c>
      <c r="B1935" t="s">
        <v>31</v>
      </c>
      <c r="C1935" t="s">
        <v>4054</v>
      </c>
      <c r="D1935" t="s">
        <v>44</v>
      </c>
      <c r="E1935" t="s">
        <v>33</v>
      </c>
      <c r="F1935" t="s">
        <v>27</v>
      </c>
      <c r="G1935" t="s">
        <v>622</v>
      </c>
      <c r="H1935" s="1">
        <v>45359.332638888889</v>
      </c>
      <c r="I1935" s="1">
        <v>45359.402083333334</v>
      </c>
      <c r="J1935">
        <v>94</v>
      </c>
      <c r="K1935">
        <v>100</v>
      </c>
      <c r="L1935">
        <v>1</v>
      </c>
      <c r="M1935" t="s">
        <v>29</v>
      </c>
      <c r="N1935">
        <v>7</v>
      </c>
      <c r="O1935">
        <v>329.72</v>
      </c>
    </row>
    <row r="1936" spans="1:15" x14ac:dyDescent="0.35">
      <c r="A1936" t="s">
        <v>4055</v>
      </c>
      <c r="B1936" t="s">
        <v>31</v>
      </c>
      <c r="C1936" t="s">
        <v>4056</v>
      </c>
      <c r="D1936" t="s">
        <v>44</v>
      </c>
      <c r="E1936" t="s">
        <v>85</v>
      </c>
      <c r="F1936" t="s">
        <v>20</v>
      </c>
      <c r="G1936" t="s">
        <v>146</v>
      </c>
      <c r="H1936" s="1">
        <v>45565.272916666669</v>
      </c>
      <c r="I1936" s="1">
        <v>45565.388888888891</v>
      </c>
      <c r="J1936">
        <v>66</v>
      </c>
      <c r="K1936">
        <v>167</v>
      </c>
      <c r="L1936">
        <v>1</v>
      </c>
      <c r="M1936" t="s">
        <v>29</v>
      </c>
      <c r="N1936">
        <v>10</v>
      </c>
      <c r="O1936">
        <v>114.48</v>
      </c>
    </row>
    <row r="1937" spans="1:15" x14ac:dyDescent="0.35">
      <c r="A1937" t="s">
        <v>4057</v>
      </c>
      <c r="B1937" t="s">
        <v>24</v>
      </c>
      <c r="C1937" t="s">
        <v>4058</v>
      </c>
      <c r="D1937" t="s">
        <v>18</v>
      </c>
      <c r="E1937" t="s">
        <v>85</v>
      </c>
      <c r="F1937" t="s">
        <v>39</v>
      </c>
      <c r="G1937" t="s">
        <v>76</v>
      </c>
      <c r="H1937" s="1">
        <v>45654.948611111111</v>
      </c>
      <c r="I1937" s="1">
        <v>45655.120138888888</v>
      </c>
      <c r="J1937">
        <v>175</v>
      </c>
      <c r="K1937">
        <v>247</v>
      </c>
      <c r="L1937">
        <v>1</v>
      </c>
      <c r="M1937" t="s">
        <v>29</v>
      </c>
      <c r="N1937">
        <v>6</v>
      </c>
      <c r="O1937">
        <v>103.09</v>
      </c>
    </row>
    <row r="1938" spans="1:15" x14ac:dyDescent="0.35">
      <c r="A1938" t="s">
        <v>4059</v>
      </c>
      <c r="B1938" t="s">
        <v>31</v>
      </c>
      <c r="C1938" t="s">
        <v>4060</v>
      </c>
      <c r="D1938" t="s">
        <v>48</v>
      </c>
      <c r="E1938" t="s">
        <v>38</v>
      </c>
      <c r="F1938" t="s">
        <v>39</v>
      </c>
      <c r="G1938" t="s">
        <v>650</v>
      </c>
      <c r="H1938" s="1">
        <v>45293.979166666664</v>
      </c>
      <c r="I1938" s="1">
        <v>45294.10833333333</v>
      </c>
      <c r="J1938">
        <v>174</v>
      </c>
      <c r="K1938">
        <v>186</v>
      </c>
      <c r="L1938">
        <v>1</v>
      </c>
      <c r="M1938" t="s">
        <v>22</v>
      </c>
      <c r="N1938">
        <v>1</v>
      </c>
      <c r="O1938">
        <v>273.97000000000003</v>
      </c>
    </row>
    <row r="1939" spans="1:15" x14ac:dyDescent="0.35">
      <c r="A1939" t="s">
        <v>4061</v>
      </c>
      <c r="B1939" t="s">
        <v>31</v>
      </c>
      <c r="C1939" t="s">
        <v>4062</v>
      </c>
      <c r="D1939" t="s">
        <v>18</v>
      </c>
      <c r="E1939" t="s">
        <v>19</v>
      </c>
      <c r="F1939" t="s">
        <v>20</v>
      </c>
      <c r="G1939" t="s">
        <v>126</v>
      </c>
      <c r="H1939" s="1">
        <v>45596.412499999999</v>
      </c>
      <c r="I1939" s="1">
        <v>45596.540972222225</v>
      </c>
      <c r="J1939">
        <v>117</v>
      </c>
      <c r="K1939">
        <v>185</v>
      </c>
      <c r="L1939">
        <v>1</v>
      </c>
      <c r="M1939" t="s">
        <v>41</v>
      </c>
      <c r="N1939">
        <v>6</v>
      </c>
      <c r="O1939">
        <v>474.3</v>
      </c>
    </row>
    <row r="1940" spans="1:15" x14ac:dyDescent="0.35">
      <c r="A1940" t="s">
        <v>4063</v>
      </c>
      <c r="B1940" t="s">
        <v>24</v>
      </c>
      <c r="C1940" t="s">
        <v>4064</v>
      </c>
      <c r="D1940" t="s">
        <v>18</v>
      </c>
      <c r="E1940" t="s">
        <v>38</v>
      </c>
      <c r="F1940" t="s">
        <v>20</v>
      </c>
      <c r="G1940" t="s">
        <v>73</v>
      </c>
      <c r="H1940" s="1">
        <v>45320.595138888886</v>
      </c>
      <c r="I1940" s="1">
        <v>45320.703472222223</v>
      </c>
      <c r="J1940">
        <v>131</v>
      </c>
      <c r="K1940">
        <v>156</v>
      </c>
      <c r="L1940">
        <v>1</v>
      </c>
      <c r="M1940" t="s">
        <v>41</v>
      </c>
      <c r="N1940">
        <v>5</v>
      </c>
      <c r="O1940">
        <v>153.79</v>
      </c>
    </row>
    <row r="1941" spans="1:15" x14ac:dyDescent="0.35">
      <c r="A1941" t="s">
        <v>4065</v>
      </c>
      <c r="B1941" t="s">
        <v>51</v>
      </c>
      <c r="C1941" t="s">
        <v>4066</v>
      </c>
      <c r="D1941" t="s">
        <v>56</v>
      </c>
      <c r="E1941" t="s">
        <v>19</v>
      </c>
      <c r="F1941" t="s">
        <v>57</v>
      </c>
      <c r="G1941" t="s">
        <v>103</v>
      </c>
      <c r="H1941" s="1">
        <v>45647.727083333331</v>
      </c>
      <c r="I1941" s="1">
        <v>45647.85833333333</v>
      </c>
      <c r="J1941">
        <v>185</v>
      </c>
      <c r="K1941">
        <v>189</v>
      </c>
      <c r="L1941">
        <v>1</v>
      </c>
      <c r="M1941" t="s">
        <v>29</v>
      </c>
      <c r="N1941">
        <v>4</v>
      </c>
      <c r="O1941">
        <v>86.7</v>
      </c>
    </row>
    <row r="1942" spans="1:15" x14ac:dyDescent="0.35">
      <c r="A1942" t="s">
        <v>4067</v>
      </c>
      <c r="B1942" t="s">
        <v>51</v>
      </c>
      <c r="C1942" t="s">
        <v>4068</v>
      </c>
      <c r="D1942" t="s">
        <v>56</v>
      </c>
      <c r="E1942" t="s">
        <v>38</v>
      </c>
      <c r="F1942" t="s">
        <v>39</v>
      </c>
      <c r="G1942" t="s">
        <v>521</v>
      </c>
      <c r="H1942" s="1">
        <v>45312.840277777781</v>
      </c>
      <c r="I1942" s="1">
        <v>45312.885416666664</v>
      </c>
      <c r="J1942">
        <v>20</v>
      </c>
      <c r="K1942">
        <v>65</v>
      </c>
      <c r="L1942">
        <v>1</v>
      </c>
      <c r="M1942" t="s">
        <v>41</v>
      </c>
      <c r="N1942">
        <v>6</v>
      </c>
      <c r="O1942">
        <v>58.47</v>
      </c>
    </row>
    <row r="1943" spans="1:15" x14ac:dyDescent="0.35">
      <c r="A1943" t="s">
        <v>4069</v>
      </c>
      <c r="B1943" t="s">
        <v>16</v>
      </c>
      <c r="C1943" t="s">
        <v>4070</v>
      </c>
      <c r="D1943" t="s">
        <v>48</v>
      </c>
      <c r="E1943" t="s">
        <v>38</v>
      </c>
      <c r="F1943" t="s">
        <v>27</v>
      </c>
      <c r="G1943" t="s">
        <v>999</v>
      </c>
      <c r="H1943" s="1">
        <v>45604.257638888892</v>
      </c>
      <c r="I1943" s="1">
        <v>45604.385416666664</v>
      </c>
      <c r="J1943">
        <v>187</v>
      </c>
      <c r="K1943">
        <v>184</v>
      </c>
      <c r="L1943">
        <v>0</v>
      </c>
      <c r="M1943" t="s">
        <v>29</v>
      </c>
      <c r="N1943">
        <v>7</v>
      </c>
      <c r="O1943">
        <v>207.73</v>
      </c>
    </row>
    <row r="1944" spans="1:15" x14ac:dyDescent="0.35">
      <c r="A1944" t="s">
        <v>4071</v>
      </c>
      <c r="B1944" t="s">
        <v>51</v>
      </c>
      <c r="C1944" t="s">
        <v>4072</v>
      </c>
      <c r="D1944" t="s">
        <v>26</v>
      </c>
      <c r="E1944" t="s">
        <v>85</v>
      </c>
      <c r="F1944" t="s">
        <v>34</v>
      </c>
      <c r="G1944" t="s">
        <v>810</v>
      </c>
      <c r="H1944" s="1">
        <v>45390.20208333333</v>
      </c>
      <c r="I1944" s="1">
        <v>45390.385416666664</v>
      </c>
      <c r="J1944">
        <v>193</v>
      </c>
      <c r="K1944">
        <v>264</v>
      </c>
      <c r="L1944">
        <v>1</v>
      </c>
      <c r="M1944" t="s">
        <v>41</v>
      </c>
      <c r="N1944">
        <v>8</v>
      </c>
      <c r="O1944">
        <v>477.34</v>
      </c>
    </row>
    <row r="1945" spans="1:15" x14ac:dyDescent="0.35">
      <c r="A1945" t="s">
        <v>4073</v>
      </c>
      <c r="B1945" t="s">
        <v>16</v>
      </c>
      <c r="C1945" t="s">
        <v>4074</v>
      </c>
      <c r="D1945" t="s">
        <v>26</v>
      </c>
      <c r="E1945" t="s">
        <v>38</v>
      </c>
      <c r="F1945" t="s">
        <v>34</v>
      </c>
      <c r="G1945" t="s">
        <v>383</v>
      </c>
      <c r="H1945" s="1">
        <v>45308.583333333336</v>
      </c>
      <c r="I1945" s="1">
        <v>45308.783333333333</v>
      </c>
      <c r="J1945">
        <v>223</v>
      </c>
      <c r="K1945">
        <v>288</v>
      </c>
      <c r="L1945">
        <v>1</v>
      </c>
      <c r="M1945" t="s">
        <v>22</v>
      </c>
      <c r="N1945">
        <v>7</v>
      </c>
      <c r="O1945">
        <v>367.22</v>
      </c>
    </row>
    <row r="1946" spans="1:15" x14ac:dyDescent="0.35">
      <c r="A1946" t="s">
        <v>4075</v>
      </c>
      <c r="B1946" t="s">
        <v>16</v>
      </c>
      <c r="C1946" t="s">
        <v>4076</v>
      </c>
      <c r="D1946" t="s">
        <v>44</v>
      </c>
      <c r="E1946" t="s">
        <v>19</v>
      </c>
      <c r="F1946" t="s">
        <v>20</v>
      </c>
      <c r="G1946" t="s">
        <v>539</v>
      </c>
      <c r="H1946" s="1">
        <v>45486.515972222223</v>
      </c>
      <c r="I1946" s="1">
        <v>45486.585416666669</v>
      </c>
      <c r="J1946">
        <v>24</v>
      </c>
      <c r="K1946">
        <v>100</v>
      </c>
      <c r="L1946">
        <v>1</v>
      </c>
      <c r="M1946" t="s">
        <v>29</v>
      </c>
      <c r="N1946">
        <v>7</v>
      </c>
      <c r="O1946">
        <v>236.07</v>
      </c>
    </row>
    <row r="1947" spans="1:15" x14ac:dyDescent="0.35">
      <c r="A1947" t="s">
        <v>4077</v>
      </c>
      <c r="B1947" t="s">
        <v>16</v>
      </c>
      <c r="C1947" t="s">
        <v>4078</v>
      </c>
      <c r="D1947" t="s">
        <v>18</v>
      </c>
      <c r="E1947" t="s">
        <v>19</v>
      </c>
      <c r="F1947" t="s">
        <v>57</v>
      </c>
      <c r="G1947" t="s">
        <v>1719</v>
      </c>
      <c r="H1947" s="1">
        <v>45576.37777777778</v>
      </c>
      <c r="I1947" s="1">
        <v>45576.534722222219</v>
      </c>
      <c r="J1947">
        <v>193</v>
      </c>
      <c r="K1947">
        <v>226</v>
      </c>
      <c r="L1947">
        <v>1</v>
      </c>
      <c r="M1947" t="s">
        <v>29</v>
      </c>
      <c r="N1947">
        <v>6</v>
      </c>
      <c r="O1947">
        <v>257.5</v>
      </c>
    </row>
    <row r="1948" spans="1:15" x14ac:dyDescent="0.35">
      <c r="A1948" t="s">
        <v>4079</v>
      </c>
      <c r="B1948" t="s">
        <v>63</v>
      </c>
      <c r="C1948" t="s">
        <v>4080</v>
      </c>
      <c r="D1948" t="s">
        <v>44</v>
      </c>
      <c r="E1948" t="s">
        <v>33</v>
      </c>
      <c r="F1948" t="s">
        <v>34</v>
      </c>
      <c r="G1948" t="s">
        <v>49</v>
      </c>
      <c r="H1948" s="1">
        <v>45626.685416666667</v>
      </c>
      <c r="I1948" s="1">
        <v>45626.815972222219</v>
      </c>
      <c r="J1948">
        <v>115</v>
      </c>
      <c r="K1948">
        <v>188</v>
      </c>
      <c r="L1948">
        <v>1</v>
      </c>
      <c r="M1948" t="s">
        <v>41</v>
      </c>
      <c r="N1948">
        <v>3</v>
      </c>
      <c r="O1948">
        <v>341.57</v>
      </c>
    </row>
    <row r="1949" spans="1:15" x14ac:dyDescent="0.35">
      <c r="A1949" t="s">
        <v>4081</v>
      </c>
      <c r="B1949" t="s">
        <v>51</v>
      </c>
      <c r="C1949" t="s">
        <v>4082</v>
      </c>
      <c r="D1949" t="s">
        <v>26</v>
      </c>
      <c r="E1949" t="s">
        <v>85</v>
      </c>
      <c r="F1949" t="s">
        <v>39</v>
      </c>
      <c r="G1949" t="s">
        <v>137</v>
      </c>
      <c r="H1949" s="1">
        <v>45525.560416666667</v>
      </c>
      <c r="I1949" s="1">
        <v>45525.738194444442</v>
      </c>
      <c r="J1949">
        <v>204</v>
      </c>
      <c r="K1949">
        <v>256</v>
      </c>
      <c r="L1949">
        <v>1</v>
      </c>
      <c r="M1949" t="s">
        <v>22</v>
      </c>
      <c r="N1949">
        <v>4</v>
      </c>
      <c r="O1949">
        <v>164.47</v>
      </c>
    </row>
    <row r="1950" spans="1:15" x14ac:dyDescent="0.35">
      <c r="A1950" t="s">
        <v>4083</v>
      </c>
      <c r="B1950" t="s">
        <v>51</v>
      </c>
      <c r="C1950" t="s">
        <v>4084</v>
      </c>
      <c r="D1950" t="s">
        <v>44</v>
      </c>
      <c r="E1950" t="s">
        <v>38</v>
      </c>
      <c r="F1950" t="s">
        <v>34</v>
      </c>
      <c r="G1950" t="s">
        <v>182</v>
      </c>
      <c r="H1950" s="1">
        <v>45468.241666666669</v>
      </c>
      <c r="I1950" s="1">
        <v>45468.311111111114</v>
      </c>
      <c r="J1950">
        <v>42</v>
      </c>
      <c r="K1950">
        <v>100</v>
      </c>
      <c r="L1950">
        <v>1</v>
      </c>
      <c r="M1950" t="s">
        <v>41</v>
      </c>
      <c r="N1950">
        <v>4</v>
      </c>
      <c r="O1950">
        <v>480.92</v>
      </c>
    </row>
    <row r="1951" spans="1:15" x14ac:dyDescent="0.35">
      <c r="A1951" t="s">
        <v>4085</v>
      </c>
      <c r="B1951" t="s">
        <v>63</v>
      </c>
      <c r="C1951" t="s">
        <v>4086</v>
      </c>
      <c r="D1951" t="s">
        <v>26</v>
      </c>
      <c r="E1951" t="s">
        <v>19</v>
      </c>
      <c r="F1951" t="s">
        <v>39</v>
      </c>
      <c r="G1951" t="s">
        <v>28</v>
      </c>
      <c r="H1951" s="1">
        <v>45655.707638888889</v>
      </c>
      <c r="I1951" s="1">
        <v>45655.861805555556</v>
      </c>
      <c r="J1951">
        <v>121</v>
      </c>
      <c r="K1951">
        <v>222</v>
      </c>
      <c r="L1951">
        <v>1</v>
      </c>
      <c r="M1951" t="s">
        <v>41</v>
      </c>
      <c r="N1951">
        <v>5</v>
      </c>
      <c r="O1951">
        <v>362.96</v>
      </c>
    </row>
    <row r="1952" spans="1:15" x14ac:dyDescent="0.35">
      <c r="A1952" t="s">
        <v>4087</v>
      </c>
      <c r="B1952" t="s">
        <v>31</v>
      </c>
      <c r="C1952" t="s">
        <v>4088</v>
      </c>
      <c r="D1952" t="s">
        <v>44</v>
      </c>
      <c r="E1952" t="s">
        <v>38</v>
      </c>
      <c r="F1952" t="s">
        <v>27</v>
      </c>
      <c r="G1952" t="s">
        <v>296</v>
      </c>
      <c r="H1952" s="1">
        <v>45646.613194444442</v>
      </c>
      <c r="I1952" s="1">
        <v>45646.772916666669</v>
      </c>
      <c r="J1952">
        <v>189</v>
      </c>
      <c r="K1952">
        <v>230</v>
      </c>
      <c r="L1952">
        <v>1</v>
      </c>
      <c r="M1952" t="s">
        <v>29</v>
      </c>
      <c r="N1952">
        <v>6</v>
      </c>
      <c r="O1952">
        <v>156.52000000000001</v>
      </c>
    </row>
    <row r="1953" spans="1:15" x14ac:dyDescent="0.35">
      <c r="A1953" t="s">
        <v>4089</v>
      </c>
      <c r="B1953" t="s">
        <v>24</v>
      </c>
      <c r="C1953" t="s">
        <v>4090</v>
      </c>
      <c r="D1953" t="s">
        <v>56</v>
      </c>
      <c r="E1953" t="s">
        <v>38</v>
      </c>
      <c r="F1953" t="s">
        <v>34</v>
      </c>
      <c r="G1953" t="s">
        <v>397</v>
      </c>
      <c r="H1953" s="1">
        <v>45335.777777777781</v>
      </c>
      <c r="I1953" s="1">
        <v>45335.89166666667</v>
      </c>
      <c r="J1953">
        <v>159</v>
      </c>
      <c r="K1953">
        <v>164</v>
      </c>
      <c r="L1953">
        <v>1</v>
      </c>
      <c r="M1953" t="s">
        <v>22</v>
      </c>
      <c r="N1953">
        <v>9</v>
      </c>
      <c r="O1953">
        <v>291.52</v>
      </c>
    </row>
    <row r="1954" spans="1:15" x14ac:dyDescent="0.35">
      <c r="A1954" t="s">
        <v>4091</v>
      </c>
      <c r="B1954" t="s">
        <v>16</v>
      </c>
      <c r="C1954" t="s">
        <v>4092</v>
      </c>
      <c r="D1954" t="s">
        <v>56</v>
      </c>
      <c r="E1954" t="s">
        <v>33</v>
      </c>
      <c r="F1954" t="s">
        <v>20</v>
      </c>
      <c r="G1954" t="s">
        <v>234</v>
      </c>
      <c r="H1954" s="1">
        <v>45339.839583333334</v>
      </c>
      <c r="I1954" s="1">
        <v>45340.074999999997</v>
      </c>
      <c r="J1954">
        <v>232</v>
      </c>
      <c r="K1954">
        <v>339</v>
      </c>
      <c r="L1954">
        <v>1</v>
      </c>
      <c r="M1954" t="s">
        <v>29</v>
      </c>
      <c r="N1954">
        <v>1</v>
      </c>
      <c r="O1954">
        <v>330.63</v>
      </c>
    </row>
    <row r="1955" spans="1:15" x14ac:dyDescent="0.35">
      <c r="A1955" t="s">
        <v>4093</v>
      </c>
      <c r="B1955" t="s">
        <v>24</v>
      </c>
      <c r="C1955" t="s">
        <v>4094</v>
      </c>
      <c r="D1955" t="s">
        <v>44</v>
      </c>
      <c r="E1955" t="s">
        <v>38</v>
      </c>
      <c r="F1955" t="s">
        <v>34</v>
      </c>
      <c r="G1955" t="s">
        <v>126</v>
      </c>
      <c r="H1955" s="1">
        <v>45296.534722222219</v>
      </c>
      <c r="I1955" s="1">
        <v>45296.69027777778</v>
      </c>
      <c r="J1955">
        <v>222</v>
      </c>
      <c r="K1955">
        <v>224</v>
      </c>
      <c r="L1955">
        <v>1</v>
      </c>
      <c r="M1955" t="s">
        <v>41</v>
      </c>
      <c r="N1955">
        <v>8</v>
      </c>
      <c r="O1955">
        <v>328.95</v>
      </c>
    </row>
    <row r="1956" spans="1:15" x14ac:dyDescent="0.35">
      <c r="A1956" t="s">
        <v>4095</v>
      </c>
      <c r="B1956" t="s">
        <v>31</v>
      </c>
      <c r="C1956" t="s">
        <v>4096</v>
      </c>
      <c r="D1956" t="s">
        <v>48</v>
      </c>
      <c r="E1956" t="s">
        <v>38</v>
      </c>
      <c r="F1956" t="s">
        <v>57</v>
      </c>
      <c r="G1956" t="s">
        <v>185</v>
      </c>
      <c r="H1956" s="1">
        <v>45579.194444444445</v>
      </c>
      <c r="I1956" s="1">
        <v>45579.313194444447</v>
      </c>
      <c r="J1956">
        <v>95</v>
      </c>
      <c r="K1956">
        <v>171</v>
      </c>
      <c r="L1956">
        <v>1</v>
      </c>
      <c r="M1956" t="s">
        <v>29</v>
      </c>
      <c r="N1956">
        <v>7</v>
      </c>
      <c r="O1956">
        <v>219.52</v>
      </c>
    </row>
    <row r="1957" spans="1:15" x14ac:dyDescent="0.35">
      <c r="A1957" t="s">
        <v>4097</v>
      </c>
      <c r="B1957" t="s">
        <v>63</v>
      </c>
      <c r="C1957" t="s">
        <v>4098</v>
      </c>
      <c r="D1957" t="s">
        <v>18</v>
      </c>
      <c r="E1957" t="s">
        <v>33</v>
      </c>
      <c r="F1957" t="s">
        <v>34</v>
      </c>
      <c r="G1957" t="s">
        <v>231</v>
      </c>
      <c r="H1957" s="1">
        <v>45476.816666666666</v>
      </c>
      <c r="I1957" s="1">
        <v>45476.932638888888</v>
      </c>
      <c r="J1957">
        <v>150</v>
      </c>
      <c r="K1957">
        <v>167</v>
      </c>
      <c r="L1957">
        <v>1</v>
      </c>
      <c r="M1957" t="s">
        <v>41</v>
      </c>
      <c r="N1957">
        <v>8</v>
      </c>
      <c r="O1957">
        <v>261.73</v>
      </c>
    </row>
    <row r="1958" spans="1:15" x14ac:dyDescent="0.35">
      <c r="A1958" t="s">
        <v>4099</v>
      </c>
      <c r="B1958" t="s">
        <v>63</v>
      </c>
      <c r="C1958" t="s">
        <v>4100</v>
      </c>
      <c r="D1958" t="s">
        <v>26</v>
      </c>
      <c r="E1958" t="s">
        <v>33</v>
      </c>
      <c r="F1958" t="s">
        <v>39</v>
      </c>
      <c r="G1958" t="s">
        <v>152</v>
      </c>
      <c r="H1958" s="1">
        <v>45537.785416666666</v>
      </c>
      <c r="I1958" s="1">
        <v>45537.84652777778</v>
      </c>
      <c r="J1958">
        <v>33</v>
      </c>
      <c r="K1958">
        <v>88</v>
      </c>
      <c r="L1958">
        <v>1</v>
      </c>
      <c r="M1958" t="s">
        <v>29</v>
      </c>
      <c r="N1958">
        <v>5</v>
      </c>
      <c r="O1958">
        <v>428.58</v>
      </c>
    </row>
    <row r="1959" spans="1:15" x14ac:dyDescent="0.35">
      <c r="A1959" t="s">
        <v>4101</v>
      </c>
      <c r="B1959" t="s">
        <v>63</v>
      </c>
      <c r="C1959" t="s">
        <v>4102</v>
      </c>
      <c r="D1959" t="s">
        <v>18</v>
      </c>
      <c r="E1959" t="s">
        <v>33</v>
      </c>
      <c r="F1959" t="s">
        <v>20</v>
      </c>
      <c r="G1959" t="s">
        <v>234</v>
      </c>
      <c r="H1959" s="1">
        <v>45449.982638888891</v>
      </c>
      <c r="I1959" s="1">
        <v>45450.072222222225</v>
      </c>
      <c r="J1959">
        <v>46</v>
      </c>
      <c r="K1959">
        <v>129</v>
      </c>
      <c r="L1959">
        <v>1</v>
      </c>
      <c r="M1959" t="s">
        <v>22</v>
      </c>
      <c r="N1959">
        <v>8</v>
      </c>
      <c r="O1959">
        <v>275.95999999999998</v>
      </c>
    </row>
    <row r="1960" spans="1:15" x14ac:dyDescent="0.35">
      <c r="A1960" t="s">
        <v>4103</v>
      </c>
      <c r="B1960" t="s">
        <v>31</v>
      </c>
      <c r="C1960" t="s">
        <v>4104</v>
      </c>
      <c r="D1960" t="s">
        <v>18</v>
      </c>
      <c r="E1960" t="s">
        <v>19</v>
      </c>
      <c r="F1960" t="s">
        <v>39</v>
      </c>
      <c r="G1960" t="s">
        <v>462</v>
      </c>
      <c r="H1960" s="1">
        <v>45528.772916666669</v>
      </c>
      <c r="I1960" s="1">
        <v>45528.943749999999</v>
      </c>
      <c r="J1960">
        <v>126</v>
      </c>
      <c r="K1960">
        <v>246</v>
      </c>
      <c r="L1960">
        <v>1</v>
      </c>
      <c r="M1960" t="s">
        <v>29</v>
      </c>
      <c r="N1960">
        <v>3</v>
      </c>
      <c r="O1960">
        <v>79.849999999999994</v>
      </c>
    </row>
    <row r="1961" spans="1:15" x14ac:dyDescent="0.35">
      <c r="A1961" t="s">
        <v>4105</v>
      </c>
      <c r="B1961" t="s">
        <v>63</v>
      </c>
      <c r="C1961" t="s">
        <v>4106</v>
      </c>
      <c r="D1961" t="s">
        <v>18</v>
      </c>
      <c r="E1961" t="s">
        <v>38</v>
      </c>
      <c r="F1961" t="s">
        <v>34</v>
      </c>
      <c r="G1961" t="s">
        <v>35</v>
      </c>
      <c r="H1961" s="1">
        <v>45329.522916666669</v>
      </c>
      <c r="I1961" s="1">
        <v>45329.722222222219</v>
      </c>
      <c r="J1961">
        <v>197</v>
      </c>
      <c r="K1961">
        <v>287</v>
      </c>
      <c r="L1961">
        <v>1</v>
      </c>
      <c r="M1961" t="s">
        <v>41</v>
      </c>
      <c r="N1961">
        <v>3</v>
      </c>
      <c r="O1961">
        <v>173.67</v>
      </c>
    </row>
    <row r="1962" spans="1:15" x14ac:dyDescent="0.35">
      <c r="A1962" t="s">
        <v>4107</v>
      </c>
      <c r="B1962" t="s">
        <v>16</v>
      </c>
      <c r="C1962" t="s">
        <v>4108</v>
      </c>
      <c r="D1962" t="s">
        <v>44</v>
      </c>
      <c r="E1962" t="s">
        <v>85</v>
      </c>
      <c r="F1962" t="s">
        <v>34</v>
      </c>
      <c r="G1962" t="s">
        <v>191</v>
      </c>
      <c r="H1962" s="1">
        <v>45440.769444444442</v>
      </c>
      <c r="I1962" s="1">
        <v>45440.921527777777</v>
      </c>
      <c r="J1962">
        <v>203</v>
      </c>
      <c r="K1962">
        <v>219</v>
      </c>
      <c r="L1962">
        <v>1</v>
      </c>
      <c r="M1962" t="s">
        <v>41</v>
      </c>
      <c r="N1962">
        <v>2</v>
      </c>
      <c r="O1962">
        <v>464.42</v>
      </c>
    </row>
    <row r="1963" spans="1:15" x14ac:dyDescent="0.35">
      <c r="A1963" t="s">
        <v>4109</v>
      </c>
      <c r="B1963" t="s">
        <v>24</v>
      </c>
      <c r="C1963" t="s">
        <v>4110</v>
      </c>
      <c r="D1963" t="s">
        <v>48</v>
      </c>
      <c r="E1963" t="s">
        <v>19</v>
      </c>
      <c r="F1963" t="s">
        <v>57</v>
      </c>
      <c r="G1963" t="s">
        <v>782</v>
      </c>
      <c r="H1963" s="1">
        <v>45342.698611111111</v>
      </c>
      <c r="I1963" s="1">
        <v>45342.831944444442</v>
      </c>
      <c r="J1963">
        <v>132</v>
      </c>
      <c r="K1963">
        <v>192</v>
      </c>
      <c r="L1963">
        <v>1</v>
      </c>
      <c r="M1963" t="s">
        <v>29</v>
      </c>
      <c r="N1963">
        <v>1</v>
      </c>
      <c r="O1963">
        <v>266.27</v>
      </c>
    </row>
    <row r="1964" spans="1:15" x14ac:dyDescent="0.35">
      <c r="A1964" t="s">
        <v>4111</v>
      </c>
      <c r="B1964" t="s">
        <v>51</v>
      </c>
      <c r="C1964" t="s">
        <v>4112</v>
      </c>
      <c r="D1964" t="s">
        <v>56</v>
      </c>
      <c r="E1964" t="s">
        <v>19</v>
      </c>
      <c r="F1964" t="s">
        <v>39</v>
      </c>
      <c r="G1964" t="s">
        <v>330</v>
      </c>
      <c r="H1964" s="1">
        <v>45440.174305555556</v>
      </c>
      <c r="I1964" s="1">
        <v>45440.282638888886</v>
      </c>
      <c r="J1964">
        <v>94</v>
      </c>
      <c r="K1964">
        <v>156</v>
      </c>
      <c r="L1964">
        <v>1</v>
      </c>
      <c r="M1964" t="s">
        <v>22</v>
      </c>
      <c r="N1964">
        <v>2</v>
      </c>
      <c r="O1964">
        <v>87.98</v>
      </c>
    </row>
    <row r="1965" spans="1:15" x14ac:dyDescent="0.35">
      <c r="A1965" t="s">
        <v>4113</v>
      </c>
      <c r="B1965" t="s">
        <v>63</v>
      </c>
      <c r="C1965" t="s">
        <v>4114</v>
      </c>
      <c r="D1965" t="s">
        <v>18</v>
      </c>
      <c r="E1965" t="s">
        <v>19</v>
      </c>
      <c r="F1965" t="s">
        <v>57</v>
      </c>
      <c r="G1965" t="s">
        <v>126</v>
      </c>
      <c r="H1965" s="1">
        <v>45440.580555555556</v>
      </c>
      <c r="I1965" s="1">
        <v>45440.761111111111</v>
      </c>
      <c r="J1965">
        <v>166</v>
      </c>
      <c r="K1965">
        <v>260</v>
      </c>
      <c r="L1965">
        <v>1</v>
      </c>
      <c r="M1965" t="s">
        <v>41</v>
      </c>
      <c r="N1965">
        <v>6</v>
      </c>
      <c r="O1965">
        <v>135.94</v>
      </c>
    </row>
    <row r="1966" spans="1:15" x14ac:dyDescent="0.35">
      <c r="A1966" t="s">
        <v>4115</v>
      </c>
      <c r="B1966" t="s">
        <v>16</v>
      </c>
      <c r="C1966" t="s">
        <v>4116</v>
      </c>
      <c r="D1966" t="s">
        <v>44</v>
      </c>
      <c r="E1966" t="s">
        <v>19</v>
      </c>
      <c r="F1966" t="s">
        <v>57</v>
      </c>
      <c r="G1966" t="s">
        <v>500</v>
      </c>
      <c r="H1966" s="1">
        <v>45340.357638888891</v>
      </c>
      <c r="I1966" s="1">
        <v>45340.500694444447</v>
      </c>
      <c r="J1966">
        <v>97</v>
      </c>
      <c r="K1966">
        <v>206</v>
      </c>
      <c r="L1966">
        <v>1</v>
      </c>
      <c r="M1966" t="s">
        <v>41</v>
      </c>
      <c r="N1966">
        <v>9</v>
      </c>
      <c r="O1966">
        <v>373.72</v>
      </c>
    </row>
    <row r="1967" spans="1:15" x14ac:dyDescent="0.35">
      <c r="A1967" t="s">
        <v>4117</v>
      </c>
      <c r="B1967" t="s">
        <v>63</v>
      </c>
      <c r="C1967" t="s">
        <v>4118</v>
      </c>
      <c r="D1967" t="s">
        <v>18</v>
      </c>
      <c r="E1967" t="s">
        <v>19</v>
      </c>
      <c r="F1967" t="s">
        <v>57</v>
      </c>
      <c r="G1967" t="s">
        <v>61</v>
      </c>
      <c r="H1967" s="1">
        <v>45615.688888888886</v>
      </c>
      <c r="I1967" s="1">
        <v>45615.859027777777</v>
      </c>
      <c r="J1967">
        <v>146</v>
      </c>
      <c r="K1967">
        <v>245</v>
      </c>
      <c r="L1967">
        <v>1</v>
      </c>
      <c r="M1967" t="s">
        <v>41</v>
      </c>
      <c r="N1967">
        <v>7</v>
      </c>
      <c r="O1967">
        <v>138.56</v>
      </c>
    </row>
    <row r="1968" spans="1:15" x14ac:dyDescent="0.35">
      <c r="A1968" t="s">
        <v>4119</v>
      </c>
      <c r="B1968" t="s">
        <v>31</v>
      </c>
      <c r="C1968" t="s">
        <v>4120</v>
      </c>
      <c r="D1968" t="s">
        <v>56</v>
      </c>
      <c r="E1968" t="s">
        <v>85</v>
      </c>
      <c r="F1968" t="s">
        <v>57</v>
      </c>
      <c r="G1968" t="s">
        <v>299</v>
      </c>
      <c r="H1968" s="1">
        <v>45355.640277777777</v>
      </c>
      <c r="I1968" s="1">
        <v>45355.886111111111</v>
      </c>
      <c r="J1968">
        <v>237</v>
      </c>
      <c r="K1968">
        <v>354</v>
      </c>
      <c r="L1968">
        <v>1</v>
      </c>
      <c r="M1968" t="s">
        <v>29</v>
      </c>
      <c r="N1968">
        <v>10</v>
      </c>
      <c r="O1968">
        <v>258.76</v>
      </c>
    </row>
    <row r="1969" spans="1:15" x14ac:dyDescent="0.35">
      <c r="A1969" t="s">
        <v>4121</v>
      </c>
      <c r="B1969" t="s">
        <v>63</v>
      </c>
      <c r="C1969" t="s">
        <v>4122</v>
      </c>
      <c r="D1969" t="s">
        <v>26</v>
      </c>
      <c r="E1969" t="s">
        <v>38</v>
      </c>
      <c r="F1969" t="s">
        <v>57</v>
      </c>
      <c r="G1969" t="s">
        <v>684</v>
      </c>
      <c r="H1969" s="1">
        <v>45641.77847222222</v>
      </c>
      <c r="I1969" s="1">
        <v>45641.822916666664</v>
      </c>
      <c r="J1969">
        <v>42</v>
      </c>
      <c r="K1969">
        <v>64</v>
      </c>
      <c r="L1969">
        <v>1</v>
      </c>
      <c r="M1969" t="s">
        <v>41</v>
      </c>
      <c r="N1969">
        <v>10</v>
      </c>
      <c r="O1969">
        <v>170.86</v>
      </c>
    </row>
    <row r="1970" spans="1:15" x14ac:dyDescent="0.35">
      <c r="A1970" t="s">
        <v>4123</v>
      </c>
      <c r="B1970" t="s">
        <v>51</v>
      </c>
      <c r="C1970" t="s">
        <v>4124</v>
      </c>
      <c r="D1970" t="s">
        <v>44</v>
      </c>
      <c r="E1970" t="s">
        <v>85</v>
      </c>
      <c r="F1970" t="s">
        <v>57</v>
      </c>
      <c r="G1970" t="s">
        <v>140</v>
      </c>
      <c r="H1970" s="1">
        <v>45530.930555555555</v>
      </c>
      <c r="I1970" s="1">
        <v>45531.101388888892</v>
      </c>
      <c r="J1970">
        <v>188</v>
      </c>
      <c r="K1970">
        <v>246</v>
      </c>
      <c r="L1970">
        <v>1</v>
      </c>
      <c r="M1970" t="s">
        <v>22</v>
      </c>
      <c r="N1970">
        <v>4</v>
      </c>
      <c r="O1970">
        <v>258.86</v>
      </c>
    </row>
    <row r="1971" spans="1:15" x14ac:dyDescent="0.35">
      <c r="A1971" t="s">
        <v>4125</v>
      </c>
      <c r="B1971" t="s">
        <v>16</v>
      </c>
      <c r="C1971" t="s">
        <v>4126</v>
      </c>
      <c r="D1971" t="s">
        <v>56</v>
      </c>
      <c r="E1971" t="s">
        <v>85</v>
      </c>
      <c r="F1971" t="s">
        <v>20</v>
      </c>
      <c r="G1971" t="s">
        <v>445</v>
      </c>
      <c r="H1971" s="1">
        <v>45359.795138888891</v>
      </c>
      <c r="I1971" s="1">
        <v>45359.964583333334</v>
      </c>
      <c r="J1971">
        <v>234</v>
      </c>
      <c r="K1971">
        <v>244</v>
      </c>
      <c r="L1971">
        <v>1</v>
      </c>
      <c r="M1971" t="s">
        <v>22</v>
      </c>
      <c r="N1971">
        <v>2</v>
      </c>
      <c r="O1971">
        <v>369.89</v>
      </c>
    </row>
    <row r="1972" spans="1:15" x14ac:dyDescent="0.35">
      <c r="A1972" t="s">
        <v>4127</v>
      </c>
      <c r="B1972" t="s">
        <v>24</v>
      </c>
      <c r="C1972" t="s">
        <v>4128</v>
      </c>
      <c r="D1972" t="s">
        <v>56</v>
      </c>
      <c r="E1972" t="s">
        <v>85</v>
      </c>
      <c r="F1972" t="s">
        <v>39</v>
      </c>
      <c r="G1972" t="s">
        <v>311</v>
      </c>
      <c r="H1972" s="1">
        <v>45575.457638888889</v>
      </c>
      <c r="I1972" s="1">
        <v>45575.536111111112</v>
      </c>
      <c r="J1972">
        <v>114</v>
      </c>
      <c r="K1972">
        <v>113</v>
      </c>
      <c r="L1972">
        <v>0</v>
      </c>
      <c r="M1972" t="s">
        <v>29</v>
      </c>
      <c r="N1972">
        <v>7</v>
      </c>
      <c r="O1972">
        <v>452.75</v>
      </c>
    </row>
    <row r="1973" spans="1:15" x14ac:dyDescent="0.35">
      <c r="A1973" t="s">
        <v>4129</v>
      </c>
      <c r="B1973" t="s">
        <v>16</v>
      </c>
      <c r="C1973" t="s">
        <v>4130</v>
      </c>
      <c r="D1973" t="s">
        <v>48</v>
      </c>
      <c r="E1973" t="s">
        <v>19</v>
      </c>
      <c r="F1973" t="s">
        <v>34</v>
      </c>
      <c r="G1973" t="s">
        <v>82</v>
      </c>
      <c r="H1973" s="1">
        <v>45457.893750000003</v>
      </c>
      <c r="I1973" s="1">
        <v>45458.022916666669</v>
      </c>
      <c r="J1973">
        <v>112</v>
      </c>
      <c r="K1973">
        <v>186</v>
      </c>
      <c r="L1973">
        <v>1</v>
      </c>
      <c r="M1973" t="s">
        <v>29</v>
      </c>
      <c r="N1973">
        <v>5</v>
      </c>
      <c r="O1973">
        <v>324.07</v>
      </c>
    </row>
    <row r="1974" spans="1:15" x14ac:dyDescent="0.35">
      <c r="A1974" t="s">
        <v>4131</v>
      </c>
      <c r="B1974" t="s">
        <v>16</v>
      </c>
      <c r="C1974" t="s">
        <v>4132</v>
      </c>
      <c r="D1974" t="s">
        <v>26</v>
      </c>
      <c r="E1974" t="s">
        <v>19</v>
      </c>
      <c r="F1974" t="s">
        <v>20</v>
      </c>
      <c r="G1974" t="s">
        <v>170</v>
      </c>
      <c r="H1974" s="1">
        <v>45388.844444444447</v>
      </c>
      <c r="I1974" s="1">
        <v>45388.909722222219</v>
      </c>
      <c r="J1974">
        <v>97</v>
      </c>
      <c r="K1974">
        <v>94</v>
      </c>
      <c r="L1974">
        <v>0</v>
      </c>
      <c r="M1974" t="s">
        <v>29</v>
      </c>
      <c r="N1974">
        <v>7</v>
      </c>
      <c r="O1974">
        <v>298.56</v>
      </c>
    </row>
    <row r="1975" spans="1:15" x14ac:dyDescent="0.35">
      <c r="A1975" t="s">
        <v>4133</v>
      </c>
      <c r="B1975" t="s">
        <v>16</v>
      </c>
      <c r="C1975" t="s">
        <v>4134</v>
      </c>
      <c r="D1975" t="s">
        <v>44</v>
      </c>
      <c r="E1975" t="s">
        <v>33</v>
      </c>
      <c r="F1975" t="s">
        <v>57</v>
      </c>
      <c r="G1975" t="s">
        <v>82</v>
      </c>
      <c r="H1975" s="1">
        <v>45391.543055555558</v>
      </c>
      <c r="I1975" s="1">
        <v>45391.724999999999</v>
      </c>
      <c r="J1975">
        <v>156</v>
      </c>
      <c r="K1975">
        <v>262</v>
      </c>
      <c r="L1975">
        <v>1</v>
      </c>
      <c r="M1975" t="s">
        <v>29</v>
      </c>
      <c r="N1975">
        <v>10</v>
      </c>
      <c r="O1975">
        <v>432.97</v>
      </c>
    </row>
    <row r="1976" spans="1:15" x14ac:dyDescent="0.35">
      <c r="A1976" t="s">
        <v>4135</v>
      </c>
      <c r="B1976" t="s">
        <v>24</v>
      </c>
      <c r="C1976" t="s">
        <v>4136</v>
      </c>
      <c r="D1976" t="s">
        <v>56</v>
      </c>
      <c r="E1976" t="s">
        <v>38</v>
      </c>
      <c r="F1976" t="s">
        <v>20</v>
      </c>
      <c r="G1976" t="s">
        <v>427</v>
      </c>
      <c r="H1976" s="1">
        <v>45399.118055555555</v>
      </c>
      <c r="I1976" s="1">
        <v>45399.30972222222</v>
      </c>
      <c r="J1976">
        <v>156</v>
      </c>
      <c r="K1976">
        <v>276</v>
      </c>
      <c r="L1976">
        <v>1</v>
      </c>
      <c r="M1976" t="s">
        <v>22</v>
      </c>
      <c r="N1976">
        <v>3</v>
      </c>
      <c r="O1976">
        <v>448.35</v>
      </c>
    </row>
    <row r="1977" spans="1:15" x14ac:dyDescent="0.35">
      <c r="A1977" t="s">
        <v>4137</v>
      </c>
      <c r="B1977" t="s">
        <v>24</v>
      </c>
      <c r="C1977" t="s">
        <v>4138</v>
      </c>
      <c r="D1977" t="s">
        <v>56</v>
      </c>
      <c r="E1977" t="s">
        <v>38</v>
      </c>
      <c r="F1977" t="s">
        <v>20</v>
      </c>
      <c r="G1977" t="s">
        <v>103</v>
      </c>
      <c r="H1977" s="1">
        <v>45559.24722222222</v>
      </c>
      <c r="I1977" s="1">
        <v>45559.304166666669</v>
      </c>
      <c r="J1977">
        <v>37</v>
      </c>
      <c r="K1977">
        <v>82</v>
      </c>
      <c r="L1977">
        <v>1</v>
      </c>
      <c r="M1977" t="s">
        <v>29</v>
      </c>
      <c r="N1977">
        <v>9</v>
      </c>
      <c r="O1977">
        <v>393.88</v>
      </c>
    </row>
    <row r="1978" spans="1:15" x14ac:dyDescent="0.35">
      <c r="A1978" t="s">
        <v>4139</v>
      </c>
      <c r="B1978" t="s">
        <v>16</v>
      </c>
      <c r="C1978" t="s">
        <v>4140</v>
      </c>
      <c r="D1978" t="s">
        <v>56</v>
      </c>
      <c r="E1978" t="s">
        <v>19</v>
      </c>
      <c r="F1978" t="s">
        <v>39</v>
      </c>
      <c r="G1978" t="s">
        <v>173</v>
      </c>
      <c r="H1978" s="1">
        <v>45428.622916666667</v>
      </c>
      <c r="I1978" s="1">
        <v>45428.686111111114</v>
      </c>
      <c r="J1978">
        <v>17</v>
      </c>
      <c r="K1978">
        <v>91</v>
      </c>
      <c r="L1978">
        <v>1</v>
      </c>
      <c r="M1978" t="s">
        <v>29</v>
      </c>
      <c r="N1978">
        <v>9</v>
      </c>
      <c r="O1978">
        <v>59.35</v>
      </c>
    </row>
    <row r="1979" spans="1:15" x14ac:dyDescent="0.35">
      <c r="A1979" t="s">
        <v>4141</v>
      </c>
      <c r="B1979" t="s">
        <v>63</v>
      </c>
      <c r="C1979" t="s">
        <v>4142</v>
      </c>
      <c r="D1979" t="s">
        <v>56</v>
      </c>
      <c r="E1979" t="s">
        <v>85</v>
      </c>
      <c r="F1979" t="s">
        <v>27</v>
      </c>
      <c r="G1979" t="s">
        <v>415</v>
      </c>
      <c r="H1979" s="1">
        <v>45387.502083333333</v>
      </c>
      <c r="I1979" s="1">
        <v>45387.636805555558</v>
      </c>
      <c r="J1979">
        <v>169</v>
      </c>
      <c r="K1979">
        <v>194</v>
      </c>
      <c r="L1979">
        <v>1</v>
      </c>
      <c r="M1979" t="s">
        <v>29</v>
      </c>
      <c r="N1979">
        <v>9</v>
      </c>
      <c r="O1979">
        <v>471.39</v>
      </c>
    </row>
    <row r="1980" spans="1:15" x14ac:dyDescent="0.35">
      <c r="A1980" t="s">
        <v>4143</v>
      </c>
      <c r="B1980" t="s">
        <v>24</v>
      </c>
      <c r="C1980" t="s">
        <v>4144</v>
      </c>
      <c r="D1980" t="s">
        <v>56</v>
      </c>
      <c r="E1980" t="s">
        <v>38</v>
      </c>
      <c r="F1980" t="s">
        <v>34</v>
      </c>
      <c r="G1980" t="s">
        <v>476</v>
      </c>
      <c r="H1980" s="1">
        <v>45423.500694444447</v>
      </c>
      <c r="I1980" s="1">
        <v>45423.563888888886</v>
      </c>
      <c r="J1980">
        <v>63</v>
      </c>
      <c r="K1980">
        <v>91</v>
      </c>
      <c r="L1980">
        <v>1</v>
      </c>
      <c r="M1980" t="s">
        <v>29</v>
      </c>
      <c r="N1980">
        <v>10</v>
      </c>
      <c r="O1980">
        <v>154.38999999999999</v>
      </c>
    </row>
    <row r="1981" spans="1:15" x14ac:dyDescent="0.35">
      <c r="A1981" t="s">
        <v>4145</v>
      </c>
      <c r="B1981" t="s">
        <v>51</v>
      </c>
      <c r="C1981" t="s">
        <v>4146</v>
      </c>
      <c r="D1981" t="s">
        <v>56</v>
      </c>
      <c r="E1981" t="s">
        <v>38</v>
      </c>
      <c r="F1981" t="s">
        <v>27</v>
      </c>
      <c r="G1981" t="s">
        <v>473</v>
      </c>
      <c r="H1981" s="1">
        <v>45322.512499999997</v>
      </c>
      <c r="I1981" s="1">
        <v>45322.643055555556</v>
      </c>
      <c r="J1981">
        <v>90</v>
      </c>
      <c r="K1981">
        <v>188</v>
      </c>
      <c r="L1981">
        <v>1</v>
      </c>
      <c r="M1981" t="s">
        <v>22</v>
      </c>
      <c r="N1981">
        <v>8</v>
      </c>
      <c r="O1981">
        <v>331.84</v>
      </c>
    </row>
    <row r="1982" spans="1:15" x14ac:dyDescent="0.35">
      <c r="A1982" t="s">
        <v>4147</v>
      </c>
      <c r="B1982" t="s">
        <v>24</v>
      </c>
      <c r="C1982" t="s">
        <v>4148</v>
      </c>
      <c r="D1982" t="s">
        <v>56</v>
      </c>
      <c r="E1982" t="s">
        <v>33</v>
      </c>
      <c r="F1982" t="s">
        <v>34</v>
      </c>
      <c r="G1982" t="s">
        <v>49</v>
      </c>
      <c r="H1982" s="1">
        <v>45626.94027777778</v>
      </c>
      <c r="I1982" s="1">
        <v>45627.076388888891</v>
      </c>
      <c r="J1982">
        <v>118</v>
      </c>
      <c r="K1982">
        <v>196</v>
      </c>
      <c r="L1982">
        <v>1</v>
      </c>
      <c r="M1982" t="s">
        <v>41</v>
      </c>
      <c r="N1982">
        <v>5</v>
      </c>
      <c r="O1982">
        <v>68.239999999999995</v>
      </c>
    </row>
    <row r="1983" spans="1:15" x14ac:dyDescent="0.35">
      <c r="A1983" t="s">
        <v>4149</v>
      </c>
      <c r="B1983" t="s">
        <v>24</v>
      </c>
      <c r="C1983" t="s">
        <v>4150</v>
      </c>
      <c r="D1983" t="s">
        <v>56</v>
      </c>
      <c r="E1983" t="s">
        <v>33</v>
      </c>
      <c r="F1983" t="s">
        <v>57</v>
      </c>
      <c r="G1983" t="s">
        <v>418</v>
      </c>
      <c r="H1983" s="1">
        <v>45509.291666666664</v>
      </c>
      <c r="I1983" s="1">
        <v>45509.523611111108</v>
      </c>
      <c r="J1983">
        <v>214</v>
      </c>
      <c r="K1983">
        <v>334</v>
      </c>
      <c r="L1983">
        <v>1</v>
      </c>
      <c r="M1983" t="s">
        <v>41</v>
      </c>
      <c r="N1983">
        <v>9</v>
      </c>
      <c r="O1983">
        <v>225.4</v>
      </c>
    </row>
    <row r="1984" spans="1:15" x14ac:dyDescent="0.35">
      <c r="A1984" t="s">
        <v>4151</v>
      </c>
      <c r="B1984" t="s">
        <v>31</v>
      </c>
      <c r="C1984" t="s">
        <v>4152</v>
      </c>
      <c r="D1984" t="s">
        <v>26</v>
      </c>
      <c r="E1984" t="s">
        <v>38</v>
      </c>
      <c r="F1984" t="s">
        <v>20</v>
      </c>
      <c r="G1984" t="s">
        <v>254</v>
      </c>
      <c r="H1984" s="1">
        <v>45570.882638888892</v>
      </c>
      <c r="I1984" s="1">
        <v>45571.053472222222</v>
      </c>
      <c r="J1984">
        <v>173</v>
      </c>
      <c r="K1984">
        <v>246</v>
      </c>
      <c r="L1984">
        <v>1</v>
      </c>
      <c r="M1984" t="s">
        <v>41</v>
      </c>
      <c r="N1984">
        <v>9</v>
      </c>
      <c r="O1984">
        <v>323.35000000000002</v>
      </c>
    </row>
    <row r="1985" spans="1:15" x14ac:dyDescent="0.35">
      <c r="A1985" t="s">
        <v>4153</v>
      </c>
      <c r="B1985" t="s">
        <v>16</v>
      </c>
      <c r="C1985" t="s">
        <v>4154</v>
      </c>
      <c r="D1985" t="s">
        <v>44</v>
      </c>
      <c r="E1985" t="s">
        <v>85</v>
      </c>
      <c r="F1985" t="s">
        <v>57</v>
      </c>
      <c r="G1985" t="s">
        <v>1730</v>
      </c>
      <c r="H1985" s="1">
        <v>45628.322222222225</v>
      </c>
      <c r="I1985" s="1">
        <v>45628.559027777781</v>
      </c>
      <c r="J1985">
        <v>230</v>
      </c>
      <c r="K1985">
        <v>341</v>
      </c>
      <c r="L1985">
        <v>1</v>
      </c>
      <c r="M1985" t="s">
        <v>22</v>
      </c>
      <c r="N1985">
        <v>2</v>
      </c>
      <c r="O1985">
        <v>353.33</v>
      </c>
    </row>
    <row r="1986" spans="1:15" x14ac:dyDescent="0.35">
      <c r="A1986" t="s">
        <v>4155</v>
      </c>
      <c r="B1986" t="s">
        <v>24</v>
      </c>
      <c r="C1986" t="s">
        <v>4156</v>
      </c>
      <c r="D1986" t="s">
        <v>18</v>
      </c>
      <c r="E1986" t="s">
        <v>19</v>
      </c>
      <c r="F1986" t="s">
        <v>57</v>
      </c>
      <c r="G1986" t="s">
        <v>65</v>
      </c>
      <c r="H1986" s="1">
        <v>45365.968055555553</v>
      </c>
      <c r="I1986" s="1">
        <v>45366.061805555553</v>
      </c>
      <c r="J1986">
        <v>38</v>
      </c>
      <c r="K1986">
        <v>135</v>
      </c>
      <c r="L1986">
        <v>1</v>
      </c>
      <c r="M1986" t="s">
        <v>29</v>
      </c>
      <c r="N1986">
        <v>1</v>
      </c>
      <c r="O1986">
        <v>439.46</v>
      </c>
    </row>
    <row r="1987" spans="1:15" x14ac:dyDescent="0.35">
      <c r="A1987" t="s">
        <v>4157</v>
      </c>
      <c r="B1987" t="s">
        <v>31</v>
      </c>
      <c r="C1987" t="s">
        <v>4158</v>
      </c>
      <c r="D1987" t="s">
        <v>56</v>
      </c>
      <c r="E1987" t="s">
        <v>33</v>
      </c>
      <c r="F1987" t="s">
        <v>39</v>
      </c>
      <c r="G1987" t="s">
        <v>669</v>
      </c>
      <c r="H1987" s="1">
        <v>45397.112500000003</v>
      </c>
      <c r="I1987" s="1">
        <v>45397.250694444447</v>
      </c>
      <c r="J1987">
        <v>176</v>
      </c>
      <c r="K1987">
        <v>199</v>
      </c>
      <c r="L1987">
        <v>1</v>
      </c>
      <c r="M1987" t="s">
        <v>41</v>
      </c>
      <c r="N1987">
        <v>4</v>
      </c>
      <c r="O1987">
        <v>457.66</v>
      </c>
    </row>
    <row r="1988" spans="1:15" x14ac:dyDescent="0.35">
      <c r="A1988" t="s">
        <v>4159</v>
      </c>
      <c r="B1988" t="s">
        <v>31</v>
      </c>
      <c r="C1988" t="s">
        <v>4160</v>
      </c>
      <c r="D1988" t="s">
        <v>18</v>
      </c>
      <c r="E1988" t="s">
        <v>19</v>
      </c>
      <c r="F1988" t="s">
        <v>39</v>
      </c>
      <c r="G1988" t="s">
        <v>691</v>
      </c>
      <c r="H1988" s="1">
        <v>45363.390972222223</v>
      </c>
      <c r="I1988" s="1">
        <v>45363.513194444444</v>
      </c>
      <c r="J1988">
        <v>175</v>
      </c>
      <c r="K1988">
        <v>176</v>
      </c>
      <c r="L1988">
        <v>1</v>
      </c>
      <c r="M1988" t="s">
        <v>22</v>
      </c>
      <c r="N1988">
        <v>7</v>
      </c>
      <c r="O1988">
        <v>234.13</v>
      </c>
    </row>
    <row r="1989" spans="1:15" x14ac:dyDescent="0.35">
      <c r="A1989" t="s">
        <v>4161</v>
      </c>
      <c r="B1989" t="s">
        <v>63</v>
      </c>
      <c r="C1989" t="s">
        <v>4162</v>
      </c>
      <c r="D1989" t="s">
        <v>56</v>
      </c>
      <c r="E1989" t="s">
        <v>85</v>
      </c>
      <c r="F1989" t="s">
        <v>27</v>
      </c>
      <c r="G1989" t="s">
        <v>61</v>
      </c>
      <c r="H1989" s="1">
        <v>45566.097222222219</v>
      </c>
      <c r="I1989" s="1">
        <v>45566.183333333334</v>
      </c>
      <c r="J1989">
        <v>50</v>
      </c>
      <c r="K1989">
        <v>124</v>
      </c>
      <c r="L1989">
        <v>1</v>
      </c>
      <c r="M1989" t="s">
        <v>29</v>
      </c>
      <c r="N1989">
        <v>10</v>
      </c>
      <c r="O1989">
        <v>258.68</v>
      </c>
    </row>
    <row r="1990" spans="1:15" x14ac:dyDescent="0.35">
      <c r="A1990" t="s">
        <v>4163</v>
      </c>
      <c r="B1990" t="s">
        <v>63</v>
      </c>
      <c r="C1990" t="s">
        <v>4164</v>
      </c>
      <c r="D1990" t="s">
        <v>26</v>
      </c>
      <c r="E1990" t="s">
        <v>85</v>
      </c>
      <c r="F1990" t="s">
        <v>39</v>
      </c>
      <c r="G1990" t="s">
        <v>476</v>
      </c>
      <c r="H1990" s="1">
        <v>45527.620138888888</v>
      </c>
      <c r="I1990" s="1">
        <v>45527.736111111109</v>
      </c>
      <c r="J1990">
        <v>155</v>
      </c>
      <c r="K1990">
        <v>167</v>
      </c>
      <c r="L1990">
        <v>1</v>
      </c>
      <c r="M1990" t="s">
        <v>41</v>
      </c>
      <c r="N1990">
        <v>6</v>
      </c>
      <c r="O1990">
        <v>377.81</v>
      </c>
    </row>
    <row r="1991" spans="1:15" x14ac:dyDescent="0.35">
      <c r="A1991" t="s">
        <v>4165</v>
      </c>
      <c r="B1991" t="s">
        <v>24</v>
      </c>
      <c r="C1991" t="s">
        <v>4166</v>
      </c>
      <c r="D1991" t="s">
        <v>18</v>
      </c>
      <c r="E1991" t="s">
        <v>19</v>
      </c>
      <c r="F1991" t="s">
        <v>57</v>
      </c>
      <c r="G1991" t="s">
        <v>126</v>
      </c>
      <c r="H1991" s="1">
        <v>45472.896527777775</v>
      </c>
      <c r="I1991" s="1">
        <v>45472.928472222222</v>
      </c>
      <c r="J1991">
        <v>46</v>
      </c>
      <c r="K1991">
        <v>46</v>
      </c>
      <c r="L1991">
        <v>0</v>
      </c>
      <c r="M1991" t="s">
        <v>41</v>
      </c>
      <c r="N1991">
        <v>7</v>
      </c>
      <c r="O1991">
        <v>406.31</v>
      </c>
    </row>
    <row r="1992" spans="1:15" x14ac:dyDescent="0.35">
      <c r="A1992" t="s">
        <v>4167</v>
      </c>
      <c r="B1992" t="s">
        <v>16</v>
      </c>
      <c r="C1992" t="s">
        <v>4168</v>
      </c>
      <c r="D1992" t="s">
        <v>44</v>
      </c>
      <c r="E1992" t="s">
        <v>38</v>
      </c>
      <c r="F1992" t="s">
        <v>57</v>
      </c>
      <c r="G1992" t="s">
        <v>61</v>
      </c>
      <c r="H1992" s="1">
        <v>45366.056944444441</v>
      </c>
      <c r="I1992" s="1">
        <v>45366.134722222225</v>
      </c>
      <c r="J1992">
        <v>81</v>
      </c>
      <c r="K1992">
        <v>112</v>
      </c>
      <c r="L1992">
        <v>1</v>
      </c>
      <c r="M1992" t="s">
        <v>41</v>
      </c>
      <c r="N1992">
        <v>5</v>
      </c>
      <c r="O1992">
        <v>87.58</v>
      </c>
    </row>
    <row r="1993" spans="1:15" x14ac:dyDescent="0.35">
      <c r="A1993" t="s">
        <v>4169</v>
      </c>
      <c r="B1993" t="s">
        <v>16</v>
      </c>
      <c r="C1993" t="s">
        <v>4170</v>
      </c>
      <c r="D1993" t="s">
        <v>56</v>
      </c>
      <c r="E1993" t="s">
        <v>33</v>
      </c>
      <c r="F1993" t="s">
        <v>57</v>
      </c>
      <c r="G1993" t="s">
        <v>364</v>
      </c>
      <c r="H1993" s="1">
        <v>45412.411111111112</v>
      </c>
      <c r="I1993" s="1">
        <v>45412.632638888892</v>
      </c>
      <c r="J1993">
        <v>213</v>
      </c>
      <c r="K1993">
        <v>319</v>
      </c>
      <c r="L1993">
        <v>1</v>
      </c>
      <c r="M1993" t="s">
        <v>22</v>
      </c>
      <c r="N1993">
        <v>5</v>
      </c>
      <c r="O1993">
        <v>274.01</v>
      </c>
    </row>
    <row r="1994" spans="1:15" x14ac:dyDescent="0.35">
      <c r="A1994" t="s">
        <v>4171</v>
      </c>
      <c r="B1994" t="s">
        <v>31</v>
      </c>
      <c r="C1994" t="s">
        <v>4172</v>
      </c>
      <c r="D1994" t="s">
        <v>26</v>
      </c>
      <c r="E1994" t="s">
        <v>19</v>
      </c>
      <c r="F1994" t="s">
        <v>27</v>
      </c>
      <c r="G1994" t="s">
        <v>293</v>
      </c>
      <c r="H1994" s="1">
        <v>45337.080555555556</v>
      </c>
      <c r="I1994" s="1">
        <v>45337.202777777777</v>
      </c>
      <c r="J1994">
        <v>84</v>
      </c>
      <c r="K1994">
        <v>176</v>
      </c>
      <c r="L1994">
        <v>1</v>
      </c>
      <c r="M1994" t="s">
        <v>41</v>
      </c>
      <c r="N1994">
        <v>8</v>
      </c>
      <c r="O1994">
        <v>80.709999999999994</v>
      </c>
    </row>
    <row r="1995" spans="1:15" x14ac:dyDescent="0.35">
      <c r="A1995" t="s">
        <v>4173</v>
      </c>
      <c r="B1995" t="s">
        <v>31</v>
      </c>
      <c r="C1995" t="s">
        <v>4174</v>
      </c>
      <c r="D1995" t="s">
        <v>18</v>
      </c>
      <c r="E1995" t="s">
        <v>85</v>
      </c>
      <c r="F1995" t="s">
        <v>39</v>
      </c>
      <c r="G1995" t="s">
        <v>123</v>
      </c>
      <c r="H1995" s="1">
        <v>45366.836805555555</v>
      </c>
      <c r="I1995" s="1">
        <v>45366.90625</v>
      </c>
      <c r="J1995">
        <v>21</v>
      </c>
      <c r="K1995">
        <v>100</v>
      </c>
      <c r="L1995">
        <v>1</v>
      </c>
      <c r="M1995" t="s">
        <v>22</v>
      </c>
      <c r="N1995">
        <v>1</v>
      </c>
      <c r="O1995">
        <v>234.6</v>
      </c>
    </row>
    <row r="1996" spans="1:15" x14ac:dyDescent="0.35">
      <c r="A1996" t="s">
        <v>4175</v>
      </c>
      <c r="B1996" t="s">
        <v>51</v>
      </c>
      <c r="C1996" t="s">
        <v>4176</v>
      </c>
      <c r="D1996" t="s">
        <v>26</v>
      </c>
      <c r="E1996" t="s">
        <v>19</v>
      </c>
      <c r="F1996" t="s">
        <v>57</v>
      </c>
      <c r="G1996" t="s">
        <v>173</v>
      </c>
      <c r="H1996" s="1">
        <v>45393.143055555556</v>
      </c>
      <c r="I1996" s="1">
        <v>45393.319444444445</v>
      </c>
      <c r="J1996">
        <v>215</v>
      </c>
      <c r="K1996">
        <v>254</v>
      </c>
      <c r="L1996">
        <v>1</v>
      </c>
      <c r="M1996" t="s">
        <v>29</v>
      </c>
      <c r="N1996">
        <v>5</v>
      </c>
      <c r="O1996">
        <v>246.4</v>
      </c>
    </row>
    <row r="1997" spans="1:15" x14ac:dyDescent="0.35">
      <c r="A1997" t="s">
        <v>4177</v>
      </c>
      <c r="B1997" t="s">
        <v>31</v>
      </c>
      <c r="C1997" t="s">
        <v>4178</v>
      </c>
      <c r="D1997" t="s">
        <v>26</v>
      </c>
      <c r="E1997" t="s">
        <v>38</v>
      </c>
      <c r="F1997" t="s">
        <v>20</v>
      </c>
      <c r="G1997" t="s">
        <v>76</v>
      </c>
      <c r="H1997" s="1">
        <v>45620.257638888892</v>
      </c>
      <c r="I1997" s="1">
        <v>45620.397916666669</v>
      </c>
      <c r="J1997">
        <v>111</v>
      </c>
      <c r="K1997">
        <v>202</v>
      </c>
      <c r="L1997">
        <v>1</v>
      </c>
      <c r="M1997" t="s">
        <v>22</v>
      </c>
      <c r="N1997">
        <v>10</v>
      </c>
      <c r="O1997">
        <v>136.81</v>
      </c>
    </row>
    <row r="1998" spans="1:15" x14ac:dyDescent="0.35">
      <c r="A1998" t="s">
        <v>4179</v>
      </c>
      <c r="B1998" t="s">
        <v>16</v>
      </c>
      <c r="C1998" t="s">
        <v>4180</v>
      </c>
      <c r="D1998" t="s">
        <v>44</v>
      </c>
      <c r="E1998" t="s">
        <v>19</v>
      </c>
      <c r="F1998" t="s">
        <v>57</v>
      </c>
      <c r="G1998" t="s">
        <v>170</v>
      </c>
      <c r="H1998" s="1">
        <v>45406.835416666669</v>
      </c>
      <c r="I1998" s="1">
        <v>45406.92291666667</v>
      </c>
      <c r="J1998">
        <v>113</v>
      </c>
      <c r="K1998">
        <v>126</v>
      </c>
      <c r="L1998">
        <v>1</v>
      </c>
      <c r="M1998" t="s">
        <v>29</v>
      </c>
      <c r="N1998">
        <v>5</v>
      </c>
      <c r="O1998">
        <v>309.17</v>
      </c>
    </row>
    <row r="1999" spans="1:15" x14ac:dyDescent="0.35">
      <c r="A1999" t="s">
        <v>4181</v>
      </c>
      <c r="B1999" t="s">
        <v>51</v>
      </c>
      <c r="C1999" t="s">
        <v>4182</v>
      </c>
      <c r="D1999" t="s">
        <v>56</v>
      </c>
      <c r="E1999" t="s">
        <v>33</v>
      </c>
      <c r="F1999" t="s">
        <v>27</v>
      </c>
      <c r="G1999" t="s">
        <v>684</v>
      </c>
      <c r="H1999" s="1">
        <v>45569.248611111114</v>
      </c>
      <c r="I1999" s="1">
        <v>45569.457638888889</v>
      </c>
      <c r="J1999">
        <v>196</v>
      </c>
      <c r="K1999">
        <v>301</v>
      </c>
      <c r="L1999">
        <v>1</v>
      </c>
      <c r="M1999" t="s">
        <v>41</v>
      </c>
      <c r="N1999">
        <v>6</v>
      </c>
      <c r="O1999">
        <v>361.97</v>
      </c>
    </row>
    <row r="2000" spans="1:15" x14ac:dyDescent="0.35">
      <c r="A2000" t="s">
        <v>4183</v>
      </c>
      <c r="B2000" t="s">
        <v>51</v>
      </c>
      <c r="C2000" t="s">
        <v>4184</v>
      </c>
      <c r="D2000" t="s">
        <v>48</v>
      </c>
      <c r="E2000" t="s">
        <v>38</v>
      </c>
      <c r="F2000" t="s">
        <v>20</v>
      </c>
      <c r="G2000" t="s">
        <v>476</v>
      </c>
      <c r="H2000" s="1">
        <v>45611.154166666667</v>
      </c>
      <c r="I2000" s="1">
        <v>45611.286805555559</v>
      </c>
      <c r="J2000">
        <v>185</v>
      </c>
      <c r="K2000">
        <v>191</v>
      </c>
      <c r="L2000">
        <v>1</v>
      </c>
      <c r="M2000" t="s">
        <v>29</v>
      </c>
      <c r="N2000">
        <v>2</v>
      </c>
      <c r="O2000">
        <v>428.48</v>
      </c>
    </row>
    <row r="2001" spans="1:15" x14ac:dyDescent="0.35">
      <c r="A2001" t="s">
        <v>4185</v>
      </c>
      <c r="B2001" t="s">
        <v>24</v>
      </c>
      <c r="C2001" t="s">
        <v>4186</v>
      </c>
      <c r="D2001" t="s">
        <v>26</v>
      </c>
      <c r="E2001" t="s">
        <v>38</v>
      </c>
      <c r="F2001" t="s">
        <v>57</v>
      </c>
      <c r="G2001" t="s">
        <v>1622</v>
      </c>
      <c r="H2001" s="1">
        <v>45482.246527777781</v>
      </c>
      <c r="I2001" s="1">
        <v>45482.320138888892</v>
      </c>
      <c r="J2001">
        <v>46</v>
      </c>
      <c r="K2001">
        <v>106</v>
      </c>
      <c r="L2001">
        <v>1</v>
      </c>
      <c r="M2001" t="s">
        <v>41</v>
      </c>
      <c r="N2001">
        <v>3</v>
      </c>
      <c r="O2001">
        <v>368.66</v>
      </c>
    </row>
    <row r="2002" spans="1:15" x14ac:dyDescent="0.35">
      <c r="A2002" t="s">
        <v>4187</v>
      </c>
      <c r="B2002" t="s">
        <v>16</v>
      </c>
      <c r="C2002" t="s">
        <v>4188</v>
      </c>
      <c r="D2002" t="s">
        <v>56</v>
      </c>
      <c r="E2002" t="s">
        <v>19</v>
      </c>
      <c r="F2002" t="s">
        <v>57</v>
      </c>
      <c r="G2002" t="s">
        <v>262</v>
      </c>
      <c r="H2002" s="1">
        <v>45320.447916666664</v>
      </c>
      <c r="I2002" s="1">
        <v>45320.56527777778</v>
      </c>
      <c r="J2002">
        <v>123</v>
      </c>
      <c r="K2002">
        <v>169</v>
      </c>
      <c r="L2002">
        <v>1</v>
      </c>
      <c r="M2002" t="s">
        <v>22</v>
      </c>
      <c r="N2002">
        <v>5</v>
      </c>
      <c r="O2002">
        <v>387.53</v>
      </c>
    </row>
    <row r="2003" spans="1:15" x14ac:dyDescent="0.35">
      <c r="A2003" t="s">
        <v>4189</v>
      </c>
      <c r="B2003" t="s">
        <v>63</v>
      </c>
      <c r="C2003" t="s">
        <v>4190</v>
      </c>
      <c r="D2003" t="s">
        <v>44</v>
      </c>
      <c r="E2003" t="s">
        <v>19</v>
      </c>
      <c r="F2003" t="s">
        <v>34</v>
      </c>
      <c r="G2003" t="s">
        <v>76</v>
      </c>
      <c r="H2003" s="1">
        <v>45377.693749999999</v>
      </c>
      <c r="I2003" s="1">
        <v>45377.763194444444</v>
      </c>
      <c r="J2003">
        <v>19</v>
      </c>
      <c r="K2003">
        <v>100</v>
      </c>
      <c r="L2003">
        <v>1</v>
      </c>
      <c r="M2003" t="s">
        <v>29</v>
      </c>
      <c r="N2003">
        <v>2</v>
      </c>
      <c r="O2003">
        <v>301.56</v>
      </c>
    </row>
    <row r="2004" spans="1:15" x14ac:dyDescent="0.35">
      <c r="A2004" t="s">
        <v>4191</v>
      </c>
      <c r="B2004" t="s">
        <v>24</v>
      </c>
      <c r="C2004" t="s">
        <v>4192</v>
      </c>
      <c r="D2004" t="s">
        <v>26</v>
      </c>
      <c r="E2004" t="s">
        <v>19</v>
      </c>
      <c r="F2004" t="s">
        <v>27</v>
      </c>
      <c r="G2004" t="s">
        <v>228</v>
      </c>
      <c r="H2004" s="1">
        <v>45303.65625</v>
      </c>
      <c r="I2004" s="1">
        <v>45303.853472222225</v>
      </c>
      <c r="J2004">
        <v>225</v>
      </c>
      <c r="K2004">
        <v>284</v>
      </c>
      <c r="L2004">
        <v>1</v>
      </c>
      <c r="M2004" t="s">
        <v>22</v>
      </c>
      <c r="N2004">
        <v>1</v>
      </c>
      <c r="O2004">
        <v>281.33999999999997</v>
      </c>
    </row>
    <row r="2005" spans="1:15" x14ac:dyDescent="0.35">
      <c r="A2005" t="s">
        <v>4193</v>
      </c>
      <c r="B2005" t="s">
        <v>24</v>
      </c>
      <c r="C2005" t="s">
        <v>4194</v>
      </c>
      <c r="D2005" t="s">
        <v>56</v>
      </c>
      <c r="E2005" t="s">
        <v>19</v>
      </c>
      <c r="F2005" t="s">
        <v>39</v>
      </c>
      <c r="G2005" t="s">
        <v>65</v>
      </c>
      <c r="H2005" s="1">
        <v>45539.967361111114</v>
      </c>
      <c r="I2005" s="1">
        <v>45540.168055555558</v>
      </c>
      <c r="J2005">
        <v>219</v>
      </c>
      <c r="K2005">
        <v>289</v>
      </c>
      <c r="L2005">
        <v>1</v>
      </c>
      <c r="M2005" t="s">
        <v>41</v>
      </c>
      <c r="N2005">
        <v>10</v>
      </c>
      <c r="O2005">
        <v>233.98</v>
      </c>
    </row>
    <row r="2006" spans="1:15" x14ac:dyDescent="0.35">
      <c r="A2006" t="s">
        <v>4195</v>
      </c>
      <c r="B2006" t="s">
        <v>24</v>
      </c>
      <c r="C2006" t="s">
        <v>4196</v>
      </c>
      <c r="D2006" t="s">
        <v>18</v>
      </c>
      <c r="E2006" t="s">
        <v>33</v>
      </c>
      <c r="F2006" t="s">
        <v>57</v>
      </c>
      <c r="G2006" t="s">
        <v>512</v>
      </c>
      <c r="H2006" s="1">
        <v>45593.39166666667</v>
      </c>
      <c r="I2006" s="1">
        <v>45593.511111111111</v>
      </c>
      <c r="J2006">
        <v>55</v>
      </c>
      <c r="K2006">
        <v>172</v>
      </c>
      <c r="L2006">
        <v>1</v>
      </c>
      <c r="M2006" t="s">
        <v>29</v>
      </c>
      <c r="N2006">
        <v>9</v>
      </c>
      <c r="O2006">
        <v>425.99</v>
      </c>
    </row>
    <row r="2007" spans="1:15" x14ac:dyDescent="0.35">
      <c r="A2007" t="s">
        <v>4197</v>
      </c>
      <c r="B2007" t="s">
        <v>51</v>
      </c>
      <c r="C2007" t="s">
        <v>4198</v>
      </c>
      <c r="D2007" t="s">
        <v>18</v>
      </c>
      <c r="E2007" t="s">
        <v>33</v>
      </c>
      <c r="F2007" t="s">
        <v>34</v>
      </c>
      <c r="G2007" t="s">
        <v>777</v>
      </c>
      <c r="H2007" s="1">
        <v>45446.460416666669</v>
      </c>
      <c r="I2007" s="1">
        <v>45446.510416666664</v>
      </c>
      <c r="J2007">
        <v>27</v>
      </c>
      <c r="K2007">
        <v>72</v>
      </c>
      <c r="L2007">
        <v>1</v>
      </c>
      <c r="M2007" t="s">
        <v>41</v>
      </c>
      <c r="N2007">
        <v>10</v>
      </c>
      <c r="O2007">
        <v>137.36000000000001</v>
      </c>
    </row>
    <row r="2008" spans="1:15" x14ac:dyDescent="0.35">
      <c r="A2008" t="s">
        <v>4199</v>
      </c>
      <c r="B2008" t="s">
        <v>51</v>
      </c>
      <c r="C2008" t="s">
        <v>4200</v>
      </c>
      <c r="D2008" t="s">
        <v>44</v>
      </c>
      <c r="E2008" t="s">
        <v>33</v>
      </c>
      <c r="F2008" t="s">
        <v>27</v>
      </c>
      <c r="G2008" t="s">
        <v>330</v>
      </c>
      <c r="H2008" s="1">
        <v>45354.035416666666</v>
      </c>
      <c r="I2008" s="1">
        <v>45354.140277777777</v>
      </c>
      <c r="J2008">
        <v>63</v>
      </c>
      <c r="K2008">
        <v>151</v>
      </c>
      <c r="L2008">
        <v>1</v>
      </c>
      <c r="M2008" t="s">
        <v>41</v>
      </c>
      <c r="N2008">
        <v>1</v>
      </c>
      <c r="O2008">
        <v>54.21</v>
      </c>
    </row>
    <row r="2009" spans="1:15" x14ac:dyDescent="0.35">
      <c r="A2009" t="s">
        <v>4201</v>
      </c>
      <c r="B2009" t="s">
        <v>24</v>
      </c>
      <c r="C2009" t="s">
        <v>4202</v>
      </c>
      <c r="D2009" t="s">
        <v>26</v>
      </c>
      <c r="E2009" t="s">
        <v>33</v>
      </c>
      <c r="F2009" t="s">
        <v>57</v>
      </c>
      <c r="G2009" t="s">
        <v>68</v>
      </c>
      <c r="H2009" s="1">
        <v>45455.1875</v>
      </c>
      <c r="I2009" s="1">
        <v>45455.42291666667</v>
      </c>
      <c r="J2009">
        <v>222</v>
      </c>
      <c r="K2009">
        <v>339</v>
      </c>
      <c r="L2009">
        <v>1</v>
      </c>
      <c r="M2009" t="s">
        <v>29</v>
      </c>
      <c r="N2009">
        <v>6</v>
      </c>
      <c r="O2009">
        <v>308.66000000000003</v>
      </c>
    </row>
    <row r="2010" spans="1:15" x14ac:dyDescent="0.35">
      <c r="A2010" t="s">
        <v>4203</v>
      </c>
      <c r="B2010" t="s">
        <v>63</v>
      </c>
      <c r="C2010" t="s">
        <v>4204</v>
      </c>
      <c r="D2010" t="s">
        <v>18</v>
      </c>
      <c r="E2010" t="s">
        <v>33</v>
      </c>
      <c r="F2010" t="s">
        <v>34</v>
      </c>
      <c r="G2010" t="s">
        <v>546</v>
      </c>
      <c r="H2010" s="1">
        <v>45305.649305555555</v>
      </c>
      <c r="I2010" s="1">
        <v>45305.689583333333</v>
      </c>
      <c r="J2010">
        <v>18</v>
      </c>
      <c r="K2010">
        <v>58</v>
      </c>
      <c r="L2010">
        <v>1</v>
      </c>
      <c r="M2010" t="s">
        <v>41</v>
      </c>
      <c r="N2010">
        <v>3</v>
      </c>
      <c r="O2010">
        <v>454.29</v>
      </c>
    </row>
    <row r="2011" spans="1:15" x14ac:dyDescent="0.35">
      <c r="A2011" t="s">
        <v>4205</v>
      </c>
      <c r="B2011" t="s">
        <v>63</v>
      </c>
      <c r="C2011" t="s">
        <v>4206</v>
      </c>
      <c r="D2011" t="s">
        <v>18</v>
      </c>
      <c r="E2011" t="s">
        <v>33</v>
      </c>
      <c r="F2011" t="s">
        <v>34</v>
      </c>
      <c r="G2011" t="s">
        <v>126</v>
      </c>
      <c r="H2011" s="1">
        <v>45385.220138888886</v>
      </c>
      <c r="I2011" s="1">
        <v>45385.332638888889</v>
      </c>
      <c r="J2011">
        <v>109</v>
      </c>
      <c r="K2011">
        <v>162</v>
      </c>
      <c r="L2011">
        <v>1</v>
      </c>
      <c r="M2011" t="s">
        <v>22</v>
      </c>
      <c r="N2011">
        <v>9</v>
      </c>
      <c r="O2011">
        <v>212.42</v>
      </c>
    </row>
    <row r="2012" spans="1:15" x14ac:dyDescent="0.35">
      <c r="A2012" t="s">
        <v>4207</v>
      </c>
      <c r="B2012" t="s">
        <v>24</v>
      </c>
      <c r="C2012" t="s">
        <v>4208</v>
      </c>
      <c r="D2012" t="s">
        <v>18</v>
      </c>
      <c r="E2012" t="s">
        <v>85</v>
      </c>
      <c r="F2012" t="s">
        <v>39</v>
      </c>
      <c r="G2012" t="s">
        <v>40</v>
      </c>
      <c r="H2012" s="1">
        <v>45383.193749999999</v>
      </c>
      <c r="I2012" s="1">
        <v>45383.245833333334</v>
      </c>
      <c r="J2012">
        <v>68</v>
      </c>
      <c r="K2012">
        <v>75</v>
      </c>
      <c r="L2012">
        <v>1</v>
      </c>
      <c r="M2012" t="s">
        <v>41</v>
      </c>
      <c r="N2012">
        <v>7</v>
      </c>
      <c r="O2012">
        <v>228.72</v>
      </c>
    </row>
    <row r="2013" spans="1:15" x14ac:dyDescent="0.35">
      <c r="A2013" t="s">
        <v>4209</v>
      </c>
      <c r="B2013" t="s">
        <v>16</v>
      </c>
      <c r="C2013" t="s">
        <v>4210</v>
      </c>
      <c r="D2013" t="s">
        <v>26</v>
      </c>
      <c r="E2013" t="s">
        <v>85</v>
      </c>
      <c r="F2013" t="s">
        <v>57</v>
      </c>
      <c r="G2013" t="s">
        <v>383</v>
      </c>
      <c r="H2013" s="1">
        <v>45561.561805555553</v>
      </c>
      <c r="I2013" s="1">
        <v>45561.627083333333</v>
      </c>
      <c r="J2013">
        <v>94</v>
      </c>
      <c r="K2013">
        <v>94</v>
      </c>
      <c r="L2013">
        <v>0</v>
      </c>
      <c r="M2013" t="s">
        <v>22</v>
      </c>
      <c r="N2013">
        <v>1</v>
      </c>
      <c r="O2013">
        <v>213.22</v>
      </c>
    </row>
    <row r="2014" spans="1:15" x14ac:dyDescent="0.35">
      <c r="A2014" t="s">
        <v>4211</v>
      </c>
      <c r="B2014" t="s">
        <v>31</v>
      </c>
      <c r="C2014" t="s">
        <v>4212</v>
      </c>
      <c r="D2014" t="s">
        <v>26</v>
      </c>
      <c r="E2014" t="s">
        <v>85</v>
      </c>
      <c r="F2014" t="s">
        <v>39</v>
      </c>
      <c r="G2014" t="s">
        <v>91</v>
      </c>
      <c r="H2014" s="1">
        <v>45354.518750000003</v>
      </c>
      <c r="I2014" s="1">
        <v>45354.627083333333</v>
      </c>
      <c r="J2014">
        <v>107</v>
      </c>
      <c r="K2014">
        <v>156</v>
      </c>
      <c r="L2014">
        <v>1</v>
      </c>
      <c r="M2014" t="s">
        <v>41</v>
      </c>
      <c r="N2014">
        <v>1</v>
      </c>
      <c r="O2014">
        <v>335.49</v>
      </c>
    </row>
    <row r="2015" spans="1:15" x14ac:dyDescent="0.35">
      <c r="A2015" t="s">
        <v>4213</v>
      </c>
      <c r="B2015" t="s">
        <v>51</v>
      </c>
      <c r="C2015" t="s">
        <v>4214</v>
      </c>
      <c r="D2015" t="s">
        <v>56</v>
      </c>
      <c r="E2015" t="s">
        <v>38</v>
      </c>
      <c r="F2015" t="s">
        <v>57</v>
      </c>
      <c r="G2015" t="s">
        <v>158</v>
      </c>
      <c r="H2015" s="1">
        <v>45512.216666666667</v>
      </c>
      <c r="I2015" s="1">
        <v>45512.444444444445</v>
      </c>
      <c r="J2015">
        <v>219</v>
      </c>
      <c r="K2015">
        <v>328</v>
      </c>
      <c r="L2015">
        <v>1</v>
      </c>
      <c r="M2015" t="s">
        <v>29</v>
      </c>
      <c r="N2015">
        <v>1</v>
      </c>
      <c r="O2015">
        <v>430.01</v>
      </c>
    </row>
    <row r="2016" spans="1:15" x14ac:dyDescent="0.35">
      <c r="A2016" t="s">
        <v>4215</v>
      </c>
      <c r="B2016" t="s">
        <v>24</v>
      </c>
      <c r="C2016" t="s">
        <v>4216</v>
      </c>
      <c r="D2016" t="s">
        <v>56</v>
      </c>
      <c r="E2016" t="s">
        <v>38</v>
      </c>
      <c r="F2016" t="s">
        <v>27</v>
      </c>
      <c r="G2016" t="s">
        <v>354</v>
      </c>
      <c r="H2016" s="1">
        <v>45537.856249999997</v>
      </c>
      <c r="I2016" s="1">
        <v>45537.981944444444</v>
      </c>
      <c r="J2016">
        <v>169</v>
      </c>
      <c r="K2016">
        <v>181</v>
      </c>
      <c r="L2016">
        <v>1</v>
      </c>
      <c r="M2016" t="s">
        <v>41</v>
      </c>
      <c r="N2016">
        <v>5</v>
      </c>
      <c r="O2016">
        <v>125.19</v>
      </c>
    </row>
    <row r="2017" spans="1:15" x14ac:dyDescent="0.35">
      <c r="A2017" t="s">
        <v>4217</v>
      </c>
      <c r="B2017" t="s">
        <v>51</v>
      </c>
      <c r="C2017" t="s">
        <v>4218</v>
      </c>
      <c r="D2017" t="s">
        <v>18</v>
      </c>
      <c r="E2017" t="s">
        <v>19</v>
      </c>
      <c r="F2017" t="s">
        <v>34</v>
      </c>
      <c r="G2017" t="s">
        <v>631</v>
      </c>
      <c r="H2017" s="1">
        <v>45584.626388888886</v>
      </c>
      <c r="I2017" s="1">
        <v>45584.716666666667</v>
      </c>
      <c r="J2017">
        <v>53</v>
      </c>
      <c r="K2017">
        <v>130</v>
      </c>
      <c r="L2017">
        <v>1</v>
      </c>
      <c r="M2017" t="s">
        <v>22</v>
      </c>
      <c r="N2017">
        <v>9</v>
      </c>
      <c r="O2017">
        <v>389.08</v>
      </c>
    </row>
    <row r="2018" spans="1:15" x14ac:dyDescent="0.35">
      <c r="A2018" t="s">
        <v>4219</v>
      </c>
      <c r="B2018" t="s">
        <v>24</v>
      </c>
      <c r="C2018" t="s">
        <v>4220</v>
      </c>
      <c r="D2018" t="s">
        <v>48</v>
      </c>
      <c r="E2018" t="s">
        <v>85</v>
      </c>
      <c r="F2018" t="s">
        <v>57</v>
      </c>
      <c r="G2018" t="s">
        <v>512</v>
      </c>
      <c r="H2018" s="1">
        <v>45323.09375</v>
      </c>
      <c r="I2018" s="1">
        <v>45323.29583333333</v>
      </c>
      <c r="J2018">
        <v>180</v>
      </c>
      <c r="K2018">
        <v>291</v>
      </c>
      <c r="L2018">
        <v>1</v>
      </c>
      <c r="M2018" t="s">
        <v>41</v>
      </c>
      <c r="N2018">
        <v>9</v>
      </c>
      <c r="O2018">
        <v>130.97</v>
      </c>
    </row>
    <row r="2019" spans="1:15" x14ac:dyDescent="0.35">
      <c r="A2019" t="s">
        <v>4221</v>
      </c>
      <c r="B2019" t="s">
        <v>16</v>
      </c>
      <c r="C2019" t="s">
        <v>4222</v>
      </c>
      <c r="D2019" t="s">
        <v>26</v>
      </c>
      <c r="E2019" t="s">
        <v>85</v>
      </c>
      <c r="F2019" t="s">
        <v>57</v>
      </c>
      <c r="G2019" t="s">
        <v>782</v>
      </c>
      <c r="H2019" s="1">
        <v>45575.690972222219</v>
      </c>
      <c r="I2019" s="1">
        <v>45575.830555555556</v>
      </c>
      <c r="J2019">
        <v>145</v>
      </c>
      <c r="K2019">
        <v>201</v>
      </c>
      <c r="L2019">
        <v>1</v>
      </c>
      <c r="M2019" t="s">
        <v>22</v>
      </c>
      <c r="N2019">
        <v>7</v>
      </c>
      <c r="O2019">
        <v>327.20999999999998</v>
      </c>
    </row>
    <row r="2020" spans="1:15" x14ac:dyDescent="0.35">
      <c r="A2020" t="s">
        <v>4223</v>
      </c>
      <c r="B2020" t="s">
        <v>51</v>
      </c>
      <c r="C2020" t="s">
        <v>4224</v>
      </c>
      <c r="D2020" t="s">
        <v>56</v>
      </c>
      <c r="E2020" t="s">
        <v>19</v>
      </c>
      <c r="F2020" t="s">
        <v>27</v>
      </c>
      <c r="G2020" t="s">
        <v>397</v>
      </c>
      <c r="H2020" s="1">
        <v>45586.586805555555</v>
      </c>
      <c r="I2020" s="1">
        <v>45586.765277777777</v>
      </c>
      <c r="J2020">
        <v>232</v>
      </c>
      <c r="K2020">
        <v>257</v>
      </c>
      <c r="L2020">
        <v>1</v>
      </c>
      <c r="M2020" t="s">
        <v>29</v>
      </c>
      <c r="N2020">
        <v>7</v>
      </c>
      <c r="O2020">
        <v>409.06</v>
      </c>
    </row>
    <row r="2021" spans="1:15" x14ac:dyDescent="0.35">
      <c r="A2021" t="s">
        <v>4225</v>
      </c>
      <c r="B2021" t="s">
        <v>31</v>
      </c>
      <c r="C2021" t="s">
        <v>4226</v>
      </c>
      <c r="D2021" t="s">
        <v>44</v>
      </c>
      <c r="E2021" t="s">
        <v>19</v>
      </c>
      <c r="F2021" t="s">
        <v>57</v>
      </c>
      <c r="G2021" t="s">
        <v>842</v>
      </c>
      <c r="H2021" s="1">
        <v>45627.190972222219</v>
      </c>
      <c r="I2021" s="1">
        <v>45627.386111111111</v>
      </c>
      <c r="J2021">
        <v>216</v>
      </c>
      <c r="K2021">
        <v>281</v>
      </c>
      <c r="L2021">
        <v>1</v>
      </c>
      <c r="M2021" t="s">
        <v>29</v>
      </c>
      <c r="N2021">
        <v>5</v>
      </c>
      <c r="O2021">
        <v>323.60000000000002</v>
      </c>
    </row>
    <row r="2022" spans="1:15" x14ac:dyDescent="0.35">
      <c r="A2022" t="s">
        <v>4227</v>
      </c>
      <c r="B2022" t="s">
        <v>63</v>
      </c>
      <c r="C2022" t="s">
        <v>4228</v>
      </c>
      <c r="D2022" t="s">
        <v>18</v>
      </c>
      <c r="E2022" t="s">
        <v>33</v>
      </c>
      <c r="F2022" t="s">
        <v>57</v>
      </c>
      <c r="G2022" t="s">
        <v>76</v>
      </c>
      <c r="H2022" s="1">
        <v>45594.06527777778</v>
      </c>
      <c r="I2022" s="1">
        <v>45594.225694444445</v>
      </c>
      <c r="J2022">
        <v>112</v>
      </c>
      <c r="K2022">
        <v>231</v>
      </c>
      <c r="L2022">
        <v>1</v>
      </c>
      <c r="M2022" t="s">
        <v>22</v>
      </c>
      <c r="N2022">
        <v>7</v>
      </c>
      <c r="O2022">
        <v>74.790000000000006</v>
      </c>
    </row>
    <row r="2023" spans="1:15" x14ac:dyDescent="0.35">
      <c r="A2023" t="s">
        <v>4229</v>
      </c>
      <c r="B2023" t="s">
        <v>24</v>
      </c>
      <c r="C2023" t="s">
        <v>4230</v>
      </c>
      <c r="D2023" t="s">
        <v>26</v>
      </c>
      <c r="E2023" t="s">
        <v>85</v>
      </c>
      <c r="F2023" t="s">
        <v>34</v>
      </c>
      <c r="G2023" t="s">
        <v>383</v>
      </c>
      <c r="H2023" s="1">
        <v>45554.965277777781</v>
      </c>
      <c r="I2023" s="1">
        <v>45555.037499999999</v>
      </c>
      <c r="J2023">
        <v>75</v>
      </c>
      <c r="K2023">
        <v>104</v>
      </c>
      <c r="L2023">
        <v>1</v>
      </c>
      <c r="M2023" t="s">
        <v>22</v>
      </c>
      <c r="N2023">
        <v>7</v>
      </c>
      <c r="O2023">
        <v>419.38</v>
      </c>
    </row>
    <row r="2024" spans="1:15" x14ac:dyDescent="0.35">
      <c r="A2024" t="s">
        <v>4231</v>
      </c>
      <c r="B2024" t="s">
        <v>31</v>
      </c>
      <c r="C2024" t="s">
        <v>4232</v>
      </c>
      <c r="D2024" t="s">
        <v>18</v>
      </c>
      <c r="E2024" t="s">
        <v>85</v>
      </c>
      <c r="F2024" t="s">
        <v>27</v>
      </c>
      <c r="G2024" t="s">
        <v>49</v>
      </c>
      <c r="H2024" s="1">
        <v>45459.236111111109</v>
      </c>
      <c r="I2024" s="1">
        <v>45459.408333333333</v>
      </c>
      <c r="J2024">
        <v>169</v>
      </c>
      <c r="K2024">
        <v>248</v>
      </c>
      <c r="L2024">
        <v>1</v>
      </c>
      <c r="M2024" t="s">
        <v>41</v>
      </c>
      <c r="N2024">
        <v>2</v>
      </c>
      <c r="O2024">
        <v>425.42</v>
      </c>
    </row>
    <row r="2025" spans="1:15" x14ac:dyDescent="0.35">
      <c r="A2025" t="s">
        <v>4233</v>
      </c>
      <c r="B2025" t="s">
        <v>63</v>
      </c>
      <c r="C2025" t="s">
        <v>4234</v>
      </c>
      <c r="D2025" t="s">
        <v>48</v>
      </c>
      <c r="E2025" t="s">
        <v>19</v>
      </c>
      <c r="F2025" t="s">
        <v>57</v>
      </c>
      <c r="G2025" t="s">
        <v>137</v>
      </c>
      <c r="H2025" s="1">
        <v>45635.880555555559</v>
      </c>
      <c r="I2025" s="1">
        <v>45635.963888888888</v>
      </c>
      <c r="J2025">
        <v>116</v>
      </c>
      <c r="K2025">
        <v>120</v>
      </c>
      <c r="L2025">
        <v>1</v>
      </c>
      <c r="M2025" t="s">
        <v>22</v>
      </c>
      <c r="N2025">
        <v>9</v>
      </c>
      <c r="O2025">
        <v>495.29</v>
      </c>
    </row>
    <row r="2026" spans="1:15" x14ac:dyDescent="0.35">
      <c r="A2026" t="s">
        <v>4235</v>
      </c>
      <c r="B2026" t="s">
        <v>24</v>
      </c>
      <c r="C2026" t="s">
        <v>4236</v>
      </c>
      <c r="D2026" t="s">
        <v>44</v>
      </c>
      <c r="E2026" t="s">
        <v>85</v>
      </c>
      <c r="F2026" t="s">
        <v>39</v>
      </c>
      <c r="G2026" t="s">
        <v>485</v>
      </c>
      <c r="H2026" s="1">
        <v>45311.038888888892</v>
      </c>
      <c r="I2026" s="1">
        <v>45311.104861111111</v>
      </c>
      <c r="J2026">
        <v>15</v>
      </c>
      <c r="K2026">
        <v>95</v>
      </c>
      <c r="L2026">
        <v>1</v>
      </c>
      <c r="M2026" t="s">
        <v>29</v>
      </c>
      <c r="N2026">
        <v>4</v>
      </c>
      <c r="O2026">
        <v>454.59</v>
      </c>
    </row>
    <row r="2027" spans="1:15" x14ac:dyDescent="0.35">
      <c r="A2027" t="s">
        <v>4237</v>
      </c>
      <c r="B2027" t="s">
        <v>63</v>
      </c>
      <c r="C2027" t="s">
        <v>4238</v>
      </c>
      <c r="D2027" t="s">
        <v>18</v>
      </c>
      <c r="E2027" t="s">
        <v>19</v>
      </c>
      <c r="F2027" t="s">
        <v>20</v>
      </c>
      <c r="G2027" t="s">
        <v>470</v>
      </c>
      <c r="H2027" s="1">
        <v>45510.625694444447</v>
      </c>
      <c r="I2027" s="1">
        <v>45510.725694444445</v>
      </c>
      <c r="J2027">
        <v>67</v>
      </c>
      <c r="K2027">
        <v>144</v>
      </c>
      <c r="L2027">
        <v>1</v>
      </c>
      <c r="M2027" t="s">
        <v>41</v>
      </c>
      <c r="N2027">
        <v>9</v>
      </c>
      <c r="O2027">
        <v>122.98</v>
      </c>
    </row>
    <row r="2028" spans="1:15" x14ac:dyDescent="0.35">
      <c r="A2028" t="s">
        <v>4239</v>
      </c>
      <c r="B2028" t="s">
        <v>24</v>
      </c>
      <c r="C2028" t="s">
        <v>4240</v>
      </c>
      <c r="D2028" t="s">
        <v>26</v>
      </c>
      <c r="E2028" t="s">
        <v>19</v>
      </c>
      <c r="F2028" t="s">
        <v>27</v>
      </c>
      <c r="G2028" t="s">
        <v>376</v>
      </c>
      <c r="H2028" s="1">
        <v>45538.589583333334</v>
      </c>
      <c r="I2028" s="1">
        <v>45538.662499999999</v>
      </c>
      <c r="J2028">
        <v>99</v>
      </c>
      <c r="K2028">
        <v>105</v>
      </c>
      <c r="L2028">
        <v>1</v>
      </c>
      <c r="M2028" t="s">
        <v>29</v>
      </c>
      <c r="N2028">
        <v>9</v>
      </c>
      <c r="O2028">
        <v>454.8</v>
      </c>
    </row>
    <row r="2029" spans="1:15" x14ac:dyDescent="0.35">
      <c r="A2029" t="s">
        <v>4241</v>
      </c>
      <c r="B2029" t="s">
        <v>31</v>
      </c>
      <c r="C2029" t="s">
        <v>4242</v>
      </c>
      <c r="D2029" t="s">
        <v>56</v>
      </c>
      <c r="E2029" t="s">
        <v>33</v>
      </c>
      <c r="F2029" t="s">
        <v>34</v>
      </c>
      <c r="G2029" t="s">
        <v>546</v>
      </c>
      <c r="H2029" s="1">
        <v>45488.629861111112</v>
      </c>
      <c r="I2029" s="1">
        <v>45488.753472222219</v>
      </c>
      <c r="J2029">
        <v>86</v>
      </c>
      <c r="K2029">
        <v>178</v>
      </c>
      <c r="L2029">
        <v>1</v>
      </c>
      <c r="M2029" t="s">
        <v>22</v>
      </c>
      <c r="N2029">
        <v>4</v>
      </c>
      <c r="O2029">
        <v>169.4</v>
      </c>
    </row>
    <row r="2030" spans="1:15" x14ac:dyDescent="0.35">
      <c r="A2030" t="s">
        <v>4243</v>
      </c>
      <c r="B2030" t="s">
        <v>51</v>
      </c>
      <c r="C2030" t="s">
        <v>4244</v>
      </c>
      <c r="D2030" t="s">
        <v>26</v>
      </c>
      <c r="E2030" t="s">
        <v>85</v>
      </c>
      <c r="F2030" t="s">
        <v>20</v>
      </c>
      <c r="G2030" t="s">
        <v>213</v>
      </c>
      <c r="H2030" s="1">
        <v>45642.306944444441</v>
      </c>
      <c r="I2030" s="1">
        <v>45642.353472222225</v>
      </c>
      <c r="J2030">
        <v>10</v>
      </c>
      <c r="K2030">
        <v>67</v>
      </c>
      <c r="L2030">
        <v>1</v>
      </c>
      <c r="M2030" t="s">
        <v>29</v>
      </c>
      <c r="N2030">
        <v>7</v>
      </c>
      <c r="O2030">
        <v>394.25</v>
      </c>
    </row>
    <row r="2031" spans="1:15" x14ac:dyDescent="0.35">
      <c r="A2031" t="s">
        <v>4245</v>
      </c>
      <c r="B2031" t="s">
        <v>63</v>
      </c>
      <c r="C2031" t="s">
        <v>4246</v>
      </c>
      <c r="D2031" t="s">
        <v>48</v>
      </c>
      <c r="E2031" t="s">
        <v>33</v>
      </c>
      <c r="F2031" t="s">
        <v>34</v>
      </c>
      <c r="G2031" t="s">
        <v>108</v>
      </c>
      <c r="H2031" s="1">
        <v>45496.935416666667</v>
      </c>
      <c r="I2031" s="1">
        <v>45497.052083333336</v>
      </c>
      <c r="J2031">
        <v>96</v>
      </c>
      <c r="K2031">
        <v>168</v>
      </c>
      <c r="L2031">
        <v>1</v>
      </c>
      <c r="M2031" t="s">
        <v>29</v>
      </c>
      <c r="N2031">
        <v>1</v>
      </c>
      <c r="O2031">
        <v>249.36</v>
      </c>
    </row>
    <row r="2032" spans="1:15" x14ac:dyDescent="0.35">
      <c r="A2032" t="s">
        <v>4247</v>
      </c>
      <c r="B2032" t="s">
        <v>31</v>
      </c>
      <c r="C2032" t="s">
        <v>4248</v>
      </c>
      <c r="D2032" t="s">
        <v>56</v>
      </c>
      <c r="E2032" t="s">
        <v>85</v>
      </c>
      <c r="F2032" t="s">
        <v>34</v>
      </c>
      <c r="G2032" t="s">
        <v>288</v>
      </c>
      <c r="H2032" s="1">
        <v>45471.213888888888</v>
      </c>
      <c r="I2032" s="1">
        <v>45471.412499999999</v>
      </c>
      <c r="J2032">
        <v>197</v>
      </c>
      <c r="K2032">
        <v>286</v>
      </c>
      <c r="L2032">
        <v>1</v>
      </c>
      <c r="M2032" t="s">
        <v>22</v>
      </c>
      <c r="N2032">
        <v>8</v>
      </c>
      <c r="O2032">
        <v>145.82</v>
      </c>
    </row>
    <row r="2033" spans="1:15" x14ac:dyDescent="0.35">
      <c r="A2033" t="s">
        <v>4249</v>
      </c>
      <c r="B2033" t="s">
        <v>31</v>
      </c>
      <c r="C2033" t="s">
        <v>4250</v>
      </c>
      <c r="D2033" t="s">
        <v>44</v>
      </c>
      <c r="E2033" t="s">
        <v>85</v>
      </c>
      <c r="F2033" t="s">
        <v>34</v>
      </c>
      <c r="G2033" t="s">
        <v>376</v>
      </c>
      <c r="H2033" s="1">
        <v>45526.209722222222</v>
      </c>
      <c r="I2033" s="1">
        <v>45526.418749999997</v>
      </c>
      <c r="J2033">
        <v>228</v>
      </c>
      <c r="K2033">
        <v>301</v>
      </c>
      <c r="L2033">
        <v>1</v>
      </c>
      <c r="M2033" t="s">
        <v>29</v>
      </c>
      <c r="N2033">
        <v>4</v>
      </c>
      <c r="O2033">
        <v>300.62</v>
      </c>
    </row>
    <row r="2034" spans="1:15" x14ac:dyDescent="0.35">
      <c r="A2034" t="s">
        <v>4251</v>
      </c>
      <c r="B2034" t="s">
        <v>16</v>
      </c>
      <c r="C2034" t="s">
        <v>4252</v>
      </c>
      <c r="D2034" t="s">
        <v>56</v>
      </c>
      <c r="E2034" t="s">
        <v>19</v>
      </c>
      <c r="F2034" t="s">
        <v>20</v>
      </c>
      <c r="G2034" t="s">
        <v>842</v>
      </c>
      <c r="H2034" s="1">
        <v>45343.775694444441</v>
      </c>
      <c r="I2034" s="1">
        <v>45343.931250000001</v>
      </c>
      <c r="J2034">
        <v>142</v>
      </c>
      <c r="K2034">
        <v>224</v>
      </c>
      <c r="L2034">
        <v>1</v>
      </c>
      <c r="M2034" t="s">
        <v>29</v>
      </c>
      <c r="N2034">
        <v>6</v>
      </c>
      <c r="O2034">
        <v>264.08</v>
      </c>
    </row>
    <row r="2035" spans="1:15" x14ac:dyDescent="0.35">
      <c r="A2035" t="s">
        <v>4253</v>
      </c>
      <c r="B2035" t="s">
        <v>24</v>
      </c>
      <c r="C2035" t="s">
        <v>4254</v>
      </c>
      <c r="D2035" t="s">
        <v>56</v>
      </c>
      <c r="E2035" t="s">
        <v>33</v>
      </c>
      <c r="F2035" t="s">
        <v>57</v>
      </c>
      <c r="G2035" t="s">
        <v>191</v>
      </c>
      <c r="H2035" s="1">
        <v>45553.515972222223</v>
      </c>
      <c r="I2035" s="1">
        <v>45553.600694444445</v>
      </c>
      <c r="J2035">
        <v>73</v>
      </c>
      <c r="K2035">
        <v>122</v>
      </c>
      <c r="L2035">
        <v>1</v>
      </c>
      <c r="M2035" t="s">
        <v>29</v>
      </c>
      <c r="N2035">
        <v>5</v>
      </c>
      <c r="O2035">
        <v>194.28</v>
      </c>
    </row>
    <row r="2036" spans="1:15" x14ac:dyDescent="0.35">
      <c r="A2036" t="s">
        <v>4255</v>
      </c>
      <c r="B2036" t="s">
        <v>16</v>
      </c>
      <c r="C2036" t="s">
        <v>4256</v>
      </c>
      <c r="D2036" t="s">
        <v>18</v>
      </c>
      <c r="E2036" t="s">
        <v>38</v>
      </c>
      <c r="F2036" t="s">
        <v>27</v>
      </c>
      <c r="G2036" t="s">
        <v>222</v>
      </c>
      <c r="H2036" s="1">
        <v>45595.395833333336</v>
      </c>
      <c r="I2036" s="1">
        <v>45595.539583333331</v>
      </c>
      <c r="J2036">
        <v>99</v>
      </c>
      <c r="K2036">
        <v>207</v>
      </c>
      <c r="L2036">
        <v>1</v>
      </c>
      <c r="M2036" t="s">
        <v>22</v>
      </c>
      <c r="N2036">
        <v>2</v>
      </c>
      <c r="O2036">
        <v>335.59</v>
      </c>
    </row>
    <row r="2037" spans="1:15" x14ac:dyDescent="0.35">
      <c r="A2037" t="s">
        <v>4257</v>
      </c>
      <c r="B2037" t="s">
        <v>16</v>
      </c>
      <c r="C2037" t="s">
        <v>4258</v>
      </c>
      <c r="D2037" t="s">
        <v>44</v>
      </c>
      <c r="E2037" t="s">
        <v>38</v>
      </c>
      <c r="F2037" t="s">
        <v>34</v>
      </c>
      <c r="G2037" t="s">
        <v>61</v>
      </c>
      <c r="H2037" s="1">
        <v>45470.288888888892</v>
      </c>
      <c r="I2037" s="1">
        <v>45470.442361111112</v>
      </c>
      <c r="J2037">
        <v>164</v>
      </c>
      <c r="K2037">
        <v>221</v>
      </c>
      <c r="L2037">
        <v>1</v>
      </c>
      <c r="M2037" t="s">
        <v>22</v>
      </c>
      <c r="N2037">
        <v>2</v>
      </c>
      <c r="O2037">
        <v>173.17</v>
      </c>
    </row>
    <row r="2038" spans="1:15" x14ac:dyDescent="0.35">
      <c r="A2038" t="s">
        <v>4259</v>
      </c>
      <c r="B2038" t="s">
        <v>51</v>
      </c>
      <c r="C2038" t="s">
        <v>4260</v>
      </c>
      <c r="D2038" t="s">
        <v>56</v>
      </c>
      <c r="E2038" t="s">
        <v>33</v>
      </c>
      <c r="F2038" t="s">
        <v>34</v>
      </c>
      <c r="G2038" t="s">
        <v>782</v>
      </c>
      <c r="H2038" s="1">
        <v>45541.884722222225</v>
      </c>
      <c r="I2038" s="1">
        <v>45541.90902777778</v>
      </c>
      <c r="J2038">
        <v>40</v>
      </c>
      <c r="K2038">
        <v>35</v>
      </c>
      <c r="L2038">
        <v>0</v>
      </c>
      <c r="M2038" t="s">
        <v>29</v>
      </c>
      <c r="N2038">
        <v>9</v>
      </c>
      <c r="O2038">
        <v>88.28</v>
      </c>
    </row>
    <row r="2039" spans="1:15" x14ac:dyDescent="0.35">
      <c r="A2039" t="s">
        <v>4261</v>
      </c>
      <c r="B2039" t="s">
        <v>31</v>
      </c>
      <c r="C2039" t="s">
        <v>4262</v>
      </c>
      <c r="D2039" t="s">
        <v>18</v>
      </c>
      <c r="E2039" t="s">
        <v>33</v>
      </c>
      <c r="F2039" t="s">
        <v>27</v>
      </c>
      <c r="G2039" t="s">
        <v>410</v>
      </c>
      <c r="H2039" s="1">
        <v>45619.147916666669</v>
      </c>
      <c r="I2039" s="1">
        <v>45619.258333333331</v>
      </c>
      <c r="J2039">
        <v>67</v>
      </c>
      <c r="K2039">
        <v>159</v>
      </c>
      <c r="L2039">
        <v>1</v>
      </c>
      <c r="M2039" t="s">
        <v>29</v>
      </c>
      <c r="N2039">
        <v>9</v>
      </c>
      <c r="O2039">
        <v>125.78</v>
      </c>
    </row>
    <row r="2040" spans="1:15" x14ac:dyDescent="0.35">
      <c r="A2040" t="s">
        <v>4263</v>
      </c>
      <c r="B2040" t="s">
        <v>16</v>
      </c>
      <c r="C2040" t="s">
        <v>4264</v>
      </c>
      <c r="D2040" t="s">
        <v>26</v>
      </c>
      <c r="E2040" t="s">
        <v>38</v>
      </c>
      <c r="F2040" t="s">
        <v>39</v>
      </c>
      <c r="G2040" t="s">
        <v>622</v>
      </c>
      <c r="H2040" s="1">
        <v>45603.839583333334</v>
      </c>
      <c r="I2040" s="1">
        <v>45603.913194444445</v>
      </c>
      <c r="J2040">
        <v>38</v>
      </c>
      <c r="K2040">
        <v>106</v>
      </c>
      <c r="L2040">
        <v>1</v>
      </c>
      <c r="M2040" t="s">
        <v>41</v>
      </c>
      <c r="N2040">
        <v>4</v>
      </c>
      <c r="O2040">
        <v>460.89</v>
      </c>
    </row>
    <row r="2041" spans="1:15" x14ac:dyDescent="0.35">
      <c r="A2041" t="s">
        <v>4265</v>
      </c>
      <c r="B2041" t="s">
        <v>16</v>
      </c>
      <c r="C2041" t="s">
        <v>4266</v>
      </c>
      <c r="D2041" t="s">
        <v>26</v>
      </c>
      <c r="E2041" t="s">
        <v>33</v>
      </c>
      <c r="F2041" t="s">
        <v>20</v>
      </c>
      <c r="G2041" t="s">
        <v>117</v>
      </c>
      <c r="H2041" s="1">
        <v>45332.980555555558</v>
      </c>
      <c r="I2041" s="1">
        <v>45333.118055555555</v>
      </c>
      <c r="J2041">
        <v>161</v>
      </c>
      <c r="K2041">
        <v>198</v>
      </c>
      <c r="L2041">
        <v>1</v>
      </c>
      <c r="M2041" t="s">
        <v>22</v>
      </c>
      <c r="N2041">
        <v>4</v>
      </c>
      <c r="O2041">
        <v>429.66</v>
      </c>
    </row>
    <row r="2042" spans="1:15" x14ac:dyDescent="0.35">
      <c r="A2042" t="s">
        <v>4267</v>
      </c>
      <c r="B2042" t="s">
        <v>51</v>
      </c>
      <c r="C2042" t="s">
        <v>4268</v>
      </c>
      <c r="D2042" t="s">
        <v>18</v>
      </c>
      <c r="E2042" t="s">
        <v>85</v>
      </c>
      <c r="F2042" t="s">
        <v>34</v>
      </c>
      <c r="G2042" t="s">
        <v>376</v>
      </c>
      <c r="H2042" s="1">
        <v>45582.227777777778</v>
      </c>
      <c r="I2042" s="1">
        <v>45582.3</v>
      </c>
      <c r="J2042">
        <v>38</v>
      </c>
      <c r="K2042">
        <v>104</v>
      </c>
      <c r="L2042">
        <v>1</v>
      </c>
      <c r="M2042" t="s">
        <v>41</v>
      </c>
      <c r="N2042">
        <v>3</v>
      </c>
      <c r="O2042">
        <v>207.12</v>
      </c>
    </row>
    <row r="2043" spans="1:15" x14ac:dyDescent="0.35">
      <c r="A2043" t="s">
        <v>4269</v>
      </c>
      <c r="B2043" t="s">
        <v>31</v>
      </c>
      <c r="C2043" t="s">
        <v>4270</v>
      </c>
      <c r="D2043" t="s">
        <v>18</v>
      </c>
      <c r="E2043" t="s">
        <v>38</v>
      </c>
      <c r="F2043" t="s">
        <v>34</v>
      </c>
      <c r="G2043" t="s">
        <v>68</v>
      </c>
      <c r="H2043" s="1">
        <v>45512.299305555556</v>
      </c>
      <c r="I2043" s="1">
        <v>45512.438194444447</v>
      </c>
      <c r="J2043">
        <v>130</v>
      </c>
      <c r="K2043">
        <v>200</v>
      </c>
      <c r="L2043">
        <v>1</v>
      </c>
      <c r="M2043" t="s">
        <v>22</v>
      </c>
      <c r="N2043">
        <v>10</v>
      </c>
      <c r="O2043">
        <v>489.58</v>
      </c>
    </row>
    <row r="2044" spans="1:15" x14ac:dyDescent="0.35">
      <c r="A2044" t="s">
        <v>4271</v>
      </c>
      <c r="B2044" t="s">
        <v>51</v>
      </c>
      <c r="C2044" t="s">
        <v>4272</v>
      </c>
      <c r="D2044" t="s">
        <v>18</v>
      </c>
      <c r="E2044" t="s">
        <v>38</v>
      </c>
      <c r="F2044" t="s">
        <v>20</v>
      </c>
      <c r="G2044" t="s">
        <v>473</v>
      </c>
      <c r="H2044" s="1">
        <v>45504.6</v>
      </c>
      <c r="I2044" s="1">
        <v>45504.743750000001</v>
      </c>
      <c r="J2044">
        <v>141</v>
      </c>
      <c r="K2044">
        <v>207</v>
      </c>
      <c r="L2044">
        <v>1</v>
      </c>
      <c r="M2044" t="s">
        <v>29</v>
      </c>
      <c r="N2044">
        <v>8</v>
      </c>
      <c r="O2044">
        <v>158.06</v>
      </c>
    </row>
    <row r="2045" spans="1:15" x14ac:dyDescent="0.35">
      <c r="A2045" t="s">
        <v>4273</v>
      </c>
      <c r="B2045" t="s">
        <v>24</v>
      </c>
      <c r="C2045" t="s">
        <v>4274</v>
      </c>
      <c r="D2045" t="s">
        <v>56</v>
      </c>
      <c r="E2045" t="s">
        <v>19</v>
      </c>
      <c r="F2045" t="s">
        <v>57</v>
      </c>
      <c r="G2045" t="s">
        <v>676</v>
      </c>
      <c r="H2045" s="1">
        <v>45564.899305555555</v>
      </c>
      <c r="I2045" s="1">
        <v>45564.955555555556</v>
      </c>
      <c r="J2045">
        <v>65</v>
      </c>
      <c r="K2045">
        <v>81</v>
      </c>
      <c r="L2045">
        <v>1</v>
      </c>
      <c r="M2045" t="s">
        <v>22</v>
      </c>
      <c r="N2045">
        <v>1</v>
      </c>
      <c r="O2045">
        <v>299.95</v>
      </c>
    </row>
    <row r="2046" spans="1:15" x14ac:dyDescent="0.35">
      <c r="A2046" t="s">
        <v>4275</v>
      </c>
      <c r="B2046" t="s">
        <v>51</v>
      </c>
      <c r="C2046" t="s">
        <v>4276</v>
      </c>
      <c r="D2046" t="s">
        <v>56</v>
      </c>
      <c r="E2046" t="s">
        <v>85</v>
      </c>
      <c r="F2046" t="s">
        <v>39</v>
      </c>
      <c r="G2046" t="s">
        <v>388</v>
      </c>
      <c r="H2046" s="1">
        <v>45389.001388888886</v>
      </c>
      <c r="I2046" s="1">
        <v>45389.072916666664</v>
      </c>
      <c r="J2046">
        <v>64</v>
      </c>
      <c r="K2046">
        <v>103</v>
      </c>
      <c r="L2046">
        <v>1</v>
      </c>
      <c r="M2046" t="s">
        <v>29</v>
      </c>
      <c r="N2046">
        <v>5</v>
      </c>
      <c r="O2046">
        <v>454.53</v>
      </c>
    </row>
    <row r="2047" spans="1:15" x14ac:dyDescent="0.35">
      <c r="A2047" t="s">
        <v>4277</v>
      </c>
      <c r="B2047" t="s">
        <v>63</v>
      </c>
      <c r="C2047" t="s">
        <v>4278</v>
      </c>
      <c r="D2047" t="s">
        <v>18</v>
      </c>
      <c r="E2047" t="s">
        <v>85</v>
      </c>
      <c r="F2047" t="s">
        <v>39</v>
      </c>
      <c r="G2047" t="s">
        <v>376</v>
      </c>
      <c r="H2047" s="1">
        <v>45412.404166666667</v>
      </c>
      <c r="I2047" s="1">
        <v>45412.529166666667</v>
      </c>
      <c r="J2047">
        <v>129</v>
      </c>
      <c r="K2047">
        <v>180</v>
      </c>
      <c r="L2047">
        <v>1</v>
      </c>
      <c r="M2047" t="s">
        <v>41</v>
      </c>
      <c r="N2047">
        <v>4</v>
      </c>
      <c r="O2047">
        <v>420.84</v>
      </c>
    </row>
    <row r="2048" spans="1:15" x14ac:dyDescent="0.35">
      <c r="A2048" t="s">
        <v>4279</v>
      </c>
      <c r="B2048" t="s">
        <v>24</v>
      </c>
      <c r="C2048" t="s">
        <v>4280</v>
      </c>
      <c r="D2048" t="s">
        <v>18</v>
      </c>
      <c r="E2048" t="s">
        <v>33</v>
      </c>
      <c r="F2048" t="s">
        <v>27</v>
      </c>
      <c r="G2048" t="s">
        <v>1172</v>
      </c>
      <c r="H2048" s="1">
        <v>45388.625</v>
      </c>
      <c r="I2048" s="1">
        <v>45388.770833333336</v>
      </c>
      <c r="J2048">
        <v>211</v>
      </c>
      <c r="K2048">
        <v>210</v>
      </c>
      <c r="L2048">
        <v>0</v>
      </c>
      <c r="M2048" t="s">
        <v>41</v>
      </c>
      <c r="N2048">
        <v>9</v>
      </c>
      <c r="O2048">
        <v>250.29</v>
      </c>
    </row>
    <row r="2049" spans="1:15" x14ac:dyDescent="0.35">
      <c r="A2049" t="s">
        <v>4281</v>
      </c>
      <c r="B2049" t="s">
        <v>31</v>
      </c>
      <c r="C2049" t="s">
        <v>4282</v>
      </c>
      <c r="D2049" t="s">
        <v>18</v>
      </c>
      <c r="E2049" t="s">
        <v>19</v>
      </c>
      <c r="F2049" t="s">
        <v>27</v>
      </c>
      <c r="G2049" t="s">
        <v>817</v>
      </c>
      <c r="H2049" s="1">
        <v>45345.168749999997</v>
      </c>
      <c r="I2049" s="1">
        <v>45345.311805555553</v>
      </c>
      <c r="J2049">
        <v>120</v>
      </c>
      <c r="K2049">
        <v>206</v>
      </c>
      <c r="L2049">
        <v>1</v>
      </c>
      <c r="M2049" t="s">
        <v>22</v>
      </c>
      <c r="N2049">
        <v>6</v>
      </c>
      <c r="O2049">
        <v>278.29000000000002</v>
      </c>
    </row>
    <row r="2050" spans="1:15" x14ac:dyDescent="0.35">
      <c r="A2050" t="s">
        <v>4283</v>
      </c>
      <c r="B2050" t="s">
        <v>24</v>
      </c>
      <c r="C2050" t="s">
        <v>4284</v>
      </c>
      <c r="D2050" t="s">
        <v>56</v>
      </c>
      <c r="E2050" t="s">
        <v>38</v>
      </c>
      <c r="F2050" t="s">
        <v>39</v>
      </c>
      <c r="G2050" t="s">
        <v>810</v>
      </c>
      <c r="H2050" s="1">
        <v>45536.155555555553</v>
      </c>
      <c r="I2050" s="1">
        <v>45536.3</v>
      </c>
      <c r="J2050">
        <v>129</v>
      </c>
      <c r="K2050">
        <v>208</v>
      </c>
      <c r="L2050">
        <v>1</v>
      </c>
      <c r="M2050" t="s">
        <v>41</v>
      </c>
      <c r="N2050">
        <v>4</v>
      </c>
      <c r="O2050">
        <v>366.28</v>
      </c>
    </row>
    <row r="2051" spans="1:15" x14ac:dyDescent="0.35">
      <c r="A2051" t="s">
        <v>4285</v>
      </c>
      <c r="B2051" t="s">
        <v>16</v>
      </c>
      <c r="C2051" t="s">
        <v>4286</v>
      </c>
      <c r="D2051" t="s">
        <v>48</v>
      </c>
      <c r="E2051" t="s">
        <v>19</v>
      </c>
      <c r="F2051" t="s">
        <v>27</v>
      </c>
      <c r="G2051" t="s">
        <v>91</v>
      </c>
      <c r="H2051" s="1">
        <v>45487.722222222219</v>
      </c>
      <c r="I2051" s="1">
        <v>45487.751388888886</v>
      </c>
      <c r="J2051">
        <v>22</v>
      </c>
      <c r="K2051">
        <v>42</v>
      </c>
      <c r="L2051">
        <v>1</v>
      </c>
      <c r="M2051" t="s">
        <v>41</v>
      </c>
      <c r="N2051">
        <v>4</v>
      </c>
      <c r="O2051">
        <v>103.71</v>
      </c>
    </row>
    <row r="2052" spans="1:15" x14ac:dyDescent="0.35">
      <c r="A2052" t="s">
        <v>4287</v>
      </c>
      <c r="B2052" t="s">
        <v>24</v>
      </c>
      <c r="C2052" t="s">
        <v>4288</v>
      </c>
      <c r="D2052" t="s">
        <v>18</v>
      </c>
      <c r="E2052" t="s">
        <v>85</v>
      </c>
      <c r="F2052" t="s">
        <v>27</v>
      </c>
      <c r="G2052" t="s">
        <v>338</v>
      </c>
      <c r="H2052" s="1">
        <v>45323.042361111111</v>
      </c>
      <c r="I2052" s="1">
        <v>45323.227777777778</v>
      </c>
      <c r="J2052">
        <v>237</v>
      </c>
      <c r="K2052">
        <v>267</v>
      </c>
      <c r="L2052">
        <v>1</v>
      </c>
      <c r="M2052" t="s">
        <v>29</v>
      </c>
      <c r="N2052">
        <v>9</v>
      </c>
      <c r="O2052">
        <v>124.01</v>
      </c>
    </row>
    <row r="2053" spans="1:15" x14ac:dyDescent="0.35">
      <c r="A2053" t="s">
        <v>4289</v>
      </c>
      <c r="B2053" t="s">
        <v>63</v>
      </c>
      <c r="C2053" t="s">
        <v>4290</v>
      </c>
      <c r="D2053" t="s">
        <v>18</v>
      </c>
      <c r="E2053" t="s">
        <v>33</v>
      </c>
      <c r="F2053" t="s">
        <v>20</v>
      </c>
      <c r="G2053" t="s">
        <v>265</v>
      </c>
      <c r="H2053" s="1">
        <v>45585.635416666664</v>
      </c>
      <c r="I2053" s="1">
        <v>45585.688888888886</v>
      </c>
      <c r="J2053">
        <v>38</v>
      </c>
      <c r="K2053">
        <v>77</v>
      </c>
      <c r="L2053">
        <v>1</v>
      </c>
      <c r="M2053" t="s">
        <v>22</v>
      </c>
      <c r="N2053">
        <v>1</v>
      </c>
      <c r="O2053">
        <v>472.21</v>
      </c>
    </row>
    <row r="2054" spans="1:15" x14ac:dyDescent="0.35">
      <c r="A2054" t="s">
        <v>4291</v>
      </c>
      <c r="B2054" t="s">
        <v>63</v>
      </c>
      <c r="C2054" t="s">
        <v>4292</v>
      </c>
      <c r="D2054" t="s">
        <v>44</v>
      </c>
      <c r="E2054" t="s">
        <v>85</v>
      </c>
      <c r="F2054" t="s">
        <v>39</v>
      </c>
      <c r="G2054" t="s">
        <v>311</v>
      </c>
      <c r="H2054" s="1">
        <v>45422.643750000003</v>
      </c>
      <c r="I2054" s="1">
        <v>45422.71597222222</v>
      </c>
      <c r="J2054">
        <v>103</v>
      </c>
      <c r="K2054">
        <v>104</v>
      </c>
      <c r="L2054">
        <v>1</v>
      </c>
      <c r="M2054" t="s">
        <v>22</v>
      </c>
      <c r="N2054">
        <v>10</v>
      </c>
      <c r="O2054">
        <v>316.82</v>
      </c>
    </row>
    <row r="2055" spans="1:15" x14ac:dyDescent="0.35">
      <c r="A2055" t="s">
        <v>4293</v>
      </c>
      <c r="B2055" t="s">
        <v>24</v>
      </c>
      <c r="C2055" t="s">
        <v>4294</v>
      </c>
      <c r="D2055" t="s">
        <v>56</v>
      </c>
      <c r="E2055" t="s">
        <v>33</v>
      </c>
      <c r="F2055" t="s">
        <v>39</v>
      </c>
      <c r="G2055" t="s">
        <v>749</v>
      </c>
      <c r="H2055" s="1">
        <v>45593.754861111112</v>
      </c>
      <c r="I2055" s="1">
        <v>45593.838194444441</v>
      </c>
      <c r="J2055">
        <v>108</v>
      </c>
      <c r="K2055">
        <v>120</v>
      </c>
      <c r="L2055">
        <v>1</v>
      </c>
      <c r="M2055" t="s">
        <v>29</v>
      </c>
      <c r="N2055">
        <v>6</v>
      </c>
      <c r="O2055">
        <v>221.46</v>
      </c>
    </row>
    <row r="2056" spans="1:15" x14ac:dyDescent="0.35">
      <c r="A2056" t="s">
        <v>4295</v>
      </c>
      <c r="B2056" t="s">
        <v>24</v>
      </c>
      <c r="C2056" t="s">
        <v>4296</v>
      </c>
      <c r="D2056" t="s">
        <v>26</v>
      </c>
      <c r="E2056" t="s">
        <v>33</v>
      </c>
      <c r="F2056" t="s">
        <v>39</v>
      </c>
      <c r="G2056" t="s">
        <v>114</v>
      </c>
      <c r="H2056" s="1">
        <v>45522.324305555558</v>
      </c>
      <c r="I2056" s="1">
        <v>45522.486805555556</v>
      </c>
      <c r="J2056">
        <v>165</v>
      </c>
      <c r="K2056">
        <v>234</v>
      </c>
      <c r="L2056">
        <v>1</v>
      </c>
      <c r="M2056" t="s">
        <v>29</v>
      </c>
      <c r="N2056">
        <v>6</v>
      </c>
      <c r="O2056">
        <v>285.99</v>
      </c>
    </row>
    <row r="2057" spans="1:15" x14ac:dyDescent="0.35">
      <c r="A2057" t="s">
        <v>4297</v>
      </c>
      <c r="B2057" t="s">
        <v>31</v>
      </c>
      <c r="C2057" t="s">
        <v>4298</v>
      </c>
      <c r="D2057" t="s">
        <v>48</v>
      </c>
      <c r="E2057" t="s">
        <v>38</v>
      </c>
      <c r="F2057" t="s">
        <v>34</v>
      </c>
      <c r="G2057" t="s">
        <v>296</v>
      </c>
      <c r="H2057" s="1">
        <v>45604.140972222223</v>
      </c>
      <c r="I2057" s="1">
        <v>45604.226388888892</v>
      </c>
      <c r="J2057">
        <v>14</v>
      </c>
      <c r="K2057">
        <v>123</v>
      </c>
      <c r="L2057">
        <v>1</v>
      </c>
      <c r="M2057" t="s">
        <v>41</v>
      </c>
      <c r="N2057">
        <v>2</v>
      </c>
      <c r="O2057">
        <v>469.11</v>
      </c>
    </row>
    <row r="2058" spans="1:15" x14ac:dyDescent="0.35">
      <c r="A2058" t="s">
        <v>4299</v>
      </c>
      <c r="B2058" t="s">
        <v>51</v>
      </c>
      <c r="C2058" t="s">
        <v>4300</v>
      </c>
      <c r="D2058" t="s">
        <v>44</v>
      </c>
      <c r="E2058" t="s">
        <v>38</v>
      </c>
      <c r="F2058" t="s">
        <v>20</v>
      </c>
      <c r="G2058" t="s">
        <v>76</v>
      </c>
      <c r="H2058" s="1">
        <v>45579.28402777778</v>
      </c>
      <c r="I2058" s="1">
        <v>45579.420138888891</v>
      </c>
      <c r="J2058">
        <v>185</v>
      </c>
      <c r="K2058">
        <v>196</v>
      </c>
      <c r="L2058">
        <v>1</v>
      </c>
      <c r="M2058" t="s">
        <v>41</v>
      </c>
      <c r="N2058">
        <v>5</v>
      </c>
      <c r="O2058">
        <v>272.5</v>
      </c>
    </row>
    <row r="2059" spans="1:15" x14ac:dyDescent="0.35">
      <c r="A2059" t="s">
        <v>4301</v>
      </c>
      <c r="B2059" t="s">
        <v>51</v>
      </c>
      <c r="C2059" t="s">
        <v>4302</v>
      </c>
      <c r="D2059" t="s">
        <v>48</v>
      </c>
      <c r="E2059" t="s">
        <v>19</v>
      </c>
      <c r="F2059" t="s">
        <v>34</v>
      </c>
      <c r="G2059" t="s">
        <v>599</v>
      </c>
      <c r="H2059" s="1">
        <v>45351.926388888889</v>
      </c>
      <c r="I2059" s="1">
        <v>45352.111805555556</v>
      </c>
      <c r="J2059">
        <v>204</v>
      </c>
      <c r="K2059">
        <v>267</v>
      </c>
      <c r="L2059">
        <v>1</v>
      </c>
      <c r="M2059" t="s">
        <v>29</v>
      </c>
      <c r="N2059">
        <v>4</v>
      </c>
      <c r="O2059">
        <v>53.81</v>
      </c>
    </row>
    <row r="2060" spans="1:15" x14ac:dyDescent="0.35">
      <c r="A2060" t="s">
        <v>4303</v>
      </c>
      <c r="B2060" t="s">
        <v>31</v>
      </c>
      <c r="C2060" t="s">
        <v>4304</v>
      </c>
      <c r="D2060" t="s">
        <v>56</v>
      </c>
      <c r="E2060" t="s">
        <v>33</v>
      </c>
      <c r="F2060" t="s">
        <v>34</v>
      </c>
      <c r="G2060" t="s">
        <v>521</v>
      </c>
      <c r="H2060" s="1">
        <v>45430.943749999999</v>
      </c>
      <c r="I2060" s="1">
        <v>45431.102083333331</v>
      </c>
      <c r="J2060">
        <v>142</v>
      </c>
      <c r="K2060">
        <v>228</v>
      </c>
      <c r="L2060">
        <v>1</v>
      </c>
      <c r="M2060" t="s">
        <v>41</v>
      </c>
      <c r="N2060">
        <v>4</v>
      </c>
      <c r="O2060">
        <v>417.21</v>
      </c>
    </row>
    <row r="2061" spans="1:15" x14ac:dyDescent="0.35">
      <c r="A2061" t="s">
        <v>4305</v>
      </c>
      <c r="B2061" t="s">
        <v>51</v>
      </c>
      <c r="C2061" t="s">
        <v>4306</v>
      </c>
      <c r="D2061" t="s">
        <v>44</v>
      </c>
      <c r="E2061" t="s">
        <v>85</v>
      </c>
      <c r="F2061" t="s">
        <v>27</v>
      </c>
      <c r="G2061" t="s">
        <v>126</v>
      </c>
      <c r="H2061" s="1">
        <v>45520.234722222223</v>
      </c>
      <c r="I2061" s="1">
        <v>45520.379166666666</v>
      </c>
      <c r="J2061">
        <v>88</v>
      </c>
      <c r="K2061">
        <v>208</v>
      </c>
      <c r="L2061">
        <v>1</v>
      </c>
      <c r="M2061" t="s">
        <v>41</v>
      </c>
      <c r="N2061">
        <v>4</v>
      </c>
      <c r="O2061">
        <v>422.23</v>
      </c>
    </row>
    <row r="2062" spans="1:15" x14ac:dyDescent="0.35">
      <c r="A2062" t="s">
        <v>4307</v>
      </c>
      <c r="B2062" t="s">
        <v>51</v>
      </c>
      <c r="C2062" t="s">
        <v>4308</v>
      </c>
      <c r="D2062" t="s">
        <v>56</v>
      </c>
      <c r="E2062" t="s">
        <v>19</v>
      </c>
      <c r="F2062" t="s">
        <v>39</v>
      </c>
      <c r="G2062" t="s">
        <v>164</v>
      </c>
      <c r="H2062" s="1">
        <v>45631.918055555558</v>
      </c>
      <c r="I2062" s="1">
        <v>45632.027777777781</v>
      </c>
      <c r="J2062">
        <v>147</v>
      </c>
      <c r="K2062">
        <v>158</v>
      </c>
      <c r="L2062">
        <v>1</v>
      </c>
      <c r="M2062" t="s">
        <v>29</v>
      </c>
      <c r="N2062">
        <v>7</v>
      </c>
      <c r="O2062">
        <v>64.430000000000007</v>
      </c>
    </row>
    <row r="2063" spans="1:15" x14ac:dyDescent="0.35">
      <c r="A2063" t="s">
        <v>4309</v>
      </c>
      <c r="B2063" t="s">
        <v>51</v>
      </c>
      <c r="C2063" t="s">
        <v>4310</v>
      </c>
      <c r="D2063" t="s">
        <v>56</v>
      </c>
      <c r="E2063" t="s">
        <v>85</v>
      </c>
      <c r="F2063" t="s">
        <v>20</v>
      </c>
      <c r="G2063" t="s">
        <v>364</v>
      </c>
      <c r="H2063" s="1">
        <v>45340.556250000001</v>
      </c>
      <c r="I2063" s="1">
        <v>45340.615972222222</v>
      </c>
      <c r="J2063">
        <v>71</v>
      </c>
      <c r="K2063">
        <v>86</v>
      </c>
      <c r="L2063">
        <v>1</v>
      </c>
      <c r="M2063" t="s">
        <v>29</v>
      </c>
      <c r="N2063">
        <v>9</v>
      </c>
      <c r="O2063">
        <v>275.51</v>
      </c>
    </row>
    <row r="2064" spans="1:15" x14ac:dyDescent="0.35">
      <c r="A2064" t="s">
        <v>4311</v>
      </c>
      <c r="B2064" t="s">
        <v>24</v>
      </c>
      <c r="C2064" t="s">
        <v>4312</v>
      </c>
      <c r="D2064" t="s">
        <v>44</v>
      </c>
      <c r="E2064" t="s">
        <v>38</v>
      </c>
      <c r="F2064" t="s">
        <v>39</v>
      </c>
      <c r="G2064" t="s">
        <v>182</v>
      </c>
      <c r="H2064" s="1">
        <v>45504.855555555558</v>
      </c>
      <c r="I2064" s="1">
        <v>45505.050694444442</v>
      </c>
      <c r="J2064">
        <v>168</v>
      </c>
      <c r="K2064">
        <v>281</v>
      </c>
      <c r="L2064">
        <v>1</v>
      </c>
      <c r="M2064" t="s">
        <v>41</v>
      </c>
      <c r="N2064">
        <v>1</v>
      </c>
      <c r="O2064">
        <v>281.7</v>
      </c>
    </row>
    <row r="2065" spans="1:15" x14ac:dyDescent="0.35">
      <c r="A2065" t="s">
        <v>4313</v>
      </c>
      <c r="B2065" t="s">
        <v>63</v>
      </c>
      <c r="C2065" t="s">
        <v>4314</v>
      </c>
      <c r="D2065" t="s">
        <v>48</v>
      </c>
      <c r="E2065" t="s">
        <v>85</v>
      </c>
      <c r="F2065" t="s">
        <v>34</v>
      </c>
      <c r="G2065" t="s">
        <v>335</v>
      </c>
      <c r="H2065" s="1">
        <v>45494.988194444442</v>
      </c>
      <c r="I2065" s="1">
        <v>45495.083333333336</v>
      </c>
      <c r="J2065">
        <v>86</v>
      </c>
      <c r="K2065">
        <v>137</v>
      </c>
      <c r="L2065">
        <v>1</v>
      </c>
      <c r="M2065" t="s">
        <v>29</v>
      </c>
      <c r="N2065">
        <v>4</v>
      </c>
      <c r="O2065">
        <v>485.72</v>
      </c>
    </row>
    <row r="2066" spans="1:15" x14ac:dyDescent="0.35">
      <c r="A2066" t="s">
        <v>4315</v>
      </c>
      <c r="B2066" t="s">
        <v>63</v>
      </c>
      <c r="C2066" t="s">
        <v>4316</v>
      </c>
      <c r="D2066" t="s">
        <v>18</v>
      </c>
      <c r="E2066" t="s">
        <v>19</v>
      </c>
      <c r="F2066" t="s">
        <v>34</v>
      </c>
      <c r="G2066" t="s">
        <v>397</v>
      </c>
      <c r="H2066" s="1">
        <v>45348.007638888892</v>
      </c>
      <c r="I2066" s="1">
        <v>45348.068749999999</v>
      </c>
      <c r="J2066">
        <v>49</v>
      </c>
      <c r="K2066">
        <v>88</v>
      </c>
      <c r="L2066">
        <v>1</v>
      </c>
      <c r="M2066" t="s">
        <v>41</v>
      </c>
      <c r="N2066">
        <v>3</v>
      </c>
      <c r="O2066">
        <v>451.47</v>
      </c>
    </row>
    <row r="2067" spans="1:15" x14ac:dyDescent="0.35">
      <c r="A2067" t="s">
        <v>4317</v>
      </c>
      <c r="B2067" t="s">
        <v>31</v>
      </c>
      <c r="C2067" t="s">
        <v>4318</v>
      </c>
      <c r="D2067" t="s">
        <v>26</v>
      </c>
      <c r="E2067" t="s">
        <v>38</v>
      </c>
      <c r="F2067" t="s">
        <v>34</v>
      </c>
      <c r="G2067" t="s">
        <v>120</v>
      </c>
      <c r="H2067" s="1">
        <v>45482.429861111108</v>
      </c>
      <c r="I2067" s="1">
        <v>45482.614583333336</v>
      </c>
      <c r="J2067">
        <v>169</v>
      </c>
      <c r="K2067">
        <v>266</v>
      </c>
      <c r="L2067">
        <v>1</v>
      </c>
      <c r="M2067" t="s">
        <v>22</v>
      </c>
      <c r="N2067">
        <v>5</v>
      </c>
      <c r="O2067">
        <v>297.06</v>
      </c>
    </row>
    <row r="2068" spans="1:15" x14ac:dyDescent="0.35">
      <c r="A2068" t="s">
        <v>4319</v>
      </c>
      <c r="B2068" t="s">
        <v>31</v>
      </c>
      <c r="C2068" t="s">
        <v>4320</v>
      </c>
      <c r="D2068" t="s">
        <v>44</v>
      </c>
      <c r="E2068" t="s">
        <v>33</v>
      </c>
      <c r="F2068" t="s">
        <v>39</v>
      </c>
      <c r="G2068" t="s">
        <v>700</v>
      </c>
      <c r="H2068" s="1">
        <v>45314.371527777781</v>
      </c>
      <c r="I2068" s="1">
        <v>45314.506944444445</v>
      </c>
      <c r="J2068">
        <v>120</v>
      </c>
      <c r="K2068">
        <v>195</v>
      </c>
      <c r="L2068">
        <v>1</v>
      </c>
      <c r="M2068" t="s">
        <v>29</v>
      </c>
      <c r="N2068">
        <v>7</v>
      </c>
      <c r="O2068">
        <v>362.33</v>
      </c>
    </row>
    <row r="2069" spans="1:15" x14ac:dyDescent="0.35">
      <c r="A2069" t="s">
        <v>4321</v>
      </c>
      <c r="B2069" t="s">
        <v>16</v>
      </c>
      <c r="C2069" t="s">
        <v>4322</v>
      </c>
      <c r="D2069" t="s">
        <v>56</v>
      </c>
      <c r="E2069" t="s">
        <v>85</v>
      </c>
      <c r="F2069" t="s">
        <v>34</v>
      </c>
      <c r="G2069" t="s">
        <v>49</v>
      </c>
      <c r="H2069" s="1">
        <v>45627.712500000001</v>
      </c>
      <c r="I2069" s="1">
        <v>45627.871527777781</v>
      </c>
      <c r="J2069">
        <v>206</v>
      </c>
      <c r="K2069">
        <v>229</v>
      </c>
      <c r="L2069">
        <v>1</v>
      </c>
      <c r="M2069" t="s">
        <v>41</v>
      </c>
      <c r="N2069">
        <v>9</v>
      </c>
      <c r="O2069">
        <v>131.96</v>
      </c>
    </row>
    <row r="2070" spans="1:15" x14ac:dyDescent="0.35">
      <c r="A2070" t="s">
        <v>4323</v>
      </c>
      <c r="B2070" t="s">
        <v>31</v>
      </c>
      <c r="C2070" t="s">
        <v>4324</v>
      </c>
      <c r="D2070" t="s">
        <v>26</v>
      </c>
      <c r="E2070" t="s">
        <v>85</v>
      </c>
      <c r="F2070" t="s">
        <v>20</v>
      </c>
      <c r="G2070" t="s">
        <v>207</v>
      </c>
      <c r="H2070" s="1">
        <v>45511.022916666669</v>
      </c>
      <c r="I2070" s="1">
        <v>45511.063194444447</v>
      </c>
      <c r="J2070">
        <v>34</v>
      </c>
      <c r="K2070">
        <v>58</v>
      </c>
      <c r="L2070">
        <v>1</v>
      </c>
      <c r="M2070" t="s">
        <v>41</v>
      </c>
      <c r="N2070">
        <v>4</v>
      </c>
      <c r="O2070">
        <v>194.79</v>
      </c>
    </row>
    <row r="2071" spans="1:15" x14ac:dyDescent="0.35">
      <c r="A2071" t="s">
        <v>4325</v>
      </c>
      <c r="B2071" t="s">
        <v>51</v>
      </c>
      <c r="C2071" t="s">
        <v>4326</v>
      </c>
      <c r="D2071" t="s">
        <v>44</v>
      </c>
      <c r="E2071" t="s">
        <v>33</v>
      </c>
      <c r="F2071" t="s">
        <v>57</v>
      </c>
      <c r="G2071" t="s">
        <v>338</v>
      </c>
      <c r="H2071" s="1">
        <v>45575.525000000001</v>
      </c>
      <c r="I2071" s="1">
        <v>45575.609027777777</v>
      </c>
      <c r="J2071">
        <v>103</v>
      </c>
      <c r="K2071">
        <v>121</v>
      </c>
      <c r="L2071">
        <v>1</v>
      </c>
      <c r="M2071" t="s">
        <v>22</v>
      </c>
      <c r="N2071">
        <v>1</v>
      </c>
      <c r="O2071">
        <v>372.05</v>
      </c>
    </row>
    <row r="2072" spans="1:15" x14ac:dyDescent="0.35">
      <c r="A2072" t="s">
        <v>4327</v>
      </c>
      <c r="B2072" t="s">
        <v>51</v>
      </c>
      <c r="C2072" t="s">
        <v>4328</v>
      </c>
      <c r="D2072" t="s">
        <v>56</v>
      </c>
      <c r="E2072" t="s">
        <v>33</v>
      </c>
      <c r="F2072" t="s">
        <v>27</v>
      </c>
      <c r="G2072" t="s">
        <v>521</v>
      </c>
      <c r="H2072" s="1">
        <v>45601.873611111114</v>
      </c>
      <c r="I2072" s="1">
        <v>45602.070833333331</v>
      </c>
      <c r="J2072">
        <v>172</v>
      </c>
      <c r="K2072">
        <v>284</v>
      </c>
      <c r="L2072">
        <v>1</v>
      </c>
      <c r="M2072" t="s">
        <v>41</v>
      </c>
      <c r="N2072">
        <v>6</v>
      </c>
      <c r="O2072">
        <v>416.26</v>
      </c>
    </row>
    <row r="2073" spans="1:15" x14ac:dyDescent="0.35">
      <c r="A2073" t="s">
        <v>4329</v>
      </c>
      <c r="B2073" t="s">
        <v>31</v>
      </c>
      <c r="C2073" t="s">
        <v>4330</v>
      </c>
      <c r="D2073" t="s">
        <v>18</v>
      </c>
      <c r="E2073" t="s">
        <v>85</v>
      </c>
      <c r="F2073" t="s">
        <v>20</v>
      </c>
      <c r="G2073" t="s">
        <v>364</v>
      </c>
      <c r="H2073" s="1">
        <v>45338.177083333336</v>
      </c>
      <c r="I2073" s="1">
        <v>45338.365277777775</v>
      </c>
      <c r="J2073">
        <v>176</v>
      </c>
      <c r="K2073">
        <v>271</v>
      </c>
      <c r="L2073">
        <v>1</v>
      </c>
      <c r="M2073" t="s">
        <v>41</v>
      </c>
      <c r="N2073">
        <v>4</v>
      </c>
      <c r="O2073">
        <v>367.07</v>
      </c>
    </row>
    <row r="2074" spans="1:15" x14ac:dyDescent="0.35">
      <c r="A2074" t="s">
        <v>4331</v>
      </c>
      <c r="B2074" t="s">
        <v>51</v>
      </c>
      <c r="C2074" t="s">
        <v>4332</v>
      </c>
      <c r="D2074" t="s">
        <v>56</v>
      </c>
      <c r="E2074" t="s">
        <v>19</v>
      </c>
      <c r="F2074" t="s">
        <v>39</v>
      </c>
      <c r="G2074" t="s">
        <v>28</v>
      </c>
      <c r="H2074" s="1">
        <v>45429.404861111114</v>
      </c>
      <c r="I2074" s="1">
        <v>45429.509027777778</v>
      </c>
      <c r="J2074">
        <v>82</v>
      </c>
      <c r="K2074">
        <v>150</v>
      </c>
      <c r="L2074">
        <v>1</v>
      </c>
      <c r="M2074" t="s">
        <v>29</v>
      </c>
      <c r="N2074">
        <v>4</v>
      </c>
      <c r="O2074">
        <v>268.55</v>
      </c>
    </row>
    <row r="2075" spans="1:15" x14ac:dyDescent="0.35">
      <c r="A2075" t="s">
        <v>4333</v>
      </c>
      <c r="B2075" t="s">
        <v>31</v>
      </c>
      <c r="C2075" t="s">
        <v>4334</v>
      </c>
      <c r="D2075" t="s">
        <v>26</v>
      </c>
      <c r="E2075" t="s">
        <v>38</v>
      </c>
      <c r="F2075" t="s">
        <v>57</v>
      </c>
      <c r="G2075" t="s">
        <v>599</v>
      </c>
      <c r="H2075" s="1">
        <v>45621.279166666667</v>
      </c>
      <c r="I2075" s="1">
        <v>45621.375694444447</v>
      </c>
      <c r="J2075">
        <v>107</v>
      </c>
      <c r="K2075">
        <v>139</v>
      </c>
      <c r="L2075">
        <v>1</v>
      </c>
      <c r="M2075" t="s">
        <v>22</v>
      </c>
      <c r="N2075">
        <v>5</v>
      </c>
      <c r="O2075">
        <v>438.45</v>
      </c>
    </row>
    <row r="2076" spans="1:15" x14ac:dyDescent="0.35">
      <c r="A2076" t="s">
        <v>4335</v>
      </c>
      <c r="B2076" t="s">
        <v>51</v>
      </c>
      <c r="C2076" t="s">
        <v>4336</v>
      </c>
      <c r="D2076" t="s">
        <v>44</v>
      </c>
      <c r="E2076" t="s">
        <v>85</v>
      </c>
      <c r="F2076" t="s">
        <v>20</v>
      </c>
      <c r="G2076" t="s">
        <v>311</v>
      </c>
      <c r="H2076" s="1">
        <v>45650.125</v>
      </c>
      <c r="I2076" s="1">
        <v>45650.258333333331</v>
      </c>
      <c r="J2076">
        <v>165</v>
      </c>
      <c r="K2076">
        <v>192</v>
      </c>
      <c r="L2076">
        <v>1</v>
      </c>
      <c r="M2076" t="s">
        <v>22</v>
      </c>
      <c r="N2076">
        <v>1</v>
      </c>
      <c r="O2076">
        <v>445.7</v>
      </c>
    </row>
    <row r="2077" spans="1:15" x14ac:dyDescent="0.35">
      <c r="A2077" t="s">
        <v>4337</v>
      </c>
      <c r="B2077" t="s">
        <v>24</v>
      </c>
      <c r="C2077" t="s">
        <v>4338</v>
      </c>
      <c r="D2077" t="s">
        <v>18</v>
      </c>
      <c r="E2077" t="s">
        <v>85</v>
      </c>
      <c r="F2077" t="s">
        <v>39</v>
      </c>
      <c r="G2077" t="s">
        <v>916</v>
      </c>
      <c r="H2077" s="1">
        <v>45508.741666666669</v>
      </c>
      <c r="I2077" s="1">
        <v>45508.827777777777</v>
      </c>
      <c r="J2077">
        <v>129</v>
      </c>
      <c r="K2077">
        <v>124</v>
      </c>
      <c r="L2077">
        <v>0</v>
      </c>
      <c r="M2077" t="s">
        <v>41</v>
      </c>
      <c r="N2077">
        <v>5</v>
      </c>
      <c r="O2077">
        <v>354.41</v>
      </c>
    </row>
    <row r="2078" spans="1:15" x14ac:dyDescent="0.35">
      <c r="A2078" t="s">
        <v>4339</v>
      </c>
      <c r="B2078" t="s">
        <v>51</v>
      </c>
      <c r="C2078" t="s">
        <v>4340</v>
      </c>
      <c r="D2078" t="s">
        <v>56</v>
      </c>
      <c r="E2078" t="s">
        <v>33</v>
      </c>
      <c r="F2078" t="s">
        <v>57</v>
      </c>
      <c r="G2078" t="s">
        <v>114</v>
      </c>
      <c r="H2078" s="1">
        <v>45566.355555555558</v>
      </c>
      <c r="I2078" s="1">
        <v>45566.585416666669</v>
      </c>
      <c r="J2078">
        <v>238</v>
      </c>
      <c r="K2078">
        <v>331</v>
      </c>
      <c r="L2078">
        <v>1</v>
      </c>
      <c r="M2078" t="s">
        <v>29</v>
      </c>
      <c r="N2078">
        <v>8</v>
      </c>
      <c r="O2078">
        <v>458.71</v>
      </c>
    </row>
    <row r="2079" spans="1:15" x14ac:dyDescent="0.35">
      <c r="A2079" t="s">
        <v>4341</v>
      </c>
      <c r="B2079" t="s">
        <v>16</v>
      </c>
      <c r="C2079" t="s">
        <v>4342</v>
      </c>
      <c r="D2079" t="s">
        <v>48</v>
      </c>
      <c r="E2079" t="s">
        <v>19</v>
      </c>
      <c r="F2079" t="s">
        <v>20</v>
      </c>
      <c r="G2079" t="s">
        <v>321</v>
      </c>
      <c r="H2079" s="1">
        <v>45335.753472222219</v>
      </c>
      <c r="I2079" s="1">
        <v>45335.886111111111</v>
      </c>
      <c r="J2079">
        <v>85</v>
      </c>
      <c r="K2079">
        <v>191</v>
      </c>
      <c r="L2079">
        <v>1</v>
      </c>
      <c r="M2079" t="s">
        <v>22</v>
      </c>
      <c r="N2079">
        <v>8</v>
      </c>
      <c r="O2079">
        <v>461.57</v>
      </c>
    </row>
    <row r="2080" spans="1:15" x14ac:dyDescent="0.35">
      <c r="A2080" t="s">
        <v>4343</v>
      </c>
      <c r="B2080" t="s">
        <v>63</v>
      </c>
      <c r="C2080" t="s">
        <v>4344</v>
      </c>
      <c r="D2080" t="s">
        <v>44</v>
      </c>
      <c r="E2080" t="s">
        <v>38</v>
      </c>
      <c r="F2080" t="s">
        <v>39</v>
      </c>
      <c r="G2080" t="s">
        <v>465</v>
      </c>
      <c r="H2080" s="1">
        <v>45324.167361111111</v>
      </c>
      <c r="I2080" s="1">
        <v>45324.329861111109</v>
      </c>
      <c r="J2080">
        <v>230</v>
      </c>
      <c r="K2080">
        <v>234</v>
      </c>
      <c r="L2080">
        <v>1</v>
      </c>
      <c r="M2080" t="s">
        <v>41</v>
      </c>
      <c r="N2080">
        <v>4</v>
      </c>
      <c r="O2080">
        <v>293.64999999999998</v>
      </c>
    </row>
    <row r="2081" spans="1:15" x14ac:dyDescent="0.35">
      <c r="A2081" t="s">
        <v>4345</v>
      </c>
      <c r="B2081" t="s">
        <v>24</v>
      </c>
      <c r="C2081" t="s">
        <v>4346</v>
      </c>
      <c r="D2081" t="s">
        <v>18</v>
      </c>
      <c r="E2081" t="s">
        <v>33</v>
      </c>
      <c r="F2081" t="s">
        <v>34</v>
      </c>
      <c r="G2081" t="s">
        <v>234</v>
      </c>
      <c r="H2081" s="1">
        <v>45601.933333333334</v>
      </c>
      <c r="I2081" s="1">
        <v>45601.957638888889</v>
      </c>
      <c r="J2081">
        <v>10</v>
      </c>
      <c r="K2081">
        <v>35</v>
      </c>
      <c r="L2081">
        <v>1</v>
      </c>
      <c r="M2081" t="s">
        <v>22</v>
      </c>
      <c r="N2081">
        <v>2</v>
      </c>
      <c r="O2081">
        <v>432.62</v>
      </c>
    </row>
    <row r="2082" spans="1:15" x14ac:dyDescent="0.35">
      <c r="A2082" t="s">
        <v>4347</v>
      </c>
      <c r="B2082" t="s">
        <v>63</v>
      </c>
      <c r="C2082" t="s">
        <v>4348</v>
      </c>
      <c r="D2082" t="s">
        <v>48</v>
      </c>
      <c r="E2082" t="s">
        <v>19</v>
      </c>
      <c r="F2082" t="s">
        <v>57</v>
      </c>
      <c r="G2082" t="s">
        <v>615</v>
      </c>
      <c r="H2082" s="1">
        <v>45652.254166666666</v>
      </c>
      <c r="I2082" s="1">
        <v>45652.467361111114</v>
      </c>
      <c r="J2082">
        <v>191</v>
      </c>
      <c r="K2082">
        <v>307</v>
      </c>
      <c r="L2082">
        <v>1</v>
      </c>
      <c r="M2082" t="s">
        <v>41</v>
      </c>
      <c r="N2082">
        <v>5</v>
      </c>
      <c r="O2082">
        <v>103.65</v>
      </c>
    </row>
    <row r="2083" spans="1:15" x14ac:dyDescent="0.35">
      <c r="A2083" t="s">
        <v>4349</v>
      </c>
      <c r="B2083" t="s">
        <v>31</v>
      </c>
      <c r="C2083" t="s">
        <v>4350</v>
      </c>
      <c r="D2083" t="s">
        <v>44</v>
      </c>
      <c r="E2083" t="s">
        <v>33</v>
      </c>
      <c r="F2083" t="s">
        <v>57</v>
      </c>
      <c r="G2083" t="s">
        <v>1030</v>
      </c>
      <c r="H2083" s="1">
        <v>45364.802777777775</v>
      </c>
      <c r="I2083" s="1">
        <v>45364.90625</v>
      </c>
      <c r="J2083">
        <v>101</v>
      </c>
      <c r="K2083">
        <v>149</v>
      </c>
      <c r="L2083">
        <v>1</v>
      </c>
      <c r="M2083" t="s">
        <v>41</v>
      </c>
      <c r="N2083">
        <v>4</v>
      </c>
      <c r="O2083">
        <v>241.07</v>
      </c>
    </row>
    <row r="2084" spans="1:15" x14ac:dyDescent="0.35">
      <c r="A2084" t="s">
        <v>4351</v>
      </c>
      <c r="B2084" t="s">
        <v>24</v>
      </c>
      <c r="C2084" t="s">
        <v>4352</v>
      </c>
      <c r="D2084" t="s">
        <v>26</v>
      </c>
      <c r="E2084" t="s">
        <v>19</v>
      </c>
      <c r="F2084" t="s">
        <v>57</v>
      </c>
      <c r="G2084" t="s">
        <v>170</v>
      </c>
      <c r="H2084" s="1">
        <v>45631.638194444444</v>
      </c>
      <c r="I2084" s="1">
        <v>45631.834027777775</v>
      </c>
      <c r="J2084">
        <v>237</v>
      </c>
      <c r="K2084">
        <v>282</v>
      </c>
      <c r="L2084">
        <v>1</v>
      </c>
      <c r="M2084" t="s">
        <v>22</v>
      </c>
      <c r="N2084">
        <v>5</v>
      </c>
      <c r="O2084">
        <v>167.05</v>
      </c>
    </row>
    <row r="2085" spans="1:15" x14ac:dyDescent="0.35">
      <c r="A2085" t="s">
        <v>4353</v>
      </c>
      <c r="B2085" t="s">
        <v>63</v>
      </c>
      <c r="C2085" t="s">
        <v>4354</v>
      </c>
      <c r="D2085" t="s">
        <v>26</v>
      </c>
      <c r="E2085" t="s">
        <v>33</v>
      </c>
      <c r="F2085" t="s">
        <v>27</v>
      </c>
      <c r="G2085" t="s">
        <v>161</v>
      </c>
      <c r="H2085" s="1">
        <v>45370.870138888888</v>
      </c>
      <c r="I2085" s="1">
        <v>45371.019444444442</v>
      </c>
      <c r="J2085">
        <v>207</v>
      </c>
      <c r="K2085">
        <v>215</v>
      </c>
      <c r="L2085">
        <v>1</v>
      </c>
      <c r="M2085" t="s">
        <v>29</v>
      </c>
      <c r="N2085">
        <v>9</v>
      </c>
      <c r="O2085">
        <v>107.72</v>
      </c>
    </row>
    <row r="2086" spans="1:15" x14ac:dyDescent="0.35">
      <c r="A2086" t="s">
        <v>4355</v>
      </c>
      <c r="B2086" t="s">
        <v>63</v>
      </c>
      <c r="C2086" t="s">
        <v>4356</v>
      </c>
      <c r="D2086" t="s">
        <v>44</v>
      </c>
      <c r="E2086" t="s">
        <v>33</v>
      </c>
      <c r="F2086" t="s">
        <v>27</v>
      </c>
      <c r="G2086" t="s">
        <v>283</v>
      </c>
      <c r="H2086" s="1">
        <v>45355.072916666664</v>
      </c>
      <c r="I2086" s="1">
        <v>45355.20416666667</v>
      </c>
      <c r="J2086">
        <v>69</v>
      </c>
      <c r="K2086">
        <v>189</v>
      </c>
      <c r="L2086">
        <v>1</v>
      </c>
      <c r="M2086" t="s">
        <v>41</v>
      </c>
      <c r="N2086">
        <v>8</v>
      </c>
      <c r="O2086">
        <v>136.96</v>
      </c>
    </row>
    <row r="2087" spans="1:15" x14ac:dyDescent="0.35">
      <c r="A2087" t="s">
        <v>4357</v>
      </c>
      <c r="B2087" t="s">
        <v>16</v>
      </c>
      <c r="C2087" t="s">
        <v>4358</v>
      </c>
      <c r="D2087" t="s">
        <v>44</v>
      </c>
      <c r="E2087" t="s">
        <v>85</v>
      </c>
      <c r="F2087" t="s">
        <v>39</v>
      </c>
      <c r="G2087" t="s">
        <v>132</v>
      </c>
      <c r="H2087" s="1">
        <v>45468.547222222223</v>
      </c>
      <c r="I2087" s="1">
        <v>45468.680555555555</v>
      </c>
      <c r="J2087">
        <v>172</v>
      </c>
      <c r="K2087">
        <v>192</v>
      </c>
      <c r="L2087">
        <v>1</v>
      </c>
      <c r="M2087" t="s">
        <v>41</v>
      </c>
      <c r="N2087">
        <v>6</v>
      </c>
      <c r="O2087">
        <v>116.8</v>
      </c>
    </row>
    <row r="2088" spans="1:15" x14ac:dyDescent="0.35">
      <c r="A2088" t="s">
        <v>4359</v>
      </c>
      <c r="B2088" t="s">
        <v>51</v>
      </c>
      <c r="C2088" t="s">
        <v>4360</v>
      </c>
      <c r="D2088" t="s">
        <v>44</v>
      </c>
      <c r="E2088" t="s">
        <v>38</v>
      </c>
      <c r="F2088" t="s">
        <v>39</v>
      </c>
      <c r="G2088" t="s">
        <v>445</v>
      </c>
      <c r="H2088" s="1">
        <v>45629.473611111112</v>
      </c>
      <c r="I2088" s="1">
        <v>45629.518750000003</v>
      </c>
      <c r="J2088">
        <v>67</v>
      </c>
      <c r="K2088">
        <v>65</v>
      </c>
      <c r="L2088">
        <v>0</v>
      </c>
      <c r="M2088" t="s">
        <v>29</v>
      </c>
      <c r="N2088">
        <v>5</v>
      </c>
      <c r="O2088">
        <v>432.07</v>
      </c>
    </row>
    <row r="2089" spans="1:15" x14ac:dyDescent="0.35">
      <c r="A2089" t="s">
        <v>4361</v>
      </c>
      <c r="B2089" t="s">
        <v>31</v>
      </c>
      <c r="C2089" t="s">
        <v>4362</v>
      </c>
      <c r="D2089" t="s">
        <v>18</v>
      </c>
      <c r="E2089" t="s">
        <v>19</v>
      </c>
      <c r="F2089" t="s">
        <v>20</v>
      </c>
      <c r="G2089" t="s">
        <v>810</v>
      </c>
      <c r="H2089" s="1">
        <v>45316.01458333333</v>
      </c>
      <c r="I2089" s="1">
        <v>45316.240972222222</v>
      </c>
      <c r="J2089">
        <v>227</v>
      </c>
      <c r="K2089">
        <v>326</v>
      </c>
      <c r="L2089">
        <v>1</v>
      </c>
      <c r="M2089" t="s">
        <v>29</v>
      </c>
      <c r="N2089">
        <v>9</v>
      </c>
      <c r="O2089">
        <v>146.9</v>
      </c>
    </row>
    <row r="2090" spans="1:15" x14ac:dyDescent="0.35">
      <c r="A2090" t="s">
        <v>4363</v>
      </c>
      <c r="B2090" t="s">
        <v>16</v>
      </c>
      <c r="C2090" t="s">
        <v>4364</v>
      </c>
      <c r="D2090" t="s">
        <v>26</v>
      </c>
      <c r="E2090" t="s">
        <v>33</v>
      </c>
      <c r="F2090" t="s">
        <v>34</v>
      </c>
      <c r="G2090" t="s">
        <v>117</v>
      </c>
      <c r="H2090" s="1">
        <v>45644.138194444444</v>
      </c>
      <c r="I2090" s="1">
        <v>45644.272222222222</v>
      </c>
      <c r="J2090">
        <v>111</v>
      </c>
      <c r="K2090">
        <v>193</v>
      </c>
      <c r="L2090">
        <v>1</v>
      </c>
      <c r="M2090" t="s">
        <v>22</v>
      </c>
      <c r="N2090">
        <v>8</v>
      </c>
      <c r="O2090">
        <v>294.23</v>
      </c>
    </row>
    <row r="2091" spans="1:15" x14ac:dyDescent="0.35">
      <c r="A2091" t="s">
        <v>4365</v>
      </c>
      <c r="B2091" t="s">
        <v>51</v>
      </c>
      <c r="C2091" t="s">
        <v>4366</v>
      </c>
      <c r="D2091" t="s">
        <v>18</v>
      </c>
      <c r="E2091" t="s">
        <v>33</v>
      </c>
      <c r="F2091" t="s">
        <v>57</v>
      </c>
      <c r="G2091" t="s">
        <v>185</v>
      </c>
      <c r="H2091" s="1">
        <v>45425.525000000001</v>
      </c>
      <c r="I2091" s="1">
        <v>45425.678472222222</v>
      </c>
      <c r="J2091">
        <v>192</v>
      </c>
      <c r="K2091">
        <v>221</v>
      </c>
      <c r="L2091">
        <v>1</v>
      </c>
      <c r="M2091" t="s">
        <v>22</v>
      </c>
      <c r="N2091">
        <v>3</v>
      </c>
      <c r="O2091">
        <v>466.28</v>
      </c>
    </row>
    <row r="2092" spans="1:15" x14ac:dyDescent="0.35">
      <c r="A2092" t="s">
        <v>4367</v>
      </c>
      <c r="B2092" t="s">
        <v>31</v>
      </c>
      <c r="C2092" t="s">
        <v>4368</v>
      </c>
      <c r="D2092" t="s">
        <v>48</v>
      </c>
      <c r="E2092" t="s">
        <v>38</v>
      </c>
      <c r="F2092" t="s">
        <v>27</v>
      </c>
      <c r="G2092" t="s">
        <v>1622</v>
      </c>
      <c r="H2092" s="1">
        <v>45432.703472222223</v>
      </c>
      <c r="I2092" s="1">
        <v>45432.832638888889</v>
      </c>
      <c r="J2092">
        <v>169</v>
      </c>
      <c r="K2092">
        <v>186</v>
      </c>
      <c r="L2092">
        <v>1</v>
      </c>
      <c r="M2092" t="s">
        <v>22</v>
      </c>
      <c r="N2092">
        <v>9</v>
      </c>
      <c r="O2092">
        <v>368.37</v>
      </c>
    </row>
    <row r="2093" spans="1:15" x14ac:dyDescent="0.35">
      <c r="A2093" t="s">
        <v>4369</v>
      </c>
      <c r="B2093" t="s">
        <v>51</v>
      </c>
      <c r="C2093" t="s">
        <v>4370</v>
      </c>
      <c r="D2093" t="s">
        <v>26</v>
      </c>
      <c r="E2093" t="s">
        <v>33</v>
      </c>
      <c r="F2093" t="s">
        <v>57</v>
      </c>
      <c r="G2093" t="s">
        <v>213</v>
      </c>
      <c r="H2093" s="1">
        <v>45654.576388888891</v>
      </c>
      <c r="I2093" s="1">
        <v>45654.69027777778</v>
      </c>
      <c r="J2093">
        <v>129</v>
      </c>
      <c r="K2093">
        <v>164</v>
      </c>
      <c r="L2093">
        <v>1</v>
      </c>
      <c r="M2093" t="s">
        <v>29</v>
      </c>
      <c r="N2093">
        <v>7</v>
      </c>
      <c r="O2093">
        <v>470.39</v>
      </c>
    </row>
    <row r="2094" spans="1:15" x14ac:dyDescent="0.35">
      <c r="A2094" t="s">
        <v>4371</v>
      </c>
      <c r="B2094" t="s">
        <v>63</v>
      </c>
      <c r="C2094" t="s">
        <v>4372</v>
      </c>
      <c r="D2094" t="s">
        <v>26</v>
      </c>
      <c r="E2094" t="s">
        <v>85</v>
      </c>
      <c r="F2094" t="s">
        <v>39</v>
      </c>
      <c r="G2094" t="s">
        <v>371</v>
      </c>
      <c r="H2094" s="1">
        <v>45611.857638888891</v>
      </c>
      <c r="I2094" s="1">
        <v>45612.02847222222</v>
      </c>
      <c r="J2094">
        <v>221</v>
      </c>
      <c r="K2094">
        <v>246</v>
      </c>
      <c r="L2094">
        <v>1</v>
      </c>
      <c r="M2094" t="s">
        <v>29</v>
      </c>
      <c r="N2094">
        <v>7</v>
      </c>
      <c r="O2094">
        <v>489.59</v>
      </c>
    </row>
    <row r="2095" spans="1:15" x14ac:dyDescent="0.35">
      <c r="A2095" t="s">
        <v>4373</v>
      </c>
      <c r="B2095" t="s">
        <v>51</v>
      </c>
      <c r="C2095" t="s">
        <v>4374</v>
      </c>
      <c r="D2095" t="s">
        <v>48</v>
      </c>
      <c r="E2095" t="s">
        <v>38</v>
      </c>
      <c r="F2095" t="s">
        <v>57</v>
      </c>
      <c r="G2095" t="s">
        <v>146</v>
      </c>
      <c r="H2095" s="1">
        <v>45592.092361111114</v>
      </c>
      <c r="I2095" s="1">
        <v>45592.285416666666</v>
      </c>
      <c r="J2095">
        <v>170</v>
      </c>
      <c r="K2095">
        <v>278</v>
      </c>
      <c r="L2095">
        <v>1</v>
      </c>
      <c r="M2095" t="s">
        <v>29</v>
      </c>
      <c r="N2095">
        <v>1</v>
      </c>
      <c r="O2095">
        <v>453.1</v>
      </c>
    </row>
    <row r="2096" spans="1:15" x14ac:dyDescent="0.35">
      <c r="A2096" t="s">
        <v>4375</v>
      </c>
      <c r="B2096" t="s">
        <v>51</v>
      </c>
      <c r="C2096" t="s">
        <v>4376</v>
      </c>
      <c r="D2096" t="s">
        <v>18</v>
      </c>
      <c r="E2096" t="s">
        <v>19</v>
      </c>
      <c r="F2096" t="s">
        <v>20</v>
      </c>
      <c r="G2096" t="s">
        <v>465</v>
      </c>
      <c r="H2096" s="1">
        <v>45444.629166666666</v>
      </c>
      <c r="I2096" s="1">
        <v>45444.728472222225</v>
      </c>
      <c r="J2096">
        <v>114</v>
      </c>
      <c r="K2096">
        <v>143</v>
      </c>
      <c r="L2096">
        <v>1</v>
      </c>
      <c r="M2096" t="s">
        <v>41</v>
      </c>
      <c r="N2096">
        <v>10</v>
      </c>
      <c r="O2096">
        <v>347.29</v>
      </c>
    </row>
    <row r="2097" spans="1:15" x14ac:dyDescent="0.35">
      <c r="A2097" t="s">
        <v>4377</v>
      </c>
      <c r="B2097" t="s">
        <v>31</v>
      </c>
      <c r="C2097" t="s">
        <v>4378</v>
      </c>
      <c r="D2097" t="s">
        <v>48</v>
      </c>
      <c r="E2097" t="s">
        <v>33</v>
      </c>
      <c r="F2097" t="s">
        <v>20</v>
      </c>
      <c r="G2097" t="s">
        <v>185</v>
      </c>
      <c r="H2097" s="1">
        <v>45495.359722222223</v>
      </c>
      <c r="I2097" s="1">
        <v>45495.458333333336</v>
      </c>
      <c r="J2097">
        <v>47</v>
      </c>
      <c r="K2097">
        <v>142</v>
      </c>
      <c r="L2097">
        <v>1</v>
      </c>
      <c r="M2097" t="s">
        <v>41</v>
      </c>
      <c r="N2097">
        <v>9</v>
      </c>
      <c r="O2097">
        <v>139.51</v>
      </c>
    </row>
    <row r="2098" spans="1:15" x14ac:dyDescent="0.35">
      <c r="A2098" t="s">
        <v>4379</v>
      </c>
      <c r="B2098" t="s">
        <v>63</v>
      </c>
      <c r="C2098" t="s">
        <v>4380</v>
      </c>
      <c r="D2098" t="s">
        <v>18</v>
      </c>
      <c r="E2098" t="s">
        <v>85</v>
      </c>
      <c r="F2098" t="s">
        <v>57</v>
      </c>
      <c r="G2098" t="s">
        <v>254</v>
      </c>
      <c r="H2098" s="1">
        <v>45476.327777777777</v>
      </c>
      <c r="I2098" s="1">
        <v>45476.401388888888</v>
      </c>
      <c r="J2098">
        <v>47</v>
      </c>
      <c r="K2098">
        <v>106</v>
      </c>
      <c r="L2098">
        <v>1</v>
      </c>
      <c r="M2098" t="s">
        <v>41</v>
      </c>
      <c r="N2098">
        <v>8</v>
      </c>
      <c r="O2098">
        <v>466.3</v>
      </c>
    </row>
    <row r="2099" spans="1:15" x14ac:dyDescent="0.35">
      <c r="A2099" t="s">
        <v>4381</v>
      </c>
      <c r="B2099" t="s">
        <v>63</v>
      </c>
      <c r="C2099" t="s">
        <v>4382</v>
      </c>
      <c r="D2099" t="s">
        <v>18</v>
      </c>
      <c r="E2099" t="s">
        <v>85</v>
      </c>
      <c r="F2099" t="s">
        <v>57</v>
      </c>
      <c r="G2099" t="s">
        <v>88</v>
      </c>
      <c r="H2099" s="1">
        <v>45656.338888888888</v>
      </c>
      <c r="I2099" s="1">
        <v>45656.467361111114</v>
      </c>
      <c r="J2099">
        <v>100</v>
      </c>
      <c r="K2099">
        <v>185</v>
      </c>
      <c r="L2099">
        <v>1</v>
      </c>
      <c r="M2099" t="s">
        <v>41</v>
      </c>
      <c r="N2099">
        <v>8</v>
      </c>
      <c r="O2099">
        <v>60.92</v>
      </c>
    </row>
    <row r="2100" spans="1:15" x14ac:dyDescent="0.35">
      <c r="A2100" t="s">
        <v>4383</v>
      </c>
      <c r="B2100" t="s">
        <v>16</v>
      </c>
      <c r="C2100" t="s">
        <v>4384</v>
      </c>
      <c r="D2100" t="s">
        <v>18</v>
      </c>
      <c r="E2100" t="s">
        <v>85</v>
      </c>
      <c r="F2100" t="s">
        <v>57</v>
      </c>
      <c r="G2100" t="s">
        <v>40</v>
      </c>
      <c r="H2100" s="1">
        <v>45392.453472222223</v>
      </c>
      <c r="I2100" s="1">
        <v>45392.525000000001</v>
      </c>
      <c r="J2100">
        <v>81</v>
      </c>
      <c r="K2100">
        <v>103</v>
      </c>
      <c r="L2100">
        <v>1</v>
      </c>
      <c r="M2100" t="s">
        <v>29</v>
      </c>
      <c r="N2100">
        <v>1</v>
      </c>
      <c r="O2100">
        <v>212.6</v>
      </c>
    </row>
    <row r="2101" spans="1:15" x14ac:dyDescent="0.35">
      <c r="A2101" t="s">
        <v>4385</v>
      </c>
      <c r="B2101" t="s">
        <v>63</v>
      </c>
      <c r="C2101" t="s">
        <v>4386</v>
      </c>
      <c r="D2101" t="s">
        <v>18</v>
      </c>
      <c r="E2101" t="s">
        <v>33</v>
      </c>
      <c r="F2101" t="s">
        <v>57</v>
      </c>
      <c r="G2101" t="s">
        <v>615</v>
      </c>
      <c r="H2101" s="1">
        <v>45471.935416666667</v>
      </c>
      <c r="I2101" s="1">
        <v>45472.095138888886</v>
      </c>
      <c r="J2101">
        <v>133</v>
      </c>
      <c r="K2101">
        <v>230</v>
      </c>
      <c r="L2101">
        <v>1</v>
      </c>
      <c r="M2101" t="s">
        <v>22</v>
      </c>
      <c r="N2101">
        <v>7</v>
      </c>
      <c r="O2101">
        <v>455.38</v>
      </c>
    </row>
    <row r="2102" spans="1:15" x14ac:dyDescent="0.35">
      <c r="A2102" t="s">
        <v>4387</v>
      </c>
      <c r="B2102" t="s">
        <v>31</v>
      </c>
      <c r="C2102" t="s">
        <v>4388</v>
      </c>
      <c r="D2102" t="s">
        <v>18</v>
      </c>
      <c r="E2102" t="s">
        <v>38</v>
      </c>
      <c r="F2102" t="s">
        <v>34</v>
      </c>
      <c r="G2102" t="s">
        <v>61</v>
      </c>
      <c r="H2102" s="1">
        <v>45333.152777777781</v>
      </c>
      <c r="I2102" s="1">
        <v>45333.23541666667</v>
      </c>
      <c r="J2102">
        <v>11</v>
      </c>
      <c r="K2102">
        <v>119</v>
      </c>
      <c r="L2102">
        <v>1</v>
      </c>
      <c r="M2102" t="s">
        <v>29</v>
      </c>
      <c r="N2102">
        <v>8</v>
      </c>
      <c r="O2102">
        <v>484.91</v>
      </c>
    </row>
    <row r="2103" spans="1:15" x14ac:dyDescent="0.35">
      <c r="A2103" t="s">
        <v>4389</v>
      </c>
      <c r="B2103" t="s">
        <v>16</v>
      </c>
      <c r="C2103" t="s">
        <v>4390</v>
      </c>
      <c r="D2103" t="s">
        <v>44</v>
      </c>
      <c r="E2103" t="s">
        <v>85</v>
      </c>
      <c r="F2103" t="s">
        <v>57</v>
      </c>
      <c r="G2103" t="s">
        <v>100</v>
      </c>
      <c r="H2103" s="1">
        <v>45357.602777777778</v>
      </c>
      <c r="I2103" s="1">
        <v>45357.649305555555</v>
      </c>
      <c r="J2103">
        <v>21</v>
      </c>
      <c r="K2103">
        <v>67</v>
      </c>
      <c r="L2103">
        <v>1</v>
      </c>
      <c r="M2103" t="s">
        <v>22</v>
      </c>
      <c r="N2103">
        <v>10</v>
      </c>
      <c r="O2103">
        <v>487.08</v>
      </c>
    </row>
    <row r="2104" spans="1:15" x14ac:dyDescent="0.35">
      <c r="A2104" t="s">
        <v>4391</v>
      </c>
      <c r="B2104" t="s">
        <v>24</v>
      </c>
      <c r="C2104" t="s">
        <v>4392</v>
      </c>
      <c r="D2104" t="s">
        <v>18</v>
      </c>
      <c r="E2104" t="s">
        <v>85</v>
      </c>
      <c r="F2104" t="s">
        <v>27</v>
      </c>
      <c r="G2104" t="s">
        <v>640</v>
      </c>
      <c r="H2104" s="1">
        <v>45482.208333333336</v>
      </c>
      <c r="I2104" s="1">
        <v>45482.337500000001</v>
      </c>
      <c r="J2104">
        <v>84</v>
      </c>
      <c r="K2104">
        <v>186</v>
      </c>
      <c r="L2104">
        <v>1</v>
      </c>
      <c r="M2104" t="s">
        <v>22</v>
      </c>
      <c r="N2104">
        <v>8</v>
      </c>
      <c r="O2104">
        <v>237.48</v>
      </c>
    </row>
    <row r="2105" spans="1:15" x14ac:dyDescent="0.35">
      <c r="A2105" t="s">
        <v>4393</v>
      </c>
      <c r="B2105" t="s">
        <v>24</v>
      </c>
      <c r="C2105" t="s">
        <v>4394</v>
      </c>
      <c r="D2105" t="s">
        <v>48</v>
      </c>
      <c r="E2105" t="s">
        <v>85</v>
      </c>
      <c r="F2105" t="s">
        <v>27</v>
      </c>
      <c r="G2105" t="s">
        <v>207</v>
      </c>
      <c r="H2105" s="1">
        <v>45451.525694444441</v>
      </c>
      <c r="I2105" s="1">
        <v>45451.675694444442</v>
      </c>
      <c r="J2105">
        <v>194</v>
      </c>
      <c r="K2105">
        <v>216</v>
      </c>
      <c r="L2105">
        <v>1</v>
      </c>
      <c r="M2105" t="s">
        <v>22</v>
      </c>
      <c r="N2105">
        <v>6</v>
      </c>
      <c r="O2105">
        <v>84.74</v>
      </c>
    </row>
    <row r="2106" spans="1:15" x14ac:dyDescent="0.35">
      <c r="A2106" t="s">
        <v>4395</v>
      </c>
      <c r="B2106" t="s">
        <v>51</v>
      </c>
      <c r="C2106" t="s">
        <v>4396</v>
      </c>
      <c r="D2106" t="s">
        <v>18</v>
      </c>
      <c r="E2106" t="s">
        <v>38</v>
      </c>
      <c r="F2106" t="s">
        <v>39</v>
      </c>
      <c r="G2106" t="s">
        <v>240</v>
      </c>
      <c r="H2106" s="1">
        <v>45396.2</v>
      </c>
      <c r="I2106" s="1">
        <v>45396.284722222219</v>
      </c>
      <c r="J2106">
        <v>35</v>
      </c>
      <c r="K2106">
        <v>122</v>
      </c>
      <c r="L2106">
        <v>1</v>
      </c>
      <c r="M2106" t="s">
        <v>29</v>
      </c>
      <c r="N2106">
        <v>1</v>
      </c>
      <c r="O2106">
        <v>277.5</v>
      </c>
    </row>
    <row r="2107" spans="1:15" x14ac:dyDescent="0.35">
      <c r="A2107" t="s">
        <v>4397</v>
      </c>
      <c r="B2107" t="s">
        <v>63</v>
      </c>
      <c r="C2107" t="s">
        <v>4398</v>
      </c>
      <c r="D2107" t="s">
        <v>18</v>
      </c>
      <c r="E2107" t="s">
        <v>33</v>
      </c>
      <c r="F2107" t="s">
        <v>39</v>
      </c>
      <c r="G2107" t="s">
        <v>222</v>
      </c>
      <c r="H2107" s="1">
        <v>45302.784722222219</v>
      </c>
      <c r="I2107" s="1">
        <v>45302.864583333336</v>
      </c>
      <c r="J2107">
        <v>90</v>
      </c>
      <c r="K2107">
        <v>115</v>
      </c>
      <c r="L2107">
        <v>1</v>
      </c>
      <c r="M2107" t="s">
        <v>41</v>
      </c>
      <c r="N2107">
        <v>10</v>
      </c>
      <c r="O2107">
        <v>268.89</v>
      </c>
    </row>
    <row r="2108" spans="1:15" x14ac:dyDescent="0.35">
      <c r="A2108" t="s">
        <v>4399</v>
      </c>
      <c r="B2108" t="s">
        <v>16</v>
      </c>
      <c r="C2108" t="s">
        <v>4400</v>
      </c>
      <c r="D2108" t="s">
        <v>26</v>
      </c>
      <c r="E2108" t="s">
        <v>19</v>
      </c>
      <c r="F2108" t="s">
        <v>20</v>
      </c>
      <c r="G2108" t="s">
        <v>265</v>
      </c>
      <c r="H2108" s="1">
        <v>45432.72152777778</v>
      </c>
      <c r="I2108" s="1">
        <v>45432.763888888891</v>
      </c>
      <c r="J2108">
        <v>23</v>
      </c>
      <c r="K2108">
        <v>61</v>
      </c>
      <c r="L2108">
        <v>1</v>
      </c>
      <c r="M2108" t="s">
        <v>41</v>
      </c>
      <c r="N2108">
        <v>9</v>
      </c>
      <c r="O2108">
        <v>347.07</v>
      </c>
    </row>
    <row r="2109" spans="1:15" x14ac:dyDescent="0.35">
      <c r="A2109" t="s">
        <v>4401</v>
      </c>
      <c r="B2109" t="s">
        <v>16</v>
      </c>
      <c r="C2109" t="s">
        <v>4402</v>
      </c>
      <c r="D2109" t="s">
        <v>56</v>
      </c>
      <c r="E2109" t="s">
        <v>33</v>
      </c>
      <c r="F2109" t="s">
        <v>57</v>
      </c>
      <c r="G2109" t="s">
        <v>207</v>
      </c>
      <c r="H2109" s="1">
        <v>45556.168055555558</v>
      </c>
      <c r="I2109" s="1">
        <v>45556.289583333331</v>
      </c>
      <c r="J2109">
        <v>80</v>
      </c>
      <c r="K2109">
        <v>175</v>
      </c>
      <c r="L2109">
        <v>1</v>
      </c>
      <c r="M2109" t="s">
        <v>22</v>
      </c>
      <c r="N2109">
        <v>8</v>
      </c>
      <c r="O2109">
        <v>407.38</v>
      </c>
    </row>
    <row r="2110" spans="1:15" x14ac:dyDescent="0.35">
      <c r="A2110" t="s">
        <v>4403</v>
      </c>
      <c r="B2110" t="s">
        <v>51</v>
      </c>
      <c r="C2110" t="s">
        <v>4404</v>
      </c>
      <c r="D2110" t="s">
        <v>18</v>
      </c>
      <c r="E2110" t="s">
        <v>85</v>
      </c>
      <c r="F2110" t="s">
        <v>34</v>
      </c>
      <c r="G2110" t="s">
        <v>210</v>
      </c>
      <c r="H2110" s="1">
        <v>45568.520833333336</v>
      </c>
      <c r="I2110" s="1">
        <v>45568.709722222222</v>
      </c>
      <c r="J2110">
        <v>227</v>
      </c>
      <c r="K2110">
        <v>272</v>
      </c>
      <c r="L2110">
        <v>1</v>
      </c>
      <c r="M2110" t="s">
        <v>29</v>
      </c>
      <c r="N2110">
        <v>3</v>
      </c>
      <c r="O2110">
        <v>408.6</v>
      </c>
    </row>
    <row r="2111" spans="1:15" x14ac:dyDescent="0.35">
      <c r="A2111" t="s">
        <v>4405</v>
      </c>
      <c r="B2111" t="s">
        <v>16</v>
      </c>
      <c r="C2111" t="s">
        <v>4406</v>
      </c>
      <c r="D2111" t="s">
        <v>56</v>
      </c>
      <c r="E2111" t="s">
        <v>85</v>
      </c>
      <c r="F2111" t="s">
        <v>57</v>
      </c>
      <c r="G2111" t="s">
        <v>383</v>
      </c>
      <c r="H2111" s="1">
        <v>45296.507638888892</v>
      </c>
      <c r="I2111" s="1">
        <v>45296.586805555555</v>
      </c>
      <c r="J2111">
        <v>48</v>
      </c>
      <c r="K2111">
        <v>114</v>
      </c>
      <c r="L2111">
        <v>1</v>
      </c>
      <c r="M2111" t="s">
        <v>41</v>
      </c>
      <c r="N2111">
        <v>1</v>
      </c>
      <c r="O2111">
        <v>496.29</v>
      </c>
    </row>
    <row r="2112" spans="1:15" x14ac:dyDescent="0.35">
      <c r="A2112" t="s">
        <v>4407</v>
      </c>
      <c r="B2112" t="s">
        <v>24</v>
      </c>
      <c r="C2112" t="s">
        <v>4408</v>
      </c>
      <c r="D2112" t="s">
        <v>18</v>
      </c>
      <c r="E2112" t="s">
        <v>85</v>
      </c>
      <c r="F2112" t="s">
        <v>34</v>
      </c>
      <c r="G2112" t="s">
        <v>354</v>
      </c>
      <c r="H2112" s="1">
        <v>45523.714583333334</v>
      </c>
      <c r="I2112" s="1">
        <v>45523.786111111112</v>
      </c>
      <c r="J2112">
        <v>49</v>
      </c>
      <c r="K2112">
        <v>103</v>
      </c>
      <c r="L2112">
        <v>1</v>
      </c>
      <c r="M2112" t="s">
        <v>41</v>
      </c>
      <c r="N2112">
        <v>6</v>
      </c>
      <c r="O2112">
        <v>124.37</v>
      </c>
    </row>
    <row r="2113" spans="1:15" x14ac:dyDescent="0.35">
      <c r="A2113" t="s">
        <v>4409</v>
      </c>
      <c r="B2113" t="s">
        <v>51</v>
      </c>
      <c r="C2113" t="s">
        <v>4410</v>
      </c>
      <c r="D2113" t="s">
        <v>44</v>
      </c>
      <c r="E2113" t="s">
        <v>38</v>
      </c>
      <c r="F2113" t="s">
        <v>57</v>
      </c>
      <c r="G2113" t="s">
        <v>676</v>
      </c>
      <c r="H2113" s="1">
        <v>45593.370138888888</v>
      </c>
      <c r="I2113" s="1">
        <v>45593.46597222222</v>
      </c>
      <c r="J2113">
        <v>112</v>
      </c>
      <c r="K2113">
        <v>138</v>
      </c>
      <c r="L2113">
        <v>1</v>
      </c>
      <c r="M2113" t="s">
        <v>41</v>
      </c>
      <c r="N2113">
        <v>8</v>
      </c>
      <c r="O2113">
        <v>453.16</v>
      </c>
    </row>
    <row r="2114" spans="1:15" x14ac:dyDescent="0.35">
      <c r="A2114" t="s">
        <v>4411</v>
      </c>
      <c r="B2114" t="s">
        <v>31</v>
      </c>
      <c r="C2114" t="s">
        <v>4412</v>
      </c>
      <c r="D2114" t="s">
        <v>56</v>
      </c>
      <c r="E2114" t="s">
        <v>85</v>
      </c>
      <c r="F2114" t="s">
        <v>39</v>
      </c>
      <c r="G2114" t="s">
        <v>222</v>
      </c>
      <c r="H2114" s="1">
        <v>45340.539583333331</v>
      </c>
      <c r="I2114" s="1">
        <v>45340.64166666667</v>
      </c>
      <c r="J2114">
        <v>58</v>
      </c>
      <c r="K2114">
        <v>147</v>
      </c>
      <c r="L2114">
        <v>1</v>
      </c>
      <c r="M2114" t="s">
        <v>41</v>
      </c>
      <c r="N2114">
        <v>2</v>
      </c>
      <c r="O2114">
        <v>482.08</v>
      </c>
    </row>
    <row r="2115" spans="1:15" x14ac:dyDescent="0.35">
      <c r="A2115" t="s">
        <v>4413</v>
      </c>
      <c r="B2115" t="s">
        <v>24</v>
      </c>
      <c r="C2115" t="s">
        <v>4414</v>
      </c>
      <c r="D2115" t="s">
        <v>18</v>
      </c>
      <c r="E2115" t="s">
        <v>38</v>
      </c>
      <c r="F2115" t="s">
        <v>34</v>
      </c>
      <c r="G2115" t="s">
        <v>777</v>
      </c>
      <c r="H2115" s="1">
        <v>45543.75277777778</v>
      </c>
      <c r="I2115" s="1">
        <v>45543.865277777775</v>
      </c>
      <c r="J2115">
        <v>83</v>
      </c>
      <c r="K2115">
        <v>162</v>
      </c>
      <c r="L2115">
        <v>1</v>
      </c>
      <c r="M2115" t="s">
        <v>22</v>
      </c>
      <c r="N2115">
        <v>1</v>
      </c>
      <c r="O2115">
        <v>92.87</v>
      </c>
    </row>
    <row r="2116" spans="1:15" x14ac:dyDescent="0.35">
      <c r="A2116" t="s">
        <v>4415</v>
      </c>
      <c r="B2116" t="s">
        <v>24</v>
      </c>
      <c r="C2116" t="s">
        <v>4416</v>
      </c>
      <c r="D2116" t="s">
        <v>44</v>
      </c>
      <c r="E2116" t="s">
        <v>33</v>
      </c>
      <c r="F2116" t="s">
        <v>34</v>
      </c>
      <c r="G2116" t="s">
        <v>228</v>
      </c>
      <c r="H2116" s="1">
        <v>45401.527777777781</v>
      </c>
      <c r="I2116" s="1">
        <v>45401.579861111109</v>
      </c>
      <c r="J2116">
        <v>39</v>
      </c>
      <c r="K2116">
        <v>75</v>
      </c>
      <c r="L2116">
        <v>1</v>
      </c>
      <c r="M2116" t="s">
        <v>22</v>
      </c>
      <c r="N2116">
        <v>6</v>
      </c>
      <c r="O2116">
        <v>253.54</v>
      </c>
    </row>
    <row r="2117" spans="1:15" x14ac:dyDescent="0.35">
      <c r="A2117" t="s">
        <v>4417</v>
      </c>
      <c r="B2117" t="s">
        <v>16</v>
      </c>
      <c r="C2117" t="s">
        <v>4418</v>
      </c>
      <c r="D2117" t="s">
        <v>18</v>
      </c>
      <c r="E2117" t="s">
        <v>38</v>
      </c>
      <c r="F2117" t="s">
        <v>57</v>
      </c>
      <c r="G2117" t="s">
        <v>82</v>
      </c>
      <c r="H2117" s="1">
        <v>45654.592361111114</v>
      </c>
      <c r="I2117" s="1">
        <v>45654.783333333333</v>
      </c>
      <c r="J2117">
        <v>171</v>
      </c>
      <c r="K2117">
        <v>275</v>
      </c>
      <c r="L2117">
        <v>1</v>
      </c>
      <c r="M2117" t="s">
        <v>22</v>
      </c>
      <c r="N2117">
        <v>3</v>
      </c>
      <c r="O2117">
        <v>289.24</v>
      </c>
    </row>
    <row r="2118" spans="1:15" x14ac:dyDescent="0.35">
      <c r="A2118" t="s">
        <v>4419</v>
      </c>
      <c r="B2118" t="s">
        <v>24</v>
      </c>
      <c r="C2118" t="s">
        <v>4420</v>
      </c>
      <c r="D2118" t="s">
        <v>48</v>
      </c>
      <c r="E2118" t="s">
        <v>38</v>
      </c>
      <c r="F2118" t="s">
        <v>34</v>
      </c>
      <c r="G2118" t="s">
        <v>49</v>
      </c>
      <c r="H2118" s="1">
        <v>45488.188888888886</v>
      </c>
      <c r="I2118" s="1">
        <v>45488.280555555553</v>
      </c>
      <c r="J2118">
        <v>93</v>
      </c>
      <c r="K2118">
        <v>132</v>
      </c>
      <c r="L2118">
        <v>1</v>
      </c>
      <c r="M2118" t="s">
        <v>22</v>
      </c>
      <c r="N2118">
        <v>5</v>
      </c>
      <c r="O2118">
        <v>145.13</v>
      </c>
    </row>
    <row r="2119" spans="1:15" x14ac:dyDescent="0.35">
      <c r="A2119" t="s">
        <v>4421</v>
      </c>
      <c r="B2119" t="s">
        <v>16</v>
      </c>
      <c r="C2119" t="s">
        <v>4422</v>
      </c>
      <c r="D2119" t="s">
        <v>56</v>
      </c>
      <c r="E2119" t="s">
        <v>85</v>
      </c>
      <c r="F2119" t="s">
        <v>39</v>
      </c>
      <c r="G2119" t="s">
        <v>228</v>
      </c>
      <c r="H2119" s="1">
        <v>45567.938888888886</v>
      </c>
      <c r="I2119" s="1">
        <v>45568.152777777781</v>
      </c>
      <c r="J2119">
        <v>200</v>
      </c>
      <c r="K2119">
        <v>308</v>
      </c>
      <c r="L2119">
        <v>1</v>
      </c>
      <c r="M2119" t="s">
        <v>29</v>
      </c>
      <c r="N2119">
        <v>9</v>
      </c>
      <c r="O2119">
        <v>135.30000000000001</v>
      </c>
    </row>
    <row r="2120" spans="1:15" x14ac:dyDescent="0.35">
      <c r="A2120" t="s">
        <v>4423</v>
      </c>
      <c r="B2120" t="s">
        <v>24</v>
      </c>
      <c r="C2120" t="s">
        <v>4424</v>
      </c>
      <c r="D2120" t="s">
        <v>18</v>
      </c>
      <c r="E2120" t="s">
        <v>38</v>
      </c>
      <c r="F2120" t="s">
        <v>20</v>
      </c>
      <c r="G2120" t="s">
        <v>476</v>
      </c>
      <c r="H2120" s="1">
        <v>45401.049305555556</v>
      </c>
      <c r="I2120" s="1">
        <v>45401.135416666664</v>
      </c>
      <c r="J2120">
        <v>126</v>
      </c>
      <c r="K2120">
        <v>124</v>
      </c>
      <c r="L2120">
        <v>0</v>
      </c>
      <c r="M2120" t="s">
        <v>41</v>
      </c>
      <c r="N2120">
        <v>8</v>
      </c>
      <c r="O2120">
        <v>451.29</v>
      </c>
    </row>
    <row r="2121" spans="1:15" x14ac:dyDescent="0.35">
      <c r="A2121" t="s">
        <v>4425</v>
      </c>
      <c r="B2121" t="s">
        <v>51</v>
      </c>
      <c r="C2121" t="s">
        <v>4426</v>
      </c>
      <c r="D2121" t="s">
        <v>26</v>
      </c>
      <c r="E2121" t="s">
        <v>19</v>
      </c>
      <c r="F2121" t="s">
        <v>34</v>
      </c>
      <c r="G2121" t="s">
        <v>465</v>
      </c>
      <c r="H2121" s="1">
        <v>45479.200694444444</v>
      </c>
      <c r="I2121" s="1">
        <v>45479.276388888888</v>
      </c>
      <c r="J2121">
        <v>33</v>
      </c>
      <c r="K2121">
        <v>109</v>
      </c>
      <c r="L2121">
        <v>1</v>
      </c>
      <c r="M2121" t="s">
        <v>41</v>
      </c>
      <c r="N2121">
        <v>6</v>
      </c>
      <c r="O2121">
        <v>375.93</v>
      </c>
    </row>
    <row r="2122" spans="1:15" x14ac:dyDescent="0.35">
      <c r="A2122" t="s">
        <v>4427</v>
      </c>
      <c r="B2122" t="s">
        <v>24</v>
      </c>
      <c r="C2122" t="s">
        <v>4428</v>
      </c>
      <c r="D2122" t="s">
        <v>48</v>
      </c>
      <c r="E2122" t="s">
        <v>19</v>
      </c>
      <c r="F2122" t="s">
        <v>20</v>
      </c>
      <c r="G2122" t="s">
        <v>388</v>
      </c>
      <c r="H2122" s="1">
        <v>45583.261111111111</v>
      </c>
      <c r="I2122" s="1">
        <v>45583.470833333333</v>
      </c>
      <c r="J2122">
        <v>229</v>
      </c>
      <c r="K2122">
        <v>302</v>
      </c>
      <c r="L2122">
        <v>1</v>
      </c>
      <c r="M2122" t="s">
        <v>29</v>
      </c>
      <c r="N2122">
        <v>6</v>
      </c>
      <c r="O2122">
        <v>66.459999999999994</v>
      </c>
    </row>
    <row r="2123" spans="1:15" x14ac:dyDescent="0.35">
      <c r="A2123" t="s">
        <v>4429</v>
      </c>
      <c r="B2123" t="s">
        <v>31</v>
      </c>
      <c r="C2123" t="s">
        <v>4430</v>
      </c>
      <c r="D2123" t="s">
        <v>48</v>
      </c>
      <c r="E2123" t="s">
        <v>33</v>
      </c>
      <c r="F2123" t="s">
        <v>39</v>
      </c>
      <c r="G2123" t="s">
        <v>140</v>
      </c>
      <c r="H2123" s="1">
        <v>45378.887499999997</v>
      </c>
      <c r="I2123" s="1">
        <v>45379.055555555555</v>
      </c>
      <c r="J2123">
        <v>195</v>
      </c>
      <c r="K2123">
        <v>242</v>
      </c>
      <c r="L2123">
        <v>1</v>
      </c>
      <c r="M2123" t="s">
        <v>22</v>
      </c>
      <c r="N2123">
        <v>3</v>
      </c>
      <c r="O2123">
        <v>327.26</v>
      </c>
    </row>
    <row r="2124" spans="1:15" x14ac:dyDescent="0.35">
      <c r="A2124" t="s">
        <v>4431</v>
      </c>
      <c r="B2124" t="s">
        <v>31</v>
      </c>
      <c r="C2124" t="s">
        <v>4432</v>
      </c>
      <c r="D2124" t="s">
        <v>48</v>
      </c>
      <c r="E2124" t="s">
        <v>33</v>
      </c>
      <c r="F2124" t="s">
        <v>34</v>
      </c>
      <c r="G2124" t="s">
        <v>785</v>
      </c>
      <c r="H2124" s="1">
        <v>45630.593055555553</v>
      </c>
      <c r="I2124" s="1">
        <v>45630.722222222219</v>
      </c>
      <c r="J2124">
        <v>169</v>
      </c>
      <c r="K2124">
        <v>186</v>
      </c>
      <c r="L2124">
        <v>1</v>
      </c>
      <c r="M2124" t="s">
        <v>29</v>
      </c>
      <c r="N2124">
        <v>5</v>
      </c>
      <c r="O2124">
        <v>419.57</v>
      </c>
    </row>
    <row r="2125" spans="1:15" x14ac:dyDescent="0.35">
      <c r="A2125" t="s">
        <v>4433</v>
      </c>
      <c r="B2125" t="s">
        <v>31</v>
      </c>
      <c r="C2125" t="s">
        <v>4434</v>
      </c>
      <c r="D2125" t="s">
        <v>44</v>
      </c>
      <c r="E2125" t="s">
        <v>33</v>
      </c>
      <c r="F2125" t="s">
        <v>20</v>
      </c>
      <c r="G2125" t="s">
        <v>213</v>
      </c>
      <c r="H2125" s="1">
        <v>45601.719444444447</v>
      </c>
      <c r="I2125" s="1">
        <v>45601.835416666669</v>
      </c>
      <c r="J2125">
        <v>116</v>
      </c>
      <c r="K2125">
        <v>167</v>
      </c>
      <c r="L2125">
        <v>1</v>
      </c>
      <c r="M2125" t="s">
        <v>22</v>
      </c>
      <c r="N2125">
        <v>6</v>
      </c>
      <c r="O2125">
        <v>421.25</v>
      </c>
    </row>
    <row r="2126" spans="1:15" x14ac:dyDescent="0.35">
      <c r="A2126" t="s">
        <v>4435</v>
      </c>
      <c r="B2126" t="s">
        <v>24</v>
      </c>
      <c r="C2126" t="s">
        <v>4436</v>
      </c>
      <c r="D2126" t="s">
        <v>26</v>
      </c>
      <c r="E2126" t="s">
        <v>19</v>
      </c>
      <c r="F2126" t="s">
        <v>57</v>
      </c>
      <c r="G2126" t="s">
        <v>669</v>
      </c>
      <c r="H2126" s="1">
        <v>45548.81527777778</v>
      </c>
      <c r="I2126" s="1">
        <v>45548.921527777777</v>
      </c>
      <c r="J2126">
        <v>50</v>
      </c>
      <c r="K2126">
        <v>153</v>
      </c>
      <c r="L2126">
        <v>1</v>
      </c>
      <c r="M2126" t="s">
        <v>22</v>
      </c>
      <c r="N2126">
        <v>8</v>
      </c>
      <c r="O2126">
        <v>355</v>
      </c>
    </row>
    <row r="2127" spans="1:15" x14ac:dyDescent="0.35">
      <c r="A2127" t="s">
        <v>4437</v>
      </c>
      <c r="B2127" t="s">
        <v>63</v>
      </c>
      <c r="C2127" t="s">
        <v>4438</v>
      </c>
      <c r="D2127" t="s">
        <v>48</v>
      </c>
      <c r="E2127" t="s">
        <v>38</v>
      </c>
      <c r="F2127" t="s">
        <v>20</v>
      </c>
      <c r="G2127" t="s">
        <v>265</v>
      </c>
      <c r="H2127" s="1">
        <v>45568.375</v>
      </c>
      <c r="I2127" s="1">
        <v>45568.476388888892</v>
      </c>
      <c r="J2127">
        <v>148</v>
      </c>
      <c r="K2127">
        <v>146</v>
      </c>
      <c r="L2127">
        <v>0</v>
      </c>
      <c r="M2127" t="s">
        <v>41</v>
      </c>
      <c r="N2127">
        <v>5</v>
      </c>
      <c r="O2127">
        <v>460.96</v>
      </c>
    </row>
    <row r="2128" spans="1:15" x14ac:dyDescent="0.35">
      <c r="A2128" t="s">
        <v>4439</v>
      </c>
      <c r="B2128" t="s">
        <v>51</v>
      </c>
      <c r="C2128" t="s">
        <v>4440</v>
      </c>
      <c r="D2128" t="s">
        <v>26</v>
      </c>
      <c r="E2128" t="s">
        <v>19</v>
      </c>
      <c r="F2128" t="s">
        <v>34</v>
      </c>
      <c r="G2128" t="s">
        <v>459</v>
      </c>
      <c r="H2128" s="1">
        <v>45344.245833333334</v>
      </c>
      <c r="I2128" s="1">
        <v>45344.331944444442</v>
      </c>
      <c r="J2128">
        <v>76</v>
      </c>
      <c r="K2128">
        <v>124</v>
      </c>
      <c r="L2128">
        <v>1</v>
      </c>
      <c r="M2128" t="s">
        <v>22</v>
      </c>
      <c r="N2128">
        <v>6</v>
      </c>
      <c r="O2128">
        <v>75.39</v>
      </c>
    </row>
    <row r="2129" spans="1:15" x14ac:dyDescent="0.35">
      <c r="A2129" t="s">
        <v>4441</v>
      </c>
      <c r="B2129" t="s">
        <v>16</v>
      </c>
      <c r="C2129" t="s">
        <v>4442</v>
      </c>
      <c r="D2129" t="s">
        <v>26</v>
      </c>
      <c r="E2129" t="s">
        <v>38</v>
      </c>
      <c r="F2129" t="s">
        <v>27</v>
      </c>
      <c r="G2129" t="s">
        <v>21</v>
      </c>
      <c r="H2129" s="1">
        <v>45357.895138888889</v>
      </c>
      <c r="I2129" s="1">
        <v>45358.053472222222</v>
      </c>
      <c r="J2129">
        <v>232</v>
      </c>
      <c r="K2129">
        <v>228</v>
      </c>
      <c r="L2129">
        <v>0</v>
      </c>
      <c r="M2129" t="s">
        <v>29</v>
      </c>
      <c r="N2129">
        <v>4</v>
      </c>
      <c r="O2129">
        <v>470.43</v>
      </c>
    </row>
    <row r="2130" spans="1:15" x14ac:dyDescent="0.35">
      <c r="A2130" t="s">
        <v>4443</v>
      </c>
      <c r="B2130" t="s">
        <v>63</v>
      </c>
      <c r="C2130" t="s">
        <v>4444</v>
      </c>
      <c r="D2130" t="s">
        <v>26</v>
      </c>
      <c r="E2130" t="s">
        <v>38</v>
      </c>
      <c r="F2130" t="s">
        <v>34</v>
      </c>
      <c r="G2130" t="s">
        <v>103</v>
      </c>
      <c r="H2130" s="1">
        <v>45629.060416666667</v>
      </c>
      <c r="I2130" s="1">
        <v>45629.123611111114</v>
      </c>
      <c r="J2130">
        <v>42</v>
      </c>
      <c r="K2130">
        <v>91</v>
      </c>
      <c r="L2130">
        <v>1</v>
      </c>
      <c r="M2130" t="s">
        <v>41</v>
      </c>
      <c r="N2130">
        <v>1</v>
      </c>
      <c r="O2130">
        <v>333.43</v>
      </c>
    </row>
    <row r="2131" spans="1:15" x14ac:dyDescent="0.35">
      <c r="A2131" t="s">
        <v>4445</v>
      </c>
      <c r="B2131" t="s">
        <v>31</v>
      </c>
      <c r="C2131" t="s">
        <v>4446</v>
      </c>
      <c r="D2131" t="s">
        <v>44</v>
      </c>
      <c r="E2131" t="s">
        <v>85</v>
      </c>
      <c r="F2131" t="s">
        <v>34</v>
      </c>
      <c r="G2131" t="s">
        <v>155</v>
      </c>
      <c r="H2131" s="1">
        <v>45377.35</v>
      </c>
      <c r="I2131" s="1">
        <v>45377.474305555559</v>
      </c>
      <c r="J2131">
        <v>118</v>
      </c>
      <c r="K2131">
        <v>179</v>
      </c>
      <c r="L2131">
        <v>1</v>
      </c>
      <c r="M2131" t="s">
        <v>22</v>
      </c>
      <c r="N2131">
        <v>9</v>
      </c>
      <c r="O2131">
        <v>180.43</v>
      </c>
    </row>
    <row r="2132" spans="1:15" x14ac:dyDescent="0.35">
      <c r="A2132" t="s">
        <v>4447</v>
      </c>
      <c r="B2132" t="s">
        <v>31</v>
      </c>
      <c r="C2132" t="s">
        <v>4448</v>
      </c>
      <c r="D2132" t="s">
        <v>44</v>
      </c>
      <c r="E2132" t="s">
        <v>33</v>
      </c>
      <c r="F2132" t="s">
        <v>39</v>
      </c>
      <c r="G2132" t="s">
        <v>676</v>
      </c>
      <c r="H2132" s="1">
        <v>45566.84097222222</v>
      </c>
      <c r="I2132" s="1">
        <v>45566.977777777778</v>
      </c>
      <c r="J2132">
        <v>194</v>
      </c>
      <c r="K2132">
        <v>197</v>
      </c>
      <c r="L2132">
        <v>1</v>
      </c>
      <c r="M2132" t="s">
        <v>41</v>
      </c>
      <c r="N2132">
        <v>1</v>
      </c>
      <c r="O2132">
        <v>344.87</v>
      </c>
    </row>
    <row r="2133" spans="1:15" x14ac:dyDescent="0.35">
      <c r="A2133" t="s">
        <v>4449</v>
      </c>
      <c r="B2133" t="s">
        <v>31</v>
      </c>
      <c r="C2133" t="s">
        <v>4450</v>
      </c>
      <c r="D2133" t="s">
        <v>48</v>
      </c>
      <c r="E2133" t="s">
        <v>85</v>
      </c>
      <c r="F2133" t="s">
        <v>57</v>
      </c>
      <c r="G2133" t="s">
        <v>173</v>
      </c>
      <c r="H2133" s="1">
        <v>45655.727083333331</v>
      </c>
      <c r="I2133" s="1">
        <v>45655.8</v>
      </c>
      <c r="J2133">
        <v>34</v>
      </c>
      <c r="K2133">
        <v>105</v>
      </c>
      <c r="L2133">
        <v>1</v>
      </c>
      <c r="M2133" t="s">
        <v>41</v>
      </c>
      <c r="N2133">
        <v>1</v>
      </c>
      <c r="O2133">
        <v>482.55</v>
      </c>
    </row>
    <row r="2134" spans="1:15" x14ac:dyDescent="0.35">
      <c r="A2134" t="s">
        <v>4451</v>
      </c>
      <c r="B2134" t="s">
        <v>31</v>
      </c>
      <c r="C2134" t="s">
        <v>4452</v>
      </c>
      <c r="D2134" t="s">
        <v>44</v>
      </c>
      <c r="E2134" t="s">
        <v>85</v>
      </c>
      <c r="F2134" t="s">
        <v>34</v>
      </c>
      <c r="G2134" t="s">
        <v>28</v>
      </c>
      <c r="H2134" s="1">
        <v>45355.472222222219</v>
      </c>
      <c r="I2134" s="1">
        <v>45355.645833333336</v>
      </c>
      <c r="J2134">
        <v>176</v>
      </c>
      <c r="K2134">
        <v>250</v>
      </c>
      <c r="L2134">
        <v>1</v>
      </c>
      <c r="M2134" t="s">
        <v>29</v>
      </c>
      <c r="N2134">
        <v>8</v>
      </c>
      <c r="O2134">
        <v>113.96</v>
      </c>
    </row>
    <row r="2135" spans="1:15" x14ac:dyDescent="0.35">
      <c r="A2135" t="s">
        <v>4453</v>
      </c>
      <c r="B2135" t="s">
        <v>51</v>
      </c>
      <c r="C2135" t="s">
        <v>4454</v>
      </c>
      <c r="D2135" t="s">
        <v>18</v>
      </c>
      <c r="E2135" t="s">
        <v>33</v>
      </c>
      <c r="F2135" t="s">
        <v>34</v>
      </c>
      <c r="G2135" t="s">
        <v>158</v>
      </c>
      <c r="H2135" s="1">
        <v>45559.340277777781</v>
      </c>
      <c r="I2135" s="1">
        <v>45559.417361111111</v>
      </c>
      <c r="J2135">
        <v>19</v>
      </c>
      <c r="K2135">
        <v>111</v>
      </c>
      <c r="L2135">
        <v>1</v>
      </c>
      <c r="M2135" t="s">
        <v>41</v>
      </c>
      <c r="N2135">
        <v>1</v>
      </c>
      <c r="O2135">
        <v>294.05</v>
      </c>
    </row>
    <row r="2136" spans="1:15" x14ac:dyDescent="0.35">
      <c r="A2136" t="s">
        <v>4455</v>
      </c>
      <c r="B2136" t="s">
        <v>31</v>
      </c>
      <c r="C2136" t="s">
        <v>4456</v>
      </c>
      <c r="D2136" t="s">
        <v>26</v>
      </c>
      <c r="E2136" t="s">
        <v>38</v>
      </c>
      <c r="F2136" t="s">
        <v>34</v>
      </c>
      <c r="G2136" t="s">
        <v>691</v>
      </c>
      <c r="H2136" s="1">
        <v>45374.924305555556</v>
      </c>
      <c r="I2136" s="1">
        <v>45375.113194444442</v>
      </c>
      <c r="J2136">
        <v>196</v>
      </c>
      <c r="K2136">
        <v>272</v>
      </c>
      <c r="L2136">
        <v>1</v>
      </c>
      <c r="M2136" t="s">
        <v>41</v>
      </c>
      <c r="N2136">
        <v>5</v>
      </c>
      <c r="O2136">
        <v>71.91</v>
      </c>
    </row>
    <row r="2137" spans="1:15" x14ac:dyDescent="0.35">
      <c r="A2137" t="s">
        <v>4457</v>
      </c>
      <c r="B2137" t="s">
        <v>24</v>
      </c>
      <c r="C2137" t="s">
        <v>4458</v>
      </c>
      <c r="D2137" t="s">
        <v>56</v>
      </c>
      <c r="E2137" t="s">
        <v>38</v>
      </c>
      <c r="F2137" t="s">
        <v>57</v>
      </c>
      <c r="G2137" t="s">
        <v>785</v>
      </c>
      <c r="H2137" s="1">
        <v>45460.222222222219</v>
      </c>
      <c r="I2137" s="1">
        <v>45460.252083333333</v>
      </c>
      <c r="J2137">
        <v>43</v>
      </c>
      <c r="K2137">
        <v>43</v>
      </c>
      <c r="L2137">
        <v>0</v>
      </c>
      <c r="M2137" t="s">
        <v>22</v>
      </c>
      <c r="N2137">
        <v>1</v>
      </c>
      <c r="O2137">
        <v>120.37</v>
      </c>
    </row>
    <row r="2138" spans="1:15" x14ac:dyDescent="0.35">
      <c r="A2138" t="s">
        <v>4459</v>
      </c>
      <c r="B2138" t="s">
        <v>31</v>
      </c>
      <c r="C2138" t="s">
        <v>4460</v>
      </c>
      <c r="D2138" t="s">
        <v>26</v>
      </c>
      <c r="E2138" t="s">
        <v>19</v>
      </c>
      <c r="F2138" t="s">
        <v>27</v>
      </c>
      <c r="G2138" t="s">
        <v>268</v>
      </c>
      <c r="H2138" s="1">
        <v>45508.938888888886</v>
      </c>
      <c r="I2138" s="1">
        <v>45509.15</v>
      </c>
      <c r="J2138">
        <v>196</v>
      </c>
      <c r="K2138">
        <v>304</v>
      </c>
      <c r="L2138">
        <v>1</v>
      </c>
      <c r="M2138" t="s">
        <v>29</v>
      </c>
      <c r="N2138">
        <v>3</v>
      </c>
      <c r="O2138">
        <v>424.91</v>
      </c>
    </row>
    <row r="2139" spans="1:15" x14ac:dyDescent="0.35">
      <c r="A2139" t="s">
        <v>4461</v>
      </c>
      <c r="B2139" t="s">
        <v>31</v>
      </c>
      <c r="C2139" t="s">
        <v>4462</v>
      </c>
      <c r="D2139" t="s">
        <v>18</v>
      </c>
      <c r="E2139" t="s">
        <v>38</v>
      </c>
      <c r="F2139" t="s">
        <v>34</v>
      </c>
      <c r="G2139" t="s">
        <v>28</v>
      </c>
      <c r="H2139" s="1">
        <v>45487.631944444445</v>
      </c>
      <c r="I2139" s="1">
        <v>45487.712500000001</v>
      </c>
      <c r="J2139">
        <v>29</v>
      </c>
      <c r="K2139">
        <v>116</v>
      </c>
      <c r="L2139">
        <v>1</v>
      </c>
      <c r="M2139" t="s">
        <v>22</v>
      </c>
      <c r="N2139">
        <v>1</v>
      </c>
      <c r="O2139">
        <v>350.72</v>
      </c>
    </row>
    <row r="2140" spans="1:15" x14ac:dyDescent="0.35">
      <c r="A2140" t="s">
        <v>4463</v>
      </c>
      <c r="B2140" t="s">
        <v>31</v>
      </c>
      <c r="C2140" t="s">
        <v>4464</v>
      </c>
      <c r="D2140" t="s">
        <v>18</v>
      </c>
      <c r="E2140" t="s">
        <v>38</v>
      </c>
      <c r="F2140" t="s">
        <v>39</v>
      </c>
      <c r="G2140" t="s">
        <v>669</v>
      </c>
      <c r="H2140" s="1">
        <v>45330.558333333334</v>
      </c>
      <c r="I2140" s="1">
        <v>45330.640277777777</v>
      </c>
      <c r="J2140">
        <v>101</v>
      </c>
      <c r="K2140">
        <v>118</v>
      </c>
      <c r="L2140">
        <v>1</v>
      </c>
      <c r="M2140" t="s">
        <v>41</v>
      </c>
      <c r="N2140">
        <v>9</v>
      </c>
      <c r="O2140">
        <v>240.33</v>
      </c>
    </row>
    <row r="2141" spans="1:15" x14ac:dyDescent="0.35">
      <c r="A2141" t="s">
        <v>4465</v>
      </c>
      <c r="B2141" t="s">
        <v>16</v>
      </c>
      <c r="C2141" t="s">
        <v>4466</v>
      </c>
      <c r="D2141" t="s">
        <v>26</v>
      </c>
      <c r="E2141" t="s">
        <v>33</v>
      </c>
      <c r="F2141" t="s">
        <v>34</v>
      </c>
      <c r="G2141" t="s">
        <v>152</v>
      </c>
      <c r="H2141" s="1">
        <v>45339.28402777778</v>
      </c>
      <c r="I2141" s="1">
        <v>45339.361111111109</v>
      </c>
      <c r="J2141">
        <v>112</v>
      </c>
      <c r="K2141">
        <v>111</v>
      </c>
      <c r="L2141">
        <v>0</v>
      </c>
      <c r="M2141" t="s">
        <v>41</v>
      </c>
      <c r="N2141">
        <v>6</v>
      </c>
      <c r="O2141">
        <v>362.88</v>
      </c>
    </row>
    <row r="2142" spans="1:15" x14ac:dyDescent="0.35">
      <c r="A2142" t="s">
        <v>4467</v>
      </c>
      <c r="B2142" t="s">
        <v>51</v>
      </c>
      <c r="C2142" t="s">
        <v>4468</v>
      </c>
      <c r="D2142" t="s">
        <v>48</v>
      </c>
      <c r="E2142" t="s">
        <v>38</v>
      </c>
      <c r="F2142" t="s">
        <v>20</v>
      </c>
      <c r="G2142" t="s">
        <v>916</v>
      </c>
      <c r="H2142" s="1">
        <v>45465.886111111111</v>
      </c>
      <c r="I2142" s="1">
        <v>45465.94027777778</v>
      </c>
      <c r="J2142">
        <v>28</v>
      </c>
      <c r="K2142">
        <v>78</v>
      </c>
      <c r="L2142">
        <v>1</v>
      </c>
      <c r="M2142" t="s">
        <v>41</v>
      </c>
      <c r="N2142">
        <v>7</v>
      </c>
      <c r="O2142">
        <v>488.7</v>
      </c>
    </row>
    <row r="2143" spans="1:15" x14ac:dyDescent="0.35">
      <c r="A2143" t="s">
        <v>4469</v>
      </c>
      <c r="B2143" t="s">
        <v>31</v>
      </c>
      <c r="C2143" t="s">
        <v>4470</v>
      </c>
      <c r="D2143" t="s">
        <v>48</v>
      </c>
      <c r="E2143" t="s">
        <v>38</v>
      </c>
      <c r="F2143" t="s">
        <v>20</v>
      </c>
      <c r="G2143" t="s">
        <v>343</v>
      </c>
      <c r="H2143" s="1">
        <v>45618.864583333336</v>
      </c>
      <c r="I2143" s="1">
        <v>45618.995833333334</v>
      </c>
      <c r="J2143">
        <v>143</v>
      </c>
      <c r="K2143">
        <v>189</v>
      </c>
      <c r="L2143">
        <v>1</v>
      </c>
      <c r="M2143" t="s">
        <v>22</v>
      </c>
      <c r="N2143">
        <v>5</v>
      </c>
      <c r="O2143">
        <v>268.63</v>
      </c>
    </row>
    <row r="2144" spans="1:15" x14ac:dyDescent="0.35">
      <c r="A2144" t="s">
        <v>4471</v>
      </c>
      <c r="B2144" t="s">
        <v>16</v>
      </c>
      <c r="C2144" t="s">
        <v>4472</v>
      </c>
      <c r="D2144" t="s">
        <v>26</v>
      </c>
      <c r="E2144" t="s">
        <v>85</v>
      </c>
      <c r="F2144" t="s">
        <v>57</v>
      </c>
      <c r="G2144" t="s">
        <v>117</v>
      </c>
      <c r="H2144" s="1">
        <v>45577.15347222222</v>
      </c>
      <c r="I2144" s="1">
        <v>45577.219444444447</v>
      </c>
      <c r="J2144">
        <v>93</v>
      </c>
      <c r="K2144">
        <v>95</v>
      </c>
      <c r="L2144">
        <v>1</v>
      </c>
      <c r="M2144" t="s">
        <v>41</v>
      </c>
      <c r="N2144">
        <v>8</v>
      </c>
      <c r="O2144">
        <v>406.97</v>
      </c>
    </row>
    <row r="2145" spans="1:15" x14ac:dyDescent="0.35">
      <c r="A2145" t="s">
        <v>4473</v>
      </c>
      <c r="B2145" t="s">
        <v>24</v>
      </c>
      <c r="C2145" t="s">
        <v>4474</v>
      </c>
      <c r="D2145" t="s">
        <v>18</v>
      </c>
      <c r="E2145" t="s">
        <v>85</v>
      </c>
      <c r="F2145" t="s">
        <v>39</v>
      </c>
      <c r="G2145" t="s">
        <v>430</v>
      </c>
      <c r="H2145" s="1">
        <v>45446.176388888889</v>
      </c>
      <c r="I2145" s="1">
        <v>45446.209027777775</v>
      </c>
      <c r="J2145">
        <v>41</v>
      </c>
      <c r="K2145">
        <v>47</v>
      </c>
      <c r="L2145">
        <v>1</v>
      </c>
      <c r="M2145" t="s">
        <v>29</v>
      </c>
      <c r="N2145">
        <v>10</v>
      </c>
      <c r="O2145">
        <v>67.03</v>
      </c>
    </row>
    <row r="2146" spans="1:15" x14ac:dyDescent="0.35">
      <c r="A2146" t="s">
        <v>4475</v>
      </c>
      <c r="B2146" t="s">
        <v>63</v>
      </c>
      <c r="C2146" t="s">
        <v>4476</v>
      </c>
      <c r="D2146" t="s">
        <v>48</v>
      </c>
      <c r="E2146" t="s">
        <v>38</v>
      </c>
      <c r="F2146" t="s">
        <v>34</v>
      </c>
      <c r="G2146" t="s">
        <v>371</v>
      </c>
      <c r="H2146" s="1">
        <v>45513.005555555559</v>
      </c>
      <c r="I2146" s="1">
        <v>45513.175000000003</v>
      </c>
      <c r="J2146">
        <v>146</v>
      </c>
      <c r="K2146">
        <v>244</v>
      </c>
      <c r="L2146">
        <v>1</v>
      </c>
      <c r="M2146" t="s">
        <v>22</v>
      </c>
      <c r="N2146">
        <v>10</v>
      </c>
      <c r="O2146">
        <v>230.2</v>
      </c>
    </row>
    <row r="2147" spans="1:15" x14ac:dyDescent="0.35">
      <c r="A2147" t="s">
        <v>4477</v>
      </c>
      <c r="B2147" t="s">
        <v>31</v>
      </c>
      <c r="C2147" t="s">
        <v>4478</v>
      </c>
      <c r="D2147" t="s">
        <v>56</v>
      </c>
      <c r="E2147" t="s">
        <v>38</v>
      </c>
      <c r="F2147" t="s">
        <v>27</v>
      </c>
      <c r="G2147" t="s">
        <v>700</v>
      </c>
      <c r="H2147" s="1">
        <v>45581.816666666666</v>
      </c>
      <c r="I2147" s="1">
        <v>45581.84097222222</v>
      </c>
      <c r="J2147">
        <v>13</v>
      </c>
      <c r="K2147">
        <v>35</v>
      </c>
      <c r="L2147">
        <v>1</v>
      </c>
      <c r="M2147" t="s">
        <v>41</v>
      </c>
      <c r="N2147">
        <v>1</v>
      </c>
      <c r="O2147">
        <v>55.71</v>
      </c>
    </row>
    <row r="2148" spans="1:15" x14ac:dyDescent="0.35">
      <c r="A2148" t="s">
        <v>4479</v>
      </c>
      <c r="B2148" t="s">
        <v>24</v>
      </c>
      <c r="C2148" t="s">
        <v>4480</v>
      </c>
      <c r="D2148" t="s">
        <v>56</v>
      </c>
      <c r="E2148" t="s">
        <v>85</v>
      </c>
      <c r="F2148" t="s">
        <v>34</v>
      </c>
      <c r="G2148" t="s">
        <v>259</v>
      </c>
      <c r="H2148" s="1">
        <v>45320.801388888889</v>
      </c>
      <c r="I2148" s="1">
        <v>45320.907638888886</v>
      </c>
      <c r="J2148">
        <v>100</v>
      </c>
      <c r="K2148">
        <v>153</v>
      </c>
      <c r="L2148">
        <v>1</v>
      </c>
      <c r="M2148" t="s">
        <v>41</v>
      </c>
      <c r="N2148">
        <v>9</v>
      </c>
      <c r="O2148">
        <v>409.1</v>
      </c>
    </row>
    <row r="2149" spans="1:15" x14ac:dyDescent="0.35">
      <c r="A2149" t="s">
        <v>4481</v>
      </c>
      <c r="B2149" t="s">
        <v>51</v>
      </c>
      <c r="C2149" t="s">
        <v>4482</v>
      </c>
      <c r="D2149" t="s">
        <v>18</v>
      </c>
      <c r="E2149" t="s">
        <v>33</v>
      </c>
      <c r="F2149" t="s">
        <v>39</v>
      </c>
      <c r="G2149" t="s">
        <v>228</v>
      </c>
      <c r="H2149" s="1">
        <v>45480.179861111108</v>
      </c>
      <c r="I2149" s="1">
        <v>45480.340277777781</v>
      </c>
      <c r="J2149">
        <v>230</v>
      </c>
      <c r="K2149">
        <v>231</v>
      </c>
      <c r="L2149">
        <v>1</v>
      </c>
      <c r="M2149" t="s">
        <v>41</v>
      </c>
      <c r="N2149">
        <v>1</v>
      </c>
      <c r="O2149">
        <v>348.27</v>
      </c>
    </row>
    <row r="2150" spans="1:15" x14ac:dyDescent="0.35">
      <c r="A2150" t="s">
        <v>4483</v>
      </c>
      <c r="B2150" t="s">
        <v>51</v>
      </c>
      <c r="C2150" t="s">
        <v>4484</v>
      </c>
      <c r="D2150" t="s">
        <v>44</v>
      </c>
      <c r="E2150" t="s">
        <v>19</v>
      </c>
      <c r="F2150" t="s">
        <v>34</v>
      </c>
      <c r="G2150" t="s">
        <v>108</v>
      </c>
      <c r="H2150" s="1">
        <v>45371.411805555559</v>
      </c>
      <c r="I2150" s="1">
        <v>45371.484027777777</v>
      </c>
      <c r="J2150">
        <v>24</v>
      </c>
      <c r="K2150">
        <v>104</v>
      </c>
      <c r="L2150">
        <v>1</v>
      </c>
      <c r="M2150" t="s">
        <v>22</v>
      </c>
      <c r="N2150">
        <v>8</v>
      </c>
      <c r="O2150">
        <v>486.72</v>
      </c>
    </row>
    <row r="2151" spans="1:15" x14ac:dyDescent="0.35">
      <c r="A2151" t="s">
        <v>4485</v>
      </c>
      <c r="B2151" t="s">
        <v>63</v>
      </c>
      <c r="C2151" t="s">
        <v>4486</v>
      </c>
      <c r="D2151" t="s">
        <v>44</v>
      </c>
      <c r="E2151" t="s">
        <v>85</v>
      </c>
      <c r="F2151" t="s">
        <v>34</v>
      </c>
      <c r="G2151" t="s">
        <v>167</v>
      </c>
      <c r="H2151" s="1">
        <v>45437.785416666666</v>
      </c>
      <c r="I2151" s="1">
        <v>45437.949305555558</v>
      </c>
      <c r="J2151">
        <v>163</v>
      </c>
      <c r="K2151">
        <v>236</v>
      </c>
      <c r="L2151">
        <v>1</v>
      </c>
      <c r="M2151" t="s">
        <v>22</v>
      </c>
      <c r="N2151">
        <v>1</v>
      </c>
      <c r="O2151">
        <v>147.59</v>
      </c>
    </row>
    <row r="2152" spans="1:15" x14ac:dyDescent="0.35">
      <c r="A2152" t="s">
        <v>4487</v>
      </c>
      <c r="B2152" t="s">
        <v>63</v>
      </c>
      <c r="C2152" t="s">
        <v>4488</v>
      </c>
      <c r="D2152" t="s">
        <v>26</v>
      </c>
      <c r="E2152" t="s">
        <v>85</v>
      </c>
      <c r="F2152" t="s">
        <v>34</v>
      </c>
      <c r="G2152" t="s">
        <v>410</v>
      </c>
      <c r="H2152" s="1">
        <v>45569.648611111108</v>
      </c>
      <c r="I2152" s="1">
        <v>45569.74722222222</v>
      </c>
      <c r="J2152">
        <v>78</v>
      </c>
      <c r="K2152">
        <v>142</v>
      </c>
      <c r="L2152">
        <v>1</v>
      </c>
      <c r="M2152" t="s">
        <v>29</v>
      </c>
      <c r="N2152">
        <v>10</v>
      </c>
      <c r="O2152">
        <v>54.53</v>
      </c>
    </row>
    <row r="2153" spans="1:15" x14ac:dyDescent="0.35">
      <c r="A2153" t="s">
        <v>4489</v>
      </c>
      <c r="B2153" t="s">
        <v>16</v>
      </c>
      <c r="C2153" t="s">
        <v>4490</v>
      </c>
      <c r="D2153" t="s">
        <v>48</v>
      </c>
      <c r="E2153" t="s">
        <v>85</v>
      </c>
      <c r="F2153" t="s">
        <v>27</v>
      </c>
      <c r="G2153" t="s">
        <v>754</v>
      </c>
      <c r="H2153" s="1">
        <v>45475.12777777778</v>
      </c>
      <c r="I2153" s="1">
        <v>45475.320833333331</v>
      </c>
      <c r="J2153">
        <v>212</v>
      </c>
      <c r="K2153">
        <v>278</v>
      </c>
      <c r="L2153">
        <v>1</v>
      </c>
      <c r="M2153" t="s">
        <v>41</v>
      </c>
      <c r="N2153">
        <v>5</v>
      </c>
      <c r="O2153">
        <v>126.04</v>
      </c>
    </row>
    <row r="2154" spans="1:15" x14ac:dyDescent="0.35">
      <c r="A2154" t="s">
        <v>4491</v>
      </c>
      <c r="B2154" t="s">
        <v>31</v>
      </c>
      <c r="C2154" t="s">
        <v>4492</v>
      </c>
      <c r="D2154" t="s">
        <v>44</v>
      </c>
      <c r="E2154" t="s">
        <v>38</v>
      </c>
      <c r="F2154" t="s">
        <v>27</v>
      </c>
      <c r="G2154" t="s">
        <v>259</v>
      </c>
      <c r="H2154" s="1">
        <v>45368.42291666667</v>
      </c>
      <c r="I2154" s="1">
        <v>45368.522916666669</v>
      </c>
      <c r="J2154">
        <v>29</v>
      </c>
      <c r="K2154">
        <v>144</v>
      </c>
      <c r="L2154">
        <v>1</v>
      </c>
      <c r="M2154" t="s">
        <v>29</v>
      </c>
      <c r="N2154">
        <v>7</v>
      </c>
      <c r="O2154">
        <v>166.2</v>
      </c>
    </row>
    <row r="2155" spans="1:15" x14ac:dyDescent="0.35">
      <c r="A2155" t="s">
        <v>4493</v>
      </c>
      <c r="B2155" t="s">
        <v>16</v>
      </c>
      <c r="C2155" t="s">
        <v>4494</v>
      </c>
      <c r="D2155" t="s">
        <v>56</v>
      </c>
      <c r="E2155" t="s">
        <v>33</v>
      </c>
      <c r="F2155" t="s">
        <v>27</v>
      </c>
      <c r="G2155" t="s">
        <v>599</v>
      </c>
      <c r="H2155" s="1">
        <v>45615.905555555553</v>
      </c>
      <c r="I2155" s="1">
        <v>45615.917361111111</v>
      </c>
      <c r="J2155">
        <v>14</v>
      </c>
      <c r="K2155">
        <v>17</v>
      </c>
      <c r="L2155">
        <v>1</v>
      </c>
      <c r="M2155" t="s">
        <v>29</v>
      </c>
      <c r="N2155">
        <v>4</v>
      </c>
      <c r="O2155">
        <v>179.13</v>
      </c>
    </row>
    <row r="2156" spans="1:15" x14ac:dyDescent="0.35">
      <c r="A2156" t="s">
        <v>4495</v>
      </c>
      <c r="B2156" t="s">
        <v>51</v>
      </c>
      <c r="C2156" t="s">
        <v>4496</v>
      </c>
      <c r="D2156" t="s">
        <v>48</v>
      </c>
      <c r="E2156" t="s">
        <v>19</v>
      </c>
      <c r="F2156" t="s">
        <v>57</v>
      </c>
      <c r="G2156" t="s">
        <v>371</v>
      </c>
      <c r="H2156" s="1">
        <v>45376.325694444444</v>
      </c>
      <c r="I2156" s="1">
        <v>45376.470138888886</v>
      </c>
      <c r="J2156">
        <v>116</v>
      </c>
      <c r="K2156">
        <v>208</v>
      </c>
      <c r="L2156">
        <v>1</v>
      </c>
      <c r="M2156" t="s">
        <v>22</v>
      </c>
      <c r="N2156">
        <v>6</v>
      </c>
      <c r="O2156">
        <v>331.28</v>
      </c>
    </row>
    <row r="2157" spans="1:15" x14ac:dyDescent="0.35">
      <c r="A2157" t="s">
        <v>4497</v>
      </c>
      <c r="B2157" t="s">
        <v>31</v>
      </c>
      <c r="C2157" t="s">
        <v>4498</v>
      </c>
      <c r="D2157" t="s">
        <v>26</v>
      </c>
      <c r="E2157" t="s">
        <v>19</v>
      </c>
      <c r="F2157" t="s">
        <v>34</v>
      </c>
      <c r="G2157" t="s">
        <v>681</v>
      </c>
      <c r="H2157" s="1">
        <v>45531.669444444444</v>
      </c>
      <c r="I2157" s="1">
        <v>45531.756944444445</v>
      </c>
      <c r="J2157">
        <v>90</v>
      </c>
      <c r="K2157">
        <v>126</v>
      </c>
      <c r="L2157">
        <v>1</v>
      </c>
      <c r="M2157" t="s">
        <v>29</v>
      </c>
      <c r="N2157">
        <v>8</v>
      </c>
      <c r="O2157">
        <v>388.41</v>
      </c>
    </row>
    <row r="2158" spans="1:15" x14ac:dyDescent="0.35">
      <c r="A2158" t="s">
        <v>4499</v>
      </c>
      <c r="B2158" t="s">
        <v>24</v>
      </c>
      <c r="C2158" t="s">
        <v>4500</v>
      </c>
      <c r="D2158" t="s">
        <v>48</v>
      </c>
      <c r="E2158" t="s">
        <v>33</v>
      </c>
      <c r="F2158" t="s">
        <v>34</v>
      </c>
      <c r="G2158" t="s">
        <v>140</v>
      </c>
      <c r="H2158" s="1">
        <v>45301.615972222222</v>
      </c>
      <c r="I2158" s="1">
        <v>45301.765277777777</v>
      </c>
      <c r="J2158">
        <v>144</v>
      </c>
      <c r="K2158">
        <v>215</v>
      </c>
      <c r="L2158">
        <v>1</v>
      </c>
      <c r="M2158" t="s">
        <v>22</v>
      </c>
      <c r="N2158">
        <v>9</v>
      </c>
      <c r="O2158">
        <v>91.41</v>
      </c>
    </row>
    <row r="2159" spans="1:15" x14ac:dyDescent="0.35">
      <c r="A2159" t="s">
        <v>4501</v>
      </c>
      <c r="B2159" t="s">
        <v>51</v>
      </c>
      <c r="C2159" t="s">
        <v>4502</v>
      </c>
      <c r="D2159" t="s">
        <v>48</v>
      </c>
      <c r="E2159" t="s">
        <v>38</v>
      </c>
      <c r="F2159" t="s">
        <v>27</v>
      </c>
      <c r="G2159" t="s">
        <v>204</v>
      </c>
      <c r="H2159" s="1">
        <v>45516.853472222225</v>
      </c>
      <c r="I2159" s="1">
        <v>45516.914583333331</v>
      </c>
      <c r="J2159">
        <v>29</v>
      </c>
      <c r="K2159">
        <v>88</v>
      </c>
      <c r="L2159">
        <v>1</v>
      </c>
      <c r="M2159" t="s">
        <v>41</v>
      </c>
      <c r="N2159">
        <v>9</v>
      </c>
      <c r="O2159">
        <v>216.73</v>
      </c>
    </row>
    <row r="2160" spans="1:15" x14ac:dyDescent="0.35">
      <c r="A2160" t="s">
        <v>4503</v>
      </c>
      <c r="B2160" t="s">
        <v>63</v>
      </c>
      <c r="C2160" t="s">
        <v>4504</v>
      </c>
      <c r="D2160" t="s">
        <v>56</v>
      </c>
      <c r="E2160" t="s">
        <v>85</v>
      </c>
      <c r="F2160" t="s">
        <v>20</v>
      </c>
      <c r="G2160" t="s">
        <v>126</v>
      </c>
      <c r="H2160" s="1">
        <v>45371.137499999997</v>
      </c>
      <c r="I2160" s="1">
        <v>45371.206250000003</v>
      </c>
      <c r="J2160">
        <v>69</v>
      </c>
      <c r="K2160">
        <v>99</v>
      </c>
      <c r="L2160">
        <v>1</v>
      </c>
      <c r="M2160" t="s">
        <v>29</v>
      </c>
      <c r="N2160">
        <v>7</v>
      </c>
      <c r="O2160">
        <v>154.5</v>
      </c>
    </row>
    <row r="2161" spans="1:15" x14ac:dyDescent="0.35">
      <c r="A2161" t="s">
        <v>4505</v>
      </c>
      <c r="B2161" t="s">
        <v>31</v>
      </c>
      <c r="C2161" t="s">
        <v>4506</v>
      </c>
      <c r="D2161" t="s">
        <v>48</v>
      </c>
      <c r="E2161" t="s">
        <v>85</v>
      </c>
      <c r="F2161" t="s">
        <v>39</v>
      </c>
      <c r="G2161" t="s">
        <v>108</v>
      </c>
      <c r="H2161" s="1">
        <v>45434.315972222219</v>
      </c>
      <c r="I2161" s="1">
        <v>45434.478472222225</v>
      </c>
      <c r="J2161">
        <v>191</v>
      </c>
      <c r="K2161">
        <v>234</v>
      </c>
      <c r="L2161">
        <v>1</v>
      </c>
      <c r="M2161" t="s">
        <v>22</v>
      </c>
      <c r="N2161">
        <v>10</v>
      </c>
      <c r="O2161">
        <v>93.32</v>
      </c>
    </row>
    <row r="2162" spans="1:15" x14ac:dyDescent="0.35">
      <c r="A2162" t="s">
        <v>4507</v>
      </c>
      <c r="B2162" t="s">
        <v>24</v>
      </c>
      <c r="C2162" t="s">
        <v>4508</v>
      </c>
      <c r="D2162" t="s">
        <v>44</v>
      </c>
      <c r="E2162" t="s">
        <v>85</v>
      </c>
      <c r="F2162" t="s">
        <v>34</v>
      </c>
      <c r="G2162" t="s">
        <v>228</v>
      </c>
      <c r="H2162" s="1">
        <v>45406.645833333336</v>
      </c>
      <c r="I2162" s="1">
        <v>45406.821527777778</v>
      </c>
      <c r="J2162">
        <v>141</v>
      </c>
      <c r="K2162">
        <v>253</v>
      </c>
      <c r="L2162">
        <v>1</v>
      </c>
      <c r="M2162" t="s">
        <v>29</v>
      </c>
      <c r="N2162">
        <v>6</v>
      </c>
      <c r="O2162">
        <v>57.31</v>
      </c>
    </row>
    <row r="2163" spans="1:15" x14ac:dyDescent="0.35">
      <c r="A2163" t="s">
        <v>4509</v>
      </c>
      <c r="B2163" t="s">
        <v>16</v>
      </c>
      <c r="C2163" t="s">
        <v>4510</v>
      </c>
      <c r="D2163" t="s">
        <v>56</v>
      </c>
      <c r="E2163" t="s">
        <v>38</v>
      </c>
      <c r="F2163" t="s">
        <v>39</v>
      </c>
      <c r="G2163" t="s">
        <v>146</v>
      </c>
      <c r="H2163" s="1">
        <v>45564.939583333333</v>
      </c>
      <c r="I2163" s="1">
        <v>45565.097222222219</v>
      </c>
      <c r="J2163">
        <v>154</v>
      </c>
      <c r="K2163">
        <v>227</v>
      </c>
      <c r="L2163">
        <v>1</v>
      </c>
      <c r="M2163" t="s">
        <v>22</v>
      </c>
      <c r="N2163">
        <v>8</v>
      </c>
      <c r="O2163">
        <v>417.74</v>
      </c>
    </row>
    <row r="2164" spans="1:15" x14ac:dyDescent="0.35">
      <c r="A2164" t="s">
        <v>4511</v>
      </c>
      <c r="B2164" t="s">
        <v>24</v>
      </c>
      <c r="C2164" t="s">
        <v>4512</v>
      </c>
      <c r="D2164" t="s">
        <v>56</v>
      </c>
      <c r="E2164" t="s">
        <v>85</v>
      </c>
      <c r="F2164" t="s">
        <v>34</v>
      </c>
      <c r="G2164" t="s">
        <v>268</v>
      </c>
      <c r="H2164" s="1">
        <v>45601.885416666664</v>
      </c>
      <c r="I2164" s="1">
        <v>45601.936805555553</v>
      </c>
      <c r="J2164">
        <v>72</v>
      </c>
      <c r="K2164">
        <v>74</v>
      </c>
      <c r="L2164">
        <v>1</v>
      </c>
      <c r="M2164" t="s">
        <v>41</v>
      </c>
      <c r="N2164">
        <v>3</v>
      </c>
      <c r="O2164">
        <v>182.91</v>
      </c>
    </row>
    <row r="2165" spans="1:15" x14ac:dyDescent="0.35">
      <c r="A2165" t="s">
        <v>4513</v>
      </c>
      <c r="B2165" t="s">
        <v>31</v>
      </c>
      <c r="C2165" t="s">
        <v>4514</v>
      </c>
      <c r="D2165" t="s">
        <v>26</v>
      </c>
      <c r="E2165" t="s">
        <v>19</v>
      </c>
      <c r="F2165" t="s">
        <v>39</v>
      </c>
      <c r="G2165" t="s">
        <v>146</v>
      </c>
      <c r="H2165" s="1">
        <v>45505.171527777777</v>
      </c>
      <c r="I2165" s="1">
        <v>45505.256944444445</v>
      </c>
      <c r="J2165">
        <v>69</v>
      </c>
      <c r="K2165">
        <v>123</v>
      </c>
      <c r="L2165">
        <v>1</v>
      </c>
      <c r="M2165" t="s">
        <v>29</v>
      </c>
      <c r="N2165">
        <v>7</v>
      </c>
      <c r="O2165">
        <v>417.4</v>
      </c>
    </row>
    <row r="2166" spans="1:15" x14ac:dyDescent="0.35">
      <c r="A2166" t="s">
        <v>4515</v>
      </c>
      <c r="B2166" t="s">
        <v>31</v>
      </c>
      <c r="C2166" t="s">
        <v>4516</v>
      </c>
      <c r="D2166" t="s">
        <v>56</v>
      </c>
      <c r="E2166" t="s">
        <v>85</v>
      </c>
      <c r="F2166" t="s">
        <v>39</v>
      </c>
      <c r="G2166" t="s">
        <v>407</v>
      </c>
      <c r="H2166" s="1">
        <v>45567.260416666664</v>
      </c>
      <c r="I2166" s="1">
        <v>45567.311111111114</v>
      </c>
      <c r="J2166">
        <v>64</v>
      </c>
      <c r="K2166">
        <v>73</v>
      </c>
      <c r="L2166">
        <v>1</v>
      </c>
      <c r="M2166" t="s">
        <v>41</v>
      </c>
      <c r="N2166">
        <v>10</v>
      </c>
      <c r="O2166">
        <v>141.22</v>
      </c>
    </row>
    <row r="2167" spans="1:15" x14ac:dyDescent="0.35">
      <c r="A2167" t="s">
        <v>4517</v>
      </c>
      <c r="B2167" t="s">
        <v>51</v>
      </c>
      <c r="C2167" t="s">
        <v>4518</v>
      </c>
      <c r="D2167" t="s">
        <v>18</v>
      </c>
      <c r="E2167" t="s">
        <v>85</v>
      </c>
      <c r="F2167" t="s">
        <v>27</v>
      </c>
      <c r="G2167" t="s">
        <v>152</v>
      </c>
      <c r="H2167" s="1">
        <v>45464.364583333336</v>
      </c>
      <c r="I2167" s="1">
        <v>45464.536111111112</v>
      </c>
      <c r="J2167">
        <v>189</v>
      </c>
      <c r="K2167">
        <v>247</v>
      </c>
      <c r="L2167">
        <v>1</v>
      </c>
      <c r="M2167" t="s">
        <v>22</v>
      </c>
      <c r="N2167">
        <v>4</v>
      </c>
      <c r="O2167">
        <v>153.11000000000001</v>
      </c>
    </row>
    <row r="2168" spans="1:15" x14ac:dyDescent="0.35">
      <c r="A2168" t="s">
        <v>4519</v>
      </c>
      <c r="B2168" t="s">
        <v>16</v>
      </c>
      <c r="C2168" t="s">
        <v>4520</v>
      </c>
      <c r="D2168" t="s">
        <v>56</v>
      </c>
      <c r="E2168" t="s">
        <v>38</v>
      </c>
      <c r="F2168" t="s">
        <v>20</v>
      </c>
      <c r="G2168" t="s">
        <v>237</v>
      </c>
      <c r="H2168" s="1">
        <v>45582.955555555556</v>
      </c>
      <c r="I2168" s="1">
        <v>45583.056250000001</v>
      </c>
      <c r="J2168">
        <v>99</v>
      </c>
      <c r="K2168">
        <v>145</v>
      </c>
      <c r="L2168">
        <v>1</v>
      </c>
      <c r="M2168" t="s">
        <v>41</v>
      </c>
      <c r="N2168">
        <v>5</v>
      </c>
      <c r="O2168">
        <v>385.66</v>
      </c>
    </row>
    <row r="2169" spans="1:15" x14ac:dyDescent="0.35">
      <c r="A2169" t="s">
        <v>4521</v>
      </c>
      <c r="B2169" t="s">
        <v>63</v>
      </c>
      <c r="C2169" t="s">
        <v>4522</v>
      </c>
      <c r="D2169" t="s">
        <v>48</v>
      </c>
      <c r="E2169" t="s">
        <v>85</v>
      </c>
      <c r="F2169" t="s">
        <v>39</v>
      </c>
      <c r="G2169" t="s">
        <v>204</v>
      </c>
      <c r="H2169" s="1">
        <v>45647.071527777778</v>
      </c>
      <c r="I2169" s="1">
        <v>45647.272222222222</v>
      </c>
      <c r="J2169">
        <v>198</v>
      </c>
      <c r="K2169">
        <v>289</v>
      </c>
      <c r="L2169">
        <v>1</v>
      </c>
      <c r="M2169" t="s">
        <v>22</v>
      </c>
      <c r="N2169">
        <v>9</v>
      </c>
      <c r="O2169">
        <v>282.81</v>
      </c>
    </row>
    <row r="2170" spans="1:15" x14ac:dyDescent="0.35">
      <c r="A2170" t="s">
        <v>4523</v>
      </c>
      <c r="B2170" t="s">
        <v>51</v>
      </c>
      <c r="C2170" t="s">
        <v>4524</v>
      </c>
      <c r="D2170" t="s">
        <v>56</v>
      </c>
      <c r="E2170" t="s">
        <v>33</v>
      </c>
      <c r="F2170" t="s">
        <v>27</v>
      </c>
      <c r="G2170" t="s">
        <v>691</v>
      </c>
      <c r="H2170" s="1">
        <v>45539.511805555558</v>
      </c>
      <c r="I2170" s="1">
        <v>45539.654861111114</v>
      </c>
      <c r="J2170">
        <v>143</v>
      </c>
      <c r="K2170">
        <v>206</v>
      </c>
      <c r="L2170">
        <v>1</v>
      </c>
      <c r="M2170" t="s">
        <v>22</v>
      </c>
      <c r="N2170">
        <v>7</v>
      </c>
      <c r="O2170">
        <v>322.08999999999997</v>
      </c>
    </row>
    <row r="2171" spans="1:15" x14ac:dyDescent="0.35">
      <c r="A2171" t="s">
        <v>4525</v>
      </c>
      <c r="B2171" t="s">
        <v>24</v>
      </c>
      <c r="C2171" t="s">
        <v>4526</v>
      </c>
      <c r="D2171" t="s">
        <v>44</v>
      </c>
      <c r="E2171" t="s">
        <v>85</v>
      </c>
      <c r="F2171" t="s">
        <v>34</v>
      </c>
      <c r="G2171" t="s">
        <v>240</v>
      </c>
      <c r="H2171" s="1">
        <v>45325.914583333331</v>
      </c>
      <c r="I2171" s="1">
        <v>45326.061805555553</v>
      </c>
      <c r="J2171">
        <v>172</v>
      </c>
      <c r="K2171">
        <v>212</v>
      </c>
      <c r="L2171">
        <v>1</v>
      </c>
      <c r="M2171" t="s">
        <v>22</v>
      </c>
      <c r="N2171">
        <v>10</v>
      </c>
      <c r="O2171">
        <v>246.27</v>
      </c>
    </row>
    <row r="2172" spans="1:15" x14ac:dyDescent="0.35">
      <c r="A2172" t="s">
        <v>4527</v>
      </c>
      <c r="B2172" t="s">
        <v>24</v>
      </c>
      <c r="C2172" t="s">
        <v>4528</v>
      </c>
      <c r="D2172" t="s">
        <v>48</v>
      </c>
      <c r="E2172" t="s">
        <v>38</v>
      </c>
      <c r="F2172" t="s">
        <v>20</v>
      </c>
      <c r="G2172" t="s">
        <v>259</v>
      </c>
      <c r="H2172" s="1">
        <v>45545.788194444445</v>
      </c>
      <c r="I2172" s="1">
        <v>45545.909722222219</v>
      </c>
      <c r="J2172">
        <v>108</v>
      </c>
      <c r="K2172">
        <v>175</v>
      </c>
      <c r="L2172">
        <v>1</v>
      </c>
      <c r="M2172" t="s">
        <v>22</v>
      </c>
      <c r="N2172">
        <v>7</v>
      </c>
      <c r="O2172">
        <v>480.93</v>
      </c>
    </row>
    <row r="2173" spans="1:15" x14ac:dyDescent="0.35">
      <c r="A2173" t="s">
        <v>4529</v>
      </c>
      <c r="B2173" t="s">
        <v>31</v>
      </c>
      <c r="C2173" t="s">
        <v>4530</v>
      </c>
      <c r="D2173" t="s">
        <v>56</v>
      </c>
      <c r="E2173" t="s">
        <v>33</v>
      </c>
      <c r="F2173" t="s">
        <v>57</v>
      </c>
      <c r="G2173" t="s">
        <v>647</v>
      </c>
      <c r="H2173" s="1">
        <v>45597.797222222223</v>
      </c>
      <c r="I2173" s="1">
        <v>45597.99722222222</v>
      </c>
      <c r="J2173">
        <v>238</v>
      </c>
      <c r="K2173">
        <v>288</v>
      </c>
      <c r="L2173">
        <v>1</v>
      </c>
      <c r="M2173" t="s">
        <v>29</v>
      </c>
      <c r="N2173">
        <v>10</v>
      </c>
      <c r="O2173">
        <v>267.60000000000002</v>
      </c>
    </row>
    <row r="2174" spans="1:15" x14ac:dyDescent="0.35">
      <c r="A2174" t="s">
        <v>4531</v>
      </c>
      <c r="B2174" t="s">
        <v>31</v>
      </c>
      <c r="C2174" t="s">
        <v>4532</v>
      </c>
      <c r="D2174" t="s">
        <v>18</v>
      </c>
      <c r="E2174" t="s">
        <v>38</v>
      </c>
      <c r="F2174" t="s">
        <v>57</v>
      </c>
      <c r="G2174" t="s">
        <v>599</v>
      </c>
      <c r="H2174" s="1">
        <v>45488.26458333333</v>
      </c>
      <c r="I2174" s="1">
        <v>45488.419444444444</v>
      </c>
      <c r="J2174">
        <v>202</v>
      </c>
      <c r="K2174">
        <v>223</v>
      </c>
      <c r="L2174">
        <v>1</v>
      </c>
      <c r="M2174" t="s">
        <v>41</v>
      </c>
      <c r="N2174">
        <v>5</v>
      </c>
      <c r="O2174">
        <v>51.91</v>
      </c>
    </row>
    <row r="2175" spans="1:15" x14ac:dyDescent="0.35">
      <c r="A2175" t="s">
        <v>4533</v>
      </c>
      <c r="B2175" t="s">
        <v>51</v>
      </c>
      <c r="C2175" t="s">
        <v>4534</v>
      </c>
      <c r="D2175" t="s">
        <v>26</v>
      </c>
      <c r="E2175" t="s">
        <v>85</v>
      </c>
      <c r="F2175" t="s">
        <v>20</v>
      </c>
      <c r="G2175" t="s">
        <v>97</v>
      </c>
      <c r="H2175" s="1">
        <v>45522.956944444442</v>
      </c>
      <c r="I2175" s="1">
        <v>45523.165972222225</v>
      </c>
      <c r="J2175">
        <v>212</v>
      </c>
      <c r="K2175">
        <v>301</v>
      </c>
      <c r="L2175">
        <v>1</v>
      </c>
      <c r="M2175" t="s">
        <v>29</v>
      </c>
      <c r="N2175">
        <v>4</v>
      </c>
      <c r="O2175">
        <v>399.81</v>
      </c>
    </row>
    <row r="2176" spans="1:15" x14ac:dyDescent="0.35">
      <c r="A2176" t="s">
        <v>4535</v>
      </c>
      <c r="B2176" t="s">
        <v>51</v>
      </c>
      <c r="C2176" t="s">
        <v>4536</v>
      </c>
      <c r="D2176" t="s">
        <v>56</v>
      </c>
      <c r="E2176" t="s">
        <v>33</v>
      </c>
      <c r="F2176" t="s">
        <v>27</v>
      </c>
      <c r="G2176" t="s">
        <v>640</v>
      </c>
      <c r="H2176" s="1">
        <v>45480.217361111114</v>
      </c>
      <c r="I2176" s="1">
        <v>45480.317361111112</v>
      </c>
      <c r="J2176">
        <v>108</v>
      </c>
      <c r="K2176">
        <v>144</v>
      </c>
      <c r="L2176">
        <v>1</v>
      </c>
      <c r="M2176" t="s">
        <v>29</v>
      </c>
      <c r="N2176">
        <v>6</v>
      </c>
      <c r="O2176">
        <v>229.78</v>
      </c>
    </row>
    <row r="2177" spans="1:15" x14ac:dyDescent="0.35">
      <c r="A2177" t="s">
        <v>4537</v>
      </c>
      <c r="B2177" t="s">
        <v>16</v>
      </c>
      <c r="C2177" t="s">
        <v>4538</v>
      </c>
      <c r="D2177" t="s">
        <v>56</v>
      </c>
      <c r="E2177" t="s">
        <v>33</v>
      </c>
      <c r="F2177" t="s">
        <v>57</v>
      </c>
      <c r="G2177" t="s">
        <v>311</v>
      </c>
      <c r="H2177" s="1">
        <v>45366.329861111109</v>
      </c>
      <c r="I2177" s="1">
        <v>45366.487500000003</v>
      </c>
      <c r="J2177">
        <v>186</v>
      </c>
      <c r="K2177">
        <v>227</v>
      </c>
      <c r="L2177">
        <v>1</v>
      </c>
      <c r="M2177" t="s">
        <v>22</v>
      </c>
      <c r="N2177">
        <v>1</v>
      </c>
      <c r="O2177">
        <v>272.5</v>
      </c>
    </row>
    <row r="2178" spans="1:15" x14ac:dyDescent="0.35">
      <c r="A2178" t="s">
        <v>4539</v>
      </c>
      <c r="B2178" t="s">
        <v>63</v>
      </c>
      <c r="C2178" t="s">
        <v>4540</v>
      </c>
      <c r="D2178" t="s">
        <v>18</v>
      </c>
      <c r="E2178" t="s">
        <v>85</v>
      </c>
      <c r="F2178" t="s">
        <v>39</v>
      </c>
      <c r="G2178" t="s">
        <v>114</v>
      </c>
      <c r="H2178" s="1">
        <v>45617.414583333331</v>
      </c>
      <c r="I2178" s="1">
        <v>45617.561805555553</v>
      </c>
      <c r="J2178">
        <v>110</v>
      </c>
      <c r="K2178">
        <v>212</v>
      </c>
      <c r="L2178">
        <v>1</v>
      </c>
      <c r="M2178" t="s">
        <v>22</v>
      </c>
      <c r="N2178">
        <v>10</v>
      </c>
      <c r="O2178">
        <v>123.52</v>
      </c>
    </row>
    <row r="2179" spans="1:15" x14ac:dyDescent="0.35">
      <c r="A2179" t="s">
        <v>4541</v>
      </c>
      <c r="B2179" t="s">
        <v>51</v>
      </c>
      <c r="C2179" t="s">
        <v>4542</v>
      </c>
      <c r="D2179" t="s">
        <v>44</v>
      </c>
      <c r="E2179" t="s">
        <v>85</v>
      </c>
      <c r="F2179" t="s">
        <v>57</v>
      </c>
      <c r="G2179" t="s">
        <v>140</v>
      </c>
      <c r="H2179" s="1">
        <v>45460.939583333333</v>
      </c>
      <c r="I2179" s="1">
        <v>45461.018055555556</v>
      </c>
      <c r="J2179">
        <v>113</v>
      </c>
      <c r="K2179">
        <v>113</v>
      </c>
      <c r="L2179">
        <v>0</v>
      </c>
      <c r="M2179" t="s">
        <v>29</v>
      </c>
      <c r="N2179">
        <v>3</v>
      </c>
      <c r="O2179">
        <v>327.27999999999997</v>
      </c>
    </row>
    <row r="2180" spans="1:15" x14ac:dyDescent="0.35">
      <c r="A2180" t="s">
        <v>4543</v>
      </c>
      <c r="B2180" t="s">
        <v>63</v>
      </c>
      <c r="C2180" t="s">
        <v>4544</v>
      </c>
      <c r="D2180" t="s">
        <v>56</v>
      </c>
      <c r="E2180" t="s">
        <v>19</v>
      </c>
      <c r="F2180" t="s">
        <v>20</v>
      </c>
      <c r="G2180" t="s">
        <v>462</v>
      </c>
      <c r="H2180" s="1">
        <v>45302.103472222225</v>
      </c>
      <c r="I2180" s="1">
        <v>45302.272916666669</v>
      </c>
      <c r="J2180">
        <v>154</v>
      </c>
      <c r="K2180">
        <v>244</v>
      </c>
      <c r="L2180">
        <v>1</v>
      </c>
      <c r="M2180" t="s">
        <v>22</v>
      </c>
      <c r="N2180">
        <v>6</v>
      </c>
      <c r="O2180">
        <v>139.1</v>
      </c>
    </row>
    <row r="2181" spans="1:15" x14ac:dyDescent="0.35">
      <c r="A2181" t="s">
        <v>4545</v>
      </c>
      <c r="B2181" t="s">
        <v>24</v>
      </c>
      <c r="C2181" t="s">
        <v>4546</v>
      </c>
      <c r="D2181" t="s">
        <v>44</v>
      </c>
      <c r="E2181" t="s">
        <v>38</v>
      </c>
      <c r="F2181" t="s">
        <v>39</v>
      </c>
      <c r="G2181" t="s">
        <v>129</v>
      </c>
      <c r="H2181" s="1">
        <v>45642.322222222225</v>
      </c>
      <c r="I2181" s="1">
        <v>45642.435416666667</v>
      </c>
      <c r="J2181">
        <v>102</v>
      </c>
      <c r="K2181">
        <v>163</v>
      </c>
      <c r="L2181">
        <v>1</v>
      </c>
      <c r="M2181" t="s">
        <v>22</v>
      </c>
      <c r="N2181">
        <v>9</v>
      </c>
      <c r="O2181">
        <v>231.62</v>
      </c>
    </row>
    <row r="2182" spans="1:15" x14ac:dyDescent="0.35">
      <c r="A2182" t="s">
        <v>4547</v>
      </c>
      <c r="B2182" t="s">
        <v>16</v>
      </c>
      <c r="C2182" t="s">
        <v>4548</v>
      </c>
      <c r="D2182" t="s">
        <v>44</v>
      </c>
      <c r="E2182" t="s">
        <v>19</v>
      </c>
      <c r="F2182" t="s">
        <v>39</v>
      </c>
      <c r="G2182" t="s">
        <v>311</v>
      </c>
      <c r="H2182" s="1">
        <v>45321.06527777778</v>
      </c>
      <c r="I2182" s="1">
        <v>45321.155555555553</v>
      </c>
      <c r="J2182">
        <v>123</v>
      </c>
      <c r="K2182">
        <v>130</v>
      </c>
      <c r="L2182">
        <v>1</v>
      </c>
      <c r="M2182" t="s">
        <v>29</v>
      </c>
      <c r="N2182">
        <v>8</v>
      </c>
      <c r="O2182">
        <v>355.66</v>
      </c>
    </row>
    <row r="2183" spans="1:15" x14ac:dyDescent="0.35">
      <c r="A2183" t="s">
        <v>4549</v>
      </c>
      <c r="B2183" t="s">
        <v>24</v>
      </c>
      <c r="C2183" t="s">
        <v>4550</v>
      </c>
      <c r="D2183" t="s">
        <v>56</v>
      </c>
      <c r="E2183" t="s">
        <v>85</v>
      </c>
      <c r="F2183" t="s">
        <v>20</v>
      </c>
      <c r="G2183" t="s">
        <v>103</v>
      </c>
      <c r="H2183" s="1">
        <v>45373.018055555556</v>
      </c>
      <c r="I2183" s="1">
        <v>45373.09652777778</v>
      </c>
      <c r="J2183">
        <v>32</v>
      </c>
      <c r="K2183">
        <v>113</v>
      </c>
      <c r="L2183">
        <v>1</v>
      </c>
      <c r="M2183" t="s">
        <v>22</v>
      </c>
      <c r="N2183">
        <v>6</v>
      </c>
      <c r="O2183">
        <v>70.22</v>
      </c>
    </row>
    <row r="2184" spans="1:15" x14ac:dyDescent="0.35">
      <c r="A2184" t="s">
        <v>4551</v>
      </c>
      <c r="B2184" t="s">
        <v>31</v>
      </c>
      <c r="C2184" t="s">
        <v>4552</v>
      </c>
      <c r="D2184" t="s">
        <v>48</v>
      </c>
      <c r="E2184" t="s">
        <v>38</v>
      </c>
      <c r="F2184" t="s">
        <v>39</v>
      </c>
      <c r="G2184" t="s">
        <v>167</v>
      </c>
      <c r="H2184" s="1">
        <v>45479.723611111112</v>
      </c>
      <c r="I2184" s="1">
        <v>45479.879861111112</v>
      </c>
      <c r="J2184">
        <v>202</v>
      </c>
      <c r="K2184">
        <v>225</v>
      </c>
      <c r="L2184">
        <v>1</v>
      </c>
      <c r="M2184" t="s">
        <v>29</v>
      </c>
      <c r="N2184">
        <v>9</v>
      </c>
      <c r="O2184">
        <v>74.88</v>
      </c>
    </row>
    <row r="2185" spans="1:15" x14ac:dyDescent="0.35">
      <c r="A2185" t="s">
        <v>4553</v>
      </c>
      <c r="B2185" t="s">
        <v>31</v>
      </c>
      <c r="C2185" t="s">
        <v>4554</v>
      </c>
      <c r="D2185" t="s">
        <v>44</v>
      </c>
      <c r="E2185" t="s">
        <v>85</v>
      </c>
      <c r="F2185" t="s">
        <v>57</v>
      </c>
      <c r="G2185" t="s">
        <v>140</v>
      </c>
      <c r="H2185" s="1">
        <v>45512.227083333331</v>
      </c>
      <c r="I2185" s="1">
        <v>45512.467361111114</v>
      </c>
      <c r="J2185">
        <v>234</v>
      </c>
      <c r="K2185">
        <v>346</v>
      </c>
      <c r="L2185">
        <v>1</v>
      </c>
      <c r="M2185" t="s">
        <v>29</v>
      </c>
      <c r="N2185">
        <v>4</v>
      </c>
      <c r="O2185">
        <v>478.75</v>
      </c>
    </row>
    <row r="2186" spans="1:15" x14ac:dyDescent="0.35">
      <c r="A2186" t="s">
        <v>4555</v>
      </c>
      <c r="B2186" t="s">
        <v>63</v>
      </c>
      <c r="C2186" t="s">
        <v>4556</v>
      </c>
      <c r="D2186" t="s">
        <v>48</v>
      </c>
      <c r="E2186" t="s">
        <v>38</v>
      </c>
      <c r="F2186" t="s">
        <v>57</v>
      </c>
      <c r="G2186" t="s">
        <v>916</v>
      </c>
      <c r="H2186" s="1">
        <v>45380.004166666666</v>
      </c>
      <c r="I2186" s="1">
        <v>45380.063888888886</v>
      </c>
      <c r="J2186">
        <v>91</v>
      </c>
      <c r="K2186">
        <v>86</v>
      </c>
      <c r="L2186">
        <v>0</v>
      </c>
      <c r="M2186" t="s">
        <v>22</v>
      </c>
      <c r="N2186">
        <v>10</v>
      </c>
      <c r="O2186">
        <v>373.45</v>
      </c>
    </row>
    <row r="2187" spans="1:15" x14ac:dyDescent="0.35">
      <c r="A2187" t="s">
        <v>4557</v>
      </c>
      <c r="B2187" t="s">
        <v>31</v>
      </c>
      <c r="C2187" t="s">
        <v>4558</v>
      </c>
      <c r="D2187" t="s">
        <v>44</v>
      </c>
      <c r="E2187" t="s">
        <v>33</v>
      </c>
      <c r="F2187" t="s">
        <v>39</v>
      </c>
      <c r="G2187" t="s">
        <v>225</v>
      </c>
      <c r="H2187" s="1">
        <v>45598.311111111114</v>
      </c>
      <c r="I2187" s="1">
        <v>45598.470138888886</v>
      </c>
      <c r="J2187">
        <v>122</v>
      </c>
      <c r="K2187">
        <v>229</v>
      </c>
      <c r="L2187">
        <v>1</v>
      </c>
      <c r="M2187" t="s">
        <v>29</v>
      </c>
      <c r="N2187">
        <v>5</v>
      </c>
      <c r="O2187">
        <v>353.71</v>
      </c>
    </row>
    <row r="2188" spans="1:15" x14ac:dyDescent="0.35">
      <c r="A2188" t="s">
        <v>4559</v>
      </c>
      <c r="B2188" t="s">
        <v>31</v>
      </c>
      <c r="C2188" t="s">
        <v>4560</v>
      </c>
      <c r="D2188" t="s">
        <v>18</v>
      </c>
      <c r="E2188" t="s">
        <v>19</v>
      </c>
      <c r="F2188" t="s">
        <v>27</v>
      </c>
      <c r="G2188" t="s">
        <v>265</v>
      </c>
      <c r="H2188" s="1">
        <v>45521.142361111109</v>
      </c>
      <c r="I2188" s="1">
        <v>45521.181944444441</v>
      </c>
      <c r="J2188">
        <v>44</v>
      </c>
      <c r="K2188">
        <v>57</v>
      </c>
      <c r="L2188">
        <v>1</v>
      </c>
      <c r="M2188" t="s">
        <v>41</v>
      </c>
      <c r="N2188">
        <v>2</v>
      </c>
      <c r="O2188">
        <v>488.23</v>
      </c>
    </row>
    <row r="2189" spans="1:15" x14ac:dyDescent="0.35">
      <c r="A2189" t="s">
        <v>4561</v>
      </c>
      <c r="B2189" t="s">
        <v>51</v>
      </c>
      <c r="C2189" t="s">
        <v>4562</v>
      </c>
      <c r="D2189" t="s">
        <v>56</v>
      </c>
      <c r="E2189" t="s">
        <v>19</v>
      </c>
      <c r="F2189" t="s">
        <v>20</v>
      </c>
      <c r="G2189" t="s">
        <v>338</v>
      </c>
      <c r="H2189" s="1">
        <v>45504.953472222223</v>
      </c>
      <c r="I2189" s="1">
        <v>45505.048611111109</v>
      </c>
      <c r="J2189">
        <v>78</v>
      </c>
      <c r="K2189">
        <v>137</v>
      </c>
      <c r="L2189">
        <v>1</v>
      </c>
      <c r="M2189" t="s">
        <v>22</v>
      </c>
      <c r="N2189">
        <v>5</v>
      </c>
      <c r="O2189">
        <v>126.59</v>
      </c>
    </row>
    <row r="2190" spans="1:15" x14ac:dyDescent="0.35">
      <c r="A2190" t="s">
        <v>4563</v>
      </c>
      <c r="B2190" t="s">
        <v>24</v>
      </c>
      <c r="C2190" t="s">
        <v>4564</v>
      </c>
      <c r="D2190" t="s">
        <v>44</v>
      </c>
      <c r="E2190" t="s">
        <v>19</v>
      </c>
      <c r="F2190" t="s">
        <v>57</v>
      </c>
      <c r="G2190" t="s">
        <v>213</v>
      </c>
      <c r="H2190" s="1">
        <v>45635.913194444445</v>
      </c>
      <c r="I2190" s="1">
        <v>45635.987500000003</v>
      </c>
      <c r="J2190">
        <v>92</v>
      </c>
      <c r="K2190">
        <v>107</v>
      </c>
      <c r="L2190">
        <v>1</v>
      </c>
      <c r="M2190" t="s">
        <v>22</v>
      </c>
      <c r="N2190">
        <v>10</v>
      </c>
      <c r="O2190">
        <v>481.89</v>
      </c>
    </row>
    <row r="2191" spans="1:15" x14ac:dyDescent="0.35">
      <c r="A2191" t="s">
        <v>4565</v>
      </c>
      <c r="B2191" t="s">
        <v>16</v>
      </c>
      <c r="C2191" t="s">
        <v>4566</v>
      </c>
      <c r="D2191" t="s">
        <v>48</v>
      </c>
      <c r="E2191" t="s">
        <v>19</v>
      </c>
      <c r="F2191" t="s">
        <v>34</v>
      </c>
      <c r="G2191" t="s">
        <v>94</v>
      </c>
      <c r="H2191" s="1">
        <v>45347.444444444445</v>
      </c>
      <c r="I2191" s="1">
        <v>45347.541666666664</v>
      </c>
      <c r="J2191">
        <v>124</v>
      </c>
      <c r="K2191">
        <v>140</v>
      </c>
      <c r="L2191">
        <v>1</v>
      </c>
      <c r="M2191" t="s">
        <v>29</v>
      </c>
      <c r="N2191">
        <v>7</v>
      </c>
      <c r="O2191">
        <v>404.3</v>
      </c>
    </row>
    <row r="2192" spans="1:15" x14ac:dyDescent="0.35">
      <c r="A2192" t="s">
        <v>4567</v>
      </c>
      <c r="B2192" t="s">
        <v>63</v>
      </c>
      <c r="C2192" t="s">
        <v>4568</v>
      </c>
      <c r="D2192" t="s">
        <v>18</v>
      </c>
      <c r="E2192" t="s">
        <v>33</v>
      </c>
      <c r="F2192" t="s">
        <v>57</v>
      </c>
      <c r="G2192" t="s">
        <v>155</v>
      </c>
      <c r="H2192" s="1">
        <v>45604.561805555553</v>
      </c>
      <c r="I2192" s="1">
        <v>45604.618750000001</v>
      </c>
      <c r="J2192">
        <v>80</v>
      </c>
      <c r="K2192">
        <v>82</v>
      </c>
      <c r="L2192">
        <v>1</v>
      </c>
      <c r="M2192" t="s">
        <v>29</v>
      </c>
      <c r="N2192">
        <v>6</v>
      </c>
      <c r="O2192">
        <v>118.73</v>
      </c>
    </row>
    <row r="2193" spans="1:15" x14ac:dyDescent="0.35">
      <c r="A2193" t="s">
        <v>4569</v>
      </c>
      <c r="B2193" t="s">
        <v>16</v>
      </c>
      <c r="C2193" t="s">
        <v>4570</v>
      </c>
      <c r="D2193" t="s">
        <v>56</v>
      </c>
      <c r="E2193" t="s">
        <v>19</v>
      </c>
      <c r="F2193" t="s">
        <v>34</v>
      </c>
      <c r="G2193" t="s">
        <v>1172</v>
      </c>
      <c r="H2193" s="1">
        <v>45533.12222222222</v>
      </c>
      <c r="I2193" s="1">
        <v>45533.223611111112</v>
      </c>
      <c r="J2193">
        <v>144</v>
      </c>
      <c r="K2193">
        <v>146</v>
      </c>
      <c r="L2193">
        <v>1</v>
      </c>
      <c r="M2193" t="s">
        <v>29</v>
      </c>
      <c r="N2193">
        <v>5</v>
      </c>
      <c r="O2193">
        <v>401.69</v>
      </c>
    </row>
    <row r="2194" spans="1:15" x14ac:dyDescent="0.35">
      <c r="A2194" t="s">
        <v>4571</v>
      </c>
      <c r="B2194" t="s">
        <v>31</v>
      </c>
      <c r="C2194" t="s">
        <v>4572</v>
      </c>
      <c r="D2194" t="s">
        <v>26</v>
      </c>
      <c r="E2194" t="s">
        <v>38</v>
      </c>
      <c r="F2194" t="s">
        <v>20</v>
      </c>
      <c r="G2194" t="s">
        <v>650</v>
      </c>
      <c r="H2194" s="1">
        <v>45651.670138888891</v>
      </c>
      <c r="I2194" s="1">
        <v>45651.73541666667</v>
      </c>
      <c r="J2194">
        <v>52</v>
      </c>
      <c r="K2194">
        <v>94</v>
      </c>
      <c r="L2194">
        <v>1</v>
      </c>
      <c r="M2194" t="s">
        <v>22</v>
      </c>
      <c r="N2194">
        <v>4</v>
      </c>
      <c r="O2194">
        <v>131.61000000000001</v>
      </c>
    </row>
    <row r="2195" spans="1:15" x14ac:dyDescent="0.35">
      <c r="A2195" t="s">
        <v>4573</v>
      </c>
      <c r="B2195" t="s">
        <v>51</v>
      </c>
      <c r="C2195" t="s">
        <v>4574</v>
      </c>
      <c r="D2195" t="s">
        <v>48</v>
      </c>
      <c r="E2195" t="s">
        <v>33</v>
      </c>
      <c r="F2195" t="s">
        <v>34</v>
      </c>
      <c r="G2195" t="s">
        <v>354</v>
      </c>
      <c r="H2195" s="1">
        <v>45652.369444444441</v>
      </c>
      <c r="I2195" s="1">
        <v>45652.59652777778</v>
      </c>
      <c r="J2195">
        <v>210</v>
      </c>
      <c r="K2195">
        <v>327</v>
      </c>
      <c r="L2195">
        <v>1</v>
      </c>
      <c r="M2195" t="s">
        <v>29</v>
      </c>
      <c r="N2195">
        <v>8</v>
      </c>
      <c r="O2195">
        <v>153.30000000000001</v>
      </c>
    </row>
    <row r="2196" spans="1:15" x14ac:dyDescent="0.35">
      <c r="A2196" t="s">
        <v>4575</v>
      </c>
      <c r="B2196" t="s">
        <v>63</v>
      </c>
      <c r="C2196" t="s">
        <v>4576</v>
      </c>
      <c r="D2196" t="s">
        <v>18</v>
      </c>
      <c r="E2196" t="s">
        <v>19</v>
      </c>
      <c r="F2196" t="s">
        <v>39</v>
      </c>
      <c r="G2196" t="s">
        <v>546</v>
      </c>
      <c r="H2196" s="1">
        <v>45548.461111111108</v>
      </c>
      <c r="I2196" s="1">
        <v>45548.64166666667</v>
      </c>
      <c r="J2196">
        <v>222</v>
      </c>
      <c r="K2196">
        <v>260</v>
      </c>
      <c r="L2196">
        <v>1</v>
      </c>
      <c r="M2196" t="s">
        <v>22</v>
      </c>
      <c r="N2196">
        <v>7</v>
      </c>
      <c r="O2196">
        <v>415.76</v>
      </c>
    </row>
    <row r="2197" spans="1:15" x14ac:dyDescent="0.35">
      <c r="A2197" t="s">
        <v>4577</v>
      </c>
      <c r="B2197" t="s">
        <v>31</v>
      </c>
      <c r="C2197" t="s">
        <v>4578</v>
      </c>
      <c r="D2197" t="s">
        <v>44</v>
      </c>
      <c r="E2197" t="s">
        <v>85</v>
      </c>
      <c r="F2197" t="s">
        <v>27</v>
      </c>
      <c r="G2197" t="s">
        <v>462</v>
      </c>
      <c r="H2197" s="1">
        <v>45339.784722222219</v>
      </c>
      <c r="I2197" s="1">
        <v>45339.827777777777</v>
      </c>
      <c r="J2197">
        <v>40</v>
      </c>
      <c r="K2197">
        <v>62</v>
      </c>
      <c r="L2197">
        <v>1</v>
      </c>
      <c r="M2197" t="s">
        <v>22</v>
      </c>
      <c r="N2197">
        <v>1</v>
      </c>
      <c r="O2197">
        <v>117.55</v>
      </c>
    </row>
    <row r="2198" spans="1:15" x14ac:dyDescent="0.35">
      <c r="A2198" t="s">
        <v>4579</v>
      </c>
      <c r="B2198" t="s">
        <v>16</v>
      </c>
      <c r="C2198" t="s">
        <v>4580</v>
      </c>
      <c r="D2198" t="s">
        <v>56</v>
      </c>
      <c r="E2198" t="s">
        <v>38</v>
      </c>
      <c r="F2198" t="s">
        <v>57</v>
      </c>
      <c r="G2198" t="s">
        <v>359</v>
      </c>
      <c r="H2198" s="1">
        <v>45352.265972222223</v>
      </c>
      <c r="I2198" s="1">
        <v>45352.45416666667</v>
      </c>
      <c r="J2198">
        <v>194</v>
      </c>
      <c r="K2198">
        <v>271</v>
      </c>
      <c r="L2198">
        <v>1</v>
      </c>
      <c r="M2198" t="s">
        <v>29</v>
      </c>
      <c r="N2198">
        <v>2</v>
      </c>
      <c r="O2198">
        <v>107.72</v>
      </c>
    </row>
    <row r="2199" spans="1:15" x14ac:dyDescent="0.35">
      <c r="A2199" t="s">
        <v>4581</v>
      </c>
      <c r="B2199" t="s">
        <v>24</v>
      </c>
      <c r="C2199" t="s">
        <v>4582</v>
      </c>
      <c r="D2199" t="s">
        <v>56</v>
      </c>
      <c r="E2199" t="s">
        <v>33</v>
      </c>
      <c r="F2199" t="s">
        <v>57</v>
      </c>
      <c r="G2199" t="s">
        <v>45</v>
      </c>
      <c r="H2199" s="1">
        <v>45561.142361111109</v>
      </c>
      <c r="I2199" s="1">
        <v>45561.290972222225</v>
      </c>
      <c r="J2199">
        <v>104</v>
      </c>
      <c r="K2199">
        <v>214</v>
      </c>
      <c r="L2199">
        <v>1</v>
      </c>
      <c r="M2199" t="s">
        <v>41</v>
      </c>
      <c r="N2199">
        <v>8</v>
      </c>
      <c r="O2199">
        <v>230.21</v>
      </c>
    </row>
    <row r="2200" spans="1:15" x14ac:dyDescent="0.35">
      <c r="A2200" t="s">
        <v>4583</v>
      </c>
      <c r="B2200" t="s">
        <v>16</v>
      </c>
      <c r="C2200" t="s">
        <v>4584</v>
      </c>
      <c r="D2200" t="s">
        <v>26</v>
      </c>
      <c r="E2200" t="s">
        <v>33</v>
      </c>
      <c r="F2200" t="s">
        <v>57</v>
      </c>
      <c r="G2200" t="s">
        <v>45</v>
      </c>
      <c r="H2200" s="1">
        <v>45622.044444444444</v>
      </c>
      <c r="I2200" s="1">
        <v>45622.220833333333</v>
      </c>
      <c r="J2200">
        <v>153</v>
      </c>
      <c r="K2200">
        <v>254</v>
      </c>
      <c r="L2200">
        <v>1</v>
      </c>
      <c r="M2200" t="s">
        <v>22</v>
      </c>
      <c r="N2200">
        <v>7</v>
      </c>
      <c r="O2200">
        <v>117.54</v>
      </c>
    </row>
    <row r="2201" spans="1:15" x14ac:dyDescent="0.35">
      <c r="A2201" t="s">
        <v>4585</v>
      </c>
      <c r="B2201" t="s">
        <v>51</v>
      </c>
      <c r="C2201" t="s">
        <v>4586</v>
      </c>
      <c r="D2201" t="s">
        <v>48</v>
      </c>
      <c r="E2201" t="s">
        <v>19</v>
      </c>
      <c r="F2201" t="s">
        <v>20</v>
      </c>
      <c r="G2201" t="s">
        <v>188</v>
      </c>
      <c r="H2201" s="1">
        <v>45653.884027777778</v>
      </c>
      <c r="I2201" s="1">
        <v>45654.078472222223</v>
      </c>
      <c r="J2201">
        <v>218</v>
      </c>
      <c r="K2201">
        <v>280</v>
      </c>
      <c r="L2201">
        <v>1</v>
      </c>
      <c r="M2201" t="s">
        <v>41</v>
      </c>
      <c r="N2201">
        <v>8</v>
      </c>
      <c r="O2201">
        <v>487.94</v>
      </c>
    </row>
    <row r="2202" spans="1:15" x14ac:dyDescent="0.35">
      <c r="A2202" t="s">
        <v>4587</v>
      </c>
      <c r="B2202" t="s">
        <v>51</v>
      </c>
      <c r="C2202" t="s">
        <v>4588</v>
      </c>
      <c r="D2202" t="s">
        <v>48</v>
      </c>
      <c r="E2202" t="s">
        <v>19</v>
      </c>
      <c r="F2202" t="s">
        <v>57</v>
      </c>
      <c r="G2202" t="s">
        <v>91</v>
      </c>
      <c r="H2202" s="1">
        <v>45577.084722222222</v>
      </c>
      <c r="I2202" s="1">
        <v>45577.166666666664</v>
      </c>
      <c r="J2202">
        <v>46</v>
      </c>
      <c r="K2202">
        <v>118</v>
      </c>
      <c r="L2202">
        <v>1</v>
      </c>
      <c r="M2202" t="s">
        <v>29</v>
      </c>
      <c r="N2202">
        <v>1</v>
      </c>
      <c r="O2202">
        <v>445.83</v>
      </c>
    </row>
    <row r="2203" spans="1:15" x14ac:dyDescent="0.35">
      <c r="A2203" t="s">
        <v>4589</v>
      </c>
      <c r="B2203" t="s">
        <v>51</v>
      </c>
      <c r="C2203" t="s">
        <v>4590</v>
      </c>
      <c r="D2203" t="s">
        <v>48</v>
      </c>
      <c r="E2203" t="s">
        <v>19</v>
      </c>
      <c r="F2203" t="s">
        <v>20</v>
      </c>
      <c r="G2203" t="s">
        <v>299</v>
      </c>
      <c r="H2203" s="1">
        <v>45632.625694444447</v>
      </c>
      <c r="I2203" s="1">
        <v>45632.765277777777</v>
      </c>
      <c r="J2203">
        <v>193</v>
      </c>
      <c r="K2203">
        <v>201</v>
      </c>
      <c r="L2203">
        <v>1</v>
      </c>
      <c r="M2203" t="s">
        <v>22</v>
      </c>
      <c r="N2203">
        <v>2</v>
      </c>
      <c r="O2203">
        <v>69.92</v>
      </c>
    </row>
    <row r="2204" spans="1:15" x14ac:dyDescent="0.35">
      <c r="A2204" t="s">
        <v>4591</v>
      </c>
      <c r="B2204" t="s">
        <v>63</v>
      </c>
      <c r="C2204" t="s">
        <v>4592</v>
      </c>
      <c r="D2204" t="s">
        <v>44</v>
      </c>
      <c r="E2204" t="s">
        <v>38</v>
      </c>
      <c r="F2204" t="s">
        <v>27</v>
      </c>
      <c r="G2204" t="s">
        <v>222</v>
      </c>
      <c r="H2204" s="1">
        <v>45512.551388888889</v>
      </c>
      <c r="I2204" s="1">
        <v>45512.624305555553</v>
      </c>
      <c r="J2204">
        <v>104</v>
      </c>
      <c r="K2204">
        <v>105</v>
      </c>
      <c r="L2204">
        <v>1</v>
      </c>
      <c r="M2204" t="s">
        <v>41</v>
      </c>
      <c r="N2204">
        <v>10</v>
      </c>
      <c r="O2204">
        <v>303.88</v>
      </c>
    </row>
    <row r="2205" spans="1:15" x14ac:dyDescent="0.35">
      <c r="A2205" t="s">
        <v>4593</v>
      </c>
      <c r="B2205" t="s">
        <v>63</v>
      </c>
      <c r="C2205" t="s">
        <v>4594</v>
      </c>
      <c r="D2205" t="s">
        <v>18</v>
      </c>
      <c r="E2205" t="s">
        <v>19</v>
      </c>
      <c r="F2205" t="s">
        <v>20</v>
      </c>
      <c r="G2205" t="s">
        <v>170</v>
      </c>
      <c r="H2205" s="1">
        <v>45590.822916666664</v>
      </c>
      <c r="I2205" s="1">
        <v>45590.954861111109</v>
      </c>
      <c r="J2205">
        <v>92</v>
      </c>
      <c r="K2205">
        <v>190</v>
      </c>
      <c r="L2205">
        <v>1</v>
      </c>
      <c r="M2205" t="s">
        <v>29</v>
      </c>
      <c r="N2205">
        <v>8</v>
      </c>
      <c r="O2205">
        <v>80.98</v>
      </c>
    </row>
    <row r="2206" spans="1:15" x14ac:dyDescent="0.35">
      <c r="A2206" t="s">
        <v>4595</v>
      </c>
      <c r="B2206" t="s">
        <v>63</v>
      </c>
      <c r="C2206" t="s">
        <v>4596</v>
      </c>
      <c r="D2206" t="s">
        <v>48</v>
      </c>
      <c r="E2206" t="s">
        <v>33</v>
      </c>
      <c r="F2206" t="s">
        <v>27</v>
      </c>
      <c r="G2206" t="s">
        <v>103</v>
      </c>
      <c r="H2206" s="1">
        <v>45509.914583333331</v>
      </c>
      <c r="I2206" s="1">
        <v>45509.981249999997</v>
      </c>
      <c r="J2206">
        <v>81</v>
      </c>
      <c r="K2206">
        <v>96</v>
      </c>
      <c r="L2206">
        <v>1</v>
      </c>
      <c r="M2206" t="s">
        <v>41</v>
      </c>
      <c r="N2206">
        <v>2</v>
      </c>
      <c r="O2206">
        <v>368.53</v>
      </c>
    </row>
    <row r="2207" spans="1:15" x14ac:dyDescent="0.35">
      <c r="A2207" t="s">
        <v>4597</v>
      </c>
      <c r="B2207" t="s">
        <v>24</v>
      </c>
      <c r="C2207" t="s">
        <v>4598</v>
      </c>
      <c r="D2207" t="s">
        <v>18</v>
      </c>
      <c r="E2207" t="s">
        <v>85</v>
      </c>
      <c r="F2207" t="s">
        <v>20</v>
      </c>
      <c r="G2207" t="s">
        <v>207</v>
      </c>
      <c r="H2207" s="1">
        <v>45317.197222222225</v>
      </c>
      <c r="I2207" s="1">
        <v>45317.310416666667</v>
      </c>
      <c r="J2207">
        <v>52</v>
      </c>
      <c r="K2207">
        <v>163</v>
      </c>
      <c r="L2207">
        <v>1</v>
      </c>
      <c r="M2207" t="s">
        <v>41</v>
      </c>
      <c r="N2207">
        <v>8</v>
      </c>
      <c r="O2207">
        <v>438.08</v>
      </c>
    </row>
    <row r="2208" spans="1:15" x14ac:dyDescent="0.35">
      <c r="A2208" t="s">
        <v>4599</v>
      </c>
      <c r="B2208" t="s">
        <v>51</v>
      </c>
      <c r="C2208" t="s">
        <v>4600</v>
      </c>
      <c r="D2208" t="s">
        <v>48</v>
      </c>
      <c r="E2208" t="s">
        <v>85</v>
      </c>
      <c r="F2208" t="s">
        <v>20</v>
      </c>
      <c r="G2208" t="s">
        <v>296</v>
      </c>
      <c r="H2208" s="1">
        <v>45652.313194444447</v>
      </c>
      <c r="I2208" s="1">
        <v>45652.382638888892</v>
      </c>
      <c r="J2208">
        <v>40</v>
      </c>
      <c r="K2208">
        <v>100</v>
      </c>
      <c r="L2208">
        <v>1</v>
      </c>
      <c r="M2208" t="s">
        <v>22</v>
      </c>
      <c r="N2208">
        <v>10</v>
      </c>
      <c r="O2208">
        <v>427.55</v>
      </c>
    </row>
    <row r="2209" spans="1:15" x14ac:dyDescent="0.35">
      <c r="A2209" t="s">
        <v>4601</v>
      </c>
      <c r="B2209" t="s">
        <v>31</v>
      </c>
      <c r="C2209" t="s">
        <v>4602</v>
      </c>
      <c r="D2209" t="s">
        <v>48</v>
      </c>
      <c r="E2209" t="s">
        <v>85</v>
      </c>
      <c r="F2209" t="s">
        <v>39</v>
      </c>
      <c r="G2209" t="s">
        <v>149</v>
      </c>
      <c r="H2209" s="1">
        <v>45394.349305555559</v>
      </c>
      <c r="I2209" s="1">
        <v>45394.517361111109</v>
      </c>
      <c r="J2209">
        <v>233</v>
      </c>
      <c r="K2209">
        <v>242</v>
      </c>
      <c r="L2209">
        <v>1</v>
      </c>
      <c r="M2209" t="s">
        <v>29</v>
      </c>
      <c r="N2209">
        <v>7</v>
      </c>
      <c r="O2209">
        <v>453.93</v>
      </c>
    </row>
    <row r="2210" spans="1:15" x14ac:dyDescent="0.35">
      <c r="A2210" t="s">
        <v>4603</v>
      </c>
      <c r="B2210" t="s">
        <v>63</v>
      </c>
      <c r="C2210" t="s">
        <v>4604</v>
      </c>
      <c r="D2210" t="s">
        <v>18</v>
      </c>
      <c r="E2210" t="s">
        <v>33</v>
      </c>
      <c r="F2210" t="s">
        <v>57</v>
      </c>
      <c r="G2210" t="s">
        <v>231</v>
      </c>
      <c r="H2210" s="1">
        <v>45562.632638888892</v>
      </c>
      <c r="I2210" s="1">
        <v>45562.81527777778</v>
      </c>
      <c r="J2210">
        <v>185</v>
      </c>
      <c r="K2210">
        <v>263</v>
      </c>
      <c r="L2210">
        <v>1</v>
      </c>
      <c r="M2210" t="s">
        <v>29</v>
      </c>
      <c r="N2210">
        <v>7</v>
      </c>
      <c r="O2210">
        <v>466.75</v>
      </c>
    </row>
    <row r="2211" spans="1:15" x14ac:dyDescent="0.35">
      <c r="A2211" t="s">
        <v>4605</v>
      </c>
      <c r="B2211" t="s">
        <v>63</v>
      </c>
      <c r="C2211" t="s">
        <v>4606</v>
      </c>
      <c r="D2211" t="s">
        <v>44</v>
      </c>
      <c r="E2211" t="s">
        <v>85</v>
      </c>
      <c r="F2211" t="s">
        <v>34</v>
      </c>
      <c r="G2211" t="s">
        <v>462</v>
      </c>
      <c r="H2211" s="1">
        <v>45616.698611111111</v>
      </c>
      <c r="I2211" s="1">
        <v>45616.734722222223</v>
      </c>
      <c r="J2211">
        <v>15</v>
      </c>
      <c r="K2211">
        <v>52</v>
      </c>
      <c r="L2211">
        <v>1</v>
      </c>
      <c r="M2211" t="s">
        <v>29</v>
      </c>
      <c r="N2211">
        <v>9</v>
      </c>
      <c r="O2211">
        <v>54.71</v>
      </c>
    </row>
    <row r="2212" spans="1:15" x14ac:dyDescent="0.35">
      <c r="A2212" t="s">
        <v>4607</v>
      </c>
      <c r="B2212" t="s">
        <v>16</v>
      </c>
      <c r="C2212" t="s">
        <v>4608</v>
      </c>
      <c r="D2212" t="s">
        <v>56</v>
      </c>
      <c r="E2212" t="s">
        <v>19</v>
      </c>
      <c r="F2212" t="s">
        <v>20</v>
      </c>
      <c r="G2212" t="s">
        <v>1413</v>
      </c>
      <c r="H2212" s="1">
        <v>45333.484027777777</v>
      </c>
      <c r="I2212" s="1">
        <v>45333.512499999997</v>
      </c>
      <c r="J2212">
        <v>11</v>
      </c>
      <c r="K2212">
        <v>41</v>
      </c>
      <c r="L2212">
        <v>1</v>
      </c>
      <c r="M2212" t="s">
        <v>41</v>
      </c>
      <c r="N2212">
        <v>5</v>
      </c>
      <c r="O2212">
        <v>206.23</v>
      </c>
    </row>
    <row r="2213" spans="1:15" x14ac:dyDescent="0.35">
      <c r="A2213" t="s">
        <v>4609</v>
      </c>
      <c r="B2213" t="s">
        <v>51</v>
      </c>
      <c r="C2213" t="s">
        <v>4610</v>
      </c>
      <c r="D2213" t="s">
        <v>48</v>
      </c>
      <c r="E2213" t="s">
        <v>38</v>
      </c>
      <c r="F2213" t="s">
        <v>27</v>
      </c>
      <c r="G2213" t="s">
        <v>782</v>
      </c>
      <c r="H2213" s="1">
        <v>45409.908333333333</v>
      </c>
      <c r="I2213" s="1">
        <v>45409.977083333331</v>
      </c>
      <c r="J2213">
        <v>69</v>
      </c>
      <c r="K2213">
        <v>99</v>
      </c>
      <c r="L2213">
        <v>1</v>
      </c>
      <c r="M2213" t="s">
        <v>41</v>
      </c>
      <c r="N2213">
        <v>4</v>
      </c>
      <c r="O2213">
        <v>166.16</v>
      </c>
    </row>
    <row r="2214" spans="1:15" x14ac:dyDescent="0.35">
      <c r="A2214" t="s">
        <v>4611</v>
      </c>
      <c r="B2214" t="s">
        <v>63</v>
      </c>
      <c r="C2214" t="s">
        <v>4612</v>
      </c>
      <c r="D2214" t="s">
        <v>18</v>
      </c>
      <c r="E2214" t="s">
        <v>19</v>
      </c>
      <c r="F2214" t="s">
        <v>39</v>
      </c>
      <c r="G2214" t="s">
        <v>137</v>
      </c>
      <c r="H2214" s="1">
        <v>45506.474305555559</v>
      </c>
      <c r="I2214" s="1">
        <v>45506.615972222222</v>
      </c>
      <c r="J2214">
        <v>156</v>
      </c>
      <c r="K2214">
        <v>204</v>
      </c>
      <c r="L2214">
        <v>1</v>
      </c>
      <c r="M2214" t="s">
        <v>22</v>
      </c>
      <c r="N2214">
        <v>2</v>
      </c>
      <c r="O2214">
        <v>485.65</v>
      </c>
    </row>
    <row r="2215" spans="1:15" x14ac:dyDescent="0.35">
      <c r="A2215" t="s">
        <v>4613</v>
      </c>
      <c r="B2215" t="s">
        <v>63</v>
      </c>
      <c r="C2215" t="s">
        <v>4614</v>
      </c>
      <c r="D2215" t="s">
        <v>44</v>
      </c>
      <c r="E2215" t="s">
        <v>33</v>
      </c>
      <c r="F2215" t="s">
        <v>27</v>
      </c>
      <c r="G2215" t="s">
        <v>777</v>
      </c>
      <c r="H2215" s="1">
        <v>45523.451388888891</v>
      </c>
      <c r="I2215" s="1">
        <v>45523.503472222219</v>
      </c>
      <c r="J2215">
        <v>55</v>
      </c>
      <c r="K2215">
        <v>75</v>
      </c>
      <c r="L2215">
        <v>1</v>
      </c>
      <c r="M2215" t="s">
        <v>41</v>
      </c>
      <c r="N2215">
        <v>1</v>
      </c>
      <c r="O2215">
        <v>53.53</v>
      </c>
    </row>
    <row r="2216" spans="1:15" x14ac:dyDescent="0.35">
      <c r="A2216" t="s">
        <v>4615</v>
      </c>
      <c r="B2216" t="s">
        <v>63</v>
      </c>
      <c r="C2216" t="s">
        <v>4616</v>
      </c>
      <c r="D2216" t="s">
        <v>18</v>
      </c>
      <c r="E2216" t="s">
        <v>85</v>
      </c>
      <c r="F2216" t="s">
        <v>39</v>
      </c>
      <c r="G2216" t="s">
        <v>94</v>
      </c>
      <c r="H2216" s="1">
        <v>45360.810416666667</v>
      </c>
      <c r="I2216" s="1">
        <v>45360.918055555558</v>
      </c>
      <c r="J2216">
        <v>51</v>
      </c>
      <c r="K2216">
        <v>155</v>
      </c>
      <c r="L2216">
        <v>1</v>
      </c>
      <c r="M2216" t="s">
        <v>41</v>
      </c>
      <c r="N2216">
        <v>5</v>
      </c>
      <c r="O2216">
        <v>209.41</v>
      </c>
    </row>
    <row r="2217" spans="1:15" x14ac:dyDescent="0.35">
      <c r="A2217" t="s">
        <v>4617</v>
      </c>
      <c r="B2217" t="s">
        <v>24</v>
      </c>
      <c r="C2217" t="s">
        <v>4618</v>
      </c>
      <c r="D2217" t="s">
        <v>26</v>
      </c>
      <c r="E2217" t="s">
        <v>19</v>
      </c>
      <c r="F2217" t="s">
        <v>34</v>
      </c>
      <c r="G2217" t="s">
        <v>228</v>
      </c>
      <c r="H2217" s="1">
        <v>45430.930555555555</v>
      </c>
      <c r="I2217" s="1">
        <v>45430.980555555558</v>
      </c>
      <c r="J2217">
        <v>56</v>
      </c>
      <c r="K2217">
        <v>72</v>
      </c>
      <c r="L2217">
        <v>1</v>
      </c>
      <c r="M2217" t="s">
        <v>41</v>
      </c>
      <c r="N2217">
        <v>10</v>
      </c>
      <c r="O2217">
        <v>105.07</v>
      </c>
    </row>
    <row r="2218" spans="1:15" x14ac:dyDescent="0.35">
      <c r="A2218" t="s">
        <v>4619</v>
      </c>
      <c r="B2218" t="s">
        <v>31</v>
      </c>
      <c r="C2218" t="s">
        <v>4620</v>
      </c>
      <c r="D2218" t="s">
        <v>48</v>
      </c>
      <c r="E2218" t="s">
        <v>38</v>
      </c>
      <c r="F2218" t="s">
        <v>20</v>
      </c>
      <c r="G2218" t="s">
        <v>228</v>
      </c>
      <c r="H2218" s="1">
        <v>45424.102777777778</v>
      </c>
      <c r="I2218" s="1">
        <v>45424.256944444445</v>
      </c>
      <c r="J2218">
        <v>142</v>
      </c>
      <c r="K2218">
        <v>222</v>
      </c>
      <c r="L2218">
        <v>1</v>
      </c>
      <c r="M2218" t="s">
        <v>22</v>
      </c>
      <c r="N2218">
        <v>9</v>
      </c>
      <c r="O2218">
        <v>132.16999999999999</v>
      </c>
    </row>
    <row r="2219" spans="1:15" x14ac:dyDescent="0.35">
      <c r="A2219" t="s">
        <v>4621</v>
      </c>
      <c r="B2219" t="s">
        <v>16</v>
      </c>
      <c r="C2219" t="s">
        <v>4622</v>
      </c>
      <c r="D2219" t="s">
        <v>18</v>
      </c>
      <c r="E2219" t="s">
        <v>85</v>
      </c>
      <c r="F2219" t="s">
        <v>34</v>
      </c>
      <c r="G2219" t="s">
        <v>338</v>
      </c>
      <c r="H2219" s="1">
        <v>45653.479861111111</v>
      </c>
      <c r="I2219" s="1">
        <v>45653.557638888888</v>
      </c>
      <c r="J2219">
        <v>44</v>
      </c>
      <c r="K2219">
        <v>112</v>
      </c>
      <c r="L2219">
        <v>1</v>
      </c>
      <c r="M2219" t="s">
        <v>41</v>
      </c>
      <c r="N2219">
        <v>6</v>
      </c>
      <c r="O2219">
        <v>60</v>
      </c>
    </row>
    <row r="2220" spans="1:15" x14ac:dyDescent="0.35">
      <c r="A2220" t="s">
        <v>4623</v>
      </c>
      <c r="B2220" t="s">
        <v>51</v>
      </c>
      <c r="C2220" t="s">
        <v>4624</v>
      </c>
      <c r="D2220" t="s">
        <v>48</v>
      </c>
      <c r="E2220" t="s">
        <v>33</v>
      </c>
      <c r="F2220" t="s">
        <v>34</v>
      </c>
      <c r="G2220" t="s">
        <v>88</v>
      </c>
      <c r="H2220" s="1">
        <v>45497.782638888886</v>
      </c>
      <c r="I2220" s="1">
        <v>45497.95208333333</v>
      </c>
      <c r="J2220">
        <v>200</v>
      </c>
      <c r="K2220">
        <v>244</v>
      </c>
      <c r="L2220">
        <v>1</v>
      </c>
      <c r="M2220" t="s">
        <v>22</v>
      </c>
      <c r="N2220">
        <v>10</v>
      </c>
      <c r="O2220">
        <v>363.95</v>
      </c>
    </row>
    <row r="2221" spans="1:15" x14ac:dyDescent="0.35">
      <c r="A2221" t="s">
        <v>4625</v>
      </c>
      <c r="B2221" t="s">
        <v>51</v>
      </c>
      <c r="C2221" t="s">
        <v>4626</v>
      </c>
      <c r="D2221" t="s">
        <v>26</v>
      </c>
      <c r="E2221" t="s">
        <v>38</v>
      </c>
      <c r="F2221" t="s">
        <v>57</v>
      </c>
      <c r="G2221" t="s">
        <v>853</v>
      </c>
      <c r="H2221" s="1">
        <v>45324.435416666667</v>
      </c>
      <c r="I2221" s="1">
        <v>45324.565972222219</v>
      </c>
      <c r="J2221">
        <v>79</v>
      </c>
      <c r="K2221">
        <v>188</v>
      </c>
      <c r="L2221">
        <v>1</v>
      </c>
      <c r="M2221" t="s">
        <v>41</v>
      </c>
      <c r="N2221">
        <v>3</v>
      </c>
      <c r="O2221">
        <v>108.09</v>
      </c>
    </row>
    <row r="2222" spans="1:15" x14ac:dyDescent="0.35">
      <c r="A2222" t="s">
        <v>4627</v>
      </c>
      <c r="B2222" t="s">
        <v>31</v>
      </c>
      <c r="C2222" t="s">
        <v>4628</v>
      </c>
      <c r="D2222" t="s">
        <v>26</v>
      </c>
      <c r="E2222" t="s">
        <v>19</v>
      </c>
      <c r="F2222" t="s">
        <v>34</v>
      </c>
      <c r="G2222" t="s">
        <v>155</v>
      </c>
      <c r="H2222" s="1">
        <v>45357.491666666669</v>
      </c>
      <c r="I2222" s="1">
        <v>45357.649305555555</v>
      </c>
      <c r="J2222">
        <v>214</v>
      </c>
      <c r="K2222">
        <v>227</v>
      </c>
      <c r="L2222">
        <v>1</v>
      </c>
      <c r="M2222" t="s">
        <v>22</v>
      </c>
      <c r="N2222">
        <v>9</v>
      </c>
      <c r="O2222">
        <v>143.02000000000001</v>
      </c>
    </row>
    <row r="2223" spans="1:15" x14ac:dyDescent="0.35">
      <c r="A2223" t="s">
        <v>4629</v>
      </c>
      <c r="B2223" t="s">
        <v>63</v>
      </c>
      <c r="C2223" t="s">
        <v>4630</v>
      </c>
      <c r="D2223" t="s">
        <v>48</v>
      </c>
      <c r="E2223" t="s">
        <v>33</v>
      </c>
      <c r="F2223" t="s">
        <v>34</v>
      </c>
      <c r="G2223" t="s">
        <v>430</v>
      </c>
      <c r="H2223" s="1">
        <v>45576.574999999997</v>
      </c>
      <c r="I2223" s="1">
        <v>45576.648611111108</v>
      </c>
      <c r="J2223">
        <v>49</v>
      </c>
      <c r="K2223">
        <v>106</v>
      </c>
      <c r="L2223">
        <v>1</v>
      </c>
      <c r="M2223" t="s">
        <v>22</v>
      </c>
      <c r="N2223">
        <v>8</v>
      </c>
      <c r="O2223">
        <v>209.25</v>
      </c>
    </row>
    <row r="2224" spans="1:15" x14ac:dyDescent="0.35">
      <c r="A2224" t="s">
        <v>4631</v>
      </c>
      <c r="B2224" t="s">
        <v>16</v>
      </c>
      <c r="C2224" t="s">
        <v>4632</v>
      </c>
      <c r="D2224" t="s">
        <v>26</v>
      </c>
      <c r="E2224" t="s">
        <v>85</v>
      </c>
      <c r="F2224" t="s">
        <v>34</v>
      </c>
      <c r="G2224" t="s">
        <v>21</v>
      </c>
      <c r="H2224" s="1">
        <v>45570.741666666669</v>
      </c>
      <c r="I2224" s="1">
        <v>45570.879166666666</v>
      </c>
      <c r="J2224">
        <v>178</v>
      </c>
      <c r="K2224">
        <v>198</v>
      </c>
      <c r="L2224">
        <v>1</v>
      </c>
      <c r="M2224" t="s">
        <v>41</v>
      </c>
      <c r="N2224">
        <v>3</v>
      </c>
      <c r="O2224">
        <v>297.19</v>
      </c>
    </row>
    <row r="2225" spans="1:15" x14ac:dyDescent="0.35">
      <c r="A2225" t="s">
        <v>4633</v>
      </c>
      <c r="B2225" t="s">
        <v>24</v>
      </c>
      <c r="C2225" t="s">
        <v>4634</v>
      </c>
      <c r="D2225" t="s">
        <v>26</v>
      </c>
      <c r="E2225" t="s">
        <v>38</v>
      </c>
      <c r="F2225" t="s">
        <v>20</v>
      </c>
      <c r="G2225" t="s">
        <v>462</v>
      </c>
      <c r="H2225" s="1">
        <v>45627.290277777778</v>
      </c>
      <c r="I2225" s="1">
        <v>45627.384027777778</v>
      </c>
      <c r="J2225">
        <v>26</v>
      </c>
      <c r="K2225">
        <v>135</v>
      </c>
      <c r="L2225">
        <v>1</v>
      </c>
      <c r="M2225" t="s">
        <v>29</v>
      </c>
      <c r="N2225">
        <v>5</v>
      </c>
      <c r="O2225">
        <v>163.41999999999999</v>
      </c>
    </row>
    <row r="2226" spans="1:15" x14ac:dyDescent="0.35">
      <c r="A2226" t="s">
        <v>4635</v>
      </c>
      <c r="B2226" t="s">
        <v>16</v>
      </c>
      <c r="C2226" t="s">
        <v>4636</v>
      </c>
      <c r="D2226" t="s">
        <v>48</v>
      </c>
      <c r="E2226" t="s">
        <v>38</v>
      </c>
      <c r="F2226" t="s">
        <v>27</v>
      </c>
      <c r="G2226" t="s">
        <v>681</v>
      </c>
      <c r="H2226" s="1">
        <v>45498.668749999997</v>
      </c>
      <c r="I2226" s="1">
        <v>45498.834027777775</v>
      </c>
      <c r="J2226">
        <v>216</v>
      </c>
      <c r="K2226">
        <v>238</v>
      </c>
      <c r="L2226">
        <v>1</v>
      </c>
      <c r="M2226" t="s">
        <v>41</v>
      </c>
      <c r="N2226">
        <v>6</v>
      </c>
      <c r="O2226">
        <v>319.02999999999997</v>
      </c>
    </row>
    <row r="2227" spans="1:15" x14ac:dyDescent="0.35">
      <c r="A2227" t="s">
        <v>4637</v>
      </c>
      <c r="B2227" t="s">
        <v>63</v>
      </c>
      <c r="C2227" t="s">
        <v>4638</v>
      </c>
      <c r="D2227" t="s">
        <v>48</v>
      </c>
      <c r="E2227" t="s">
        <v>19</v>
      </c>
      <c r="F2227" t="s">
        <v>39</v>
      </c>
      <c r="G2227" t="s">
        <v>999</v>
      </c>
      <c r="H2227" s="1">
        <v>45464.1875</v>
      </c>
      <c r="I2227" s="1">
        <v>45464.317361111112</v>
      </c>
      <c r="J2227">
        <v>145</v>
      </c>
      <c r="K2227">
        <v>187</v>
      </c>
      <c r="L2227">
        <v>1</v>
      </c>
      <c r="M2227" t="s">
        <v>29</v>
      </c>
      <c r="N2227">
        <v>7</v>
      </c>
      <c r="O2227">
        <v>357.94</v>
      </c>
    </row>
    <row r="2228" spans="1:15" x14ac:dyDescent="0.35">
      <c r="A2228" t="s">
        <v>4639</v>
      </c>
      <c r="B2228" t="s">
        <v>31</v>
      </c>
      <c r="C2228" t="s">
        <v>4640</v>
      </c>
      <c r="D2228" t="s">
        <v>18</v>
      </c>
      <c r="E2228" t="s">
        <v>33</v>
      </c>
      <c r="F2228" t="s">
        <v>27</v>
      </c>
      <c r="G2228" t="s">
        <v>364</v>
      </c>
      <c r="H2228" s="1">
        <v>45355.059027777781</v>
      </c>
      <c r="I2228" s="1">
        <v>45355.126388888886</v>
      </c>
      <c r="J2228">
        <v>28</v>
      </c>
      <c r="K2228">
        <v>97</v>
      </c>
      <c r="L2228">
        <v>1</v>
      </c>
      <c r="M2228" t="s">
        <v>29</v>
      </c>
      <c r="N2228">
        <v>1</v>
      </c>
      <c r="O2228">
        <v>474.66</v>
      </c>
    </row>
    <row r="2229" spans="1:15" x14ac:dyDescent="0.35">
      <c r="A2229" t="s">
        <v>4641</v>
      </c>
      <c r="B2229" t="s">
        <v>51</v>
      </c>
      <c r="C2229" t="s">
        <v>4642</v>
      </c>
      <c r="D2229" t="s">
        <v>48</v>
      </c>
      <c r="E2229" t="s">
        <v>33</v>
      </c>
      <c r="F2229" t="s">
        <v>20</v>
      </c>
      <c r="G2229" t="s">
        <v>684</v>
      </c>
      <c r="H2229" s="1">
        <v>45504.890277777777</v>
      </c>
      <c r="I2229" s="1">
        <v>45505.006944444445</v>
      </c>
      <c r="J2229">
        <v>76</v>
      </c>
      <c r="K2229">
        <v>168</v>
      </c>
      <c r="L2229">
        <v>1</v>
      </c>
      <c r="M2229" t="s">
        <v>41</v>
      </c>
      <c r="N2229">
        <v>2</v>
      </c>
      <c r="O2229">
        <v>201.93</v>
      </c>
    </row>
    <row r="2230" spans="1:15" x14ac:dyDescent="0.35">
      <c r="A2230" t="s">
        <v>4643</v>
      </c>
      <c r="B2230" t="s">
        <v>31</v>
      </c>
      <c r="C2230" t="s">
        <v>4644</v>
      </c>
      <c r="D2230" t="s">
        <v>56</v>
      </c>
      <c r="E2230" t="s">
        <v>19</v>
      </c>
      <c r="F2230" t="s">
        <v>39</v>
      </c>
      <c r="G2230" t="s">
        <v>410</v>
      </c>
      <c r="H2230" s="1">
        <v>45436.988194444442</v>
      </c>
      <c r="I2230" s="1">
        <v>45437.032638888886</v>
      </c>
      <c r="J2230">
        <v>62</v>
      </c>
      <c r="K2230">
        <v>64</v>
      </c>
      <c r="L2230">
        <v>1</v>
      </c>
      <c r="M2230" t="s">
        <v>41</v>
      </c>
      <c r="N2230">
        <v>8</v>
      </c>
      <c r="O2230">
        <v>144.58000000000001</v>
      </c>
    </row>
    <row r="2231" spans="1:15" x14ac:dyDescent="0.35">
      <c r="A2231" t="s">
        <v>4645</v>
      </c>
      <c r="B2231" t="s">
        <v>24</v>
      </c>
      <c r="C2231" t="s">
        <v>4646</v>
      </c>
      <c r="D2231" t="s">
        <v>18</v>
      </c>
      <c r="E2231" t="s">
        <v>85</v>
      </c>
      <c r="F2231" t="s">
        <v>27</v>
      </c>
      <c r="G2231" t="s">
        <v>265</v>
      </c>
      <c r="H2231" s="1">
        <v>45409.917361111111</v>
      </c>
      <c r="I2231" s="1">
        <v>45409.956944444442</v>
      </c>
      <c r="J2231">
        <v>19</v>
      </c>
      <c r="K2231">
        <v>57</v>
      </c>
      <c r="L2231">
        <v>1</v>
      </c>
      <c r="M2231" t="s">
        <v>29</v>
      </c>
      <c r="N2231">
        <v>3</v>
      </c>
      <c r="O2231">
        <v>245.2</v>
      </c>
    </row>
    <row r="2232" spans="1:15" x14ac:dyDescent="0.35">
      <c r="A2232" t="s">
        <v>4647</v>
      </c>
      <c r="B2232" t="s">
        <v>63</v>
      </c>
      <c r="C2232" t="s">
        <v>4648</v>
      </c>
      <c r="D2232" t="s">
        <v>18</v>
      </c>
      <c r="E2232" t="s">
        <v>19</v>
      </c>
      <c r="F2232" t="s">
        <v>39</v>
      </c>
      <c r="G2232" t="s">
        <v>445</v>
      </c>
      <c r="H2232" s="1">
        <v>45316.330555555556</v>
      </c>
      <c r="I2232" s="1">
        <v>45316.48541666667</v>
      </c>
      <c r="J2232">
        <v>163</v>
      </c>
      <c r="K2232">
        <v>223</v>
      </c>
      <c r="L2232">
        <v>1</v>
      </c>
      <c r="M2232" t="s">
        <v>29</v>
      </c>
      <c r="N2232">
        <v>9</v>
      </c>
      <c r="O2232">
        <v>371.46</v>
      </c>
    </row>
    <row r="2233" spans="1:15" x14ac:dyDescent="0.35">
      <c r="A2233" t="s">
        <v>4649</v>
      </c>
      <c r="B2233" t="s">
        <v>24</v>
      </c>
      <c r="C2233" t="s">
        <v>4650</v>
      </c>
      <c r="D2233" t="s">
        <v>56</v>
      </c>
      <c r="E2233" t="s">
        <v>85</v>
      </c>
      <c r="F2233" t="s">
        <v>39</v>
      </c>
      <c r="G2233" t="s">
        <v>681</v>
      </c>
      <c r="H2233" s="1">
        <v>45296.407638888886</v>
      </c>
      <c r="I2233" s="1">
        <v>45296.506944444445</v>
      </c>
      <c r="J2233">
        <v>99</v>
      </c>
      <c r="K2233">
        <v>143</v>
      </c>
      <c r="L2233">
        <v>1</v>
      </c>
      <c r="M2233" t="s">
        <v>22</v>
      </c>
      <c r="N2233">
        <v>4</v>
      </c>
      <c r="O2233">
        <v>239.88</v>
      </c>
    </row>
    <row r="2234" spans="1:15" x14ac:dyDescent="0.35">
      <c r="A2234" t="s">
        <v>4651</v>
      </c>
      <c r="B2234" t="s">
        <v>51</v>
      </c>
      <c r="C2234" t="s">
        <v>4652</v>
      </c>
      <c r="D2234" t="s">
        <v>44</v>
      </c>
      <c r="E2234" t="s">
        <v>19</v>
      </c>
      <c r="F2234" t="s">
        <v>20</v>
      </c>
      <c r="G2234" t="s">
        <v>647</v>
      </c>
      <c r="H2234" s="1">
        <v>45398.399305555555</v>
      </c>
      <c r="I2234" s="1">
        <v>45398.458333333336</v>
      </c>
      <c r="J2234">
        <v>72</v>
      </c>
      <c r="K2234">
        <v>85</v>
      </c>
      <c r="L2234">
        <v>1</v>
      </c>
      <c r="M2234" t="s">
        <v>22</v>
      </c>
      <c r="N2234">
        <v>9</v>
      </c>
      <c r="O2234">
        <v>311.45999999999998</v>
      </c>
    </row>
    <row r="2235" spans="1:15" x14ac:dyDescent="0.35">
      <c r="A2235" t="s">
        <v>4653</v>
      </c>
      <c r="B2235" t="s">
        <v>51</v>
      </c>
      <c r="C2235" t="s">
        <v>4654</v>
      </c>
      <c r="D2235" t="s">
        <v>44</v>
      </c>
      <c r="E2235" t="s">
        <v>33</v>
      </c>
      <c r="F2235" t="s">
        <v>39</v>
      </c>
      <c r="G2235" t="s">
        <v>410</v>
      </c>
      <c r="H2235" s="1">
        <v>45534.168055555558</v>
      </c>
      <c r="I2235" s="1">
        <v>45534.242361111108</v>
      </c>
      <c r="J2235">
        <v>25</v>
      </c>
      <c r="K2235">
        <v>107</v>
      </c>
      <c r="L2235">
        <v>1</v>
      </c>
      <c r="M2235" t="s">
        <v>29</v>
      </c>
      <c r="N2235">
        <v>1</v>
      </c>
      <c r="O2235">
        <v>490.66</v>
      </c>
    </row>
    <row r="2236" spans="1:15" x14ac:dyDescent="0.35">
      <c r="A2236" t="s">
        <v>4655</v>
      </c>
      <c r="B2236" t="s">
        <v>24</v>
      </c>
      <c r="C2236" t="s">
        <v>4656</v>
      </c>
      <c r="D2236" t="s">
        <v>48</v>
      </c>
      <c r="E2236" t="s">
        <v>19</v>
      </c>
      <c r="F2236" t="s">
        <v>27</v>
      </c>
      <c r="G2236" t="s">
        <v>58</v>
      </c>
      <c r="H2236" s="1">
        <v>45409.77847222222</v>
      </c>
      <c r="I2236" s="1">
        <v>45409.940972222219</v>
      </c>
      <c r="J2236">
        <v>131</v>
      </c>
      <c r="K2236">
        <v>234</v>
      </c>
      <c r="L2236">
        <v>1</v>
      </c>
      <c r="M2236" t="s">
        <v>41</v>
      </c>
      <c r="N2236">
        <v>1</v>
      </c>
      <c r="O2236">
        <v>454.16</v>
      </c>
    </row>
    <row r="2237" spans="1:15" x14ac:dyDescent="0.35">
      <c r="A2237" t="s">
        <v>4657</v>
      </c>
      <c r="B2237" t="s">
        <v>16</v>
      </c>
      <c r="C2237" t="s">
        <v>4658</v>
      </c>
      <c r="D2237" t="s">
        <v>44</v>
      </c>
      <c r="E2237" t="s">
        <v>38</v>
      </c>
      <c r="F2237" t="s">
        <v>20</v>
      </c>
      <c r="G2237" t="s">
        <v>40</v>
      </c>
      <c r="H2237" s="1">
        <v>45413.442361111112</v>
      </c>
      <c r="I2237" s="1">
        <v>45413.509027777778</v>
      </c>
      <c r="J2237">
        <v>97</v>
      </c>
      <c r="K2237">
        <v>96</v>
      </c>
      <c r="L2237">
        <v>0</v>
      </c>
      <c r="M2237" t="s">
        <v>41</v>
      </c>
      <c r="N2237">
        <v>3</v>
      </c>
      <c r="O2237">
        <v>267.29000000000002</v>
      </c>
    </row>
    <row r="2238" spans="1:15" x14ac:dyDescent="0.35">
      <c r="A2238" t="s">
        <v>4659</v>
      </c>
      <c r="B2238" t="s">
        <v>63</v>
      </c>
      <c r="C2238" t="s">
        <v>4660</v>
      </c>
      <c r="D2238" t="s">
        <v>48</v>
      </c>
      <c r="E2238" t="s">
        <v>33</v>
      </c>
      <c r="F2238" t="s">
        <v>34</v>
      </c>
      <c r="G2238" t="s">
        <v>316</v>
      </c>
      <c r="H2238" s="1">
        <v>45378.397222222222</v>
      </c>
      <c r="I2238" s="1">
        <v>45378.574999999997</v>
      </c>
      <c r="J2238">
        <v>214</v>
      </c>
      <c r="K2238">
        <v>256</v>
      </c>
      <c r="L2238">
        <v>1</v>
      </c>
      <c r="M2238" t="s">
        <v>29</v>
      </c>
      <c r="N2238">
        <v>9</v>
      </c>
      <c r="O2238">
        <v>134.83000000000001</v>
      </c>
    </row>
    <row r="2239" spans="1:15" x14ac:dyDescent="0.35">
      <c r="A2239" t="s">
        <v>4661</v>
      </c>
      <c r="B2239" t="s">
        <v>31</v>
      </c>
      <c r="C2239" t="s">
        <v>4662</v>
      </c>
      <c r="D2239" t="s">
        <v>48</v>
      </c>
      <c r="E2239" t="s">
        <v>38</v>
      </c>
      <c r="F2239" t="s">
        <v>39</v>
      </c>
      <c r="G2239" t="s">
        <v>402</v>
      </c>
      <c r="H2239" s="1">
        <v>45328.134027777778</v>
      </c>
      <c r="I2239" s="1">
        <v>45328.25</v>
      </c>
      <c r="J2239">
        <v>72</v>
      </c>
      <c r="K2239">
        <v>167</v>
      </c>
      <c r="L2239">
        <v>1</v>
      </c>
      <c r="M2239" t="s">
        <v>29</v>
      </c>
      <c r="N2239">
        <v>4</v>
      </c>
      <c r="O2239">
        <v>62.96</v>
      </c>
    </row>
    <row r="2240" spans="1:15" x14ac:dyDescent="0.35">
      <c r="A2240" t="s">
        <v>4663</v>
      </c>
      <c r="B2240" t="s">
        <v>16</v>
      </c>
      <c r="C2240" t="s">
        <v>4664</v>
      </c>
      <c r="D2240" t="s">
        <v>18</v>
      </c>
      <c r="E2240" t="s">
        <v>85</v>
      </c>
      <c r="F2240" t="s">
        <v>57</v>
      </c>
      <c r="G2240" t="s">
        <v>137</v>
      </c>
      <c r="H2240" s="1">
        <v>45561.463888888888</v>
      </c>
      <c r="I2240" s="1">
        <v>45561.600694444445</v>
      </c>
      <c r="J2240">
        <v>201</v>
      </c>
      <c r="K2240">
        <v>197</v>
      </c>
      <c r="L2240">
        <v>0</v>
      </c>
      <c r="M2240" t="s">
        <v>22</v>
      </c>
      <c r="N2240">
        <v>5</v>
      </c>
      <c r="O2240">
        <v>337.02</v>
      </c>
    </row>
    <row r="2241" spans="1:15" x14ac:dyDescent="0.35">
      <c r="A2241" t="s">
        <v>4665</v>
      </c>
      <c r="B2241" t="s">
        <v>24</v>
      </c>
      <c r="C2241" t="s">
        <v>4666</v>
      </c>
      <c r="D2241" t="s">
        <v>48</v>
      </c>
      <c r="E2241" t="s">
        <v>19</v>
      </c>
      <c r="F2241" t="s">
        <v>57</v>
      </c>
      <c r="G2241" t="s">
        <v>210</v>
      </c>
      <c r="H2241" s="1">
        <v>45389.065972222219</v>
      </c>
      <c r="I2241" s="1">
        <v>45389.3</v>
      </c>
      <c r="J2241">
        <v>232</v>
      </c>
      <c r="K2241">
        <v>337</v>
      </c>
      <c r="L2241">
        <v>1</v>
      </c>
      <c r="M2241" t="s">
        <v>41</v>
      </c>
      <c r="N2241">
        <v>7</v>
      </c>
      <c r="O2241">
        <v>367.79</v>
      </c>
    </row>
    <row r="2242" spans="1:15" x14ac:dyDescent="0.35">
      <c r="A2242" t="s">
        <v>4667</v>
      </c>
      <c r="B2242" t="s">
        <v>63</v>
      </c>
      <c r="C2242" t="s">
        <v>4668</v>
      </c>
      <c r="D2242" t="s">
        <v>56</v>
      </c>
      <c r="E2242" t="s">
        <v>33</v>
      </c>
      <c r="F2242" t="s">
        <v>34</v>
      </c>
      <c r="G2242" t="s">
        <v>79</v>
      </c>
      <c r="H2242" s="1">
        <v>45606.420138888891</v>
      </c>
      <c r="I2242" s="1">
        <v>45606.559027777781</v>
      </c>
      <c r="J2242">
        <v>129</v>
      </c>
      <c r="K2242">
        <v>200</v>
      </c>
      <c r="L2242">
        <v>1</v>
      </c>
      <c r="M2242" t="s">
        <v>41</v>
      </c>
      <c r="N2242">
        <v>1</v>
      </c>
      <c r="O2242">
        <v>286.7</v>
      </c>
    </row>
    <row r="2243" spans="1:15" x14ac:dyDescent="0.35">
      <c r="A2243" t="s">
        <v>4669</v>
      </c>
      <c r="B2243" t="s">
        <v>24</v>
      </c>
      <c r="C2243" t="s">
        <v>4670</v>
      </c>
      <c r="D2243" t="s">
        <v>18</v>
      </c>
      <c r="E2243" t="s">
        <v>19</v>
      </c>
      <c r="F2243" t="s">
        <v>57</v>
      </c>
      <c r="G2243" t="s">
        <v>371</v>
      </c>
      <c r="H2243" s="1">
        <v>45305.906944444447</v>
      </c>
      <c r="I2243" s="1">
        <v>45306.06527777778</v>
      </c>
      <c r="J2243">
        <v>111</v>
      </c>
      <c r="K2243">
        <v>228</v>
      </c>
      <c r="L2243">
        <v>1</v>
      </c>
      <c r="M2243" t="s">
        <v>41</v>
      </c>
      <c r="N2243">
        <v>2</v>
      </c>
      <c r="O2243">
        <v>184.88</v>
      </c>
    </row>
    <row r="2244" spans="1:15" x14ac:dyDescent="0.35">
      <c r="A2244" t="s">
        <v>4671</v>
      </c>
      <c r="B2244" t="s">
        <v>16</v>
      </c>
      <c r="C2244" t="s">
        <v>4672</v>
      </c>
      <c r="D2244" t="s">
        <v>26</v>
      </c>
      <c r="E2244" t="s">
        <v>38</v>
      </c>
      <c r="F2244" t="s">
        <v>27</v>
      </c>
      <c r="G2244" t="s">
        <v>143</v>
      </c>
      <c r="H2244" s="1">
        <v>45552.004861111112</v>
      </c>
      <c r="I2244" s="1">
        <v>45552.074999999997</v>
      </c>
      <c r="J2244">
        <v>71</v>
      </c>
      <c r="K2244">
        <v>101</v>
      </c>
      <c r="L2244">
        <v>1</v>
      </c>
      <c r="M2244" t="s">
        <v>29</v>
      </c>
      <c r="N2244">
        <v>4</v>
      </c>
      <c r="O2244">
        <v>322.68</v>
      </c>
    </row>
    <row r="2245" spans="1:15" x14ac:dyDescent="0.35">
      <c r="A2245" t="s">
        <v>4673</v>
      </c>
      <c r="B2245" t="s">
        <v>24</v>
      </c>
      <c r="C2245" t="s">
        <v>4674</v>
      </c>
      <c r="D2245" t="s">
        <v>56</v>
      </c>
      <c r="E2245" t="s">
        <v>38</v>
      </c>
      <c r="F2245" t="s">
        <v>57</v>
      </c>
      <c r="G2245" t="s">
        <v>132</v>
      </c>
      <c r="H2245" s="1">
        <v>45578.54583333333</v>
      </c>
      <c r="I2245" s="1">
        <v>45578.64166666667</v>
      </c>
      <c r="J2245">
        <v>95</v>
      </c>
      <c r="K2245">
        <v>138</v>
      </c>
      <c r="L2245">
        <v>1</v>
      </c>
      <c r="M2245" t="s">
        <v>29</v>
      </c>
      <c r="N2245">
        <v>5</v>
      </c>
      <c r="O2245">
        <v>481.05</v>
      </c>
    </row>
    <row r="2246" spans="1:15" x14ac:dyDescent="0.35">
      <c r="A2246" t="s">
        <v>4675</v>
      </c>
      <c r="B2246" t="s">
        <v>63</v>
      </c>
      <c r="C2246" t="s">
        <v>4676</v>
      </c>
      <c r="D2246" t="s">
        <v>48</v>
      </c>
      <c r="E2246" t="s">
        <v>38</v>
      </c>
      <c r="F2246" t="s">
        <v>57</v>
      </c>
      <c r="G2246" t="s">
        <v>700</v>
      </c>
      <c r="H2246" s="1">
        <v>45518.736805555556</v>
      </c>
      <c r="I2246" s="1">
        <v>45518.837500000001</v>
      </c>
      <c r="J2246">
        <v>70</v>
      </c>
      <c r="K2246">
        <v>145</v>
      </c>
      <c r="L2246">
        <v>1</v>
      </c>
      <c r="M2246" t="s">
        <v>22</v>
      </c>
      <c r="N2246">
        <v>9</v>
      </c>
      <c r="O2246">
        <v>230.41</v>
      </c>
    </row>
    <row r="2247" spans="1:15" x14ac:dyDescent="0.35">
      <c r="A2247" t="s">
        <v>4677</v>
      </c>
      <c r="B2247" t="s">
        <v>16</v>
      </c>
      <c r="C2247" t="s">
        <v>4678</v>
      </c>
      <c r="D2247" t="s">
        <v>44</v>
      </c>
      <c r="E2247" t="s">
        <v>19</v>
      </c>
      <c r="F2247" t="s">
        <v>39</v>
      </c>
      <c r="G2247" t="s">
        <v>91</v>
      </c>
      <c r="H2247" s="1">
        <v>45333.883333333331</v>
      </c>
      <c r="I2247" s="1">
        <v>45334.020833333336</v>
      </c>
      <c r="J2247">
        <v>183</v>
      </c>
      <c r="K2247">
        <v>198</v>
      </c>
      <c r="L2247">
        <v>1</v>
      </c>
      <c r="M2247" t="s">
        <v>41</v>
      </c>
      <c r="N2247">
        <v>7</v>
      </c>
      <c r="O2247">
        <v>229.21</v>
      </c>
    </row>
    <row r="2248" spans="1:15" x14ac:dyDescent="0.35">
      <c r="A2248" t="s">
        <v>4679</v>
      </c>
      <c r="B2248" t="s">
        <v>51</v>
      </c>
      <c r="C2248" t="s">
        <v>4680</v>
      </c>
      <c r="D2248" t="s">
        <v>18</v>
      </c>
      <c r="E2248" t="s">
        <v>33</v>
      </c>
      <c r="F2248" t="s">
        <v>27</v>
      </c>
      <c r="G2248" t="s">
        <v>321</v>
      </c>
      <c r="H2248" s="1">
        <v>45470.180555555555</v>
      </c>
      <c r="I2248" s="1">
        <v>45470.279166666667</v>
      </c>
      <c r="J2248">
        <v>34</v>
      </c>
      <c r="K2248">
        <v>142</v>
      </c>
      <c r="L2248">
        <v>1</v>
      </c>
      <c r="M2248" t="s">
        <v>41</v>
      </c>
      <c r="N2248">
        <v>7</v>
      </c>
      <c r="O2248">
        <v>140.47999999999999</v>
      </c>
    </row>
    <row r="2249" spans="1:15" x14ac:dyDescent="0.35">
      <c r="A2249" t="s">
        <v>4681</v>
      </c>
      <c r="B2249" t="s">
        <v>63</v>
      </c>
      <c r="C2249" t="s">
        <v>4682</v>
      </c>
      <c r="D2249" t="s">
        <v>18</v>
      </c>
      <c r="E2249" t="s">
        <v>38</v>
      </c>
      <c r="F2249" t="s">
        <v>39</v>
      </c>
      <c r="G2249" t="s">
        <v>521</v>
      </c>
      <c r="H2249" s="1">
        <v>45555.011805555558</v>
      </c>
      <c r="I2249" s="1">
        <v>45555.170138888891</v>
      </c>
      <c r="J2249">
        <v>146</v>
      </c>
      <c r="K2249">
        <v>228</v>
      </c>
      <c r="L2249">
        <v>1</v>
      </c>
      <c r="M2249" t="s">
        <v>41</v>
      </c>
      <c r="N2249">
        <v>4</v>
      </c>
      <c r="O2249">
        <v>245.99</v>
      </c>
    </row>
    <row r="2250" spans="1:15" x14ac:dyDescent="0.35">
      <c r="A2250" t="s">
        <v>4683</v>
      </c>
      <c r="B2250" t="s">
        <v>63</v>
      </c>
      <c r="C2250" t="s">
        <v>4684</v>
      </c>
      <c r="D2250" t="s">
        <v>26</v>
      </c>
      <c r="E2250" t="s">
        <v>85</v>
      </c>
      <c r="F2250" t="s">
        <v>34</v>
      </c>
      <c r="G2250" t="s">
        <v>28</v>
      </c>
      <c r="H2250" s="1">
        <v>45631.654861111114</v>
      </c>
      <c r="I2250" s="1">
        <v>45631.759722222225</v>
      </c>
      <c r="J2250">
        <v>80</v>
      </c>
      <c r="K2250">
        <v>151</v>
      </c>
      <c r="L2250">
        <v>1</v>
      </c>
      <c r="M2250" t="s">
        <v>29</v>
      </c>
      <c r="N2250">
        <v>7</v>
      </c>
      <c r="O2250">
        <v>457.85</v>
      </c>
    </row>
    <row r="2251" spans="1:15" x14ac:dyDescent="0.35">
      <c r="A2251" t="s">
        <v>4685</v>
      </c>
      <c r="B2251" t="s">
        <v>63</v>
      </c>
      <c r="C2251" t="s">
        <v>4686</v>
      </c>
      <c r="D2251" t="s">
        <v>18</v>
      </c>
      <c r="E2251" t="s">
        <v>33</v>
      </c>
      <c r="F2251" t="s">
        <v>27</v>
      </c>
      <c r="G2251" t="s">
        <v>194</v>
      </c>
      <c r="H2251" s="1">
        <v>45516.620138888888</v>
      </c>
      <c r="I2251" s="1">
        <v>45516.748611111114</v>
      </c>
      <c r="J2251">
        <v>127</v>
      </c>
      <c r="K2251">
        <v>185</v>
      </c>
      <c r="L2251">
        <v>1</v>
      </c>
      <c r="M2251" t="s">
        <v>22</v>
      </c>
      <c r="N2251">
        <v>6</v>
      </c>
      <c r="O2251">
        <v>326.24</v>
      </c>
    </row>
    <row r="2252" spans="1:15" x14ac:dyDescent="0.35">
      <c r="A2252" t="s">
        <v>4687</v>
      </c>
      <c r="B2252" t="s">
        <v>63</v>
      </c>
      <c r="C2252" t="s">
        <v>4688</v>
      </c>
      <c r="D2252" t="s">
        <v>48</v>
      </c>
      <c r="E2252" t="s">
        <v>85</v>
      </c>
      <c r="F2252" t="s">
        <v>34</v>
      </c>
      <c r="G2252" t="s">
        <v>91</v>
      </c>
      <c r="H2252" s="1">
        <v>45552.315972222219</v>
      </c>
      <c r="I2252" s="1">
        <v>45552.456250000003</v>
      </c>
      <c r="J2252">
        <v>145</v>
      </c>
      <c r="K2252">
        <v>202</v>
      </c>
      <c r="L2252">
        <v>1</v>
      </c>
      <c r="M2252" t="s">
        <v>29</v>
      </c>
      <c r="N2252">
        <v>10</v>
      </c>
      <c r="O2252">
        <v>362.04</v>
      </c>
    </row>
    <row r="2253" spans="1:15" x14ac:dyDescent="0.35">
      <c r="A2253" t="s">
        <v>4689</v>
      </c>
      <c r="B2253" t="s">
        <v>31</v>
      </c>
      <c r="C2253" t="s">
        <v>4690</v>
      </c>
      <c r="D2253" t="s">
        <v>26</v>
      </c>
      <c r="E2253" t="s">
        <v>38</v>
      </c>
      <c r="F2253" t="s">
        <v>20</v>
      </c>
      <c r="G2253" t="s">
        <v>311</v>
      </c>
      <c r="H2253" s="1">
        <v>45533.157638888886</v>
      </c>
      <c r="I2253" s="1">
        <v>45533.23541666667</v>
      </c>
      <c r="J2253">
        <v>98</v>
      </c>
      <c r="K2253">
        <v>112</v>
      </c>
      <c r="L2253">
        <v>1</v>
      </c>
      <c r="M2253" t="s">
        <v>22</v>
      </c>
      <c r="N2253">
        <v>5</v>
      </c>
      <c r="O2253">
        <v>408.14</v>
      </c>
    </row>
    <row r="2254" spans="1:15" x14ac:dyDescent="0.35">
      <c r="A2254" t="s">
        <v>4691</v>
      </c>
      <c r="B2254" t="s">
        <v>24</v>
      </c>
      <c r="C2254" t="s">
        <v>4692</v>
      </c>
      <c r="D2254" t="s">
        <v>44</v>
      </c>
      <c r="E2254" t="s">
        <v>33</v>
      </c>
      <c r="F2254" t="s">
        <v>27</v>
      </c>
      <c r="G2254" t="s">
        <v>321</v>
      </c>
      <c r="H2254" s="1">
        <v>45341.414583333331</v>
      </c>
      <c r="I2254" s="1">
        <v>45341.484027777777</v>
      </c>
      <c r="J2254">
        <v>25</v>
      </c>
      <c r="K2254">
        <v>100</v>
      </c>
      <c r="L2254">
        <v>1</v>
      </c>
      <c r="M2254" t="s">
        <v>41</v>
      </c>
      <c r="N2254">
        <v>9</v>
      </c>
      <c r="O2254">
        <v>109.88</v>
      </c>
    </row>
    <row r="2255" spans="1:15" x14ac:dyDescent="0.35">
      <c r="A2255" t="s">
        <v>4693</v>
      </c>
      <c r="B2255" t="s">
        <v>51</v>
      </c>
      <c r="C2255" t="s">
        <v>4694</v>
      </c>
      <c r="D2255" t="s">
        <v>26</v>
      </c>
      <c r="E2255" t="s">
        <v>85</v>
      </c>
      <c r="F2255" t="s">
        <v>34</v>
      </c>
      <c r="G2255" t="s">
        <v>669</v>
      </c>
      <c r="H2255" s="1">
        <v>45637.354861111111</v>
      </c>
      <c r="I2255" s="1">
        <v>45637.571527777778</v>
      </c>
      <c r="J2255">
        <v>207</v>
      </c>
      <c r="K2255">
        <v>312</v>
      </c>
      <c r="L2255">
        <v>1</v>
      </c>
      <c r="M2255" t="s">
        <v>41</v>
      </c>
      <c r="N2255">
        <v>7</v>
      </c>
      <c r="O2255">
        <v>315.14</v>
      </c>
    </row>
    <row r="2256" spans="1:15" x14ac:dyDescent="0.35">
      <c r="A2256" t="s">
        <v>4695</v>
      </c>
      <c r="B2256" t="s">
        <v>63</v>
      </c>
      <c r="C2256" t="s">
        <v>4696</v>
      </c>
      <c r="D2256" t="s">
        <v>18</v>
      </c>
      <c r="E2256" t="s">
        <v>33</v>
      </c>
      <c r="F2256" t="s">
        <v>34</v>
      </c>
      <c r="G2256" t="s">
        <v>143</v>
      </c>
      <c r="H2256" s="1">
        <v>45318.827777777777</v>
      </c>
      <c r="I2256" s="1">
        <v>45319.022222222222</v>
      </c>
      <c r="J2256">
        <v>197</v>
      </c>
      <c r="K2256">
        <v>280</v>
      </c>
      <c r="L2256">
        <v>1</v>
      </c>
      <c r="M2256" t="s">
        <v>41</v>
      </c>
      <c r="N2256">
        <v>6</v>
      </c>
      <c r="O2256">
        <v>54.71</v>
      </c>
    </row>
    <row r="2257" spans="1:15" x14ac:dyDescent="0.35">
      <c r="A2257" t="s">
        <v>4697</v>
      </c>
      <c r="B2257" t="s">
        <v>51</v>
      </c>
      <c r="C2257" t="s">
        <v>4698</v>
      </c>
      <c r="D2257" t="s">
        <v>26</v>
      </c>
      <c r="E2257" t="s">
        <v>33</v>
      </c>
      <c r="F2257" t="s">
        <v>34</v>
      </c>
      <c r="G2257" t="s">
        <v>1030</v>
      </c>
      <c r="H2257" s="1">
        <v>45608.265972222223</v>
      </c>
      <c r="I2257" s="1">
        <v>45608.429166666669</v>
      </c>
      <c r="J2257">
        <v>220</v>
      </c>
      <c r="K2257">
        <v>235</v>
      </c>
      <c r="L2257">
        <v>1</v>
      </c>
      <c r="M2257" t="s">
        <v>29</v>
      </c>
      <c r="N2257">
        <v>1</v>
      </c>
      <c r="O2257">
        <v>50.65</v>
      </c>
    </row>
    <row r="2258" spans="1:15" x14ac:dyDescent="0.35">
      <c r="A2258" t="s">
        <v>4699</v>
      </c>
      <c r="B2258" t="s">
        <v>63</v>
      </c>
      <c r="C2258" t="s">
        <v>4700</v>
      </c>
      <c r="D2258" t="s">
        <v>18</v>
      </c>
      <c r="E2258" t="s">
        <v>33</v>
      </c>
      <c r="F2258" t="s">
        <v>57</v>
      </c>
      <c r="G2258" t="s">
        <v>265</v>
      </c>
      <c r="H2258" s="1">
        <v>45354.495833333334</v>
      </c>
      <c r="I2258" s="1">
        <v>45354.620833333334</v>
      </c>
      <c r="J2258">
        <v>112</v>
      </c>
      <c r="K2258">
        <v>180</v>
      </c>
      <c r="L2258">
        <v>1</v>
      </c>
      <c r="M2258" t="s">
        <v>29</v>
      </c>
      <c r="N2258">
        <v>10</v>
      </c>
      <c r="O2258">
        <v>79.14</v>
      </c>
    </row>
    <row r="2259" spans="1:15" x14ac:dyDescent="0.35">
      <c r="A2259" t="s">
        <v>4701</v>
      </c>
      <c r="B2259" t="s">
        <v>31</v>
      </c>
      <c r="C2259" t="s">
        <v>4702</v>
      </c>
      <c r="D2259" t="s">
        <v>26</v>
      </c>
      <c r="E2259" t="s">
        <v>85</v>
      </c>
      <c r="F2259" t="s">
        <v>57</v>
      </c>
      <c r="G2259" t="s">
        <v>265</v>
      </c>
      <c r="H2259" s="1">
        <v>45549.59375</v>
      </c>
      <c r="I2259" s="1">
        <v>45549.635416666664</v>
      </c>
      <c r="J2259">
        <v>51</v>
      </c>
      <c r="K2259">
        <v>60</v>
      </c>
      <c r="L2259">
        <v>1</v>
      </c>
      <c r="M2259" t="s">
        <v>22</v>
      </c>
      <c r="N2259">
        <v>7</v>
      </c>
      <c r="O2259">
        <v>421.58</v>
      </c>
    </row>
    <row r="2260" spans="1:15" x14ac:dyDescent="0.35">
      <c r="A2260" t="s">
        <v>4703</v>
      </c>
      <c r="B2260" t="s">
        <v>51</v>
      </c>
      <c r="C2260" t="s">
        <v>4704</v>
      </c>
      <c r="D2260" t="s">
        <v>18</v>
      </c>
      <c r="E2260" t="s">
        <v>38</v>
      </c>
      <c r="F2260" t="s">
        <v>39</v>
      </c>
      <c r="G2260" t="s">
        <v>376</v>
      </c>
      <c r="H2260" s="1">
        <v>45333.806944444441</v>
      </c>
      <c r="I2260" s="1">
        <v>45333.967361111114</v>
      </c>
      <c r="J2260">
        <v>207</v>
      </c>
      <c r="K2260">
        <v>231</v>
      </c>
      <c r="L2260">
        <v>1</v>
      </c>
      <c r="M2260" t="s">
        <v>41</v>
      </c>
      <c r="N2260">
        <v>9</v>
      </c>
      <c r="O2260">
        <v>355.95</v>
      </c>
    </row>
    <row r="2261" spans="1:15" x14ac:dyDescent="0.35">
      <c r="A2261" t="s">
        <v>4705</v>
      </c>
      <c r="B2261" t="s">
        <v>31</v>
      </c>
      <c r="C2261" t="s">
        <v>4706</v>
      </c>
      <c r="D2261" t="s">
        <v>18</v>
      </c>
      <c r="E2261" t="s">
        <v>38</v>
      </c>
      <c r="F2261" t="s">
        <v>39</v>
      </c>
      <c r="G2261" t="s">
        <v>1172</v>
      </c>
      <c r="H2261" s="1">
        <v>45499.965277777781</v>
      </c>
      <c r="I2261" s="1">
        <v>45500.146527777775</v>
      </c>
      <c r="J2261">
        <v>235</v>
      </c>
      <c r="K2261">
        <v>261</v>
      </c>
      <c r="L2261">
        <v>1</v>
      </c>
      <c r="M2261" t="s">
        <v>41</v>
      </c>
      <c r="N2261">
        <v>2</v>
      </c>
      <c r="O2261">
        <v>493.23</v>
      </c>
    </row>
    <row r="2262" spans="1:15" x14ac:dyDescent="0.35">
      <c r="A2262" t="s">
        <v>4707</v>
      </c>
      <c r="B2262" t="s">
        <v>63</v>
      </c>
      <c r="C2262" t="s">
        <v>4708</v>
      </c>
      <c r="D2262" t="s">
        <v>48</v>
      </c>
      <c r="E2262" t="s">
        <v>38</v>
      </c>
      <c r="F2262" t="s">
        <v>27</v>
      </c>
      <c r="G2262" t="s">
        <v>204</v>
      </c>
      <c r="H2262" s="1">
        <v>45462.26458333333</v>
      </c>
      <c r="I2262" s="1">
        <v>45462.395138888889</v>
      </c>
      <c r="J2262">
        <v>87</v>
      </c>
      <c r="K2262">
        <v>188</v>
      </c>
      <c r="L2262">
        <v>1</v>
      </c>
      <c r="M2262" t="s">
        <v>22</v>
      </c>
      <c r="N2262">
        <v>9</v>
      </c>
      <c r="O2262">
        <v>354.41</v>
      </c>
    </row>
    <row r="2263" spans="1:15" x14ac:dyDescent="0.35">
      <c r="A2263" t="s">
        <v>4709</v>
      </c>
      <c r="B2263" t="s">
        <v>16</v>
      </c>
      <c r="C2263" t="s">
        <v>4710</v>
      </c>
      <c r="D2263" t="s">
        <v>48</v>
      </c>
      <c r="E2263" t="s">
        <v>38</v>
      </c>
      <c r="F2263" t="s">
        <v>57</v>
      </c>
      <c r="G2263" t="s">
        <v>170</v>
      </c>
      <c r="H2263" s="1">
        <v>45496.948611111111</v>
      </c>
      <c r="I2263" s="1">
        <v>45497.046527777777</v>
      </c>
      <c r="J2263">
        <v>127</v>
      </c>
      <c r="K2263">
        <v>141</v>
      </c>
      <c r="L2263">
        <v>1</v>
      </c>
      <c r="M2263" t="s">
        <v>22</v>
      </c>
      <c r="N2263">
        <v>2</v>
      </c>
      <c r="O2263">
        <v>263.37</v>
      </c>
    </row>
    <row r="2264" spans="1:15" x14ac:dyDescent="0.35">
      <c r="A2264" t="s">
        <v>4711</v>
      </c>
      <c r="B2264" t="s">
        <v>31</v>
      </c>
      <c r="C2264" t="s">
        <v>4712</v>
      </c>
      <c r="D2264" t="s">
        <v>26</v>
      </c>
      <c r="E2264" t="s">
        <v>38</v>
      </c>
      <c r="F2264" t="s">
        <v>39</v>
      </c>
      <c r="G2264" t="s">
        <v>149</v>
      </c>
      <c r="H2264" s="1">
        <v>45619.073611111111</v>
      </c>
      <c r="I2264" s="1">
        <v>45619.207638888889</v>
      </c>
      <c r="J2264">
        <v>193</v>
      </c>
      <c r="K2264">
        <v>193</v>
      </c>
      <c r="L2264">
        <v>0</v>
      </c>
      <c r="M2264" t="s">
        <v>29</v>
      </c>
      <c r="N2264">
        <v>2</v>
      </c>
      <c r="O2264">
        <v>295</v>
      </c>
    </row>
    <row r="2265" spans="1:15" x14ac:dyDescent="0.35">
      <c r="A2265" t="s">
        <v>4713</v>
      </c>
      <c r="B2265" t="s">
        <v>51</v>
      </c>
      <c r="C2265" t="s">
        <v>4714</v>
      </c>
      <c r="D2265" t="s">
        <v>18</v>
      </c>
      <c r="E2265" t="s">
        <v>38</v>
      </c>
      <c r="F2265" t="s">
        <v>39</v>
      </c>
      <c r="G2265" t="s">
        <v>983</v>
      </c>
      <c r="H2265" s="1">
        <v>45370.449305555558</v>
      </c>
      <c r="I2265" s="1">
        <v>45370.519444444442</v>
      </c>
      <c r="J2265">
        <v>30</v>
      </c>
      <c r="K2265">
        <v>101</v>
      </c>
      <c r="L2265">
        <v>1</v>
      </c>
      <c r="M2265" t="s">
        <v>41</v>
      </c>
      <c r="N2265">
        <v>4</v>
      </c>
      <c r="O2265">
        <v>246.6</v>
      </c>
    </row>
    <row r="2266" spans="1:15" x14ac:dyDescent="0.35">
      <c r="A2266" t="s">
        <v>4715</v>
      </c>
      <c r="B2266" t="s">
        <v>16</v>
      </c>
      <c r="C2266" t="s">
        <v>4716</v>
      </c>
      <c r="D2266" t="s">
        <v>26</v>
      </c>
      <c r="E2266" t="s">
        <v>33</v>
      </c>
      <c r="F2266" t="s">
        <v>34</v>
      </c>
      <c r="G2266" t="s">
        <v>231</v>
      </c>
      <c r="H2266" s="1">
        <v>45455.286111111112</v>
      </c>
      <c r="I2266" s="1">
        <v>45455.369444444441</v>
      </c>
      <c r="J2266">
        <v>122</v>
      </c>
      <c r="K2266">
        <v>120</v>
      </c>
      <c r="L2266">
        <v>0</v>
      </c>
      <c r="M2266" t="s">
        <v>29</v>
      </c>
      <c r="N2266">
        <v>3</v>
      </c>
      <c r="O2266">
        <v>120</v>
      </c>
    </row>
    <row r="2267" spans="1:15" x14ac:dyDescent="0.35">
      <c r="A2267" t="s">
        <v>4717</v>
      </c>
      <c r="B2267" t="s">
        <v>24</v>
      </c>
      <c r="C2267" t="s">
        <v>4718</v>
      </c>
      <c r="D2267" t="s">
        <v>48</v>
      </c>
      <c r="E2267" t="s">
        <v>19</v>
      </c>
      <c r="F2267" t="s">
        <v>57</v>
      </c>
      <c r="G2267" t="s">
        <v>129</v>
      </c>
      <c r="H2267" s="1">
        <v>45597.672222222223</v>
      </c>
      <c r="I2267" s="1">
        <v>45597.899305555555</v>
      </c>
      <c r="J2267">
        <v>233</v>
      </c>
      <c r="K2267">
        <v>327</v>
      </c>
      <c r="L2267">
        <v>1</v>
      </c>
      <c r="M2267" t="s">
        <v>29</v>
      </c>
      <c r="N2267">
        <v>3</v>
      </c>
      <c r="O2267">
        <v>303.42</v>
      </c>
    </row>
    <row r="2268" spans="1:15" x14ac:dyDescent="0.35">
      <c r="A2268" t="s">
        <v>4719</v>
      </c>
      <c r="B2268" t="s">
        <v>24</v>
      </c>
      <c r="C2268" t="s">
        <v>4720</v>
      </c>
      <c r="D2268" t="s">
        <v>18</v>
      </c>
      <c r="E2268" t="s">
        <v>33</v>
      </c>
      <c r="F2268" t="s">
        <v>39</v>
      </c>
      <c r="G2268" t="s">
        <v>754</v>
      </c>
      <c r="H2268" s="1">
        <v>45617.113194444442</v>
      </c>
      <c r="I2268" s="1">
        <v>45617.157638888886</v>
      </c>
      <c r="J2268">
        <v>40</v>
      </c>
      <c r="K2268">
        <v>64</v>
      </c>
      <c r="L2268">
        <v>1</v>
      </c>
      <c r="M2268" t="s">
        <v>22</v>
      </c>
      <c r="N2268">
        <v>4</v>
      </c>
      <c r="O2268">
        <v>187.82</v>
      </c>
    </row>
    <row r="2269" spans="1:15" x14ac:dyDescent="0.35">
      <c r="A2269" t="s">
        <v>4721</v>
      </c>
      <c r="B2269" t="s">
        <v>24</v>
      </c>
      <c r="C2269" t="s">
        <v>4722</v>
      </c>
      <c r="D2269" t="s">
        <v>48</v>
      </c>
      <c r="E2269" t="s">
        <v>19</v>
      </c>
      <c r="F2269" t="s">
        <v>34</v>
      </c>
      <c r="G2269" t="s">
        <v>526</v>
      </c>
      <c r="H2269" s="1">
        <v>45563.21875</v>
      </c>
      <c r="I2269" s="1">
        <v>45563.32708333333</v>
      </c>
      <c r="J2269">
        <v>76</v>
      </c>
      <c r="K2269">
        <v>156</v>
      </c>
      <c r="L2269">
        <v>1</v>
      </c>
      <c r="M2269" t="s">
        <v>29</v>
      </c>
      <c r="N2269">
        <v>9</v>
      </c>
      <c r="O2269">
        <v>385.52</v>
      </c>
    </row>
    <row r="2270" spans="1:15" x14ac:dyDescent="0.35">
      <c r="A2270" t="s">
        <v>4723</v>
      </c>
      <c r="B2270" t="s">
        <v>63</v>
      </c>
      <c r="C2270" t="s">
        <v>4724</v>
      </c>
      <c r="D2270" t="s">
        <v>48</v>
      </c>
      <c r="E2270" t="s">
        <v>85</v>
      </c>
      <c r="F2270" t="s">
        <v>34</v>
      </c>
      <c r="G2270" t="s">
        <v>222</v>
      </c>
      <c r="H2270" s="1">
        <v>45607.236805555556</v>
      </c>
      <c r="I2270" s="1">
        <v>45607.290277777778</v>
      </c>
      <c r="J2270">
        <v>49</v>
      </c>
      <c r="K2270">
        <v>77</v>
      </c>
      <c r="L2270">
        <v>1</v>
      </c>
      <c r="M2270" t="s">
        <v>29</v>
      </c>
      <c r="N2270">
        <v>2</v>
      </c>
      <c r="O2270">
        <v>270.06</v>
      </c>
    </row>
    <row r="2271" spans="1:15" x14ac:dyDescent="0.35">
      <c r="A2271" t="s">
        <v>4725</v>
      </c>
      <c r="B2271" t="s">
        <v>63</v>
      </c>
      <c r="C2271" t="s">
        <v>4726</v>
      </c>
      <c r="D2271" t="s">
        <v>48</v>
      </c>
      <c r="E2271" t="s">
        <v>85</v>
      </c>
      <c r="F2271" t="s">
        <v>39</v>
      </c>
      <c r="G2271" t="s">
        <v>296</v>
      </c>
      <c r="H2271" s="1">
        <v>45590.185416666667</v>
      </c>
      <c r="I2271" s="1">
        <v>45590.331250000003</v>
      </c>
      <c r="J2271">
        <v>203</v>
      </c>
      <c r="K2271">
        <v>210</v>
      </c>
      <c r="L2271">
        <v>1</v>
      </c>
      <c r="M2271" t="s">
        <v>41</v>
      </c>
      <c r="N2271">
        <v>10</v>
      </c>
      <c r="O2271">
        <v>447.13</v>
      </c>
    </row>
    <row r="2272" spans="1:15" x14ac:dyDescent="0.35">
      <c r="A2272" t="s">
        <v>4727</v>
      </c>
      <c r="B2272" t="s">
        <v>16</v>
      </c>
      <c r="C2272" t="s">
        <v>4728</v>
      </c>
      <c r="D2272" t="s">
        <v>26</v>
      </c>
      <c r="E2272" t="s">
        <v>33</v>
      </c>
      <c r="F2272" t="s">
        <v>57</v>
      </c>
      <c r="G2272" t="s">
        <v>164</v>
      </c>
      <c r="H2272" s="1">
        <v>45506.640277777777</v>
      </c>
      <c r="I2272" s="1">
        <v>45506.792361111111</v>
      </c>
      <c r="J2272">
        <v>101</v>
      </c>
      <c r="K2272">
        <v>219</v>
      </c>
      <c r="L2272">
        <v>1</v>
      </c>
      <c r="M2272" t="s">
        <v>41</v>
      </c>
      <c r="N2272">
        <v>6</v>
      </c>
      <c r="O2272">
        <v>80.02</v>
      </c>
    </row>
    <row r="2273" spans="1:15" x14ac:dyDescent="0.35">
      <c r="A2273" t="s">
        <v>4729</v>
      </c>
      <c r="B2273" t="s">
        <v>16</v>
      </c>
      <c r="C2273" t="s">
        <v>4730</v>
      </c>
      <c r="D2273" t="s">
        <v>18</v>
      </c>
      <c r="E2273" t="s">
        <v>85</v>
      </c>
      <c r="F2273" t="s">
        <v>34</v>
      </c>
      <c r="G2273" t="s">
        <v>485</v>
      </c>
      <c r="H2273" s="1">
        <v>45407.124305555553</v>
      </c>
      <c r="I2273" s="1">
        <v>45407.222222222219</v>
      </c>
      <c r="J2273">
        <v>91</v>
      </c>
      <c r="K2273">
        <v>141</v>
      </c>
      <c r="L2273">
        <v>1</v>
      </c>
      <c r="M2273" t="s">
        <v>29</v>
      </c>
      <c r="N2273">
        <v>2</v>
      </c>
      <c r="O2273">
        <v>78.400000000000006</v>
      </c>
    </row>
    <row r="2274" spans="1:15" x14ac:dyDescent="0.35">
      <c r="A2274" t="s">
        <v>4731</v>
      </c>
      <c r="B2274" t="s">
        <v>51</v>
      </c>
      <c r="C2274" t="s">
        <v>4732</v>
      </c>
      <c r="D2274" t="s">
        <v>48</v>
      </c>
      <c r="E2274" t="s">
        <v>33</v>
      </c>
      <c r="F2274" t="s">
        <v>34</v>
      </c>
      <c r="G2274" t="s">
        <v>316</v>
      </c>
      <c r="H2274" s="1">
        <v>45476.283333333333</v>
      </c>
      <c r="I2274" s="1">
        <v>45476.356944444444</v>
      </c>
      <c r="J2274">
        <v>106</v>
      </c>
      <c r="K2274">
        <v>106</v>
      </c>
      <c r="L2274">
        <v>0</v>
      </c>
      <c r="M2274" t="s">
        <v>29</v>
      </c>
      <c r="N2274">
        <v>5</v>
      </c>
      <c r="O2274">
        <v>467.94</v>
      </c>
    </row>
    <row r="2275" spans="1:15" x14ac:dyDescent="0.35">
      <c r="A2275" t="s">
        <v>4733</v>
      </c>
      <c r="B2275" t="s">
        <v>24</v>
      </c>
      <c r="C2275" t="s">
        <v>4734</v>
      </c>
      <c r="D2275" t="s">
        <v>48</v>
      </c>
      <c r="E2275" t="s">
        <v>19</v>
      </c>
      <c r="F2275" t="s">
        <v>57</v>
      </c>
      <c r="G2275" t="s">
        <v>21</v>
      </c>
      <c r="H2275" s="1">
        <v>45486.132638888892</v>
      </c>
      <c r="I2275" s="1">
        <v>45486.224999999999</v>
      </c>
      <c r="J2275">
        <v>127</v>
      </c>
      <c r="K2275">
        <v>133</v>
      </c>
      <c r="L2275">
        <v>1</v>
      </c>
      <c r="M2275" t="s">
        <v>22</v>
      </c>
      <c r="N2275">
        <v>4</v>
      </c>
      <c r="O2275">
        <v>257.41000000000003</v>
      </c>
    </row>
    <row r="2276" spans="1:15" x14ac:dyDescent="0.35">
      <c r="A2276" t="s">
        <v>4735</v>
      </c>
      <c r="B2276" t="s">
        <v>31</v>
      </c>
      <c r="C2276" t="s">
        <v>4736</v>
      </c>
      <c r="D2276" t="s">
        <v>48</v>
      </c>
      <c r="E2276" t="s">
        <v>85</v>
      </c>
      <c r="F2276" t="s">
        <v>27</v>
      </c>
      <c r="G2276" t="s">
        <v>853</v>
      </c>
      <c r="H2276" s="1">
        <v>45378.34097222222</v>
      </c>
      <c r="I2276" s="1">
        <v>45378.439583333333</v>
      </c>
      <c r="J2276">
        <v>131</v>
      </c>
      <c r="K2276">
        <v>142</v>
      </c>
      <c r="L2276">
        <v>1</v>
      </c>
      <c r="M2276" t="s">
        <v>41</v>
      </c>
      <c r="N2276">
        <v>2</v>
      </c>
      <c r="O2276">
        <v>267.70999999999998</v>
      </c>
    </row>
    <row r="2277" spans="1:15" x14ac:dyDescent="0.35">
      <c r="A2277" t="s">
        <v>4737</v>
      </c>
      <c r="B2277" t="s">
        <v>51</v>
      </c>
      <c r="C2277" t="s">
        <v>4738</v>
      </c>
      <c r="D2277" t="s">
        <v>48</v>
      </c>
      <c r="E2277" t="s">
        <v>85</v>
      </c>
      <c r="F2277" t="s">
        <v>27</v>
      </c>
      <c r="G2277" t="s">
        <v>476</v>
      </c>
      <c r="H2277" s="1">
        <v>45362.34652777778</v>
      </c>
      <c r="I2277" s="1">
        <v>45362.520833333336</v>
      </c>
      <c r="J2277">
        <v>240</v>
      </c>
      <c r="K2277">
        <v>251</v>
      </c>
      <c r="L2277">
        <v>1</v>
      </c>
      <c r="M2277" t="s">
        <v>22</v>
      </c>
      <c r="N2277">
        <v>4</v>
      </c>
      <c r="O2277">
        <v>239.3</v>
      </c>
    </row>
    <row r="2278" spans="1:15" x14ac:dyDescent="0.35">
      <c r="A2278" t="s">
        <v>4739</v>
      </c>
      <c r="B2278" t="s">
        <v>51</v>
      </c>
      <c r="C2278" t="s">
        <v>4740</v>
      </c>
      <c r="D2278" t="s">
        <v>48</v>
      </c>
      <c r="E2278" t="s">
        <v>19</v>
      </c>
      <c r="F2278" t="s">
        <v>27</v>
      </c>
      <c r="G2278" t="s">
        <v>817</v>
      </c>
      <c r="H2278" s="1">
        <v>45628.184027777781</v>
      </c>
      <c r="I2278" s="1">
        <v>45628.390277777777</v>
      </c>
      <c r="J2278">
        <v>232</v>
      </c>
      <c r="K2278">
        <v>297</v>
      </c>
      <c r="L2278">
        <v>1</v>
      </c>
      <c r="M2278" t="s">
        <v>29</v>
      </c>
      <c r="N2278">
        <v>6</v>
      </c>
      <c r="O2278">
        <v>280.35000000000002</v>
      </c>
    </row>
    <row r="2279" spans="1:15" x14ac:dyDescent="0.35">
      <c r="A2279" t="s">
        <v>4741</v>
      </c>
      <c r="B2279" t="s">
        <v>16</v>
      </c>
      <c r="C2279" t="s">
        <v>4742</v>
      </c>
      <c r="D2279" t="s">
        <v>44</v>
      </c>
      <c r="E2279" t="s">
        <v>85</v>
      </c>
      <c r="F2279" t="s">
        <v>34</v>
      </c>
      <c r="G2279" t="s">
        <v>207</v>
      </c>
      <c r="H2279" s="1">
        <v>45394.966666666667</v>
      </c>
      <c r="I2279" s="1">
        <v>45395.123611111114</v>
      </c>
      <c r="J2279">
        <v>227</v>
      </c>
      <c r="K2279">
        <v>226</v>
      </c>
      <c r="L2279">
        <v>0</v>
      </c>
      <c r="M2279" t="s">
        <v>22</v>
      </c>
      <c r="N2279">
        <v>7</v>
      </c>
      <c r="O2279">
        <v>367.85</v>
      </c>
    </row>
    <row r="2280" spans="1:15" x14ac:dyDescent="0.35">
      <c r="A2280" t="s">
        <v>4743</v>
      </c>
      <c r="B2280" t="s">
        <v>63</v>
      </c>
      <c r="C2280" t="s">
        <v>4744</v>
      </c>
      <c r="D2280" t="s">
        <v>48</v>
      </c>
      <c r="E2280" t="s">
        <v>33</v>
      </c>
      <c r="F2280" t="s">
        <v>39</v>
      </c>
      <c r="G2280" t="s">
        <v>228</v>
      </c>
      <c r="H2280" s="1">
        <v>45621.700694444444</v>
      </c>
      <c r="I2280" s="1">
        <v>45621.788888888892</v>
      </c>
      <c r="J2280">
        <v>34</v>
      </c>
      <c r="K2280">
        <v>127</v>
      </c>
      <c r="L2280">
        <v>1</v>
      </c>
      <c r="M2280" t="s">
        <v>41</v>
      </c>
      <c r="N2280">
        <v>9</v>
      </c>
      <c r="O2280">
        <v>110.44</v>
      </c>
    </row>
    <row r="2281" spans="1:15" x14ac:dyDescent="0.35">
      <c r="A2281" t="s">
        <v>4745</v>
      </c>
      <c r="B2281" t="s">
        <v>51</v>
      </c>
      <c r="C2281" t="s">
        <v>4746</v>
      </c>
      <c r="D2281" t="s">
        <v>44</v>
      </c>
      <c r="E2281" t="s">
        <v>38</v>
      </c>
      <c r="F2281" t="s">
        <v>20</v>
      </c>
      <c r="G2281" t="s">
        <v>684</v>
      </c>
      <c r="H2281" s="1">
        <v>45588.4</v>
      </c>
      <c r="I2281" s="1">
        <v>45588.486111111109</v>
      </c>
      <c r="J2281">
        <v>121</v>
      </c>
      <c r="K2281">
        <v>124</v>
      </c>
      <c r="L2281">
        <v>1</v>
      </c>
      <c r="M2281" t="s">
        <v>22</v>
      </c>
      <c r="N2281">
        <v>9</v>
      </c>
      <c r="O2281">
        <v>423.99</v>
      </c>
    </row>
    <row r="2282" spans="1:15" x14ac:dyDescent="0.35">
      <c r="A2282" t="s">
        <v>4747</v>
      </c>
      <c r="B2282" t="s">
        <v>51</v>
      </c>
      <c r="C2282" t="s">
        <v>4748</v>
      </c>
      <c r="D2282" t="s">
        <v>48</v>
      </c>
      <c r="E2282" t="s">
        <v>85</v>
      </c>
      <c r="F2282" t="s">
        <v>34</v>
      </c>
      <c r="G2282" t="s">
        <v>473</v>
      </c>
      <c r="H2282" s="1">
        <v>45533.577777777777</v>
      </c>
      <c r="I2282" s="1">
        <v>45533.73333333333</v>
      </c>
      <c r="J2282">
        <v>106</v>
      </c>
      <c r="K2282">
        <v>224</v>
      </c>
      <c r="L2282">
        <v>1</v>
      </c>
      <c r="M2282" t="s">
        <v>41</v>
      </c>
      <c r="N2282">
        <v>3</v>
      </c>
      <c r="O2282">
        <v>295.70999999999998</v>
      </c>
    </row>
    <row r="2283" spans="1:15" x14ac:dyDescent="0.35">
      <c r="A2283" t="s">
        <v>4749</v>
      </c>
      <c r="B2283" t="s">
        <v>24</v>
      </c>
      <c r="C2283" t="s">
        <v>4750</v>
      </c>
      <c r="D2283" t="s">
        <v>44</v>
      </c>
      <c r="E2283" t="s">
        <v>38</v>
      </c>
      <c r="F2283" t="s">
        <v>57</v>
      </c>
      <c r="G2283" t="s">
        <v>321</v>
      </c>
      <c r="H2283" s="1">
        <v>45581.782638888886</v>
      </c>
      <c r="I2283" s="1">
        <v>45581.90347222222</v>
      </c>
      <c r="J2283">
        <v>90</v>
      </c>
      <c r="K2283">
        <v>174</v>
      </c>
      <c r="L2283">
        <v>1</v>
      </c>
      <c r="M2283" t="s">
        <v>29</v>
      </c>
      <c r="N2283">
        <v>10</v>
      </c>
      <c r="O2283">
        <v>230.66</v>
      </c>
    </row>
    <row r="2284" spans="1:15" x14ac:dyDescent="0.35">
      <c r="A2284" t="s">
        <v>4751</v>
      </c>
      <c r="B2284" t="s">
        <v>31</v>
      </c>
      <c r="C2284" t="s">
        <v>4752</v>
      </c>
      <c r="D2284" t="s">
        <v>56</v>
      </c>
      <c r="E2284" t="s">
        <v>19</v>
      </c>
      <c r="F2284" t="s">
        <v>34</v>
      </c>
      <c r="G2284" t="s">
        <v>316</v>
      </c>
      <c r="H2284" s="1">
        <v>45404.498611111114</v>
      </c>
      <c r="I2284" s="1">
        <v>45404.681944444441</v>
      </c>
      <c r="J2284">
        <v>145</v>
      </c>
      <c r="K2284">
        <v>264</v>
      </c>
      <c r="L2284">
        <v>1</v>
      </c>
      <c r="M2284" t="s">
        <v>22</v>
      </c>
      <c r="N2284">
        <v>10</v>
      </c>
      <c r="O2284">
        <v>473.77</v>
      </c>
    </row>
    <row r="2285" spans="1:15" x14ac:dyDescent="0.35">
      <c r="A2285" t="s">
        <v>4753</v>
      </c>
      <c r="B2285" t="s">
        <v>24</v>
      </c>
      <c r="C2285" t="s">
        <v>4754</v>
      </c>
      <c r="D2285" t="s">
        <v>18</v>
      </c>
      <c r="E2285" t="s">
        <v>38</v>
      </c>
      <c r="F2285" t="s">
        <v>39</v>
      </c>
      <c r="G2285" t="s">
        <v>459</v>
      </c>
      <c r="H2285" s="1">
        <v>45301.07708333333</v>
      </c>
      <c r="I2285" s="1">
        <v>45301.12777777778</v>
      </c>
      <c r="J2285">
        <v>74</v>
      </c>
      <c r="K2285">
        <v>73</v>
      </c>
      <c r="L2285">
        <v>0</v>
      </c>
      <c r="M2285" t="s">
        <v>41</v>
      </c>
      <c r="N2285">
        <v>6</v>
      </c>
      <c r="O2285">
        <v>218.93</v>
      </c>
    </row>
    <row r="2286" spans="1:15" x14ac:dyDescent="0.35">
      <c r="A2286" t="s">
        <v>4755</v>
      </c>
      <c r="B2286" t="s">
        <v>31</v>
      </c>
      <c r="C2286" t="s">
        <v>4756</v>
      </c>
      <c r="D2286" t="s">
        <v>26</v>
      </c>
      <c r="E2286" t="s">
        <v>19</v>
      </c>
      <c r="F2286" t="s">
        <v>39</v>
      </c>
      <c r="G2286" t="s">
        <v>108</v>
      </c>
      <c r="H2286" s="1">
        <v>45336.242361111108</v>
      </c>
      <c r="I2286" s="1">
        <v>45336.368750000001</v>
      </c>
      <c r="J2286">
        <v>114</v>
      </c>
      <c r="K2286">
        <v>182</v>
      </c>
      <c r="L2286">
        <v>1</v>
      </c>
      <c r="M2286" t="s">
        <v>41</v>
      </c>
      <c r="N2286">
        <v>7</v>
      </c>
      <c r="O2286">
        <v>356.1</v>
      </c>
    </row>
    <row r="2287" spans="1:15" x14ac:dyDescent="0.35">
      <c r="A2287" t="s">
        <v>4757</v>
      </c>
      <c r="B2287" t="s">
        <v>24</v>
      </c>
      <c r="C2287" t="s">
        <v>4758</v>
      </c>
      <c r="D2287" t="s">
        <v>56</v>
      </c>
      <c r="E2287" t="s">
        <v>33</v>
      </c>
      <c r="F2287" t="s">
        <v>57</v>
      </c>
      <c r="G2287" t="s">
        <v>58</v>
      </c>
      <c r="H2287" s="1">
        <v>45613.45416666667</v>
      </c>
      <c r="I2287" s="1">
        <v>45613.502083333333</v>
      </c>
      <c r="J2287">
        <v>59</v>
      </c>
      <c r="K2287">
        <v>69</v>
      </c>
      <c r="L2287">
        <v>1</v>
      </c>
      <c r="M2287" t="s">
        <v>41</v>
      </c>
      <c r="N2287">
        <v>2</v>
      </c>
      <c r="O2287">
        <v>200.31</v>
      </c>
    </row>
    <row r="2288" spans="1:15" x14ac:dyDescent="0.35">
      <c r="A2288" t="s">
        <v>4759</v>
      </c>
      <c r="B2288" t="s">
        <v>51</v>
      </c>
      <c r="C2288" t="s">
        <v>4760</v>
      </c>
      <c r="D2288" t="s">
        <v>18</v>
      </c>
      <c r="E2288" t="s">
        <v>38</v>
      </c>
      <c r="F2288" t="s">
        <v>39</v>
      </c>
      <c r="G2288" t="s">
        <v>182</v>
      </c>
      <c r="H2288" s="1">
        <v>45450.554166666669</v>
      </c>
      <c r="I2288" s="1">
        <v>45450.664583333331</v>
      </c>
      <c r="J2288">
        <v>142</v>
      </c>
      <c r="K2288">
        <v>159</v>
      </c>
      <c r="L2288">
        <v>1</v>
      </c>
      <c r="M2288" t="s">
        <v>22</v>
      </c>
      <c r="N2288">
        <v>7</v>
      </c>
      <c r="O2288">
        <v>152.08000000000001</v>
      </c>
    </row>
    <row r="2289" spans="1:15" x14ac:dyDescent="0.35">
      <c r="A2289" t="s">
        <v>4761</v>
      </c>
      <c r="B2289" t="s">
        <v>16</v>
      </c>
      <c r="C2289" t="s">
        <v>4762</v>
      </c>
      <c r="D2289" t="s">
        <v>18</v>
      </c>
      <c r="E2289" t="s">
        <v>85</v>
      </c>
      <c r="F2289" t="s">
        <v>39</v>
      </c>
      <c r="G2289" t="s">
        <v>853</v>
      </c>
      <c r="H2289" s="1">
        <v>45398.023611111108</v>
      </c>
      <c r="I2289" s="1">
        <v>45398.119444444441</v>
      </c>
      <c r="J2289">
        <v>33</v>
      </c>
      <c r="K2289">
        <v>138</v>
      </c>
      <c r="L2289">
        <v>1</v>
      </c>
      <c r="M2289" t="s">
        <v>22</v>
      </c>
      <c r="N2289">
        <v>1</v>
      </c>
      <c r="O2289">
        <v>178.68</v>
      </c>
    </row>
    <row r="2290" spans="1:15" x14ac:dyDescent="0.35">
      <c r="A2290" t="s">
        <v>4763</v>
      </c>
      <c r="B2290" t="s">
        <v>63</v>
      </c>
      <c r="C2290" t="s">
        <v>4764</v>
      </c>
      <c r="D2290" t="s">
        <v>26</v>
      </c>
      <c r="E2290" t="s">
        <v>38</v>
      </c>
      <c r="F2290" t="s">
        <v>57</v>
      </c>
      <c r="G2290" t="s">
        <v>785</v>
      </c>
      <c r="H2290" s="1">
        <v>45479.094444444447</v>
      </c>
      <c r="I2290" s="1">
        <v>45479.165972222225</v>
      </c>
      <c r="J2290">
        <v>40</v>
      </c>
      <c r="K2290">
        <v>103</v>
      </c>
      <c r="L2290">
        <v>1</v>
      </c>
      <c r="M2290" t="s">
        <v>29</v>
      </c>
      <c r="N2290">
        <v>5</v>
      </c>
      <c r="O2290">
        <v>173.21</v>
      </c>
    </row>
    <row r="2291" spans="1:15" x14ac:dyDescent="0.35">
      <c r="A2291" t="s">
        <v>4765</v>
      </c>
      <c r="B2291" t="s">
        <v>63</v>
      </c>
      <c r="C2291" t="s">
        <v>4766</v>
      </c>
      <c r="D2291" t="s">
        <v>26</v>
      </c>
      <c r="E2291" t="s">
        <v>19</v>
      </c>
      <c r="F2291" t="s">
        <v>20</v>
      </c>
      <c r="G2291" t="s">
        <v>500</v>
      </c>
      <c r="H2291" s="1">
        <v>45315.646527777775</v>
      </c>
      <c r="I2291" s="1">
        <v>45315.770833333336</v>
      </c>
      <c r="J2291">
        <v>70</v>
      </c>
      <c r="K2291">
        <v>179</v>
      </c>
      <c r="L2291">
        <v>1</v>
      </c>
      <c r="M2291" t="s">
        <v>41</v>
      </c>
      <c r="N2291">
        <v>1</v>
      </c>
      <c r="O2291">
        <v>89.16</v>
      </c>
    </row>
    <row r="2292" spans="1:15" x14ac:dyDescent="0.35">
      <c r="A2292" t="s">
        <v>4767</v>
      </c>
      <c r="B2292" t="s">
        <v>51</v>
      </c>
      <c r="C2292" t="s">
        <v>4768</v>
      </c>
      <c r="D2292" t="s">
        <v>56</v>
      </c>
      <c r="E2292" t="s">
        <v>85</v>
      </c>
      <c r="F2292" t="s">
        <v>27</v>
      </c>
      <c r="G2292" t="s">
        <v>445</v>
      </c>
      <c r="H2292" s="1">
        <v>45619.410416666666</v>
      </c>
      <c r="I2292" s="1">
        <v>45619.477083333331</v>
      </c>
      <c r="J2292">
        <v>49</v>
      </c>
      <c r="K2292">
        <v>96</v>
      </c>
      <c r="L2292">
        <v>1</v>
      </c>
      <c r="M2292" t="s">
        <v>29</v>
      </c>
      <c r="N2292">
        <v>4</v>
      </c>
      <c r="O2292">
        <v>415.62</v>
      </c>
    </row>
    <row r="2293" spans="1:15" x14ac:dyDescent="0.35">
      <c r="A2293" t="s">
        <v>4769</v>
      </c>
      <c r="B2293" t="s">
        <v>31</v>
      </c>
      <c r="C2293" t="s">
        <v>4770</v>
      </c>
      <c r="D2293" t="s">
        <v>56</v>
      </c>
      <c r="E2293" t="s">
        <v>19</v>
      </c>
      <c r="F2293" t="s">
        <v>39</v>
      </c>
      <c r="G2293" t="s">
        <v>676</v>
      </c>
      <c r="H2293" s="1">
        <v>45576.28125</v>
      </c>
      <c r="I2293" s="1">
        <v>45576.347222222219</v>
      </c>
      <c r="J2293">
        <v>34</v>
      </c>
      <c r="K2293">
        <v>95</v>
      </c>
      <c r="L2293">
        <v>1</v>
      </c>
      <c r="M2293" t="s">
        <v>29</v>
      </c>
      <c r="N2293">
        <v>6</v>
      </c>
      <c r="O2293">
        <v>164.73</v>
      </c>
    </row>
    <row r="2294" spans="1:15" x14ac:dyDescent="0.35">
      <c r="A2294" t="s">
        <v>4771</v>
      </c>
      <c r="B2294" t="s">
        <v>16</v>
      </c>
      <c r="C2294" t="s">
        <v>4772</v>
      </c>
      <c r="D2294" t="s">
        <v>56</v>
      </c>
      <c r="E2294" t="s">
        <v>33</v>
      </c>
      <c r="F2294" t="s">
        <v>39</v>
      </c>
      <c r="G2294" t="s">
        <v>97</v>
      </c>
      <c r="H2294" s="1">
        <v>45322.007638888892</v>
      </c>
      <c r="I2294" s="1">
        <v>45322.193749999999</v>
      </c>
      <c r="J2294">
        <v>236</v>
      </c>
      <c r="K2294">
        <v>268</v>
      </c>
      <c r="L2294">
        <v>1</v>
      </c>
      <c r="M2294" t="s">
        <v>29</v>
      </c>
      <c r="N2294">
        <v>6</v>
      </c>
      <c r="O2294">
        <v>482.25</v>
      </c>
    </row>
    <row r="2295" spans="1:15" x14ac:dyDescent="0.35">
      <c r="A2295" t="s">
        <v>4773</v>
      </c>
      <c r="B2295" t="s">
        <v>63</v>
      </c>
      <c r="C2295" t="s">
        <v>4774</v>
      </c>
      <c r="D2295" t="s">
        <v>48</v>
      </c>
      <c r="E2295" t="s">
        <v>33</v>
      </c>
      <c r="F2295" t="s">
        <v>57</v>
      </c>
      <c r="G2295" t="s">
        <v>316</v>
      </c>
      <c r="H2295" s="1">
        <v>45640.163194444445</v>
      </c>
      <c r="I2295" s="1">
        <v>45640.345138888886</v>
      </c>
      <c r="J2295">
        <v>200</v>
      </c>
      <c r="K2295">
        <v>262</v>
      </c>
      <c r="L2295">
        <v>1</v>
      </c>
      <c r="M2295" t="s">
        <v>41</v>
      </c>
      <c r="N2295">
        <v>3</v>
      </c>
      <c r="O2295">
        <v>374</v>
      </c>
    </row>
    <row r="2296" spans="1:15" x14ac:dyDescent="0.35">
      <c r="A2296" t="s">
        <v>4775</v>
      </c>
      <c r="B2296" t="s">
        <v>24</v>
      </c>
      <c r="C2296" t="s">
        <v>4776</v>
      </c>
      <c r="D2296" t="s">
        <v>18</v>
      </c>
      <c r="E2296" t="s">
        <v>85</v>
      </c>
      <c r="F2296" t="s">
        <v>39</v>
      </c>
      <c r="G2296" t="s">
        <v>213</v>
      </c>
      <c r="H2296" s="1">
        <v>45342.770138888889</v>
      </c>
      <c r="I2296" s="1">
        <v>45342.911111111112</v>
      </c>
      <c r="J2296">
        <v>138</v>
      </c>
      <c r="K2296">
        <v>203</v>
      </c>
      <c r="L2296">
        <v>1</v>
      </c>
      <c r="M2296" t="s">
        <v>22</v>
      </c>
      <c r="N2296">
        <v>7</v>
      </c>
      <c r="O2296">
        <v>51.46</v>
      </c>
    </row>
    <row r="2297" spans="1:15" x14ac:dyDescent="0.35">
      <c r="A2297" t="s">
        <v>4777</v>
      </c>
      <c r="B2297" t="s">
        <v>51</v>
      </c>
      <c r="C2297" t="s">
        <v>4778</v>
      </c>
      <c r="D2297" t="s">
        <v>18</v>
      </c>
      <c r="E2297" t="s">
        <v>85</v>
      </c>
      <c r="F2297" t="s">
        <v>57</v>
      </c>
      <c r="G2297" t="s">
        <v>129</v>
      </c>
      <c r="H2297" s="1">
        <v>45520.13958333333</v>
      </c>
      <c r="I2297" s="1">
        <v>45520.209027777775</v>
      </c>
      <c r="J2297">
        <v>56</v>
      </c>
      <c r="K2297">
        <v>100</v>
      </c>
      <c r="L2297">
        <v>1</v>
      </c>
      <c r="M2297" t="s">
        <v>22</v>
      </c>
      <c r="N2297">
        <v>4</v>
      </c>
      <c r="O2297">
        <v>82.22</v>
      </c>
    </row>
    <row r="2298" spans="1:15" x14ac:dyDescent="0.35">
      <c r="A2298" t="s">
        <v>4779</v>
      </c>
      <c r="B2298" t="s">
        <v>63</v>
      </c>
      <c r="C2298" t="s">
        <v>4780</v>
      </c>
      <c r="D2298" t="s">
        <v>18</v>
      </c>
      <c r="E2298" t="s">
        <v>38</v>
      </c>
      <c r="F2298" t="s">
        <v>57</v>
      </c>
      <c r="G2298" t="s">
        <v>505</v>
      </c>
      <c r="H2298" s="1">
        <v>45517.668749999997</v>
      </c>
      <c r="I2298" s="1">
        <v>45517.709722222222</v>
      </c>
      <c r="J2298">
        <v>54</v>
      </c>
      <c r="K2298">
        <v>59</v>
      </c>
      <c r="L2298">
        <v>1</v>
      </c>
      <c r="M2298" t="s">
        <v>41</v>
      </c>
      <c r="N2298">
        <v>9</v>
      </c>
      <c r="O2298">
        <v>261.56</v>
      </c>
    </row>
    <row r="2299" spans="1:15" x14ac:dyDescent="0.35">
      <c r="A2299" t="s">
        <v>4781</v>
      </c>
      <c r="B2299" t="s">
        <v>24</v>
      </c>
      <c r="C2299" t="s">
        <v>4782</v>
      </c>
      <c r="D2299" t="s">
        <v>56</v>
      </c>
      <c r="E2299" t="s">
        <v>19</v>
      </c>
      <c r="F2299" t="s">
        <v>57</v>
      </c>
      <c r="G2299" t="s">
        <v>397</v>
      </c>
      <c r="H2299" s="1">
        <v>45361.991666666669</v>
      </c>
      <c r="I2299" s="1">
        <v>45362.140972222223</v>
      </c>
      <c r="J2299">
        <v>117</v>
      </c>
      <c r="K2299">
        <v>215</v>
      </c>
      <c r="L2299">
        <v>1</v>
      </c>
      <c r="M2299" t="s">
        <v>41</v>
      </c>
      <c r="N2299">
        <v>10</v>
      </c>
      <c r="O2299">
        <v>373</v>
      </c>
    </row>
    <row r="2300" spans="1:15" x14ac:dyDescent="0.35">
      <c r="A2300" t="s">
        <v>4783</v>
      </c>
      <c r="B2300" t="s">
        <v>51</v>
      </c>
      <c r="C2300" t="s">
        <v>4784</v>
      </c>
      <c r="D2300" t="s">
        <v>26</v>
      </c>
      <c r="E2300" t="s">
        <v>33</v>
      </c>
      <c r="F2300" t="s">
        <v>34</v>
      </c>
      <c r="G2300" t="s">
        <v>231</v>
      </c>
      <c r="H2300" s="1">
        <v>45555.446527777778</v>
      </c>
      <c r="I2300" s="1">
        <v>45555.510416666664</v>
      </c>
      <c r="J2300">
        <v>23</v>
      </c>
      <c r="K2300">
        <v>92</v>
      </c>
      <c r="L2300">
        <v>1</v>
      </c>
      <c r="M2300" t="s">
        <v>41</v>
      </c>
      <c r="N2300">
        <v>7</v>
      </c>
      <c r="O2300">
        <v>277.31</v>
      </c>
    </row>
    <row r="2301" spans="1:15" x14ac:dyDescent="0.35">
      <c r="A2301" t="s">
        <v>4785</v>
      </c>
      <c r="B2301" t="s">
        <v>63</v>
      </c>
      <c r="C2301" t="s">
        <v>4786</v>
      </c>
      <c r="D2301" t="s">
        <v>26</v>
      </c>
      <c r="E2301" t="s">
        <v>19</v>
      </c>
      <c r="F2301" t="s">
        <v>27</v>
      </c>
      <c r="G2301" t="s">
        <v>647</v>
      </c>
      <c r="H2301" s="1">
        <v>45472.915972222225</v>
      </c>
      <c r="I2301" s="1">
        <v>45473.070833333331</v>
      </c>
      <c r="J2301">
        <v>151</v>
      </c>
      <c r="K2301">
        <v>223</v>
      </c>
      <c r="L2301">
        <v>1</v>
      </c>
      <c r="M2301" t="s">
        <v>22</v>
      </c>
      <c r="N2301">
        <v>6</v>
      </c>
      <c r="O2301">
        <v>423.08</v>
      </c>
    </row>
    <row r="2302" spans="1:15" x14ac:dyDescent="0.35">
      <c r="A2302" t="s">
        <v>4787</v>
      </c>
      <c r="B2302" t="s">
        <v>16</v>
      </c>
      <c r="C2302" t="s">
        <v>4788</v>
      </c>
      <c r="D2302" t="s">
        <v>26</v>
      </c>
      <c r="E2302" t="s">
        <v>38</v>
      </c>
      <c r="F2302" t="s">
        <v>34</v>
      </c>
      <c r="G2302" t="s">
        <v>676</v>
      </c>
      <c r="H2302" s="1">
        <v>45450.486111111109</v>
      </c>
      <c r="I2302" s="1">
        <v>45450.55</v>
      </c>
      <c r="J2302">
        <v>32</v>
      </c>
      <c r="K2302">
        <v>92</v>
      </c>
      <c r="L2302">
        <v>1</v>
      </c>
      <c r="M2302" t="s">
        <v>41</v>
      </c>
      <c r="N2302">
        <v>6</v>
      </c>
      <c r="O2302">
        <v>444.41</v>
      </c>
    </row>
    <row r="2303" spans="1:15" x14ac:dyDescent="0.35">
      <c r="A2303" t="s">
        <v>4789</v>
      </c>
      <c r="B2303" t="s">
        <v>31</v>
      </c>
      <c r="C2303" t="s">
        <v>4790</v>
      </c>
      <c r="D2303" t="s">
        <v>26</v>
      </c>
      <c r="E2303" t="s">
        <v>33</v>
      </c>
      <c r="F2303" t="s">
        <v>27</v>
      </c>
      <c r="G2303" t="s">
        <v>810</v>
      </c>
      <c r="H2303" s="1">
        <v>45436.848611111112</v>
      </c>
      <c r="I2303" s="1">
        <v>45436.92291666667</v>
      </c>
      <c r="J2303">
        <v>62</v>
      </c>
      <c r="K2303">
        <v>107</v>
      </c>
      <c r="L2303">
        <v>1</v>
      </c>
      <c r="M2303" t="s">
        <v>29</v>
      </c>
      <c r="N2303">
        <v>4</v>
      </c>
      <c r="O2303">
        <v>491.19</v>
      </c>
    </row>
    <row r="2304" spans="1:15" x14ac:dyDescent="0.35">
      <c r="A2304" t="s">
        <v>4791</v>
      </c>
      <c r="B2304" t="s">
        <v>31</v>
      </c>
      <c r="C2304" t="s">
        <v>4792</v>
      </c>
      <c r="D2304" t="s">
        <v>48</v>
      </c>
      <c r="E2304" t="s">
        <v>33</v>
      </c>
      <c r="F2304" t="s">
        <v>20</v>
      </c>
      <c r="G2304" t="s">
        <v>28</v>
      </c>
      <c r="H2304" s="1">
        <v>45521.302083333336</v>
      </c>
      <c r="I2304" s="1">
        <v>45521.326388888891</v>
      </c>
      <c r="J2304">
        <v>28</v>
      </c>
      <c r="K2304">
        <v>35</v>
      </c>
      <c r="L2304">
        <v>1</v>
      </c>
      <c r="M2304" t="s">
        <v>41</v>
      </c>
      <c r="N2304">
        <v>5</v>
      </c>
      <c r="O2304">
        <v>208.77</v>
      </c>
    </row>
    <row r="2305" spans="1:15" x14ac:dyDescent="0.35">
      <c r="A2305" t="s">
        <v>4793</v>
      </c>
      <c r="B2305" t="s">
        <v>63</v>
      </c>
      <c r="C2305" t="s">
        <v>4794</v>
      </c>
      <c r="D2305" t="s">
        <v>44</v>
      </c>
      <c r="E2305" t="s">
        <v>85</v>
      </c>
      <c r="F2305" t="s">
        <v>57</v>
      </c>
      <c r="G2305" t="s">
        <v>132</v>
      </c>
      <c r="H2305" s="1">
        <v>45577.990277777775</v>
      </c>
      <c r="I2305" s="1">
        <v>45578.147916666669</v>
      </c>
      <c r="J2305">
        <v>124</v>
      </c>
      <c r="K2305">
        <v>227</v>
      </c>
      <c r="L2305">
        <v>1</v>
      </c>
      <c r="M2305" t="s">
        <v>22</v>
      </c>
      <c r="N2305">
        <v>10</v>
      </c>
      <c r="O2305">
        <v>402.98</v>
      </c>
    </row>
    <row r="2306" spans="1:15" x14ac:dyDescent="0.35">
      <c r="A2306" t="s">
        <v>4795</v>
      </c>
      <c r="B2306" t="s">
        <v>63</v>
      </c>
      <c r="C2306" t="s">
        <v>4796</v>
      </c>
      <c r="D2306" t="s">
        <v>56</v>
      </c>
      <c r="E2306" t="s">
        <v>33</v>
      </c>
      <c r="F2306" t="s">
        <v>20</v>
      </c>
      <c r="G2306" t="s">
        <v>371</v>
      </c>
      <c r="H2306" s="1">
        <v>45445.449305555558</v>
      </c>
      <c r="I2306" s="1">
        <v>45445.611805555556</v>
      </c>
      <c r="J2306">
        <v>115</v>
      </c>
      <c r="K2306">
        <v>234</v>
      </c>
      <c r="L2306">
        <v>1</v>
      </c>
      <c r="M2306" t="s">
        <v>22</v>
      </c>
      <c r="N2306">
        <v>8</v>
      </c>
      <c r="O2306">
        <v>131.32</v>
      </c>
    </row>
    <row r="2307" spans="1:15" x14ac:dyDescent="0.35">
      <c r="A2307" t="s">
        <v>4797</v>
      </c>
      <c r="B2307" t="s">
        <v>51</v>
      </c>
      <c r="C2307" t="s">
        <v>4798</v>
      </c>
      <c r="D2307" t="s">
        <v>44</v>
      </c>
      <c r="E2307" t="s">
        <v>85</v>
      </c>
      <c r="F2307" t="s">
        <v>39</v>
      </c>
      <c r="G2307" t="s">
        <v>521</v>
      </c>
      <c r="H2307" s="1">
        <v>45318.345138888886</v>
      </c>
      <c r="I2307" s="1">
        <v>45318.395833333336</v>
      </c>
      <c r="J2307">
        <v>42</v>
      </c>
      <c r="K2307">
        <v>73</v>
      </c>
      <c r="L2307">
        <v>1</v>
      </c>
      <c r="M2307" t="s">
        <v>41</v>
      </c>
      <c r="N2307">
        <v>6</v>
      </c>
      <c r="O2307">
        <v>484.59</v>
      </c>
    </row>
    <row r="2308" spans="1:15" x14ac:dyDescent="0.35">
      <c r="A2308" t="s">
        <v>4799</v>
      </c>
      <c r="B2308" t="s">
        <v>63</v>
      </c>
      <c r="C2308" t="s">
        <v>4800</v>
      </c>
      <c r="D2308" t="s">
        <v>48</v>
      </c>
      <c r="E2308" t="s">
        <v>19</v>
      </c>
      <c r="F2308" t="s">
        <v>20</v>
      </c>
      <c r="G2308" t="s">
        <v>68</v>
      </c>
      <c r="H2308" s="1">
        <v>45472.451388888891</v>
      </c>
      <c r="I2308" s="1">
        <v>45472.536111111112</v>
      </c>
      <c r="J2308">
        <v>118</v>
      </c>
      <c r="K2308">
        <v>122</v>
      </c>
      <c r="L2308">
        <v>1</v>
      </c>
      <c r="M2308" t="s">
        <v>41</v>
      </c>
      <c r="N2308">
        <v>9</v>
      </c>
      <c r="O2308">
        <v>426.46</v>
      </c>
    </row>
    <row r="2309" spans="1:15" x14ac:dyDescent="0.35">
      <c r="A2309" t="s">
        <v>4801</v>
      </c>
      <c r="B2309" t="s">
        <v>16</v>
      </c>
      <c r="C2309" t="s">
        <v>4802</v>
      </c>
      <c r="D2309" t="s">
        <v>56</v>
      </c>
      <c r="E2309" t="s">
        <v>33</v>
      </c>
      <c r="F2309" t="s">
        <v>57</v>
      </c>
      <c r="G2309" t="s">
        <v>853</v>
      </c>
      <c r="H2309" s="1">
        <v>45581.159722222219</v>
      </c>
      <c r="I2309" s="1">
        <v>45581.288194444445</v>
      </c>
      <c r="J2309">
        <v>124</v>
      </c>
      <c r="K2309">
        <v>185</v>
      </c>
      <c r="L2309">
        <v>1</v>
      </c>
      <c r="M2309" t="s">
        <v>22</v>
      </c>
      <c r="N2309">
        <v>7</v>
      </c>
      <c r="O2309">
        <v>312.05</v>
      </c>
    </row>
    <row r="2310" spans="1:15" x14ac:dyDescent="0.35">
      <c r="A2310" t="s">
        <v>4803</v>
      </c>
      <c r="B2310" t="s">
        <v>31</v>
      </c>
      <c r="C2310" t="s">
        <v>4804</v>
      </c>
      <c r="D2310" t="s">
        <v>18</v>
      </c>
      <c r="E2310" t="s">
        <v>38</v>
      </c>
      <c r="F2310" t="s">
        <v>39</v>
      </c>
      <c r="G2310" t="s">
        <v>108</v>
      </c>
      <c r="H2310" s="1">
        <v>45508.023611111108</v>
      </c>
      <c r="I2310" s="1">
        <v>45508.081944444442</v>
      </c>
      <c r="J2310">
        <v>22</v>
      </c>
      <c r="K2310">
        <v>84</v>
      </c>
      <c r="L2310">
        <v>1</v>
      </c>
      <c r="M2310" t="s">
        <v>29</v>
      </c>
      <c r="N2310">
        <v>1</v>
      </c>
      <c r="O2310">
        <v>228.82</v>
      </c>
    </row>
    <row r="2311" spans="1:15" x14ac:dyDescent="0.35">
      <c r="A2311" t="s">
        <v>4805</v>
      </c>
      <c r="B2311" t="s">
        <v>51</v>
      </c>
      <c r="C2311" t="s">
        <v>4806</v>
      </c>
      <c r="D2311" t="s">
        <v>44</v>
      </c>
      <c r="E2311" t="s">
        <v>85</v>
      </c>
      <c r="F2311" t="s">
        <v>20</v>
      </c>
      <c r="G2311" t="s">
        <v>521</v>
      </c>
      <c r="H2311" s="1">
        <v>45430.503472222219</v>
      </c>
      <c r="I2311" s="1">
        <v>45430.645833333336</v>
      </c>
      <c r="J2311">
        <v>89</v>
      </c>
      <c r="K2311">
        <v>205</v>
      </c>
      <c r="L2311">
        <v>1</v>
      </c>
      <c r="M2311" t="s">
        <v>41</v>
      </c>
      <c r="N2311">
        <v>5</v>
      </c>
      <c r="O2311">
        <v>429.12</v>
      </c>
    </row>
    <row r="2312" spans="1:15" x14ac:dyDescent="0.35">
      <c r="A2312" t="s">
        <v>4807</v>
      </c>
      <c r="B2312" t="s">
        <v>16</v>
      </c>
      <c r="C2312" t="s">
        <v>4808</v>
      </c>
      <c r="D2312" t="s">
        <v>44</v>
      </c>
      <c r="E2312" t="s">
        <v>19</v>
      </c>
      <c r="F2312" t="s">
        <v>34</v>
      </c>
      <c r="G2312" t="s">
        <v>512</v>
      </c>
      <c r="H2312" s="1">
        <v>45516.501388888886</v>
      </c>
      <c r="I2312" s="1">
        <v>45516.56527777778</v>
      </c>
      <c r="J2312">
        <v>41</v>
      </c>
      <c r="K2312">
        <v>92</v>
      </c>
      <c r="L2312">
        <v>1</v>
      </c>
      <c r="M2312" t="s">
        <v>41</v>
      </c>
      <c r="N2312">
        <v>4</v>
      </c>
      <c r="O2312">
        <v>228.6</v>
      </c>
    </row>
    <row r="2313" spans="1:15" x14ac:dyDescent="0.35">
      <c r="A2313" t="s">
        <v>4809</v>
      </c>
      <c r="B2313" t="s">
        <v>24</v>
      </c>
      <c r="C2313" t="s">
        <v>4810</v>
      </c>
      <c r="D2313" t="s">
        <v>18</v>
      </c>
      <c r="E2313" t="s">
        <v>19</v>
      </c>
      <c r="F2313" t="s">
        <v>57</v>
      </c>
      <c r="G2313" t="s">
        <v>1125</v>
      </c>
      <c r="H2313" s="1">
        <v>45408.420138888891</v>
      </c>
      <c r="I2313" s="1">
        <v>45408.486805555556</v>
      </c>
      <c r="J2313">
        <v>19</v>
      </c>
      <c r="K2313">
        <v>96</v>
      </c>
      <c r="L2313">
        <v>1</v>
      </c>
      <c r="M2313" t="s">
        <v>22</v>
      </c>
      <c r="N2313">
        <v>10</v>
      </c>
      <c r="O2313">
        <v>249.79</v>
      </c>
    </row>
    <row r="2314" spans="1:15" x14ac:dyDescent="0.35">
      <c r="A2314" t="s">
        <v>4811</v>
      </c>
      <c r="B2314" t="s">
        <v>63</v>
      </c>
      <c r="C2314" t="s">
        <v>4812</v>
      </c>
      <c r="D2314" t="s">
        <v>44</v>
      </c>
      <c r="E2314" t="s">
        <v>19</v>
      </c>
      <c r="F2314" t="s">
        <v>57</v>
      </c>
      <c r="G2314" t="s">
        <v>473</v>
      </c>
      <c r="H2314" s="1">
        <v>45556.88958333333</v>
      </c>
      <c r="I2314" s="1">
        <v>45557.04791666667</v>
      </c>
      <c r="J2314">
        <v>114</v>
      </c>
      <c r="K2314">
        <v>228</v>
      </c>
      <c r="L2314">
        <v>1</v>
      </c>
      <c r="M2314" t="s">
        <v>41</v>
      </c>
      <c r="N2314">
        <v>7</v>
      </c>
      <c r="O2314">
        <v>414.62</v>
      </c>
    </row>
    <row r="2315" spans="1:15" x14ac:dyDescent="0.35">
      <c r="A2315" t="s">
        <v>4813</v>
      </c>
      <c r="B2315" t="s">
        <v>16</v>
      </c>
      <c r="C2315" t="s">
        <v>4814</v>
      </c>
      <c r="D2315" t="s">
        <v>56</v>
      </c>
      <c r="E2315" t="s">
        <v>19</v>
      </c>
      <c r="F2315" t="s">
        <v>57</v>
      </c>
      <c r="G2315" t="s">
        <v>173</v>
      </c>
      <c r="H2315" s="1">
        <v>45532.379861111112</v>
      </c>
      <c r="I2315" s="1">
        <v>45532.555555555555</v>
      </c>
      <c r="J2315">
        <v>192</v>
      </c>
      <c r="K2315">
        <v>253</v>
      </c>
      <c r="L2315">
        <v>1</v>
      </c>
      <c r="M2315" t="s">
        <v>41</v>
      </c>
      <c r="N2315">
        <v>5</v>
      </c>
      <c r="O2315">
        <v>175.02</v>
      </c>
    </row>
    <row r="2316" spans="1:15" x14ac:dyDescent="0.35">
      <c r="A2316" t="s">
        <v>4815</v>
      </c>
      <c r="B2316" t="s">
        <v>63</v>
      </c>
      <c r="C2316" t="s">
        <v>4816</v>
      </c>
      <c r="D2316" t="s">
        <v>18</v>
      </c>
      <c r="E2316" t="s">
        <v>33</v>
      </c>
      <c r="F2316" t="s">
        <v>20</v>
      </c>
      <c r="G2316" t="s">
        <v>476</v>
      </c>
      <c r="H2316" s="1">
        <v>45515.762499999997</v>
      </c>
      <c r="I2316" s="1">
        <v>45515.842361111114</v>
      </c>
      <c r="J2316">
        <v>115</v>
      </c>
      <c r="K2316">
        <v>115</v>
      </c>
      <c r="L2316">
        <v>0</v>
      </c>
      <c r="M2316" t="s">
        <v>41</v>
      </c>
      <c r="N2316">
        <v>7</v>
      </c>
      <c r="O2316">
        <v>209.47</v>
      </c>
    </row>
    <row r="2317" spans="1:15" x14ac:dyDescent="0.35">
      <c r="A2317" t="s">
        <v>4817</v>
      </c>
      <c r="B2317" t="s">
        <v>63</v>
      </c>
      <c r="C2317" t="s">
        <v>4818</v>
      </c>
      <c r="D2317" t="s">
        <v>48</v>
      </c>
      <c r="E2317" t="s">
        <v>85</v>
      </c>
      <c r="F2317" t="s">
        <v>57</v>
      </c>
      <c r="G2317" t="s">
        <v>988</v>
      </c>
      <c r="H2317" s="1">
        <v>45377.75</v>
      </c>
      <c r="I2317" s="1">
        <v>45377.905555555553</v>
      </c>
      <c r="J2317">
        <v>128</v>
      </c>
      <c r="K2317">
        <v>224</v>
      </c>
      <c r="L2317">
        <v>1</v>
      </c>
      <c r="M2317" t="s">
        <v>29</v>
      </c>
      <c r="N2317">
        <v>9</v>
      </c>
      <c r="O2317">
        <v>335.01</v>
      </c>
    </row>
    <row r="2318" spans="1:15" x14ac:dyDescent="0.35">
      <c r="A2318" t="s">
        <v>4819</v>
      </c>
      <c r="B2318" t="s">
        <v>31</v>
      </c>
      <c r="C2318" t="s">
        <v>4820</v>
      </c>
      <c r="D2318" t="s">
        <v>44</v>
      </c>
      <c r="E2318" t="s">
        <v>85</v>
      </c>
      <c r="F2318" t="s">
        <v>27</v>
      </c>
      <c r="G2318" t="s">
        <v>114</v>
      </c>
      <c r="H2318" s="1">
        <v>45482.416666666664</v>
      </c>
      <c r="I2318" s="1">
        <v>45482.59097222222</v>
      </c>
      <c r="J2318">
        <v>223</v>
      </c>
      <c r="K2318">
        <v>251</v>
      </c>
      <c r="L2318">
        <v>1</v>
      </c>
      <c r="M2318" t="s">
        <v>29</v>
      </c>
      <c r="N2318">
        <v>2</v>
      </c>
      <c r="O2318">
        <v>482.97</v>
      </c>
    </row>
    <row r="2319" spans="1:15" x14ac:dyDescent="0.35">
      <c r="A2319" t="s">
        <v>4821</v>
      </c>
      <c r="B2319" t="s">
        <v>16</v>
      </c>
      <c r="C2319" t="s">
        <v>4822</v>
      </c>
      <c r="D2319" t="s">
        <v>48</v>
      </c>
      <c r="E2319" t="s">
        <v>38</v>
      </c>
      <c r="F2319" t="s">
        <v>57</v>
      </c>
      <c r="G2319" t="s">
        <v>225</v>
      </c>
      <c r="H2319" s="1">
        <v>45535.941666666666</v>
      </c>
      <c r="I2319" s="1">
        <v>45536.1</v>
      </c>
      <c r="J2319">
        <v>204</v>
      </c>
      <c r="K2319">
        <v>228</v>
      </c>
      <c r="L2319">
        <v>1</v>
      </c>
      <c r="M2319" t="s">
        <v>41</v>
      </c>
      <c r="N2319">
        <v>9</v>
      </c>
      <c r="O2319">
        <v>394.86</v>
      </c>
    </row>
    <row r="2320" spans="1:15" x14ac:dyDescent="0.35">
      <c r="A2320" t="s">
        <v>4823</v>
      </c>
      <c r="B2320" t="s">
        <v>16</v>
      </c>
      <c r="C2320" t="s">
        <v>4824</v>
      </c>
      <c r="D2320" t="s">
        <v>48</v>
      </c>
      <c r="E2320" t="s">
        <v>85</v>
      </c>
      <c r="F2320" t="s">
        <v>39</v>
      </c>
      <c r="G2320" t="s">
        <v>204</v>
      </c>
      <c r="H2320" s="1">
        <v>45313.463194444441</v>
      </c>
      <c r="I2320" s="1">
        <v>45313.583333333336</v>
      </c>
      <c r="J2320">
        <v>79</v>
      </c>
      <c r="K2320">
        <v>173</v>
      </c>
      <c r="L2320">
        <v>1</v>
      </c>
      <c r="M2320" t="s">
        <v>29</v>
      </c>
      <c r="N2320">
        <v>8</v>
      </c>
      <c r="O2320">
        <v>493.21</v>
      </c>
    </row>
    <row r="2321" spans="1:15" x14ac:dyDescent="0.35">
      <c r="A2321" t="s">
        <v>4825</v>
      </c>
      <c r="B2321" t="s">
        <v>51</v>
      </c>
      <c r="C2321" t="s">
        <v>4826</v>
      </c>
      <c r="D2321" t="s">
        <v>56</v>
      </c>
      <c r="E2321" t="s">
        <v>85</v>
      </c>
      <c r="F2321" t="s">
        <v>27</v>
      </c>
      <c r="G2321" t="s">
        <v>539</v>
      </c>
      <c r="H2321" s="1">
        <v>45347.13958333333</v>
      </c>
      <c r="I2321" s="1">
        <v>45347.337500000001</v>
      </c>
      <c r="J2321">
        <v>212</v>
      </c>
      <c r="K2321">
        <v>285</v>
      </c>
      <c r="L2321">
        <v>1</v>
      </c>
      <c r="M2321" t="s">
        <v>41</v>
      </c>
      <c r="N2321">
        <v>8</v>
      </c>
      <c r="O2321">
        <v>328.87</v>
      </c>
    </row>
    <row r="2322" spans="1:15" x14ac:dyDescent="0.35">
      <c r="A2322" t="s">
        <v>4827</v>
      </c>
      <c r="B2322" t="s">
        <v>31</v>
      </c>
      <c r="C2322" t="s">
        <v>4828</v>
      </c>
      <c r="D2322" t="s">
        <v>56</v>
      </c>
      <c r="E2322" t="s">
        <v>85</v>
      </c>
      <c r="F2322" t="s">
        <v>20</v>
      </c>
      <c r="G2322" t="s">
        <v>126</v>
      </c>
      <c r="H2322" s="1">
        <v>45369.055555555555</v>
      </c>
      <c r="I2322" s="1">
        <v>45369.193749999999</v>
      </c>
      <c r="J2322">
        <v>162</v>
      </c>
      <c r="K2322">
        <v>199</v>
      </c>
      <c r="L2322">
        <v>1</v>
      </c>
      <c r="M2322" t="s">
        <v>22</v>
      </c>
      <c r="N2322">
        <v>4</v>
      </c>
      <c r="O2322">
        <v>268.62</v>
      </c>
    </row>
    <row r="2323" spans="1:15" x14ac:dyDescent="0.35">
      <c r="A2323" t="s">
        <v>4829</v>
      </c>
      <c r="B2323" t="s">
        <v>63</v>
      </c>
      <c r="C2323" t="s">
        <v>4830</v>
      </c>
      <c r="D2323" t="s">
        <v>56</v>
      </c>
      <c r="E2323" t="s">
        <v>19</v>
      </c>
      <c r="F2323" t="s">
        <v>27</v>
      </c>
      <c r="G2323" t="s">
        <v>577</v>
      </c>
      <c r="H2323" s="1">
        <v>45650.478472222225</v>
      </c>
      <c r="I2323" s="1">
        <v>45650.579861111109</v>
      </c>
      <c r="J2323">
        <v>132</v>
      </c>
      <c r="K2323">
        <v>146</v>
      </c>
      <c r="L2323">
        <v>1</v>
      </c>
      <c r="M2323" t="s">
        <v>22</v>
      </c>
      <c r="N2323">
        <v>4</v>
      </c>
      <c r="O2323">
        <v>161.47999999999999</v>
      </c>
    </row>
    <row r="2324" spans="1:15" x14ac:dyDescent="0.35">
      <c r="A2324" t="s">
        <v>4831</v>
      </c>
      <c r="B2324" t="s">
        <v>24</v>
      </c>
      <c r="C2324" t="s">
        <v>4832</v>
      </c>
      <c r="D2324" t="s">
        <v>48</v>
      </c>
      <c r="E2324" t="s">
        <v>19</v>
      </c>
      <c r="F2324" t="s">
        <v>57</v>
      </c>
      <c r="G2324" t="s">
        <v>650</v>
      </c>
      <c r="H2324" s="1">
        <v>45321.629861111112</v>
      </c>
      <c r="I2324" s="1">
        <v>45321.704861111109</v>
      </c>
      <c r="J2324">
        <v>16</v>
      </c>
      <c r="K2324">
        <v>108</v>
      </c>
      <c r="L2324">
        <v>1</v>
      </c>
      <c r="M2324" t="s">
        <v>22</v>
      </c>
      <c r="N2324">
        <v>7</v>
      </c>
      <c r="O2324">
        <v>407.59</v>
      </c>
    </row>
    <row r="2325" spans="1:15" x14ac:dyDescent="0.35">
      <c r="A2325" t="s">
        <v>4833</v>
      </c>
      <c r="B2325" t="s">
        <v>63</v>
      </c>
      <c r="C2325" t="s">
        <v>4834</v>
      </c>
      <c r="D2325" t="s">
        <v>18</v>
      </c>
      <c r="E2325" t="s">
        <v>38</v>
      </c>
      <c r="F2325" t="s">
        <v>57</v>
      </c>
      <c r="G2325" t="s">
        <v>35</v>
      </c>
      <c r="H2325" s="1">
        <v>45307.055555555555</v>
      </c>
      <c r="I2325" s="1">
        <v>45307.231249999997</v>
      </c>
      <c r="J2325">
        <v>158</v>
      </c>
      <c r="K2325">
        <v>253</v>
      </c>
      <c r="L2325">
        <v>1</v>
      </c>
      <c r="M2325" t="s">
        <v>22</v>
      </c>
      <c r="N2325">
        <v>9</v>
      </c>
      <c r="O2325">
        <v>320.51</v>
      </c>
    </row>
    <row r="2326" spans="1:15" x14ac:dyDescent="0.35">
      <c r="A2326" t="s">
        <v>4835</v>
      </c>
      <c r="B2326" t="s">
        <v>24</v>
      </c>
      <c r="C2326" t="s">
        <v>4836</v>
      </c>
      <c r="D2326" t="s">
        <v>44</v>
      </c>
      <c r="E2326" t="s">
        <v>33</v>
      </c>
      <c r="F2326" t="s">
        <v>27</v>
      </c>
      <c r="G2326" t="s">
        <v>185</v>
      </c>
      <c r="H2326" s="1">
        <v>45412.88958333333</v>
      </c>
      <c r="I2326" s="1">
        <v>45413.086111111108</v>
      </c>
      <c r="J2326">
        <v>232</v>
      </c>
      <c r="K2326">
        <v>283</v>
      </c>
      <c r="L2326">
        <v>1</v>
      </c>
      <c r="M2326" t="s">
        <v>29</v>
      </c>
      <c r="N2326">
        <v>6</v>
      </c>
      <c r="O2326">
        <v>137.26</v>
      </c>
    </row>
    <row r="2327" spans="1:15" x14ac:dyDescent="0.35">
      <c r="A2327" t="s">
        <v>4837</v>
      </c>
      <c r="B2327" t="s">
        <v>63</v>
      </c>
      <c r="C2327" t="s">
        <v>4838</v>
      </c>
      <c r="D2327" t="s">
        <v>26</v>
      </c>
      <c r="E2327" t="s">
        <v>38</v>
      </c>
      <c r="F2327" t="s">
        <v>34</v>
      </c>
      <c r="G2327" t="s">
        <v>204</v>
      </c>
      <c r="H2327" s="1">
        <v>45521.925000000003</v>
      </c>
      <c r="I2327" s="1">
        <v>45522.00277777778</v>
      </c>
      <c r="J2327">
        <v>31</v>
      </c>
      <c r="K2327">
        <v>112</v>
      </c>
      <c r="L2327">
        <v>1</v>
      </c>
      <c r="M2327" t="s">
        <v>29</v>
      </c>
      <c r="N2327">
        <v>4</v>
      </c>
      <c r="O2327">
        <v>462.19</v>
      </c>
    </row>
    <row r="2328" spans="1:15" x14ac:dyDescent="0.35">
      <c r="A2328" t="s">
        <v>4839</v>
      </c>
      <c r="B2328" t="s">
        <v>31</v>
      </c>
      <c r="C2328" t="s">
        <v>4840</v>
      </c>
      <c r="D2328" t="s">
        <v>44</v>
      </c>
      <c r="E2328" t="s">
        <v>38</v>
      </c>
      <c r="F2328" t="s">
        <v>27</v>
      </c>
      <c r="G2328" t="s">
        <v>1413</v>
      </c>
      <c r="H2328" s="1">
        <v>45540.71597222222</v>
      </c>
      <c r="I2328" s="1">
        <v>45540.895138888889</v>
      </c>
      <c r="J2328">
        <v>146</v>
      </c>
      <c r="K2328">
        <v>258</v>
      </c>
      <c r="L2328">
        <v>1</v>
      </c>
      <c r="M2328" t="s">
        <v>41</v>
      </c>
      <c r="N2328">
        <v>8</v>
      </c>
      <c r="O2328">
        <v>379.38</v>
      </c>
    </row>
    <row r="2329" spans="1:15" x14ac:dyDescent="0.35">
      <c r="A2329" t="s">
        <v>4841</v>
      </c>
      <c r="B2329" t="s">
        <v>31</v>
      </c>
      <c r="C2329" t="s">
        <v>4842</v>
      </c>
      <c r="D2329" t="s">
        <v>44</v>
      </c>
      <c r="E2329" t="s">
        <v>85</v>
      </c>
      <c r="F2329" t="s">
        <v>34</v>
      </c>
      <c r="G2329" t="s">
        <v>1622</v>
      </c>
      <c r="H2329" s="1">
        <v>45443.743055555555</v>
      </c>
      <c r="I2329" s="1">
        <v>45443.899305555555</v>
      </c>
      <c r="J2329">
        <v>124</v>
      </c>
      <c r="K2329">
        <v>225</v>
      </c>
      <c r="L2329">
        <v>1</v>
      </c>
      <c r="M2329" t="s">
        <v>29</v>
      </c>
      <c r="N2329">
        <v>2</v>
      </c>
      <c r="O2329">
        <v>212.24</v>
      </c>
    </row>
    <row r="2330" spans="1:15" x14ac:dyDescent="0.35">
      <c r="A2330" t="s">
        <v>4843</v>
      </c>
      <c r="B2330" t="s">
        <v>51</v>
      </c>
      <c r="C2330" t="s">
        <v>4844</v>
      </c>
      <c r="D2330" t="s">
        <v>56</v>
      </c>
      <c r="E2330" t="s">
        <v>33</v>
      </c>
      <c r="F2330" t="s">
        <v>20</v>
      </c>
      <c r="G2330" t="s">
        <v>117</v>
      </c>
      <c r="H2330" s="1">
        <v>45296.940972222219</v>
      </c>
      <c r="I2330" s="1">
        <v>45297.020833333336</v>
      </c>
      <c r="J2330">
        <v>105</v>
      </c>
      <c r="K2330">
        <v>115</v>
      </c>
      <c r="L2330">
        <v>1</v>
      </c>
      <c r="M2330" t="s">
        <v>41</v>
      </c>
      <c r="N2330">
        <v>10</v>
      </c>
      <c r="O2330">
        <v>139.63</v>
      </c>
    </row>
    <row r="2331" spans="1:15" x14ac:dyDescent="0.35">
      <c r="A2331" t="s">
        <v>4845</v>
      </c>
      <c r="B2331" t="s">
        <v>51</v>
      </c>
      <c r="C2331" t="s">
        <v>4846</v>
      </c>
      <c r="D2331" t="s">
        <v>44</v>
      </c>
      <c r="E2331" t="s">
        <v>85</v>
      </c>
      <c r="F2331" t="s">
        <v>20</v>
      </c>
      <c r="G2331" t="s">
        <v>207</v>
      </c>
      <c r="H2331" s="1">
        <v>45360.39166666667</v>
      </c>
      <c r="I2331" s="1">
        <v>45360.492361111108</v>
      </c>
      <c r="J2331">
        <v>113</v>
      </c>
      <c r="K2331">
        <v>145</v>
      </c>
      <c r="L2331">
        <v>1</v>
      </c>
      <c r="M2331" t="s">
        <v>41</v>
      </c>
      <c r="N2331">
        <v>7</v>
      </c>
      <c r="O2331">
        <v>468.53</v>
      </c>
    </row>
    <row r="2332" spans="1:15" x14ac:dyDescent="0.35">
      <c r="A2332" t="s">
        <v>4847</v>
      </c>
      <c r="B2332" t="s">
        <v>63</v>
      </c>
      <c r="C2332" t="s">
        <v>4848</v>
      </c>
      <c r="D2332" t="s">
        <v>44</v>
      </c>
      <c r="E2332" t="s">
        <v>38</v>
      </c>
      <c r="F2332" t="s">
        <v>27</v>
      </c>
      <c r="G2332" t="s">
        <v>191</v>
      </c>
      <c r="H2332" s="1">
        <v>45381.628472222219</v>
      </c>
      <c r="I2332" s="1">
        <v>45381.664583333331</v>
      </c>
      <c r="J2332">
        <v>23</v>
      </c>
      <c r="K2332">
        <v>52</v>
      </c>
      <c r="L2332">
        <v>1</v>
      </c>
      <c r="M2332" t="s">
        <v>22</v>
      </c>
      <c r="N2332">
        <v>5</v>
      </c>
      <c r="O2332">
        <v>453.49</v>
      </c>
    </row>
    <row r="2333" spans="1:15" x14ac:dyDescent="0.35">
      <c r="A2333" t="s">
        <v>4849</v>
      </c>
      <c r="B2333" t="s">
        <v>24</v>
      </c>
      <c r="C2333" t="s">
        <v>4850</v>
      </c>
      <c r="D2333" t="s">
        <v>26</v>
      </c>
      <c r="E2333" t="s">
        <v>85</v>
      </c>
      <c r="F2333" t="s">
        <v>34</v>
      </c>
      <c r="G2333" t="s">
        <v>842</v>
      </c>
      <c r="H2333" s="1">
        <v>45395.28402777778</v>
      </c>
      <c r="I2333" s="1">
        <v>45395.340277777781</v>
      </c>
      <c r="J2333">
        <v>28</v>
      </c>
      <c r="K2333">
        <v>81</v>
      </c>
      <c r="L2333">
        <v>1</v>
      </c>
      <c r="M2333" t="s">
        <v>41</v>
      </c>
      <c r="N2333">
        <v>10</v>
      </c>
      <c r="O2333">
        <v>261.62</v>
      </c>
    </row>
    <row r="2334" spans="1:15" x14ac:dyDescent="0.35">
      <c r="A2334" t="s">
        <v>4851</v>
      </c>
      <c r="B2334" t="s">
        <v>24</v>
      </c>
      <c r="C2334" t="s">
        <v>4852</v>
      </c>
      <c r="D2334" t="s">
        <v>44</v>
      </c>
      <c r="E2334" t="s">
        <v>33</v>
      </c>
      <c r="F2334" t="s">
        <v>34</v>
      </c>
      <c r="G2334" t="s">
        <v>61</v>
      </c>
      <c r="H2334" s="1">
        <v>45441.899305555555</v>
      </c>
      <c r="I2334" s="1">
        <v>45442.083333333336</v>
      </c>
      <c r="J2334">
        <v>167</v>
      </c>
      <c r="K2334">
        <v>265</v>
      </c>
      <c r="L2334">
        <v>1</v>
      </c>
      <c r="M2334" t="s">
        <v>29</v>
      </c>
      <c r="N2334">
        <v>5</v>
      </c>
      <c r="O2334">
        <v>257.57</v>
      </c>
    </row>
    <row r="2335" spans="1:15" x14ac:dyDescent="0.35">
      <c r="A2335" t="s">
        <v>4853</v>
      </c>
      <c r="B2335" t="s">
        <v>31</v>
      </c>
      <c r="C2335" t="s">
        <v>4854</v>
      </c>
      <c r="D2335" t="s">
        <v>44</v>
      </c>
      <c r="E2335" t="s">
        <v>85</v>
      </c>
      <c r="F2335" t="s">
        <v>57</v>
      </c>
      <c r="G2335" t="s">
        <v>640</v>
      </c>
      <c r="H2335" s="1">
        <v>45547.197222222225</v>
      </c>
      <c r="I2335" s="1">
        <v>45547.314583333333</v>
      </c>
      <c r="J2335">
        <v>99</v>
      </c>
      <c r="K2335">
        <v>169</v>
      </c>
      <c r="L2335">
        <v>1</v>
      </c>
      <c r="M2335" t="s">
        <v>41</v>
      </c>
      <c r="N2335">
        <v>8</v>
      </c>
      <c r="O2335">
        <v>316.76</v>
      </c>
    </row>
    <row r="2336" spans="1:15" x14ac:dyDescent="0.35">
      <c r="A2336" t="s">
        <v>4855</v>
      </c>
      <c r="B2336" t="s">
        <v>51</v>
      </c>
      <c r="C2336" t="s">
        <v>4856</v>
      </c>
      <c r="D2336" t="s">
        <v>26</v>
      </c>
      <c r="E2336" t="s">
        <v>33</v>
      </c>
      <c r="F2336" t="s">
        <v>34</v>
      </c>
      <c r="G2336" t="s">
        <v>283</v>
      </c>
      <c r="H2336" s="1">
        <v>45466.578472222223</v>
      </c>
      <c r="I2336" s="1">
        <v>45466.629861111112</v>
      </c>
      <c r="J2336">
        <v>11</v>
      </c>
      <c r="K2336">
        <v>74</v>
      </c>
      <c r="L2336">
        <v>1</v>
      </c>
      <c r="M2336" t="s">
        <v>41</v>
      </c>
      <c r="N2336">
        <v>7</v>
      </c>
      <c r="O2336">
        <v>318.08</v>
      </c>
    </row>
    <row r="2337" spans="1:15" x14ac:dyDescent="0.35">
      <c r="A2337" t="s">
        <v>4857</v>
      </c>
      <c r="B2337" t="s">
        <v>63</v>
      </c>
      <c r="C2337" t="s">
        <v>4858</v>
      </c>
      <c r="D2337" t="s">
        <v>56</v>
      </c>
      <c r="E2337" t="s">
        <v>38</v>
      </c>
      <c r="F2337" t="s">
        <v>57</v>
      </c>
      <c r="G2337" t="s">
        <v>1030</v>
      </c>
      <c r="H2337" s="1">
        <v>45388.917361111111</v>
      </c>
      <c r="I2337" s="1">
        <v>45388.993750000001</v>
      </c>
      <c r="J2337">
        <v>23</v>
      </c>
      <c r="K2337">
        <v>110</v>
      </c>
      <c r="L2337">
        <v>1</v>
      </c>
      <c r="M2337" t="s">
        <v>41</v>
      </c>
      <c r="N2337">
        <v>3</v>
      </c>
      <c r="O2337">
        <v>176.52</v>
      </c>
    </row>
    <row r="2338" spans="1:15" x14ac:dyDescent="0.35">
      <c r="A2338" t="s">
        <v>4859</v>
      </c>
      <c r="B2338" t="s">
        <v>31</v>
      </c>
      <c r="C2338" t="s">
        <v>4860</v>
      </c>
      <c r="D2338" t="s">
        <v>56</v>
      </c>
      <c r="E2338" t="s">
        <v>33</v>
      </c>
      <c r="F2338" t="s">
        <v>20</v>
      </c>
      <c r="G2338" t="s">
        <v>485</v>
      </c>
      <c r="H2338" s="1">
        <v>45582.443055555559</v>
      </c>
      <c r="I2338" s="1">
        <v>45582.556944444441</v>
      </c>
      <c r="J2338">
        <v>156</v>
      </c>
      <c r="K2338">
        <v>164</v>
      </c>
      <c r="L2338">
        <v>1</v>
      </c>
      <c r="M2338" t="s">
        <v>22</v>
      </c>
      <c r="N2338">
        <v>3</v>
      </c>
      <c r="O2338">
        <v>194.13</v>
      </c>
    </row>
    <row r="2339" spans="1:15" x14ac:dyDescent="0.35">
      <c r="A2339" t="s">
        <v>4861</v>
      </c>
      <c r="B2339" t="s">
        <v>16</v>
      </c>
      <c r="C2339" t="s">
        <v>4862</v>
      </c>
      <c r="D2339" t="s">
        <v>44</v>
      </c>
      <c r="E2339" t="s">
        <v>33</v>
      </c>
      <c r="F2339" t="s">
        <v>39</v>
      </c>
      <c r="G2339" t="s">
        <v>268</v>
      </c>
      <c r="H2339" s="1">
        <v>45543.836805555555</v>
      </c>
      <c r="I2339" s="1">
        <v>45544.027083333334</v>
      </c>
      <c r="J2339">
        <v>223</v>
      </c>
      <c r="K2339">
        <v>274</v>
      </c>
      <c r="L2339">
        <v>1</v>
      </c>
      <c r="M2339" t="s">
        <v>22</v>
      </c>
      <c r="N2339">
        <v>1</v>
      </c>
      <c r="O2339">
        <v>122.85</v>
      </c>
    </row>
    <row r="2340" spans="1:15" x14ac:dyDescent="0.35">
      <c r="A2340" t="s">
        <v>4863</v>
      </c>
      <c r="B2340" t="s">
        <v>16</v>
      </c>
      <c r="C2340" t="s">
        <v>4864</v>
      </c>
      <c r="D2340" t="s">
        <v>48</v>
      </c>
      <c r="E2340" t="s">
        <v>19</v>
      </c>
      <c r="F2340" t="s">
        <v>27</v>
      </c>
      <c r="G2340" t="s">
        <v>73</v>
      </c>
      <c r="H2340" s="1">
        <v>45512.258333333331</v>
      </c>
      <c r="I2340" s="1">
        <v>45512.338888888888</v>
      </c>
      <c r="J2340">
        <v>110</v>
      </c>
      <c r="K2340">
        <v>116</v>
      </c>
      <c r="L2340">
        <v>1</v>
      </c>
      <c r="M2340" t="s">
        <v>22</v>
      </c>
      <c r="N2340">
        <v>2</v>
      </c>
      <c r="O2340">
        <v>91.11</v>
      </c>
    </row>
    <row r="2341" spans="1:15" x14ac:dyDescent="0.35">
      <c r="A2341" t="s">
        <v>4865</v>
      </c>
      <c r="B2341" t="s">
        <v>31</v>
      </c>
      <c r="C2341" t="s">
        <v>4866</v>
      </c>
      <c r="D2341" t="s">
        <v>26</v>
      </c>
      <c r="E2341" t="s">
        <v>33</v>
      </c>
      <c r="F2341" t="s">
        <v>57</v>
      </c>
      <c r="G2341" t="s">
        <v>383</v>
      </c>
      <c r="H2341" s="1">
        <v>45369.724999999999</v>
      </c>
      <c r="I2341" s="1">
        <v>45369.945833333331</v>
      </c>
      <c r="J2341">
        <v>219</v>
      </c>
      <c r="K2341">
        <v>318</v>
      </c>
      <c r="L2341">
        <v>1</v>
      </c>
      <c r="M2341" t="s">
        <v>41</v>
      </c>
      <c r="N2341">
        <v>10</v>
      </c>
      <c r="O2341">
        <v>187.42</v>
      </c>
    </row>
    <row r="2342" spans="1:15" x14ac:dyDescent="0.35">
      <c r="A2342" t="s">
        <v>4867</v>
      </c>
      <c r="B2342" t="s">
        <v>16</v>
      </c>
      <c r="C2342" t="s">
        <v>4868</v>
      </c>
      <c r="D2342" t="s">
        <v>44</v>
      </c>
      <c r="E2342" t="s">
        <v>85</v>
      </c>
      <c r="F2342" t="s">
        <v>39</v>
      </c>
      <c r="G2342" t="s">
        <v>100</v>
      </c>
      <c r="H2342" s="1">
        <v>45647.857638888891</v>
      </c>
      <c r="I2342" s="1">
        <v>45647.923611111109</v>
      </c>
      <c r="J2342">
        <v>77</v>
      </c>
      <c r="K2342">
        <v>95</v>
      </c>
      <c r="L2342">
        <v>1</v>
      </c>
      <c r="M2342" t="s">
        <v>22</v>
      </c>
      <c r="N2342">
        <v>5</v>
      </c>
      <c r="O2342">
        <v>459.25</v>
      </c>
    </row>
    <row r="2343" spans="1:15" x14ac:dyDescent="0.35">
      <c r="A2343" t="s">
        <v>4869</v>
      </c>
      <c r="B2343" t="s">
        <v>31</v>
      </c>
      <c r="C2343" t="s">
        <v>4870</v>
      </c>
      <c r="D2343" t="s">
        <v>48</v>
      </c>
      <c r="E2343" t="s">
        <v>85</v>
      </c>
      <c r="F2343" t="s">
        <v>39</v>
      </c>
      <c r="G2343" t="s">
        <v>505</v>
      </c>
      <c r="H2343" s="1">
        <v>45598.554861111108</v>
      </c>
      <c r="I2343" s="1">
        <v>45598.659722222219</v>
      </c>
      <c r="J2343">
        <v>88</v>
      </c>
      <c r="K2343">
        <v>151</v>
      </c>
      <c r="L2343">
        <v>1</v>
      </c>
      <c r="M2343" t="s">
        <v>22</v>
      </c>
      <c r="N2343">
        <v>3</v>
      </c>
      <c r="O2343">
        <v>258.95</v>
      </c>
    </row>
    <row r="2344" spans="1:15" x14ac:dyDescent="0.35">
      <c r="A2344" t="s">
        <v>4871</v>
      </c>
      <c r="B2344" t="s">
        <v>24</v>
      </c>
      <c r="C2344" t="s">
        <v>4872</v>
      </c>
      <c r="D2344" t="s">
        <v>26</v>
      </c>
      <c r="E2344" t="s">
        <v>85</v>
      </c>
      <c r="F2344" t="s">
        <v>34</v>
      </c>
      <c r="G2344" t="s">
        <v>161</v>
      </c>
      <c r="H2344" s="1">
        <v>45300.147916666669</v>
      </c>
      <c r="I2344" s="1">
        <v>45300.193055555559</v>
      </c>
      <c r="J2344">
        <v>54</v>
      </c>
      <c r="K2344">
        <v>65</v>
      </c>
      <c r="L2344">
        <v>1</v>
      </c>
      <c r="M2344" t="s">
        <v>22</v>
      </c>
      <c r="N2344">
        <v>4</v>
      </c>
      <c r="O2344">
        <v>299.88</v>
      </c>
    </row>
    <row r="2345" spans="1:15" x14ac:dyDescent="0.35">
      <c r="A2345" t="s">
        <v>4873</v>
      </c>
      <c r="B2345" t="s">
        <v>63</v>
      </c>
      <c r="C2345" t="s">
        <v>4874</v>
      </c>
      <c r="D2345" t="s">
        <v>18</v>
      </c>
      <c r="E2345" t="s">
        <v>33</v>
      </c>
      <c r="F2345" t="s">
        <v>57</v>
      </c>
      <c r="G2345" t="s">
        <v>237</v>
      </c>
      <c r="H2345" s="1">
        <v>45481.777083333334</v>
      </c>
      <c r="I2345" s="1">
        <v>45481.886805555558</v>
      </c>
      <c r="J2345">
        <v>44</v>
      </c>
      <c r="K2345">
        <v>158</v>
      </c>
      <c r="L2345">
        <v>1</v>
      </c>
      <c r="M2345" t="s">
        <v>29</v>
      </c>
      <c r="N2345">
        <v>2</v>
      </c>
      <c r="O2345">
        <v>341</v>
      </c>
    </row>
    <row r="2346" spans="1:15" x14ac:dyDescent="0.35">
      <c r="A2346" t="s">
        <v>4875</v>
      </c>
      <c r="B2346" t="s">
        <v>31</v>
      </c>
      <c r="C2346" t="s">
        <v>4876</v>
      </c>
      <c r="D2346" t="s">
        <v>56</v>
      </c>
      <c r="E2346" t="s">
        <v>33</v>
      </c>
      <c r="F2346" t="s">
        <v>57</v>
      </c>
      <c r="G2346" t="s">
        <v>777</v>
      </c>
      <c r="H2346" s="1">
        <v>45408.553472222222</v>
      </c>
      <c r="I2346" s="1">
        <v>45408.615972222222</v>
      </c>
      <c r="J2346">
        <v>14</v>
      </c>
      <c r="K2346">
        <v>90</v>
      </c>
      <c r="L2346">
        <v>1</v>
      </c>
      <c r="M2346" t="s">
        <v>22</v>
      </c>
      <c r="N2346">
        <v>7</v>
      </c>
      <c r="O2346">
        <v>390.03</v>
      </c>
    </row>
    <row r="2347" spans="1:15" x14ac:dyDescent="0.35">
      <c r="A2347" t="s">
        <v>4877</v>
      </c>
      <c r="B2347" t="s">
        <v>31</v>
      </c>
      <c r="C2347" t="s">
        <v>4878</v>
      </c>
      <c r="D2347" t="s">
        <v>18</v>
      </c>
      <c r="E2347" t="s">
        <v>38</v>
      </c>
      <c r="F2347" t="s">
        <v>27</v>
      </c>
      <c r="G2347" t="s">
        <v>288</v>
      </c>
      <c r="H2347" s="1">
        <v>45579.07708333333</v>
      </c>
      <c r="I2347" s="1">
        <v>45579.197916666664</v>
      </c>
      <c r="J2347">
        <v>139</v>
      </c>
      <c r="K2347">
        <v>174</v>
      </c>
      <c r="L2347">
        <v>1</v>
      </c>
      <c r="M2347" t="s">
        <v>41</v>
      </c>
      <c r="N2347">
        <v>1</v>
      </c>
      <c r="O2347">
        <v>357.65</v>
      </c>
    </row>
    <row r="2348" spans="1:15" x14ac:dyDescent="0.35">
      <c r="A2348" t="s">
        <v>4879</v>
      </c>
      <c r="B2348" t="s">
        <v>51</v>
      </c>
      <c r="C2348" t="s">
        <v>4880</v>
      </c>
      <c r="D2348" t="s">
        <v>48</v>
      </c>
      <c r="E2348" t="s">
        <v>85</v>
      </c>
      <c r="F2348" t="s">
        <v>27</v>
      </c>
      <c r="G2348" t="s">
        <v>476</v>
      </c>
      <c r="H2348" s="1">
        <v>45574.693749999999</v>
      </c>
      <c r="I2348" s="1">
        <v>45574.866666666669</v>
      </c>
      <c r="J2348">
        <v>129</v>
      </c>
      <c r="K2348">
        <v>249</v>
      </c>
      <c r="L2348">
        <v>1</v>
      </c>
      <c r="M2348" t="s">
        <v>29</v>
      </c>
      <c r="N2348">
        <v>8</v>
      </c>
      <c r="O2348">
        <v>251.76</v>
      </c>
    </row>
    <row r="2349" spans="1:15" x14ac:dyDescent="0.35">
      <c r="A2349" t="s">
        <v>4881</v>
      </c>
      <c r="B2349" t="s">
        <v>16</v>
      </c>
      <c r="C2349" t="s">
        <v>4882</v>
      </c>
      <c r="D2349" t="s">
        <v>56</v>
      </c>
      <c r="E2349" t="s">
        <v>19</v>
      </c>
      <c r="F2349" t="s">
        <v>27</v>
      </c>
      <c r="G2349" t="s">
        <v>82</v>
      </c>
      <c r="H2349" s="1">
        <v>45322.436111111114</v>
      </c>
      <c r="I2349" s="1">
        <v>45322.532638888886</v>
      </c>
      <c r="J2349">
        <v>38</v>
      </c>
      <c r="K2349">
        <v>139</v>
      </c>
      <c r="L2349">
        <v>1</v>
      </c>
      <c r="M2349" t="s">
        <v>41</v>
      </c>
      <c r="N2349">
        <v>3</v>
      </c>
      <c r="O2349">
        <v>301.63</v>
      </c>
    </row>
    <row r="2350" spans="1:15" x14ac:dyDescent="0.35">
      <c r="A2350" t="s">
        <v>4883</v>
      </c>
      <c r="B2350" t="s">
        <v>51</v>
      </c>
      <c r="C2350" t="s">
        <v>4884</v>
      </c>
      <c r="D2350" t="s">
        <v>44</v>
      </c>
      <c r="E2350" t="s">
        <v>38</v>
      </c>
      <c r="F2350" t="s">
        <v>27</v>
      </c>
      <c r="G2350" t="s">
        <v>140</v>
      </c>
      <c r="H2350" s="1">
        <v>45578.158333333333</v>
      </c>
      <c r="I2350" s="1">
        <v>45578.292361111111</v>
      </c>
      <c r="J2350">
        <v>174</v>
      </c>
      <c r="K2350">
        <v>193</v>
      </c>
      <c r="L2350">
        <v>1</v>
      </c>
      <c r="M2350" t="s">
        <v>22</v>
      </c>
      <c r="N2350">
        <v>3</v>
      </c>
      <c r="O2350">
        <v>272.79000000000002</v>
      </c>
    </row>
    <row r="2351" spans="1:15" x14ac:dyDescent="0.35">
      <c r="A2351" t="s">
        <v>4885</v>
      </c>
      <c r="B2351" t="s">
        <v>31</v>
      </c>
      <c r="C2351" t="s">
        <v>4886</v>
      </c>
      <c r="D2351" t="s">
        <v>44</v>
      </c>
      <c r="E2351" t="s">
        <v>38</v>
      </c>
      <c r="F2351" t="s">
        <v>34</v>
      </c>
      <c r="G2351" t="s">
        <v>335</v>
      </c>
      <c r="H2351" s="1">
        <v>45552.175694444442</v>
      </c>
      <c r="I2351" s="1">
        <v>45552.270138888889</v>
      </c>
      <c r="J2351">
        <v>34</v>
      </c>
      <c r="K2351">
        <v>136</v>
      </c>
      <c r="L2351">
        <v>1</v>
      </c>
      <c r="M2351" t="s">
        <v>22</v>
      </c>
      <c r="N2351">
        <v>1</v>
      </c>
      <c r="O2351">
        <v>321.58999999999997</v>
      </c>
    </row>
    <row r="2352" spans="1:15" x14ac:dyDescent="0.35">
      <c r="A2352" t="s">
        <v>4887</v>
      </c>
      <c r="B2352" t="s">
        <v>51</v>
      </c>
      <c r="C2352" t="s">
        <v>4888</v>
      </c>
      <c r="D2352" t="s">
        <v>44</v>
      </c>
      <c r="E2352" t="s">
        <v>38</v>
      </c>
      <c r="F2352" t="s">
        <v>39</v>
      </c>
      <c r="G2352" t="s">
        <v>640</v>
      </c>
      <c r="H2352" s="1">
        <v>45608.354166666664</v>
      </c>
      <c r="I2352" s="1">
        <v>45608.48541666667</v>
      </c>
      <c r="J2352">
        <v>118</v>
      </c>
      <c r="K2352">
        <v>189</v>
      </c>
      <c r="L2352">
        <v>1</v>
      </c>
      <c r="M2352" t="s">
        <v>22</v>
      </c>
      <c r="N2352">
        <v>6</v>
      </c>
      <c r="O2352">
        <v>365.69</v>
      </c>
    </row>
    <row r="2353" spans="1:15" x14ac:dyDescent="0.35">
      <c r="A2353" t="s">
        <v>4889</v>
      </c>
      <c r="B2353" t="s">
        <v>63</v>
      </c>
      <c r="C2353" t="s">
        <v>4890</v>
      </c>
      <c r="D2353" t="s">
        <v>44</v>
      </c>
      <c r="E2353" t="s">
        <v>33</v>
      </c>
      <c r="F2353" t="s">
        <v>34</v>
      </c>
      <c r="G2353" t="s">
        <v>397</v>
      </c>
      <c r="H2353" s="1">
        <v>45421.140972222223</v>
      </c>
      <c r="I2353" s="1">
        <v>45421.331250000003</v>
      </c>
      <c r="J2353">
        <v>198</v>
      </c>
      <c r="K2353">
        <v>274</v>
      </c>
      <c r="L2353">
        <v>1</v>
      </c>
      <c r="M2353" t="s">
        <v>41</v>
      </c>
      <c r="N2353">
        <v>3</v>
      </c>
      <c r="O2353">
        <v>165.71</v>
      </c>
    </row>
    <row r="2354" spans="1:15" x14ac:dyDescent="0.35">
      <c r="A2354" t="s">
        <v>4891</v>
      </c>
      <c r="B2354" t="s">
        <v>51</v>
      </c>
      <c r="C2354" t="s">
        <v>4892</v>
      </c>
      <c r="D2354" t="s">
        <v>56</v>
      </c>
      <c r="E2354" t="s">
        <v>19</v>
      </c>
      <c r="F2354" t="s">
        <v>20</v>
      </c>
      <c r="G2354" t="s">
        <v>28</v>
      </c>
      <c r="H2354" s="1">
        <v>45405.061111111114</v>
      </c>
      <c r="I2354" s="1">
        <v>45405.220138888886</v>
      </c>
      <c r="J2354">
        <v>113</v>
      </c>
      <c r="K2354">
        <v>229</v>
      </c>
      <c r="L2354">
        <v>1</v>
      </c>
      <c r="M2354" t="s">
        <v>41</v>
      </c>
      <c r="N2354">
        <v>5</v>
      </c>
      <c r="O2354">
        <v>61.66</v>
      </c>
    </row>
    <row r="2355" spans="1:15" x14ac:dyDescent="0.35">
      <c r="A2355" t="s">
        <v>4893</v>
      </c>
      <c r="B2355" t="s">
        <v>24</v>
      </c>
      <c r="C2355" t="s">
        <v>4894</v>
      </c>
      <c r="D2355" t="s">
        <v>26</v>
      </c>
      <c r="E2355" t="s">
        <v>33</v>
      </c>
      <c r="F2355" t="s">
        <v>20</v>
      </c>
      <c r="G2355" t="s">
        <v>470</v>
      </c>
      <c r="H2355" s="1">
        <v>45610.065972222219</v>
      </c>
      <c r="I2355" s="1">
        <v>45610.243055555555</v>
      </c>
      <c r="J2355">
        <v>209</v>
      </c>
      <c r="K2355">
        <v>255</v>
      </c>
      <c r="L2355">
        <v>1</v>
      </c>
      <c r="M2355" t="s">
        <v>22</v>
      </c>
      <c r="N2355">
        <v>8</v>
      </c>
      <c r="O2355">
        <v>352.79</v>
      </c>
    </row>
    <row r="2356" spans="1:15" x14ac:dyDescent="0.35">
      <c r="A2356" t="s">
        <v>4895</v>
      </c>
      <c r="B2356" t="s">
        <v>31</v>
      </c>
      <c r="C2356" t="s">
        <v>4896</v>
      </c>
      <c r="D2356" t="s">
        <v>44</v>
      </c>
      <c r="E2356" t="s">
        <v>85</v>
      </c>
      <c r="F2356" t="s">
        <v>39</v>
      </c>
      <c r="G2356" t="s">
        <v>383</v>
      </c>
      <c r="H2356" s="1">
        <v>45529.161111111112</v>
      </c>
      <c r="I2356" s="1">
        <v>45529.270833333336</v>
      </c>
      <c r="J2356">
        <v>152</v>
      </c>
      <c r="K2356">
        <v>158</v>
      </c>
      <c r="L2356">
        <v>1</v>
      </c>
      <c r="M2356" t="s">
        <v>29</v>
      </c>
      <c r="N2356">
        <v>1</v>
      </c>
      <c r="O2356">
        <v>106.87</v>
      </c>
    </row>
    <row r="2357" spans="1:15" x14ac:dyDescent="0.35">
      <c r="A2357" t="s">
        <v>4897</v>
      </c>
      <c r="B2357" t="s">
        <v>24</v>
      </c>
      <c r="C2357" t="s">
        <v>4898</v>
      </c>
      <c r="D2357" t="s">
        <v>26</v>
      </c>
      <c r="E2357" t="s">
        <v>33</v>
      </c>
      <c r="F2357" t="s">
        <v>27</v>
      </c>
      <c r="G2357" t="s">
        <v>897</v>
      </c>
      <c r="H2357" s="1">
        <v>45630.5</v>
      </c>
      <c r="I2357" s="1">
        <v>45630.60833333333</v>
      </c>
      <c r="J2357">
        <v>143</v>
      </c>
      <c r="K2357">
        <v>156</v>
      </c>
      <c r="L2357">
        <v>1</v>
      </c>
      <c r="M2357" t="s">
        <v>41</v>
      </c>
      <c r="N2357">
        <v>9</v>
      </c>
      <c r="O2357">
        <v>276.63</v>
      </c>
    </row>
    <row r="2358" spans="1:15" x14ac:dyDescent="0.35">
      <c r="A2358" t="s">
        <v>4899</v>
      </c>
      <c r="B2358" t="s">
        <v>51</v>
      </c>
      <c r="C2358" t="s">
        <v>4900</v>
      </c>
      <c r="D2358" t="s">
        <v>18</v>
      </c>
      <c r="E2358" t="s">
        <v>38</v>
      </c>
      <c r="F2358" t="s">
        <v>39</v>
      </c>
      <c r="G2358" t="s">
        <v>338</v>
      </c>
      <c r="H2358" s="1">
        <v>45438.118055555555</v>
      </c>
      <c r="I2358" s="1">
        <v>45438.27847222222</v>
      </c>
      <c r="J2358">
        <v>218</v>
      </c>
      <c r="K2358">
        <v>231</v>
      </c>
      <c r="L2358">
        <v>1</v>
      </c>
      <c r="M2358" t="s">
        <v>41</v>
      </c>
      <c r="N2358">
        <v>8</v>
      </c>
      <c r="O2358">
        <v>237.53</v>
      </c>
    </row>
    <row r="2359" spans="1:15" x14ac:dyDescent="0.35">
      <c r="A2359" t="s">
        <v>4901</v>
      </c>
      <c r="B2359" t="s">
        <v>16</v>
      </c>
      <c r="C2359" t="s">
        <v>4902</v>
      </c>
      <c r="D2359" t="s">
        <v>26</v>
      </c>
      <c r="E2359" t="s">
        <v>85</v>
      </c>
      <c r="F2359" t="s">
        <v>20</v>
      </c>
      <c r="G2359" t="s">
        <v>76</v>
      </c>
      <c r="H2359" s="1">
        <v>45345.320833333331</v>
      </c>
      <c r="I2359" s="1">
        <v>45345.402777777781</v>
      </c>
      <c r="J2359">
        <v>105</v>
      </c>
      <c r="K2359">
        <v>118</v>
      </c>
      <c r="L2359">
        <v>1</v>
      </c>
      <c r="M2359" t="s">
        <v>41</v>
      </c>
      <c r="N2359">
        <v>3</v>
      </c>
      <c r="O2359">
        <v>84.72</v>
      </c>
    </row>
    <row r="2360" spans="1:15" x14ac:dyDescent="0.35">
      <c r="A2360" t="s">
        <v>4903</v>
      </c>
      <c r="B2360" t="s">
        <v>51</v>
      </c>
      <c r="C2360" t="s">
        <v>4904</v>
      </c>
      <c r="D2360" t="s">
        <v>56</v>
      </c>
      <c r="E2360" t="s">
        <v>38</v>
      </c>
      <c r="F2360" t="s">
        <v>20</v>
      </c>
      <c r="G2360" t="s">
        <v>512</v>
      </c>
      <c r="H2360" s="1">
        <v>45608.762499999997</v>
      </c>
      <c r="I2360" s="1">
        <v>45608.92291666667</v>
      </c>
      <c r="J2360">
        <v>220</v>
      </c>
      <c r="K2360">
        <v>231</v>
      </c>
      <c r="L2360">
        <v>1</v>
      </c>
      <c r="M2360" t="s">
        <v>41</v>
      </c>
      <c r="N2360">
        <v>8</v>
      </c>
      <c r="O2360">
        <v>109.69</v>
      </c>
    </row>
    <row r="2361" spans="1:15" x14ac:dyDescent="0.35">
      <c r="A2361" t="s">
        <v>4905</v>
      </c>
      <c r="B2361" t="s">
        <v>16</v>
      </c>
      <c r="C2361" t="s">
        <v>4906</v>
      </c>
      <c r="D2361" t="s">
        <v>56</v>
      </c>
      <c r="E2361" t="s">
        <v>19</v>
      </c>
      <c r="F2361" t="s">
        <v>20</v>
      </c>
      <c r="G2361" t="s">
        <v>146</v>
      </c>
      <c r="H2361" s="1">
        <v>45494.015972222223</v>
      </c>
      <c r="I2361" s="1">
        <v>45494.215277777781</v>
      </c>
      <c r="J2361">
        <v>179</v>
      </c>
      <c r="K2361">
        <v>287</v>
      </c>
      <c r="L2361">
        <v>1</v>
      </c>
      <c r="M2361" t="s">
        <v>29</v>
      </c>
      <c r="N2361">
        <v>4</v>
      </c>
      <c r="O2361">
        <v>162.79</v>
      </c>
    </row>
    <row r="2362" spans="1:15" x14ac:dyDescent="0.35">
      <c r="A2362" t="s">
        <v>4907</v>
      </c>
      <c r="B2362" t="s">
        <v>51</v>
      </c>
      <c r="C2362" t="s">
        <v>4908</v>
      </c>
      <c r="D2362" t="s">
        <v>56</v>
      </c>
      <c r="E2362" t="s">
        <v>38</v>
      </c>
      <c r="F2362" t="s">
        <v>39</v>
      </c>
      <c r="G2362" t="s">
        <v>120</v>
      </c>
      <c r="H2362" s="1">
        <v>45604.429861111108</v>
      </c>
      <c r="I2362" s="1">
        <v>45604.643055555556</v>
      </c>
      <c r="J2362">
        <v>205</v>
      </c>
      <c r="K2362">
        <v>307</v>
      </c>
      <c r="L2362">
        <v>1</v>
      </c>
      <c r="M2362" t="s">
        <v>41</v>
      </c>
      <c r="N2362">
        <v>9</v>
      </c>
      <c r="O2362">
        <v>379.91</v>
      </c>
    </row>
    <row r="2363" spans="1:15" x14ac:dyDescent="0.35">
      <c r="A2363" t="s">
        <v>4909</v>
      </c>
      <c r="B2363" t="s">
        <v>63</v>
      </c>
      <c r="C2363" t="s">
        <v>4910</v>
      </c>
      <c r="D2363" t="s">
        <v>18</v>
      </c>
      <c r="E2363" t="s">
        <v>85</v>
      </c>
      <c r="F2363" t="s">
        <v>27</v>
      </c>
      <c r="G2363" t="s">
        <v>140</v>
      </c>
      <c r="H2363" s="1">
        <v>45636.931250000001</v>
      </c>
      <c r="I2363" s="1">
        <v>45637.120833333334</v>
      </c>
      <c r="J2363">
        <v>157</v>
      </c>
      <c r="K2363">
        <v>273</v>
      </c>
      <c r="L2363">
        <v>1</v>
      </c>
      <c r="M2363" t="s">
        <v>41</v>
      </c>
      <c r="N2363">
        <v>5</v>
      </c>
      <c r="O2363">
        <v>173.65</v>
      </c>
    </row>
    <row r="2364" spans="1:15" x14ac:dyDescent="0.35">
      <c r="A2364" t="s">
        <v>4911</v>
      </c>
      <c r="B2364" t="s">
        <v>16</v>
      </c>
      <c r="C2364" t="s">
        <v>4912</v>
      </c>
      <c r="D2364" t="s">
        <v>18</v>
      </c>
      <c r="E2364" t="s">
        <v>33</v>
      </c>
      <c r="F2364" t="s">
        <v>27</v>
      </c>
      <c r="G2364" t="s">
        <v>916</v>
      </c>
      <c r="H2364" s="1">
        <v>45460.00277777778</v>
      </c>
      <c r="I2364" s="1">
        <v>45460.216666666667</v>
      </c>
      <c r="J2364">
        <v>235</v>
      </c>
      <c r="K2364">
        <v>308</v>
      </c>
      <c r="L2364">
        <v>1</v>
      </c>
      <c r="M2364" t="s">
        <v>29</v>
      </c>
      <c r="N2364">
        <v>4</v>
      </c>
      <c r="O2364">
        <v>139.15</v>
      </c>
    </row>
    <row r="2365" spans="1:15" x14ac:dyDescent="0.35">
      <c r="A2365" t="s">
        <v>4913</v>
      </c>
      <c r="B2365" t="s">
        <v>51</v>
      </c>
      <c r="C2365" t="s">
        <v>4914</v>
      </c>
      <c r="D2365" t="s">
        <v>26</v>
      </c>
      <c r="E2365" t="s">
        <v>85</v>
      </c>
      <c r="F2365" t="s">
        <v>39</v>
      </c>
      <c r="G2365" t="s">
        <v>35</v>
      </c>
      <c r="H2365" s="1">
        <v>45292.627083333333</v>
      </c>
      <c r="I2365" s="1">
        <v>45292.684027777781</v>
      </c>
      <c r="J2365">
        <v>72</v>
      </c>
      <c r="K2365">
        <v>82</v>
      </c>
      <c r="L2365">
        <v>1</v>
      </c>
      <c r="M2365" t="s">
        <v>22</v>
      </c>
      <c r="N2365">
        <v>3</v>
      </c>
      <c r="O2365">
        <v>284.06</v>
      </c>
    </row>
    <row r="2366" spans="1:15" x14ac:dyDescent="0.35">
      <c r="A2366" t="s">
        <v>4915</v>
      </c>
      <c r="B2366" t="s">
        <v>16</v>
      </c>
      <c r="C2366" t="s">
        <v>4916</v>
      </c>
      <c r="D2366" t="s">
        <v>44</v>
      </c>
      <c r="E2366" t="s">
        <v>19</v>
      </c>
      <c r="F2366" t="s">
        <v>57</v>
      </c>
      <c r="G2366" t="s">
        <v>445</v>
      </c>
      <c r="H2366" s="1">
        <v>45557.730555555558</v>
      </c>
      <c r="I2366" s="1">
        <v>45557.833333333336</v>
      </c>
      <c r="J2366">
        <v>34</v>
      </c>
      <c r="K2366">
        <v>148</v>
      </c>
      <c r="L2366">
        <v>1</v>
      </c>
      <c r="M2366" t="s">
        <v>41</v>
      </c>
      <c r="N2366">
        <v>1</v>
      </c>
      <c r="O2366">
        <v>240.54</v>
      </c>
    </row>
    <row r="2367" spans="1:15" x14ac:dyDescent="0.35">
      <c r="A2367" t="s">
        <v>4917</v>
      </c>
      <c r="B2367" t="s">
        <v>24</v>
      </c>
      <c r="C2367" t="s">
        <v>4918</v>
      </c>
      <c r="D2367" t="s">
        <v>26</v>
      </c>
      <c r="E2367" t="s">
        <v>33</v>
      </c>
      <c r="F2367" t="s">
        <v>20</v>
      </c>
      <c r="G2367" t="s">
        <v>149</v>
      </c>
      <c r="H2367" s="1">
        <v>45506.152777777781</v>
      </c>
      <c r="I2367" s="1">
        <v>45506.36041666667</v>
      </c>
      <c r="J2367">
        <v>226</v>
      </c>
      <c r="K2367">
        <v>299</v>
      </c>
      <c r="L2367">
        <v>1</v>
      </c>
      <c r="M2367" t="s">
        <v>29</v>
      </c>
      <c r="N2367">
        <v>5</v>
      </c>
      <c r="O2367">
        <v>195.16</v>
      </c>
    </row>
    <row r="2368" spans="1:15" x14ac:dyDescent="0.35">
      <c r="A2368" t="s">
        <v>4919</v>
      </c>
      <c r="B2368" t="s">
        <v>16</v>
      </c>
      <c r="C2368" t="s">
        <v>4920</v>
      </c>
      <c r="D2368" t="s">
        <v>18</v>
      </c>
      <c r="E2368" t="s">
        <v>38</v>
      </c>
      <c r="F2368" t="s">
        <v>57</v>
      </c>
      <c r="G2368" t="s">
        <v>120</v>
      </c>
      <c r="H2368" s="1">
        <v>45488.463194444441</v>
      </c>
      <c r="I2368" s="1">
        <v>45488.603472222225</v>
      </c>
      <c r="J2368">
        <v>178</v>
      </c>
      <c r="K2368">
        <v>202</v>
      </c>
      <c r="L2368">
        <v>1</v>
      </c>
      <c r="M2368" t="s">
        <v>29</v>
      </c>
      <c r="N2368">
        <v>4</v>
      </c>
      <c r="O2368">
        <v>240.41</v>
      </c>
    </row>
    <row r="2369" spans="1:15" x14ac:dyDescent="0.35">
      <c r="A2369" t="s">
        <v>4921</v>
      </c>
      <c r="B2369" t="s">
        <v>24</v>
      </c>
      <c r="C2369" t="s">
        <v>4922</v>
      </c>
      <c r="D2369" t="s">
        <v>56</v>
      </c>
      <c r="E2369" t="s">
        <v>33</v>
      </c>
      <c r="F2369" t="s">
        <v>34</v>
      </c>
      <c r="G2369" t="s">
        <v>311</v>
      </c>
      <c r="H2369" s="1">
        <v>45542.106944444444</v>
      </c>
      <c r="I2369" s="1">
        <v>45542.165972222225</v>
      </c>
      <c r="J2369">
        <v>30</v>
      </c>
      <c r="K2369">
        <v>85</v>
      </c>
      <c r="L2369">
        <v>1</v>
      </c>
      <c r="M2369" t="s">
        <v>41</v>
      </c>
      <c r="N2369">
        <v>5</v>
      </c>
      <c r="O2369">
        <v>248.29</v>
      </c>
    </row>
    <row r="2370" spans="1:15" x14ac:dyDescent="0.35">
      <c r="A2370" t="s">
        <v>4923</v>
      </c>
      <c r="B2370" t="s">
        <v>51</v>
      </c>
      <c r="C2370" t="s">
        <v>4924</v>
      </c>
      <c r="D2370" t="s">
        <v>48</v>
      </c>
      <c r="E2370" t="s">
        <v>19</v>
      </c>
      <c r="F2370" t="s">
        <v>34</v>
      </c>
      <c r="G2370" t="s">
        <v>640</v>
      </c>
      <c r="H2370" s="1">
        <v>45645.499305555553</v>
      </c>
      <c r="I2370" s="1">
        <v>45645.705555555556</v>
      </c>
      <c r="J2370">
        <v>221</v>
      </c>
      <c r="K2370">
        <v>297</v>
      </c>
      <c r="L2370">
        <v>1</v>
      </c>
      <c r="M2370" t="s">
        <v>41</v>
      </c>
      <c r="N2370">
        <v>4</v>
      </c>
      <c r="O2370">
        <v>239.31</v>
      </c>
    </row>
    <row r="2371" spans="1:15" x14ac:dyDescent="0.35">
      <c r="A2371" t="s">
        <v>4925</v>
      </c>
      <c r="B2371" t="s">
        <v>31</v>
      </c>
      <c r="C2371" t="s">
        <v>4926</v>
      </c>
      <c r="D2371" t="s">
        <v>48</v>
      </c>
      <c r="E2371" t="s">
        <v>85</v>
      </c>
      <c r="F2371" t="s">
        <v>27</v>
      </c>
      <c r="G2371" t="s">
        <v>265</v>
      </c>
      <c r="H2371" s="1">
        <v>45549.605555555558</v>
      </c>
      <c r="I2371" s="1">
        <v>45549.751388888886</v>
      </c>
      <c r="J2371">
        <v>202</v>
      </c>
      <c r="K2371">
        <v>210</v>
      </c>
      <c r="L2371">
        <v>1</v>
      </c>
      <c r="M2371" t="s">
        <v>29</v>
      </c>
      <c r="N2371">
        <v>1</v>
      </c>
      <c r="O2371">
        <v>219.49</v>
      </c>
    </row>
    <row r="2372" spans="1:15" x14ac:dyDescent="0.35">
      <c r="A2372" t="s">
        <v>4927</v>
      </c>
      <c r="B2372" t="s">
        <v>16</v>
      </c>
      <c r="C2372" t="s">
        <v>4928</v>
      </c>
      <c r="D2372" t="s">
        <v>18</v>
      </c>
      <c r="E2372" t="s">
        <v>85</v>
      </c>
      <c r="F2372" t="s">
        <v>39</v>
      </c>
      <c r="G2372" t="s">
        <v>1622</v>
      </c>
      <c r="H2372" s="1">
        <v>45457.709722222222</v>
      </c>
      <c r="I2372" s="1">
        <v>45457.787499999999</v>
      </c>
      <c r="J2372">
        <v>36</v>
      </c>
      <c r="K2372">
        <v>112</v>
      </c>
      <c r="L2372">
        <v>1</v>
      </c>
      <c r="M2372" t="s">
        <v>22</v>
      </c>
      <c r="N2372">
        <v>5</v>
      </c>
      <c r="O2372">
        <v>435.9</v>
      </c>
    </row>
    <row r="2373" spans="1:15" x14ac:dyDescent="0.35">
      <c r="A2373" t="s">
        <v>4929</v>
      </c>
      <c r="B2373" t="s">
        <v>63</v>
      </c>
      <c r="C2373" t="s">
        <v>4930</v>
      </c>
      <c r="D2373" t="s">
        <v>56</v>
      </c>
      <c r="E2373" t="s">
        <v>85</v>
      </c>
      <c r="F2373" t="s">
        <v>20</v>
      </c>
      <c r="G2373" t="s">
        <v>539</v>
      </c>
      <c r="H2373" s="1">
        <v>45305.948611111111</v>
      </c>
      <c r="I2373" s="1">
        <v>45306.056944444441</v>
      </c>
      <c r="J2373">
        <v>77</v>
      </c>
      <c r="K2373">
        <v>156</v>
      </c>
      <c r="L2373">
        <v>1</v>
      </c>
      <c r="M2373" t="s">
        <v>41</v>
      </c>
      <c r="N2373">
        <v>1</v>
      </c>
      <c r="O2373">
        <v>207.83</v>
      </c>
    </row>
    <row r="2374" spans="1:15" x14ac:dyDescent="0.35">
      <c r="A2374" t="s">
        <v>4931</v>
      </c>
      <c r="B2374" t="s">
        <v>24</v>
      </c>
      <c r="C2374" t="s">
        <v>4932</v>
      </c>
      <c r="D2374" t="s">
        <v>44</v>
      </c>
      <c r="E2374" t="s">
        <v>38</v>
      </c>
      <c r="F2374" t="s">
        <v>39</v>
      </c>
      <c r="G2374" t="s">
        <v>407</v>
      </c>
      <c r="H2374" s="1">
        <v>45322.467361111114</v>
      </c>
      <c r="I2374" s="1">
        <v>45322.511805555558</v>
      </c>
      <c r="J2374">
        <v>67</v>
      </c>
      <c r="K2374">
        <v>64</v>
      </c>
      <c r="L2374">
        <v>0</v>
      </c>
      <c r="M2374" t="s">
        <v>41</v>
      </c>
      <c r="N2374">
        <v>6</v>
      </c>
      <c r="O2374">
        <v>497.07</v>
      </c>
    </row>
    <row r="2375" spans="1:15" x14ac:dyDescent="0.35">
      <c r="A2375" t="s">
        <v>4933</v>
      </c>
      <c r="B2375" t="s">
        <v>24</v>
      </c>
      <c r="C2375" t="s">
        <v>4934</v>
      </c>
      <c r="D2375" t="s">
        <v>44</v>
      </c>
      <c r="E2375" t="s">
        <v>38</v>
      </c>
      <c r="F2375" t="s">
        <v>34</v>
      </c>
      <c r="G2375" t="s">
        <v>161</v>
      </c>
      <c r="H2375" s="1">
        <v>45566.410416666666</v>
      </c>
      <c r="I2375" s="1">
        <v>45566.482638888891</v>
      </c>
      <c r="J2375">
        <v>40</v>
      </c>
      <c r="K2375">
        <v>104</v>
      </c>
      <c r="L2375">
        <v>1</v>
      </c>
      <c r="M2375" t="s">
        <v>41</v>
      </c>
      <c r="N2375">
        <v>6</v>
      </c>
      <c r="O2375">
        <v>50.32</v>
      </c>
    </row>
    <row r="2376" spans="1:15" x14ac:dyDescent="0.35">
      <c r="A2376" t="s">
        <v>4935</v>
      </c>
      <c r="B2376" t="s">
        <v>16</v>
      </c>
      <c r="C2376" t="s">
        <v>4936</v>
      </c>
      <c r="D2376" t="s">
        <v>26</v>
      </c>
      <c r="E2376" t="s">
        <v>19</v>
      </c>
      <c r="F2376" t="s">
        <v>20</v>
      </c>
      <c r="G2376" t="s">
        <v>749</v>
      </c>
      <c r="H2376" s="1">
        <v>45590.932638888888</v>
      </c>
      <c r="I2376" s="1">
        <v>45591.074305555558</v>
      </c>
      <c r="J2376">
        <v>131</v>
      </c>
      <c r="K2376">
        <v>204</v>
      </c>
      <c r="L2376">
        <v>1</v>
      </c>
      <c r="M2376" t="s">
        <v>22</v>
      </c>
      <c r="N2376">
        <v>9</v>
      </c>
      <c r="O2376">
        <v>156</v>
      </c>
    </row>
    <row r="2377" spans="1:15" x14ac:dyDescent="0.35">
      <c r="A2377" t="s">
        <v>4937</v>
      </c>
      <c r="B2377" t="s">
        <v>63</v>
      </c>
      <c r="C2377" t="s">
        <v>4938</v>
      </c>
      <c r="D2377" t="s">
        <v>48</v>
      </c>
      <c r="E2377" t="s">
        <v>19</v>
      </c>
      <c r="F2377" t="s">
        <v>27</v>
      </c>
      <c r="G2377" t="s">
        <v>97</v>
      </c>
      <c r="H2377" s="1">
        <v>45457.85833333333</v>
      </c>
      <c r="I2377" s="1">
        <v>45458.046527777777</v>
      </c>
      <c r="J2377">
        <v>232</v>
      </c>
      <c r="K2377">
        <v>271</v>
      </c>
      <c r="L2377">
        <v>1</v>
      </c>
      <c r="M2377" t="s">
        <v>22</v>
      </c>
      <c r="N2377">
        <v>7</v>
      </c>
      <c r="O2377">
        <v>360.57</v>
      </c>
    </row>
    <row r="2378" spans="1:15" x14ac:dyDescent="0.35">
      <c r="A2378" t="s">
        <v>4939</v>
      </c>
      <c r="B2378" t="s">
        <v>51</v>
      </c>
      <c r="C2378" t="s">
        <v>4940</v>
      </c>
      <c r="D2378" t="s">
        <v>44</v>
      </c>
      <c r="E2378" t="s">
        <v>38</v>
      </c>
      <c r="F2378" t="s">
        <v>34</v>
      </c>
      <c r="G2378" t="s">
        <v>594</v>
      </c>
      <c r="H2378" s="1">
        <v>45535.189583333333</v>
      </c>
      <c r="I2378" s="1">
        <v>45535.322916666664</v>
      </c>
      <c r="J2378">
        <v>122</v>
      </c>
      <c r="K2378">
        <v>192</v>
      </c>
      <c r="L2378">
        <v>1</v>
      </c>
      <c r="M2378" t="s">
        <v>41</v>
      </c>
      <c r="N2378">
        <v>2</v>
      </c>
      <c r="O2378">
        <v>50.95</v>
      </c>
    </row>
    <row r="2379" spans="1:15" x14ac:dyDescent="0.35">
      <c r="A2379" t="s">
        <v>4941</v>
      </c>
      <c r="B2379" t="s">
        <v>24</v>
      </c>
      <c r="C2379" t="s">
        <v>4942</v>
      </c>
      <c r="D2379" t="s">
        <v>44</v>
      </c>
      <c r="E2379" t="s">
        <v>33</v>
      </c>
      <c r="F2379" t="s">
        <v>39</v>
      </c>
      <c r="G2379" t="s">
        <v>476</v>
      </c>
      <c r="H2379" s="1">
        <v>45302.626388888886</v>
      </c>
      <c r="I2379" s="1">
        <v>45302.729861111111</v>
      </c>
      <c r="J2379">
        <v>52</v>
      </c>
      <c r="K2379">
        <v>149</v>
      </c>
      <c r="L2379">
        <v>1</v>
      </c>
      <c r="M2379" t="s">
        <v>22</v>
      </c>
      <c r="N2379">
        <v>6</v>
      </c>
      <c r="O2379">
        <v>494.55</v>
      </c>
    </row>
    <row r="2380" spans="1:15" x14ac:dyDescent="0.35">
      <c r="A2380" t="s">
        <v>4943</v>
      </c>
      <c r="B2380" t="s">
        <v>51</v>
      </c>
      <c r="C2380" t="s">
        <v>4944</v>
      </c>
      <c r="D2380" t="s">
        <v>56</v>
      </c>
      <c r="E2380" t="s">
        <v>85</v>
      </c>
      <c r="F2380" t="s">
        <v>34</v>
      </c>
      <c r="G2380" t="s">
        <v>140</v>
      </c>
      <c r="H2380" s="1">
        <v>45547.324305555558</v>
      </c>
      <c r="I2380" s="1">
        <v>45547.455555555556</v>
      </c>
      <c r="J2380">
        <v>102</v>
      </c>
      <c r="K2380">
        <v>189</v>
      </c>
      <c r="L2380">
        <v>1</v>
      </c>
      <c r="M2380" t="s">
        <v>29</v>
      </c>
      <c r="N2380">
        <v>8</v>
      </c>
      <c r="O2380">
        <v>51.71</v>
      </c>
    </row>
    <row r="2381" spans="1:15" x14ac:dyDescent="0.35">
      <c r="A2381" t="s">
        <v>4945</v>
      </c>
      <c r="B2381" t="s">
        <v>16</v>
      </c>
      <c r="C2381" t="s">
        <v>4946</v>
      </c>
      <c r="D2381" t="s">
        <v>26</v>
      </c>
      <c r="E2381" t="s">
        <v>33</v>
      </c>
      <c r="F2381" t="s">
        <v>39</v>
      </c>
      <c r="G2381" t="s">
        <v>213</v>
      </c>
      <c r="H2381" s="1">
        <v>45353.441666666666</v>
      </c>
      <c r="I2381" s="1">
        <v>45353.631249999999</v>
      </c>
      <c r="J2381">
        <v>165</v>
      </c>
      <c r="K2381">
        <v>273</v>
      </c>
      <c r="L2381">
        <v>1</v>
      </c>
      <c r="M2381" t="s">
        <v>29</v>
      </c>
      <c r="N2381">
        <v>6</v>
      </c>
      <c r="O2381">
        <v>362.43</v>
      </c>
    </row>
    <row r="2382" spans="1:15" x14ac:dyDescent="0.35">
      <c r="A2382" t="s">
        <v>4947</v>
      </c>
      <c r="B2382" t="s">
        <v>24</v>
      </c>
      <c r="C2382" t="s">
        <v>4948</v>
      </c>
      <c r="D2382" t="s">
        <v>26</v>
      </c>
      <c r="E2382" t="s">
        <v>85</v>
      </c>
      <c r="F2382" t="s">
        <v>34</v>
      </c>
      <c r="G2382" t="s">
        <v>117</v>
      </c>
      <c r="H2382" s="1">
        <v>45335.274305555555</v>
      </c>
      <c r="I2382" s="1">
        <v>45335.313888888886</v>
      </c>
      <c r="J2382">
        <v>59</v>
      </c>
      <c r="K2382">
        <v>57</v>
      </c>
      <c r="L2382">
        <v>0</v>
      </c>
      <c r="M2382" t="s">
        <v>41</v>
      </c>
      <c r="N2382">
        <v>6</v>
      </c>
      <c r="O2382">
        <v>89.72</v>
      </c>
    </row>
    <row r="2383" spans="1:15" x14ac:dyDescent="0.35">
      <c r="A2383" t="s">
        <v>4949</v>
      </c>
      <c r="B2383" t="s">
        <v>24</v>
      </c>
      <c r="C2383" t="s">
        <v>4950</v>
      </c>
      <c r="D2383" t="s">
        <v>26</v>
      </c>
      <c r="E2383" t="s">
        <v>85</v>
      </c>
      <c r="F2383" t="s">
        <v>20</v>
      </c>
      <c r="G2383" t="s">
        <v>700</v>
      </c>
      <c r="H2383" s="1">
        <v>45308.941666666666</v>
      </c>
      <c r="I2383" s="1">
        <v>45309.063194444447</v>
      </c>
      <c r="J2383">
        <v>60</v>
      </c>
      <c r="K2383">
        <v>175</v>
      </c>
      <c r="L2383">
        <v>1</v>
      </c>
      <c r="M2383" t="s">
        <v>22</v>
      </c>
      <c r="N2383">
        <v>4</v>
      </c>
      <c r="O2383">
        <v>277.64999999999998</v>
      </c>
    </row>
    <row r="2384" spans="1:15" x14ac:dyDescent="0.35">
      <c r="A2384" t="s">
        <v>4951</v>
      </c>
      <c r="B2384" t="s">
        <v>51</v>
      </c>
      <c r="C2384" t="s">
        <v>4952</v>
      </c>
      <c r="D2384" t="s">
        <v>56</v>
      </c>
      <c r="E2384" t="s">
        <v>85</v>
      </c>
      <c r="F2384" t="s">
        <v>57</v>
      </c>
      <c r="G2384" t="s">
        <v>58</v>
      </c>
      <c r="H2384" s="1">
        <v>45465.061111111114</v>
      </c>
      <c r="I2384" s="1">
        <v>45465.140972222223</v>
      </c>
      <c r="J2384">
        <v>65</v>
      </c>
      <c r="K2384">
        <v>115</v>
      </c>
      <c r="L2384">
        <v>1</v>
      </c>
      <c r="M2384" t="s">
        <v>29</v>
      </c>
      <c r="N2384">
        <v>1</v>
      </c>
      <c r="O2384">
        <v>116.11</v>
      </c>
    </row>
    <row r="2385" spans="1:15" x14ac:dyDescent="0.35">
      <c r="A2385" t="s">
        <v>4953</v>
      </c>
      <c r="B2385" t="s">
        <v>24</v>
      </c>
      <c r="C2385" t="s">
        <v>4954</v>
      </c>
      <c r="D2385" t="s">
        <v>48</v>
      </c>
      <c r="E2385" t="s">
        <v>85</v>
      </c>
      <c r="F2385" t="s">
        <v>39</v>
      </c>
      <c r="G2385" t="s">
        <v>371</v>
      </c>
      <c r="H2385" s="1">
        <v>45596.70416666667</v>
      </c>
      <c r="I2385" s="1">
        <v>45596.852083333331</v>
      </c>
      <c r="J2385">
        <v>117</v>
      </c>
      <c r="K2385">
        <v>213</v>
      </c>
      <c r="L2385">
        <v>1</v>
      </c>
      <c r="M2385" t="s">
        <v>29</v>
      </c>
      <c r="N2385">
        <v>9</v>
      </c>
      <c r="O2385">
        <v>140.53</v>
      </c>
    </row>
    <row r="2386" spans="1:15" x14ac:dyDescent="0.35">
      <c r="A2386" t="s">
        <v>4955</v>
      </c>
      <c r="B2386" t="s">
        <v>63</v>
      </c>
      <c r="C2386" t="s">
        <v>4956</v>
      </c>
      <c r="D2386" t="s">
        <v>48</v>
      </c>
      <c r="E2386" t="s">
        <v>38</v>
      </c>
      <c r="F2386" t="s">
        <v>20</v>
      </c>
      <c r="G2386" t="s">
        <v>602</v>
      </c>
      <c r="H2386" s="1">
        <v>45578.519444444442</v>
      </c>
      <c r="I2386" s="1">
        <v>45578.670138888891</v>
      </c>
      <c r="J2386">
        <v>219</v>
      </c>
      <c r="K2386">
        <v>217</v>
      </c>
      <c r="L2386">
        <v>0</v>
      </c>
      <c r="M2386" t="s">
        <v>29</v>
      </c>
      <c r="N2386">
        <v>4</v>
      </c>
      <c r="O2386">
        <v>269.85000000000002</v>
      </c>
    </row>
    <row r="2387" spans="1:15" x14ac:dyDescent="0.35">
      <c r="A2387" t="s">
        <v>4957</v>
      </c>
      <c r="B2387" t="s">
        <v>16</v>
      </c>
      <c r="C2387" t="s">
        <v>4958</v>
      </c>
      <c r="D2387" t="s">
        <v>18</v>
      </c>
      <c r="E2387" t="s">
        <v>38</v>
      </c>
      <c r="F2387" t="s">
        <v>20</v>
      </c>
      <c r="G2387" t="s">
        <v>91</v>
      </c>
      <c r="H2387" s="1">
        <v>45598.238194444442</v>
      </c>
      <c r="I2387" s="1">
        <v>45598.421527777777</v>
      </c>
      <c r="J2387">
        <v>201</v>
      </c>
      <c r="K2387">
        <v>264</v>
      </c>
      <c r="L2387">
        <v>1</v>
      </c>
      <c r="M2387" t="s">
        <v>29</v>
      </c>
      <c r="N2387">
        <v>7</v>
      </c>
      <c r="O2387">
        <v>157.9</v>
      </c>
    </row>
    <row r="2388" spans="1:15" x14ac:dyDescent="0.35">
      <c r="A2388" t="s">
        <v>4959</v>
      </c>
      <c r="B2388" t="s">
        <v>31</v>
      </c>
      <c r="C2388" t="s">
        <v>4960</v>
      </c>
      <c r="D2388" t="s">
        <v>48</v>
      </c>
      <c r="E2388" t="s">
        <v>85</v>
      </c>
      <c r="F2388" t="s">
        <v>34</v>
      </c>
      <c r="G2388" t="s">
        <v>129</v>
      </c>
      <c r="H2388" s="1">
        <v>45458.745138888888</v>
      </c>
      <c r="I2388" s="1">
        <v>45458.925694444442</v>
      </c>
      <c r="J2388">
        <v>186</v>
      </c>
      <c r="K2388">
        <v>260</v>
      </c>
      <c r="L2388">
        <v>1</v>
      </c>
      <c r="M2388" t="s">
        <v>41</v>
      </c>
      <c r="N2388">
        <v>2</v>
      </c>
      <c r="O2388">
        <v>469.27</v>
      </c>
    </row>
    <row r="2389" spans="1:15" x14ac:dyDescent="0.35">
      <c r="A2389" t="s">
        <v>4961</v>
      </c>
      <c r="B2389" t="s">
        <v>16</v>
      </c>
      <c r="C2389" t="s">
        <v>4962</v>
      </c>
      <c r="D2389" t="s">
        <v>48</v>
      </c>
      <c r="E2389" t="s">
        <v>19</v>
      </c>
      <c r="F2389" t="s">
        <v>34</v>
      </c>
      <c r="G2389" t="s">
        <v>430</v>
      </c>
      <c r="H2389" s="1">
        <v>45292.140972222223</v>
      </c>
      <c r="I2389" s="1">
        <v>45292.226388888892</v>
      </c>
      <c r="J2389">
        <v>112</v>
      </c>
      <c r="K2389">
        <v>123</v>
      </c>
      <c r="L2389">
        <v>1</v>
      </c>
      <c r="M2389" t="s">
        <v>29</v>
      </c>
      <c r="N2389">
        <v>8</v>
      </c>
      <c r="O2389">
        <v>124.53</v>
      </c>
    </row>
    <row r="2390" spans="1:15" x14ac:dyDescent="0.35">
      <c r="A2390" t="s">
        <v>4963</v>
      </c>
      <c r="B2390" t="s">
        <v>24</v>
      </c>
      <c r="C2390" t="s">
        <v>4964</v>
      </c>
      <c r="D2390" t="s">
        <v>44</v>
      </c>
      <c r="E2390" t="s">
        <v>85</v>
      </c>
      <c r="F2390" t="s">
        <v>27</v>
      </c>
      <c r="G2390" t="s">
        <v>456</v>
      </c>
      <c r="H2390" s="1">
        <v>45351.544444444444</v>
      </c>
      <c r="I2390" s="1">
        <v>45351.585416666669</v>
      </c>
      <c r="J2390">
        <v>51</v>
      </c>
      <c r="K2390">
        <v>59</v>
      </c>
      <c r="L2390">
        <v>1</v>
      </c>
      <c r="M2390" t="s">
        <v>29</v>
      </c>
      <c r="N2390">
        <v>1</v>
      </c>
      <c r="O2390">
        <v>63.21</v>
      </c>
    </row>
    <row r="2391" spans="1:15" x14ac:dyDescent="0.35">
      <c r="A2391" t="s">
        <v>4965</v>
      </c>
      <c r="B2391" t="s">
        <v>51</v>
      </c>
      <c r="C2391" t="s">
        <v>4966</v>
      </c>
      <c r="D2391" t="s">
        <v>56</v>
      </c>
      <c r="E2391" t="s">
        <v>85</v>
      </c>
      <c r="F2391" t="s">
        <v>20</v>
      </c>
      <c r="G2391" t="s">
        <v>146</v>
      </c>
      <c r="H2391" s="1">
        <v>45299.887499999997</v>
      </c>
      <c r="I2391" s="1">
        <v>45300.015972222223</v>
      </c>
      <c r="J2391">
        <v>136</v>
      </c>
      <c r="K2391">
        <v>185</v>
      </c>
      <c r="L2391">
        <v>1</v>
      </c>
      <c r="M2391" t="s">
        <v>22</v>
      </c>
      <c r="N2391">
        <v>3</v>
      </c>
      <c r="O2391">
        <v>484.85</v>
      </c>
    </row>
    <row r="2392" spans="1:15" x14ac:dyDescent="0.35">
      <c r="A2392" t="s">
        <v>4967</v>
      </c>
      <c r="B2392" t="s">
        <v>63</v>
      </c>
      <c r="C2392" t="s">
        <v>4968</v>
      </c>
      <c r="D2392" t="s">
        <v>44</v>
      </c>
      <c r="E2392" t="s">
        <v>19</v>
      </c>
      <c r="F2392" t="s">
        <v>57</v>
      </c>
      <c r="G2392" t="s">
        <v>359</v>
      </c>
      <c r="H2392" s="1">
        <v>45330.34097222222</v>
      </c>
      <c r="I2392" s="1">
        <v>45330.453472222223</v>
      </c>
      <c r="J2392">
        <v>103</v>
      </c>
      <c r="K2392">
        <v>162</v>
      </c>
      <c r="L2392">
        <v>1</v>
      </c>
      <c r="M2392" t="s">
        <v>41</v>
      </c>
      <c r="N2392">
        <v>2</v>
      </c>
      <c r="O2392">
        <v>136.41</v>
      </c>
    </row>
    <row r="2393" spans="1:15" x14ac:dyDescent="0.35">
      <c r="A2393" t="s">
        <v>4969</v>
      </c>
      <c r="B2393" t="s">
        <v>24</v>
      </c>
      <c r="C2393" t="s">
        <v>4970</v>
      </c>
      <c r="D2393" t="s">
        <v>56</v>
      </c>
      <c r="E2393" t="s">
        <v>38</v>
      </c>
      <c r="F2393" t="s">
        <v>27</v>
      </c>
      <c r="G2393" t="s">
        <v>402</v>
      </c>
      <c r="H2393" s="1">
        <v>45614.543055555558</v>
      </c>
      <c r="I2393" s="1">
        <v>45614.640972222223</v>
      </c>
      <c r="J2393">
        <v>112</v>
      </c>
      <c r="K2393">
        <v>141</v>
      </c>
      <c r="L2393">
        <v>1</v>
      </c>
      <c r="M2393" t="s">
        <v>29</v>
      </c>
      <c r="N2393">
        <v>2</v>
      </c>
      <c r="O2393">
        <v>392.14</v>
      </c>
    </row>
    <row r="2394" spans="1:15" x14ac:dyDescent="0.35">
      <c r="A2394" t="s">
        <v>4971</v>
      </c>
      <c r="B2394" t="s">
        <v>51</v>
      </c>
      <c r="C2394" t="s">
        <v>4972</v>
      </c>
      <c r="D2394" t="s">
        <v>56</v>
      </c>
      <c r="E2394" t="s">
        <v>38</v>
      </c>
      <c r="F2394" t="s">
        <v>20</v>
      </c>
      <c r="G2394" t="s">
        <v>53</v>
      </c>
      <c r="H2394" s="1">
        <v>45328.880555555559</v>
      </c>
      <c r="I2394" s="1">
        <v>45329.098611111112</v>
      </c>
      <c r="J2394">
        <v>220</v>
      </c>
      <c r="K2394">
        <v>314</v>
      </c>
      <c r="L2394">
        <v>1</v>
      </c>
      <c r="M2394" t="s">
        <v>41</v>
      </c>
      <c r="N2394">
        <v>2</v>
      </c>
      <c r="O2394">
        <v>52.85</v>
      </c>
    </row>
    <row r="2395" spans="1:15" x14ac:dyDescent="0.35">
      <c r="A2395" t="s">
        <v>4973</v>
      </c>
      <c r="B2395" t="s">
        <v>16</v>
      </c>
      <c r="C2395" t="s">
        <v>4974</v>
      </c>
      <c r="D2395" t="s">
        <v>26</v>
      </c>
      <c r="E2395" t="s">
        <v>38</v>
      </c>
      <c r="F2395" t="s">
        <v>20</v>
      </c>
      <c r="G2395" t="s">
        <v>521</v>
      </c>
      <c r="H2395" s="1">
        <v>45632.57916666667</v>
      </c>
      <c r="I2395" s="1">
        <v>45632.775000000001</v>
      </c>
      <c r="J2395">
        <v>183</v>
      </c>
      <c r="K2395">
        <v>282</v>
      </c>
      <c r="L2395">
        <v>1</v>
      </c>
      <c r="M2395" t="s">
        <v>29</v>
      </c>
      <c r="N2395">
        <v>4</v>
      </c>
      <c r="O2395">
        <v>342.56</v>
      </c>
    </row>
    <row r="2396" spans="1:15" x14ac:dyDescent="0.35">
      <c r="A2396" t="s">
        <v>4975</v>
      </c>
      <c r="B2396" t="s">
        <v>16</v>
      </c>
      <c r="C2396" t="s">
        <v>4976</v>
      </c>
      <c r="D2396" t="s">
        <v>44</v>
      </c>
      <c r="E2396" t="s">
        <v>38</v>
      </c>
      <c r="F2396" t="s">
        <v>27</v>
      </c>
      <c r="G2396" t="s">
        <v>1125</v>
      </c>
      <c r="H2396" s="1">
        <v>45306.720833333333</v>
      </c>
      <c r="I2396" s="1">
        <v>45306.817361111112</v>
      </c>
      <c r="J2396">
        <v>74</v>
      </c>
      <c r="K2396">
        <v>139</v>
      </c>
      <c r="L2396">
        <v>1</v>
      </c>
      <c r="M2396" t="s">
        <v>22</v>
      </c>
      <c r="N2396">
        <v>3</v>
      </c>
      <c r="O2396">
        <v>106.58</v>
      </c>
    </row>
    <row r="2397" spans="1:15" x14ac:dyDescent="0.35">
      <c r="A2397" t="s">
        <v>4977</v>
      </c>
      <c r="B2397" t="s">
        <v>16</v>
      </c>
      <c r="C2397" t="s">
        <v>4978</v>
      </c>
      <c r="D2397" t="s">
        <v>48</v>
      </c>
      <c r="E2397" t="s">
        <v>38</v>
      </c>
      <c r="F2397" t="s">
        <v>57</v>
      </c>
      <c r="G2397" t="s">
        <v>465</v>
      </c>
      <c r="H2397" s="1">
        <v>45647.217361111114</v>
      </c>
      <c r="I2397" s="1">
        <v>45647.438194444447</v>
      </c>
      <c r="J2397">
        <v>222</v>
      </c>
      <c r="K2397">
        <v>318</v>
      </c>
      <c r="L2397">
        <v>1</v>
      </c>
      <c r="M2397" t="s">
        <v>22</v>
      </c>
      <c r="N2397">
        <v>1</v>
      </c>
      <c r="O2397">
        <v>243.21</v>
      </c>
    </row>
    <row r="2398" spans="1:15" x14ac:dyDescent="0.35">
      <c r="A2398" t="s">
        <v>4979</v>
      </c>
      <c r="B2398" t="s">
        <v>24</v>
      </c>
      <c r="C2398" t="s">
        <v>4980</v>
      </c>
      <c r="D2398" t="s">
        <v>44</v>
      </c>
      <c r="E2398" t="s">
        <v>38</v>
      </c>
      <c r="F2398" t="s">
        <v>39</v>
      </c>
      <c r="G2398" t="s">
        <v>388</v>
      </c>
      <c r="H2398" s="1">
        <v>45644.667361111111</v>
      </c>
      <c r="I2398" s="1">
        <v>45644.819444444445</v>
      </c>
      <c r="J2398">
        <v>107</v>
      </c>
      <c r="K2398">
        <v>219</v>
      </c>
      <c r="L2398">
        <v>1</v>
      </c>
      <c r="M2398" t="s">
        <v>41</v>
      </c>
      <c r="N2398">
        <v>9</v>
      </c>
      <c r="O2398">
        <v>362.58</v>
      </c>
    </row>
    <row r="2399" spans="1:15" x14ac:dyDescent="0.35">
      <c r="A2399" t="s">
        <v>4981</v>
      </c>
      <c r="B2399" t="s">
        <v>24</v>
      </c>
      <c r="C2399" t="s">
        <v>4982</v>
      </c>
      <c r="D2399" t="s">
        <v>48</v>
      </c>
      <c r="E2399" t="s">
        <v>38</v>
      </c>
      <c r="F2399" t="s">
        <v>39</v>
      </c>
      <c r="G2399" t="s">
        <v>1719</v>
      </c>
      <c r="H2399" s="1">
        <v>45614.99722222222</v>
      </c>
      <c r="I2399" s="1">
        <v>45615.116666666669</v>
      </c>
      <c r="J2399">
        <v>156</v>
      </c>
      <c r="K2399">
        <v>172</v>
      </c>
      <c r="L2399">
        <v>1</v>
      </c>
      <c r="M2399" t="s">
        <v>29</v>
      </c>
      <c r="N2399">
        <v>5</v>
      </c>
      <c r="O2399">
        <v>451.97</v>
      </c>
    </row>
    <row r="2400" spans="1:15" x14ac:dyDescent="0.35">
      <c r="A2400" t="s">
        <v>4983</v>
      </c>
      <c r="B2400" t="s">
        <v>24</v>
      </c>
      <c r="C2400" t="s">
        <v>4984</v>
      </c>
      <c r="D2400" t="s">
        <v>44</v>
      </c>
      <c r="E2400" t="s">
        <v>19</v>
      </c>
      <c r="F2400" t="s">
        <v>34</v>
      </c>
      <c r="G2400" t="s">
        <v>640</v>
      </c>
      <c r="H2400" s="1">
        <v>45492.580555555556</v>
      </c>
      <c r="I2400" s="1">
        <v>45492.640972222223</v>
      </c>
      <c r="J2400">
        <v>62</v>
      </c>
      <c r="K2400">
        <v>87</v>
      </c>
      <c r="L2400">
        <v>1</v>
      </c>
      <c r="M2400" t="s">
        <v>41</v>
      </c>
      <c r="N2400">
        <v>2</v>
      </c>
      <c r="O2400">
        <v>197.63</v>
      </c>
    </row>
    <row r="2401" spans="1:15" x14ac:dyDescent="0.35">
      <c r="A2401" t="s">
        <v>4985</v>
      </c>
      <c r="B2401" t="s">
        <v>24</v>
      </c>
      <c r="C2401" t="s">
        <v>4986</v>
      </c>
      <c r="D2401" t="s">
        <v>56</v>
      </c>
      <c r="E2401" t="s">
        <v>33</v>
      </c>
      <c r="F2401" t="s">
        <v>27</v>
      </c>
      <c r="G2401" t="s">
        <v>599</v>
      </c>
      <c r="H2401" s="1">
        <v>45402.542361111111</v>
      </c>
      <c r="I2401" s="1">
        <v>45402.75</v>
      </c>
      <c r="J2401">
        <v>221</v>
      </c>
      <c r="K2401">
        <v>299</v>
      </c>
      <c r="L2401">
        <v>1</v>
      </c>
      <c r="M2401" t="s">
        <v>29</v>
      </c>
      <c r="N2401">
        <v>7</v>
      </c>
      <c r="O2401">
        <v>180.05</v>
      </c>
    </row>
    <row r="2402" spans="1:15" x14ac:dyDescent="0.35">
      <c r="A2402" t="s">
        <v>4987</v>
      </c>
      <c r="B2402" t="s">
        <v>24</v>
      </c>
      <c r="C2402" t="s">
        <v>4988</v>
      </c>
      <c r="D2402" t="s">
        <v>44</v>
      </c>
      <c r="E2402" t="s">
        <v>85</v>
      </c>
      <c r="F2402" t="s">
        <v>39</v>
      </c>
      <c r="G2402" t="s">
        <v>188</v>
      </c>
      <c r="H2402" s="1">
        <v>45652.546527777777</v>
      </c>
      <c r="I2402" s="1">
        <v>45652.716666666667</v>
      </c>
      <c r="J2402">
        <v>223</v>
      </c>
      <c r="K2402">
        <v>245</v>
      </c>
      <c r="L2402">
        <v>1</v>
      </c>
      <c r="M2402" t="s">
        <v>22</v>
      </c>
      <c r="N2402">
        <v>4</v>
      </c>
      <c r="O2402">
        <v>165.54</v>
      </c>
    </row>
    <row r="2403" spans="1:15" x14ac:dyDescent="0.35">
      <c r="A2403" t="s">
        <v>4989</v>
      </c>
      <c r="B2403" t="s">
        <v>16</v>
      </c>
      <c r="C2403" t="s">
        <v>4990</v>
      </c>
      <c r="D2403" t="s">
        <v>44</v>
      </c>
      <c r="E2403" t="s">
        <v>19</v>
      </c>
      <c r="F2403" t="s">
        <v>39</v>
      </c>
      <c r="G2403" t="s">
        <v>114</v>
      </c>
      <c r="H2403" s="1">
        <v>45496.512499999997</v>
      </c>
      <c r="I2403" s="1">
        <v>45496.67291666667</v>
      </c>
      <c r="J2403">
        <v>160</v>
      </c>
      <c r="K2403">
        <v>231</v>
      </c>
      <c r="L2403">
        <v>1</v>
      </c>
      <c r="M2403" t="s">
        <v>29</v>
      </c>
      <c r="N2403">
        <v>9</v>
      </c>
      <c r="O2403">
        <v>58.32</v>
      </c>
    </row>
    <row r="2404" spans="1:15" x14ac:dyDescent="0.35">
      <c r="A2404" t="s">
        <v>4991</v>
      </c>
      <c r="B2404" t="s">
        <v>31</v>
      </c>
      <c r="C2404" t="s">
        <v>4992</v>
      </c>
      <c r="D2404" t="s">
        <v>26</v>
      </c>
      <c r="E2404" t="s">
        <v>85</v>
      </c>
      <c r="F2404" t="s">
        <v>34</v>
      </c>
      <c r="G2404" t="s">
        <v>146</v>
      </c>
      <c r="H2404" s="1">
        <v>45546.65347222222</v>
      </c>
      <c r="I2404" s="1">
        <v>45546.770833333336</v>
      </c>
      <c r="J2404">
        <v>136</v>
      </c>
      <c r="K2404">
        <v>169</v>
      </c>
      <c r="L2404">
        <v>1</v>
      </c>
      <c r="M2404" t="s">
        <v>41</v>
      </c>
      <c r="N2404">
        <v>3</v>
      </c>
      <c r="O2404">
        <v>137.93</v>
      </c>
    </row>
    <row r="2405" spans="1:15" x14ac:dyDescent="0.35">
      <c r="A2405" t="s">
        <v>4993</v>
      </c>
      <c r="B2405" t="s">
        <v>51</v>
      </c>
      <c r="C2405" t="s">
        <v>4994</v>
      </c>
      <c r="D2405" t="s">
        <v>18</v>
      </c>
      <c r="E2405" t="s">
        <v>33</v>
      </c>
      <c r="F2405" t="s">
        <v>20</v>
      </c>
      <c r="G2405" t="s">
        <v>28</v>
      </c>
      <c r="H2405" s="1">
        <v>45409.995138888888</v>
      </c>
      <c r="I2405" s="1">
        <v>45410.057638888888</v>
      </c>
      <c r="J2405">
        <v>39</v>
      </c>
      <c r="K2405">
        <v>90</v>
      </c>
      <c r="L2405">
        <v>1</v>
      </c>
      <c r="M2405" t="s">
        <v>29</v>
      </c>
      <c r="N2405">
        <v>6</v>
      </c>
      <c r="O2405">
        <v>333.67</v>
      </c>
    </row>
    <row r="2406" spans="1:15" x14ac:dyDescent="0.35">
      <c r="A2406" t="s">
        <v>4995</v>
      </c>
      <c r="B2406" t="s">
        <v>31</v>
      </c>
      <c r="C2406" t="s">
        <v>4996</v>
      </c>
      <c r="D2406" t="s">
        <v>18</v>
      </c>
      <c r="E2406" t="s">
        <v>85</v>
      </c>
      <c r="F2406" t="s">
        <v>34</v>
      </c>
      <c r="G2406" t="s">
        <v>129</v>
      </c>
      <c r="H2406" s="1">
        <v>45567.588194444441</v>
      </c>
      <c r="I2406" s="1">
        <v>45567.717361111114</v>
      </c>
      <c r="J2406">
        <v>69</v>
      </c>
      <c r="K2406">
        <v>186</v>
      </c>
      <c r="L2406">
        <v>1</v>
      </c>
      <c r="M2406" t="s">
        <v>41</v>
      </c>
      <c r="N2406">
        <v>2</v>
      </c>
      <c r="O2406">
        <v>272.85000000000002</v>
      </c>
    </row>
    <row r="2407" spans="1:15" x14ac:dyDescent="0.35">
      <c r="A2407" t="s">
        <v>4997</v>
      </c>
      <c r="B2407" t="s">
        <v>63</v>
      </c>
      <c r="C2407" t="s">
        <v>4998</v>
      </c>
      <c r="D2407" t="s">
        <v>56</v>
      </c>
      <c r="E2407" t="s">
        <v>19</v>
      </c>
      <c r="F2407" t="s">
        <v>57</v>
      </c>
      <c r="G2407" t="s">
        <v>201</v>
      </c>
      <c r="H2407" s="1">
        <v>45519.742361111108</v>
      </c>
      <c r="I2407" s="1">
        <v>45519.867361111108</v>
      </c>
      <c r="J2407">
        <v>111</v>
      </c>
      <c r="K2407">
        <v>180</v>
      </c>
      <c r="L2407">
        <v>1</v>
      </c>
      <c r="M2407" t="s">
        <v>41</v>
      </c>
      <c r="N2407">
        <v>3</v>
      </c>
      <c r="O2407">
        <v>270.43</v>
      </c>
    </row>
    <row r="2408" spans="1:15" x14ac:dyDescent="0.35">
      <c r="A2408" t="s">
        <v>4999</v>
      </c>
      <c r="B2408" t="s">
        <v>16</v>
      </c>
      <c r="C2408" t="s">
        <v>5000</v>
      </c>
      <c r="D2408" t="s">
        <v>48</v>
      </c>
      <c r="E2408" t="s">
        <v>85</v>
      </c>
      <c r="F2408" t="s">
        <v>57</v>
      </c>
      <c r="G2408" t="s">
        <v>58</v>
      </c>
      <c r="H2408" s="1">
        <v>45388.928472222222</v>
      </c>
      <c r="I2408" s="1">
        <v>45389.074999999997</v>
      </c>
      <c r="J2408">
        <v>105</v>
      </c>
      <c r="K2408">
        <v>211</v>
      </c>
      <c r="L2408">
        <v>1</v>
      </c>
      <c r="M2408" t="s">
        <v>41</v>
      </c>
      <c r="N2408">
        <v>3</v>
      </c>
      <c r="O2408">
        <v>335.84</v>
      </c>
    </row>
    <row r="2409" spans="1:15" x14ac:dyDescent="0.35">
      <c r="A2409" t="s">
        <v>5001</v>
      </c>
      <c r="B2409" t="s">
        <v>63</v>
      </c>
      <c r="C2409" t="s">
        <v>5002</v>
      </c>
      <c r="D2409" t="s">
        <v>56</v>
      </c>
      <c r="E2409" t="s">
        <v>33</v>
      </c>
      <c r="F2409" t="s">
        <v>57</v>
      </c>
      <c r="G2409" t="s">
        <v>293</v>
      </c>
      <c r="H2409" s="1">
        <v>45400.803472222222</v>
      </c>
      <c r="I2409" s="1">
        <v>45401.035416666666</v>
      </c>
      <c r="J2409">
        <v>220</v>
      </c>
      <c r="K2409">
        <v>334</v>
      </c>
      <c r="L2409">
        <v>1</v>
      </c>
      <c r="M2409" t="s">
        <v>41</v>
      </c>
      <c r="N2409">
        <v>9</v>
      </c>
      <c r="O2409">
        <v>337.09</v>
      </c>
    </row>
    <row r="2410" spans="1:15" x14ac:dyDescent="0.35">
      <c r="A2410" t="s">
        <v>5003</v>
      </c>
      <c r="B2410" t="s">
        <v>24</v>
      </c>
      <c r="C2410" t="s">
        <v>5004</v>
      </c>
      <c r="D2410" t="s">
        <v>48</v>
      </c>
      <c r="E2410" t="s">
        <v>85</v>
      </c>
      <c r="F2410" t="s">
        <v>34</v>
      </c>
      <c r="G2410" t="s">
        <v>599</v>
      </c>
      <c r="H2410" s="1">
        <v>45482.743750000001</v>
      </c>
      <c r="I2410" s="1">
        <v>45482.873611111114</v>
      </c>
      <c r="J2410">
        <v>139</v>
      </c>
      <c r="K2410">
        <v>187</v>
      </c>
      <c r="L2410">
        <v>1</v>
      </c>
      <c r="M2410" t="s">
        <v>41</v>
      </c>
      <c r="N2410">
        <v>7</v>
      </c>
      <c r="O2410">
        <v>489.28</v>
      </c>
    </row>
    <row r="2411" spans="1:15" x14ac:dyDescent="0.35">
      <c r="A2411" t="s">
        <v>5005</v>
      </c>
      <c r="B2411" t="s">
        <v>31</v>
      </c>
      <c r="C2411" t="s">
        <v>5006</v>
      </c>
      <c r="D2411" t="s">
        <v>48</v>
      </c>
      <c r="E2411" t="s">
        <v>38</v>
      </c>
      <c r="F2411" t="s">
        <v>39</v>
      </c>
      <c r="G2411" t="s">
        <v>810</v>
      </c>
      <c r="H2411" s="1">
        <v>45584.909722222219</v>
      </c>
      <c r="I2411" s="1">
        <v>45585.069444444445</v>
      </c>
      <c r="J2411">
        <v>136</v>
      </c>
      <c r="K2411">
        <v>230</v>
      </c>
      <c r="L2411">
        <v>1</v>
      </c>
      <c r="M2411" t="s">
        <v>22</v>
      </c>
      <c r="N2411">
        <v>8</v>
      </c>
      <c r="O2411">
        <v>481.44</v>
      </c>
    </row>
    <row r="2412" spans="1:15" x14ac:dyDescent="0.35">
      <c r="A2412" t="s">
        <v>5007</v>
      </c>
      <c r="B2412" t="s">
        <v>51</v>
      </c>
      <c r="C2412" t="s">
        <v>5008</v>
      </c>
      <c r="D2412" t="s">
        <v>56</v>
      </c>
      <c r="E2412" t="s">
        <v>33</v>
      </c>
      <c r="F2412" t="s">
        <v>27</v>
      </c>
      <c r="G2412" t="s">
        <v>321</v>
      </c>
      <c r="H2412" s="1">
        <v>45404.020833333336</v>
      </c>
      <c r="I2412" s="1">
        <v>45404.088194444441</v>
      </c>
      <c r="J2412">
        <v>52</v>
      </c>
      <c r="K2412">
        <v>97</v>
      </c>
      <c r="L2412">
        <v>1</v>
      </c>
      <c r="M2412" t="s">
        <v>29</v>
      </c>
      <c r="N2412">
        <v>4</v>
      </c>
      <c r="O2412">
        <v>440.85</v>
      </c>
    </row>
    <row r="2413" spans="1:15" x14ac:dyDescent="0.35">
      <c r="A2413" t="s">
        <v>5009</v>
      </c>
      <c r="B2413" t="s">
        <v>16</v>
      </c>
      <c r="C2413" t="s">
        <v>5010</v>
      </c>
      <c r="D2413" t="s">
        <v>56</v>
      </c>
      <c r="E2413" t="s">
        <v>38</v>
      </c>
      <c r="F2413" t="s">
        <v>20</v>
      </c>
      <c r="G2413" t="s">
        <v>35</v>
      </c>
      <c r="H2413" s="1">
        <v>45615.286111111112</v>
      </c>
      <c r="I2413" s="1">
        <v>45615.359722222223</v>
      </c>
      <c r="J2413">
        <v>91</v>
      </c>
      <c r="K2413">
        <v>106</v>
      </c>
      <c r="L2413">
        <v>1</v>
      </c>
      <c r="M2413" t="s">
        <v>29</v>
      </c>
      <c r="N2413">
        <v>3</v>
      </c>
      <c r="O2413">
        <v>411.2</v>
      </c>
    </row>
    <row r="2414" spans="1:15" x14ac:dyDescent="0.35">
      <c r="A2414" t="s">
        <v>5011</v>
      </c>
      <c r="B2414" t="s">
        <v>51</v>
      </c>
      <c r="C2414" t="s">
        <v>5012</v>
      </c>
      <c r="D2414" t="s">
        <v>18</v>
      </c>
      <c r="E2414" t="s">
        <v>19</v>
      </c>
      <c r="F2414" t="s">
        <v>34</v>
      </c>
      <c r="G2414" t="s">
        <v>152</v>
      </c>
      <c r="H2414" s="1">
        <v>45546.831250000003</v>
      </c>
      <c r="I2414" s="1">
        <v>45547.043749999997</v>
      </c>
      <c r="J2414">
        <v>226</v>
      </c>
      <c r="K2414">
        <v>306</v>
      </c>
      <c r="L2414">
        <v>1</v>
      </c>
      <c r="M2414" t="s">
        <v>22</v>
      </c>
      <c r="N2414">
        <v>6</v>
      </c>
      <c r="O2414">
        <v>261.2</v>
      </c>
    </row>
    <row r="2415" spans="1:15" x14ac:dyDescent="0.35">
      <c r="A2415" t="s">
        <v>5013</v>
      </c>
      <c r="B2415" t="s">
        <v>24</v>
      </c>
      <c r="C2415" t="s">
        <v>5014</v>
      </c>
      <c r="D2415" t="s">
        <v>18</v>
      </c>
      <c r="E2415" t="s">
        <v>38</v>
      </c>
      <c r="F2415" t="s">
        <v>27</v>
      </c>
      <c r="G2415" t="s">
        <v>288</v>
      </c>
      <c r="H2415" s="1">
        <v>45473.725694444445</v>
      </c>
      <c r="I2415" s="1">
        <v>45473.946527777778</v>
      </c>
      <c r="J2415">
        <v>224</v>
      </c>
      <c r="K2415">
        <v>318</v>
      </c>
      <c r="L2415">
        <v>1</v>
      </c>
      <c r="M2415" t="s">
        <v>29</v>
      </c>
      <c r="N2415">
        <v>3</v>
      </c>
      <c r="O2415">
        <v>418.32</v>
      </c>
    </row>
    <row r="2416" spans="1:15" x14ac:dyDescent="0.35">
      <c r="A2416" t="s">
        <v>5015</v>
      </c>
      <c r="B2416" t="s">
        <v>24</v>
      </c>
      <c r="C2416" t="s">
        <v>5016</v>
      </c>
      <c r="D2416" t="s">
        <v>44</v>
      </c>
      <c r="E2416" t="s">
        <v>85</v>
      </c>
      <c r="F2416" t="s">
        <v>57</v>
      </c>
      <c r="G2416" t="s">
        <v>418</v>
      </c>
      <c r="H2416" s="1">
        <v>45400.67083333333</v>
      </c>
      <c r="I2416" s="1">
        <v>45400.844444444447</v>
      </c>
      <c r="J2416">
        <v>135</v>
      </c>
      <c r="K2416">
        <v>250</v>
      </c>
      <c r="L2416">
        <v>1</v>
      </c>
      <c r="M2416" t="s">
        <v>29</v>
      </c>
      <c r="N2416">
        <v>6</v>
      </c>
      <c r="O2416">
        <v>462.71</v>
      </c>
    </row>
    <row r="2417" spans="1:15" x14ac:dyDescent="0.35">
      <c r="A2417" t="s">
        <v>5017</v>
      </c>
      <c r="B2417" t="s">
        <v>63</v>
      </c>
      <c r="C2417" t="s">
        <v>5018</v>
      </c>
      <c r="D2417" t="s">
        <v>56</v>
      </c>
      <c r="E2417" t="s">
        <v>33</v>
      </c>
      <c r="F2417" t="s">
        <v>34</v>
      </c>
      <c r="G2417" t="s">
        <v>681</v>
      </c>
      <c r="H2417" s="1">
        <v>45570.434027777781</v>
      </c>
      <c r="I2417" s="1">
        <v>45570.564583333333</v>
      </c>
      <c r="J2417">
        <v>156</v>
      </c>
      <c r="K2417">
        <v>188</v>
      </c>
      <c r="L2417">
        <v>1</v>
      </c>
      <c r="M2417" t="s">
        <v>29</v>
      </c>
      <c r="N2417">
        <v>3</v>
      </c>
      <c r="O2417">
        <v>363.73</v>
      </c>
    </row>
    <row r="2418" spans="1:15" x14ac:dyDescent="0.35">
      <c r="A2418" t="s">
        <v>5019</v>
      </c>
      <c r="B2418" t="s">
        <v>16</v>
      </c>
      <c r="C2418" t="s">
        <v>5020</v>
      </c>
      <c r="D2418" t="s">
        <v>26</v>
      </c>
      <c r="E2418" t="s">
        <v>38</v>
      </c>
      <c r="F2418" t="s">
        <v>27</v>
      </c>
      <c r="G2418" t="s">
        <v>288</v>
      </c>
      <c r="H2418" s="1">
        <v>45544.444444444445</v>
      </c>
      <c r="I2418" s="1">
        <v>45544.557638888888</v>
      </c>
      <c r="J2418">
        <v>84</v>
      </c>
      <c r="K2418">
        <v>163</v>
      </c>
      <c r="L2418">
        <v>1</v>
      </c>
      <c r="M2418" t="s">
        <v>29</v>
      </c>
      <c r="N2418">
        <v>1</v>
      </c>
      <c r="O2418">
        <v>286.62</v>
      </c>
    </row>
    <row r="2419" spans="1:15" x14ac:dyDescent="0.35">
      <c r="A2419" t="s">
        <v>5021</v>
      </c>
      <c r="B2419" t="s">
        <v>31</v>
      </c>
      <c r="C2419" t="s">
        <v>5022</v>
      </c>
      <c r="D2419" t="s">
        <v>26</v>
      </c>
      <c r="E2419" t="s">
        <v>19</v>
      </c>
      <c r="F2419" t="s">
        <v>57</v>
      </c>
      <c r="G2419" t="s">
        <v>240</v>
      </c>
      <c r="H2419" s="1">
        <v>45589.548611111109</v>
      </c>
      <c r="I2419" s="1">
        <v>45589.672222222223</v>
      </c>
      <c r="J2419">
        <v>171</v>
      </c>
      <c r="K2419">
        <v>178</v>
      </c>
      <c r="L2419">
        <v>1</v>
      </c>
      <c r="M2419" t="s">
        <v>22</v>
      </c>
      <c r="N2419">
        <v>10</v>
      </c>
      <c r="O2419">
        <v>360.38</v>
      </c>
    </row>
    <row r="2420" spans="1:15" x14ac:dyDescent="0.35">
      <c r="A2420" t="s">
        <v>5023</v>
      </c>
      <c r="B2420" t="s">
        <v>63</v>
      </c>
      <c r="C2420" t="s">
        <v>5024</v>
      </c>
      <c r="D2420" t="s">
        <v>44</v>
      </c>
      <c r="E2420" t="s">
        <v>19</v>
      </c>
      <c r="F2420" t="s">
        <v>27</v>
      </c>
      <c r="G2420" t="s">
        <v>28</v>
      </c>
      <c r="H2420" s="1">
        <v>45391.42291666667</v>
      </c>
      <c r="I2420" s="1">
        <v>45391.55972222222</v>
      </c>
      <c r="J2420">
        <v>184</v>
      </c>
      <c r="K2420">
        <v>197</v>
      </c>
      <c r="L2420">
        <v>1</v>
      </c>
      <c r="M2420" t="s">
        <v>41</v>
      </c>
      <c r="N2420">
        <v>10</v>
      </c>
      <c r="O2420">
        <v>377.54</v>
      </c>
    </row>
    <row r="2421" spans="1:15" x14ac:dyDescent="0.35">
      <c r="A2421" t="s">
        <v>5025</v>
      </c>
      <c r="B2421" t="s">
        <v>51</v>
      </c>
      <c r="C2421" t="s">
        <v>5026</v>
      </c>
      <c r="D2421" t="s">
        <v>26</v>
      </c>
      <c r="E2421" t="s">
        <v>85</v>
      </c>
      <c r="F2421" t="s">
        <v>27</v>
      </c>
      <c r="G2421" t="s">
        <v>485</v>
      </c>
      <c r="H2421" s="1">
        <v>45304.129861111112</v>
      </c>
      <c r="I2421" s="1">
        <v>45304.227083333331</v>
      </c>
      <c r="J2421">
        <v>127</v>
      </c>
      <c r="K2421">
        <v>140</v>
      </c>
      <c r="L2421">
        <v>1</v>
      </c>
      <c r="M2421" t="s">
        <v>29</v>
      </c>
      <c r="N2421">
        <v>9</v>
      </c>
      <c r="O2421">
        <v>279.62</v>
      </c>
    </row>
    <row r="2422" spans="1:15" x14ac:dyDescent="0.35">
      <c r="A2422" t="s">
        <v>5027</v>
      </c>
      <c r="B2422" t="s">
        <v>16</v>
      </c>
      <c r="C2422" t="s">
        <v>5028</v>
      </c>
      <c r="D2422" t="s">
        <v>56</v>
      </c>
      <c r="E2422" t="s">
        <v>85</v>
      </c>
      <c r="F2422" t="s">
        <v>20</v>
      </c>
      <c r="G2422" t="s">
        <v>700</v>
      </c>
      <c r="H2422" s="1">
        <v>45503.942361111112</v>
      </c>
      <c r="I2422" s="1">
        <v>45504.097916666666</v>
      </c>
      <c r="J2422">
        <v>114</v>
      </c>
      <c r="K2422">
        <v>224</v>
      </c>
      <c r="L2422">
        <v>1</v>
      </c>
      <c r="M2422" t="s">
        <v>29</v>
      </c>
      <c r="N2422">
        <v>10</v>
      </c>
      <c r="O2422">
        <v>486.64</v>
      </c>
    </row>
    <row r="2423" spans="1:15" x14ac:dyDescent="0.35">
      <c r="A2423" t="s">
        <v>5029</v>
      </c>
      <c r="B2423" t="s">
        <v>31</v>
      </c>
      <c r="C2423" t="s">
        <v>5030</v>
      </c>
      <c r="D2423" t="s">
        <v>44</v>
      </c>
      <c r="E2423" t="s">
        <v>38</v>
      </c>
      <c r="F2423" t="s">
        <v>34</v>
      </c>
      <c r="G2423" t="s">
        <v>114</v>
      </c>
      <c r="H2423" s="1">
        <v>45470.499305555553</v>
      </c>
      <c r="I2423" s="1">
        <v>45470.542361111111</v>
      </c>
      <c r="J2423">
        <v>27</v>
      </c>
      <c r="K2423">
        <v>62</v>
      </c>
      <c r="L2423">
        <v>1</v>
      </c>
      <c r="M2423" t="s">
        <v>41</v>
      </c>
      <c r="N2423">
        <v>4</v>
      </c>
      <c r="O2423">
        <v>123.5</v>
      </c>
    </row>
    <row r="2424" spans="1:15" x14ac:dyDescent="0.35">
      <c r="A2424" t="s">
        <v>5031</v>
      </c>
      <c r="B2424" t="s">
        <v>31</v>
      </c>
      <c r="C2424" t="s">
        <v>5032</v>
      </c>
      <c r="D2424" t="s">
        <v>18</v>
      </c>
      <c r="E2424" t="s">
        <v>38</v>
      </c>
      <c r="F2424" t="s">
        <v>27</v>
      </c>
      <c r="G2424" t="s">
        <v>155</v>
      </c>
      <c r="H2424" s="1">
        <v>45647.368055555555</v>
      </c>
      <c r="I2424" s="1">
        <v>45647.599305555559</v>
      </c>
      <c r="J2424">
        <v>223</v>
      </c>
      <c r="K2424">
        <v>333</v>
      </c>
      <c r="L2424">
        <v>1</v>
      </c>
      <c r="M2424" t="s">
        <v>22</v>
      </c>
      <c r="N2424">
        <v>8</v>
      </c>
      <c r="O2424">
        <v>59.92</v>
      </c>
    </row>
    <row r="2425" spans="1:15" x14ac:dyDescent="0.35">
      <c r="A2425" t="s">
        <v>5033</v>
      </c>
      <c r="B2425" t="s">
        <v>16</v>
      </c>
      <c r="C2425" t="s">
        <v>5034</v>
      </c>
      <c r="D2425" t="s">
        <v>18</v>
      </c>
      <c r="E2425" t="s">
        <v>19</v>
      </c>
      <c r="F2425" t="s">
        <v>34</v>
      </c>
      <c r="G2425" t="s">
        <v>293</v>
      </c>
      <c r="H2425" s="1">
        <v>45510.354861111111</v>
      </c>
      <c r="I2425" s="1">
        <v>45510.499305555553</v>
      </c>
      <c r="J2425">
        <v>134</v>
      </c>
      <c r="K2425">
        <v>208</v>
      </c>
      <c r="L2425">
        <v>1</v>
      </c>
      <c r="M2425" t="s">
        <v>29</v>
      </c>
      <c r="N2425">
        <v>9</v>
      </c>
      <c r="O2425">
        <v>137.96</v>
      </c>
    </row>
    <row r="2426" spans="1:15" x14ac:dyDescent="0.35">
      <c r="A2426" t="s">
        <v>5035</v>
      </c>
      <c r="B2426" t="s">
        <v>24</v>
      </c>
      <c r="C2426" t="s">
        <v>5036</v>
      </c>
      <c r="D2426" t="s">
        <v>18</v>
      </c>
      <c r="E2426" t="s">
        <v>19</v>
      </c>
      <c r="F2426" t="s">
        <v>34</v>
      </c>
      <c r="G2426" t="s">
        <v>155</v>
      </c>
      <c r="H2426" s="1">
        <v>45402.486805555556</v>
      </c>
      <c r="I2426" s="1">
        <v>45402.663194444445</v>
      </c>
      <c r="J2426">
        <v>157</v>
      </c>
      <c r="K2426">
        <v>254</v>
      </c>
      <c r="L2426">
        <v>1</v>
      </c>
      <c r="M2426" t="s">
        <v>29</v>
      </c>
      <c r="N2426">
        <v>3</v>
      </c>
      <c r="O2426">
        <v>452.55</v>
      </c>
    </row>
    <row r="2427" spans="1:15" x14ac:dyDescent="0.35">
      <c r="A2427" t="s">
        <v>5037</v>
      </c>
      <c r="B2427" t="s">
        <v>24</v>
      </c>
      <c r="C2427" t="s">
        <v>5038</v>
      </c>
      <c r="D2427" t="s">
        <v>44</v>
      </c>
      <c r="E2427" t="s">
        <v>19</v>
      </c>
      <c r="F2427" t="s">
        <v>39</v>
      </c>
      <c r="G2427" t="s">
        <v>161</v>
      </c>
      <c r="H2427" s="1">
        <v>45476.377083333333</v>
      </c>
      <c r="I2427" s="1">
        <v>45476.525694444441</v>
      </c>
      <c r="J2427">
        <v>206</v>
      </c>
      <c r="K2427">
        <v>214</v>
      </c>
      <c r="L2427">
        <v>1</v>
      </c>
      <c r="M2427" t="s">
        <v>22</v>
      </c>
      <c r="N2427">
        <v>6</v>
      </c>
      <c r="O2427">
        <v>241.59</v>
      </c>
    </row>
    <row r="2428" spans="1:15" x14ac:dyDescent="0.35">
      <c r="A2428" t="s">
        <v>5039</v>
      </c>
      <c r="B2428" t="s">
        <v>31</v>
      </c>
      <c r="C2428" t="s">
        <v>5040</v>
      </c>
      <c r="D2428" t="s">
        <v>56</v>
      </c>
      <c r="E2428" t="s">
        <v>33</v>
      </c>
      <c r="F2428" t="s">
        <v>39</v>
      </c>
      <c r="G2428" t="s">
        <v>691</v>
      </c>
      <c r="H2428" s="1">
        <v>45558.019444444442</v>
      </c>
      <c r="I2428" s="1">
        <v>45558.107638888891</v>
      </c>
      <c r="J2428">
        <v>43</v>
      </c>
      <c r="K2428">
        <v>127</v>
      </c>
      <c r="L2428">
        <v>1</v>
      </c>
      <c r="M2428" t="s">
        <v>41</v>
      </c>
      <c r="N2428">
        <v>1</v>
      </c>
      <c r="O2428">
        <v>455.06</v>
      </c>
    </row>
    <row r="2429" spans="1:15" x14ac:dyDescent="0.35">
      <c r="A2429" t="s">
        <v>5041</v>
      </c>
      <c r="B2429" t="s">
        <v>16</v>
      </c>
      <c r="C2429" t="s">
        <v>5042</v>
      </c>
      <c r="D2429" t="s">
        <v>18</v>
      </c>
      <c r="E2429" t="s">
        <v>33</v>
      </c>
      <c r="F2429" t="s">
        <v>27</v>
      </c>
      <c r="G2429" t="s">
        <v>397</v>
      </c>
      <c r="H2429" s="1">
        <v>45614.385416666664</v>
      </c>
      <c r="I2429" s="1">
        <v>45614.501388888886</v>
      </c>
      <c r="J2429">
        <v>158</v>
      </c>
      <c r="K2429">
        <v>167</v>
      </c>
      <c r="L2429">
        <v>1</v>
      </c>
      <c r="M2429" t="s">
        <v>22</v>
      </c>
      <c r="N2429">
        <v>7</v>
      </c>
      <c r="O2429">
        <v>196.93</v>
      </c>
    </row>
    <row r="2430" spans="1:15" x14ac:dyDescent="0.35">
      <c r="A2430" t="s">
        <v>5043</v>
      </c>
      <c r="B2430" t="s">
        <v>63</v>
      </c>
      <c r="C2430" t="s">
        <v>5044</v>
      </c>
      <c r="D2430" t="s">
        <v>48</v>
      </c>
      <c r="E2430" t="s">
        <v>85</v>
      </c>
      <c r="F2430" t="s">
        <v>34</v>
      </c>
      <c r="G2430" t="s">
        <v>28</v>
      </c>
      <c r="H2430" s="1">
        <v>45454.955555555556</v>
      </c>
      <c r="I2430" s="1">
        <v>45455.1875</v>
      </c>
      <c r="J2430">
        <v>229</v>
      </c>
      <c r="K2430">
        <v>334</v>
      </c>
      <c r="L2430">
        <v>1</v>
      </c>
      <c r="M2430" t="s">
        <v>41</v>
      </c>
      <c r="N2430">
        <v>5</v>
      </c>
      <c r="O2430">
        <v>220.48</v>
      </c>
    </row>
    <row r="2431" spans="1:15" x14ac:dyDescent="0.35">
      <c r="A2431" t="s">
        <v>5045</v>
      </c>
      <c r="B2431" t="s">
        <v>24</v>
      </c>
      <c r="C2431" t="s">
        <v>5046</v>
      </c>
      <c r="D2431" t="s">
        <v>48</v>
      </c>
      <c r="E2431" t="s">
        <v>33</v>
      </c>
      <c r="F2431" t="s">
        <v>20</v>
      </c>
      <c r="G2431" t="s">
        <v>111</v>
      </c>
      <c r="H2431" s="1">
        <v>45543.692361111112</v>
      </c>
      <c r="I2431" s="1">
        <v>45543.854166666664</v>
      </c>
      <c r="J2431">
        <v>178</v>
      </c>
      <c r="K2431">
        <v>233</v>
      </c>
      <c r="L2431">
        <v>1</v>
      </c>
      <c r="M2431" t="s">
        <v>41</v>
      </c>
      <c r="N2431">
        <v>6</v>
      </c>
      <c r="O2431">
        <v>389.28</v>
      </c>
    </row>
    <row r="2432" spans="1:15" x14ac:dyDescent="0.35">
      <c r="A2432" t="s">
        <v>5047</v>
      </c>
      <c r="B2432" t="s">
        <v>31</v>
      </c>
      <c r="C2432" t="s">
        <v>5048</v>
      </c>
      <c r="D2432" t="s">
        <v>44</v>
      </c>
      <c r="E2432" t="s">
        <v>19</v>
      </c>
      <c r="F2432" t="s">
        <v>39</v>
      </c>
      <c r="G2432" t="s">
        <v>45</v>
      </c>
      <c r="H2432" s="1">
        <v>45589.302777777775</v>
      </c>
      <c r="I2432" s="1">
        <v>45589.426388888889</v>
      </c>
      <c r="J2432">
        <v>84</v>
      </c>
      <c r="K2432">
        <v>178</v>
      </c>
      <c r="L2432">
        <v>1</v>
      </c>
      <c r="M2432" t="s">
        <v>22</v>
      </c>
      <c r="N2432">
        <v>8</v>
      </c>
      <c r="O2432">
        <v>206.05</v>
      </c>
    </row>
    <row r="2433" spans="1:15" x14ac:dyDescent="0.35">
      <c r="A2433" t="s">
        <v>5049</v>
      </c>
      <c r="B2433" t="s">
        <v>24</v>
      </c>
      <c r="C2433" t="s">
        <v>5050</v>
      </c>
      <c r="D2433" t="s">
        <v>44</v>
      </c>
      <c r="E2433" t="s">
        <v>33</v>
      </c>
      <c r="F2433" t="s">
        <v>57</v>
      </c>
      <c r="G2433" t="s">
        <v>164</v>
      </c>
      <c r="H2433" s="1">
        <v>45477.125</v>
      </c>
      <c r="I2433" s="1">
        <v>45477.279861111114</v>
      </c>
      <c r="J2433">
        <v>220</v>
      </c>
      <c r="K2433">
        <v>223</v>
      </c>
      <c r="L2433">
        <v>1</v>
      </c>
      <c r="M2433" t="s">
        <v>41</v>
      </c>
      <c r="N2433">
        <v>8</v>
      </c>
      <c r="O2433">
        <v>293.45999999999998</v>
      </c>
    </row>
    <row r="2434" spans="1:15" x14ac:dyDescent="0.35">
      <c r="A2434" t="s">
        <v>5051</v>
      </c>
      <c r="B2434" t="s">
        <v>51</v>
      </c>
      <c r="C2434" t="s">
        <v>5052</v>
      </c>
      <c r="D2434" t="s">
        <v>56</v>
      </c>
      <c r="E2434" t="s">
        <v>85</v>
      </c>
      <c r="F2434" t="s">
        <v>27</v>
      </c>
      <c r="G2434" t="s">
        <v>225</v>
      </c>
      <c r="H2434" s="1">
        <v>45313.676388888889</v>
      </c>
      <c r="I2434" s="1">
        <v>45313.759027777778</v>
      </c>
      <c r="J2434">
        <v>111</v>
      </c>
      <c r="K2434">
        <v>119</v>
      </c>
      <c r="L2434">
        <v>1</v>
      </c>
      <c r="M2434" t="s">
        <v>41</v>
      </c>
      <c r="N2434">
        <v>3</v>
      </c>
      <c r="O2434">
        <v>279.23</v>
      </c>
    </row>
    <row r="2435" spans="1:15" x14ac:dyDescent="0.35">
      <c r="A2435" t="s">
        <v>5053</v>
      </c>
      <c r="B2435" t="s">
        <v>31</v>
      </c>
      <c r="C2435" t="s">
        <v>5054</v>
      </c>
      <c r="D2435" t="s">
        <v>48</v>
      </c>
      <c r="E2435" t="s">
        <v>19</v>
      </c>
      <c r="F2435" t="s">
        <v>57</v>
      </c>
      <c r="G2435" t="s">
        <v>359</v>
      </c>
      <c r="H2435" s="1">
        <v>45319.456250000003</v>
      </c>
      <c r="I2435" s="1">
        <v>45319.663194444445</v>
      </c>
      <c r="J2435">
        <v>207</v>
      </c>
      <c r="K2435">
        <v>298</v>
      </c>
      <c r="L2435">
        <v>1</v>
      </c>
      <c r="M2435" t="s">
        <v>29</v>
      </c>
      <c r="N2435">
        <v>10</v>
      </c>
      <c r="O2435">
        <v>299</v>
      </c>
    </row>
    <row r="2436" spans="1:15" x14ac:dyDescent="0.35">
      <c r="A2436" t="s">
        <v>5055</v>
      </c>
      <c r="B2436" t="s">
        <v>51</v>
      </c>
      <c r="C2436" t="s">
        <v>5056</v>
      </c>
      <c r="D2436" t="s">
        <v>26</v>
      </c>
      <c r="E2436" t="s">
        <v>85</v>
      </c>
      <c r="F2436" t="s">
        <v>57</v>
      </c>
      <c r="G2436" t="s">
        <v>999</v>
      </c>
      <c r="H2436" s="1">
        <v>45335.875</v>
      </c>
      <c r="I2436" s="1">
        <v>45336.0625</v>
      </c>
      <c r="J2436">
        <v>156</v>
      </c>
      <c r="K2436">
        <v>270</v>
      </c>
      <c r="L2436">
        <v>1</v>
      </c>
      <c r="M2436" t="s">
        <v>41</v>
      </c>
      <c r="N2436">
        <v>6</v>
      </c>
      <c r="O2436">
        <v>334.71</v>
      </c>
    </row>
    <row r="2437" spans="1:15" x14ac:dyDescent="0.35">
      <c r="A2437" t="s">
        <v>5057</v>
      </c>
      <c r="B2437" t="s">
        <v>51</v>
      </c>
      <c r="C2437" t="s">
        <v>5058</v>
      </c>
      <c r="D2437" t="s">
        <v>18</v>
      </c>
      <c r="E2437" t="s">
        <v>38</v>
      </c>
      <c r="F2437" t="s">
        <v>27</v>
      </c>
      <c r="G2437" t="s">
        <v>335</v>
      </c>
      <c r="H2437" s="1">
        <v>45362.568749999999</v>
      </c>
      <c r="I2437" s="1">
        <v>45362.749305555553</v>
      </c>
      <c r="J2437">
        <v>159</v>
      </c>
      <c r="K2437">
        <v>260</v>
      </c>
      <c r="L2437">
        <v>1</v>
      </c>
      <c r="M2437" t="s">
        <v>29</v>
      </c>
      <c r="N2437">
        <v>5</v>
      </c>
      <c r="O2437">
        <v>66.819999999999993</v>
      </c>
    </row>
    <row r="2438" spans="1:15" x14ac:dyDescent="0.35">
      <c r="A2438" t="s">
        <v>5059</v>
      </c>
      <c r="B2438" t="s">
        <v>31</v>
      </c>
      <c r="C2438" t="s">
        <v>5060</v>
      </c>
      <c r="D2438" t="s">
        <v>18</v>
      </c>
      <c r="E2438" t="s">
        <v>19</v>
      </c>
      <c r="F2438" t="s">
        <v>27</v>
      </c>
      <c r="G2438" t="s">
        <v>231</v>
      </c>
      <c r="H2438" s="1">
        <v>45507.681250000001</v>
      </c>
      <c r="I2438" s="1">
        <v>45507.887499999997</v>
      </c>
      <c r="J2438">
        <v>181</v>
      </c>
      <c r="K2438">
        <v>297</v>
      </c>
      <c r="L2438">
        <v>1</v>
      </c>
      <c r="M2438" t="s">
        <v>29</v>
      </c>
      <c r="N2438">
        <v>9</v>
      </c>
      <c r="O2438">
        <v>325.45999999999998</v>
      </c>
    </row>
    <row r="2439" spans="1:15" x14ac:dyDescent="0.35">
      <c r="A2439" t="s">
        <v>5061</v>
      </c>
      <c r="B2439" t="s">
        <v>31</v>
      </c>
      <c r="C2439" t="s">
        <v>5062</v>
      </c>
      <c r="D2439" t="s">
        <v>48</v>
      </c>
      <c r="E2439" t="s">
        <v>85</v>
      </c>
      <c r="F2439" t="s">
        <v>39</v>
      </c>
      <c r="G2439" t="s">
        <v>296</v>
      </c>
      <c r="H2439" s="1">
        <v>45625.640277777777</v>
      </c>
      <c r="I2439" s="1">
        <v>45625.73541666667</v>
      </c>
      <c r="J2439">
        <v>116</v>
      </c>
      <c r="K2439">
        <v>137</v>
      </c>
      <c r="L2439">
        <v>1</v>
      </c>
      <c r="M2439" t="s">
        <v>29</v>
      </c>
      <c r="N2439">
        <v>9</v>
      </c>
      <c r="O2439">
        <v>268.94</v>
      </c>
    </row>
    <row r="2440" spans="1:15" x14ac:dyDescent="0.35">
      <c r="A2440" t="s">
        <v>5063</v>
      </c>
      <c r="B2440" t="s">
        <v>63</v>
      </c>
      <c r="C2440" t="s">
        <v>5064</v>
      </c>
      <c r="D2440" t="s">
        <v>48</v>
      </c>
      <c r="E2440" t="s">
        <v>85</v>
      </c>
      <c r="F2440" t="s">
        <v>27</v>
      </c>
      <c r="G2440" t="s">
        <v>1730</v>
      </c>
      <c r="H2440" s="1">
        <v>45301.368750000001</v>
      </c>
      <c r="I2440" s="1">
        <v>45301.472916666666</v>
      </c>
      <c r="J2440">
        <v>48</v>
      </c>
      <c r="K2440">
        <v>150</v>
      </c>
      <c r="L2440">
        <v>1</v>
      </c>
      <c r="M2440" t="s">
        <v>22</v>
      </c>
      <c r="N2440">
        <v>5</v>
      </c>
      <c r="O2440">
        <v>454.01</v>
      </c>
    </row>
    <row r="2441" spans="1:15" x14ac:dyDescent="0.35">
      <c r="A2441" t="s">
        <v>5065</v>
      </c>
      <c r="B2441" t="s">
        <v>31</v>
      </c>
      <c r="C2441" t="s">
        <v>5066</v>
      </c>
      <c r="D2441" t="s">
        <v>48</v>
      </c>
      <c r="E2441" t="s">
        <v>85</v>
      </c>
      <c r="F2441" t="s">
        <v>34</v>
      </c>
      <c r="G2441" t="s">
        <v>418</v>
      </c>
      <c r="H2441" s="1">
        <v>45556.645138888889</v>
      </c>
      <c r="I2441" s="1">
        <v>45556.79583333333</v>
      </c>
      <c r="J2441">
        <v>209</v>
      </c>
      <c r="K2441">
        <v>217</v>
      </c>
      <c r="L2441">
        <v>1</v>
      </c>
      <c r="M2441" t="s">
        <v>41</v>
      </c>
      <c r="N2441">
        <v>9</v>
      </c>
      <c r="O2441">
        <v>311.35000000000002</v>
      </c>
    </row>
    <row r="2442" spans="1:15" x14ac:dyDescent="0.35">
      <c r="A2442" t="s">
        <v>5067</v>
      </c>
      <c r="B2442" t="s">
        <v>16</v>
      </c>
      <c r="C2442" t="s">
        <v>5068</v>
      </c>
      <c r="D2442" t="s">
        <v>48</v>
      </c>
      <c r="E2442" t="s">
        <v>85</v>
      </c>
      <c r="F2442" t="s">
        <v>27</v>
      </c>
      <c r="G2442" t="s">
        <v>983</v>
      </c>
      <c r="H2442" s="1">
        <v>45392.418749999997</v>
      </c>
      <c r="I2442" s="1">
        <v>45392.492361111108</v>
      </c>
      <c r="J2442">
        <v>110</v>
      </c>
      <c r="K2442">
        <v>106</v>
      </c>
      <c r="L2442">
        <v>0</v>
      </c>
      <c r="M2442" t="s">
        <v>29</v>
      </c>
      <c r="N2442">
        <v>3</v>
      </c>
      <c r="O2442">
        <v>300.13</v>
      </c>
    </row>
    <row r="2443" spans="1:15" x14ac:dyDescent="0.35">
      <c r="A2443" t="s">
        <v>5069</v>
      </c>
      <c r="B2443" t="s">
        <v>24</v>
      </c>
      <c r="C2443" t="s">
        <v>5070</v>
      </c>
      <c r="D2443" t="s">
        <v>26</v>
      </c>
      <c r="E2443" t="s">
        <v>33</v>
      </c>
      <c r="F2443" t="s">
        <v>27</v>
      </c>
      <c r="G2443" t="s">
        <v>234</v>
      </c>
      <c r="H2443" s="1">
        <v>45415.390972222223</v>
      </c>
      <c r="I2443" s="1">
        <v>45415.504166666666</v>
      </c>
      <c r="J2443">
        <v>168</v>
      </c>
      <c r="K2443">
        <v>163</v>
      </c>
      <c r="L2443">
        <v>0</v>
      </c>
      <c r="M2443" t="s">
        <v>29</v>
      </c>
      <c r="N2443">
        <v>3</v>
      </c>
      <c r="O2443">
        <v>209.58</v>
      </c>
    </row>
    <row r="2444" spans="1:15" x14ac:dyDescent="0.35">
      <c r="A2444" t="s">
        <v>5071</v>
      </c>
      <c r="B2444" t="s">
        <v>31</v>
      </c>
      <c r="C2444" t="s">
        <v>5072</v>
      </c>
      <c r="D2444" t="s">
        <v>26</v>
      </c>
      <c r="E2444" t="s">
        <v>33</v>
      </c>
      <c r="F2444" t="s">
        <v>39</v>
      </c>
      <c r="G2444" t="s">
        <v>842</v>
      </c>
      <c r="H2444" s="1">
        <v>45467.047222222223</v>
      </c>
      <c r="I2444" s="1">
        <v>45467.075694444444</v>
      </c>
      <c r="J2444">
        <v>18</v>
      </c>
      <c r="K2444">
        <v>41</v>
      </c>
      <c r="L2444">
        <v>1</v>
      </c>
      <c r="M2444" t="s">
        <v>29</v>
      </c>
      <c r="N2444">
        <v>7</v>
      </c>
      <c r="O2444">
        <v>402.27</v>
      </c>
    </row>
    <row r="2445" spans="1:15" x14ac:dyDescent="0.35">
      <c r="A2445" t="s">
        <v>5073</v>
      </c>
      <c r="B2445" t="s">
        <v>24</v>
      </c>
      <c r="C2445" t="s">
        <v>5074</v>
      </c>
      <c r="D2445" t="s">
        <v>44</v>
      </c>
      <c r="E2445" t="s">
        <v>85</v>
      </c>
      <c r="F2445" t="s">
        <v>20</v>
      </c>
      <c r="G2445" t="s">
        <v>650</v>
      </c>
      <c r="H2445" s="1">
        <v>45412.42083333333</v>
      </c>
      <c r="I2445" s="1">
        <v>45412.476388888892</v>
      </c>
      <c r="J2445">
        <v>41</v>
      </c>
      <c r="K2445">
        <v>80</v>
      </c>
      <c r="L2445">
        <v>1</v>
      </c>
      <c r="M2445" t="s">
        <v>41</v>
      </c>
      <c r="N2445">
        <v>8</v>
      </c>
      <c r="O2445">
        <v>385.19</v>
      </c>
    </row>
    <row r="2446" spans="1:15" x14ac:dyDescent="0.35">
      <c r="A2446" t="s">
        <v>5075</v>
      </c>
      <c r="B2446" t="s">
        <v>24</v>
      </c>
      <c r="C2446" t="s">
        <v>5076</v>
      </c>
      <c r="D2446" t="s">
        <v>56</v>
      </c>
      <c r="E2446" t="s">
        <v>19</v>
      </c>
      <c r="F2446" t="s">
        <v>20</v>
      </c>
      <c r="G2446" t="s">
        <v>251</v>
      </c>
      <c r="H2446" s="1">
        <v>45465.179166666669</v>
      </c>
      <c r="I2446" s="1">
        <v>45465.210416666669</v>
      </c>
      <c r="J2446">
        <v>42</v>
      </c>
      <c r="K2446">
        <v>45</v>
      </c>
      <c r="L2446">
        <v>1</v>
      </c>
      <c r="M2446" t="s">
        <v>22</v>
      </c>
      <c r="N2446">
        <v>9</v>
      </c>
      <c r="O2446">
        <v>355.78</v>
      </c>
    </row>
    <row r="2447" spans="1:15" x14ac:dyDescent="0.35">
      <c r="A2447" t="s">
        <v>5077</v>
      </c>
      <c r="B2447" t="s">
        <v>63</v>
      </c>
      <c r="C2447" t="s">
        <v>5078</v>
      </c>
      <c r="D2447" t="s">
        <v>44</v>
      </c>
      <c r="E2447" t="s">
        <v>33</v>
      </c>
      <c r="F2447" t="s">
        <v>27</v>
      </c>
      <c r="G2447" t="s">
        <v>512</v>
      </c>
      <c r="H2447" s="1">
        <v>45465.363888888889</v>
      </c>
      <c r="I2447" s="1">
        <v>45465.383333333331</v>
      </c>
      <c r="J2447">
        <v>26</v>
      </c>
      <c r="K2447">
        <v>28</v>
      </c>
      <c r="L2447">
        <v>1</v>
      </c>
      <c r="M2447" t="s">
        <v>41</v>
      </c>
      <c r="N2447">
        <v>4</v>
      </c>
      <c r="O2447">
        <v>379.08</v>
      </c>
    </row>
    <row r="2448" spans="1:15" x14ac:dyDescent="0.35">
      <c r="A2448" t="s">
        <v>5079</v>
      </c>
      <c r="B2448" t="s">
        <v>24</v>
      </c>
      <c r="C2448" t="s">
        <v>5080</v>
      </c>
      <c r="D2448" t="s">
        <v>18</v>
      </c>
      <c r="E2448" t="s">
        <v>38</v>
      </c>
      <c r="F2448" t="s">
        <v>39</v>
      </c>
      <c r="G2448" t="s">
        <v>210</v>
      </c>
      <c r="H2448" s="1">
        <v>45489.15347222222</v>
      </c>
      <c r="I2448" s="1">
        <v>45489.328472222223</v>
      </c>
      <c r="J2448">
        <v>226</v>
      </c>
      <c r="K2448">
        <v>252</v>
      </c>
      <c r="L2448">
        <v>1</v>
      </c>
      <c r="M2448" t="s">
        <v>29</v>
      </c>
      <c r="N2448">
        <v>6</v>
      </c>
      <c r="O2448">
        <v>281.19</v>
      </c>
    </row>
    <row r="2449" spans="1:15" x14ac:dyDescent="0.35">
      <c r="A2449" t="s">
        <v>5081</v>
      </c>
      <c r="B2449" t="s">
        <v>51</v>
      </c>
      <c r="C2449" t="s">
        <v>5082</v>
      </c>
      <c r="D2449" t="s">
        <v>56</v>
      </c>
      <c r="E2449" t="s">
        <v>19</v>
      </c>
      <c r="F2449" t="s">
        <v>27</v>
      </c>
      <c r="G2449" t="s">
        <v>577</v>
      </c>
      <c r="H2449" s="1">
        <v>45440.295138888891</v>
      </c>
      <c r="I2449" s="1">
        <v>45440.49722222222</v>
      </c>
      <c r="J2449">
        <v>211</v>
      </c>
      <c r="K2449">
        <v>291</v>
      </c>
      <c r="L2449">
        <v>1</v>
      </c>
      <c r="M2449" t="s">
        <v>22</v>
      </c>
      <c r="N2449">
        <v>8</v>
      </c>
      <c r="O2449">
        <v>435.03</v>
      </c>
    </row>
    <row r="2450" spans="1:15" x14ac:dyDescent="0.35">
      <c r="A2450" t="s">
        <v>5083</v>
      </c>
      <c r="B2450" t="s">
        <v>16</v>
      </c>
      <c r="C2450" t="s">
        <v>5084</v>
      </c>
      <c r="D2450" t="s">
        <v>56</v>
      </c>
      <c r="E2450" t="s">
        <v>19</v>
      </c>
      <c r="F2450" t="s">
        <v>20</v>
      </c>
      <c r="G2450" t="s">
        <v>114</v>
      </c>
      <c r="H2450" s="1">
        <v>45348.635416666664</v>
      </c>
      <c r="I2450" s="1">
        <v>45348.831250000003</v>
      </c>
      <c r="J2450">
        <v>228</v>
      </c>
      <c r="K2450">
        <v>282</v>
      </c>
      <c r="L2450">
        <v>1</v>
      </c>
      <c r="M2450" t="s">
        <v>29</v>
      </c>
      <c r="N2450">
        <v>7</v>
      </c>
      <c r="O2450">
        <v>128.79</v>
      </c>
    </row>
    <row r="2451" spans="1:15" x14ac:dyDescent="0.35">
      <c r="A2451" t="s">
        <v>5085</v>
      </c>
      <c r="B2451" t="s">
        <v>24</v>
      </c>
      <c r="C2451" t="s">
        <v>5086</v>
      </c>
      <c r="D2451" t="s">
        <v>56</v>
      </c>
      <c r="E2451" t="s">
        <v>33</v>
      </c>
      <c r="F2451" t="s">
        <v>57</v>
      </c>
      <c r="G2451" t="s">
        <v>359</v>
      </c>
      <c r="H2451" s="1">
        <v>45589.645833333336</v>
      </c>
      <c r="I2451" s="1">
        <v>45589.775000000001</v>
      </c>
      <c r="J2451">
        <v>68</v>
      </c>
      <c r="K2451">
        <v>186</v>
      </c>
      <c r="L2451">
        <v>1</v>
      </c>
      <c r="M2451" t="s">
        <v>41</v>
      </c>
      <c r="N2451">
        <v>1</v>
      </c>
      <c r="O2451">
        <v>112.92</v>
      </c>
    </row>
    <row r="2452" spans="1:15" x14ac:dyDescent="0.35">
      <c r="A2452" t="s">
        <v>5087</v>
      </c>
      <c r="B2452" t="s">
        <v>31</v>
      </c>
      <c r="C2452" t="s">
        <v>5088</v>
      </c>
      <c r="D2452" t="s">
        <v>48</v>
      </c>
      <c r="E2452" t="s">
        <v>38</v>
      </c>
      <c r="F2452" t="s">
        <v>27</v>
      </c>
      <c r="G2452" t="s">
        <v>228</v>
      </c>
      <c r="H2452" s="1">
        <v>45532.902777777781</v>
      </c>
      <c r="I2452" s="1">
        <v>45533.054861111108</v>
      </c>
      <c r="J2452">
        <v>124</v>
      </c>
      <c r="K2452">
        <v>219</v>
      </c>
      <c r="L2452">
        <v>1</v>
      </c>
      <c r="M2452" t="s">
        <v>41</v>
      </c>
      <c r="N2452">
        <v>6</v>
      </c>
      <c r="O2452">
        <v>494.56</v>
      </c>
    </row>
    <row r="2453" spans="1:15" x14ac:dyDescent="0.35">
      <c r="A2453" t="s">
        <v>5089</v>
      </c>
      <c r="B2453" t="s">
        <v>51</v>
      </c>
      <c r="C2453" t="s">
        <v>5090</v>
      </c>
      <c r="D2453" t="s">
        <v>48</v>
      </c>
      <c r="E2453" t="s">
        <v>19</v>
      </c>
      <c r="F2453" t="s">
        <v>34</v>
      </c>
      <c r="G2453" t="s">
        <v>126</v>
      </c>
      <c r="H2453" s="1">
        <v>45543.603472222225</v>
      </c>
      <c r="I2453" s="1">
        <v>45543.765972222223</v>
      </c>
      <c r="J2453">
        <v>179</v>
      </c>
      <c r="K2453">
        <v>234</v>
      </c>
      <c r="L2453">
        <v>1</v>
      </c>
      <c r="M2453" t="s">
        <v>22</v>
      </c>
      <c r="N2453">
        <v>8</v>
      </c>
      <c r="O2453">
        <v>189.43</v>
      </c>
    </row>
    <row r="2454" spans="1:15" x14ac:dyDescent="0.35">
      <c r="A2454" t="s">
        <v>5091</v>
      </c>
      <c r="B2454" t="s">
        <v>51</v>
      </c>
      <c r="C2454" t="s">
        <v>5092</v>
      </c>
      <c r="D2454" t="s">
        <v>56</v>
      </c>
      <c r="E2454" t="s">
        <v>33</v>
      </c>
      <c r="F2454" t="s">
        <v>34</v>
      </c>
      <c r="G2454" t="s">
        <v>316</v>
      </c>
      <c r="H2454" s="1">
        <v>45609.121527777781</v>
      </c>
      <c r="I2454" s="1">
        <v>45609.34375</v>
      </c>
      <c r="J2454">
        <v>209</v>
      </c>
      <c r="K2454">
        <v>320</v>
      </c>
      <c r="L2454">
        <v>1</v>
      </c>
      <c r="M2454" t="s">
        <v>29</v>
      </c>
      <c r="N2454">
        <v>3</v>
      </c>
      <c r="O2454">
        <v>96.71</v>
      </c>
    </row>
    <row r="2455" spans="1:15" x14ac:dyDescent="0.35">
      <c r="A2455" t="s">
        <v>5093</v>
      </c>
      <c r="B2455" t="s">
        <v>24</v>
      </c>
      <c r="C2455" t="s">
        <v>5094</v>
      </c>
      <c r="D2455" t="s">
        <v>48</v>
      </c>
      <c r="E2455" t="s">
        <v>38</v>
      </c>
      <c r="F2455" t="s">
        <v>27</v>
      </c>
      <c r="G2455" t="s">
        <v>1030</v>
      </c>
      <c r="H2455" s="1">
        <v>45437.361805555556</v>
      </c>
      <c r="I2455" s="1">
        <v>45437.570833333331</v>
      </c>
      <c r="J2455">
        <v>225</v>
      </c>
      <c r="K2455">
        <v>301</v>
      </c>
      <c r="L2455">
        <v>1</v>
      </c>
      <c r="M2455" t="s">
        <v>29</v>
      </c>
      <c r="N2455">
        <v>4</v>
      </c>
      <c r="O2455">
        <v>466.41</v>
      </c>
    </row>
    <row r="2456" spans="1:15" x14ac:dyDescent="0.35">
      <c r="A2456" t="s">
        <v>5095</v>
      </c>
      <c r="B2456" t="s">
        <v>63</v>
      </c>
      <c r="C2456" t="s">
        <v>5096</v>
      </c>
      <c r="D2456" t="s">
        <v>44</v>
      </c>
      <c r="E2456" t="s">
        <v>38</v>
      </c>
      <c r="F2456" t="s">
        <v>57</v>
      </c>
      <c r="G2456" t="s">
        <v>49</v>
      </c>
      <c r="H2456" s="1">
        <v>45444.039583333331</v>
      </c>
      <c r="I2456" s="1">
        <v>45444.140277777777</v>
      </c>
      <c r="J2456">
        <v>73</v>
      </c>
      <c r="K2456">
        <v>145</v>
      </c>
      <c r="L2456">
        <v>1</v>
      </c>
      <c r="M2456" t="s">
        <v>41</v>
      </c>
      <c r="N2456">
        <v>7</v>
      </c>
      <c r="O2456">
        <v>66.14</v>
      </c>
    </row>
    <row r="2457" spans="1:15" x14ac:dyDescent="0.35">
      <c r="A2457" t="s">
        <v>5097</v>
      </c>
      <c r="B2457" t="s">
        <v>16</v>
      </c>
      <c r="C2457" t="s">
        <v>5098</v>
      </c>
      <c r="D2457" t="s">
        <v>26</v>
      </c>
      <c r="E2457" t="s">
        <v>38</v>
      </c>
      <c r="F2457" t="s">
        <v>39</v>
      </c>
      <c r="G2457" t="s">
        <v>117</v>
      </c>
      <c r="H2457" s="1">
        <v>45532.122916666667</v>
      </c>
      <c r="I2457" s="1">
        <v>45532.204861111109</v>
      </c>
      <c r="J2457">
        <v>102</v>
      </c>
      <c r="K2457">
        <v>118</v>
      </c>
      <c r="L2457">
        <v>1</v>
      </c>
      <c r="M2457" t="s">
        <v>29</v>
      </c>
      <c r="N2457">
        <v>4</v>
      </c>
      <c r="O2457">
        <v>147.28</v>
      </c>
    </row>
    <row r="2458" spans="1:15" x14ac:dyDescent="0.35">
      <c r="A2458" t="s">
        <v>5099</v>
      </c>
      <c r="B2458" t="s">
        <v>63</v>
      </c>
      <c r="C2458" t="s">
        <v>5100</v>
      </c>
      <c r="D2458" t="s">
        <v>18</v>
      </c>
      <c r="E2458" t="s">
        <v>19</v>
      </c>
      <c r="F2458" t="s">
        <v>34</v>
      </c>
      <c r="G2458" t="s">
        <v>505</v>
      </c>
      <c r="H2458" s="1">
        <v>45604.697916666664</v>
      </c>
      <c r="I2458" s="1">
        <v>45604.82916666667</v>
      </c>
      <c r="J2458">
        <v>91</v>
      </c>
      <c r="K2458">
        <v>189</v>
      </c>
      <c r="L2458">
        <v>1</v>
      </c>
      <c r="M2458" t="s">
        <v>41</v>
      </c>
      <c r="N2458">
        <v>1</v>
      </c>
      <c r="O2458">
        <v>194.22</v>
      </c>
    </row>
    <row r="2459" spans="1:15" x14ac:dyDescent="0.35">
      <c r="A2459" t="s">
        <v>5101</v>
      </c>
      <c r="B2459" t="s">
        <v>63</v>
      </c>
      <c r="C2459" t="s">
        <v>5102</v>
      </c>
      <c r="D2459" t="s">
        <v>26</v>
      </c>
      <c r="E2459" t="s">
        <v>33</v>
      </c>
      <c r="F2459" t="s">
        <v>57</v>
      </c>
      <c r="G2459" t="s">
        <v>754</v>
      </c>
      <c r="H2459" s="1">
        <v>45374.834722222222</v>
      </c>
      <c r="I2459" s="1">
        <v>45375.05</v>
      </c>
      <c r="J2459">
        <v>224</v>
      </c>
      <c r="K2459">
        <v>310</v>
      </c>
      <c r="L2459">
        <v>1</v>
      </c>
      <c r="M2459" t="s">
        <v>22</v>
      </c>
      <c r="N2459">
        <v>10</v>
      </c>
      <c r="O2459">
        <v>223.12</v>
      </c>
    </row>
    <row r="2460" spans="1:15" x14ac:dyDescent="0.35">
      <c r="A2460" t="s">
        <v>5103</v>
      </c>
      <c r="B2460" t="s">
        <v>51</v>
      </c>
      <c r="C2460" t="s">
        <v>5104</v>
      </c>
      <c r="D2460" t="s">
        <v>56</v>
      </c>
      <c r="E2460" t="s">
        <v>33</v>
      </c>
      <c r="F2460" t="s">
        <v>34</v>
      </c>
      <c r="G2460" t="s">
        <v>149</v>
      </c>
      <c r="H2460" s="1">
        <v>45433.214583333334</v>
      </c>
      <c r="I2460" s="1">
        <v>45433.302083333336</v>
      </c>
      <c r="J2460">
        <v>83</v>
      </c>
      <c r="K2460">
        <v>126</v>
      </c>
      <c r="L2460">
        <v>1</v>
      </c>
      <c r="M2460" t="s">
        <v>22</v>
      </c>
      <c r="N2460">
        <v>5</v>
      </c>
      <c r="O2460">
        <v>159.41</v>
      </c>
    </row>
    <row r="2461" spans="1:15" x14ac:dyDescent="0.35">
      <c r="A2461" t="s">
        <v>5105</v>
      </c>
      <c r="B2461" t="s">
        <v>31</v>
      </c>
      <c r="C2461" t="s">
        <v>5106</v>
      </c>
      <c r="D2461" t="s">
        <v>44</v>
      </c>
      <c r="E2461" t="s">
        <v>19</v>
      </c>
      <c r="F2461" t="s">
        <v>57</v>
      </c>
      <c r="G2461" t="s">
        <v>94</v>
      </c>
      <c r="H2461" s="1">
        <v>45340.414583333331</v>
      </c>
      <c r="I2461" s="1">
        <v>45340.582638888889</v>
      </c>
      <c r="J2461">
        <v>139</v>
      </c>
      <c r="K2461">
        <v>242</v>
      </c>
      <c r="L2461">
        <v>1</v>
      </c>
      <c r="M2461" t="s">
        <v>41</v>
      </c>
      <c r="N2461">
        <v>3</v>
      </c>
      <c r="O2461">
        <v>210.84</v>
      </c>
    </row>
    <row r="2462" spans="1:15" x14ac:dyDescent="0.35">
      <c r="A2462" t="s">
        <v>5107</v>
      </c>
      <c r="B2462" t="s">
        <v>31</v>
      </c>
      <c r="C2462" t="s">
        <v>5108</v>
      </c>
      <c r="D2462" t="s">
        <v>26</v>
      </c>
      <c r="E2462" t="s">
        <v>33</v>
      </c>
      <c r="F2462" t="s">
        <v>57</v>
      </c>
      <c r="G2462" t="s">
        <v>512</v>
      </c>
      <c r="H2462" s="1">
        <v>45619.352083333331</v>
      </c>
      <c r="I2462" s="1">
        <v>45619.5</v>
      </c>
      <c r="J2462">
        <v>140</v>
      </c>
      <c r="K2462">
        <v>213</v>
      </c>
      <c r="L2462">
        <v>1</v>
      </c>
      <c r="M2462" t="s">
        <v>22</v>
      </c>
      <c r="N2462">
        <v>6</v>
      </c>
      <c r="O2462">
        <v>249.5</v>
      </c>
    </row>
    <row r="2463" spans="1:15" x14ac:dyDescent="0.35">
      <c r="A2463" t="s">
        <v>5109</v>
      </c>
      <c r="B2463" t="s">
        <v>16</v>
      </c>
      <c r="C2463" t="s">
        <v>5110</v>
      </c>
      <c r="D2463" t="s">
        <v>44</v>
      </c>
      <c r="E2463" t="s">
        <v>33</v>
      </c>
      <c r="F2463" t="s">
        <v>57</v>
      </c>
      <c r="G2463" t="s">
        <v>415</v>
      </c>
      <c r="H2463" s="1">
        <v>45375.697222222225</v>
      </c>
      <c r="I2463" s="1">
        <v>45375.870833333334</v>
      </c>
      <c r="J2463">
        <v>140</v>
      </c>
      <c r="K2463">
        <v>250</v>
      </c>
      <c r="L2463">
        <v>1</v>
      </c>
      <c r="M2463" t="s">
        <v>29</v>
      </c>
      <c r="N2463">
        <v>7</v>
      </c>
      <c r="O2463">
        <v>291.73</v>
      </c>
    </row>
    <row r="2464" spans="1:15" x14ac:dyDescent="0.35">
      <c r="A2464" t="s">
        <v>5111</v>
      </c>
      <c r="B2464" t="s">
        <v>51</v>
      </c>
      <c r="C2464" t="s">
        <v>5112</v>
      </c>
      <c r="D2464" t="s">
        <v>56</v>
      </c>
      <c r="E2464" t="s">
        <v>19</v>
      </c>
      <c r="F2464" t="s">
        <v>20</v>
      </c>
      <c r="G2464" t="s">
        <v>445</v>
      </c>
      <c r="H2464" s="1">
        <v>45404.512499999997</v>
      </c>
      <c r="I2464" s="1">
        <v>45404.617361111108</v>
      </c>
      <c r="J2464">
        <v>73</v>
      </c>
      <c r="K2464">
        <v>151</v>
      </c>
      <c r="L2464">
        <v>1</v>
      </c>
      <c r="M2464" t="s">
        <v>41</v>
      </c>
      <c r="N2464">
        <v>3</v>
      </c>
      <c r="O2464">
        <v>285.32</v>
      </c>
    </row>
    <row r="2465" spans="1:15" x14ac:dyDescent="0.35">
      <c r="A2465" t="s">
        <v>5113</v>
      </c>
      <c r="B2465" t="s">
        <v>31</v>
      </c>
      <c r="C2465" t="s">
        <v>5114</v>
      </c>
      <c r="D2465" t="s">
        <v>48</v>
      </c>
      <c r="E2465" t="s">
        <v>85</v>
      </c>
      <c r="F2465" t="s">
        <v>57</v>
      </c>
      <c r="G2465" t="s">
        <v>916</v>
      </c>
      <c r="H2465" s="1">
        <v>45339.07916666667</v>
      </c>
      <c r="I2465" s="1">
        <v>45339.194444444445</v>
      </c>
      <c r="J2465">
        <v>159</v>
      </c>
      <c r="K2465">
        <v>166</v>
      </c>
      <c r="L2465">
        <v>1</v>
      </c>
      <c r="M2465" t="s">
        <v>41</v>
      </c>
      <c r="N2465">
        <v>9</v>
      </c>
      <c r="O2465">
        <v>310.43</v>
      </c>
    </row>
    <row r="2466" spans="1:15" x14ac:dyDescent="0.35">
      <c r="A2466" t="s">
        <v>5115</v>
      </c>
      <c r="B2466" t="s">
        <v>63</v>
      </c>
      <c r="C2466" t="s">
        <v>5116</v>
      </c>
      <c r="D2466" t="s">
        <v>56</v>
      </c>
      <c r="E2466" t="s">
        <v>19</v>
      </c>
      <c r="F2466" t="s">
        <v>27</v>
      </c>
      <c r="G2466" t="s">
        <v>599</v>
      </c>
      <c r="H2466" s="1">
        <v>45542.561805555553</v>
      </c>
      <c r="I2466" s="1">
        <v>45542.716666666667</v>
      </c>
      <c r="J2466">
        <v>207</v>
      </c>
      <c r="K2466">
        <v>223</v>
      </c>
      <c r="L2466">
        <v>1</v>
      </c>
      <c r="M2466" t="s">
        <v>29</v>
      </c>
      <c r="N2466">
        <v>1</v>
      </c>
      <c r="O2466">
        <v>251.88</v>
      </c>
    </row>
    <row r="2467" spans="1:15" x14ac:dyDescent="0.35">
      <c r="A2467" t="s">
        <v>5117</v>
      </c>
      <c r="B2467" t="s">
        <v>16</v>
      </c>
      <c r="C2467" t="s">
        <v>5118</v>
      </c>
      <c r="D2467" t="s">
        <v>56</v>
      </c>
      <c r="E2467" t="s">
        <v>33</v>
      </c>
      <c r="F2467" t="s">
        <v>39</v>
      </c>
      <c r="G2467" t="s">
        <v>100</v>
      </c>
      <c r="H2467" s="1">
        <v>45292.231249999997</v>
      </c>
      <c r="I2467" s="1">
        <v>45292.373611111114</v>
      </c>
      <c r="J2467">
        <v>112</v>
      </c>
      <c r="K2467">
        <v>205</v>
      </c>
      <c r="L2467">
        <v>1</v>
      </c>
      <c r="M2467" t="s">
        <v>29</v>
      </c>
      <c r="N2467">
        <v>4</v>
      </c>
      <c r="O2467">
        <v>302.47000000000003</v>
      </c>
    </row>
    <row r="2468" spans="1:15" x14ac:dyDescent="0.35">
      <c r="A2468" t="s">
        <v>5119</v>
      </c>
      <c r="B2468" t="s">
        <v>24</v>
      </c>
      <c r="C2468" t="s">
        <v>5120</v>
      </c>
      <c r="D2468" t="s">
        <v>56</v>
      </c>
      <c r="E2468" t="s">
        <v>19</v>
      </c>
      <c r="F2468" t="s">
        <v>57</v>
      </c>
      <c r="G2468" t="s">
        <v>170</v>
      </c>
      <c r="H2468" s="1">
        <v>45492.645138888889</v>
      </c>
      <c r="I2468" s="1">
        <v>45492.681944444441</v>
      </c>
      <c r="J2468">
        <v>33</v>
      </c>
      <c r="K2468">
        <v>53</v>
      </c>
      <c r="L2468">
        <v>1</v>
      </c>
      <c r="M2468" t="s">
        <v>29</v>
      </c>
      <c r="N2468">
        <v>8</v>
      </c>
      <c r="O2468">
        <v>369.76</v>
      </c>
    </row>
    <row r="2469" spans="1:15" x14ac:dyDescent="0.35">
      <c r="A2469" t="s">
        <v>5121</v>
      </c>
      <c r="B2469" t="s">
        <v>51</v>
      </c>
      <c r="C2469" t="s">
        <v>5122</v>
      </c>
      <c r="D2469" t="s">
        <v>26</v>
      </c>
      <c r="E2469" t="s">
        <v>38</v>
      </c>
      <c r="F2469" t="s">
        <v>39</v>
      </c>
      <c r="G2469" t="s">
        <v>293</v>
      </c>
      <c r="H2469" s="1">
        <v>45556.498611111114</v>
      </c>
      <c r="I2469" s="1">
        <v>45556.655555555553</v>
      </c>
      <c r="J2469">
        <v>119</v>
      </c>
      <c r="K2469">
        <v>226</v>
      </c>
      <c r="L2469">
        <v>1</v>
      </c>
      <c r="M2469" t="s">
        <v>41</v>
      </c>
      <c r="N2469">
        <v>8</v>
      </c>
      <c r="O2469">
        <v>69.72</v>
      </c>
    </row>
    <row r="2470" spans="1:15" x14ac:dyDescent="0.35">
      <c r="A2470" t="s">
        <v>5123</v>
      </c>
      <c r="B2470" t="s">
        <v>24</v>
      </c>
      <c r="C2470" t="s">
        <v>5124</v>
      </c>
      <c r="D2470" t="s">
        <v>44</v>
      </c>
      <c r="E2470" t="s">
        <v>85</v>
      </c>
      <c r="F2470" t="s">
        <v>20</v>
      </c>
      <c r="G2470" t="s">
        <v>343</v>
      </c>
      <c r="H2470" s="1">
        <v>45301.736805555556</v>
      </c>
      <c r="I2470" s="1">
        <v>45301.802777777775</v>
      </c>
      <c r="J2470">
        <v>80</v>
      </c>
      <c r="K2470">
        <v>95</v>
      </c>
      <c r="L2470">
        <v>1</v>
      </c>
      <c r="M2470" t="s">
        <v>29</v>
      </c>
      <c r="N2470">
        <v>9</v>
      </c>
      <c r="O2470">
        <v>172.08</v>
      </c>
    </row>
    <row r="2471" spans="1:15" x14ac:dyDescent="0.35">
      <c r="A2471" t="s">
        <v>5125</v>
      </c>
      <c r="B2471" t="s">
        <v>31</v>
      </c>
      <c r="C2471" t="s">
        <v>5126</v>
      </c>
      <c r="D2471" t="s">
        <v>44</v>
      </c>
      <c r="E2471" t="s">
        <v>38</v>
      </c>
      <c r="F2471" t="s">
        <v>20</v>
      </c>
      <c r="G2471" t="s">
        <v>1622</v>
      </c>
      <c r="H2471" s="1">
        <v>45637.027083333334</v>
      </c>
      <c r="I2471" s="1">
        <v>45637.057638888888</v>
      </c>
      <c r="J2471">
        <v>30</v>
      </c>
      <c r="K2471">
        <v>44</v>
      </c>
      <c r="L2471">
        <v>1</v>
      </c>
      <c r="M2471" t="s">
        <v>29</v>
      </c>
      <c r="N2471">
        <v>10</v>
      </c>
      <c r="O2471">
        <v>466.67</v>
      </c>
    </row>
    <row r="2472" spans="1:15" x14ac:dyDescent="0.35">
      <c r="A2472" t="s">
        <v>5127</v>
      </c>
      <c r="B2472" t="s">
        <v>16</v>
      </c>
      <c r="C2472" t="s">
        <v>5128</v>
      </c>
      <c r="D2472" t="s">
        <v>18</v>
      </c>
      <c r="E2472" t="s">
        <v>19</v>
      </c>
      <c r="F2472" t="s">
        <v>20</v>
      </c>
      <c r="G2472" t="s">
        <v>188</v>
      </c>
      <c r="H2472" s="1">
        <v>45363.833333333336</v>
      </c>
      <c r="I2472" s="1">
        <v>45364.034722222219</v>
      </c>
      <c r="J2472">
        <v>220</v>
      </c>
      <c r="K2472">
        <v>290</v>
      </c>
      <c r="L2472">
        <v>1</v>
      </c>
      <c r="M2472" t="s">
        <v>22</v>
      </c>
      <c r="N2472">
        <v>7</v>
      </c>
      <c r="O2472">
        <v>430.08</v>
      </c>
    </row>
    <row r="2473" spans="1:15" x14ac:dyDescent="0.35">
      <c r="A2473" t="s">
        <v>5129</v>
      </c>
      <c r="B2473" t="s">
        <v>16</v>
      </c>
      <c r="C2473" t="s">
        <v>5130</v>
      </c>
      <c r="D2473" t="s">
        <v>26</v>
      </c>
      <c r="E2473" t="s">
        <v>33</v>
      </c>
      <c r="F2473" t="s">
        <v>27</v>
      </c>
      <c r="G2473" t="s">
        <v>210</v>
      </c>
      <c r="H2473" s="1">
        <v>45304.727777777778</v>
      </c>
      <c r="I2473" s="1">
        <v>45304.915972222225</v>
      </c>
      <c r="J2473">
        <v>173</v>
      </c>
      <c r="K2473">
        <v>271</v>
      </c>
      <c r="L2473">
        <v>1</v>
      </c>
      <c r="M2473" t="s">
        <v>29</v>
      </c>
      <c r="N2473">
        <v>7</v>
      </c>
      <c r="O2473">
        <v>135.05000000000001</v>
      </c>
    </row>
    <row r="2474" spans="1:15" x14ac:dyDescent="0.35">
      <c r="A2474" t="s">
        <v>5131</v>
      </c>
      <c r="B2474" t="s">
        <v>31</v>
      </c>
      <c r="C2474" t="s">
        <v>5132</v>
      </c>
      <c r="D2474" t="s">
        <v>26</v>
      </c>
      <c r="E2474" t="s">
        <v>19</v>
      </c>
      <c r="F2474" t="s">
        <v>39</v>
      </c>
      <c r="G2474" t="s">
        <v>237</v>
      </c>
      <c r="H2474" s="1">
        <v>45342.966666666667</v>
      </c>
      <c r="I2474" s="1">
        <v>45343.052083333336</v>
      </c>
      <c r="J2474">
        <v>113</v>
      </c>
      <c r="K2474">
        <v>123</v>
      </c>
      <c r="L2474">
        <v>1</v>
      </c>
      <c r="M2474" t="s">
        <v>41</v>
      </c>
      <c r="N2474">
        <v>9</v>
      </c>
      <c r="O2474">
        <v>385.35</v>
      </c>
    </row>
    <row r="2475" spans="1:15" x14ac:dyDescent="0.35">
      <c r="A2475" t="s">
        <v>5133</v>
      </c>
      <c r="B2475" t="s">
        <v>24</v>
      </c>
      <c r="C2475" t="s">
        <v>5134</v>
      </c>
      <c r="D2475" t="s">
        <v>44</v>
      </c>
      <c r="E2475" t="s">
        <v>85</v>
      </c>
      <c r="F2475" t="s">
        <v>57</v>
      </c>
      <c r="G2475" t="s">
        <v>594</v>
      </c>
      <c r="H2475" s="1">
        <v>45430.823611111111</v>
      </c>
      <c r="I2475" s="1">
        <v>45430.947916666664</v>
      </c>
      <c r="J2475">
        <v>184</v>
      </c>
      <c r="K2475">
        <v>179</v>
      </c>
      <c r="L2475">
        <v>0</v>
      </c>
      <c r="M2475" t="s">
        <v>41</v>
      </c>
      <c r="N2475">
        <v>4</v>
      </c>
      <c r="O2475">
        <v>210.66</v>
      </c>
    </row>
    <row r="2476" spans="1:15" x14ac:dyDescent="0.35">
      <c r="A2476" t="s">
        <v>5135</v>
      </c>
      <c r="B2476" t="s">
        <v>16</v>
      </c>
      <c r="C2476" t="s">
        <v>5136</v>
      </c>
      <c r="D2476" t="s">
        <v>44</v>
      </c>
      <c r="E2476" t="s">
        <v>19</v>
      </c>
      <c r="F2476" t="s">
        <v>39</v>
      </c>
      <c r="G2476" t="s">
        <v>53</v>
      </c>
      <c r="H2476" s="1">
        <v>45430.114583333336</v>
      </c>
      <c r="I2476" s="1">
        <v>45430.331944444442</v>
      </c>
      <c r="J2476">
        <v>224</v>
      </c>
      <c r="K2476">
        <v>313</v>
      </c>
      <c r="L2476">
        <v>1</v>
      </c>
      <c r="M2476" t="s">
        <v>29</v>
      </c>
      <c r="N2476">
        <v>7</v>
      </c>
      <c r="O2476">
        <v>68.540000000000006</v>
      </c>
    </row>
    <row r="2477" spans="1:15" x14ac:dyDescent="0.35">
      <c r="A2477" t="s">
        <v>5137</v>
      </c>
      <c r="B2477" t="s">
        <v>16</v>
      </c>
      <c r="C2477" t="s">
        <v>5138</v>
      </c>
      <c r="D2477" t="s">
        <v>44</v>
      </c>
      <c r="E2477" t="s">
        <v>33</v>
      </c>
      <c r="F2477" t="s">
        <v>34</v>
      </c>
      <c r="G2477" t="s">
        <v>1413</v>
      </c>
      <c r="H2477" s="1">
        <v>45379.967361111114</v>
      </c>
      <c r="I2477" s="1">
        <v>45380.070138888892</v>
      </c>
      <c r="J2477">
        <v>71</v>
      </c>
      <c r="K2477">
        <v>148</v>
      </c>
      <c r="L2477">
        <v>1</v>
      </c>
      <c r="M2477" t="s">
        <v>41</v>
      </c>
      <c r="N2477">
        <v>2</v>
      </c>
      <c r="O2477">
        <v>233.12</v>
      </c>
    </row>
    <row r="2478" spans="1:15" x14ac:dyDescent="0.35">
      <c r="A2478" t="s">
        <v>5139</v>
      </c>
      <c r="B2478" t="s">
        <v>24</v>
      </c>
      <c r="C2478" t="s">
        <v>5140</v>
      </c>
      <c r="D2478" t="s">
        <v>26</v>
      </c>
      <c r="E2478" t="s">
        <v>38</v>
      </c>
      <c r="F2478" t="s">
        <v>20</v>
      </c>
      <c r="G2478" t="s">
        <v>777</v>
      </c>
      <c r="H2478" s="1">
        <v>45321.502083333333</v>
      </c>
      <c r="I2478" s="1">
        <v>45321.65902777778</v>
      </c>
      <c r="J2478">
        <v>214</v>
      </c>
      <c r="K2478">
        <v>226</v>
      </c>
      <c r="L2478">
        <v>1</v>
      </c>
      <c r="M2478" t="s">
        <v>41</v>
      </c>
      <c r="N2478">
        <v>1</v>
      </c>
      <c r="O2478">
        <v>204.34</v>
      </c>
    </row>
    <row r="2479" spans="1:15" x14ac:dyDescent="0.35">
      <c r="A2479" t="s">
        <v>5141</v>
      </c>
      <c r="B2479" t="s">
        <v>31</v>
      </c>
      <c r="C2479" t="s">
        <v>5142</v>
      </c>
      <c r="D2479" t="s">
        <v>44</v>
      </c>
      <c r="E2479" t="s">
        <v>33</v>
      </c>
      <c r="F2479" t="s">
        <v>39</v>
      </c>
      <c r="G2479" t="s">
        <v>204</v>
      </c>
      <c r="H2479" s="1">
        <v>45486.243055555555</v>
      </c>
      <c r="I2479" s="1">
        <v>45486.301388888889</v>
      </c>
      <c r="J2479">
        <v>60</v>
      </c>
      <c r="K2479">
        <v>84</v>
      </c>
      <c r="L2479">
        <v>1</v>
      </c>
      <c r="M2479" t="s">
        <v>41</v>
      </c>
      <c r="N2479">
        <v>1</v>
      </c>
      <c r="O2479">
        <v>353.05</v>
      </c>
    </row>
    <row r="2480" spans="1:15" x14ac:dyDescent="0.35">
      <c r="A2480" t="s">
        <v>5143</v>
      </c>
      <c r="B2480" t="s">
        <v>16</v>
      </c>
      <c r="C2480" t="s">
        <v>5144</v>
      </c>
      <c r="D2480" t="s">
        <v>48</v>
      </c>
      <c r="E2480" t="s">
        <v>19</v>
      </c>
      <c r="F2480" t="s">
        <v>27</v>
      </c>
      <c r="G2480" t="s">
        <v>108</v>
      </c>
      <c r="H2480" s="1">
        <v>45563.200694444444</v>
      </c>
      <c r="I2480" s="1">
        <v>45563.442361111112</v>
      </c>
      <c r="J2480">
        <v>239</v>
      </c>
      <c r="K2480">
        <v>348</v>
      </c>
      <c r="L2480">
        <v>1</v>
      </c>
      <c r="M2480" t="s">
        <v>29</v>
      </c>
      <c r="N2480">
        <v>8</v>
      </c>
      <c r="O2480">
        <v>322.91000000000003</v>
      </c>
    </row>
    <row r="2481" spans="1:15" x14ac:dyDescent="0.35">
      <c r="A2481" t="s">
        <v>5145</v>
      </c>
      <c r="B2481" t="s">
        <v>16</v>
      </c>
      <c r="C2481" t="s">
        <v>5146</v>
      </c>
      <c r="D2481" t="s">
        <v>18</v>
      </c>
      <c r="E2481" t="s">
        <v>38</v>
      </c>
      <c r="F2481" t="s">
        <v>57</v>
      </c>
      <c r="G2481" t="s">
        <v>681</v>
      </c>
      <c r="H2481" s="1">
        <v>45536.017361111109</v>
      </c>
      <c r="I2481" s="1">
        <v>45536.165277777778</v>
      </c>
      <c r="J2481">
        <v>95</v>
      </c>
      <c r="K2481">
        <v>213</v>
      </c>
      <c r="L2481">
        <v>1</v>
      </c>
      <c r="M2481" t="s">
        <v>22</v>
      </c>
      <c r="N2481">
        <v>5</v>
      </c>
      <c r="O2481">
        <v>357.55</v>
      </c>
    </row>
    <row r="2482" spans="1:15" x14ac:dyDescent="0.35">
      <c r="A2482" t="s">
        <v>5147</v>
      </c>
      <c r="B2482" t="s">
        <v>24</v>
      </c>
      <c r="C2482" t="s">
        <v>5148</v>
      </c>
      <c r="D2482" t="s">
        <v>18</v>
      </c>
      <c r="E2482" t="s">
        <v>33</v>
      </c>
      <c r="F2482" t="s">
        <v>20</v>
      </c>
      <c r="G2482" t="s">
        <v>21</v>
      </c>
      <c r="H2482" s="1">
        <v>45357.821527777778</v>
      </c>
      <c r="I2482" s="1">
        <v>45358.00277777778</v>
      </c>
      <c r="J2482">
        <v>206</v>
      </c>
      <c r="K2482">
        <v>261</v>
      </c>
      <c r="L2482">
        <v>1</v>
      </c>
      <c r="M2482" t="s">
        <v>22</v>
      </c>
      <c r="N2482">
        <v>5</v>
      </c>
      <c r="O2482">
        <v>335.37</v>
      </c>
    </row>
    <row r="2483" spans="1:15" x14ac:dyDescent="0.35">
      <c r="A2483" t="s">
        <v>5149</v>
      </c>
      <c r="B2483" t="s">
        <v>24</v>
      </c>
      <c r="C2483" t="s">
        <v>5150</v>
      </c>
      <c r="D2483" t="s">
        <v>44</v>
      </c>
      <c r="E2483" t="s">
        <v>38</v>
      </c>
      <c r="F2483" t="s">
        <v>34</v>
      </c>
      <c r="G2483" t="s">
        <v>684</v>
      </c>
      <c r="H2483" s="1">
        <v>45597.285416666666</v>
      </c>
      <c r="I2483" s="1">
        <v>45597.454861111109</v>
      </c>
      <c r="J2483">
        <v>211</v>
      </c>
      <c r="K2483">
        <v>244</v>
      </c>
      <c r="L2483">
        <v>1</v>
      </c>
      <c r="M2483" t="s">
        <v>41</v>
      </c>
      <c r="N2483">
        <v>9</v>
      </c>
      <c r="O2483">
        <v>166.41</v>
      </c>
    </row>
    <row r="2484" spans="1:15" x14ac:dyDescent="0.35">
      <c r="A2484" t="s">
        <v>5151</v>
      </c>
      <c r="B2484" t="s">
        <v>24</v>
      </c>
      <c r="C2484" t="s">
        <v>5152</v>
      </c>
      <c r="D2484" t="s">
        <v>44</v>
      </c>
      <c r="E2484" t="s">
        <v>38</v>
      </c>
      <c r="F2484" t="s">
        <v>20</v>
      </c>
      <c r="G2484" t="s">
        <v>129</v>
      </c>
      <c r="H2484" s="1">
        <v>45295.136111111111</v>
      </c>
      <c r="I2484" s="1">
        <v>45295.240277777775</v>
      </c>
      <c r="J2484">
        <v>130</v>
      </c>
      <c r="K2484">
        <v>150</v>
      </c>
      <c r="L2484">
        <v>1</v>
      </c>
      <c r="M2484" t="s">
        <v>29</v>
      </c>
      <c r="N2484">
        <v>7</v>
      </c>
      <c r="O2484">
        <v>167.83</v>
      </c>
    </row>
    <row r="2485" spans="1:15" x14ac:dyDescent="0.35">
      <c r="A2485" t="s">
        <v>5153</v>
      </c>
      <c r="B2485" t="s">
        <v>24</v>
      </c>
      <c r="C2485" t="s">
        <v>5154</v>
      </c>
      <c r="D2485" t="s">
        <v>26</v>
      </c>
      <c r="E2485" t="s">
        <v>38</v>
      </c>
      <c r="F2485" t="s">
        <v>27</v>
      </c>
      <c r="G2485" t="s">
        <v>999</v>
      </c>
      <c r="H2485" s="1">
        <v>45645.970138888886</v>
      </c>
      <c r="I2485" s="1">
        <v>45646.138888888891</v>
      </c>
      <c r="J2485">
        <v>148</v>
      </c>
      <c r="K2485">
        <v>243</v>
      </c>
      <c r="L2485">
        <v>1</v>
      </c>
      <c r="M2485" t="s">
        <v>22</v>
      </c>
      <c r="N2485">
        <v>5</v>
      </c>
      <c r="O2485">
        <v>59.95</v>
      </c>
    </row>
    <row r="2486" spans="1:15" x14ac:dyDescent="0.35">
      <c r="A2486" t="s">
        <v>5155</v>
      </c>
      <c r="B2486" t="s">
        <v>24</v>
      </c>
      <c r="C2486" t="s">
        <v>5156</v>
      </c>
      <c r="D2486" t="s">
        <v>44</v>
      </c>
      <c r="E2486" t="s">
        <v>19</v>
      </c>
      <c r="F2486" t="s">
        <v>57</v>
      </c>
      <c r="G2486" t="s">
        <v>842</v>
      </c>
      <c r="H2486" s="1">
        <v>45520.375694444447</v>
      </c>
      <c r="I2486" s="1">
        <v>45520.532638888886</v>
      </c>
      <c r="J2486">
        <v>131</v>
      </c>
      <c r="K2486">
        <v>226</v>
      </c>
      <c r="L2486">
        <v>1</v>
      </c>
      <c r="M2486" t="s">
        <v>22</v>
      </c>
      <c r="N2486">
        <v>10</v>
      </c>
      <c r="O2486">
        <v>92.53</v>
      </c>
    </row>
    <row r="2487" spans="1:15" x14ac:dyDescent="0.35">
      <c r="A2487" t="s">
        <v>5157</v>
      </c>
      <c r="B2487" t="s">
        <v>51</v>
      </c>
      <c r="C2487" t="s">
        <v>5158</v>
      </c>
      <c r="D2487" t="s">
        <v>44</v>
      </c>
      <c r="E2487" t="s">
        <v>33</v>
      </c>
      <c r="F2487" t="s">
        <v>34</v>
      </c>
      <c r="G2487" t="s">
        <v>485</v>
      </c>
      <c r="H2487" s="1">
        <v>45305.40625</v>
      </c>
      <c r="I2487" s="1">
        <v>45305.578472222223</v>
      </c>
      <c r="J2487">
        <v>224</v>
      </c>
      <c r="K2487">
        <v>248</v>
      </c>
      <c r="L2487">
        <v>1</v>
      </c>
      <c r="M2487" t="s">
        <v>22</v>
      </c>
      <c r="N2487">
        <v>4</v>
      </c>
      <c r="O2487">
        <v>344.1</v>
      </c>
    </row>
    <row r="2488" spans="1:15" x14ac:dyDescent="0.35">
      <c r="A2488" t="s">
        <v>5159</v>
      </c>
      <c r="B2488" t="s">
        <v>63</v>
      </c>
      <c r="C2488" t="s">
        <v>5160</v>
      </c>
      <c r="D2488" t="s">
        <v>26</v>
      </c>
      <c r="E2488" t="s">
        <v>85</v>
      </c>
      <c r="F2488" t="s">
        <v>34</v>
      </c>
      <c r="G2488" t="s">
        <v>1413</v>
      </c>
      <c r="H2488" s="1">
        <v>45606.950694444444</v>
      </c>
      <c r="I2488" s="1">
        <v>45607.035416666666</v>
      </c>
      <c r="J2488">
        <v>45</v>
      </c>
      <c r="K2488">
        <v>122</v>
      </c>
      <c r="L2488">
        <v>1</v>
      </c>
      <c r="M2488" t="s">
        <v>29</v>
      </c>
      <c r="N2488">
        <v>5</v>
      </c>
      <c r="O2488">
        <v>298.33</v>
      </c>
    </row>
    <row r="2489" spans="1:15" x14ac:dyDescent="0.35">
      <c r="A2489" t="s">
        <v>5161</v>
      </c>
      <c r="B2489" t="s">
        <v>51</v>
      </c>
      <c r="C2489" t="s">
        <v>5162</v>
      </c>
      <c r="D2489" t="s">
        <v>44</v>
      </c>
      <c r="E2489" t="s">
        <v>33</v>
      </c>
      <c r="F2489" t="s">
        <v>20</v>
      </c>
      <c r="G2489" t="s">
        <v>842</v>
      </c>
      <c r="H2489" s="1">
        <v>45489.268055555556</v>
      </c>
      <c r="I2489" s="1">
        <v>45489.331944444442</v>
      </c>
      <c r="J2489">
        <v>48</v>
      </c>
      <c r="K2489">
        <v>92</v>
      </c>
      <c r="L2489">
        <v>1</v>
      </c>
      <c r="M2489" t="s">
        <v>22</v>
      </c>
      <c r="N2489">
        <v>6</v>
      </c>
      <c r="O2489">
        <v>91.67</v>
      </c>
    </row>
    <row r="2490" spans="1:15" x14ac:dyDescent="0.35">
      <c r="A2490" t="s">
        <v>5163</v>
      </c>
      <c r="B2490" t="s">
        <v>51</v>
      </c>
      <c r="C2490" t="s">
        <v>5164</v>
      </c>
      <c r="D2490" t="s">
        <v>44</v>
      </c>
      <c r="E2490" t="s">
        <v>38</v>
      </c>
      <c r="F2490" t="s">
        <v>34</v>
      </c>
      <c r="G2490" t="s">
        <v>397</v>
      </c>
      <c r="H2490" s="1">
        <v>45347.01458333333</v>
      </c>
      <c r="I2490" s="1">
        <v>45347.196527777778</v>
      </c>
      <c r="J2490">
        <v>186</v>
      </c>
      <c r="K2490">
        <v>262</v>
      </c>
      <c r="L2490">
        <v>1</v>
      </c>
      <c r="M2490" t="s">
        <v>29</v>
      </c>
      <c r="N2490">
        <v>3</v>
      </c>
      <c r="O2490">
        <v>245</v>
      </c>
    </row>
    <row r="2491" spans="1:15" x14ac:dyDescent="0.35">
      <c r="A2491" t="s">
        <v>5165</v>
      </c>
      <c r="B2491" t="s">
        <v>51</v>
      </c>
      <c r="C2491" t="s">
        <v>5166</v>
      </c>
      <c r="D2491" t="s">
        <v>18</v>
      </c>
      <c r="E2491" t="s">
        <v>33</v>
      </c>
      <c r="F2491" t="s">
        <v>39</v>
      </c>
      <c r="G2491" t="s">
        <v>410</v>
      </c>
      <c r="H2491" s="1">
        <v>45305.17083333333</v>
      </c>
      <c r="I2491" s="1">
        <v>45305.306250000001</v>
      </c>
      <c r="J2491">
        <v>128</v>
      </c>
      <c r="K2491">
        <v>195</v>
      </c>
      <c r="L2491">
        <v>1</v>
      </c>
      <c r="M2491" t="s">
        <v>22</v>
      </c>
      <c r="N2491">
        <v>10</v>
      </c>
      <c r="O2491">
        <v>473.13</v>
      </c>
    </row>
    <row r="2492" spans="1:15" x14ac:dyDescent="0.35">
      <c r="A2492" t="s">
        <v>5167</v>
      </c>
      <c r="B2492" t="s">
        <v>24</v>
      </c>
      <c r="C2492" t="s">
        <v>5168</v>
      </c>
      <c r="D2492" t="s">
        <v>44</v>
      </c>
      <c r="E2492" t="s">
        <v>85</v>
      </c>
      <c r="F2492" t="s">
        <v>57</v>
      </c>
      <c r="G2492" t="s">
        <v>650</v>
      </c>
      <c r="H2492" s="1">
        <v>45550.708333333336</v>
      </c>
      <c r="I2492" s="1">
        <v>45550.797222222223</v>
      </c>
      <c r="J2492">
        <v>38</v>
      </c>
      <c r="K2492">
        <v>128</v>
      </c>
      <c r="L2492">
        <v>1</v>
      </c>
      <c r="M2492" t="s">
        <v>29</v>
      </c>
      <c r="N2492">
        <v>8</v>
      </c>
      <c r="O2492">
        <v>110.51</v>
      </c>
    </row>
    <row r="2493" spans="1:15" x14ac:dyDescent="0.35">
      <c r="A2493" t="s">
        <v>5169</v>
      </c>
      <c r="B2493" t="s">
        <v>51</v>
      </c>
      <c r="C2493" t="s">
        <v>5170</v>
      </c>
      <c r="D2493" t="s">
        <v>48</v>
      </c>
      <c r="E2493" t="s">
        <v>38</v>
      </c>
      <c r="F2493" t="s">
        <v>27</v>
      </c>
      <c r="G2493" t="s">
        <v>785</v>
      </c>
      <c r="H2493" s="1">
        <v>45340.67083333333</v>
      </c>
      <c r="I2493" s="1">
        <v>45340.804861111108</v>
      </c>
      <c r="J2493">
        <v>133</v>
      </c>
      <c r="K2493">
        <v>193</v>
      </c>
      <c r="L2493">
        <v>1</v>
      </c>
      <c r="M2493" t="s">
        <v>22</v>
      </c>
      <c r="N2493">
        <v>7</v>
      </c>
      <c r="O2493">
        <v>132.4</v>
      </c>
    </row>
    <row r="2494" spans="1:15" x14ac:dyDescent="0.35">
      <c r="A2494" t="s">
        <v>5171</v>
      </c>
      <c r="B2494" t="s">
        <v>24</v>
      </c>
      <c r="C2494" t="s">
        <v>5172</v>
      </c>
      <c r="D2494" t="s">
        <v>44</v>
      </c>
      <c r="E2494" t="s">
        <v>33</v>
      </c>
      <c r="F2494" t="s">
        <v>27</v>
      </c>
      <c r="G2494" t="s">
        <v>602</v>
      </c>
      <c r="H2494" s="1">
        <v>45396.039583333331</v>
      </c>
      <c r="I2494" s="1">
        <v>45396.115277777775</v>
      </c>
      <c r="J2494">
        <v>29</v>
      </c>
      <c r="K2494">
        <v>109</v>
      </c>
      <c r="L2494">
        <v>1</v>
      </c>
      <c r="M2494" t="s">
        <v>22</v>
      </c>
      <c r="N2494">
        <v>10</v>
      </c>
      <c r="O2494">
        <v>406.57</v>
      </c>
    </row>
    <row r="2495" spans="1:15" x14ac:dyDescent="0.35">
      <c r="A2495" t="s">
        <v>5173</v>
      </c>
      <c r="B2495" t="s">
        <v>16</v>
      </c>
      <c r="C2495" t="s">
        <v>5174</v>
      </c>
      <c r="D2495" t="s">
        <v>26</v>
      </c>
      <c r="E2495" t="s">
        <v>85</v>
      </c>
      <c r="F2495" t="s">
        <v>34</v>
      </c>
      <c r="G2495" t="s">
        <v>376</v>
      </c>
      <c r="H2495" s="1">
        <v>45639.663194444445</v>
      </c>
      <c r="I2495" s="1">
        <v>45639.803472222222</v>
      </c>
      <c r="J2495">
        <v>93</v>
      </c>
      <c r="K2495">
        <v>202</v>
      </c>
      <c r="L2495">
        <v>1</v>
      </c>
      <c r="M2495" t="s">
        <v>41</v>
      </c>
      <c r="N2495">
        <v>9</v>
      </c>
      <c r="O2495">
        <v>56.92</v>
      </c>
    </row>
    <row r="2496" spans="1:15" x14ac:dyDescent="0.35">
      <c r="A2496" t="s">
        <v>5175</v>
      </c>
      <c r="B2496" t="s">
        <v>16</v>
      </c>
      <c r="C2496" t="s">
        <v>5176</v>
      </c>
      <c r="D2496" t="s">
        <v>48</v>
      </c>
      <c r="E2496" t="s">
        <v>19</v>
      </c>
      <c r="F2496" t="s">
        <v>34</v>
      </c>
      <c r="G2496" t="s">
        <v>473</v>
      </c>
      <c r="H2496" s="1">
        <v>45314.401388888888</v>
      </c>
      <c r="I2496" s="1">
        <v>45314.454861111109</v>
      </c>
      <c r="J2496">
        <v>21</v>
      </c>
      <c r="K2496">
        <v>77</v>
      </c>
      <c r="L2496">
        <v>1</v>
      </c>
      <c r="M2496" t="s">
        <v>41</v>
      </c>
      <c r="N2496">
        <v>2</v>
      </c>
      <c r="O2496">
        <v>221.98</v>
      </c>
    </row>
    <row r="2497" spans="1:15" x14ac:dyDescent="0.35">
      <c r="A2497" t="s">
        <v>5177</v>
      </c>
      <c r="B2497" t="s">
        <v>24</v>
      </c>
      <c r="C2497" t="s">
        <v>5178</v>
      </c>
      <c r="D2497" t="s">
        <v>26</v>
      </c>
      <c r="E2497" t="s">
        <v>85</v>
      </c>
      <c r="F2497" t="s">
        <v>20</v>
      </c>
      <c r="G2497" t="s">
        <v>526</v>
      </c>
      <c r="H2497" s="1">
        <v>45320.408333333333</v>
      </c>
      <c r="I2497" s="1">
        <v>45320.456944444442</v>
      </c>
      <c r="J2497">
        <v>33</v>
      </c>
      <c r="K2497">
        <v>70</v>
      </c>
      <c r="L2497">
        <v>1</v>
      </c>
      <c r="M2497" t="s">
        <v>41</v>
      </c>
      <c r="N2497">
        <v>8</v>
      </c>
      <c r="O2497">
        <v>143.87</v>
      </c>
    </row>
    <row r="2498" spans="1:15" x14ac:dyDescent="0.35">
      <c r="A2498" t="s">
        <v>5179</v>
      </c>
      <c r="B2498" t="s">
        <v>24</v>
      </c>
      <c r="C2498" t="s">
        <v>5180</v>
      </c>
      <c r="D2498" t="s">
        <v>18</v>
      </c>
      <c r="E2498" t="s">
        <v>85</v>
      </c>
      <c r="F2498" t="s">
        <v>57</v>
      </c>
      <c r="G2498" t="s">
        <v>240</v>
      </c>
      <c r="H2498" s="1">
        <v>45412.240972222222</v>
      </c>
      <c r="I2498" s="1">
        <v>45412.416666666664</v>
      </c>
      <c r="J2498">
        <v>227</v>
      </c>
      <c r="K2498">
        <v>253</v>
      </c>
      <c r="L2498">
        <v>1</v>
      </c>
      <c r="M2498" t="s">
        <v>29</v>
      </c>
      <c r="N2498">
        <v>10</v>
      </c>
      <c r="O2498">
        <v>335.42</v>
      </c>
    </row>
    <row r="2499" spans="1:15" x14ac:dyDescent="0.35">
      <c r="A2499" t="s">
        <v>5181</v>
      </c>
      <c r="B2499" t="s">
        <v>63</v>
      </c>
      <c r="C2499" t="s">
        <v>5182</v>
      </c>
      <c r="D2499" t="s">
        <v>26</v>
      </c>
      <c r="E2499" t="s">
        <v>33</v>
      </c>
      <c r="F2499" t="s">
        <v>57</v>
      </c>
      <c r="G2499" t="s">
        <v>1278</v>
      </c>
      <c r="H2499" s="1">
        <v>45376.418055555558</v>
      </c>
      <c r="I2499" s="1">
        <v>45376.601388888892</v>
      </c>
      <c r="J2499">
        <v>167</v>
      </c>
      <c r="K2499">
        <v>264</v>
      </c>
      <c r="L2499">
        <v>1</v>
      </c>
      <c r="M2499" t="s">
        <v>29</v>
      </c>
      <c r="N2499">
        <v>4</v>
      </c>
      <c r="O2499">
        <v>451.91</v>
      </c>
    </row>
    <row r="2500" spans="1:15" x14ac:dyDescent="0.35">
      <c r="A2500" t="s">
        <v>5183</v>
      </c>
      <c r="B2500" t="s">
        <v>16</v>
      </c>
      <c r="C2500" t="s">
        <v>5184</v>
      </c>
      <c r="D2500" t="s">
        <v>48</v>
      </c>
      <c r="E2500" t="s">
        <v>33</v>
      </c>
      <c r="F2500" t="s">
        <v>57</v>
      </c>
      <c r="G2500" t="s">
        <v>817</v>
      </c>
      <c r="H2500" s="1">
        <v>45485.377083333333</v>
      </c>
      <c r="I2500" s="1">
        <v>45485.539583333331</v>
      </c>
      <c r="J2500">
        <v>169</v>
      </c>
      <c r="K2500">
        <v>234</v>
      </c>
      <c r="L2500">
        <v>1</v>
      </c>
      <c r="M2500" t="s">
        <v>22</v>
      </c>
      <c r="N2500">
        <v>7</v>
      </c>
      <c r="O2500">
        <v>334.07</v>
      </c>
    </row>
    <row r="2501" spans="1:15" x14ac:dyDescent="0.35">
      <c r="A2501" t="s">
        <v>5185</v>
      </c>
      <c r="B2501" t="s">
        <v>63</v>
      </c>
      <c r="C2501" t="s">
        <v>5186</v>
      </c>
      <c r="D2501" t="s">
        <v>56</v>
      </c>
      <c r="E2501" t="s">
        <v>38</v>
      </c>
      <c r="F2501" t="s">
        <v>34</v>
      </c>
      <c r="G2501" t="s">
        <v>259</v>
      </c>
      <c r="H2501" s="1">
        <v>45324.069444444445</v>
      </c>
      <c r="I2501" s="1">
        <v>45324.136111111111</v>
      </c>
      <c r="J2501">
        <v>89</v>
      </c>
      <c r="K2501">
        <v>96</v>
      </c>
      <c r="L2501">
        <v>1</v>
      </c>
      <c r="M2501" t="s">
        <v>41</v>
      </c>
      <c r="N2501">
        <v>7</v>
      </c>
      <c r="O2501">
        <v>274.87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7EAE-1EC4-4F16-89DA-605D1B29122E}">
  <dimension ref="A1:T2501"/>
  <sheetViews>
    <sheetView zoomScaleNormal="100" workbookViewId="0">
      <selection activeCell="C15" sqref="A1:T2501"/>
    </sheetView>
  </sheetViews>
  <sheetFormatPr defaultRowHeight="14.5" x14ac:dyDescent="0.35"/>
  <cols>
    <col min="1" max="1" width="13.08984375" bestFit="1" customWidth="1"/>
    <col min="2" max="2" width="17.7265625" bestFit="1" customWidth="1"/>
    <col min="3" max="3" width="9.6328125" bestFit="1" customWidth="1"/>
    <col min="4" max="4" width="11.36328125" bestFit="1" customWidth="1"/>
    <col min="5" max="5" width="13.81640625" bestFit="1" customWidth="1"/>
    <col min="6" max="6" width="15.1796875" bestFit="1" customWidth="1"/>
    <col min="7" max="7" width="21.7265625" bestFit="1" customWidth="1"/>
    <col min="8" max="8" width="16.36328125" bestFit="1" customWidth="1"/>
    <col min="9" max="9" width="15.453125" bestFit="1" customWidth="1"/>
    <col min="10" max="10" width="23.54296875" bestFit="1" customWidth="1"/>
    <col min="11" max="11" width="20.453125" bestFit="1" customWidth="1"/>
    <col min="12" max="12" width="11.81640625" bestFit="1" customWidth="1"/>
    <col min="13" max="13" width="15.1796875" bestFit="1" customWidth="1"/>
    <col min="14" max="14" width="19.54296875" bestFit="1" customWidth="1"/>
    <col min="15" max="15" width="15" bestFit="1" customWidth="1"/>
    <col min="16" max="16" width="14.26953125" bestFit="1" customWidth="1"/>
    <col min="17" max="17" width="16" bestFit="1" customWidth="1"/>
    <col min="18" max="18" width="17" bestFit="1" customWidth="1"/>
    <col min="19" max="19" width="14.6328125" bestFit="1" customWidth="1"/>
    <col min="20" max="20" width="14.81640625" bestFit="1" customWidth="1"/>
  </cols>
  <sheetData>
    <row r="1" spans="1:20"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5191</v>
      </c>
      <c r="Q1" s="5" t="s">
        <v>5192</v>
      </c>
      <c r="R1" s="5" t="s">
        <v>5193</v>
      </c>
      <c r="S1" s="5" t="s">
        <v>5194</v>
      </c>
      <c r="T1" s="5" t="s">
        <v>5195</v>
      </c>
    </row>
    <row r="2" spans="1:20" x14ac:dyDescent="0.35">
      <c r="A2" s="2" t="s">
        <v>15</v>
      </c>
      <c r="B2" s="2" t="s">
        <v>16</v>
      </c>
      <c r="C2" s="2" t="s">
        <v>17</v>
      </c>
      <c r="D2" s="2" t="s">
        <v>18</v>
      </c>
      <c r="E2" s="2" t="s">
        <v>19</v>
      </c>
      <c r="F2" s="2" t="s">
        <v>20</v>
      </c>
      <c r="G2" s="2" t="s">
        <v>21</v>
      </c>
      <c r="H2" s="3">
        <v>45316.199305555558</v>
      </c>
      <c r="I2" s="3">
        <v>45316.356249999997</v>
      </c>
      <c r="J2" s="2">
        <v>208</v>
      </c>
      <c r="K2" s="2">
        <v>226</v>
      </c>
      <c r="L2" s="2">
        <v>1</v>
      </c>
      <c r="M2" s="2" t="s">
        <v>22</v>
      </c>
      <c r="N2" s="2">
        <v>1</v>
      </c>
      <c r="O2" s="2">
        <v>155.16999999999999</v>
      </c>
      <c r="P2" s="2">
        <f>K2-J2</f>
        <v>18</v>
      </c>
      <c r="Q2" s="4">
        <f>J2/K2</f>
        <v>0.92035398230088494</v>
      </c>
      <c r="R2" s="2" t="str">
        <f>IF(Q2&gt;1,"Efficient",
IF(Q2=1,"On Target","Inefficient"))</f>
        <v>Inefficient</v>
      </c>
      <c r="S2" s="2" t="str">
        <f>IF(K2&lt;30,"Short",
IF(K2&lt;60,"Medium",
IF(K2&lt;120,"Long","Very Long")))</f>
        <v>Very Long</v>
      </c>
      <c r="T2" s="2" t="str">
        <f>IF(K2&lt;=J2,"On Time",
IF(K2-J2&lt;=30,"Minor Delay","Major Delay"))</f>
        <v>Minor Delay</v>
      </c>
    </row>
    <row r="3" spans="1:20" x14ac:dyDescent="0.35">
      <c r="A3" s="2" t="s">
        <v>23</v>
      </c>
      <c r="B3" s="2" t="s">
        <v>24</v>
      </c>
      <c r="C3" s="2" t="s">
        <v>25</v>
      </c>
      <c r="D3" s="2" t="s">
        <v>26</v>
      </c>
      <c r="E3" s="2" t="s">
        <v>19</v>
      </c>
      <c r="F3" s="2" t="s">
        <v>27</v>
      </c>
      <c r="G3" s="2" t="s">
        <v>28</v>
      </c>
      <c r="H3" s="3">
        <v>45436.122916666667</v>
      </c>
      <c r="I3" s="3">
        <v>45436.263194444444</v>
      </c>
      <c r="J3" s="2">
        <v>194</v>
      </c>
      <c r="K3" s="2">
        <v>202</v>
      </c>
      <c r="L3" s="2">
        <v>1</v>
      </c>
      <c r="M3" s="2" t="s">
        <v>29</v>
      </c>
      <c r="N3" s="2">
        <v>5</v>
      </c>
      <c r="O3" s="2">
        <v>231.54</v>
      </c>
      <c r="P3" s="2">
        <f t="shared" ref="P3:P66" si="0">K3-J3</f>
        <v>8</v>
      </c>
      <c r="Q3" s="4">
        <f t="shared" ref="Q3:Q66" si="1">J3/K3</f>
        <v>0.96039603960396036</v>
      </c>
      <c r="R3" s="2" t="str">
        <f t="shared" ref="R3:R66" si="2">IF(Q3&gt;1,"Efficient",
IF(Q3=1,"On Target","Inefficient"))</f>
        <v>Inefficient</v>
      </c>
      <c r="S3" s="2" t="str">
        <f t="shared" ref="S3:S66" si="3">IF(K3&lt;30,"Short",
IF(K3&lt;60,"Medium",
IF(K3&lt;120,"Long","Very Long")))</f>
        <v>Very Long</v>
      </c>
      <c r="T3" s="2" t="str">
        <f t="shared" ref="T3:T66" si="4">IF(K3&lt;=J3,"On Time",
IF(K3-J3&lt;=30,"Minor Delay","Major Delay"))</f>
        <v>Minor Delay</v>
      </c>
    </row>
    <row r="4" spans="1:20" x14ac:dyDescent="0.35">
      <c r="A4" s="2" t="s">
        <v>30</v>
      </c>
      <c r="B4" s="2" t="s">
        <v>31</v>
      </c>
      <c r="C4" s="2" t="s">
        <v>32</v>
      </c>
      <c r="D4" s="2" t="s">
        <v>18</v>
      </c>
      <c r="E4" s="2" t="s">
        <v>33</v>
      </c>
      <c r="F4" s="2" t="s">
        <v>34</v>
      </c>
      <c r="G4" s="2" t="s">
        <v>35</v>
      </c>
      <c r="H4" s="3">
        <v>45373.148611111108</v>
      </c>
      <c r="I4" s="3">
        <v>45373.368750000001</v>
      </c>
      <c r="J4" s="2">
        <v>214</v>
      </c>
      <c r="K4" s="2">
        <v>317</v>
      </c>
      <c r="L4" s="2">
        <v>1</v>
      </c>
      <c r="M4" s="2" t="s">
        <v>22</v>
      </c>
      <c r="N4" s="2">
        <v>8</v>
      </c>
      <c r="O4" s="2">
        <v>280.95</v>
      </c>
      <c r="P4" s="2">
        <f t="shared" si="0"/>
        <v>103</v>
      </c>
      <c r="Q4" s="4">
        <f t="shared" si="1"/>
        <v>0.67507886435331232</v>
      </c>
      <c r="R4" s="2" t="str">
        <f t="shared" si="2"/>
        <v>Inefficient</v>
      </c>
      <c r="S4" s="2" t="str">
        <f t="shared" si="3"/>
        <v>Very Long</v>
      </c>
      <c r="T4" s="2" t="str">
        <f t="shared" si="4"/>
        <v>Major Delay</v>
      </c>
    </row>
    <row r="5" spans="1:20" x14ac:dyDescent="0.35">
      <c r="A5" s="2" t="s">
        <v>36</v>
      </c>
      <c r="B5" s="2" t="s">
        <v>16</v>
      </c>
      <c r="C5" s="2" t="s">
        <v>37</v>
      </c>
      <c r="D5" s="2" t="s">
        <v>18</v>
      </c>
      <c r="E5" s="2" t="s">
        <v>38</v>
      </c>
      <c r="F5" s="2" t="s">
        <v>39</v>
      </c>
      <c r="G5" s="2" t="s">
        <v>40</v>
      </c>
      <c r="H5" s="3">
        <v>45453.442361111112</v>
      </c>
      <c r="I5" s="3">
        <v>45453.566666666666</v>
      </c>
      <c r="J5" s="2">
        <v>176</v>
      </c>
      <c r="K5" s="2">
        <v>179</v>
      </c>
      <c r="L5" s="2">
        <v>1</v>
      </c>
      <c r="M5" s="2" t="s">
        <v>41</v>
      </c>
      <c r="N5" s="2">
        <v>1</v>
      </c>
      <c r="O5" s="2">
        <v>413.74</v>
      </c>
      <c r="P5" s="2">
        <f t="shared" si="0"/>
        <v>3</v>
      </c>
      <c r="Q5" s="4">
        <f t="shared" si="1"/>
        <v>0.98324022346368711</v>
      </c>
      <c r="R5" s="2" t="str">
        <f t="shared" si="2"/>
        <v>Inefficient</v>
      </c>
      <c r="S5" s="2" t="str">
        <f t="shared" si="3"/>
        <v>Very Long</v>
      </c>
      <c r="T5" s="2" t="str">
        <f t="shared" si="4"/>
        <v>Minor Delay</v>
      </c>
    </row>
    <row r="6" spans="1:20" x14ac:dyDescent="0.35">
      <c r="A6" s="2" t="s">
        <v>42</v>
      </c>
      <c r="B6" s="2" t="s">
        <v>16</v>
      </c>
      <c r="C6" s="2" t="s">
        <v>43</v>
      </c>
      <c r="D6" s="2" t="s">
        <v>44</v>
      </c>
      <c r="E6" s="2" t="s">
        <v>38</v>
      </c>
      <c r="F6" s="2" t="s">
        <v>34</v>
      </c>
      <c r="G6" s="2" t="s">
        <v>45</v>
      </c>
      <c r="H6" s="3">
        <v>45475.484722222223</v>
      </c>
      <c r="I6" s="3">
        <v>45475.65</v>
      </c>
      <c r="J6" s="2">
        <v>197</v>
      </c>
      <c r="K6" s="2">
        <v>238</v>
      </c>
      <c r="L6" s="2">
        <v>1</v>
      </c>
      <c r="M6" s="2" t="s">
        <v>41</v>
      </c>
      <c r="N6" s="2">
        <v>3</v>
      </c>
      <c r="O6" s="2">
        <v>152.30000000000001</v>
      </c>
      <c r="P6" s="2">
        <f t="shared" si="0"/>
        <v>41</v>
      </c>
      <c r="Q6" s="4">
        <f t="shared" si="1"/>
        <v>0.82773109243697474</v>
      </c>
      <c r="R6" s="2" t="str">
        <f t="shared" si="2"/>
        <v>Inefficient</v>
      </c>
      <c r="S6" s="2" t="str">
        <f t="shared" si="3"/>
        <v>Very Long</v>
      </c>
      <c r="T6" s="2" t="str">
        <f t="shared" si="4"/>
        <v>Major Delay</v>
      </c>
    </row>
    <row r="7" spans="1:20" x14ac:dyDescent="0.35">
      <c r="A7" s="2" t="s">
        <v>46</v>
      </c>
      <c r="B7" s="2" t="s">
        <v>16</v>
      </c>
      <c r="C7" s="2" t="s">
        <v>47</v>
      </c>
      <c r="D7" s="2" t="s">
        <v>48</v>
      </c>
      <c r="E7" s="2" t="s">
        <v>19</v>
      </c>
      <c r="F7" s="2" t="s">
        <v>39</v>
      </c>
      <c r="G7" s="2" t="s">
        <v>49</v>
      </c>
      <c r="H7" s="3">
        <v>45435.468055555553</v>
      </c>
      <c r="I7" s="3">
        <v>45435.625694444447</v>
      </c>
      <c r="J7" s="2">
        <v>199</v>
      </c>
      <c r="K7" s="2">
        <v>227</v>
      </c>
      <c r="L7" s="2">
        <v>1</v>
      </c>
      <c r="M7" s="2" t="s">
        <v>29</v>
      </c>
      <c r="N7" s="2">
        <v>5</v>
      </c>
      <c r="O7" s="2">
        <v>160.06</v>
      </c>
      <c r="P7" s="2">
        <f t="shared" si="0"/>
        <v>28</v>
      </c>
      <c r="Q7" s="4">
        <f t="shared" si="1"/>
        <v>0.87665198237885467</v>
      </c>
      <c r="R7" s="2" t="str">
        <f t="shared" si="2"/>
        <v>Inefficient</v>
      </c>
      <c r="S7" s="2" t="str">
        <f t="shared" si="3"/>
        <v>Very Long</v>
      </c>
      <c r="T7" s="2" t="str">
        <f t="shared" si="4"/>
        <v>Minor Delay</v>
      </c>
    </row>
    <row r="8" spans="1:20" x14ac:dyDescent="0.35">
      <c r="A8" s="2" t="s">
        <v>50</v>
      </c>
      <c r="B8" s="2" t="s">
        <v>51</v>
      </c>
      <c r="C8" s="2" t="s">
        <v>52</v>
      </c>
      <c r="D8" s="2" t="s">
        <v>44</v>
      </c>
      <c r="E8" s="2" t="s">
        <v>38</v>
      </c>
      <c r="F8" s="2" t="s">
        <v>20</v>
      </c>
      <c r="G8" s="2" t="s">
        <v>53</v>
      </c>
      <c r="H8" s="3">
        <v>45470.88958333333</v>
      </c>
      <c r="I8" s="3">
        <v>45470.968055555553</v>
      </c>
      <c r="J8" s="2">
        <v>84</v>
      </c>
      <c r="K8" s="2">
        <v>113</v>
      </c>
      <c r="L8" s="2">
        <v>1</v>
      </c>
      <c r="M8" s="2" t="s">
        <v>41</v>
      </c>
      <c r="N8" s="2">
        <v>6</v>
      </c>
      <c r="O8" s="2">
        <v>440.88</v>
      </c>
      <c r="P8" s="2">
        <f t="shared" si="0"/>
        <v>29</v>
      </c>
      <c r="Q8" s="4">
        <f t="shared" si="1"/>
        <v>0.74336283185840712</v>
      </c>
      <c r="R8" s="2" t="str">
        <f t="shared" si="2"/>
        <v>Inefficient</v>
      </c>
      <c r="S8" s="2" t="str">
        <f t="shared" si="3"/>
        <v>Long</v>
      </c>
      <c r="T8" s="2" t="str">
        <f t="shared" si="4"/>
        <v>Minor Delay</v>
      </c>
    </row>
    <row r="9" spans="1:20" x14ac:dyDescent="0.35">
      <c r="A9" s="2" t="s">
        <v>54</v>
      </c>
      <c r="B9" s="2" t="s">
        <v>51</v>
      </c>
      <c r="C9" s="2" t="s">
        <v>55</v>
      </c>
      <c r="D9" s="2" t="s">
        <v>56</v>
      </c>
      <c r="E9" s="2" t="s">
        <v>19</v>
      </c>
      <c r="F9" s="2" t="s">
        <v>57</v>
      </c>
      <c r="G9" s="2" t="s">
        <v>58</v>
      </c>
      <c r="H9" s="3">
        <v>45517.322222222225</v>
      </c>
      <c r="I9" s="3">
        <v>45517.489583333336</v>
      </c>
      <c r="J9" s="2">
        <v>204</v>
      </c>
      <c r="K9" s="2">
        <v>241</v>
      </c>
      <c r="L9" s="2">
        <v>1</v>
      </c>
      <c r="M9" s="2" t="s">
        <v>22</v>
      </c>
      <c r="N9" s="2">
        <v>4</v>
      </c>
      <c r="O9" s="2">
        <v>406.61</v>
      </c>
      <c r="P9" s="2">
        <f t="shared" si="0"/>
        <v>37</v>
      </c>
      <c r="Q9" s="4">
        <f t="shared" si="1"/>
        <v>0.84647302904564314</v>
      </c>
      <c r="R9" s="2" t="str">
        <f t="shared" si="2"/>
        <v>Inefficient</v>
      </c>
      <c r="S9" s="2" t="str">
        <f t="shared" si="3"/>
        <v>Very Long</v>
      </c>
      <c r="T9" s="2" t="str">
        <f t="shared" si="4"/>
        <v>Major Delay</v>
      </c>
    </row>
    <row r="10" spans="1:20" x14ac:dyDescent="0.35">
      <c r="A10" s="2" t="s">
        <v>59</v>
      </c>
      <c r="B10" s="2" t="s">
        <v>51</v>
      </c>
      <c r="C10" s="2" t="s">
        <v>60</v>
      </c>
      <c r="D10" s="2" t="s">
        <v>44</v>
      </c>
      <c r="E10" s="2" t="s">
        <v>19</v>
      </c>
      <c r="F10" s="2" t="s">
        <v>20</v>
      </c>
      <c r="G10" s="2" t="s">
        <v>61</v>
      </c>
      <c r="H10" s="3">
        <v>45653.893055555556</v>
      </c>
      <c r="I10" s="3">
        <v>45654.015277777777</v>
      </c>
      <c r="J10" s="2">
        <v>59</v>
      </c>
      <c r="K10" s="2">
        <v>176</v>
      </c>
      <c r="L10" s="2">
        <v>1</v>
      </c>
      <c r="M10" s="2" t="s">
        <v>41</v>
      </c>
      <c r="N10" s="2">
        <v>2</v>
      </c>
      <c r="O10" s="2">
        <v>180.92</v>
      </c>
      <c r="P10" s="2">
        <f t="shared" si="0"/>
        <v>117</v>
      </c>
      <c r="Q10" s="4">
        <f t="shared" si="1"/>
        <v>0.33522727272727271</v>
      </c>
      <c r="R10" s="2" t="str">
        <f t="shared" si="2"/>
        <v>Inefficient</v>
      </c>
      <c r="S10" s="2" t="str">
        <f t="shared" si="3"/>
        <v>Very Long</v>
      </c>
      <c r="T10" s="2" t="str">
        <f t="shared" si="4"/>
        <v>Major Delay</v>
      </c>
    </row>
    <row r="11" spans="1:20" x14ac:dyDescent="0.35">
      <c r="A11" s="2" t="s">
        <v>62</v>
      </c>
      <c r="B11" s="2" t="s">
        <v>63</v>
      </c>
      <c r="C11" s="2" t="s">
        <v>64</v>
      </c>
      <c r="D11" s="2" t="s">
        <v>26</v>
      </c>
      <c r="E11" s="2" t="s">
        <v>33</v>
      </c>
      <c r="F11" s="2" t="s">
        <v>39</v>
      </c>
      <c r="G11" s="2" t="s">
        <v>65</v>
      </c>
      <c r="H11" s="3">
        <v>45460.051388888889</v>
      </c>
      <c r="I11" s="3">
        <v>45460.109027777777</v>
      </c>
      <c r="J11" s="2">
        <v>23</v>
      </c>
      <c r="K11" s="2">
        <v>83</v>
      </c>
      <c r="L11" s="2">
        <v>1</v>
      </c>
      <c r="M11" s="2" t="s">
        <v>41</v>
      </c>
      <c r="N11" s="2">
        <v>1</v>
      </c>
      <c r="O11" s="2">
        <v>313.08999999999997</v>
      </c>
      <c r="P11" s="2">
        <f t="shared" si="0"/>
        <v>60</v>
      </c>
      <c r="Q11" s="4">
        <f t="shared" si="1"/>
        <v>0.27710843373493976</v>
      </c>
      <c r="R11" s="2" t="str">
        <f t="shared" si="2"/>
        <v>Inefficient</v>
      </c>
      <c r="S11" s="2" t="str">
        <f t="shared" si="3"/>
        <v>Long</v>
      </c>
      <c r="T11" s="2" t="str">
        <f t="shared" si="4"/>
        <v>Major Delay</v>
      </c>
    </row>
    <row r="12" spans="1:20" x14ac:dyDescent="0.35">
      <c r="A12" s="2" t="s">
        <v>66</v>
      </c>
      <c r="B12" s="2" t="s">
        <v>16</v>
      </c>
      <c r="C12" s="2" t="s">
        <v>67</v>
      </c>
      <c r="D12" s="2" t="s">
        <v>26</v>
      </c>
      <c r="E12" s="2" t="s">
        <v>38</v>
      </c>
      <c r="F12" s="2" t="s">
        <v>34</v>
      </c>
      <c r="G12" s="2" t="s">
        <v>68</v>
      </c>
      <c r="H12" s="3">
        <v>45488.070138888892</v>
      </c>
      <c r="I12" s="3">
        <v>45488.239583333336</v>
      </c>
      <c r="J12" s="2">
        <v>235</v>
      </c>
      <c r="K12" s="2">
        <v>244</v>
      </c>
      <c r="L12" s="2">
        <v>1</v>
      </c>
      <c r="M12" s="2" t="s">
        <v>29</v>
      </c>
      <c r="N12" s="2">
        <v>9</v>
      </c>
      <c r="O12" s="2">
        <v>290.33999999999997</v>
      </c>
      <c r="P12" s="2">
        <f t="shared" si="0"/>
        <v>9</v>
      </c>
      <c r="Q12" s="4">
        <f t="shared" si="1"/>
        <v>0.96311475409836067</v>
      </c>
      <c r="R12" s="2" t="str">
        <f t="shared" si="2"/>
        <v>Inefficient</v>
      </c>
      <c r="S12" s="2" t="str">
        <f t="shared" si="3"/>
        <v>Very Long</v>
      </c>
      <c r="T12" s="2" t="str">
        <f t="shared" si="4"/>
        <v>Minor Delay</v>
      </c>
    </row>
    <row r="13" spans="1:20" x14ac:dyDescent="0.35">
      <c r="A13" s="2" t="s">
        <v>69</v>
      </c>
      <c r="B13" s="2" t="s">
        <v>24</v>
      </c>
      <c r="C13" s="2" t="s">
        <v>70</v>
      </c>
      <c r="D13" s="2" t="s">
        <v>26</v>
      </c>
      <c r="E13" s="2" t="s">
        <v>38</v>
      </c>
      <c r="F13" s="2" t="s">
        <v>34</v>
      </c>
      <c r="G13" s="2" t="s">
        <v>40</v>
      </c>
      <c r="H13" s="3">
        <v>45401.915277777778</v>
      </c>
      <c r="I13" s="3">
        <v>45402.033333333333</v>
      </c>
      <c r="J13" s="2">
        <v>167</v>
      </c>
      <c r="K13" s="2">
        <v>170</v>
      </c>
      <c r="L13" s="2">
        <v>1</v>
      </c>
      <c r="M13" s="2" t="s">
        <v>22</v>
      </c>
      <c r="N13" s="2">
        <v>3</v>
      </c>
      <c r="O13" s="2">
        <v>428.89</v>
      </c>
      <c r="P13" s="2">
        <f t="shared" si="0"/>
        <v>3</v>
      </c>
      <c r="Q13" s="4">
        <f t="shared" si="1"/>
        <v>0.98235294117647054</v>
      </c>
      <c r="R13" s="2" t="str">
        <f t="shared" si="2"/>
        <v>Inefficient</v>
      </c>
      <c r="S13" s="2" t="str">
        <f t="shared" si="3"/>
        <v>Very Long</v>
      </c>
      <c r="T13" s="2" t="str">
        <f t="shared" si="4"/>
        <v>Minor Delay</v>
      </c>
    </row>
    <row r="14" spans="1:20" x14ac:dyDescent="0.35">
      <c r="A14" s="2" t="s">
        <v>71</v>
      </c>
      <c r="B14" s="2" t="s">
        <v>63</v>
      </c>
      <c r="C14" s="2" t="s">
        <v>72</v>
      </c>
      <c r="D14" s="2" t="s">
        <v>44</v>
      </c>
      <c r="E14" s="2" t="s">
        <v>38</v>
      </c>
      <c r="F14" s="2" t="s">
        <v>27</v>
      </c>
      <c r="G14" s="2" t="s">
        <v>73</v>
      </c>
      <c r="H14" s="3">
        <v>45370.369444444441</v>
      </c>
      <c r="I14" s="3">
        <v>45370.456250000003</v>
      </c>
      <c r="J14" s="2">
        <v>103</v>
      </c>
      <c r="K14" s="2">
        <v>125</v>
      </c>
      <c r="L14" s="2">
        <v>1</v>
      </c>
      <c r="M14" s="2" t="s">
        <v>22</v>
      </c>
      <c r="N14" s="2">
        <v>5</v>
      </c>
      <c r="O14" s="2">
        <v>386.51</v>
      </c>
      <c r="P14" s="2">
        <f t="shared" si="0"/>
        <v>22</v>
      </c>
      <c r="Q14" s="4">
        <f t="shared" si="1"/>
        <v>0.82399999999999995</v>
      </c>
      <c r="R14" s="2" t="str">
        <f t="shared" si="2"/>
        <v>Inefficient</v>
      </c>
      <c r="S14" s="2" t="str">
        <f t="shared" si="3"/>
        <v>Very Long</v>
      </c>
      <c r="T14" s="2" t="str">
        <f t="shared" si="4"/>
        <v>Minor Delay</v>
      </c>
    </row>
    <row r="15" spans="1:20" x14ac:dyDescent="0.35">
      <c r="A15" s="2" t="s">
        <v>74</v>
      </c>
      <c r="B15" s="2" t="s">
        <v>24</v>
      </c>
      <c r="C15" s="2" t="s">
        <v>75</v>
      </c>
      <c r="D15" s="2" t="s">
        <v>44</v>
      </c>
      <c r="E15" s="2" t="s">
        <v>19</v>
      </c>
      <c r="F15" s="2" t="s">
        <v>27</v>
      </c>
      <c r="G15" s="2" t="s">
        <v>76</v>
      </c>
      <c r="H15" s="3">
        <v>45380.129166666666</v>
      </c>
      <c r="I15" s="3">
        <v>45380.369444444441</v>
      </c>
      <c r="J15" s="2">
        <v>229</v>
      </c>
      <c r="K15" s="2">
        <v>346</v>
      </c>
      <c r="L15" s="2">
        <v>1</v>
      </c>
      <c r="M15" s="2" t="s">
        <v>29</v>
      </c>
      <c r="N15" s="2">
        <v>3</v>
      </c>
      <c r="O15" s="2">
        <v>138.07</v>
      </c>
      <c r="P15" s="2">
        <f t="shared" si="0"/>
        <v>117</v>
      </c>
      <c r="Q15" s="4">
        <f t="shared" si="1"/>
        <v>0.66184971098265899</v>
      </c>
      <c r="R15" s="2" t="str">
        <f t="shared" si="2"/>
        <v>Inefficient</v>
      </c>
      <c r="S15" s="2" t="str">
        <f t="shared" si="3"/>
        <v>Very Long</v>
      </c>
      <c r="T15" s="2" t="str">
        <f t="shared" si="4"/>
        <v>Major Delay</v>
      </c>
    </row>
    <row r="16" spans="1:20" x14ac:dyDescent="0.35">
      <c r="A16" s="2" t="s">
        <v>77</v>
      </c>
      <c r="B16" s="2" t="s">
        <v>51</v>
      </c>
      <c r="C16" s="2" t="s">
        <v>78</v>
      </c>
      <c r="D16" s="2" t="s">
        <v>44</v>
      </c>
      <c r="E16" s="2" t="s">
        <v>38</v>
      </c>
      <c r="F16" s="2" t="s">
        <v>39</v>
      </c>
      <c r="G16" s="2" t="s">
        <v>79</v>
      </c>
      <c r="H16" s="3">
        <v>45630.914583333331</v>
      </c>
      <c r="I16" s="3">
        <v>45631.054166666669</v>
      </c>
      <c r="J16" s="2">
        <v>133</v>
      </c>
      <c r="K16" s="2">
        <v>201</v>
      </c>
      <c r="L16" s="2">
        <v>1</v>
      </c>
      <c r="M16" s="2" t="s">
        <v>22</v>
      </c>
      <c r="N16" s="2">
        <v>10</v>
      </c>
      <c r="O16" s="2">
        <v>144.80000000000001</v>
      </c>
      <c r="P16" s="2">
        <f t="shared" si="0"/>
        <v>68</v>
      </c>
      <c r="Q16" s="4">
        <f t="shared" si="1"/>
        <v>0.6616915422885572</v>
      </c>
      <c r="R16" s="2" t="str">
        <f t="shared" si="2"/>
        <v>Inefficient</v>
      </c>
      <c r="S16" s="2" t="str">
        <f t="shared" si="3"/>
        <v>Very Long</v>
      </c>
      <c r="T16" s="2" t="str">
        <f t="shared" si="4"/>
        <v>Major Delay</v>
      </c>
    </row>
    <row r="17" spans="1:20" x14ac:dyDescent="0.35">
      <c r="A17" s="2" t="s">
        <v>80</v>
      </c>
      <c r="B17" s="2" t="s">
        <v>31</v>
      </c>
      <c r="C17" s="2" t="s">
        <v>81</v>
      </c>
      <c r="D17" s="2" t="s">
        <v>18</v>
      </c>
      <c r="E17" s="2" t="s">
        <v>33</v>
      </c>
      <c r="F17" s="2" t="s">
        <v>57</v>
      </c>
      <c r="G17" s="2" t="s">
        <v>82</v>
      </c>
      <c r="H17" s="3">
        <v>45587.011111111111</v>
      </c>
      <c r="I17" s="3">
        <v>45587.107638888891</v>
      </c>
      <c r="J17" s="2">
        <v>65</v>
      </c>
      <c r="K17" s="2">
        <v>139</v>
      </c>
      <c r="L17" s="2">
        <v>1</v>
      </c>
      <c r="M17" s="2" t="s">
        <v>29</v>
      </c>
      <c r="N17" s="2">
        <v>4</v>
      </c>
      <c r="O17" s="2">
        <v>487.35</v>
      </c>
      <c r="P17" s="2">
        <f t="shared" si="0"/>
        <v>74</v>
      </c>
      <c r="Q17" s="4">
        <f t="shared" si="1"/>
        <v>0.46762589928057552</v>
      </c>
      <c r="R17" s="2" t="str">
        <f t="shared" si="2"/>
        <v>Inefficient</v>
      </c>
      <c r="S17" s="2" t="str">
        <f t="shared" si="3"/>
        <v>Very Long</v>
      </c>
      <c r="T17" s="2" t="str">
        <f t="shared" si="4"/>
        <v>Major Delay</v>
      </c>
    </row>
    <row r="18" spans="1:20" x14ac:dyDescent="0.35">
      <c r="A18" s="2" t="s">
        <v>83</v>
      </c>
      <c r="B18" s="2" t="s">
        <v>51</v>
      </c>
      <c r="C18" s="2" t="s">
        <v>84</v>
      </c>
      <c r="D18" s="2" t="s">
        <v>44</v>
      </c>
      <c r="E18" s="2" t="s">
        <v>85</v>
      </c>
      <c r="F18" s="2" t="s">
        <v>39</v>
      </c>
      <c r="G18" s="2" t="s">
        <v>35</v>
      </c>
      <c r="H18" s="3">
        <v>45653.331250000003</v>
      </c>
      <c r="I18" s="3">
        <v>45653.42083333333</v>
      </c>
      <c r="J18" s="2">
        <v>81</v>
      </c>
      <c r="K18" s="2">
        <v>129</v>
      </c>
      <c r="L18" s="2">
        <v>1</v>
      </c>
      <c r="M18" s="2" t="s">
        <v>29</v>
      </c>
      <c r="N18" s="2">
        <v>4</v>
      </c>
      <c r="O18" s="2">
        <v>192.46</v>
      </c>
      <c r="P18" s="2">
        <f t="shared" si="0"/>
        <v>48</v>
      </c>
      <c r="Q18" s="4">
        <f t="shared" si="1"/>
        <v>0.62790697674418605</v>
      </c>
      <c r="R18" s="2" t="str">
        <f t="shared" si="2"/>
        <v>Inefficient</v>
      </c>
      <c r="S18" s="2" t="str">
        <f t="shared" si="3"/>
        <v>Very Long</v>
      </c>
      <c r="T18" s="2" t="str">
        <f t="shared" si="4"/>
        <v>Major Delay</v>
      </c>
    </row>
    <row r="19" spans="1:20" x14ac:dyDescent="0.35">
      <c r="A19" s="2" t="s">
        <v>86</v>
      </c>
      <c r="B19" s="2" t="s">
        <v>31</v>
      </c>
      <c r="C19" s="2" t="s">
        <v>87</v>
      </c>
      <c r="D19" s="2" t="s">
        <v>26</v>
      </c>
      <c r="E19" s="2" t="s">
        <v>33</v>
      </c>
      <c r="F19" s="2" t="s">
        <v>39</v>
      </c>
      <c r="G19" s="2" t="s">
        <v>88</v>
      </c>
      <c r="H19" s="3">
        <v>45527.553472222222</v>
      </c>
      <c r="I19" s="3">
        <v>45527.656944444447</v>
      </c>
      <c r="J19" s="2">
        <v>105</v>
      </c>
      <c r="K19" s="2">
        <v>149</v>
      </c>
      <c r="L19" s="2">
        <v>1</v>
      </c>
      <c r="M19" s="2" t="s">
        <v>22</v>
      </c>
      <c r="N19" s="2">
        <v>9</v>
      </c>
      <c r="O19" s="2">
        <v>427.43</v>
      </c>
      <c r="P19" s="2">
        <f t="shared" si="0"/>
        <v>44</v>
      </c>
      <c r="Q19" s="4">
        <f t="shared" si="1"/>
        <v>0.70469798657718119</v>
      </c>
      <c r="R19" s="2" t="str">
        <f t="shared" si="2"/>
        <v>Inefficient</v>
      </c>
      <c r="S19" s="2" t="str">
        <f t="shared" si="3"/>
        <v>Very Long</v>
      </c>
      <c r="T19" s="2" t="str">
        <f t="shared" si="4"/>
        <v>Major Delay</v>
      </c>
    </row>
    <row r="20" spans="1:20" x14ac:dyDescent="0.35">
      <c r="A20" s="2" t="s">
        <v>89</v>
      </c>
      <c r="B20" s="2" t="s">
        <v>24</v>
      </c>
      <c r="C20" s="2" t="s">
        <v>90</v>
      </c>
      <c r="D20" s="2" t="s">
        <v>48</v>
      </c>
      <c r="E20" s="2" t="s">
        <v>38</v>
      </c>
      <c r="F20" s="2" t="s">
        <v>20</v>
      </c>
      <c r="G20" s="2" t="s">
        <v>91</v>
      </c>
      <c r="H20" s="3">
        <v>45306.581250000003</v>
      </c>
      <c r="I20" s="3">
        <v>45306.605555555558</v>
      </c>
      <c r="J20" s="2">
        <v>24</v>
      </c>
      <c r="K20" s="2">
        <v>35</v>
      </c>
      <c r="L20" s="2">
        <v>1</v>
      </c>
      <c r="M20" s="2" t="s">
        <v>29</v>
      </c>
      <c r="N20" s="2">
        <v>6</v>
      </c>
      <c r="O20" s="2">
        <v>273.64999999999998</v>
      </c>
      <c r="P20" s="2">
        <f t="shared" si="0"/>
        <v>11</v>
      </c>
      <c r="Q20" s="4">
        <f t="shared" si="1"/>
        <v>0.68571428571428572</v>
      </c>
      <c r="R20" s="2" t="str">
        <f t="shared" si="2"/>
        <v>Inefficient</v>
      </c>
      <c r="S20" s="2" t="str">
        <f t="shared" si="3"/>
        <v>Medium</v>
      </c>
      <c r="T20" s="2" t="str">
        <f t="shared" si="4"/>
        <v>Minor Delay</v>
      </c>
    </row>
    <row r="21" spans="1:20" x14ac:dyDescent="0.35">
      <c r="A21" s="2" t="s">
        <v>92</v>
      </c>
      <c r="B21" s="2" t="s">
        <v>51</v>
      </c>
      <c r="C21" s="2" t="s">
        <v>93</v>
      </c>
      <c r="D21" s="2" t="s">
        <v>18</v>
      </c>
      <c r="E21" s="2" t="s">
        <v>19</v>
      </c>
      <c r="F21" s="2" t="s">
        <v>27</v>
      </c>
      <c r="G21" s="2" t="s">
        <v>94</v>
      </c>
      <c r="H21" s="3">
        <v>45631.109027777777</v>
      </c>
      <c r="I21" s="3">
        <v>45631.226388888892</v>
      </c>
      <c r="J21" s="2">
        <v>160</v>
      </c>
      <c r="K21" s="2">
        <v>169</v>
      </c>
      <c r="L21" s="2">
        <v>1</v>
      </c>
      <c r="M21" s="2" t="s">
        <v>29</v>
      </c>
      <c r="N21" s="2">
        <v>5</v>
      </c>
      <c r="O21" s="2">
        <v>109.32</v>
      </c>
      <c r="P21" s="2">
        <f t="shared" si="0"/>
        <v>9</v>
      </c>
      <c r="Q21" s="4">
        <f t="shared" si="1"/>
        <v>0.94674556213017746</v>
      </c>
      <c r="R21" s="2" t="str">
        <f t="shared" si="2"/>
        <v>Inefficient</v>
      </c>
      <c r="S21" s="2" t="str">
        <f t="shared" si="3"/>
        <v>Very Long</v>
      </c>
      <c r="T21" s="2" t="str">
        <f t="shared" si="4"/>
        <v>Minor Delay</v>
      </c>
    </row>
    <row r="22" spans="1:20" x14ac:dyDescent="0.35">
      <c r="A22" s="2" t="s">
        <v>95</v>
      </c>
      <c r="B22" s="2" t="s">
        <v>31</v>
      </c>
      <c r="C22" s="2" t="s">
        <v>96</v>
      </c>
      <c r="D22" s="2" t="s">
        <v>18</v>
      </c>
      <c r="E22" s="2" t="s">
        <v>38</v>
      </c>
      <c r="F22" s="2" t="s">
        <v>57</v>
      </c>
      <c r="G22" s="2" t="s">
        <v>97</v>
      </c>
      <c r="H22" s="3">
        <v>45357.587500000001</v>
      </c>
      <c r="I22" s="3">
        <v>45357.808333333334</v>
      </c>
      <c r="J22" s="2">
        <v>233</v>
      </c>
      <c r="K22" s="2">
        <v>318</v>
      </c>
      <c r="L22" s="2">
        <v>1</v>
      </c>
      <c r="M22" s="2" t="s">
        <v>29</v>
      </c>
      <c r="N22" s="2">
        <v>5</v>
      </c>
      <c r="O22" s="2">
        <v>335.36</v>
      </c>
      <c r="P22" s="2">
        <f t="shared" si="0"/>
        <v>85</v>
      </c>
      <c r="Q22" s="4">
        <f t="shared" si="1"/>
        <v>0.73270440251572322</v>
      </c>
      <c r="R22" s="2" t="str">
        <f t="shared" si="2"/>
        <v>Inefficient</v>
      </c>
      <c r="S22" s="2" t="str">
        <f t="shared" si="3"/>
        <v>Very Long</v>
      </c>
      <c r="T22" s="2" t="str">
        <f t="shared" si="4"/>
        <v>Major Delay</v>
      </c>
    </row>
    <row r="23" spans="1:20" x14ac:dyDescent="0.35">
      <c r="A23" s="2" t="s">
        <v>98</v>
      </c>
      <c r="B23" s="2" t="s">
        <v>16</v>
      </c>
      <c r="C23" s="2" t="s">
        <v>99</v>
      </c>
      <c r="D23" s="2" t="s">
        <v>56</v>
      </c>
      <c r="E23" s="2" t="s">
        <v>33</v>
      </c>
      <c r="F23" s="2" t="s">
        <v>57</v>
      </c>
      <c r="G23" s="2" t="s">
        <v>100</v>
      </c>
      <c r="H23" s="3">
        <v>45353.934027777781</v>
      </c>
      <c r="I23" s="3">
        <v>45354.171527777777</v>
      </c>
      <c r="J23" s="2">
        <v>236</v>
      </c>
      <c r="K23" s="2">
        <v>342</v>
      </c>
      <c r="L23" s="2">
        <v>1</v>
      </c>
      <c r="M23" s="2" t="s">
        <v>41</v>
      </c>
      <c r="N23" s="2">
        <v>10</v>
      </c>
      <c r="O23" s="2">
        <v>245.28</v>
      </c>
      <c r="P23" s="2">
        <f t="shared" si="0"/>
        <v>106</v>
      </c>
      <c r="Q23" s="4">
        <f t="shared" si="1"/>
        <v>0.6900584795321637</v>
      </c>
      <c r="R23" s="2" t="str">
        <f t="shared" si="2"/>
        <v>Inefficient</v>
      </c>
      <c r="S23" s="2" t="str">
        <f t="shared" si="3"/>
        <v>Very Long</v>
      </c>
      <c r="T23" s="2" t="str">
        <f t="shared" si="4"/>
        <v>Major Delay</v>
      </c>
    </row>
    <row r="24" spans="1:20" x14ac:dyDescent="0.35">
      <c r="A24" s="2" t="s">
        <v>101</v>
      </c>
      <c r="B24" s="2" t="s">
        <v>31</v>
      </c>
      <c r="C24" s="2" t="s">
        <v>102</v>
      </c>
      <c r="D24" s="2" t="s">
        <v>26</v>
      </c>
      <c r="E24" s="2" t="s">
        <v>85</v>
      </c>
      <c r="F24" s="2" t="s">
        <v>20</v>
      </c>
      <c r="G24" s="2" t="s">
        <v>103</v>
      </c>
      <c r="H24" s="3">
        <v>45408.61041666667</v>
      </c>
      <c r="I24" s="3">
        <v>45408.75</v>
      </c>
      <c r="J24" s="2">
        <v>94</v>
      </c>
      <c r="K24" s="2">
        <v>201</v>
      </c>
      <c r="L24" s="2">
        <v>1</v>
      </c>
      <c r="M24" s="2" t="s">
        <v>41</v>
      </c>
      <c r="N24" s="2">
        <v>6</v>
      </c>
      <c r="O24" s="2">
        <v>237.15</v>
      </c>
      <c r="P24" s="2">
        <f t="shared" si="0"/>
        <v>107</v>
      </c>
      <c r="Q24" s="4">
        <f t="shared" si="1"/>
        <v>0.46766169154228854</v>
      </c>
      <c r="R24" s="2" t="str">
        <f t="shared" si="2"/>
        <v>Inefficient</v>
      </c>
      <c r="S24" s="2" t="str">
        <f t="shared" si="3"/>
        <v>Very Long</v>
      </c>
      <c r="T24" s="2" t="str">
        <f t="shared" si="4"/>
        <v>Major Delay</v>
      </c>
    </row>
    <row r="25" spans="1:20" x14ac:dyDescent="0.35">
      <c r="A25" s="2" t="s">
        <v>104</v>
      </c>
      <c r="B25" s="2" t="s">
        <v>16</v>
      </c>
      <c r="C25" s="2" t="s">
        <v>105</v>
      </c>
      <c r="D25" s="2" t="s">
        <v>48</v>
      </c>
      <c r="E25" s="2" t="s">
        <v>19</v>
      </c>
      <c r="F25" s="2" t="s">
        <v>57</v>
      </c>
      <c r="G25" s="2" t="s">
        <v>45</v>
      </c>
      <c r="H25" s="3">
        <v>45403.602083333331</v>
      </c>
      <c r="I25" s="3">
        <v>45403.777777777781</v>
      </c>
      <c r="J25" s="2">
        <v>206</v>
      </c>
      <c r="K25" s="2">
        <v>253</v>
      </c>
      <c r="L25" s="2">
        <v>1</v>
      </c>
      <c r="M25" s="2" t="s">
        <v>41</v>
      </c>
      <c r="N25" s="2">
        <v>5</v>
      </c>
      <c r="O25" s="2">
        <v>469.47</v>
      </c>
      <c r="P25" s="2">
        <f t="shared" si="0"/>
        <v>47</v>
      </c>
      <c r="Q25" s="4">
        <f t="shared" si="1"/>
        <v>0.81422924901185767</v>
      </c>
      <c r="R25" s="2" t="str">
        <f t="shared" si="2"/>
        <v>Inefficient</v>
      </c>
      <c r="S25" s="2" t="str">
        <f t="shared" si="3"/>
        <v>Very Long</v>
      </c>
      <c r="T25" s="2" t="str">
        <f t="shared" si="4"/>
        <v>Major Delay</v>
      </c>
    </row>
    <row r="26" spans="1:20" x14ac:dyDescent="0.35">
      <c r="A26" s="2" t="s">
        <v>106</v>
      </c>
      <c r="B26" s="2" t="s">
        <v>51</v>
      </c>
      <c r="C26" s="2" t="s">
        <v>107</v>
      </c>
      <c r="D26" s="2" t="s">
        <v>48</v>
      </c>
      <c r="E26" s="2" t="s">
        <v>85</v>
      </c>
      <c r="F26" s="2" t="s">
        <v>27</v>
      </c>
      <c r="G26" s="2" t="s">
        <v>108</v>
      </c>
      <c r="H26" s="3">
        <v>45393.829861111109</v>
      </c>
      <c r="I26" s="3">
        <v>45393.927777777775</v>
      </c>
      <c r="J26" s="2">
        <v>25</v>
      </c>
      <c r="K26" s="2">
        <v>141</v>
      </c>
      <c r="L26" s="2">
        <v>1</v>
      </c>
      <c r="M26" s="2" t="s">
        <v>22</v>
      </c>
      <c r="N26" s="2">
        <v>4</v>
      </c>
      <c r="O26" s="2">
        <v>196.04</v>
      </c>
      <c r="P26" s="2">
        <f t="shared" si="0"/>
        <v>116</v>
      </c>
      <c r="Q26" s="4">
        <f t="shared" si="1"/>
        <v>0.1773049645390071</v>
      </c>
      <c r="R26" s="2" t="str">
        <f t="shared" si="2"/>
        <v>Inefficient</v>
      </c>
      <c r="S26" s="2" t="str">
        <f t="shared" si="3"/>
        <v>Very Long</v>
      </c>
      <c r="T26" s="2" t="str">
        <f t="shared" si="4"/>
        <v>Major Delay</v>
      </c>
    </row>
    <row r="27" spans="1:20" x14ac:dyDescent="0.35">
      <c r="A27" s="2" t="s">
        <v>109</v>
      </c>
      <c r="B27" s="2" t="s">
        <v>24</v>
      </c>
      <c r="C27" s="2" t="s">
        <v>110</v>
      </c>
      <c r="D27" s="2" t="s">
        <v>18</v>
      </c>
      <c r="E27" s="2" t="s">
        <v>38</v>
      </c>
      <c r="F27" s="2" t="s">
        <v>39</v>
      </c>
      <c r="G27" s="2" t="s">
        <v>111</v>
      </c>
      <c r="H27" s="3">
        <v>45533.286805555559</v>
      </c>
      <c r="I27" s="3">
        <v>45533.407638888886</v>
      </c>
      <c r="J27" s="2">
        <v>62</v>
      </c>
      <c r="K27" s="2">
        <v>174</v>
      </c>
      <c r="L27" s="2">
        <v>1</v>
      </c>
      <c r="M27" s="2" t="s">
        <v>41</v>
      </c>
      <c r="N27" s="2">
        <v>5</v>
      </c>
      <c r="O27" s="2">
        <v>202.24</v>
      </c>
      <c r="P27" s="2">
        <f t="shared" si="0"/>
        <v>112</v>
      </c>
      <c r="Q27" s="4">
        <f t="shared" si="1"/>
        <v>0.35632183908045978</v>
      </c>
      <c r="R27" s="2" t="str">
        <f t="shared" si="2"/>
        <v>Inefficient</v>
      </c>
      <c r="S27" s="2" t="str">
        <f t="shared" si="3"/>
        <v>Very Long</v>
      </c>
      <c r="T27" s="2" t="str">
        <f t="shared" si="4"/>
        <v>Major Delay</v>
      </c>
    </row>
    <row r="28" spans="1:20" x14ac:dyDescent="0.35">
      <c r="A28" s="2" t="s">
        <v>112</v>
      </c>
      <c r="B28" s="2" t="s">
        <v>31</v>
      </c>
      <c r="C28" s="2" t="s">
        <v>113</v>
      </c>
      <c r="D28" s="2" t="s">
        <v>18</v>
      </c>
      <c r="E28" s="2" t="s">
        <v>19</v>
      </c>
      <c r="F28" s="2" t="s">
        <v>57</v>
      </c>
      <c r="G28" s="2" t="s">
        <v>114</v>
      </c>
      <c r="H28" s="3">
        <v>45419.814583333333</v>
      </c>
      <c r="I28" s="3">
        <v>45420.030555555553</v>
      </c>
      <c r="J28" s="2">
        <v>200</v>
      </c>
      <c r="K28" s="2">
        <v>311</v>
      </c>
      <c r="L28" s="2">
        <v>1</v>
      </c>
      <c r="M28" s="2" t="s">
        <v>29</v>
      </c>
      <c r="N28" s="2">
        <v>7</v>
      </c>
      <c r="O28" s="2">
        <v>53.42</v>
      </c>
      <c r="P28" s="2">
        <f t="shared" si="0"/>
        <v>111</v>
      </c>
      <c r="Q28" s="4">
        <f t="shared" si="1"/>
        <v>0.64308681672025725</v>
      </c>
      <c r="R28" s="2" t="str">
        <f t="shared" si="2"/>
        <v>Inefficient</v>
      </c>
      <c r="S28" s="2" t="str">
        <f t="shared" si="3"/>
        <v>Very Long</v>
      </c>
      <c r="T28" s="2" t="str">
        <f t="shared" si="4"/>
        <v>Major Delay</v>
      </c>
    </row>
    <row r="29" spans="1:20" x14ac:dyDescent="0.35">
      <c r="A29" s="2" t="s">
        <v>115</v>
      </c>
      <c r="B29" s="2" t="s">
        <v>31</v>
      </c>
      <c r="C29" s="2" t="s">
        <v>116</v>
      </c>
      <c r="D29" s="2" t="s">
        <v>18</v>
      </c>
      <c r="E29" s="2" t="s">
        <v>33</v>
      </c>
      <c r="F29" s="2" t="s">
        <v>34</v>
      </c>
      <c r="G29" s="2" t="s">
        <v>117</v>
      </c>
      <c r="H29" s="3">
        <v>45609.992361111108</v>
      </c>
      <c r="I29" s="3">
        <v>45610.030555555553</v>
      </c>
      <c r="J29" s="2">
        <v>28</v>
      </c>
      <c r="K29" s="2">
        <v>55</v>
      </c>
      <c r="L29" s="2">
        <v>1</v>
      </c>
      <c r="M29" s="2" t="s">
        <v>29</v>
      </c>
      <c r="N29" s="2">
        <v>8</v>
      </c>
      <c r="O29" s="2">
        <v>341.32</v>
      </c>
      <c r="P29" s="2">
        <f t="shared" si="0"/>
        <v>27</v>
      </c>
      <c r="Q29" s="4">
        <f t="shared" si="1"/>
        <v>0.50909090909090904</v>
      </c>
      <c r="R29" s="2" t="str">
        <f t="shared" si="2"/>
        <v>Inefficient</v>
      </c>
      <c r="S29" s="2" t="str">
        <f t="shared" si="3"/>
        <v>Medium</v>
      </c>
      <c r="T29" s="2" t="str">
        <f t="shared" si="4"/>
        <v>Minor Delay</v>
      </c>
    </row>
    <row r="30" spans="1:20" x14ac:dyDescent="0.35">
      <c r="A30" s="2" t="s">
        <v>118</v>
      </c>
      <c r="B30" s="2" t="s">
        <v>31</v>
      </c>
      <c r="C30" s="2" t="s">
        <v>119</v>
      </c>
      <c r="D30" s="2" t="s">
        <v>26</v>
      </c>
      <c r="E30" s="2" t="s">
        <v>33</v>
      </c>
      <c r="F30" s="2" t="s">
        <v>27</v>
      </c>
      <c r="G30" s="2" t="s">
        <v>120</v>
      </c>
      <c r="H30" s="3">
        <v>45411.848611111112</v>
      </c>
      <c r="I30" s="3">
        <v>45411.918055555558</v>
      </c>
      <c r="J30" s="2">
        <v>73</v>
      </c>
      <c r="K30" s="2">
        <v>100</v>
      </c>
      <c r="L30" s="2">
        <v>1</v>
      </c>
      <c r="M30" s="2" t="s">
        <v>22</v>
      </c>
      <c r="N30" s="2">
        <v>3</v>
      </c>
      <c r="O30" s="2">
        <v>355.81</v>
      </c>
      <c r="P30" s="2">
        <f t="shared" si="0"/>
        <v>27</v>
      </c>
      <c r="Q30" s="4">
        <f t="shared" si="1"/>
        <v>0.73</v>
      </c>
      <c r="R30" s="2" t="str">
        <f t="shared" si="2"/>
        <v>Inefficient</v>
      </c>
      <c r="S30" s="2" t="str">
        <f t="shared" si="3"/>
        <v>Long</v>
      </c>
      <c r="T30" s="2" t="str">
        <f t="shared" si="4"/>
        <v>Minor Delay</v>
      </c>
    </row>
    <row r="31" spans="1:20" x14ac:dyDescent="0.35">
      <c r="A31" s="2" t="s">
        <v>121</v>
      </c>
      <c r="B31" s="2" t="s">
        <v>63</v>
      </c>
      <c r="C31" s="2" t="s">
        <v>122</v>
      </c>
      <c r="D31" s="2" t="s">
        <v>18</v>
      </c>
      <c r="E31" s="2" t="s">
        <v>19</v>
      </c>
      <c r="F31" s="2" t="s">
        <v>27</v>
      </c>
      <c r="G31" s="2" t="s">
        <v>123</v>
      </c>
      <c r="H31" s="3">
        <v>45329.448611111111</v>
      </c>
      <c r="I31" s="3">
        <v>45329.681944444441</v>
      </c>
      <c r="J31" s="2">
        <v>236</v>
      </c>
      <c r="K31" s="2">
        <v>336</v>
      </c>
      <c r="L31" s="2">
        <v>1</v>
      </c>
      <c r="M31" s="2" t="s">
        <v>41</v>
      </c>
      <c r="N31" s="2">
        <v>7</v>
      </c>
      <c r="O31" s="2">
        <v>334.2</v>
      </c>
      <c r="P31" s="2">
        <f t="shared" si="0"/>
        <v>100</v>
      </c>
      <c r="Q31" s="4">
        <f t="shared" si="1"/>
        <v>0.70238095238095233</v>
      </c>
      <c r="R31" s="2" t="str">
        <f t="shared" si="2"/>
        <v>Inefficient</v>
      </c>
      <c r="S31" s="2" t="str">
        <f t="shared" si="3"/>
        <v>Very Long</v>
      </c>
      <c r="T31" s="2" t="str">
        <f t="shared" si="4"/>
        <v>Major Delay</v>
      </c>
    </row>
    <row r="32" spans="1:20" x14ac:dyDescent="0.35">
      <c r="A32" s="2" t="s">
        <v>124</v>
      </c>
      <c r="B32" s="2" t="s">
        <v>31</v>
      </c>
      <c r="C32" s="2" t="s">
        <v>125</v>
      </c>
      <c r="D32" s="2" t="s">
        <v>48</v>
      </c>
      <c r="E32" s="2" t="s">
        <v>19</v>
      </c>
      <c r="F32" s="2" t="s">
        <v>20</v>
      </c>
      <c r="G32" s="2" t="s">
        <v>126</v>
      </c>
      <c r="H32" s="3">
        <v>45536.031944444447</v>
      </c>
      <c r="I32" s="3">
        <v>45536.172222222223</v>
      </c>
      <c r="J32" s="2">
        <v>88</v>
      </c>
      <c r="K32" s="2">
        <v>202</v>
      </c>
      <c r="L32" s="2">
        <v>1</v>
      </c>
      <c r="M32" s="2" t="s">
        <v>29</v>
      </c>
      <c r="N32" s="2">
        <v>7</v>
      </c>
      <c r="O32" s="2">
        <v>285.27</v>
      </c>
      <c r="P32" s="2">
        <f t="shared" si="0"/>
        <v>114</v>
      </c>
      <c r="Q32" s="4">
        <f t="shared" si="1"/>
        <v>0.43564356435643564</v>
      </c>
      <c r="R32" s="2" t="str">
        <f t="shared" si="2"/>
        <v>Inefficient</v>
      </c>
      <c r="S32" s="2" t="str">
        <f t="shared" si="3"/>
        <v>Very Long</v>
      </c>
      <c r="T32" s="2" t="str">
        <f t="shared" si="4"/>
        <v>Major Delay</v>
      </c>
    </row>
    <row r="33" spans="1:20" x14ac:dyDescent="0.35">
      <c r="A33" s="2" t="s">
        <v>127</v>
      </c>
      <c r="B33" s="2" t="s">
        <v>31</v>
      </c>
      <c r="C33" s="2" t="s">
        <v>128</v>
      </c>
      <c r="D33" s="2" t="s">
        <v>18</v>
      </c>
      <c r="E33" s="2" t="s">
        <v>33</v>
      </c>
      <c r="F33" s="2" t="s">
        <v>27</v>
      </c>
      <c r="G33" s="2" t="s">
        <v>129</v>
      </c>
      <c r="H33" s="3">
        <v>45425.44027777778</v>
      </c>
      <c r="I33" s="3">
        <v>45425.575694444444</v>
      </c>
      <c r="J33" s="2">
        <v>161</v>
      </c>
      <c r="K33" s="2">
        <v>195</v>
      </c>
      <c r="L33" s="2">
        <v>1</v>
      </c>
      <c r="M33" s="2" t="s">
        <v>41</v>
      </c>
      <c r="N33" s="2">
        <v>10</v>
      </c>
      <c r="O33" s="2">
        <v>98.6</v>
      </c>
      <c r="P33" s="2">
        <f t="shared" si="0"/>
        <v>34</v>
      </c>
      <c r="Q33" s="4">
        <f t="shared" si="1"/>
        <v>0.82564102564102559</v>
      </c>
      <c r="R33" s="2" t="str">
        <f t="shared" si="2"/>
        <v>Inefficient</v>
      </c>
      <c r="S33" s="2" t="str">
        <f t="shared" si="3"/>
        <v>Very Long</v>
      </c>
      <c r="T33" s="2" t="str">
        <f t="shared" si="4"/>
        <v>Major Delay</v>
      </c>
    </row>
    <row r="34" spans="1:20" x14ac:dyDescent="0.35">
      <c r="A34" s="2" t="s">
        <v>130</v>
      </c>
      <c r="B34" s="2" t="s">
        <v>51</v>
      </c>
      <c r="C34" s="2" t="s">
        <v>131</v>
      </c>
      <c r="D34" s="2" t="s">
        <v>44</v>
      </c>
      <c r="E34" s="2" t="s">
        <v>85</v>
      </c>
      <c r="F34" s="2" t="s">
        <v>27</v>
      </c>
      <c r="G34" s="2" t="s">
        <v>132</v>
      </c>
      <c r="H34" s="3">
        <v>45607</v>
      </c>
      <c r="I34" s="3">
        <v>45607.166666666664</v>
      </c>
      <c r="J34" s="2">
        <v>211</v>
      </c>
      <c r="K34" s="2">
        <v>240</v>
      </c>
      <c r="L34" s="2">
        <v>1</v>
      </c>
      <c r="M34" s="2" t="s">
        <v>22</v>
      </c>
      <c r="N34" s="2">
        <v>3</v>
      </c>
      <c r="O34" s="2">
        <v>181.64</v>
      </c>
      <c r="P34" s="2">
        <f t="shared" si="0"/>
        <v>29</v>
      </c>
      <c r="Q34" s="4">
        <f t="shared" si="1"/>
        <v>0.87916666666666665</v>
      </c>
      <c r="R34" s="2" t="str">
        <f t="shared" si="2"/>
        <v>Inefficient</v>
      </c>
      <c r="S34" s="2" t="str">
        <f t="shared" si="3"/>
        <v>Very Long</v>
      </c>
      <c r="T34" s="2" t="str">
        <f t="shared" si="4"/>
        <v>Minor Delay</v>
      </c>
    </row>
    <row r="35" spans="1:20" x14ac:dyDescent="0.35">
      <c r="A35" s="2" t="s">
        <v>133</v>
      </c>
      <c r="B35" s="2" t="s">
        <v>24</v>
      </c>
      <c r="C35" s="2" t="s">
        <v>134</v>
      </c>
      <c r="D35" s="2" t="s">
        <v>18</v>
      </c>
      <c r="E35" s="2" t="s">
        <v>19</v>
      </c>
      <c r="F35" s="2" t="s">
        <v>20</v>
      </c>
      <c r="G35" s="2" t="s">
        <v>61</v>
      </c>
      <c r="H35" s="3">
        <v>45498.651388888888</v>
      </c>
      <c r="I35" s="3">
        <v>45498.774305555555</v>
      </c>
      <c r="J35" s="2">
        <v>131</v>
      </c>
      <c r="K35" s="2">
        <v>177</v>
      </c>
      <c r="L35" s="2">
        <v>1</v>
      </c>
      <c r="M35" s="2" t="s">
        <v>22</v>
      </c>
      <c r="N35" s="2">
        <v>9</v>
      </c>
      <c r="O35" s="2">
        <v>270.29000000000002</v>
      </c>
      <c r="P35" s="2">
        <f t="shared" si="0"/>
        <v>46</v>
      </c>
      <c r="Q35" s="4">
        <f t="shared" si="1"/>
        <v>0.74011299435028244</v>
      </c>
      <c r="R35" s="2" t="str">
        <f t="shared" si="2"/>
        <v>Inefficient</v>
      </c>
      <c r="S35" s="2" t="str">
        <f t="shared" si="3"/>
        <v>Very Long</v>
      </c>
      <c r="T35" s="2" t="str">
        <f t="shared" si="4"/>
        <v>Major Delay</v>
      </c>
    </row>
    <row r="36" spans="1:20" x14ac:dyDescent="0.35">
      <c r="A36" s="2" t="s">
        <v>135</v>
      </c>
      <c r="B36" s="2" t="s">
        <v>24</v>
      </c>
      <c r="C36" s="2" t="s">
        <v>136</v>
      </c>
      <c r="D36" s="2" t="s">
        <v>48</v>
      </c>
      <c r="E36" s="2" t="s">
        <v>19</v>
      </c>
      <c r="F36" s="2" t="s">
        <v>39</v>
      </c>
      <c r="G36" s="2" t="s">
        <v>137</v>
      </c>
      <c r="H36" s="3">
        <v>45545.034722222219</v>
      </c>
      <c r="I36" s="3">
        <v>45545.084027777775</v>
      </c>
      <c r="J36" s="2">
        <v>63</v>
      </c>
      <c r="K36" s="2">
        <v>71</v>
      </c>
      <c r="L36" s="2">
        <v>1</v>
      </c>
      <c r="M36" s="2" t="s">
        <v>29</v>
      </c>
      <c r="N36" s="2">
        <v>5</v>
      </c>
      <c r="O36" s="2">
        <v>384.66</v>
      </c>
      <c r="P36" s="2">
        <f t="shared" si="0"/>
        <v>8</v>
      </c>
      <c r="Q36" s="4">
        <f t="shared" si="1"/>
        <v>0.88732394366197187</v>
      </c>
      <c r="R36" s="2" t="str">
        <f t="shared" si="2"/>
        <v>Inefficient</v>
      </c>
      <c r="S36" s="2" t="str">
        <f t="shared" si="3"/>
        <v>Long</v>
      </c>
      <c r="T36" s="2" t="str">
        <f t="shared" si="4"/>
        <v>Minor Delay</v>
      </c>
    </row>
    <row r="37" spans="1:20" x14ac:dyDescent="0.35">
      <c r="A37" s="2" t="s">
        <v>138</v>
      </c>
      <c r="B37" s="2" t="s">
        <v>31</v>
      </c>
      <c r="C37" s="2" t="s">
        <v>139</v>
      </c>
      <c r="D37" s="2" t="s">
        <v>44</v>
      </c>
      <c r="E37" s="2" t="s">
        <v>33</v>
      </c>
      <c r="F37" s="2" t="s">
        <v>57</v>
      </c>
      <c r="G37" s="2" t="s">
        <v>140</v>
      </c>
      <c r="H37" s="3">
        <v>45558.669444444444</v>
      </c>
      <c r="I37" s="3">
        <v>45558.793055555558</v>
      </c>
      <c r="J37" s="2">
        <v>163</v>
      </c>
      <c r="K37" s="2">
        <v>178</v>
      </c>
      <c r="L37" s="2">
        <v>1</v>
      </c>
      <c r="M37" s="2" t="s">
        <v>22</v>
      </c>
      <c r="N37" s="2">
        <v>6</v>
      </c>
      <c r="O37" s="2">
        <v>194.45</v>
      </c>
      <c r="P37" s="2">
        <f t="shared" si="0"/>
        <v>15</v>
      </c>
      <c r="Q37" s="4">
        <f t="shared" si="1"/>
        <v>0.9157303370786517</v>
      </c>
      <c r="R37" s="2" t="str">
        <f t="shared" si="2"/>
        <v>Inefficient</v>
      </c>
      <c r="S37" s="2" t="str">
        <f t="shared" si="3"/>
        <v>Very Long</v>
      </c>
      <c r="T37" s="2" t="str">
        <f t="shared" si="4"/>
        <v>Minor Delay</v>
      </c>
    </row>
    <row r="38" spans="1:20" x14ac:dyDescent="0.35">
      <c r="A38" s="2" t="s">
        <v>141</v>
      </c>
      <c r="B38" s="2" t="s">
        <v>31</v>
      </c>
      <c r="C38" s="2" t="s">
        <v>142</v>
      </c>
      <c r="D38" s="2" t="s">
        <v>56</v>
      </c>
      <c r="E38" s="2" t="s">
        <v>19</v>
      </c>
      <c r="F38" s="2" t="s">
        <v>39</v>
      </c>
      <c r="G38" s="2" t="s">
        <v>143</v>
      </c>
      <c r="H38" s="3">
        <v>45616.811111111114</v>
      </c>
      <c r="I38" s="3">
        <v>45616.878472222219</v>
      </c>
      <c r="J38" s="2">
        <v>86</v>
      </c>
      <c r="K38" s="2">
        <v>97</v>
      </c>
      <c r="L38" s="2">
        <v>1</v>
      </c>
      <c r="M38" s="2" t="s">
        <v>41</v>
      </c>
      <c r="N38" s="2">
        <v>4</v>
      </c>
      <c r="O38" s="2">
        <v>94.41</v>
      </c>
      <c r="P38" s="2">
        <f t="shared" si="0"/>
        <v>11</v>
      </c>
      <c r="Q38" s="4">
        <f t="shared" si="1"/>
        <v>0.88659793814432986</v>
      </c>
      <c r="R38" s="2" t="str">
        <f t="shared" si="2"/>
        <v>Inefficient</v>
      </c>
      <c r="S38" s="2" t="str">
        <f t="shared" si="3"/>
        <v>Long</v>
      </c>
      <c r="T38" s="2" t="str">
        <f t="shared" si="4"/>
        <v>Minor Delay</v>
      </c>
    </row>
    <row r="39" spans="1:20" x14ac:dyDescent="0.35">
      <c r="A39" s="2" t="s">
        <v>144</v>
      </c>
      <c r="B39" s="2" t="s">
        <v>24</v>
      </c>
      <c r="C39" s="2" t="s">
        <v>145</v>
      </c>
      <c r="D39" s="2" t="s">
        <v>48</v>
      </c>
      <c r="E39" s="2" t="s">
        <v>33</v>
      </c>
      <c r="F39" s="2" t="s">
        <v>57</v>
      </c>
      <c r="G39" s="2" t="s">
        <v>146</v>
      </c>
      <c r="H39" s="3">
        <v>45529.279166666667</v>
      </c>
      <c r="I39" s="3">
        <v>45529.459027777775</v>
      </c>
      <c r="J39" s="2">
        <v>229</v>
      </c>
      <c r="K39" s="2">
        <v>259</v>
      </c>
      <c r="L39" s="2">
        <v>1</v>
      </c>
      <c r="M39" s="2" t="s">
        <v>41</v>
      </c>
      <c r="N39" s="2">
        <v>2</v>
      </c>
      <c r="O39" s="2">
        <v>159.5</v>
      </c>
      <c r="P39" s="2">
        <f t="shared" si="0"/>
        <v>30</v>
      </c>
      <c r="Q39" s="4">
        <f t="shared" si="1"/>
        <v>0.88416988416988418</v>
      </c>
      <c r="R39" s="2" t="str">
        <f t="shared" si="2"/>
        <v>Inefficient</v>
      </c>
      <c r="S39" s="2" t="str">
        <f t="shared" si="3"/>
        <v>Very Long</v>
      </c>
      <c r="T39" s="2" t="str">
        <f t="shared" si="4"/>
        <v>Minor Delay</v>
      </c>
    </row>
    <row r="40" spans="1:20" x14ac:dyDescent="0.35">
      <c r="A40" s="2" t="s">
        <v>147</v>
      </c>
      <c r="B40" s="2" t="s">
        <v>31</v>
      </c>
      <c r="C40" s="2" t="s">
        <v>148</v>
      </c>
      <c r="D40" s="2" t="s">
        <v>48</v>
      </c>
      <c r="E40" s="2" t="s">
        <v>19</v>
      </c>
      <c r="F40" s="2" t="s">
        <v>34</v>
      </c>
      <c r="G40" s="2" t="s">
        <v>149</v>
      </c>
      <c r="H40" s="3">
        <v>45340.675000000003</v>
      </c>
      <c r="I40" s="3">
        <v>45340.804861111108</v>
      </c>
      <c r="J40" s="2">
        <v>108</v>
      </c>
      <c r="K40" s="2">
        <v>187</v>
      </c>
      <c r="L40" s="2">
        <v>1</v>
      </c>
      <c r="M40" s="2" t="s">
        <v>29</v>
      </c>
      <c r="N40" s="2">
        <v>10</v>
      </c>
      <c r="O40" s="2">
        <v>376.48</v>
      </c>
      <c r="P40" s="2">
        <f t="shared" si="0"/>
        <v>79</v>
      </c>
      <c r="Q40" s="4">
        <f t="shared" si="1"/>
        <v>0.57754010695187163</v>
      </c>
      <c r="R40" s="2" t="str">
        <f t="shared" si="2"/>
        <v>Inefficient</v>
      </c>
      <c r="S40" s="2" t="str">
        <f t="shared" si="3"/>
        <v>Very Long</v>
      </c>
      <c r="T40" s="2" t="str">
        <f t="shared" si="4"/>
        <v>Major Delay</v>
      </c>
    </row>
    <row r="41" spans="1:20" x14ac:dyDescent="0.35">
      <c r="A41" s="2" t="s">
        <v>150</v>
      </c>
      <c r="B41" s="2" t="s">
        <v>51</v>
      </c>
      <c r="C41" s="2" t="s">
        <v>151</v>
      </c>
      <c r="D41" s="2" t="s">
        <v>48</v>
      </c>
      <c r="E41" s="2" t="s">
        <v>38</v>
      </c>
      <c r="F41" s="2" t="s">
        <v>20</v>
      </c>
      <c r="G41" s="2" t="s">
        <v>152</v>
      </c>
      <c r="H41" s="3">
        <v>45316.730555555558</v>
      </c>
      <c r="I41" s="3">
        <v>45316.839583333334</v>
      </c>
      <c r="J41" s="2">
        <v>154</v>
      </c>
      <c r="K41" s="2">
        <v>157</v>
      </c>
      <c r="L41" s="2">
        <v>1</v>
      </c>
      <c r="M41" s="2" t="s">
        <v>29</v>
      </c>
      <c r="N41" s="2">
        <v>4</v>
      </c>
      <c r="O41" s="2">
        <v>388.34</v>
      </c>
      <c r="P41" s="2">
        <f t="shared" si="0"/>
        <v>3</v>
      </c>
      <c r="Q41" s="4">
        <f t="shared" si="1"/>
        <v>0.98089171974522293</v>
      </c>
      <c r="R41" s="2" t="str">
        <f t="shared" si="2"/>
        <v>Inefficient</v>
      </c>
      <c r="S41" s="2" t="str">
        <f t="shared" si="3"/>
        <v>Very Long</v>
      </c>
      <c r="T41" s="2" t="str">
        <f t="shared" si="4"/>
        <v>Minor Delay</v>
      </c>
    </row>
    <row r="42" spans="1:20" x14ac:dyDescent="0.35">
      <c r="A42" s="2" t="s">
        <v>153</v>
      </c>
      <c r="B42" s="2" t="s">
        <v>51</v>
      </c>
      <c r="C42" s="2" t="s">
        <v>154</v>
      </c>
      <c r="D42" s="2" t="s">
        <v>44</v>
      </c>
      <c r="E42" s="2" t="s">
        <v>33</v>
      </c>
      <c r="F42" s="2" t="s">
        <v>34</v>
      </c>
      <c r="G42" s="2" t="s">
        <v>155</v>
      </c>
      <c r="H42" s="3">
        <v>45624.042361111111</v>
      </c>
      <c r="I42" s="3">
        <v>45624.190972222219</v>
      </c>
      <c r="J42" s="2">
        <v>201</v>
      </c>
      <c r="K42" s="2">
        <v>214</v>
      </c>
      <c r="L42" s="2">
        <v>1</v>
      </c>
      <c r="M42" s="2" t="s">
        <v>22</v>
      </c>
      <c r="N42" s="2">
        <v>5</v>
      </c>
      <c r="O42" s="2">
        <v>291.08</v>
      </c>
      <c r="P42" s="2">
        <f t="shared" si="0"/>
        <v>13</v>
      </c>
      <c r="Q42" s="4">
        <f t="shared" si="1"/>
        <v>0.93925233644859818</v>
      </c>
      <c r="R42" s="2" t="str">
        <f t="shared" si="2"/>
        <v>Inefficient</v>
      </c>
      <c r="S42" s="2" t="str">
        <f t="shared" si="3"/>
        <v>Very Long</v>
      </c>
      <c r="T42" s="2" t="str">
        <f t="shared" si="4"/>
        <v>Minor Delay</v>
      </c>
    </row>
    <row r="43" spans="1:20" x14ac:dyDescent="0.35">
      <c r="A43" s="2" t="s">
        <v>156</v>
      </c>
      <c r="B43" s="2" t="s">
        <v>16</v>
      </c>
      <c r="C43" s="2" t="s">
        <v>157</v>
      </c>
      <c r="D43" s="2" t="s">
        <v>48</v>
      </c>
      <c r="E43" s="2" t="s">
        <v>33</v>
      </c>
      <c r="F43" s="2" t="s">
        <v>27</v>
      </c>
      <c r="G43" s="2" t="s">
        <v>158</v>
      </c>
      <c r="H43" s="3">
        <v>45308.708333333336</v>
      </c>
      <c r="I43" s="3">
        <v>45308.865277777775</v>
      </c>
      <c r="J43" s="2">
        <v>161</v>
      </c>
      <c r="K43" s="2">
        <v>226</v>
      </c>
      <c r="L43" s="2">
        <v>1</v>
      </c>
      <c r="M43" s="2" t="s">
        <v>41</v>
      </c>
      <c r="N43" s="2">
        <v>7</v>
      </c>
      <c r="O43" s="2">
        <v>439.36</v>
      </c>
      <c r="P43" s="2">
        <f t="shared" si="0"/>
        <v>65</v>
      </c>
      <c r="Q43" s="4">
        <f t="shared" si="1"/>
        <v>0.71238938053097345</v>
      </c>
      <c r="R43" s="2" t="str">
        <f t="shared" si="2"/>
        <v>Inefficient</v>
      </c>
      <c r="S43" s="2" t="str">
        <f t="shared" si="3"/>
        <v>Very Long</v>
      </c>
      <c r="T43" s="2" t="str">
        <f t="shared" si="4"/>
        <v>Major Delay</v>
      </c>
    </row>
    <row r="44" spans="1:20" x14ac:dyDescent="0.35">
      <c r="A44" s="2" t="s">
        <v>159</v>
      </c>
      <c r="B44" s="2" t="s">
        <v>31</v>
      </c>
      <c r="C44" s="2" t="s">
        <v>160</v>
      </c>
      <c r="D44" s="2" t="s">
        <v>44</v>
      </c>
      <c r="E44" s="2" t="s">
        <v>38</v>
      </c>
      <c r="F44" s="2" t="s">
        <v>20</v>
      </c>
      <c r="G44" s="2" t="s">
        <v>161</v>
      </c>
      <c r="H44" s="3">
        <v>45406.240972222222</v>
      </c>
      <c r="I44" s="3">
        <v>45406.336805555555</v>
      </c>
      <c r="J44" s="2">
        <v>111</v>
      </c>
      <c r="K44" s="2">
        <v>138</v>
      </c>
      <c r="L44" s="2">
        <v>1</v>
      </c>
      <c r="M44" s="2" t="s">
        <v>22</v>
      </c>
      <c r="N44" s="2">
        <v>2</v>
      </c>
      <c r="O44" s="2">
        <v>333.11</v>
      </c>
      <c r="P44" s="2">
        <f t="shared" si="0"/>
        <v>27</v>
      </c>
      <c r="Q44" s="4">
        <f t="shared" si="1"/>
        <v>0.80434782608695654</v>
      </c>
      <c r="R44" s="2" t="str">
        <f t="shared" si="2"/>
        <v>Inefficient</v>
      </c>
      <c r="S44" s="2" t="str">
        <f t="shared" si="3"/>
        <v>Very Long</v>
      </c>
      <c r="T44" s="2" t="str">
        <f t="shared" si="4"/>
        <v>Minor Delay</v>
      </c>
    </row>
    <row r="45" spans="1:20" x14ac:dyDescent="0.35">
      <c r="A45" s="2" t="s">
        <v>162</v>
      </c>
      <c r="B45" s="2" t="s">
        <v>31</v>
      </c>
      <c r="C45" s="2" t="s">
        <v>163</v>
      </c>
      <c r="D45" s="2" t="s">
        <v>48</v>
      </c>
      <c r="E45" s="2" t="s">
        <v>85</v>
      </c>
      <c r="F45" s="2" t="s">
        <v>34</v>
      </c>
      <c r="G45" s="2" t="s">
        <v>164</v>
      </c>
      <c r="H45" s="3">
        <v>45465.821527777778</v>
      </c>
      <c r="I45" s="3">
        <v>45466.001388888886</v>
      </c>
      <c r="J45" s="2">
        <v>210</v>
      </c>
      <c r="K45" s="2">
        <v>259</v>
      </c>
      <c r="L45" s="2">
        <v>1</v>
      </c>
      <c r="M45" s="2" t="s">
        <v>22</v>
      </c>
      <c r="N45" s="2">
        <v>5</v>
      </c>
      <c r="O45" s="2">
        <v>474.62</v>
      </c>
      <c r="P45" s="2">
        <f t="shared" si="0"/>
        <v>49</v>
      </c>
      <c r="Q45" s="4">
        <f t="shared" si="1"/>
        <v>0.81081081081081086</v>
      </c>
      <c r="R45" s="2" t="str">
        <f t="shared" si="2"/>
        <v>Inefficient</v>
      </c>
      <c r="S45" s="2" t="str">
        <f t="shared" si="3"/>
        <v>Very Long</v>
      </c>
      <c r="T45" s="2" t="str">
        <f t="shared" si="4"/>
        <v>Major Delay</v>
      </c>
    </row>
    <row r="46" spans="1:20" x14ac:dyDescent="0.35">
      <c r="A46" s="2" t="s">
        <v>165</v>
      </c>
      <c r="B46" s="2" t="s">
        <v>63</v>
      </c>
      <c r="C46" s="2" t="s">
        <v>166</v>
      </c>
      <c r="D46" s="2" t="s">
        <v>18</v>
      </c>
      <c r="E46" s="2" t="s">
        <v>19</v>
      </c>
      <c r="F46" s="2" t="s">
        <v>34</v>
      </c>
      <c r="G46" s="2" t="s">
        <v>167</v>
      </c>
      <c r="H46" s="3">
        <v>45463.996527777781</v>
      </c>
      <c r="I46" s="3">
        <v>45464.079861111109</v>
      </c>
      <c r="J46" s="2">
        <v>62</v>
      </c>
      <c r="K46" s="2">
        <v>120</v>
      </c>
      <c r="L46" s="2">
        <v>1</v>
      </c>
      <c r="M46" s="2" t="s">
        <v>22</v>
      </c>
      <c r="N46" s="2">
        <v>8</v>
      </c>
      <c r="O46" s="2">
        <v>173.69</v>
      </c>
      <c r="P46" s="2">
        <f t="shared" si="0"/>
        <v>58</v>
      </c>
      <c r="Q46" s="4">
        <f t="shared" si="1"/>
        <v>0.51666666666666672</v>
      </c>
      <c r="R46" s="2" t="str">
        <f t="shared" si="2"/>
        <v>Inefficient</v>
      </c>
      <c r="S46" s="2" t="str">
        <f t="shared" si="3"/>
        <v>Very Long</v>
      </c>
      <c r="T46" s="2" t="str">
        <f t="shared" si="4"/>
        <v>Major Delay</v>
      </c>
    </row>
    <row r="47" spans="1:20" x14ac:dyDescent="0.35">
      <c r="A47" s="2" t="s">
        <v>168</v>
      </c>
      <c r="B47" s="2" t="s">
        <v>63</v>
      </c>
      <c r="C47" s="2" t="s">
        <v>169</v>
      </c>
      <c r="D47" s="2" t="s">
        <v>26</v>
      </c>
      <c r="E47" s="2" t="s">
        <v>19</v>
      </c>
      <c r="F47" s="2" t="s">
        <v>34</v>
      </c>
      <c r="G47" s="2" t="s">
        <v>170</v>
      </c>
      <c r="H47" s="3">
        <v>45621.273611111108</v>
      </c>
      <c r="I47" s="3">
        <v>45621.339583333334</v>
      </c>
      <c r="J47" s="2">
        <v>82</v>
      </c>
      <c r="K47" s="2">
        <v>95</v>
      </c>
      <c r="L47" s="2">
        <v>1</v>
      </c>
      <c r="M47" s="2" t="s">
        <v>22</v>
      </c>
      <c r="N47" s="2">
        <v>5</v>
      </c>
      <c r="O47" s="2">
        <v>170.79</v>
      </c>
      <c r="P47" s="2">
        <f t="shared" si="0"/>
        <v>13</v>
      </c>
      <c r="Q47" s="4">
        <f t="shared" si="1"/>
        <v>0.86315789473684212</v>
      </c>
      <c r="R47" s="2" t="str">
        <f t="shared" si="2"/>
        <v>Inefficient</v>
      </c>
      <c r="S47" s="2" t="str">
        <f t="shared" si="3"/>
        <v>Long</v>
      </c>
      <c r="T47" s="2" t="str">
        <f t="shared" si="4"/>
        <v>Minor Delay</v>
      </c>
    </row>
    <row r="48" spans="1:20" x14ac:dyDescent="0.35">
      <c r="A48" s="2" t="s">
        <v>171</v>
      </c>
      <c r="B48" s="2" t="s">
        <v>24</v>
      </c>
      <c r="C48" s="2" t="s">
        <v>172</v>
      </c>
      <c r="D48" s="2" t="s">
        <v>48</v>
      </c>
      <c r="E48" s="2" t="s">
        <v>33</v>
      </c>
      <c r="F48" s="2" t="s">
        <v>57</v>
      </c>
      <c r="G48" s="2" t="s">
        <v>173</v>
      </c>
      <c r="H48" s="3">
        <v>45300.022222222222</v>
      </c>
      <c r="I48" s="3">
        <v>45300.12222222222</v>
      </c>
      <c r="J48" s="2">
        <v>76</v>
      </c>
      <c r="K48" s="2">
        <v>144</v>
      </c>
      <c r="L48" s="2">
        <v>1</v>
      </c>
      <c r="M48" s="2" t="s">
        <v>22</v>
      </c>
      <c r="N48" s="2">
        <v>6</v>
      </c>
      <c r="O48" s="2">
        <v>482.99</v>
      </c>
      <c r="P48" s="2">
        <f t="shared" si="0"/>
        <v>68</v>
      </c>
      <c r="Q48" s="4">
        <f t="shared" si="1"/>
        <v>0.52777777777777779</v>
      </c>
      <c r="R48" s="2" t="str">
        <f t="shared" si="2"/>
        <v>Inefficient</v>
      </c>
      <c r="S48" s="2" t="str">
        <f t="shared" si="3"/>
        <v>Very Long</v>
      </c>
      <c r="T48" s="2" t="str">
        <f t="shared" si="4"/>
        <v>Major Delay</v>
      </c>
    </row>
    <row r="49" spans="1:20" x14ac:dyDescent="0.35">
      <c r="A49" s="2" t="s">
        <v>174</v>
      </c>
      <c r="B49" s="2" t="s">
        <v>31</v>
      </c>
      <c r="C49" s="2" t="s">
        <v>175</v>
      </c>
      <c r="D49" s="2" t="s">
        <v>48</v>
      </c>
      <c r="E49" s="2" t="s">
        <v>19</v>
      </c>
      <c r="F49" s="2" t="s">
        <v>57</v>
      </c>
      <c r="G49" s="2" t="s">
        <v>53</v>
      </c>
      <c r="H49" s="3">
        <v>45446.170138888891</v>
      </c>
      <c r="I49" s="3">
        <v>45446.397222222222</v>
      </c>
      <c r="J49" s="2">
        <v>228</v>
      </c>
      <c r="K49" s="2">
        <v>327</v>
      </c>
      <c r="L49" s="2">
        <v>1</v>
      </c>
      <c r="M49" s="2" t="s">
        <v>29</v>
      </c>
      <c r="N49" s="2">
        <v>3</v>
      </c>
      <c r="O49" s="2">
        <v>205.93</v>
      </c>
      <c r="P49" s="2">
        <f t="shared" si="0"/>
        <v>99</v>
      </c>
      <c r="Q49" s="4">
        <f t="shared" si="1"/>
        <v>0.69724770642201839</v>
      </c>
      <c r="R49" s="2" t="str">
        <f t="shared" si="2"/>
        <v>Inefficient</v>
      </c>
      <c r="S49" s="2" t="str">
        <f t="shared" si="3"/>
        <v>Very Long</v>
      </c>
      <c r="T49" s="2" t="str">
        <f t="shared" si="4"/>
        <v>Major Delay</v>
      </c>
    </row>
    <row r="50" spans="1:20" x14ac:dyDescent="0.35">
      <c r="A50" s="2" t="s">
        <v>176</v>
      </c>
      <c r="B50" s="2" t="s">
        <v>24</v>
      </c>
      <c r="C50" s="2" t="s">
        <v>177</v>
      </c>
      <c r="D50" s="2" t="s">
        <v>44</v>
      </c>
      <c r="E50" s="2" t="s">
        <v>85</v>
      </c>
      <c r="F50" s="2" t="s">
        <v>57</v>
      </c>
      <c r="G50" s="2" t="s">
        <v>123</v>
      </c>
      <c r="H50" s="3">
        <v>45467.522916666669</v>
      </c>
      <c r="I50" s="3">
        <v>45467.634722222225</v>
      </c>
      <c r="J50" s="2">
        <v>83</v>
      </c>
      <c r="K50" s="2">
        <v>161</v>
      </c>
      <c r="L50" s="2">
        <v>1</v>
      </c>
      <c r="M50" s="2" t="s">
        <v>22</v>
      </c>
      <c r="N50" s="2">
        <v>1</v>
      </c>
      <c r="O50" s="2">
        <v>197.84</v>
      </c>
      <c r="P50" s="2">
        <f t="shared" si="0"/>
        <v>78</v>
      </c>
      <c r="Q50" s="4">
        <f t="shared" si="1"/>
        <v>0.51552795031055898</v>
      </c>
      <c r="R50" s="2" t="str">
        <f t="shared" si="2"/>
        <v>Inefficient</v>
      </c>
      <c r="S50" s="2" t="str">
        <f t="shared" si="3"/>
        <v>Very Long</v>
      </c>
      <c r="T50" s="2" t="str">
        <f t="shared" si="4"/>
        <v>Major Delay</v>
      </c>
    </row>
    <row r="51" spans="1:20" x14ac:dyDescent="0.35">
      <c r="A51" s="2" t="s">
        <v>178</v>
      </c>
      <c r="B51" s="2" t="s">
        <v>16</v>
      </c>
      <c r="C51" s="2" t="s">
        <v>179</v>
      </c>
      <c r="D51" s="2" t="s">
        <v>18</v>
      </c>
      <c r="E51" s="2" t="s">
        <v>33</v>
      </c>
      <c r="F51" s="2" t="s">
        <v>57</v>
      </c>
      <c r="G51" s="2" t="s">
        <v>167</v>
      </c>
      <c r="H51" s="3">
        <v>45486.054861111108</v>
      </c>
      <c r="I51" s="3">
        <v>45486.224999999999</v>
      </c>
      <c r="J51" s="2">
        <v>195</v>
      </c>
      <c r="K51" s="2">
        <v>245</v>
      </c>
      <c r="L51" s="2">
        <v>1</v>
      </c>
      <c r="M51" s="2" t="s">
        <v>29</v>
      </c>
      <c r="N51" s="2">
        <v>6</v>
      </c>
      <c r="O51" s="2">
        <v>252.59</v>
      </c>
      <c r="P51" s="2">
        <f t="shared" si="0"/>
        <v>50</v>
      </c>
      <c r="Q51" s="4">
        <f t="shared" si="1"/>
        <v>0.79591836734693877</v>
      </c>
      <c r="R51" s="2" t="str">
        <f t="shared" si="2"/>
        <v>Inefficient</v>
      </c>
      <c r="S51" s="2" t="str">
        <f t="shared" si="3"/>
        <v>Very Long</v>
      </c>
      <c r="T51" s="2" t="str">
        <f t="shared" si="4"/>
        <v>Major Delay</v>
      </c>
    </row>
    <row r="52" spans="1:20" x14ac:dyDescent="0.35">
      <c r="A52" s="2" t="s">
        <v>180</v>
      </c>
      <c r="B52" s="2" t="s">
        <v>63</v>
      </c>
      <c r="C52" s="2" t="s">
        <v>181</v>
      </c>
      <c r="D52" s="2" t="s">
        <v>26</v>
      </c>
      <c r="E52" s="2" t="s">
        <v>33</v>
      </c>
      <c r="F52" s="2" t="s">
        <v>57</v>
      </c>
      <c r="G52" s="2" t="s">
        <v>182</v>
      </c>
      <c r="H52" s="3">
        <v>45511.107638888891</v>
      </c>
      <c r="I52" s="3">
        <v>45511.191666666666</v>
      </c>
      <c r="J52" s="2">
        <v>52</v>
      </c>
      <c r="K52" s="2">
        <v>121</v>
      </c>
      <c r="L52" s="2">
        <v>1</v>
      </c>
      <c r="M52" s="2" t="s">
        <v>41</v>
      </c>
      <c r="N52" s="2">
        <v>1</v>
      </c>
      <c r="O52" s="2">
        <v>122.07</v>
      </c>
      <c r="P52" s="2">
        <f t="shared" si="0"/>
        <v>69</v>
      </c>
      <c r="Q52" s="4">
        <f t="shared" si="1"/>
        <v>0.42975206611570249</v>
      </c>
      <c r="R52" s="2" t="str">
        <f t="shared" si="2"/>
        <v>Inefficient</v>
      </c>
      <c r="S52" s="2" t="str">
        <f t="shared" si="3"/>
        <v>Very Long</v>
      </c>
      <c r="T52" s="2" t="str">
        <f t="shared" si="4"/>
        <v>Major Delay</v>
      </c>
    </row>
    <row r="53" spans="1:20" x14ac:dyDescent="0.35">
      <c r="A53" s="2" t="s">
        <v>183</v>
      </c>
      <c r="B53" s="2" t="s">
        <v>51</v>
      </c>
      <c r="C53" s="2" t="s">
        <v>184</v>
      </c>
      <c r="D53" s="2" t="s">
        <v>26</v>
      </c>
      <c r="E53" s="2" t="s">
        <v>85</v>
      </c>
      <c r="F53" s="2" t="s">
        <v>27</v>
      </c>
      <c r="G53" s="2" t="s">
        <v>185</v>
      </c>
      <c r="H53" s="3">
        <v>45362.543749999997</v>
      </c>
      <c r="I53" s="3">
        <v>45362.645138888889</v>
      </c>
      <c r="J53" s="2">
        <v>48</v>
      </c>
      <c r="K53" s="2">
        <v>146</v>
      </c>
      <c r="L53" s="2">
        <v>1</v>
      </c>
      <c r="M53" s="2" t="s">
        <v>41</v>
      </c>
      <c r="N53" s="2">
        <v>2</v>
      </c>
      <c r="O53" s="2">
        <v>54.31</v>
      </c>
      <c r="P53" s="2">
        <f t="shared" si="0"/>
        <v>98</v>
      </c>
      <c r="Q53" s="4">
        <f t="shared" si="1"/>
        <v>0.32876712328767121</v>
      </c>
      <c r="R53" s="2" t="str">
        <f t="shared" si="2"/>
        <v>Inefficient</v>
      </c>
      <c r="S53" s="2" t="str">
        <f t="shared" si="3"/>
        <v>Very Long</v>
      </c>
      <c r="T53" s="2" t="str">
        <f t="shared" si="4"/>
        <v>Major Delay</v>
      </c>
    </row>
    <row r="54" spans="1:20" x14ac:dyDescent="0.35">
      <c r="A54" s="2" t="s">
        <v>186</v>
      </c>
      <c r="B54" s="2" t="s">
        <v>51</v>
      </c>
      <c r="C54" s="2" t="s">
        <v>187</v>
      </c>
      <c r="D54" s="2" t="s">
        <v>26</v>
      </c>
      <c r="E54" s="2" t="s">
        <v>38</v>
      </c>
      <c r="F54" s="2" t="s">
        <v>39</v>
      </c>
      <c r="G54" s="2" t="s">
        <v>188</v>
      </c>
      <c r="H54" s="3">
        <v>45482.309027777781</v>
      </c>
      <c r="I54" s="3">
        <v>45482.431250000001</v>
      </c>
      <c r="J54" s="2">
        <v>174</v>
      </c>
      <c r="K54" s="2">
        <v>176</v>
      </c>
      <c r="L54" s="2">
        <v>1</v>
      </c>
      <c r="M54" s="2" t="s">
        <v>22</v>
      </c>
      <c r="N54" s="2">
        <v>8</v>
      </c>
      <c r="O54" s="2">
        <v>322.24</v>
      </c>
      <c r="P54" s="2">
        <f t="shared" si="0"/>
        <v>2</v>
      </c>
      <c r="Q54" s="4">
        <f t="shared" si="1"/>
        <v>0.98863636363636365</v>
      </c>
      <c r="R54" s="2" t="str">
        <f t="shared" si="2"/>
        <v>Inefficient</v>
      </c>
      <c r="S54" s="2" t="str">
        <f t="shared" si="3"/>
        <v>Very Long</v>
      </c>
      <c r="T54" s="2" t="str">
        <f t="shared" si="4"/>
        <v>Minor Delay</v>
      </c>
    </row>
    <row r="55" spans="1:20" x14ac:dyDescent="0.35">
      <c r="A55" s="2" t="s">
        <v>189</v>
      </c>
      <c r="B55" s="2" t="s">
        <v>16</v>
      </c>
      <c r="C55" s="2" t="s">
        <v>190</v>
      </c>
      <c r="D55" s="2" t="s">
        <v>18</v>
      </c>
      <c r="E55" s="2" t="s">
        <v>33</v>
      </c>
      <c r="F55" s="2" t="s">
        <v>57</v>
      </c>
      <c r="G55" s="2" t="s">
        <v>191</v>
      </c>
      <c r="H55" s="3">
        <v>45516.650694444441</v>
      </c>
      <c r="I55" s="3">
        <v>45516.740972222222</v>
      </c>
      <c r="J55" s="2">
        <v>67</v>
      </c>
      <c r="K55" s="2">
        <v>130</v>
      </c>
      <c r="L55" s="2">
        <v>1</v>
      </c>
      <c r="M55" s="2" t="s">
        <v>22</v>
      </c>
      <c r="N55" s="2">
        <v>2</v>
      </c>
      <c r="O55" s="2">
        <v>448.59</v>
      </c>
      <c r="P55" s="2">
        <f t="shared" si="0"/>
        <v>63</v>
      </c>
      <c r="Q55" s="4">
        <f t="shared" si="1"/>
        <v>0.51538461538461533</v>
      </c>
      <c r="R55" s="2" t="str">
        <f t="shared" si="2"/>
        <v>Inefficient</v>
      </c>
      <c r="S55" s="2" t="str">
        <f t="shared" si="3"/>
        <v>Very Long</v>
      </c>
      <c r="T55" s="2" t="str">
        <f t="shared" si="4"/>
        <v>Major Delay</v>
      </c>
    </row>
    <row r="56" spans="1:20" x14ac:dyDescent="0.35">
      <c r="A56" s="2" t="s">
        <v>192</v>
      </c>
      <c r="B56" s="2" t="s">
        <v>16</v>
      </c>
      <c r="C56" s="2" t="s">
        <v>193</v>
      </c>
      <c r="D56" s="2" t="s">
        <v>48</v>
      </c>
      <c r="E56" s="2" t="s">
        <v>19</v>
      </c>
      <c r="F56" s="2" t="s">
        <v>27</v>
      </c>
      <c r="G56" s="2" t="s">
        <v>194</v>
      </c>
      <c r="H56" s="3">
        <v>45375.515277777777</v>
      </c>
      <c r="I56" s="3">
        <v>45375.675694444442</v>
      </c>
      <c r="J56" s="2">
        <v>183</v>
      </c>
      <c r="K56" s="2">
        <v>231</v>
      </c>
      <c r="L56" s="2">
        <v>1</v>
      </c>
      <c r="M56" s="2" t="s">
        <v>41</v>
      </c>
      <c r="N56" s="2">
        <v>1</v>
      </c>
      <c r="O56" s="2">
        <v>51.05</v>
      </c>
      <c r="P56" s="2">
        <f t="shared" si="0"/>
        <v>48</v>
      </c>
      <c r="Q56" s="4">
        <f t="shared" si="1"/>
        <v>0.79220779220779225</v>
      </c>
      <c r="R56" s="2" t="str">
        <f t="shared" si="2"/>
        <v>Inefficient</v>
      </c>
      <c r="S56" s="2" t="str">
        <f t="shared" si="3"/>
        <v>Very Long</v>
      </c>
      <c r="T56" s="2" t="str">
        <f t="shared" si="4"/>
        <v>Major Delay</v>
      </c>
    </row>
    <row r="57" spans="1:20" x14ac:dyDescent="0.35">
      <c r="A57" s="2" t="s">
        <v>195</v>
      </c>
      <c r="B57" s="2" t="s">
        <v>63</v>
      </c>
      <c r="C57" s="2" t="s">
        <v>196</v>
      </c>
      <c r="D57" s="2" t="s">
        <v>44</v>
      </c>
      <c r="E57" s="2" t="s">
        <v>85</v>
      </c>
      <c r="F57" s="2" t="s">
        <v>27</v>
      </c>
      <c r="G57" s="2" t="s">
        <v>170</v>
      </c>
      <c r="H57" s="3">
        <v>45621.458333333336</v>
      </c>
      <c r="I57" s="3">
        <v>45621.557638888888</v>
      </c>
      <c r="J57" s="2">
        <v>71</v>
      </c>
      <c r="K57" s="2">
        <v>143</v>
      </c>
      <c r="L57" s="2">
        <v>1</v>
      </c>
      <c r="M57" s="2" t="s">
        <v>22</v>
      </c>
      <c r="N57" s="2">
        <v>1</v>
      </c>
      <c r="O57" s="2">
        <v>116.5</v>
      </c>
      <c r="P57" s="2">
        <f t="shared" si="0"/>
        <v>72</v>
      </c>
      <c r="Q57" s="4">
        <f t="shared" si="1"/>
        <v>0.49650349650349651</v>
      </c>
      <c r="R57" s="2" t="str">
        <f t="shared" si="2"/>
        <v>Inefficient</v>
      </c>
      <c r="S57" s="2" t="str">
        <f t="shared" si="3"/>
        <v>Very Long</v>
      </c>
      <c r="T57" s="2" t="str">
        <f t="shared" si="4"/>
        <v>Major Delay</v>
      </c>
    </row>
    <row r="58" spans="1:20" x14ac:dyDescent="0.35">
      <c r="A58" s="2" t="s">
        <v>197</v>
      </c>
      <c r="B58" s="2" t="s">
        <v>16</v>
      </c>
      <c r="C58" s="2" t="s">
        <v>198</v>
      </c>
      <c r="D58" s="2" t="s">
        <v>48</v>
      </c>
      <c r="E58" s="2" t="s">
        <v>33</v>
      </c>
      <c r="F58" s="2" t="s">
        <v>39</v>
      </c>
      <c r="G58" s="2" t="s">
        <v>137</v>
      </c>
      <c r="H58" s="3">
        <v>45355.861111111109</v>
      </c>
      <c r="I58" s="3">
        <v>45355.893055555556</v>
      </c>
      <c r="J58" s="2">
        <v>42</v>
      </c>
      <c r="K58" s="2">
        <v>46</v>
      </c>
      <c r="L58" s="2">
        <v>1</v>
      </c>
      <c r="M58" s="2" t="s">
        <v>22</v>
      </c>
      <c r="N58" s="2">
        <v>8</v>
      </c>
      <c r="O58" s="2">
        <v>148.44</v>
      </c>
      <c r="P58" s="2">
        <f t="shared" si="0"/>
        <v>4</v>
      </c>
      <c r="Q58" s="4">
        <f t="shared" si="1"/>
        <v>0.91304347826086951</v>
      </c>
      <c r="R58" s="2" t="str">
        <f t="shared" si="2"/>
        <v>Inefficient</v>
      </c>
      <c r="S58" s="2" t="str">
        <f t="shared" si="3"/>
        <v>Medium</v>
      </c>
      <c r="T58" s="2" t="str">
        <f t="shared" si="4"/>
        <v>Minor Delay</v>
      </c>
    </row>
    <row r="59" spans="1:20" x14ac:dyDescent="0.35">
      <c r="A59" s="2" t="s">
        <v>199</v>
      </c>
      <c r="B59" s="2" t="s">
        <v>31</v>
      </c>
      <c r="C59" s="2" t="s">
        <v>200</v>
      </c>
      <c r="D59" s="2" t="s">
        <v>56</v>
      </c>
      <c r="E59" s="2" t="s">
        <v>85</v>
      </c>
      <c r="F59" s="2" t="s">
        <v>20</v>
      </c>
      <c r="G59" s="2" t="s">
        <v>201</v>
      </c>
      <c r="H59" s="3">
        <v>45538.448611111111</v>
      </c>
      <c r="I59" s="3">
        <v>45538.478472222225</v>
      </c>
      <c r="J59" s="2">
        <v>40</v>
      </c>
      <c r="K59" s="2">
        <v>43</v>
      </c>
      <c r="L59" s="2">
        <v>1</v>
      </c>
      <c r="M59" s="2" t="s">
        <v>41</v>
      </c>
      <c r="N59" s="2">
        <v>4</v>
      </c>
      <c r="O59" s="2">
        <v>258.24</v>
      </c>
      <c r="P59" s="2">
        <f t="shared" si="0"/>
        <v>3</v>
      </c>
      <c r="Q59" s="4">
        <f t="shared" si="1"/>
        <v>0.93023255813953487</v>
      </c>
      <c r="R59" s="2" t="str">
        <f t="shared" si="2"/>
        <v>Inefficient</v>
      </c>
      <c r="S59" s="2" t="str">
        <f t="shared" si="3"/>
        <v>Medium</v>
      </c>
      <c r="T59" s="2" t="str">
        <f t="shared" si="4"/>
        <v>Minor Delay</v>
      </c>
    </row>
    <row r="60" spans="1:20" x14ac:dyDescent="0.35">
      <c r="A60" s="2" t="s">
        <v>202</v>
      </c>
      <c r="B60" s="2" t="s">
        <v>24</v>
      </c>
      <c r="C60" s="2" t="s">
        <v>203</v>
      </c>
      <c r="D60" s="2" t="s">
        <v>26</v>
      </c>
      <c r="E60" s="2" t="s">
        <v>19</v>
      </c>
      <c r="F60" s="2" t="s">
        <v>27</v>
      </c>
      <c r="G60" s="2" t="s">
        <v>204</v>
      </c>
      <c r="H60" s="3">
        <v>45330.066666666666</v>
      </c>
      <c r="I60" s="3">
        <v>45330.160416666666</v>
      </c>
      <c r="J60" s="2">
        <v>70</v>
      </c>
      <c r="K60" s="2">
        <v>135</v>
      </c>
      <c r="L60" s="2">
        <v>1</v>
      </c>
      <c r="M60" s="2" t="s">
        <v>41</v>
      </c>
      <c r="N60" s="2">
        <v>2</v>
      </c>
      <c r="O60" s="2">
        <v>202.6</v>
      </c>
      <c r="P60" s="2">
        <f t="shared" si="0"/>
        <v>65</v>
      </c>
      <c r="Q60" s="4">
        <f t="shared" si="1"/>
        <v>0.51851851851851849</v>
      </c>
      <c r="R60" s="2" t="str">
        <f t="shared" si="2"/>
        <v>Inefficient</v>
      </c>
      <c r="S60" s="2" t="str">
        <f t="shared" si="3"/>
        <v>Very Long</v>
      </c>
      <c r="T60" s="2" t="str">
        <f t="shared" si="4"/>
        <v>Major Delay</v>
      </c>
    </row>
    <row r="61" spans="1:20" x14ac:dyDescent="0.35">
      <c r="A61" s="2" t="s">
        <v>205</v>
      </c>
      <c r="B61" s="2" t="s">
        <v>24</v>
      </c>
      <c r="C61" s="2" t="s">
        <v>206</v>
      </c>
      <c r="D61" s="2" t="s">
        <v>56</v>
      </c>
      <c r="E61" s="2" t="s">
        <v>85</v>
      </c>
      <c r="F61" s="2" t="s">
        <v>57</v>
      </c>
      <c r="G61" s="2" t="s">
        <v>207</v>
      </c>
      <c r="H61" s="3">
        <v>45454.024305555555</v>
      </c>
      <c r="I61" s="3">
        <v>45454.178472222222</v>
      </c>
      <c r="J61" s="2">
        <v>187</v>
      </c>
      <c r="K61" s="2">
        <v>222</v>
      </c>
      <c r="L61" s="2">
        <v>1</v>
      </c>
      <c r="M61" s="2" t="s">
        <v>41</v>
      </c>
      <c r="N61" s="2">
        <v>9</v>
      </c>
      <c r="O61" s="2">
        <v>60.36</v>
      </c>
      <c r="P61" s="2">
        <f t="shared" si="0"/>
        <v>35</v>
      </c>
      <c r="Q61" s="4">
        <f t="shared" si="1"/>
        <v>0.84234234234234229</v>
      </c>
      <c r="R61" s="2" t="str">
        <f t="shared" si="2"/>
        <v>Inefficient</v>
      </c>
      <c r="S61" s="2" t="str">
        <f t="shared" si="3"/>
        <v>Very Long</v>
      </c>
      <c r="T61" s="2" t="str">
        <f t="shared" si="4"/>
        <v>Major Delay</v>
      </c>
    </row>
    <row r="62" spans="1:20" x14ac:dyDescent="0.35">
      <c r="A62" s="2" t="s">
        <v>208</v>
      </c>
      <c r="B62" s="2" t="s">
        <v>31</v>
      </c>
      <c r="C62" s="2" t="s">
        <v>209</v>
      </c>
      <c r="D62" s="2" t="s">
        <v>18</v>
      </c>
      <c r="E62" s="2" t="s">
        <v>33</v>
      </c>
      <c r="F62" s="2" t="s">
        <v>57</v>
      </c>
      <c r="G62" s="2" t="s">
        <v>210</v>
      </c>
      <c r="H62" s="3">
        <v>45462.682638888888</v>
      </c>
      <c r="I62" s="3">
        <v>45462.836805555555</v>
      </c>
      <c r="J62" s="2">
        <v>207</v>
      </c>
      <c r="K62" s="2">
        <v>222</v>
      </c>
      <c r="L62" s="2">
        <v>1</v>
      </c>
      <c r="M62" s="2" t="s">
        <v>22</v>
      </c>
      <c r="N62" s="2">
        <v>5</v>
      </c>
      <c r="O62" s="2">
        <v>441.27</v>
      </c>
      <c r="P62" s="2">
        <f t="shared" si="0"/>
        <v>15</v>
      </c>
      <c r="Q62" s="4">
        <f t="shared" si="1"/>
        <v>0.93243243243243246</v>
      </c>
      <c r="R62" s="2" t="str">
        <f t="shared" si="2"/>
        <v>Inefficient</v>
      </c>
      <c r="S62" s="2" t="str">
        <f t="shared" si="3"/>
        <v>Very Long</v>
      </c>
      <c r="T62" s="2" t="str">
        <f t="shared" si="4"/>
        <v>Minor Delay</v>
      </c>
    </row>
    <row r="63" spans="1:20" x14ac:dyDescent="0.35">
      <c r="A63" s="2" t="s">
        <v>211</v>
      </c>
      <c r="B63" s="2" t="s">
        <v>24</v>
      </c>
      <c r="C63" s="2" t="s">
        <v>212</v>
      </c>
      <c r="D63" s="2" t="s">
        <v>18</v>
      </c>
      <c r="E63" s="2" t="s">
        <v>33</v>
      </c>
      <c r="F63" s="2" t="s">
        <v>39</v>
      </c>
      <c r="G63" s="2" t="s">
        <v>213</v>
      </c>
      <c r="H63" s="3">
        <v>45493.711805555555</v>
      </c>
      <c r="I63" s="3">
        <v>45493.787499999999</v>
      </c>
      <c r="J63" s="2">
        <v>88</v>
      </c>
      <c r="K63" s="2">
        <v>109</v>
      </c>
      <c r="L63" s="2">
        <v>1</v>
      </c>
      <c r="M63" s="2" t="s">
        <v>29</v>
      </c>
      <c r="N63" s="2">
        <v>9</v>
      </c>
      <c r="O63" s="2">
        <v>464.98</v>
      </c>
      <c r="P63" s="2">
        <f t="shared" si="0"/>
        <v>21</v>
      </c>
      <c r="Q63" s="4">
        <f t="shared" si="1"/>
        <v>0.80733944954128445</v>
      </c>
      <c r="R63" s="2" t="str">
        <f t="shared" si="2"/>
        <v>Inefficient</v>
      </c>
      <c r="S63" s="2" t="str">
        <f t="shared" si="3"/>
        <v>Long</v>
      </c>
      <c r="T63" s="2" t="str">
        <f t="shared" si="4"/>
        <v>Minor Delay</v>
      </c>
    </row>
    <row r="64" spans="1:20" x14ac:dyDescent="0.35">
      <c r="A64" s="2" t="s">
        <v>214</v>
      </c>
      <c r="B64" s="2" t="s">
        <v>63</v>
      </c>
      <c r="C64" s="2" t="s">
        <v>215</v>
      </c>
      <c r="D64" s="2" t="s">
        <v>44</v>
      </c>
      <c r="E64" s="2" t="s">
        <v>38</v>
      </c>
      <c r="F64" s="2" t="s">
        <v>27</v>
      </c>
      <c r="G64" s="2" t="s">
        <v>100</v>
      </c>
      <c r="H64" s="3">
        <v>45431.071527777778</v>
      </c>
      <c r="I64" s="3">
        <v>45431.270833333336</v>
      </c>
      <c r="J64" s="2">
        <v>192</v>
      </c>
      <c r="K64" s="2">
        <v>287</v>
      </c>
      <c r="L64" s="2">
        <v>1</v>
      </c>
      <c r="M64" s="2" t="s">
        <v>41</v>
      </c>
      <c r="N64" s="2">
        <v>10</v>
      </c>
      <c r="O64" s="2">
        <v>269.70999999999998</v>
      </c>
      <c r="P64" s="2">
        <f t="shared" si="0"/>
        <v>95</v>
      </c>
      <c r="Q64" s="4">
        <f t="shared" si="1"/>
        <v>0.66898954703832758</v>
      </c>
      <c r="R64" s="2" t="str">
        <f t="shared" si="2"/>
        <v>Inefficient</v>
      </c>
      <c r="S64" s="2" t="str">
        <f t="shared" si="3"/>
        <v>Very Long</v>
      </c>
      <c r="T64" s="2" t="str">
        <f t="shared" si="4"/>
        <v>Major Delay</v>
      </c>
    </row>
    <row r="65" spans="1:20" x14ac:dyDescent="0.35">
      <c r="A65" s="2" t="s">
        <v>216</v>
      </c>
      <c r="B65" s="2" t="s">
        <v>51</v>
      </c>
      <c r="C65" s="2" t="s">
        <v>217</v>
      </c>
      <c r="D65" s="2" t="s">
        <v>26</v>
      </c>
      <c r="E65" s="2" t="s">
        <v>85</v>
      </c>
      <c r="F65" s="2" t="s">
        <v>57</v>
      </c>
      <c r="G65" s="2" t="s">
        <v>103</v>
      </c>
      <c r="H65" s="3">
        <v>45297.018750000003</v>
      </c>
      <c r="I65" s="3">
        <v>45297.088888888888</v>
      </c>
      <c r="J65" s="2">
        <v>22</v>
      </c>
      <c r="K65" s="2">
        <v>101</v>
      </c>
      <c r="L65" s="2">
        <v>1</v>
      </c>
      <c r="M65" s="2" t="s">
        <v>22</v>
      </c>
      <c r="N65" s="2">
        <v>7</v>
      </c>
      <c r="O65" s="2">
        <v>497.43</v>
      </c>
      <c r="P65" s="2">
        <f t="shared" si="0"/>
        <v>79</v>
      </c>
      <c r="Q65" s="4">
        <f t="shared" si="1"/>
        <v>0.21782178217821782</v>
      </c>
      <c r="R65" s="2" t="str">
        <f t="shared" si="2"/>
        <v>Inefficient</v>
      </c>
      <c r="S65" s="2" t="str">
        <f t="shared" si="3"/>
        <v>Long</v>
      </c>
      <c r="T65" s="2" t="str">
        <f t="shared" si="4"/>
        <v>Major Delay</v>
      </c>
    </row>
    <row r="66" spans="1:20" x14ac:dyDescent="0.35">
      <c r="A66" s="2" t="s">
        <v>218</v>
      </c>
      <c r="B66" s="2" t="s">
        <v>24</v>
      </c>
      <c r="C66" s="2" t="s">
        <v>219</v>
      </c>
      <c r="D66" s="2" t="s">
        <v>26</v>
      </c>
      <c r="E66" s="2" t="s">
        <v>38</v>
      </c>
      <c r="F66" s="2" t="s">
        <v>20</v>
      </c>
      <c r="G66" s="2" t="s">
        <v>191</v>
      </c>
      <c r="H66" s="3">
        <v>45370.963888888888</v>
      </c>
      <c r="I66" s="3">
        <v>45371.057638888888</v>
      </c>
      <c r="J66" s="2">
        <v>68</v>
      </c>
      <c r="K66" s="2">
        <v>135</v>
      </c>
      <c r="L66" s="2">
        <v>1</v>
      </c>
      <c r="M66" s="2" t="s">
        <v>29</v>
      </c>
      <c r="N66" s="2">
        <v>9</v>
      </c>
      <c r="O66" s="2">
        <v>269.23</v>
      </c>
      <c r="P66" s="2">
        <f t="shared" si="0"/>
        <v>67</v>
      </c>
      <c r="Q66" s="4">
        <f t="shared" si="1"/>
        <v>0.50370370370370365</v>
      </c>
      <c r="R66" s="2" t="str">
        <f t="shared" si="2"/>
        <v>Inefficient</v>
      </c>
      <c r="S66" s="2" t="str">
        <f t="shared" si="3"/>
        <v>Very Long</v>
      </c>
      <c r="T66" s="2" t="str">
        <f t="shared" si="4"/>
        <v>Major Delay</v>
      </c>
    </row>
    <row r="67" spans="1:20" x14ac:dyDescent="0.35">
      <c r="A67" s="2" t="s">
        <v>220</v>
      </c>
      <c r="B67" s="2" t="s">
        <v>16</v>
      </c>
      <c r="C67" s="2" t="s">
        <v>221</v>
      </c>
      <c r="D67" s="2" t="s">
        <v>48</v>
      </c>
      <c r="E67" s="2" t="s">
        <v>38</v>
      </c>
      <c r="F67" s="2" t="s">
        <v>34</v>
      </c>
      <c r="G67" s="2" t="s">
        <v>222</v>
      </c>
      <c r="H67" s="3">
        <v>45532.058333333334</v>
      </c>
      <c r="I67" s="3">
        <v>45532.201388888891</v>
      </c>
      <c r="J67" s="2">
        <v>180</v>
      </c>
      <c r="K67" s="2">
        <v>206</v>
      </c>
      <c r="L67" s="2">
        <v>1</v>
      </c>
      <c r="M67" s="2" t="s">
        <v>22</v>
      </c>
      <c r="N67" s="2">
        <v>10</v>
      </c>
      <c r="O67" s="2">
        <v>250.3</v>
      </c>
      <c r="P67" s="2">
        <f t="shared" ref="P67:P130" si="5">K67-J67</f>
        <v>26</v>
      </c>
      <c r="Q67" s="4">
        <f t="shared" ref="Q67:Q130" si="6">J67/K67</f>
        <v>0.87378640776699024</v>
      </c>
      <c r="R67" s="2" t="str">
        <f t="shared" ref="R67:R130" si="7">IF(Q67&gt;1,"Efficient",
IF(Q67=1,"On Target","Inefficient"))</f>
        <v>Inefficient</v>
      </c>
      <c r="S67" s="2" t="str">
        <f t="shared" ref="S67:S130" si="8">IF(K67&lt;30,"Short",
IF(K67&lt;60,"Medium",
IF(K67&lt;120,"Long","Very Long")))</f>
        <v>Very Long</v>
      </c>
      <c r="T67" s="2" t="str">
        <f t="shared" ref="T67:T130" si="9">IF(K67&lt;=J67,"On Time",
IF(K67-J67&lt;=30,"Minor Delay","Major Delay"))</f>
        <v>Minor Delay</v>
      </c>
    </row>
    <row r="68" spans="1:20" x14ac:dyDescent="0.35">
      <c r="A68" s="2" t="s">
        <v>223</v>
      </c>
      <c r="B68" s="2" t="s">
        <v>24</v>
      </c>
      <c r="C68" s="2" t="s">
        <v>224</v>
      </c>
      <c r="D68" s="2" t="s">
        <v>44</v>
      </c>
      <c r="E68" s="2" t="s">
        <v>19</v>
      </c>
      <c r="F68" s="2" t="s">
        <v>20</v>
      </c>
      <c r="G68" s="2" t="s">
        <v>225</v>
      </c>
      <c r="H68" s="3">
        <v>45571.938194444447</v>
      </c>
      <c r="I68" s="3">
        <v>45572.063194444447</v>
      </c>
      <c r="J68" s="2">
        <v>184</v>
      </c>
      <c r="K68" s="2">
        <v>180</v>
      </c>
      <c r="L68" s="2">
        <v>0</v>
      </c>
      <c r="M68" s="2" t="s">
        <v>29</v>
      </c>
      <c r="N68" s="2">
        <v>9</v>
      </c>
      <c r="O68" s="2">
        <v>235.12</v>
      </c>
      <c r="P68" s="2">
        <f t="shared" si="5"/>
        <v>-4</v>
      </c>
      <c r="Q68" s="4">
        <f t="shared" si="6"/>
        <v>1.0222222222222221</v>
      </c>
      <c r="R68" s="2" t="str">
        <f t="shared" si="7"/>
        <v>Efficient</v>
      </c>
      <c r="S68" s="2" t="str">
        <f t="shared" si="8"/>
        <v>Very Long</v>
      </c>
      <c r="T68" s="2" t="str">
        <f t="shared" si="9"/>
        <v>On Time</v>
      </c>
    </row>
    <row r="69" spans="1:20" x14ac:dyDescent="0.35">
      <c r="A69" s="2" t="s">
        <v>226</v>
      </c>
      <c r="B69" s="2" t="s">
        <v>24</v>
      </c>
      <c r="C69" s="2" t="s">
        <v>227</v>
      </c>
      <c r="D69" s="2" t="s">
        <v>56</v>
      </c>
      <c r="E69" s="2" t="s">
        <v>38</v>
      </c>
      <c r="F69" s="2" t="s">
        <v>57</v>
      </c>
      <c r="G69" s="2" t="s">
        <v>228</v>
      </c>
      <c r="H69" s="3">
        <v>45600.792361111111</v>
      </c>
      <c r="I69" s="3">
        <v>45600.843055555553</v>
      </c>
      <c r="J69" s="2">
        <v>70</v>
      </c>
      <c r="K69" s="2">
        <v>73</v>
      </c>
      <c r="L69" s="2">
        <v>1</v>
      </c>
      <c r="M69" s="2" t="s">
        <v>41</v>
      </c>
      <c r="N69" s="2">
        <v>2</v>
      </c>
      <c r="O69" s="2">
        <v>180.6</v>
      </c>
      <c r="P69" s="2">
        <f t="shared" si="5"/>
        <v>3</v>
      </c>
      <c r="Q69" s="4">
        <f t="shared" si="6"/>
        <v>0.95890410958904104</v>
      </c>
      <c r="R69" s="2" t="str">
        <f t="shared" si="7"/>
        <v>Inefficient</v>
      </c>
      <c r="S69" s="2" t="str">
        <f t="shared" si="8"/>
        <v>Long</v>
      </c>
      <c r="T69" s="2" t="str">
        <f t="shared" si="9"/>
        <v>Minor Delay</v>
      </c>
    </row>
    <row r="70" spans="1:20" x14ac:dyDescent="0.35">
      <c r="A70" s="2" t="s">
        <v>229</v>
      </c>
      <c r="B70" s="2" t="s">
        <v>31</v>
      </c>
      <c r="C70" s="2" t="s">
        <v>230</v>
      </c>
      <c r="D70" s="2" t="s">
        <v>18</v>
      </c>
      <c r="E70" s="2" t="s">
        <v>38</v>
      </c>
      <c r="F70" s="2" t="s">
        <v>20</v>
      </c>
      <c r="G70" s="2" t="s">
        <v>231</v>
      </c>
      <c r="H70" s="3">
        <v>45613.119444444441</v>
      </c>
      <c r="I70" s="3">
        <v>45613.306250000001</v>
      </c>
      <c r="J70" s="2">
        <v>210</v>
      </c>
      <c r="K70" s="2">
        <v>269</v>
      </c>
      <c r="L70" s="2">
        <v>1</v>
      </c>
      <c r="M70" s="2" t="s">
        <v>41</v>
      </c>
      <c r="N70" s="2">
        <v>9</v>
      </c>
      <c r="O70" s="2">
        <v>309.64</v>
      </c>
      <c r="P70" s="2">
        <f t="shared" si="5"/>
        <v>59</v>
      </c>
      <c r="Q70" s="4">
        <f t="shared" si="6"/>
        <v>0.7806691449814126</v>
      </c>
      <c r="R70" s="2" t="str">
        <f t="shared" si="7"/>
        <v>Inefficient</v>
      </c>
      <c r="S70" s="2" t="str">
        <f t="shared" si="8"/>
        <v>Very Long</v>
      </c>
      <c r="T70" s="2" t="str">
        <f t="shared" si="9"/>
        <v>Major Delay</v>
      </c>
    </row>
    <row r="71" spans="1:20" x14ac:dyDescent="0.35">
      <c r="A71" s="2" t="s">
        <v>232</v>
      </c>
      <c r="B71" s="2" t="s">
        <v>63</v>
      </c>
      <c r="C71" s="2" t="s">
        <v>233</v>
      </c>
      <c r="D71" s="2" t="s">
        <v>26</v>
      </c>
      <c r="E71" s="2" t="s">
        <v>38</v>
      </c>
      <c r="F71" s="2" t="s">
        <v>34</v>
      </c>
      <c r="G71" s="2" t="s">
        <v>234</v>
      </c>
      <c r="H71" s="3">
        <v>45532.625694444447</v>
      </c>
      <c r="I71" s="3">
        <v>45532.723611111112</v>
      </c>
      <c r="J71" s="2">
        <v>114</v>
      </c>
      <c r="K71" s="2">
        <v>141</v>
      </c>
      <c r="L71" s="2">
        <v>1</v>
      </c>
      <c r="M71" s="2" t="s">
        <v>29</v>
      </c>
      <c r="N71" s="2">
        <v>2</v>
      </c>
      <c r="O71" s="2">
        <v>164.67</v>
      </c>
      <c r="P71" s="2">
        <f t="shared" si="5"/>
        <v>27</v>
      </c>
      <c r="Q71" s="4">
        <f t="shared" si="6"/>
        <v>0.80851063829787229</v>
      </c>
      <c r="R71" s="2" t="str">
        <f t="shared" si="7"/>
        <v>Inefficient</v>
      </c>
      <c r="S71" s="2" t="str">
        <f t="shared" si="8"/>
        <v>Very Long</v>
      </c>
      <c r="T71" s="2" t="str">
        <f t="shared" si="9"/>
        <v>Minor Delay</v>
      </c>
    </row>
    <row r="72" spans="1:20" x14ac:dyDescent="0.35">
      <c r="A72" s="2" t="s">
        <v>235</v>
      </c>
      <c r="B72" s="2" t="s">
        <v>63</v>
      </c>
      <c r="C72" s="2" t="s">
        <v>236</v>
      </c>
      <c r="D72" s="2" t="s">
        <v>18</v>
      </c>
      <c r="E72" s="2" t="s">
        <v>33</v>
      </c>
      <c r="F72" s="2" t="s">
        <v>27</v>
      </c>
      <c r="G72" s="2" t="s">
        <v>237</v>
      </c>
      <c r="H72" s="3">
        <v>45294.027083333334</v>
      </c>
      <c r="I72" s="3">
        <v>45294.21875</v>
      </c>
      <c r="J72" s="2">
        <v>174</v>
      </c>
      <c r="K72" s="2">
        <v>276</v>
      </c>
      <c r="L72" s="2">
        <v>1</v>
      </c>
      <c r="M72" s="2" t="s">
        <v>41</v>
      </c>
      <c r="N72" s="2">
        <v>2</v>
      </c>
      <c r="O72" s="2">
        <v>488.9</v>
      </c>
      <c r="P72" s="2">
        <f t="shared" si="5"/>
        <v>102</v>
      </c>
      <c r="Q72" s="4">
        <f t="shared" si="6"/>
        <v>0.63043478260869568</v>
      </c>
      <c r="R72" s="2" t="str">
        <f t="shared" si="7"/>
        <v>Inefficient</v>
      </c>
      <c r="S72" s="2" t="str">
        <f t="shared" si="8"/>
        <v>Very Long</v>
      </c>
      <c r="T72" s="2" t="str">
        <f t="shared" si="9"/>
        <v>Major Delay</v>
      </c>
    </row>
    <row r="73" spans="1:20" x14ac:dyDescent="0.35">
      <c r="A73" s="2" t="s">
        <v>238</v>
      </c>
      <c r="B73" s="2" t="s">
        <v>51</v>
      </c>
      <c r="C73" s="2" t="s">
        <v>239</v>
      </c>
      <c r="D73" s="2" t="s">
        <v>56</v>
      </c>
      <c r="E73" s="2" t="s">
        <v>33</v>
      </c>
      <c r="F73" s="2" t="s">
        <v>57</v>
      </c>
      <c r="G73" s="2" t="s">
        <v>240</v>
      </c>
      <c r="H73" s="3">
        <v>45338.510416666664</v>
      </c>
      <c r="I73" s="3">
        <v>45338.590277777781</v>
      </c>
      <c r="J73" s="2">
        <v>109</v>
      </c>
      <c r="K73" s="2">
        <v>115</v>
      </c>
      <c r="L73" s="2">
        <v>1</v>
      </c>
      <c r="M73" s="2" t="s">
        <v>29</v>
      </c>
      <c r="N73" s="2">
        <v>1</v>
      </c>
      <c r="O73" s="2">
        <v>473.42</v>
      </c>
      <c r="P73" s="2">
        <f t="shared" si="5"/>
        <v>6</v>
      </c>
      <c r="Q73" s="4">
        <f t="shared" si="6"/>
        <v>0.94782608695652171</v>
      </c>
      <c r="R73" s="2" t="str">
        <f t="shared" si="7"/>
        <v>Inefficient</v>
      </c>
      <c r="S73" s="2" t="str">
        <f t="shared" si="8"/>
        <v>Long</v>
      </c>
      <c r="T73" s="2" t="str">
        <f t="shared" si="9"/>
        <v>Minor Delay</v>
      </c>
    </row>
    <row r="74" spans="1:20" x14ac:dyDescent="0.35">
      <c r="A74" s="2" t="s">
        <v>241</v>
      </c>
      <c r="B74" s="2" t="s">
        <v>16</v>
      </c>
      <c r="C74" s="2" t="s">
        <v>242</v>
      </c>
      <c r="D74" s="2" t="s">
        <v>26</v>
      </c>
      <c r="E74" s="2" t="s">
        <v>19</v>
      </c>
      <c r="F74" s="2" t="s">
        <v>20</v>
      </c>
      <c r="G74" s="2" t="s">
        <v>114</v>
      </c>
      <c r="H74" s="3">
        <v>45536.334722222222</v>
      </c>
      <c r="I74" s="3">
        <v>45536.40902777778</v>
      </c>
      <c r="J74" s="2">
        <v>99</v>
      </c>
      <c r="K74" s="2">
        <v>107</v>
      </c>
      <c r="L74" s="2">
        <v>1</v>
      </c>
      <c r="M74" s="2" t="s">
        <v>22</v>
      </c>
      <c r="N74" s="2">
        <v>5</v>
      </c>
      <c r="O74" s="2">
        <v>366.29</v>
      </c>
      <c r="P74" s="2">
        <f t="shared" si="5"/>
        <v>8</v>
      </c>
      <c r="Q74" s="4">
        <f t="shared" si="6"/>
        <v>0.92523364485981308</v>
      </c>
      <c r="R74" s="2" t="str">
        <f t="shared" si="7"/>
        <v>Inefficient</v>
      </c>
      <c r="S74" s="2" t="str">
        <f t="shared" si="8"/>
        <v>Long</v>
      </c>
      <c r="T74" s="2" t="str">
        <f t="shared" si="9"/>
        <v>Minor Delay</v>
      </c>
    </row>
    <row r="75" spans="1:20" x14ac:dyDescent="0.35">
      <c r="A75" s="2" t="s">
        <v>243</v>
      </c>
      <c r="B75" s="2" t="s">
        <v>31</v>
      </c>
      <c r="C75" s="2" t="s">
        <v>244</v>
      </c>
      <c r="D75" s="2" t="s">
        <v>18</v>
      </c>
      <c r="E75" s="2" t="s">
        <v>33</v>
      </c>
      <c r="F75" s="2" t="s">
        <v>57</v>
      </c>
      <c r="G75" s="2" t="s">
        <v>140</v>
      </c>
      <c r="H75" s="3">
        <v>45299.486111111109</v>
      </c>
      <c r="I75" s="3">
        <v>45299.508333333331</v>
      </c>
      <c r="J75" s="2">
        <v>21</v>
      </c>
      <c r="K75" s="2">
        <v>32</v>
      </c>
      <c r="L75" s="2">
        <v>1</v>
      </c>
      <c r="M75" s="2" t="s">
        <v>29</v>
      </c>
      <c r="N75" s="2">
        <v>3</v>
      </c>
      <c r="O75" s="2">
        <v>380.23</v>
      </c>
      <c r="P75" s="2">
        <f t="shared" si="5"/>
        <v>11</v>
      </c>
      <c r="Q75" s="4">
        <f t="shared" si="6"/>
        <v>0.65625</v>
      </c>
      <c r="R75" s="2" t="str">
        <f t="shared" si="7"/>
        <v>Inefficient</v>
      </c>
      <c r="S75" s="2" t="str">
        <f t="shared" si="8"/>
        <v>Medium</v>
      </c>
      <c r="T75" s="2" t="str">
        <f t="shared" si="9"/>
        <v>Minor Delay</v>
      </c>
    </row>
    <row r="76" spans="1:20" x14ac:dyDescent="0.35">
      <c r="A76" s="2" t="s">
        <v>245</v>
      </c>
      <c r="B76" s="2" t="s">
        <v>24</v>
      </c>
      <c r="C76" s="2" t="s">
        <v>246</v>
      </c>
      <c r="D76" s="2" t="s">
        <v>18</v>
      </c>
      <c r="E76" s="2" t="s">
        <v>19</v>
      </c>
      <c r="F76" s="2" t="s">
        <v>27</v>
      </c>
      <c r="G76" s="2" t="s">
        <v>240</v>
      </c>
      <c r="H76" s="3">
        <v>45384.580555555556</v>
      </c>
      <c r="I76" s="3">
        <v>45384.675694444442</v>
      </c>
      <c r="J76" s="2">
        <v>65</v>
      </c>
      <c r="K76" s="2">
        <v>137</v>
      </c>
      <c r="L76" s="2">
        <v>1</v>
      </c>
      <c r="M76" s="2" t="s">
        <v>29</v>
      </c>
      <c r="N76" s="2">
        <v>5</v>
      </c>
      <c r="O76" s="2">
        <v>336.77</v>
      </c>
      <c r="P76" s="2">
        <f t="shared" si="5"/>
        <v>72</v>
      </c>
      <c r="Q76" s="4">
        <f t="shared" si="6"/>
        <v>0.47445255474452552</v>
      </c>
      <c r="R76" s="2" t="str">
        <f t="shared" si="7"/>
        <v>Inefficient</v>
      </c>
      <c r="S76" s="2" t="str">
        <f t="shared" si="8"/>
        <v>Very Long</v>
      </c>
      <c r="T76" s="2" t="str">
        <f t="shared" si="9"/>
        <v>Major Delay</v>
      </c>
    </row>
    <row r="77" spans="1:20" x14ac:dyDescent="0.35">
      <c r="A77" s="2" t="s">
        <v>247</v>
      </c>
      <c r="B77" s="2" t="s">
        <v>16</v>
      </c>
      <c r="C77" s="2" t="s">
        <v>248</v>
      </c>
      <c r="D77" s="2" t="s">
        <v>56</v>
      </c>
      <c r="E77" s="2" t="s">
        <v>19</v>
      </c>
      <c r="F77" s="2" t="s">
        <v>20</v>
      </c>
      <c r="G77" s="2" t="s">
        <v>234</v>
      </c>
      <c r="H77" s="3">
        <v>45359.296527777777</v>
      </c>
      <c r="I77" s="3">
        <v>45359.501388888886</v>
      </c>
      <c r="J77" s="2">
        <v>177</v>
      </c>
      <c r="K77" s="2">
        <v>295</v>
      </c>
      <c r="L77" s="2">
        <v>1</v>
      </c>
      <c r="M77" s="2" t="s">
        <v>29</v>
      </c>
      <c r="N77" s="2">
        <v>1</v>
      </c>
      <c r="O77" s="2">
        <v>54.3</v>
      </c>
      <c r="P77" s="2">
        <f t="shared" si="5"/>
        <v>118</v>
      </c>
      <c r="Q77" s="4">
        <f t="shared" si="6"/>
        <v>0.6</v>
      </c>
      <c r="R77" s="2" t="str">
        <f t="shared" si="7"/>
        <v>Inefficient</v>
      </c>
      <c r="S77" s="2" t="str">
        <f t="shared" si="8"/>
        <v>Very Long</v>
      </c>
      <c r="T77" s="2" t="str">
        <f t="shared" si="9"/>
        <v>Major Delay</v>
      </c>
    </row>
    <row r="78" spans="1:20" x14ac:dyDescent="0.35">
      <c r="A78" s="2" t="s">
        <v>249</v>
      </c>
      <c r="B78" s="2" t="s">
        <v>24</v>
      </c>
      <c r="C78" s="2" t="s">
        <v>250</v>
      </c>
      <c r="D78" s="2" t="s">
        <v>44</v>
      </c>
      <c r="E78" s="2" t="s">
        <v>38</v>
      </c>
      <c r="F78" s="2" t="s">
        <v>20</v>
      </c>
      <c r="G78" s="2" t="s">
        <v>251</v>
      </c>
      <c r="H78" s="3">
        <v>45566.59375</v>
      </c>
      <c r="I78" s="3">
        <v>45566.654166666667</v>
      </c>
      <c r="J78" s="2">
        <v>86</v>
      </c>
      <c r="K78" s="2">
        <v>87</v>
      </c>
      <c r="L78" s="2">
        <v>1</v>
      </c>
      <c r="M78" s="2" t="s">
        <v>41</v>
      </c>
      <c r="N78" s="2">
        <v>9</v>
      </c>
      <c r="O78" s="2">
        <v>365.36</v>
      </c>
      <c r="P78" s="2">
        <f t="shared" si="5"/>
        <v>1</v>
      </c>
      <c r="Q78" s="4">
        <f t="shared" si="6"/>
        <v>0.9885057471264368</v>
      </c>
      <c r="R78" s="2" t="str">
        <f t="shared" si="7"/>
        <v>Inefficient</v>
      </c>
      <c r="S78" s="2" t="str">
        <f t="shared" si="8"/>
        <v>Long</v>
      </c>
      <c r="T78" s="2" t="str">
        <f t="shared" si="9"/>
        <v>Minor Delay</v>
      </c>
    </row>
    <row r="79" spans="1:20" x14ac:dyDescent="0.35">
      <c r="A79" s="2" t="s">
        <v>252</v>
      </c>
      <c r="B79" s="2" t="s">
        <v>16</v>
      </c>
      <c r="C79" s="2" t="s">
        <v>253</v>
      </c>
      <c r="D79" s="2" t="s">
        <v>26</v>
      </c>
      <c r="E79" s="2" t="s">
        <v>19</v>
      </c>
      <c r="F79" s="2" t="s">
        <v>34</v>
      </c>
      <c r="G79" s="2" t="s">
        <v>254</v>
      </c>
      <c r="H79" s="3">
        <v>45360.263194444444</v>
      </c>
      <c r="I79" s="3">
        <v>45360.376388888886</v>
      </c>
      <c r="J79" s="2">
        <v>88</v>
      </c>
      <c r="K79" s="2">
        <v>163</v>
      </c>
      <c r="L79" s="2">
        <v>1</v>
      </c>
      <c r="M79" s="2" t="s">
        <v>41</v>
      </c>
      <c r="N79" s="2">
        <v>7</v>
      </c>
      <c r="O79" s="2">
        <v>321.79000000000002</v>
      </c>
      <c r="P79" s="2">
        <f t="shared" si="5"/>
        <v>75</v>
      </c>
      <c r="Q79" s="4">
        <f t="shared" si="6"/>
        <v>0.53987730061349692</v>
      </c>
      <c r="R79" s="2" t="str">
        <f t="shared" si="7"/>
        <v>Inefficient</v>
      </c>
      <c r="S79" s="2" t="str">
        <f t="shared" si="8"/>
        <v>Very Long</v>
      </c>
      <c r="T79" s="2" t="str">
        <f t="shared" si="9"/>
        <v>Major Delay</v>
      </c>
    </row>
    <row r="80" spans="1:20" x14ac:dyDescent="0.35">
      <c r="A80" s="2" t="s">
        <v>255</v>
      </c>
      <c r="B80" s="2" t="s">
        <v>51</v>
      </c>
      <c r="C80" s="2" t="s">
        <v>256</v>
      </c>
      <c r="D80" s="2" t="s">
        <v>18</v>
      </c>
      <c r="E80" s="2" t="s">
        <v>33</v>
      </c>
      <c r="F80" s="2" t="s">
        <v>20</v>
      </c>
      <c r="G80" s="2" t="s">
        <v>170</v>
      </c>
      <c r="H80" s="3">
        <v>45448.253472222219</v>
      </c>
      <c r="I80" s="3">
        <v>45448.35</v>
      </c>
      <c r="J80" s="2">
        <v>139</v>
      </c>
      <c r="K80" s="2">
        <v>139</v>
      </c>
      <c r="L80" s="2">
        <v>0</v>
      </c>
      <c r="M80" s="2" t="s">
        <v>29</v>
      </c>
      <c r="N80" s="2">
        <v>2</v>
      </c>
      <c r="O80" s="2">
        <v>299.98</v>
      </c>
      <c r="P80" s="2">
        <f t="shared" si="5"/>
        <v>0</v>
      </c>
      <c r="Q80" s="4">
        <f t="shared" si="6"/>
        <v>1</v>
      </c>
      <c r="R80" s="2" t="str">
        <f t="shared" si="7"/>
        <v>On Target</v>
      </c>
      <c r="S80" s="2" t="str">
        <f t="shared" si="8"/>
        <v>Very Long</v>
      </c>
      <c r="T80" s="2" t="str">
        <f t="shared" si="9"/>
        <v>On Time</v>
      </c>
    </row>
    <row r="81" spans="1:20" x14ac:dyDescent="0.35">
      <c r="A81" s="2" t="s">
        <v>257</v>
      </c>
      <c r="B81" s="2" t="s">
        <v>63</v>
      </c>
      <c r="C81" s="2" t="s">
        <v>258</v>
      </c>
      <c r="D81" s="2" t="s">
        <v>56</v>
      </c>
      <c r="E81" s="2" t="s">
        <v>85</v>
      </c>
      <c r="F81" s="2" t="s">
        <v>34</v>
      </c>
      <c r="G81" s="2" t="s">
        <v>259</v>
      </c>
      <c r="H81" s="3">
        <v>45595.907638888886</v>
      </c>
      <c r="I81" s="3">
        <v>45595.960416666669</v>
      </c>
      <c r="J81" s="2">
        <v>17</v>
      </c>
      <c r="K81" s="2">
        <v>76</v>
      </c>
      <c r="L81" s="2">
        <v>1</v>
      </c>
      <c r="M81" s="2" t="s">
        <v>22</v>
      </c>
      <c r="N81" s="2">
        <v>6</v>
      </c>
      <c r="O81" s="2">
        <v>286.49</v>
      </c>
      <c r="P81" s="2">
        <f t="shared" si="5"/>
        <v>59</v>
      </c>
      <c r="Q81" s="4">
        <f t="shared" si="6"/>
        <v>0.22368421052631579</v>
      </c>
      <c r="R81" s="2" t="str">
        <f t="shared" si="7"/>
        <v>Inefficient</v>
      </c>
      <c r="S81" s="2" t="str">
        <f t="shared" si="8"/>
        <v>Long</v>
      </c>
      <c r="T81" s="2" t="str">
        <f t="shared" si="9"/>
        <v>Major Delay</v>
      </c>
    </row>
    <row r="82" spans="1:20" x14ac:dyDescent="0.35">
      <c r="A82" s="2" t="s">
        <v>260</v>
      </c>
      <c r="B82" s="2" t="s">
        <v>31</v>
      </c>
      <c r="C82" s="2" t="s">
        <v>261</v>
      </c>
      <c r="D82" s="2" t="s">
        <v>26</v>
      </c>
      <c r="E82" s="2" t="s">
        <v>38</v>
      </c>
      <c r="F82" s="2" t="s">
        <v>39</v>
      </c>
      <c r="G82" s="2" t="s">
        <v>262</v>
      </c>
      <c r="H82" s="3">
        <v>45317.468055555553</v>
      </c>
      <c r="I82" s="3">
        <v>45317.619444444441</v>
      </c>
      <c r="J82" s="2">
        <v>105</v>
      </c>
      <c r="K82" s="2">
        <v>218</v>
      </c>
      <c r="L82" s="2">
        <v>1</v>
      </c>
      <c r="M82" s="2" t="s">
        <v>29</v>
      </c>
      <c r="N82" s="2">
        <v>9</v>
      </c>
      <c r="O82" s="2">
        <v>393.35</v>
      </c>
      <c r="P82" s="2">
        <f t="shared" si="5"/>
        <v>113</v>
      </c>
      <c r="Q82" s="4">
        <f t="shared" si="6"/>
        <v>0.48165137614678899</v>
      </c>
      <c r="R82" s="2" t="str">
        <f t="shared" si="7"/>
        <v>Inefficient</v>
      </c>
      <c r="S82" s="2" t="str">
        <f t="shared" si="8"/>
        <v>Very Long</v>
      </c>
      <c r="T82" s="2" t="str">
        <f t="shared" si="9"/>
        <v>Major Delay</v>
      </c>
    </row>
    <row r="83" spans="1:20" x14ac:dyDescent="0.35">
      <c r="A83" s="2" t="s">
        <v>263</v>
      </c>
      <c r="B83" s="2" t="s">
        <v>31</v>
      </c>
      <c r="C83" s="2" t="s">
        <v>264</v>
      </c>
      <c r="D83" s="2" t="s">
        <v>18</v>
      </c>
      <c r="E83" s="2" t="s">
        <v>19</v>
      </c>
      <c r="F83" s="2" t="s">
        <v>39</v>
      </c>
      <c r="G83" s="2" t="s">
        <v>265</v>
      </c>
      <c r="H83" s="3">
        <v>45295.655555555553</v>
      </c>
      <c r="I83" s="3">
        <v>45295.663888888892</v>
      </c>
      <c r="J83" s="2">
        <v>15</v>
      </c>
      <c r="K83" s="2">
        <v>12</v>
      </c>
      <c r="L83" s="2">
        <v>0</v>
      </c>
      <c r="M83" s="2" t="s">
        <v>22</v>
      </c>
      <c r="N83" s="2">
        <v>4</v>
      </c>
      <c r="O83" s="2">
        <v>415.23</v>
      </c>
      <c r="P83" s="2">
        <f t="shared" si="5"/>
        <v>-3</v>
      </c>
      <c r="Q83" s="4">
        <f t="shared" si="6"/>
        <v>1.25</v>
      </c>
      <c r="R83" s="2" t="str">
        <f t="shared" si="7"/>
        <v>Efficient</v>
      </c>
      <c r="S83" s="2" t="str">
        <f t="shared" si="8"/>
        <v>Short</v>
      </c>
      <c r="T83" s="2" t="str">
        <f t="shared" si="9"/>
        <v>On Time</v>
      </c>
    </row>
    <row r="84" spans="1:20" x14ac:dyDescent="0.35">
      <c r="A84" s="2" t="s">
        <v>266</v>
      </c>
      <c r="B84" s="2" t="s">
        <v>16</v>
      </c>
      <c r="C84" s="2" t="s">
        <v>267</v>
      </c>
      <c r="D84" s="2" t="s">
        <v>56</v>
      </c>
      <c r="E84" s="2" t="s">
        <v>19</v>
      </c>
      <c r="F84" s="2" t="s">
        <v>20</v>
      </c>
      <c r="G84" s="2" t="s">
        <v>268</v>
      </c>
      <c r="H84" s="3">
        <v>45448.652083333334</v>
      </c>
      <c r="I84" s="3">
        <v>45448.711111111108</v>
      </c>
      <c r="J84" s="2">
        <v>77</v>
      </c>
      <c r="K84" s="2">
        <v>85</v>
      </c>
      <c r="L84" s="2">
        <v>1</v>
      </c>
      <c r="M84" s="2" t="s">
        <v>41</v>
      </c>
      <c r="N84" s="2">
        <v>1</v>
      </c>
      <c r="O84" s="2">
        <v>124.2</v>
      </c>
      <c r="P84" s="2">
        <f t="shared" si="5"/>
        <v>8</v>
      </c>
      <c r="Q84" s="4">
        <f t="shared" si="6"/>
        <v>0.90588235294117647</v>
      </c>
      <c r="R84" s="2" t="str">
        <f t="shared" si="7"/>
        <v>Inefficient</v>
      </c>
      <c r="S84" s="2" t="str">
        <f t="shared" si="8"/>
        <v>Long</v>
      </c>
      <c r="T84" s="2" t="str">
        <f t="shared" si="9"/>
        <v>Minor Delay</v>
      </c>
    </row>
    <row r="85" spans="1:20" x14ac:dyDescent="0.35">
      <c r="A85" s="2" t="s">
        <v>269</v>
      </c>
      <c r="B85" s="2" t="s">
        <v>16</v>
      </c>
      <c r="C85" s="2" t="s">
        <v>270</v>
      </c>
      <c r="D85" s="2" t="s">
        <v>44</v>
      </c>
      <c r="E85" s="2" t="s">
        <v>33</v>
      </c>
      <c r="F85" s="2" t="s">
        <v>27</v>
      </c>
      <c r="G85" s="2" t="s">
        <v>88</v>
      </c>
      <c r="H85" s="3">
        <v>45639.65</v>
      </c>
      <c r="I85" s="3">
        <v>45639.737500000003</v>
      </c>
      <c r="J85" s="2">
        <v>78</v>
      </c>
      <c r="K85" s="2">
        <v>126</v>
      </c>
      <c r="L85" s="2">
        <v>1</v>
      </c>
      <c r="M85" s="2" t="s">
        <v>22</v>
      </c>
      <c r="N85" s="2">
        <v>2</v>
      </c>
      <c r="O85" s="2">
        <v>421.04</v>
      </c>
      <c r="P85" s="2">
        <f t="shared" si="5"/>
        <v>48</v>
      </c>
      <c r="Q85" s="4">
        <f t="shared" si="6"/>
        <v>0.61904761904761907</v>
      </c>
      <c r="R85" s="2" t="str">
        <f t="shared" si="7"/>
        <v>Inefficient</v>
      </c>
      <c r="S85" s="2" t="str">
        <f t="shared" si="8"/>
        <v>Very Long</v>
      </c>
      <c r="T85" s="2" t="str">
        <f t="shared" si="9"/>
        <v>Major Delay</v>
      </c>
    </row>
    <row r="86" spans="1:20" x14ac:dyDescent="0.35">
      <c r="A86" s="2" t="s">
        <v>271</v>
      </c>
      <c r="B86" s="2" t="s">
        <v>16</v>
      </c>
      <c r="C86" s="2" t="s">
        <v>272</v>
      </c>
      <c r="D86" s="2" t="s">
        <v>18</v>
      </c>
      <c r="E86" s="2" t="s">
        <v>19</v>
      </c>
      <c r="F86" s="2" t="s">
        <v>20</v>
      </c>
      <c r="G86" s="2" t="s">
        <v>82</v>
      </c>
      <c r="H86" s="3">
        <v>45442.916666666664</v>
      </c>
      <c r="I86" s="3">
        <v>45443.034722222219</v>
      </c>
      <c r="J86" s="2">
        <v>124</v>
      </c>
      <c r="K86" s="2">
        <v>170</v>
      </c>
      <c r="L86" s="2">
        <v>1</v>
      </c>
      <c r="M86" s="2" t="s">
        <v>41</v>
      </c>
      <c r="N86" s="2">
        <v>9</v>
      </c>
      <c r="O86" s="2">
        <v>130.94</v>
      </c>
      <c r="P86" s="2">
        <f t="shared" si="5"/>
        <v>46</v>
      </c>
      <c r="Q86" s="4">
        <f t="shared" si="6"/>
        <v>0.72941176470588232</v>
      </c>
      <c r="R86" s="2" t="str">
        <f t="shared" si="7"/>
        <v>Inefficient</v>
      </c>
      <c r="S86" s="2" t="str">
        <f t="shared" si="8"/>
        <v>Very Long</v>
      </c>
      <c r="T86" s="2" t="str">
        <f t="shared" si="9"/>
        <v>Major Delay</v>
      </c>
    </row>
    <row r="87" spans="1:20" x14ac:dyDescent="0.35">
      <c r="A87" s="2" t="s">
        <v>273</v>
      </c>
      <c r="B87" s="2" t="s">
        <v>31</v>
      </c>
      <c r="C87" s="2" t="s">
        <v>274</v>
      </c>
      <c r="D87" s="2" t="s">
        <v>26</v>
      </c>
      <c r="E87" s="2" t="s">
        <v>33</v>
      </c>
      <c r="F87" s="2" t="s">
        <v>57</v>
      </c>
      <c r="G87" s="2" t="s">
        <v>35</v>
      </c>
      <c r="H87" s="3">
        <v>45356.904861111114</v>
      </c>
      <c r="I87" s="3">
        <v>45357.131944444445</v>
      </c>
      <c r="J87" s="2">
        <v>225</v>
      </c>
      <c r="K87" s="2">
        <v>327</v>
      </c>
      <c r="L87" s="2">
        <v>1</v>
      </c>
      <c r="M87" s="2" t="s">
        <v>29</v>
      </c>
      <c r="N87" s="2">
        <v>9</v>
      </c>
      <c r="O87" s="2">
        <v>283.08999999999997</v>
      </c>
      <c r="P87" s="2">
        <f t="shared" si="5"/>
        <v>102</v>
      </c>
      <c r="Q87" s="4">
        <f t="shared" si="6"/>
        <v>0.68807339449541283</v>
      </c>
      <c r="R87" s="2" t="str">
        <f t="shared" si="7"/>
        <v>Inefficient</v>
      </c>
      <c r="S87" s="2" t="str">
        <f t="shared" si="8"/>
        <v>Very Long</v>
      </c>
      <c r="T87" s="2" t="str">
        <f t="shared" si="9"/>
        <v>Major Delay</v>
      </c>
    </row>
    <row r="88" spans="1:20" x14ac:dyDescent="0.35">
      <c r="A88" s="2" t="s">
        <v>275</v>
      </c>
      <c r="B88" s="2" t="s">
        <v>63</v>
      </c>
      <c r="C88" s="2" t="s">
        <v>276</v>
      </c>
      <c r="D88" s="2" t="s">
        <v>48</v>
      </c>
      <c r="E88" s="2" t="s">
        <v>33</v>
      </c>
      <c r="F88" s="2" t="s">
        <v>34</v>
      </c>
      <c r="G88" s="2" t="s">
        <v>170</v>
      </c>
      <c r="H88" s="3">
        <v>45543.675000000003</v>
      </c>
      <c r="I88" s="3">
        <v>45543.8125</v>
      </c>
      <c r="J88" s="2">
        <v>124</v>
      </c>
      <c r="K88" s="2">
        <v>198</v>
      </c>
      <c r="L88" s="2">
        <v>1</v>
      </c>
      <c r="M88" s="2" t="s">
        <v>41</v>
      </c>
      <c r="N88" s="2">
        <v>1</v>
      </c>
      <c r="O88" s="2">
        <v>83.88</v>
      </c>
      <c r="P88" s="2">
        <f t="shared" si="5"/>
        <v>74</v>
      </c>
      <c r="Q88" s="4">
        <f t="shared" si="6"/>
        <v>0.6262626262626263</v>
      </c>
      <c r="R88" s="2" t="str">
        <f t="shared" si="7"/>
        <v>Inefficient</v>
      </c>
      <c r="S88" s="2" t="str">
        <f t="shared" si="8"/>
        <v>Very Long</v>
      </c>
      <c r="T88" s="2" t="str">
        <f t="shared" si="9"/>
        <v>Major Delay</v>
      </c>
    </row>
    <row r="89" spans="1:20" x14ac:dyDescent="0.35">
      <c r="A89" s="2" t="s">
        <v>277</v>
      </c>
      <c r="B89" s="2" t="s">
        <v>63</v>
      </c>
      <c r="C89" s="2" t="s">
        <v>278</v>
      </c>
      <c r="D89" s="2" t="s">
        <v>48</v>
      </c>
      <c r="E89" s="2" t="s">
        <v>19</v>
      </c>
      <c r="F89" s="2" t="s">
        <v>57</v>
      </c>
      <c r="G89" s="2" t="s">
        <v>240</v>
      </c>
      <c r="H89" s="3">
        <v>45339.750694444447</v>
      </c>
      <c r="I89" s="3">
        <v>45339.818749999999</v>
      </c>
      <c r="J89" s="2">
        <v>85</v>
      </c>
      <c r="K89" s="2">
        <v>98</v>
      </c>
      <c r="L89" s="2">
        <v>1</v>
      </c>
      <c r="M89" s="2" t="s">
        <v>41</v>
      </c>
      <c r="N89" s="2">
        <v>1</v>
      </c>
      <c r="O89" s="2">
        <v>225.67</v>
      </c>
      <c r="P89" s="2">
        <f t="shared" si="5"/>
        <v>13</v>
      </c>
      <c r="Q89" s="4">
        <f t="shared" si="6"/>
        <v>0.86734693877551017</v>
      </c>
      <c r="R89" s="2" t="str">
        <f t="shared" si="7"/>
        <v>Inefficient</v>
      </c>
      <c r="S89" s="2" t="str">
        <f t="shared" si="8"/>
        <v>Long</v>
      </c>
      <c r="T89" s="2" t="str">
        <f t="shared" si="9"/>
        <v>Minor Delay</v>
      </c>
    </row>
    <row r="90" spans="1:20" x14ac:dyDescent="0.35">
      <c r="A90" s="2" t="s">
        <v>279</v>
      </c>
      <c r="B90" s="2" t="s">
        <v>24</v>
      </c>
      <c r="C90" s="2" t="s">
        <v>280</v>
      </c>
      <c r="D90" s="2" t="s">
        <v>44</v>
      </c>
      <c r="E90" s="2" t="s">
        <v>38</v>
      </c>
      <c r="F90" s="2" t="s">
        <v>27</v>
      </c>
      <c r="G90" s="2" t="s">
        <v>185</v>
      </c>
      <c r="H90" s="3">
        <v>45364.84097222222</v>
      </c>
      <c r="I90" s="3">
        <v>45364.986111111109</v>
      </c>
      <c r="J90" s="2">
        <v>181</v>
      </c>
      <c r="K90" s="2">
        <v>209</v>
      </c>
      <c r="L90" s="2">
        <v>1</v>
      </c>
      <c r="M90" s="2" t="s">
        <v>41</v>
      </c>
      <c r="N90" s="2">
        <v>8</v>
      </c>
      <c r="O90" s="2">
        <v>172.21</v>
      </c>
      <c r="P90" s="2">
        <f t="shared" si="5"/>
        <v>28</v>
      </c>
      <c r="Q90" s="4">
        <f t="shared" si="6"/>
        <v>0.86602870813397126</v>
      </c>
      <c r="R90" s="2" t="str">
        <f t="shared" si="7"/>
        <v>Inefficient</v>
      </c>
      <c r="S90" s="2" t="str">
        <f t="shared" si="8"/>
        <v>Very Long</v>
      </c>
      <c r="T90" s="2" t="str">
        <f t="shared" si="9"/>
        <v>Minor Delay</v>
      </c>
    </row>
    <row r="91" spans="1:20" x14ac:dyDescent="0.35">
      <c r="A91" s="2" t="s">
        <v>281</v>
      </c>
      <c r="B91" s="2" t="s">
        <v>16</v>
      </c>
      <c r="C91" s="2" t="s">
        <v>282</v>
      </c>
      <c r="D91" s="2" t="s">
        <v>26</v>
      </c>
      <c r="E91" s="2" t="s">
        <v>85</v>
      </c>
      <c r="F91" s="2" t="s">
        <v>39</v>
      </c>
      <c r="G91" s="2" t="s">
        <v>283</v>
      </c>
      <c r="H91" s="3">
        <v>45644.556944444441</v>
      </c>
      <c r="I91" s="3">
        <v>45644.633333333331</v>
      </c>
      <c r="J91" s="2">
        <v>113</v>
      </c>
      <c r="K91" s="2">
        <v>110</v>
      </c>
      <c r="L91" s="2">
        <v>0</v>
      </c>
      <c r="M91" s="2" t="s">
        <v>41</v>
      </c>
      <c r="N91" s="2">
        <v>6</v>
      </c>
      <c r="O91" s="2">
        <v>364.89</v>
      </c>
      <c r="P91" s="2">
        <f t="shared" si="5"/>
        <v>-3</v>
      </c>
      <c r="Q91" s="4">
        <f t="shared" si="6"/>
        <v>1.0272727272727273</v>
      </c>
      <c r="R91" s="2" t="str">
        <f t="shared" si="7"/>
        <v>Efficient</v>
      </c>
      <c r="S91" s="2" t="str">
        <f t="shared" si="8"/>
        <v>Long</v>
      </c>
      <c r="T91" s="2" t="str">
        <f t="shared" si="9"/>
        <v>On Time</v>
      </c>
    </row>
    <row r="92" spans="1:20" x14ac:dyDescent="0.35">
      <c r="A92" s="2" t="s">
        <v>284</v>
      </c>
      <c r="B92" s="2" t="s">
        <v>24</v>
      </c>
      <c r="C92" s="2" t="s">
        <v>285</v>
      </c>
      <c r="D92" s="2" t="s">
        <v>18</v>
      </c>
      <c r="E92" s="2" t="s">
        <v>33</v>
      </c>
      <c r="F92" s="2" t="s">
        <v>39</v>
      </c>
      <c r="G92" s="2" t="s">
        <v>231</v>
      </c>
      <c r="H92" s="3">
        <v>45418.647222222222</v>
      </c>
      <c r="I92" s="3">
        <v>45418.690972222219</v>
      </c>
      <c r="J92" s="2">
        <v>36</v>
      </c>
      <c r="K92" s="2">
        <v>63</v>
      </c>
      <c r="L92" s="2">
        <v>1</v>
      </c>
      <c r="M92" s="2" t="s">
        <v>41</v>
      </c>
      <c r="N92" s="2">
        <v>9</v>
      </c>
      <c r="O92" s="2">
        <v>177.53</v>
      </c>
      <c r="P92" s="2">
        <f t="shared" si="5"/>
        <v>27</v>
      </c>
      <c r="Q92" s="4">
        <f t="shared" si="6"/>
        <v>0.5714285714285714</v>
      </c>
      <c r="R92" s="2" t="str">
        <f t="shared" si="7"/>
        <v>Inefficient</v>
      </c>
      <c r="S92" s="2" t="str">
        <f t="shared" si="8"/>
        <v>Long</v>
      </c>
      <c r="T92" s="2" t="str">
        <f t="shared" si="9"/>
        <v>Minor Delay</v>
      </c>
    </row>
    <row r="93" spans="1:20" x14ac:dyDescent="0.35">
      <c r="A93" s="2" t="s">
        <v>286</v>
      </c>
      <c r="B93" s="2" t="s">
        <v>51</v>
      </c>
      <c r="C93" s="2" t="s">
        <v>287</v>
      </c>
      <c r="D93" s="2" t="s">
        <v>56</v>
      </c>
      <c r="E93" s="2" t="s">
        <v>33</v>
      </c>
      <c r="F93" s="2" t="s">
        <v>20</v>
      </c>
      <c r="G93" s="2" t="s">
        <v>288</v>
      </c>
      <c r="H93" s="3">
        <v>45480.303472222222</v>
      </c>
      <c r="I93" s="3">
        <v>45480.509027777778</v>
      </c>
      <c r="J93" s="2">
        <v>221</v>
      </c>
      <c r="K93" s="2">
        <v>296</v>
      </c>
      <c r="L93" s="2">
        <v>1</v>
      </c>
      <c r="M93" s="2" t="s">
        <v>29</v>
      </c>
      <c r="N93" s="2">
        <v>8</v>
      </c>
      <c r="O93" s="2">
        <v>260.11</v>
      </c>
      <c r="P93" s="2">
        <f t="shared" si="5"/>
        <v>75</v>
      </c>
      <c r="Q93" s="4">
        <f t="shared" si="6"/>
        <v>0.7466216216216216</v>
      </c>
      <c r="R93" s="2" t="str">
        <f t="shared" si="7"/>
        <v>Inefficient</v>
      </c>
      <c r="S93" s="2" t="str">
        <f t="shared" si="8"/>
        <v>Very Long</v>
      </c>
      <c r="T93" s="2" t="str">
        <f t="shared" si="9"/>
        <v>Major Delay</v>
      </c>
    </row>
    <row r="94" spans="1:20" x14ac:dyDescent="0.35">
      <c r="A94" s="2" t="s">
        <v>289</v>
      </c>
      <c r="B94" s="2" t="s">
        <v>63</v>
      </c>
      <c r="C94" s="2" t="s">
        <v>290</v>
      </c>
      <c r="D94" s="2" t="s">
        <v>44</v>
      </c>
      <c r="E94" s="2" t="s">
        <v>38</v>
      </c>
      <c r="F94" s="2" t="s">
        <v>20</v>
      </c>
      <c r="G94" s="2" t="s">
        <v>140</v>
      </c>
      <c r="H94" s="3">
        <v>45611.158333333333</v>
      </c>
      <c r="I94" s="3">
        <v>45611.300694444442</v>
      </c>
      <c r="J94" s="2">
        <v>177</v>
      </c>
      <c r="K94" s="2">
        <v>205</v>
      </c>
      <c r="L94" s="2">
        <v>1</v>
      </c>
      <c r="M94" s="2" t="s">
        <v>22</v>
      </c>
      <c r="N94" s="2">
        <v>7</v>
      </c>
      <c r="O94" s="2">
        <v>481.12</v>
      </c>
      <c r="P94" s="2">
        <f t="shared" si="5"/>
        <v>28</v>
      </c>
      <c r="Q94" s="4">
        <f t="shared" si="6"/>
        <v>0.86341463414634145</v>
      </c>
      <c r="R94" s="2" t="str">
        <f t="shared" si="7"/>
        <v>Inefficient</v>
      </c>
      <c r="S94" s="2" t="str">
        <f t="shared" si="8"/>
        <v>Very Long</v>
      </c>
      <c r="T94" s="2" t="str">
        <f t="shared" si="9"/>
        <v>Minor Delay</v>
      </c>
    </row>
    <row r="95" spans="1:20" x14ac:dyDescent="0.35">
      <c r="A95" s="2" t="s">
        <v>291</v>
      </c>
      <c r="B95" s="2" t="s">
        <v>31</v>
      </c>
      <c r="C95" s="2" t="s">
        <v>292</v>
      </c>
      <c r="D95" s="2" t="s">
        <v>26</v>
      </c>
      <c r="E95" s="2" t="s">
        <v>38</v>
      </c>
      <c r="F95" s="2" t="s">
        <v>34</v>
      </c>
      <c r="G95" s="2" t="s">
        <v>293</v>
      </c>
      <c r="H95" s="3">
        <v>45555.742361111108</v>
      </c>
      <c r="I95" s="3">
        <v>45555.818055555559</v>
      </c>
      <c r="J95" s="2">
        <v>17</v>
      </c>
      <c r="K95" s="2">
        <v>109</v>
      </c>
      <c r="L95" s="2">
        <v>1</v>
      </c>
      <c r="M95" s="2" t="s">
        <v>22</v>
      </c>
      <c r="N95" s="2">
        <v>5</v>
      </c>
      <c r="O95" s="2">
        <v>65.099999999999994</v>
      </c>
      <c r="P95" s="2">
        <f t="shared" si="5"/>
        <v>92</v>
      </c>
      <c r="Q95" s="4">
        <f t="shared" si="6"/>
        <v>0.15596330275229359</v>
      </c>
      <c r="R95" s="2" t="str">
        <f t="shared" si="7"/>
        <v>Inefficient</v>
      </c>
      <c r="S95" s="2" t="str">
        <f t="shared" si="8"/>
        <v>Long</v>
      </c>
      <c r="T95" s="2" t="str">
        <f t="shared" si="9"/>
        <v>Major Delay</v>
      </c>
    </row>
    <row r="96" spans="1:20" x14ac:dyDescent="0.35">
      <c r="A96" s="2" t="s">
        <v>294</v>
      </c>
      <c r="B96" s="2" t="s">
        <v>51</v>
      </c>
      <c r="C96" s="2" t="s">
        <v>295</v>
      </c>
      <c r="D96" s="2" t="s">
        <v>26</v>
      </c>
      <c r="E96" s="2" t="s">
        <v>19</v>
      </c>
      <c r="F96" s="2" t="s">
        <v>20</v>
      </c>
      <c r="G96" s="2" t="s">
        <v>296</v>
      </c>
      <c r="H96" s="3">
        <v>45392.742361111108</v>
      </c>
      <c r="I96" s="3">
        <v>45392.929166666669</v>
      </c>
      <c r="J96" s="2">
        <v>184</v>
      </c>
      <c r="K96" s="2">
        <v>269</v>
      </c>
      <c r="L96" s="2">
        <v>1</v>
      </c>
      <c r="M96" s="2" t="s">
        <v>22</v>
      </c>
      <c r="N96" s="2">
        <v>9</v>
      </c>
      <c r="O96" s="2">
        <v>209.72</v>
      </c>
      <c r="P96" s="2">
        <f t="shared" si="5"/>
        <v>85</v>
      </c>
      <c r="Q96" s="4">
        <f t="shared" si="6"/>
        <v>0.68401486988847582</v>
      </c>
      <c r="R96" s="2" t="str">
        <f t="shared" si="7"/>
        <v>Inefficient</v>
      </c>
      <c r="S96" s="2" t="str">
        <f t="shared" si="8"/>
        <v>Very Long</v>
      </c>
      <c r="T96" s="2" t="str">
        <f t="shared" si="9"/>
        <v>Major Delay</v>
      </c>
    </row>
    <row r="97" spans="1:20" x14ac:dyDescent="0.35">
      <c r="A97" s="2" t="s">
        <v>297</v>
      </c>
      <c r="B97" s="2" t="s">
        <v>24</v>
      </c>
      <c r="C97" s="2" t="s">
        <v>298</v>
      </c>
      <c r="D97" s="2" t="s">
        <v>44</v>
      </c>
      <c r="E97" s="2" t="s">
        <v>33</v>
      </c>
      <c r="F97" s="2" t="s">
        <v>27</v>
      </c>
      <c r="G97" s="2" t="s">
        <v>299</v>
      </c>
      <c r="H97" s="3">
        <v>45587.465277777781</v>
      </c>
      <c r="I97" s="3">
        <v>45587.529861111114</v>
      </c>
      <c r="J97" s="2">
        <v>77</v>
      </c>
      <c r="K97" s="2">
        <v>93</v>
      </c>
      <c r="L97" s="2">
        <v>1</v>
      </c>
      <c r="M97" s="2" t="s">
        <v>41</v>
      </c>
      <c r="N97" s="2">
        <v>1</v>
      </c>
      <c r="O97" s="2">
        <v>130.12</v>
      </c>
      <c r="P97" s="2">
        <f t="shared" si="5"/>
        <v>16</v>
      </c>
      <c r="Q97" s="4">
        <f t="shared" si="6"/>
        <v>0.82795698924731187</v>
      </c>
      <c r="R97" s="2" t="str">
        <f t="shared" si="7"/>
        <v>Inefficient</v>
      </c>
      <c r="S97" s="2" t="str">
        <f t="shared" si="8"/>
        <v>Long</v>
      </c>
      <c r="T97" s="2" t="str">
        <f t="shared" si="9"/>
        <v>Minor Delay</v>
      </c>
    </row>
    <row r="98" spans="1:20" x14ac:dyDescent="0.35">
      <c r="A98" s="2" t="s">
        <v>300</v>
      </c>
      <c r="B98" s="2" t="s">
        <v>51</v>
      </c>
      <c r="C98" s="2" t="s">
        <v>301</v>
      </c>
      <c r="D98" s="2" t="s">
        <v>18</v>
      </c>
      <c r="E98" s="2" t="s">
        <v>38</v>
      </c>
      <c r="F98" s="2" t="s">
        <v>20</v>
      </c>
      <c r="G98" s="2" t="s">
        <v>82</v>
      </c>
      <c r="H98" s="3">
        <v>45312.626388888886</v>
      </c>
      <c r="I98" s="3">
        <v>45312.6875</v>
      </c>
      <c r="J98" s="2">
        <v>30</v>
      </c>
      <c r="K98" s="2">
        <v>88</v>
      </c>
      <c r="L98" s="2">
        <v>1</v>
      </c>
      <c r="M98" s="2" t="s">
        <v>41</v>
      </c>
      <c r="N98" s="2">
        <v>5</v>
      </c>
      <c r="O98" s="2">
        <v>174.12</v>
      </c>
      <c r="P98" s="2">
        <f t="shared" si="5"/>
        <v>58</v>
      </c>
      <c r="Q98" s="4">
        <f t="shared" si="6"/>
        <v>0.34090909090909088</v>
      </c>
      <c r="R98" s="2" t="str">
        <f t="shared" si="7"/>
        <v>Inefficient</v>
      </c>
      <c r="S98" s="2" t="str">
        <f t="shared" si="8"/>
        <v>Long</v>
      </c>
      <c r="T98" s="2" t="str">
        <f t="shared" si="9"/>
        <v>Major Delay</v>
      </c>
    </row>
    <row r="99" spans="1:20" x14ac:dyDescent="0.35">
      <c r="A99" s="2" t="s">
        <v>302</v>
      </c>
      <c r="B99" s="2" t="s">
        <v>63</v>
      </c>
      <c r="C99" s="2" t="s">
        <v>303</v>
      </c>
      <c r="D99" s="2" t="s">
        <v>48</v>
      </c>
      <c r="E99" s="2" t="s">
        <v>33</v>
      </c>
      <c r="F99" s="2" t="s">
        <v>57</v>
      </c>
      <c r="G99" s="2" t="s">
        <v>140</v>
      </c>
      <c r="H99" s="3">
        <v>45435.529166666667</v>
      </c>
      <c r="I99" s="3">
        <v>45435.675694444442</v>
      </c>
      <c r="J99" s="2">
        <v>161</v>
      </c>
      <c r="K99" s="2">
        <v>211</v>
      </c>
      <c r="L99" s="2">
        <v>1</v>
      </c>
      <c r="M99" s="2" t="s">
        <v>29</v>
      </c>
      <c r="N99" s="2">
        <v>8</v>
      </c>
      <c r="O99" s="2">
        <v>411.13</v>
      </c>
      <c r="P99" s="2">
        <f t="shared" si="5"/>
        <v>50</v>
      </c>
      <c r="Q99" s="4">
        <f t="shared" si="6"/>
        <v>0.76303317535545023</v>
      </c>
      <c r="R99" s="2" t="str">
        <f t="shared" si="7"/>
        <v>Inefficient</v>
      </c>
      <c r="S99" s="2" t="str">
        <f t="shared" si="8"/>
        <v>Very Long</v>
      </c>
      <c r="T99" s="2" t="str">
        <f t="shared" si="9"/>
        <v>Major Delay</v>
      </c>
    </row>
    <row r="100" spans="1:20" x14ac:dyDescent="0.35">
      <c r="A100" s="2" t="s">
        <v>304</v>
      </c>
      <c r="B100" s="2" t="s">
        <v>31</v>
      </c>
      <c r="C100" s="2" t="s">
        <v>305</v>
      </c>
      <c r="D100" s="2" t="s">
        <v>48</v>
      </c>
      <c r="E100" s="2" t="s">
        <v>33</v>
      </c>
      <c r="F100" s="2" t="s">
        <v>34</v>
      </c>
      <c r="G100" s="2" t="s">
        <v>82</v>
      </c>
      <c r="H100" s="3">
        <v>45380.923611111109</v>
      </c>
      <c r="I100" s="3">
        <v>45381.042361111111</v>
      </c>
      <c r="J100" s="2">
        <v>77</v>
      </c>
      <c r="K100" s="2">
        <v>171</v>
      </c>
      <c r="L100" s="2">
        <v>1</v>
      </c>
      <c r="M100" s="2" t="s">
        <v>29</v>
      </c>
      <c r="N100" s="2">
        <v>6</v>
      </c>
      <c r="O100" s="2">
        <v>113.26</v>
      </c>
      <c r="P100" s="2">
        <f t="shared" si="5"/>
        <v>94</v>
      </c>
      <c r="Q100" s="4">
        <f t="shared" si="6"/>
        <v>0.45029239766081869</v>
      </c>
      <c r="R100" s="2" t="str">
        <f t="shared" si="7"/>
        <v>Inefficient</v>
      </c>
      <c r="S100" s="2" t="str">
        <f t="shared" si="8"/>
        <v>Very Long</v>
      </c>
      <c r="T100" s="2" t="str">
        <f t="shared" si="9"/>
        <v>Major Delay</v>
      </c>
    </row>
    <row r="101" spans="1:20" x14ac:dyDescent="0.35">
      <c r="A101" s="2" t="s">
        <v>306</v>
      </c>
      <c r="B101" s="2" t="s">
        <v>51</v>
      </c>
      <c r="C101" s="2" t="s">
        <v>307</v>
      </c>
      <c r="D101" s="2" t="s">
        <v>44</v>
      </c>
      <c r="E101" s="2" t="s">
        <v>38</v>
      </c>
      <c r="F101" s="2" t="s">
        <v>39</v>
      </c>
      <c r="G101" s="2" t="s">
        <v>308</v>
      </c>
      <c r="H101" s="3">
        <v>45613.231944444444</v>
      </c>
      <c r="I101" s="3">
        <v>45613.469444444447</v>
      </c>
      <c r="J101" s="2">
        <v>235</v>
      </c>
      <c r="K101" s="2">
        <v>342</v>
      </c>
      <c r="L101" s="2">
        <v>1</v>
      </c>
      <c r="M101" s="2" t="s">
        <v>29</v>
      </c>
      <c r="N101" s="2">
        <v>3</v>
      </c>
      <c r="O101" s="2">
        <v>161.09</v>
      </c>
      <c r="P101" s="2">
        <f t="shared" si="5"/>
        <v>107</v>
      </c>
      <c r="Q101" s="4">
        <f t="shared" si="6"/>
        <v>0.6871345029239766</v>
      </c>
      <c r="R101" s="2" t="str">
        <f t="shared" si="7"/>
        <v>Inefficient</v>
      </c>
      <c r="S101" s="2" t="str">
        <f t="shared" si="8"/>
        <v>Very Long</v>
      </c>
      <c r="T101" s="2" t="str">
        <f t="shared" si="9"/>
        <v>Major Delay</v>
      </c>
    </row>
    <row r="102" spans="1:20" x14ac:dyDescent="0.35">
      <c r="A102" s="2" t="s">
        <v>309</v>
      </c>
      <c r="B102" s="2" t="s">
        <v>31</v>
      </c>
      <c r="C102" s="2" t="s">
        <v>310</v>
      </c>
      <c r="D102" s="2" t="s">
        <v>18</v>
      </c>
      <c r="E102" s="2" t="s">
        <v>85</v>
      </c>
      <c r="F102" s="2" t="s">
        <v>57</v>
      </c>
      <c r="G102" s="2" t="s">
        <v>311</v>
      </c>
      <c r="H102" s="3">
        <v>45452.056250000001</v>
      </c>
      <c r="I102" s="3">
        <v>45452.21597222222</v>
      </c>
      <c r="J102" s="2">
        <v>152</v>
      </c>
      <c r="K102" s="2">
        <v>230</v>
      </c>
      <c r="L102" s="2">
        <v>1</v>
      </c>
      <c r="M102" s="2" t="s">
        <v>41</v>
      </c>
      <c r="N102" s="2">
        <v>5</v>
      </c>
      <c r="O102" s="2">
        <v>375.96</v>
      </c>
      <c r="P102" s="2">
        <f t="shared" si="5"/>
        <v>78</v>
      </c>
      <c r="Q102" s="4">
        <f t="shared" si="6"/>
        <v>0.66086956521739126</v>
      </c>
      <c r="R102" s="2" t="str">
        <f t="shared" si="7"/>
        <v>Inefficient</v>
      </c>
      <c r="S102" s="2" t="str">
        <f t="shared" si="8"/>
        <v>Very Long</v>
      </c>
      <c r="T102" s="2" t="str">
        <f t="shared" si="9"/>
        <v>Major Delay</v>
      </c>
    </row>
    <row r="103" spans="1:20" x14ac:dyDescent="0.35">
      <c r="A103" s="2" t="s">
        <v>312</v>
      </c>
      <c r="B103" s="2" t="s">
        <v>24</v>
      </c>
      <c r="C103" s="2" t="s">
        <v>313</v>
      </c>
      <c r="D103" s="2" t="s">
        <v>26</v>
      </c>
      <c r="E103" s="2" t="s">
        <v>38</v>
      </c>
      <c r="F103" s="2" t="s">
        <v>20</v>
      </c>
      <c r="G103" s="2" t="s">
        <v>262</v>
      </c>
      <c r="H103" s="3">
        <v>45459.254861111112</v>
      </c>
      <c r="I103" s="3">
        <v>45459.388194444444</v>
      </c>
      <c r="J103" s="2">
        <v>161</v>
      </c>
      <c r="K103" s="2">
        <v>192</v>
      </c>
      <c r="L103" s="2">
        <v>1</v>
      </c>
      <c r="M103" s="2" t="s">
        <v>22</v>
      </c>
      <c r="N103" s="2">
        <v>3</v>
      </c>
      <c r="O103" s="2">
        <v>431.74</v>
      </c>
      <c r="P103" s="2">
        <f t="shared" si="5"/>
        <v>31</v>
      </c>
      <c r="Q103" s="4">
        <f t="shared" si="6"/>
        <v>0.83854166666666663</v>
      </c>
      <c r="R103" s="2" t="str">
        <f t="shared" si="7"/>
        <v>Inefficient</v>
      </c>
      <c r="S103" s="2" t="str">
        <f t="shared" si="8"/>
        <v>Very Long</v>
      </c>
      <c r="T103" s="2" t="str">
        <f t="shared" si="9"/>
        <v>Major Delay</v>
      </c>
    </row>
    <row r="104" spans="1:20" x14ac:dyDescent="0.35">
      <c r="A104" s="2" t="s">
        <v>314</v>
      </c>
      <c r="B104" s="2" t="s">
        <v>16</v>
      </c>
      <c r="C104" s="2" t="s">
        <v>315</v>
      </c>
      <c r="D104" s="2" t="s">
        <v>56</v>
      </c>
      <c r="E104" s="2" t="s">
        <v>19</v>
      </c>
      <c r="F104" s="2" t="s">
        <v>20</v>
      </c>
      <c r="G104" s="2" t="s">
        <v>316</v>
      </c>
      <c r="H104" s="3">
        <v>45319.220138888886</v>
      </c>
      <c r="I104" s="3">
        <v>45319.415277777778</v>
      </c>
      <c r="J104" s="2">
        <v>176</v>
      </c>
      <c r="K104" s="2">
        <v>281</v>
      </c>
      <c r="L104" s="2">
        <v>1</v>
      </c>
      <c r="M104" s="2" t="s">
        <v>22</v>
      </c>
      <c r="N104" s="2">
        <v>2</v>
      </c>
      <c r="O104" s="2">
        <v>492.06</v>
      </c>
      <c r="P104" s="2">
        <f t="shared" si="5"/>
        <v>105</v>
      </c>
      <c r="Q104" s="4">
        <f t="shared" si="6"/>
        <v>0.62633451957295372</v>
      </c>
      <c r="R104" s="2" t="str">
        <f t="shared" si="7"/>
        <v>Inefficient</v>
      </c>
      <c r="S104" s="2" t="str">
        <f t="shared" si="8"/>
        <v>Very Long</v>
      </c>
      <c r="T104" s="2" t="str">
        <f t="shared" si="9"/>
        <v>Major Delay</v>
      </c>
    </row>
    <row r="105" spans="1:20" x14ac:dyDescent="0.35">
      <c r="A105" s="2" t="s">
        <v>317</v>
      </c>
      <c r="B105" s="2" t="s">
        <v>31</v>
      </c>
      <c r="C105" s="2" t="s">
        <v>318</v>
      </c>
      <c r="D105" s="2" t="s">
        <v>26</v>
      </c>
      <c r="E105" s="2" t="s">
        <v>19</v>
      </c>
      <c r="F105" s="2" t="s">
        <v>20</v>
      </c>
      <c r="G105" s="2" t="s">
        <v>182</v>
      </c>
      <c r="H105" s="3">
        <v>45513.147222222222</v>
      </c>
      <c r="I105" s="3">
        <v>45513.197222222225</v>
      </c>
      <c r="J105" s="2">
        <v>40</v>
      </c>
      <c r="K105" s="2">
        <v>72</v>
      </c>
      <c r="L105" s="2">
        <v>1</v>
      </c>
      <c r="M105" s="2" t="s">
        <v>22</v>
      </c>
      <c r="N105" s="2">
        <v>6</v>
      </c>
      <c r="O105" s="2">
        <v>104.17</v>
      </c>
      <c r="P105" s="2">
        <f t="shared" si="5"/>
        <v>32</v>
      </c>
      <c r="Q105" s="4">
        <f t="shared" si="6"/>
        <v>0.55555555555555558</v>
      </c>
      <c r="R105" s="2" t="str">
        <f t="shared" si="7"/>
        <v>Inefficient</v>
      </c>
      <c r="S105" s="2" t="str">
        <f t="shared" si="8"/>
        <v>Long</v>
      </c>
      <c r="T105" s="2" t="str">
        <f t="shared" si="9"/>
        <v>Major Delay</v>
      </c>
    </row>
    <row r="106" spans="1:20" x14ac:dyDescent="0.35">
      <c r="A106" s="2" t="s">
        <v>319</v>
      </c>
      <c r="B106" s="2" t="s">
        <v>16</v>
      </c>
      <c r="C106" s="2" t="s">
        <v>320</v>
      </c>
      <c r="D106" s="2" t="s">
        <v>18</v>
      </c>
      <c r="E106" s="2" t="s">
        <v>33</v>
      </c>
      <c r="F106" s="2" t="s">
        <v>57</v>
      </c>
      <c r="G106" s="2" t="s">
        <v>321</v>
      </c>
      <c r="H106" s="3">
        <v>45402.842361111114</v>
      </c>
      <c r="I106" s="3">
        <v>45402.956944444442</v>
      </c>
      <c r="J106" s="2">
        <v>98</v>
      </c>
      <c r="K106" s="2">
        <v>165</v>
      </c>
      <c r="L106" s="2">
        <v>1</v>
      </c>
      <c r="M106" s="2" t="s">
        <v>22</v>
      </c>
      <c r="N106" s="2">
        <v>9</v>
      </c>
      <c r="O106" s="2">
        <v>418.01</v>
      </c>
      <c r="P106" s="2">
        <f t="shared" si="5"/>
        <v>67</v>
      </c>
      <c r="Q106" s="4">
        <f t="shared" si="6"/>
        <v>0.59393939393939399</v>
      </c>
      <c r="R106" s="2" t="str">
        <f t="shared" si="7"/>
        <v>Inefficient</v>
      </c>
      <c r="S106" s="2" t="str">
        <f t="shared" si="8"/>
        <v>Very Long</v>
      </c>
      <c r="T106" s="2" t="str">
        <f t="shared" si="9"/>
        <v>Major Delay</v>
      </c>
    </row>
    <row r="107" spans="1:20" x14ac:dyDescent="0.35">
      <c r="A107" s="2" t="s">
        <v>322</v>
      </c>
      <c r="B107" s="2" t="s">
        <v>31</v>
      </c>
      <c r="C107" s="2" t="s">
        <v>323</v>
      </c>
      <c r="D107" s="2" t="s">
        <v>26</v>
      </c>
      <c r="E107" s="2" t="s">
        <v>19</v>
      </c>
      <c r="F107" s="2" t="s">
        <v>39</v>
      </c>
      <c r="G107" s="2" t="s">
        <v>231</v>
      </c>
      <c r="H107" s="3">
        <v>45479.771527777775</v>
      </c>
      <c r="I107" s="3">
        <v>45479.92291666667</v>
      </c>
      <c r="J107" s="2">
        <v>213</v>
      </c>
      <c r="K107" s="2">
        <v>218</v>
      </c>
      <c r="L107" s="2">
        <v>1</v>
      </c>
      <c r="M107" s="2" t="s">
        <v>41</v>
      </c>
      <c r="N107" s="2">
        <v>5</v>
      </c>
      <c r="O107" s="2">
        <v>275.48</v>
      </c>
      <c r="P107" s="2">
        <f t="shared" si="5"/>
        <v>5</v>
      </c>
      <c r="Q107" s="4">
        <f t="shared" si="6"/>
        <v>0.97706422018348627</v>
      </c>
      <c r="R107" s="2" t="str">
        <f t="shared" si="7"/>
        <v>Inefficient</v>
      </c>
      <c r="S107" s="2" t="str">
        <f t="shared" si="8"/>
        <v>Very Long</v>
      </c>
      <c r="T107" s="2" t="str">
        <f t="shared" si="9"/>
        <v>Minor Delay</v>
      </c>
    </row>
    <row r="108" spans="1:20" x14ac:dyDescent="0.35">
      <c r="A108" s="2" t="s">
        <v>324</v>
      </c>
      <c r="B108" s="2" t="s">
        <v>31</v>
      </c>
      <c r="C108" s="2" t="s">
        <v>325</v>
      </c>
      <c r="D108" s="2" t="s">
        <v>48</v>
      </c>
      <c r="E108" s="2" t="s">
        <v>19</v>
      </c>
      <c r="F108" s="2" t="s">
        <v>39</v>
      </c>
      <c r="G108" s="2" t="s">
        <v>262</v>
      </c>
      <c r="H108" s="3">
        <v>45318.119444444441</v>
      </c>
      <c r="I108" s="3">
        <v>45318.189583333333</v>
      </c>
      <c r="J108" s="2">
        <v>97</v>
      </c>
      <c r="K108" s="2">
        <v>101</v>
      </c>
      <c r="L108" s="2">
        <v>1</v>
      </c>
      <c r="M108" s="2" t="s">
        <v>29</v>
      </c>
      <c r="N108" s="2">
        <v>3</v>
      </c>
      <c r="O108" s="2">
        <v>138.36000000000001</v>
      </c>
      <c r="P108" s="2">
        <f t="shared" si="5"/>
        <v>4</v>
      </c>
      <c r="Q108" s="4">
        <f t="shared" si="6"/>
        <v>0.96039603960396036</v>
      </c>
      <c r="R108" s="2" t="str">
        <f t="shared" si="7"/>
        <v>Inefficient</v>
      </c>
      <c r="S108" s="2" t="str">
        <f t="shared" si="8"/>
        <v>Long</v>
      </c>
      <c r="T108" s="2" t="str">
        <f t="shared" si="9"/>
        <v>Minor Delay</v>
      </c>
    </row>
    <row r="109" spans="1:20" x14ac:dyDescent="0.35">
      <c r="A109" s="2" t="s">
        <v>326</v>
      </c>
      <c r="B109" s="2" t="s">
        <v>63</v>
      </c>
      <c r="C109" s="2" t="s">
        <v>327</v>
      </c>
      <c r="D109" s="2" t="s">
        <v>44</v>
      </c>
      <c r="E109" s="2" t="s">
        <v>33</v>
      </c>
      <c r="F109" s="2" t="s">
        <v>57</v>
      </c>
      <c r="G109" s="2" t="s">
        <v>45</v>
      </c>
      <c r="H109" s="3">
        <v>45439.51458333333</v>
      </c>
      <c r="I109" s="3">
        <v>45439.59097222222</v>
      </c>
      <c r="J109" s="2">
        <v>50</v>
      </c>
      <c r="K109" s="2">
        <v>110</v>
      </c>
      <c r="L109" s="2">
        <v>1</v>
      </c>
      <c r="M109" s="2" t="s">
        <v>22</v>
      </c>
      <c r="N109" s="2">
        <v>9</v>
      </c>
      <c r="O109" s="2">
        <v>211.4</v>
      </c>
      <c r="P109" s="2">
        <f t="shared" si="5"/>
        <v>60</v>
      </c>
      <c r="Q109" s="4">
        <f t="shared" si="6"/>
        <v>0.45454545454545453</v>
      </c>
      <c r="R109" s="2" t="str">
        <f t="shared" si="7"/>
        <v>Inefficient</v>
      </c>
      <c r="S109" s="2" t="str">
        <f t="shared" si="8"/>
        <v>Long</v>
      </c>
      <c r="T109" s="2" t="str">
        <f t="shared" si="9"/>
        <v>Major Delay</v>
      </c>
    </row>
    <row r="110" spans="1:20" x14ac:dyDescent="0.35">
      <c r="A110" s="2" t="s">
        <v>328</v>
      </c>
      <c r="B110" s="2" t="s">
        <v>51</v>
      </c>
      <c r="C110" s="2" t="s">
        <v>329</v>
      </c>
      <c r="D110" s="2" t="s">
        <v>26</v>
      </c>
      <c r="E110" s="2" t="s">
        <v>33</v>
      </c>
      <c r="F110" s="2" t="s">
        <v>20</v>
      </c>
      <c r="G110" s="2" t="s">
        <v>330</v>
      </c>
      <c r="H110" s="3">
        <v>45374.762499999997</v>
      </c>
      <c r="I110" s="3">
        <v>45374.980555555558</v>
      </c>
      <c r="J110" s="2">
        <v>216</v>
      </c>
      <c r="K110" s="2">
        <v>314</v>
      </c>
      <c r="L110" s="2">
        <v>1</v>
      </c>
      <c r="M110" s="2" t="s">
        <v>41</v>
      </c>
      <c r="N110" s="2">
        <v>8</v>
      </c>
      <c r="O110" s="2">
        <v>361.12</v>
      </c>
      <c r="P110" s="2">
        <f t="shared" si="5"/>
        <v>98</v>
      </c>
      <c r="Q110" s="4">
        <f t="shared" si="6"/>
        <v>0.68789808917197448</v>
      </c>
      <c r="R110" s="2" t="str">
        <f t="shared" si="7"/>
        <v>Inefficient</v>
      </c>
      <c r="S110" s="2" t="str">
        <f t="shared" si="8"/>
        <v>Very Long</v>
      </c>
      <c r="T110" s="2" t="str">
        <f t="shared" si="9"/>
        <v>Major Delay</v>
      </c>
    </row>
    <row r="111" spans="1:20" x14ac:dyDescent="0.35">
      <c r="A111" s="2" t="s">
        <v>331</v>
      </c>
      <c r="B111" s="2" t="s">
        <v>24</v>
      </c>
      <c r="C111" s="2" t="s">
        <v>332</v>
      </c>
      <c r="D111" s="2" t="s">
        <v>18</v>
      </c>
      <c r="E111" s="2" t="s">
        <v>19</v>
      </c>
      <c r="F111" s="2" t="s">
        <v>39</v>
      </c>
      <c r="G111" s="2" t="s">
        <v>265</v>
      </c>
      <c r="H111" s="3">
        <v>45588.393750000003</v>
      </c>
      <c r="I111" s="3">
        <v>45588.53402777778</v>
      </c>
      <c r="J111" s="2">
        <v>136</v>
      </c>
      <c r="K111" s="2">
        <v>202</v>
      </c>
      <c r="L111" s="2">
        <v>1</v>
      </c>
      <c r="M111" s="2" t="s">
        <v>29</v>
      </c>
      <c r="N111" s="2">
        <v>6</v>
      </c>
      <c r="O111" s="2">
        <v>155.22</v>
      </c>
      <c r="P111" s="2">
        <f t="shared" si="5"/>
        <v>66</v>
      </c>
      <c r="Q111" s="4">
        <f t="shared" si="6"/>
        <v>0.67326732673267331</v>
      </c>
      <c r="R111" s="2" t="str">
        <f t="shared" si="7"/>
        <v>Inefficient</v>
      </c>
      <c r="S111" s="2" t="str">
        <f t="shared" si="8"/>
        <v>Very Long</v>
      </c>
      <c r="T111" s="2" t="str">
        <f t="shared" si="9"/>
        <v>Major Delay</v>
      </c>
    </row>
    <row r="112" spans="1:20" x14ac:dyDescent="0.35">
      <c r="A112" s="2" t="s">
        <v>333</v>
      </c>
      <c r="B112" s="2" t="s">
        <v>31</v>
      </c>
      <c r="C112" s="2" t="s">
        <v>334</v>
      </c>
      <c r="D112" s="2" t="s">
        <v>48</v>
      </c>
      <c r="E112" s="2" t="s">
        <v>85</v>
      </c>
      <c r="F112" s="2" t="s">
        <v>20</v>
      </c>
      <c r="G112" s="2" t="s">
        <v>335</v>
      </c>
      <c r="H112" s="3">
        <v>45473.029166666667</v>
      </c>
      <c r="I112" s="3">
        <v>45473.142361111109</v>
      </c>
      <c r="J112" s="2">
        <v>50</v>
      </c>
      <c r="K112" s="2">
        <v>163</v>
      </c>
      <c r="L112" s="2">
        <v>1</v>
      </c>
      <c r="M112" s="2" t="s">
        <v>22</v>
      </c>
      <c r="N112" s="2">
        <v>9</v>
      </c>
      <c r="O112" s="2">
        <v>387.75</v>
      </c>
      <c r="P112" s="2">
        <f t="shared" si="5"/>
        <v>113</v>
      </c>
      <c r="Q112" s="4">
        <f t="shared" si="6"/>
        <v>0.30674846625766872</v>
      </c>
      <c r="R112" s="2" t="str">
        <f t="shared" si="7"/>
        <v>Inefficient</v>
      </c>
      <c r="S112" s="2" t="str">
        <f t="shared" si="8"/>
        <v>Very Long</v>
      </c>
      <c r="T112" s="2" t="str">
        <f t="shared" si="9"/>
        <v>Major Delay</v>
      </c>
    </row>
    <row r="113" spans="1:20" x14ac:dyDescent="0.35">
      <c r="A113" s="2" t="s">
        <v>336</v>
      </c>
      <c r="B113" s="2" t="s">
        <v>16</v>
      </c>
      <c r="C113" s="2" t="s">
        <v>337</v>
      </c>
      <c r="D113" s="2" t="s">
        <v>26</v>
      </c>
      <c r="E113" s="2" t="s">
        <v>19</v>
      </c>
      <c r="F113" s="2" t="s">
        <v>27</v>
      </c>
      <c r="G113" s="2" t="s">
        <v>338</v>
      </c>
      <c r="H113" s="3">
        <v>45627.95</v>
      </c>
      <c r="I113" s="3">
        <v>45627.984027777777</v>
      </c>
      <c r="J113" s="2">
        <v>13</v>
      </c>
      <c r="K113" s="2">
        <v>49</v>
      </c>
      <c r="L113" s="2">
        <v>1</v>
      </c>
      <c r="M113" s="2" t="s">
        <v>29</v>
      </c>
      <c r="N113" s="2">
        <v>3</v>
      </c>
      <c r="O113" s="2">
        <v>234.36</v>
      </c>
      <c r="P113" s="2">
        <f t="shared" si="5"/>
        <v>36</v>
      </c>
      <c r="Q113" s="4">
        <f t="shared" si="6"/>
        <v>0.26530612244897961</v>
      </c>
      <c r="R113" s="2" t="str">
        <f t="shared" si="7"/>
        <v>Inefficient</v>
      </c>
      <c r="S113" s="2" t="str">
        <f t="shared" si="8"/>
        <v>Medium</v>
      </c>
      <c r="T113" s="2" t="str">
        <f t="shared" si="9"/>
        <v>Major Delay</v>
      </c>
    </row>
    <row r="114" spans="1:20" x14ac:dyDescent="0.35">
      <c r="A114" s="2" t="s">
        <v>339</v>
      </c>
      <c r="B114" s="2" t="s">
        <v>24</v>
      </c>
      <c r="C114" s="2" t="s">
        <v>340</v>
      </c>
      <c r="D114" s="2" t="s">
        <v>56</v>
      </c>
      <c r="E114" s="2" t="s">
        <v>38</v>
      </c>
      <c r="F114" s="2" t="s">
        <v>27</v>
      </c>
      <c r="G114" s="2" t="s">
        <v>149</v>
      </c>
      <c r="H114" s="3">
        <v>45614.089583333334</v>
      </c>
      <c r="I114" s="3">
        <v>45614.272916666669</v>
      </c>
      <c r="J114" s="2">
        <v>207</v>
      </c>
      <c r="K114" s="2">
        <v>264</v>
      </c>
      <c r="L114" s="2">
        <v>1</v>
      </c>
      <c r="M114" s="2" t="s">
        <v>41</v>
      </c>
      <c r="N114" s="2">
        <v>6</v>
      </c>
      <c r="O114" s="2">
        <v>378.4</v>
      </c>
      <c r="P114" s="2">
        <f t="shared" si="5"/>
        <v>57</v>
      </c>
      <c r="Q114" s="4">
        <f t="shared" si="6"/>
        <v>0.78409090909090906</v>
      </c>
      <c r="R114" s="2" t="str">
        <f t="shared" si="7"/>
        <v>Inefficient</v>
      </c>
      <c r="S114" s="2" t="str">
        <f t="shared" si="8"/>
        <v>Very Long</v>
      </c>
      <c r="T114" s="2" t="str">
        <f t="shared" si="9"/>
        <v>Major Delay</v>
      </c>
    </row>
    <row r="115" spans="1:20" x14ac:dyDescent="0.35">
      <c r="A115" s="2" t="s">
        <v>341</v>
      </c>
      <c r="B115" s="2" t="s">
        <v>51</v>
      </c>
      <c r="C115" s="2" t="s">
        <v>342</v>
      </c>
      <c r="D115" s="2" t="s">
        <v>48</v>
      </c>
      <c r="E115" s="2" t="s">
        <v>38</v>
      </c>
      <c r="F115" s="2" t="s">
        <v>39</v>
      </c>
      <c r="G115" s="2" t="s">
        <v>343</v>
      </c>
      <c r="H115" s="3">
        <v>45302.133333333331</v>
      </c>
      <c r="I115" s="3">
        <v>45302.311111111114</v>
      </c>
      <c r="J115" s="2">
        <v>206</v>
      </c>
      <c r="K115" s="2">
        <v>256</v>
      </c>
      <c r="L115" s="2">
        <v>1</v>
      </c>
      <c r="M115" s="2" t="s">
        <v>22</v>
      </c>
      <c r="N115" s="2">
        <v>10</v>
      </c>
      <c r="O115" s="2">
        <v>404.91</v>
      </c>
      <c r="P115" s="2">
        <f t="shared" si="5"/>
        <v>50</v>
      </c>
      <c r="Q115" s="4">
        <f t="shared" si="6"/>
        <v>0.8046875</v>
      </c>
      <c r="R115" s="2" t="str">
        <f t="shared" si="7"/>
        <v>Inefficient</v>
      </c>
      <c r="S115" s="2" t="str">
        <f t="shared" si="8"/>
        <v>Very Long</v>
      </c>
      <c r="T115" s="2" t="str">
        <f t="shared" si="9"/>
        <v>Major Delay</v>
      </c>
    </row>
    <row r="116" spans="1:20" x14ac:dyDescent="0.35">
      <c r="A116" s="2" t="s">
        <v>344</v>
      </c>
      <c r="B116" s="2" t="s">
        <v>24</v>
      </c>
      <c r="C116" s="2" t="s">
        <v>345</v>
      </c>
      <c r="D116" s="2" t="s">
        <v>18</v>
      </c>
      <c r="E116" s="2" t="s">
        <v>19</v>
      </c>
      <c r="F116" s="2" t="s">
        <v>57</v>
      </c>
      <c r="G116" s="2" t="s">
        <v>268</v>
      </c>
      <c r="H116" s="3">
        <v>45617.32708333333</v>
      </c>
      <c r="I116" s="3">
        <v>45617.42291666667</v>
      </c>
      <c r="J116" s="2">
        <v>93</v>
      </c>
      <c r="K116" s="2">
        <v>138</v>
      </c>
      <c r="L116" s="2">
        <v>1</v>
      </c>
      <c r="M116" s="2" t="s">
        <v>22</v>
      </c>
      <c r="N116" s="2">
        <v>4</v>
      </c>
      <c r="O116" s="2">
        <v>424.76</v>
      </c>
      <c r="P116" s="2">
        <f t="shared" si="5"/>
        <v>45</v>
      </c>
      <c r="Q116" s="4">
        <f t="shared" si="6"/>
        <v>0.67391304347826086</v>
      </c>
      <c r="R116" s="2" t="str">
        <f t="shared" si="7"/>
        <v>Inefficient</v>
      </c>
      <c r="S116" s="2" t="str">
        <f t="shared" si="8"/>
        <v>Very Long</v>
      </c>
      <c r="T116" s="2" t="str">
        <f t="shared" si="9"/>
        <v>Major Delay</v>
      </c>
    </row>
    <row r="117" spans="1:20" x14ac:dyDescent="0.35">
      <c r="A117" s="2" t="s">
        <v>346</v>
      </c>
      <c r="B117" s="2" t="s">
        <v>63</v>
      </c>
      <c r="C117" s="2" t="s">
        <v>347</v>
      </c>
      <c r="D117" s="2" t="s">
        <v>44</v>
      </c>
      <c r="E117" s="2" t="s">
        <v>38</v>
      </c>
      <c r="F117" s="2" t="s">
        <v>20</v>
      </c>
      <c r="G117" s="2" t="s">
        <v>335</v>
      </c>
      <c r="H117" s="3">
        <v>45386.015972222223</v>
      </c>
      <c r="I117" s="3">
        <v>45386.205555555556</v>
      </c>
      <c r="J117" s="2">
        <v>156</v>
      </c>
      <c r="K117" s="2">
        <v>273</v>
      </c>
      <c r="L117" s="2">
        <v>1</v>
      </c>
      <c r="M117" s="2" t="s">
        <v>41</v>
      </c>
      <c r="N117" s="2">
        <v>6</v>
      </c>
      <c r="O117" s="2">
        <v>63.64</v>
      </c>
      <c r="P117" s="2">
        <f t="shared" si="5"/>
        <v>117</v>
      </c>
      <c r="Q117" s="4">
        <f t="shared" si="6"/>
        <v>0.5714285714285714</v>
      </c>
      <c r="R117" s="2" t="str">
        <f t="shared" si="7"/>
        <v>Inefficient</v>
      </c>
      <c r="S117" s="2" t="str">
        <f t="shared" si="8"/>
        <v>Very Long</v>
      </c>
      <c r="T117" s="2" t="str">
        <f t="shared" si="9"/>
        <v>Major Delay</v>
      </c>
    </row>
    <row r="118" spans="1:20" x14ac:dyDescent="0.35">
      <c r="A118" s="2" t="s">
        <v>348</v>
      </c>
      <c r="B118" s="2" t="s">
        <v>16</v>
      </c>
      <c r="C118" s="2" t="s">
        <v>349</v>
      </c>
      <c r="D118" s="2" t="s">
        <v>44</v>
      </c>
      <c r="E118" s="2" t="s">
        <v>19</v>
      </c>
      <c r="F118" s="2" t="s">
        <v>57</v>
      </c>
      <c r="G118" s="2" t="s">
        <v>191</v>
      </c>
      <c r="H118" s="3">
        <v>45360.074999999997</v>
      </c>
      <c r="I118" s="3">
        <v>45360.214583333334</v>
      </c>
      <c r="J118" s="2">
        <v>117</v>
      </c>
      <c r="K118" s="2">
        <v>201</v>
      </c>
      <c r="L118" s="2">
        <v>1</v>
      </c>
      <c r="M118" s="2" t="s">
        <v>29</v>
      </c>
      <c r="N118" s="2">
        <v>1</v>
      </c>
      <c r="O118" s="2">
        <v>145.69</v>
      </c>
      <c r="P118" s="2">
        <f t="shared" si="5"/>
        <v>84</v>
      </c>
      <c r="Q118" s="4">
        <f t="shared" si="6"/>
        <v>0.58208955223880599</v>
      </c>
      <c r="R118" s="2" t="str">
        <f t="shared" si="7"/>
        <v>Inefficient</v>
      </c>
      <c r="S118" s="2" t="str">
        <f t="shared" si="8"/>
        <v>Very Long</v>
      </c>
      <c r="T118" s="2" t="str">
        <f t="shared" si="9"/>
        <v>Major Delay</v>
      </c>
    </row>
    <row r="119" spans="1:20" x14ac:dyDescent="0.35">
      <c r="A119" s="2" t="s">
        <v>350</v>
      </c>
      <c r="B119" s="2" t="s">
        <v>24</v>
      </c>
      <c r="C119" s="2" t="s">
        <v>351</v>
      </c>
      <c r="D119" s="2" t="s">
        <v>44</v>
      </c>
      <c r="E119" s="2" t="s">
        <v>19</v>
      </c>
      <c r="F119" s="2" t="s">
        <v>34</v>
      </c>
      <c r="G119" s="2" t="s">
        <v>129</v>
      </c>
      <c r="H119" s="3">
        <v>45339.005555555559</v>
      </c>
      <c r="I119" s="3">
        <v>45339.19027777778</v>
      </c>
      <c r="J119" s="2">
        <v>192</v>
      </c>
      <c r="K119" s="2">
        <v>266</v>
      </c>
      <c r="L119" s="2">
        <v>1</v>
      </c>
      <c r="M119" s="2" t="s">
        <v>22</v>
      </c>
      <c r="N119" s="2">
        <v>10</v>
      </c>
      <c r="O119" s="2">
        <v>282.42</v>
      </c>
      <c r="P119" s="2">
        <f t="shared" si="5"/>
        <v>74</v>
      </c>
      <c r="Q119" s="4">
        <f t="shared" si="6"/>
        <v>0.72180451127819545</v>
      </c>
      <c r="R119" s="2" t="str">
        <f t="shared" si="7"/>
        <v>Inefficient</v>
      </c>
      <c r="S119" s="2" t="str">
        <f t="shared" si="8"/>
        <v>Very Long</v>
      </c>
      <c r="T119" s="2" t="str">
        <f t="shared" si="9"/>
        <v>Major Delay</v>
      </c>
    </row>
    <row r="120" spans="1:20" x14ac:dyDescent="0.35">
      <c r="A120" s="2" t="s">
        <v>352</v>
      </c>
      <c r="B120" s="2" t="s">
        <v>51</v>
      </c>
      <c r="C120" s="2" t="s">
        <v>353</v>
      </c>
      <c r="D120" s="2" t="s">
        <v>44</v>
      </c>
      <c r="E120" s="2" t="s">
        <v>85</v>
      </c>
      <c r="F120" s="2" t="s">
        <v>20</v>
      </c>
      <c r="G120" s="2" t="s">
        <v>354</v>
      </c>
      <c r="H120" s="3">
        <v>45577.52847222222</v>
      </c>
      <c r="I120" s="3">
        <v>45577.665277777778</v>
      </c>
      <c r="J120" s="2">
        <v>114</v>
      </c>
      <c r="K120" s="2">
        <v>197</v>
      </c>
      <c r="L120" s="2">
        <v>1</v>
      </c>
      <c r="M120" s="2" t="s">
        <v>29</v>
      </c>
      <c r="N120" s="2">
        <v>7</v>
      </c>
      <c r="O120" s="2">
        <v>147.5</v>
      </c>
      <c r="P120" s="2">
        <f t="shared" si="5"/>
        <v>83</v>
      </c>
      <c r="Q120" s="4">
        <f t="shared" si="6"/>
        <v>0.57868020304568524</v>
      </c>
      <c r="R120" s="2" t="str">
        <f t="shared" si="7"/>
        <v>Inefficient</v>
      </c>
      <c r="S120" s="2" t="str">
        <f t="shared" si="8"/>
        <v>Very Long</v>
      </c>
      <c r="T120" s="2" t="str">
        <f t="shared" si="9"/>
        <v>Major Delay</v>
      </c>
    </row>
    <row r="121" spans="1:20" x14ac:dyDescent="0.35">
      <c r="A121" s="2" t="s">
        <v>355</v>
      </c>
      <c r="B121" s="2" t="s">
        <v>51</v>
      </c>
      <c r="C121" s="2" t="s">
        <v>356</v>
      </c>
      <c r="D121" s="2" t="s">
        <v>44</v>
      </c>
      <c r="E121" s="2" t="s">
        <v>38</v>
      </c>
      <c r="F121" s="2" t="s">
        <v>20</v>
      </c>
      <c r="G121" s="2" t="s">
        <v>28</v>
      </c>
      <c r="H121" s="3">
        <v>45325.011111111111</v>
      </c>
      <c r="I121" s="3">
        <v>45325.18472222222</v>
      </c>
      <c r="J121" s="2">
        <v>143</v>
      </c>
      <c r="K121" s="2">
        <v>250</v>
      </c>
      <c r="L121" s="2">
        <v>1</v>
      </c>
      <c r="M121" s="2" t="s">
        <v>22</v>
      </c>
      <c r="N121" s="2">
        <v>6</v>
      </c>
      <c r="O121" s="2">
        <v>310.88</v>
      </c>
      <c r="P121" s="2">
        <f t="shared" si="5"/>
        <v>107</v>
      </c>
      <c r="Q121" s="4">
        <f t="shared" si="6"/>
        <v>0.57199999999999995</v>
      </c>
      <c r="R121" s="2" t="str">
        <f t="shared" si="7"/>
        <v>Inefficient</v>
      </c>
      <c r="S121" s="2" t="str">
        <f t="shared" si="8"/>
        <v>Very Long</v>
      </c>
      <c r="T121" s="2" t="str">
        <f t="shared" si="9"/>
        <v>Major Delay</v>
      </c>
    </row>
    <row r="122" spans="1:20" x14ac:dyDescent="0.35">
      <c r="A122" s="2" t="s">
        <v>357</v>
      </c>
      <c r="B122" s="2" t="s">
        <v>31</v>
      </c>
      <c r="C122" s="2" t="s">
        <v>358</v>
      </c>
      <c r="D122" s="2" t="s">
        <v>48</v>
      </c>
      <c r="E122" s="2" t="s">
        <v>85</v>
      </c>
      <c r="F122" s="2" t="s">
        <v>34</v>
      </c>
      <c r="G122" s="2" t="s">
        <v>359</v>
      </c>
      <c r="H122" s="3">
        <v>45429.842361111114</v>
      </c>
      <c r="I122" s="3">
        <v>45430.001388888886</v>
      </c>
      <c r="J122" s="2">
        <v>117</v>
      </c>
      <c r="K122" s="2">
        <v>229</v>
      </c>
      <c r="L122" s="2">
        <v>1</v>
      </c>
      <c r="M122" s="2" t="s">
        <v>22</v>
      </c>
      <c r="N122" s="2">
        <v>7</v>
      </c>
      <c r="O122" s="2">
        <v>351.16</v>
      </c>
      <c r="P122" s="2">
        <f t="shared" si="5"/>
        <v>112</v>
      </c>
      <c r="Q122" s="4">
        <f t="shared" si="6"/>
        <v>0.51091703056768556</v>
      </c>
      <c r="R122" s="2" t="str">
        <f t="shared" si="7"/>
        <v>Inefficient</v>
      </c>
      <c r="S122" s="2" t="str">
        <f t="shared" si="8"/>
        <v>Very Long</v>
      </c>
      <c r="T122" s="2" t="str">
        <f t="shared" si="9"/>
        <v>Major Delay</v>
      </c>
    </row>
    <row r="123" spans="1:20" x14ac:dyDescent="0.35">
      <c r="A123" s="2" t="s">
        <v>360</v>
      </c>
      <c r="B123" s="2" t="s">
        <v>51</v>
      </c>
      <c r="C123" s="2" t="s">
        <v>361</v>
      </c>
      <c r="D123" s="2" t="s">
        <v>48</v>
      </c>
      <c r="E123" s="2" t="s">
        <v>85</v>
      </c>
      <c r="F123" s="2" t="s">
        <v>39</v>
      </c>
      <c r="G123" s="2" t="s">
        <v>117</v>
      </c>
      <c r="H123" s="3">
        <v>45415.998611111114</v>
      </c>
      <c r="I123" s="3">
        <v>45416.201388888891</v>
      </c>
      <c r="J123" s="2">
        <v>227</v>
      </c>
      <c r="K123" s="2">
        <v>292</v>
      </c>
      <c r="L123" s="2">
        <v>1</v>
      </c>
      <c r="M123" s="2" t="s">
        <v>41</v>
      </c>
      <c r="N123" s="2">
        <v>3</v>
      </c>
      <c r="O123" s="2">
        <v>72.95</v>
      </c>
      <c r="P123" s="2">
        <f t="shared" si="5"/>
        <v>65</v>
      </c>
      <c r="Q123" s="4">
        <f t="shared" si="6"/>
        <v>0.7773972602739726</v>
      </c>
      <c r="R123" s="2" t="str">
        <f t="shared" si="7"/>
        <v>Inefficient</v>
      </c>
      <c r="S123" s="2" t="str">
        <f t="shared" si="8"/>
        <v>Very Long</v>
      </c>
      <c r="T123" s="2" t="str">
        <f t="shared" si="9"/>
        <v>Major Delay</v>
      </c>
    </row>
    <row r="124" spans="1:20" x14ac:dyDescent="0.35">
      <c r="A124" s="2" t="s">
        <v>362</v>
      </c>
      <c r="B124" s="2" t="s">
        <v>51</v>
      </c>
      <c r="C124" s="2" t="s">
        <v>363</v>
      </c>
      <c r="D124" s="2" t="s">
        <v>18</v>
      </c>
      <c r="E124" s="2" t="s">
        <v>85</v>
      </c>
      <c r="F124" s="2" t="s">
        <v>39</v>
      </c>
      <c r="G124" s="2" t="s">
        <v>364</v>
      </c>
      <c r="H124" s="3">
        <v>45599.26666666667</v>
      </c>
      <c r="I124" s="3">
        <v>45599.43472222222</v>
      </c>
      <c r="J124" s="2">
        <v>132</v>
      </c>
      <c r="K124" s="2">
        <v>242</v>
      </c>
      <c r="L124" s="2">
        <v>1</v>
      </c>
      <c r="M124" s="2" t="s">
        <v>41</v>
      </c>
      <c r="N124" s="2">
        <v>8</v>
      </c>
      <c r="O124" s="2">
        <v>489.88</v>
      </c>
      <c r="P124" s="2">
        <f t="shared" si="5"/>
        <v>110</v>
      </c>
      <c r="Q124" s="4">
        <f t="shared" si="6"/>
        <v>0.54545454545454541</v>
      </c>
      <c r="R124" s="2" t="str">
        <f t="shared" si="7"/>
        <v>Inefficient</v>
      </c>
      <c r="S124" s="2" t="str">
        <f t="shared" si="8"/>
        <v>Very Long</v>
      </c>
      <c r="T124" s="2" t="str">
        <f t="shared" si="9"/>
        <v>Major Delay</v>
      </c>
    </row>
    <row r="125" spans="1:20" x14ac:dyDescent="0.35">
      <c r="A125" s="2" t="s">
        <v>365</v>
      </c>
      <c r="B125" s="2" t="s">
        <v>51</v>
      </c>
      <c r="C125" s="2" t="s">
        <v>366</v>
      </c>
      <c r="D125" s="2" t="s">
        <v>44</v>
      </c>
      <c r="E125" s="2" t="s">
        <v>85</v>
      </c>
      <c r="F125" s="2" t="s">
        <v>39</v>
      </c>
      <c r="G125" s="2" t="s">
        <v>108</v>
      </c>
      <c r="H125" s="3">
        <v>45354.289583333331</v>
      </c>
      <c r="I125" s="3">
        <v>45354.387499999997</v>
      </c>
      <c r="J125" s="2">
        <v>55</v>
      </c>
      <c r="K125" s="2">
        <v>141</v>
      </c>
      <c r="L125" s="2">
        <v>1</v>
      </c>
      <c r="M125" s="2" t="s">
        <v>22</v>
      </c>
      <c r="N125" s="2">
        <v>1</v>
      </c>
      <c r="O125" s="2">
        <v>479.95</v>
      </c>
      <c r="P125" s="2">
        <f t="shared" si="5"/>
        <v>86</v>
      </c>
      <c r="Q125" s="4">
        <f t="shared" si="6"/>
        <v>0.39007092198581561</v>
      </c>
      <c r="R125" s="2" t="str">
        <f t="shared" si="7"/>
        <v>Inefficient</v>
      </c>
      <c r="S125" s="2" t="str">
        <f t="shared" si="8"/>
        <v>Very Long</v>
      </c>
      <c r="T125" s="2" t="str">
        <f t="shared" si="9"/>
        <v>Major Delay</v>
      </c>
    </row>
    <row r="126" spans="1:20" x14ac:dyDescent="0.35">
      <c r="A126" s="2" t="s">
        <v>367</v>
      </c>
      <c r="B126" s="2" t="s">
        <v>63</v>
      </c>
      <c r="C126" s="2" t="s">
        <v>368</v>
      </c>
      <c r="D126" s="2" t="s">
        <v>44</v>
      </c>
      <c r="E126" s="2" t="s">
        <v>33</v>
      </c>
      <c r="F126" s="2" t="s">
        <v>27</v>
      </c>
      <c r="G126" s="2" t="s">
        <v>88</v>
      </c>
      <c r="H126" s="3">
        <v>45294.135416666664</v>
      </c>
      <c r="I126" s="3">
        <v>45294.333333333336</v>
      </c>
      <c r="J126" s="2">
        <v>237</v>
      </c>
      <c r="K126" s="2">
        <v>285</v>
      </c>
      <c r="L126" s="2">
        <v>1</v>
      </c>
      <c r="M126" s="2" t="s">
        <v>22</v>
      </c>
      <c r="N126" s="2">
        <v>7</v>
      </c>
      <c r="O126" s="2">
        <v>367.89</v>
      </c>
      <c r="P126" s="2">
        <f t="shared" si="5"/>
        <v>48</v>
      </c>
      <c r="Q126" s="4">
        <f t="shared" si="6"/>
        <v>0.83157894736842108</v>
      </c>
      <c r="R126" s="2" t="str">
        <f t="shared" si="7"/>
        <v>Inefficient</v>
      </c>
      <c r="S126" s="2" t="str">
        <f t="shared" si="8"/>
        <v>Very Long</v>
      </c>
      <c r="T126" s="2" t="str">
        <f t="shared" si="9"/>
        <v>Major Delay</v>
      </c>
    </row>
    <row r="127" spans="1:20" x14ac:dyDescent="0.35">
      <c r="A127" s="2" t="s">
        <v>369</v>
      </c>
      <c r="B127" s="2" t="s">
        <v>63</v>
      </c>
      <c r="C127" s="2" t="s">
        <v>370</v>
      </c>
      <c r="D127" s="2" t="s">
        <v>18</v>
      </c>
      <c r="E127" s="2" t="s">
        <v>33</v>
      </c>
      <c r="F127" s="2" t="s">
        <v>57</v>
      </c>
      <c r="G127" s="2" t="s">
        <v>371</v>
      </c>
      <c r="H127" s="3">
        <v>45306.918055555558</v>
      </c>
      <c r="I127" s="3">
        <v>45307.09375</v>
      </c>
      <c r="J127" s="2">
        <v>174</v>
      </c>
      <c r="K127" s="2">
        <v>253</v>
      </c>
      <c r="L127" s="2">
        <v>1</v>
      </c>
      <c r="M127" s="2" t="s">
        <v>29</v>
      </c>
      <c r="N127" s="2">
        <v>6</v>
      </c>
      <c r="O127" s="2">
        <v>467.99</v>
      </c>
      <c r="P127" s="2">
        <f t="shared" si="5"/>
        <v>79</v>
      </c>
      <c r="Q127" s="4">
        <f t="shared" si="6"/>
        <v>0.68774703557312256</v>
      </c>
      <c r="R127" s="2" t="str">
        <f t="shared" si="7"/>
        <v>Inefficient</v>
      </c>
      <c r="S127" s="2" t="str">
        <f t="shared" si="8"/>
        <v>Very Long</v>
      </c>
      <c r="T127" s="2" t="str">
        <f t="shared" si="9"/>
        <v>Major Delay</v>
      </c>
    </row>
    <row r="128" spans="1:20" x14ac:dyDescent="0.35">
      <c r="A128" s="2" t="s">
        <v>372</v>
      </c>
      <c r="B128" s="2" t="s">
        <v>24</v>
      </c>
      <c r="C128" s="2" t="s">
        <v>373</v>
      </c>
      <c r="D128" s="2" t="s">
        <v>26</v>
      </c>
      <c r="E128" s="2" t="s">
        <v>38</v>
      </c>
      <c r="F128" s="2" t="s">
        <v>34</v>
      </c>
      <c r="G128" s="2" t="s">
        <v>146</v>
      </c>
      <c r="H128" s="3">
        <v>45615.776388888888</v>
      </c>
      <c r="I128" s="3">
        <v>45615.9375</v>
      </c>
      <c r="J128" s="2">
        <v>233</v>
      </c>
      <c r="K128" s="2">
        <v>232</v>
      </c>
      <c r="L128" s="2">
        <v>0</v>
      </c>
      <c r="M128" s="2" t="s">
        <v>41</v>
      </c>
      <c r="N128" s="2">
        <v>3</v>
      </c>
      <c r="O128" s="2">
        <v>443.42</v>
      </c>
      <c r="P128" s="2">
        <f t="shared" si="5"/>
        <v>-1</v>
      </c>
      <c r="Q128" s="4">
        <f t="shared" si="6"/>
        <v>1.0043103448275863</v>
      </c>
      <c r="R128" s="2" t="str">
        <f t="shared" si="7"/>
        <v>Efficient</v>
      </c>
      <c r="S128" s="2" t="str">
        <f t="shared" si="8"/>
        <v>Very Long</v>
      </c>
      <c r="T128" s="2" t="str">
        <f t="shared" si="9"/>
        <v>On Time</v>
      </c>
    </row>
    <row r="129" spans="1:20" x14ac:dyDescent="0.35">
      <c r="A129" s="2" t="s">
        <v>374</v>
      </c>
      <c r="B129" s="2" t="s">
        <v>24</v>
      </c>
      <c r="C129" s="2" t="s">
        <v>375</v>
      </c>
      <c r="D129" s="2" t="s">
        <v>56</v>
      </c>
      <c r="E129" s="2" t="s">
        <v>33</v>
      </c>
      <c r="F129" s="2" t="s">
        <v>57</v>
      </c>
      <c r="G129" s="2" t="s">
        <v>376</v>
      </c>
      <c r="H129" s="3">
        <v>45470.751388888886</v>
      </c>
      <c r="I129" s="3">
        <v>45470.862500000003</v>
      </c>
      <c r="J129" s="2">
        <v>65</v>
      </c>
      <c r="K129" s="2">
        <v>160</v>
      </c>
      <c r="L129" s="2">
        <v>1</v>
      </c>
      <c r="M129" s="2" t="s">
        <v>22</v>
      </c>
      <c r="N129" s="2">
        <v>5</v>
      </c>
      <c r="O129" s="2">
        <v>180.84</v>
      </c>
      <c r="P129" s="2">
        <f t="shared" si="5"/>
        <v>95</v>
      </c>
      <c r="Q129" s="4">
        <f t="shared" si="6"/>
        <v>0.40625</v>
      </c>
      <c r="R129" s="2" t="str">
        <f t="shared" si="7"/>
        <v>Inefficient</v>
      </c>
      <c r="S129" s="2" t="str">
        <f t="shared" si="8"/>
        <v>Very Long</v>
      </c>
      <c r="T129" s="2" t="str">
        <f t="shared" si="9"/>
        <v>Major Delay</v>
      </c>
    </row>
    <row r="130" spans="1:20" x14ac:dyDescent="0.35">
      <c r="A130" s="2" t="s">
        <v>377</v>
      </c>
      <c r="B130" s="2" t="s">
        <v>16</v>
      </c>
      <c r="C130" s="2" t="s">
        <v>378</v>
      </c>
      <c r="D130" s="2" t="s">
        <v>26</v>
      </c>
      <c r="E130" s="2" t="s">
        <v>19</v>
      </c>
      <c r="F130" s="2" t="s">
        <v>34</v>
      </c>
      <c r="G130" s="2" t="s">
        <v>204</v>
      </c>
      <c r="H130" s="3">
        <v>45487.431250000001</v>
      </c>
      <c r="I130" s="3">
        <v>45487.506249999999</v>
      </c>
      <c r="J130" s="2">
        <v>93</v>
      </c>
      <c r="K130" s="2">
        <v>108</v>
      </c>
      <c r="L130" s="2">
        <v>1</v>
      </c>
      <c r="M130" s="2" t="s">
        <v>41</v>
      </c>
      <c r="N130" s="2">
        <v>5</v>
      </c>
      <c r="O130" s="2">
        <v>76.06</v>
      </c>
      <c r="P130" s="2">
        <f t="shared" si="5"/>
        <v>15</v>
      </c>
      <c r="Q130" s="4">
        <f t="shared" si="6"/>
        <v>0.86111111111111116</v>
      </c>
      <c r="R130" s="2" t="str">
        <f t="shared" si="7"/>
        <v>Inefficient</v>
      </c>
      <c r="S130" s="2" t="str">
        <f t="shared" si="8"/>
        <v>Long</v>
      </c>
      <c r="T130" s="2" t="str">
        <f t="shared" si="9"/>
        <v>Minor Delay</v>
      </c>
    </row>
    <row r="131" spans="1:20" x14ac:dyDescent="0.35">
      <c r="A131" s="2" t="s">
        <v>379</v>
      </c>
      <c r="B131" s="2" t="s">
        <v>31</v>
      </c>
      <c r="C131" s="2" t="s">
        <v>380</v>
      </c>
      <c r="D131" s="2" t="s">
        <v>18</v>
      </c>
      <c r="E131" s="2" t="s">
        <v>85</v>
      </c>
      <c r="F131" s="2" t="s">
        <v>57</v>
      </c>
      <c r="G131" s="2" t="s">
        <v>35</v>
      </c>
      <c r="H131" s="3">
        <v>45602.6</v>
      </c>
      <c r="I131" s="3">
        <v>45602.750694444447</v>
      </c>
      <c r="J131" s="2">
        <v>157</v>
      </c>
      <c r="K131" s="2">
        <v>217</v>
      </c>
      <c r="L131" s="2">
        <v>1</v>
      </c>
      <c r="M131" s="2" t="s">
        <v>29</v>
      </c>
      <c r="N131" s="2">
        <v>5</v>
      </c>
      <c r="O131" s="2">
        <v>484.96</v>
      </c>
      <c r="P131" s="2">
        <f t="shared" ref="P131:P194" si="10">K131-J131</f>
        <v>60</v>
      </c>
      <c r="Q131" s="4">
        <f t="shared" ref="Q131:Q194" si="11">J131/K131</f>
        <v>0.72350230414746541</v>
      </c>
      <c r="R131" s="2" t="str">
        <f t="shared" ref="R131:R194" si="12">IF(Q131&gt;1,"Efficient",
IF(Q131=1,"On Target","Inefficient"))</f>
        <v>Inefficient</v>
      </c>
      <c r="S131" s="2" t="str">
        <f t="shared" ref="S131:S194" si="13">IF(K131&lt;30,"Short",
IF(K131&lt;60,"Medium",
IF(K131&lt;120,"Long","Very Long")))</f>
        <v>Very Long</v>
      </c>
      <c r="T131" s="2" t="str">
        <f t="shared" ref="T131:T194" si="14">IF(K131&lt;=J131,"On Time",
IF(K131-J131&lt;=30,"Minor Delay","Major Delay"))</f>
        <v>Major Delay</v>
      </c>
    </row>
    <row r="132" spans="1:20" x14ac:dyDescent="0.35">
      <c r="A132" s="2" t="s">
        <v>381</v>
      </c>
      <c r="B132" s="2" t="s">
        <v>31</v>
      </c>
      <c r="C132" s="2" t="s">
        <v>382</v>
      </c>
      <c r="D132" s="2" t="s">
        <v>48</v>
      </c>
      <c r="E132" s="2" t="s">
        <v>38</v>
      </c>
      <c r="F132" s="2" t="s">
        <v>27</v>
      </c>
      <c r="G132" s="2" t="s">
        <v>383</v>
      </c>
      <c r="H132" s="3">
        <v>45421.430555555555</v>
      </c>
      <c r="I132" s="3">
        <v>45421.552777777775</v>
      </c>
      <c r="J132" s="2">
        <v>178</v>
      </c>
      <c r="K132" s="2">
        <v>176</v>
      </c>
      <c r="L132" s="2">
        <v>0</v>
      </c>
      <c r="M132" s="2" t="s">
        <v>29</v>
      </c>
      <c r="N132" s="2">
        <v>3</v>
      </c>
      <c r="O132" s="2">
        <v>269.91000000000003</v>
      </c>
      <c r="P132" s="2">
        <f t="shared" si="10"/>
        <v>-2</v>
      </c>
      <c r="Q132" s="4">
        <f t="shared" si="11"/>
        <v>1.0113636363636365</v>
      </c>
      <c r="R132" s="2" t="str">
        <f t="shared" si="12"/>
        <v>Efficient</v>
      </c>
      <c r="S132" s="2" t="str">
        <f t="shared" si="13"/>
        <v>Very Long</v>
      </c>
      <c r="T132" s="2" t="str">
        <f t="shared" si="14"/>
        <v>On Time</v>
      </c>
    </row>
    <row r="133" spans="1:20" x14ac:dyDescent="0.35">
      <c r="A133" s="2" t="s">
        <v>384</v>
      </c>
      <c r="B133" s="2" t="s">
        <v>31</v>
      </c>
      <c r="C133" s="2" t="s">
        <v>385</v>
      </c>
      <c r="D133" s="2" t="s">
        <v>18</v>
      </c>
      <c r="E133" s="2" t="s">
        <v>19</v>
      </c>
      <c r="F133" s="2" t="s">
        <v>57</v>
      </c>
      <c r="G133" s="2" t="s">
        <v>371</v>
      </c>
      <c r="H133" s="3">
        <v>45550.134027777778</v>
      </c>
      <c r="I133" s="3">
        <v>45550.22152777778</v>
      </c>
      <c r="J133" s="2">
        <v>97</v>
      </c>
      <c r="K133" s="2">
        <v>126</v>
      </c>
      <c r="L133" s="2">
        <v>1</v>
      </c>
      <c r="M133" s="2" t="s">
        <v>41</v>
      </c>
      <c r="N133" s="2">
        <v>4</v>
      </c>
      <c r="O133" s="2">
        <v>319.45</v>
      </c>
      <c r="P133" s="2">
        <f t="shared" si="10"/>
        <v>29</v>
      </c>
      <c r="Q133" s="4">
        <f t="shared" si="11"/>
        <v>0.76984126984126988</v>
      </c>
      <c r="R133" s="2" t="str">
        <f t="shared" si="12"/>
        <v>Inefficient</v>
      </c>
      <c r="S133" s="2" t="str">
        <f t="shared" si="13"/>
        <v>Very Long</v>
      </c>
      <c r="T133" s="2" t="str">
        <f t="shared" si="14"/>
        <v>Minor Delay</v>
      </c>
    </row>
    <row r="134" spans="1:20" x14ac:dyDescent="0.35">
      <c r="A134" s="2" t="s">
        <v>386</v>
      </c>
      <c r="B134" s="2" t="s">
        <v>24</v>
      </c>
      <c r="C134" s="2" t="s">
        <v>387</v>
      </c>
      <c r="D134" s="2" t="s">
        <v>44</v>
      </c>
      <c r="E134" s="2" t="s">
        <v>38</v>
      </c>
      <c r="F134" s="2" t="s">
        <v>57</v>
      </c>
      <c r="G134" s="2" t="s">
        <v>388</v>
      </c>
      <c r="H134" s="3">
        <v>45492.467361111114</v>
      </c>
      <c r="I134" s="3">
        <v>45492.525000000001</v>
      </c>
      <c r="J134" s="2">
        <v>72</v>
      </c>
      <c r="K134" s="2">
        <v>83</v>
      </c>
      <c r="L134" s="2">
        <v>1</v>
      </c>
      <c r="M134" s="2" t="s">
        <v>29</v>
      </c>
      <c r="N134" s="2">
        <v>6</v>
      </c>
      <c r="O134" s="2">
        <v>410.05</v>
      </c>
      <c r="P134" s="2">
        <f t="shared" si="10"/>
        <v>11</v>
      </c>
      <c r="Q134" s="4">
        <f t="shared" si="11"/>
        <v>0.86746987951807231</v>
      </c>
      <c r="R134" s="2" t="str">
        <f t="shared" si="12"/>
        <v>Inefficient</v>
      </c>
      <c r="S134" s="2" t="str">
        <f t="shared" si="13"/>
        <v>Long</v>
      </c>
      <c r="T134" s="2" t="str">
        <f t="shared" si="14"/>
        <v>Minor Delay</v>
      </c>
    </row>
    <row r="135" spans="1:20" x14ac:dyDescent="0.35">
      <c r="A135" s="2" t="s">
        <v>389</v>
      </c>
      <c r="B135" s="2" t="s">
        <v>31</v>
      </c>
      <c r="C135" s="2" t="s">
        <v>390</v>
      </c>
      <c r="D135" s="2" t="s">
        <v>56</v>
      </c>
      <c r="E135" s="2" t="s">
        <v>33</v>
      </c>
      <c r="F135" s="2" t="s">
        <v>27</v>
      </c>
      <c r="G135" s="2" t="s">
        <v>388</v>
      </c>
      <c r="H135" s="3">
        <v>45394.469444444447</v>
      </c>
      <c r="I135" s="3">
        <v>45394.609027777777</v>
      </c>
      <c r="J135" s="2">
        <v>116</v>
      </c>
      <c r="K135" s="2">
        <v>201</v>
      </c>
      <c r="L135" s="2">
        <v>1</v>
      </c>
      <c r="M135" s="2" t="s">
        <v>22</v>
      </c>
      <c r="N135" s="2">
        <v>8</v>
      </c>
      <c r="O135" s="2">
        <v>400.61</v>
      </c>
      <c r="P135" s="2">
        <f t="shared" si="10"/>
        <v>85</v>
      </c>
      <c r="Q135" s="4">
        <f t="shared" si="11"/>
        <v>0.57711442786069655</v>
      </c>
      <c r="R135" s="2" t="str">
        <f t="shared" si="12"/>
        <v>Inefficient</v>
      </c>
      <c r="S135" s="2" t="str">
        <f t="shared" si="13"/>
        <v>Very Long</v>
      </c>
      <c r="T135" s="2" t="str">
        <f t="shared" si="14"/>
        <v>Major Delay</v>
      </c>
    </row>
    <row r="136" spans="1:20" x14ac:dyDescent="0.35">
      <c r="A136" s="2" t="s">
        <v>391</v>
      </c>
      <c r="B136" s="2" t="s">
        <v>63</v>
      </c>
      <c r="C136" s="2" t="s">
        <v>392</v>
      </c>
      <c r="D136" s="2" t="s">
        <v>48</v>
      </c>
      <c r="E136" s="2" t="s">
        <v>85</v>
      </c>
      <c r="F136" s="2" t="s">
        <v>27</v>
      </c>
      <c r="G136" s="2" t="s">
        <v>354</v>
      </c>
      <c r="H136" s="3">
        <v>45608.371527777781</v>
      </c>
      <c r="I136" s="3">
        <v>45608.497916666667</v>
      </c>
      <c r="J136" s="2">
        <v>73</v>
      </c>
      <c r="K136" s="2">
        <v>182</v>
      </c>
      <c r="L136" s="2">
        <v>1</v>
      </c>
      <c r="M136" s="2" t="s">
        <v>41</v>
      </c>
      <c r="N136" s="2">
        <v>10</v>
      </c>
      <c r="O136" s="2">
        <v>358.97</v>
      </c>
      <c r="P136" s="2">
        <f t="shared" si="10"/>
        <v>109</v>
      </c>
      <c r="Q136" s="4">
        <f t="shared" si="11"/>
        <v>0.40109890109890112</v>
      </c>
      <c r="R136" s="2" t="str">
        <f t="shared" si="12"/>
        <v>Inefficient</v>
      </c>
      <c r="S136" s="2" t="str">
        <f t="shared" si="13"/>
        <v>Very Long</v>
      </c>
      <c r="T136" s="2" t="str">
        <f t="shared" si="14"/>
        <v>Major Delay</v>
      </c>
    </row>
    <row r="137" spans="1:20" x14ac:dyDescent="0.35">
      <c r="A137" s="2" t="s">
        <v>393</v>
      </c>
      <c r="B137" s="2" t="s">
        <v>51</v>
      </c>
      <c r="C137" s="2" t="s">
        <v>394</v>
      </c>
      <c r="D137" s="2" t="s">
        <v>56</v>
      </c>
      <c r="E137" s="2" t="s">
        <v>38</v>
      </c>
      <c r="F137" s="2" t="s">
        <v>57</v>
      </c>
      <c r="G137" s="2" t="s">
        <v>49</v>
      </c>
      <c r="H137" s="3">
        <v>45353.922222222223</v>
      </c>
      <c r="I137" s="3">
        <v>45354.040277777778</v>
      </c>
      <c r="J137" s="2">
        <v>127</v>
      </c>
      <c r="K137" s="2">
        <v>170</v>
      </c>
      <c r="L137" s="2">
        <v>1</v>
      </c>
      <c r="M137" s="2" t="s">
        <v>22</v>
      </c>
      <c r="N137" s="2">
        <v>3</v>
      </c>
      <c r="O137" s="2">
        <v>58.7</v>
      </c>
      <c r="P137" s="2">
        <f t="shared" si="10"/>
        <v>43</v>
      </c>
      <c r="Q137" s="4">
        <f t="shared" si="11"/>
        <v>0.74705882352941178</v>
      </c>
      <c r="R137" s="2" t="str">
        <f t="shared" si="12"/>
        <v>Inefficient</v>
      </c>
      <c r="S137" s="2" t="str">
        <f t="shared" si="13"/>
        <v>Very Long</v>
      </c>
      <c r="T137" s="2" t="str">
        <f t="shared" si="14"/>
        <v>Major Delay</v>
      </c>
    </row>
    <row r="138" spans="1:20" x14ac:dyDescent="0.35">
      <c r="A138" s="2" t="s">
        <v>395</v>
      </c>
      <c r="B138" s="2" t="s">
        <v>51</v>
      </c>
      <c r="C138" s="2" t="s">
        <v>396</v>
      </c>
      <c r="D138" s="2" t="s">
        <v>48</v>
      </c>
      <c r="E138" s="2" t="s">
        <v>38</v>
      </c>
      <c r="F138" s="2" t="s">
        <v>20</v>
      </c>
      <c r="G138" s="2" t="s">
        <v>397</v>
      </c>
      <c r="H138" s="3">
        <v>45385.354861111111</v>
      </c>
      <c r="I138" s="3">
        <v>45385.470138888886</v>
      </c>
      <c r="J138" s="2">
        <v>148</v>
      </c>
      <c r="K138" s="2">
        <v>166</v>
      </c>
      <c r="L138" s="2">
        <v>1</v>
      </c>
      <c r="M138" s="2" t="s">
        <v>41</v>
      </c>
      <c r="N138" s="2">
        <v>10</v>
      </c>
      <c r="O138" s="2">
        <v>219.67</v>
      </c>
      <c r="P138" s="2">
        <f t="shared" si="10"/>
        <v>18</v>
      </c>
      <c r="Q138" s="4">
        <f t="shared" si="11"/>
        <v>0.89156626506024095</v>
      </c>
      <c r="R138" s="2" t="str">
        <f t="shared" si="12"/>
        <v>Inefficient</v>
      </c>
      <c r="S138" s="2" t="str">
        <f t="shared" si="13"/>
        <v>Very Long</v>
      </c>
      <c r="T138" s="2" t="str">
        <f t="shared" si="14"/>
        <v>Minor Delay</v>
      </c>
    </row>
    <row r="139" spans="1:20" x14ac:dyDescent="0.35">
      <c r="A139" s="2" t="s">
        <v>398</v>
      </c>
      <c r="B139" s="2" t="s">
        <v>24</v>
      </c>
      <c r="C139" s="2" t="s">
        <v>399</v>
      </c>
      <c r="D139" s="2" t="s">
        <v>56</v>
      </c>
      <c r="E139" s="2" t="s">
        <v>19</v>
      </c>
      <c r="F139" s="2" t="s">
        <v>57</v>
      </c>
      <c r="G139" s="2" t="s">
        <v>173</v>
      </c>
      <c r="H139" s="3">
        <v>45518.162499999999</v>
      </c>
      <c r="I139" s="3">
        <v>45518.293055555558</v>
      </c>
      <c r="J139" s="2">
        <v>104</v>
      </c>
      <c r="K139" s="2">
        <v>188</v>
      </c>
      <c r="L139" s="2">
        <v>1</v>
      </c>
      <c r="M139" s="2" t="s">
        <v>29</v>
      </c>
      <c r="N139" s="2">
        <v>4</v>
      </c>
      <c r="O139" s="2">
        <v>100.05</v>
      </c>
      <c r="P139" s="2">
        <f t="shared" si="10"/>
        <v>84</v>
      </c>
      <c r="Q139" s="4">
        <f t="shared" si="11"/>
        <v>0.55319148936170215</v>
      </c>
      <c r="R139" s="2" t="str">
        <f t="shared" si="12"/>
        <v>Inefficient</v>
      </c>
      <c r="S139" s="2" t="str">
        <f t="shared" si="13"/>
        <v>Very Long</v>
      </c>
      <c r="T139" s="2" t="str">
        <f t="shared" si="14"/>
        <v>Major Delay</v>
      </c>
    </row>
    <row r="140" spans="1:20" x14ac:dyDescent="0.35">
      <c r="A140" s="2" t="s">
        <v>400</v>
      </c>
      <c r="B140" s="2" t="s">
        <v>31</v>
      </c>
      <c r="C140" s="2" t="s">
        <v>401</v>
      </c>
      <c r="D140" s="2" t="s">
        <v>44</v>
      </c>
      <c r="E140" s="2" t="s">
        <v>33</v>
      </c>
      <c r="F140" s="2" t="s">
        <v>57</v>
      </c>
      <c r="G140" s="2" t="s">
        <v>402</v>
      </c>
      <c r="H140" s="3">
        <v>45597.943055555559</v>
      </c>
      <c r="I140" s="3">
        <v>45598.081944444442</v>
      </c>
      <c r="J140" s="2">
        <v>141</v>
      </c>
      <c r="K140" s="2">
        <v>200</v>
      </c>
      <c r="L140" s="2">
        <v>1</v>
      </c>
      <c r="M140" s="2" t="s">
        <v>22</v>
      </c>
      <c r="N140" s="2">
        <v>7</v>
      </c>
      <c r="O140" s="2">
        <v>195.12</v>
      </c>
      <c r="P140" s="2">
        <f t="shared" si="10"/>
        <v>59</v>
      </c>
      <c r="Q140" s="4">
        <f t="shared" si="11"/>
        <v>0.70499999999999996</v>
      </c>
      <c r="R140" s="2" t="str">
        <f t="shared" si="12"/>
        <v>Inefficient</v>
      </c>
      <c r="S140" s="2" t="str">
        <f t="shared" si="13"/>
        <v>Very Long</v>
      </c>
      <c r="T140" s="2" t="str">
        <f t="shared" si="14"/>
        <v>Major Delay</v>
      </c>
    </row>
    <row r="141" spans="1:20" x14ac:dyDescent="0.35">
      <c r="A141" s="2" t="s">
        <v>403</v>
      </c>
      <c r="B141" s="2" t="s">
        <v>16</v>
      </c>
      <c r="C141" s="2" t="s">
        <v>404</v>
      </c>
      <c r="D141" s="2" t="s">
        <v>44</v>
      </c>
      <c r="E141" s="2" t="s">
        <v>85</v>
      </c>
      <c r="F141" s="2" t="s">
        <v>20</v>
      </c>
      <c r="G141" s="2" t="s">
        <v>61</v>
      </c>
      <c r="H141" s="3">
        <v>45496.365972222222</v>
      </c>
      <c r="I141" s="3">
        <v>45496.560416666667</v>
      </c>
      <c r="J141" s="2">
        <v>226</v>
      </c>
      <c r="K141" s="2">
        <v>280</v>
      </c>
      <c r="L141" s="2">
        <v>1</v>
      </c>
      <c r="M141" s="2" t="s">
        <v>41</v>
      </c>
      <c r="N141" s="2">
        <v>6</v>
      </c>
      <c r="O141" s="2">
        <v>347.58</v>
      </c>
      <c r="P141" s="2">
        <f t="shared" si="10"/>
        <v>54</v>
      </c>
      <c r="Q141" s="4">
        <f t="shared" si="11"/>
        <v>0.80714285714285716</v>
      </c>
      <c r="R141" s="2" t="str">
        <f t="shared" si="12"/>
        <v>Inefficient</v>
      </c>
      <c r="S141" s="2" t="str">
        <f t="shared" si="13"/>
        <v>Very Long</v>
      </c>
      <c r="T141" s="2" t="str">
        <f t="shared" si="14"/>
        <v>Major Delay</v>
      </c>
    </row>
    <row r="142" spans="1:20" x14ac:dyDescent="0.35">
      <c r="A142" s="2" t="s">
        <v>405</v>
      </c>
      <c r="B142" s="2" t="s">
        <v>31</v>
      </c>
      <c r="C142" s="2" t="s">
        <v>406</v>
      </c>
      <c r="D142" s="2" t="s">
        <v>44</v>
      </c>
      <c r="E142" s="2" t="s">
        <v>85</v>
      </c>
      <c r="F142" s="2" t="s">
        <v>34</v>
      </c>
      <c r="G142" s="2" t="s">
        <v>407</v>
      </c>
      <c r="H142" s="3">
        <v>45329.134722222225</v>
      </c>
      <c r="I142" s="3">
        <v>45329.294444444444</v>
      </c>
      <c r="J142" s="2">
        <v>150</v>
      </c>
      <c r="K142" s="2">
        <v>230</v>
      </c>
      <c r="L142" s="2">
        <v>1</v>
      </c>
      <c r="M142" s="2" t="s">
        <v>41</v>
      </c>
      <c r="N142" s="2">
        <v>8</v>
      </c>
      <c r="O142" s="2">
        <v>413.26</v>
      </c>
      <c r="P142" s="2">
        <f t="shared" si="10"/>
        <v>80</v>
      </c>
      <c r="Q142" s="4">
        <f t="shared" si="11"/>
        <v>0.65217391304347827</v>
      </c>
      <c r="R142" s="2" t="str">
        <f t="shared" si="12"/>
        <v>Inefficient</v>
      </c>
      <c r="S142" s="2" t="str">
        <f t="shared" si="13"/>
        <v>Very Long</v>
      </c>
      <c r="T142" s="2" t="str">
        <f t="shared" si="14"/>
        <v>Major Delay</v>
      </c>
    </row>
    <row r="143" spans="1:20" x14ac:dyDescent="0.35">
      <c r="A143" s="2" t="s">
        <v>408</v>
      </c>
      <c r="B143" s="2" t="s">
        <v>16</v>
      </c>
      <c r="C143" s="2" t="s">
        <v>409</v>
      </c>
      <c r="D143" s="2" t="s">
        <v>44</v>
      </c>
      <c r="E143" s="2" t="s">
        <v>19</v>
      </c>
      <c r="F143" s="2" t="s">
        <v>20</v>
      </c>
      <c r="G143" s="2" t="s">
        <v>410</v>
      </c>
      <c r="H143" s="3">
        <v>45538.206250000003</v>
      </c>
      <c r="I143" s="3">
        <v>45538.258333333331</v>
      </c>
      <c r="J143" s="2">
        <v>10</v>
      </c>
      <c r="K143" s="2">
        <v>75</v>
      </c>
      <c r="L143" s="2">
        <v>1</v>
      </c>
      <c r="M143" s="2" t="s">
        <v>22</v>
      </c>
      <c r="N143" s="2">
        <v>6</v>
      </c>
      <c r="O143" s="2">
        <v>366.55</v>
      </c>
      <c r="P143" s="2">
        <f t="shared" si="10"/>
        <v>65</v>
      </c>
      <c r="Q143" s="4">
        <f t="shared" si="11"/>
        <v>0.13333333333333333</v>
      </c>
      <c r="R143" s="2" t="str">
        <f t="shared" si="12"/>
        <v>Inefficient</v>
      </c>
      <c r="S143" s="2" t="str">
        <f t="shared" si="13"/>
        <v>Long</v>
      </c>
      <c r="T143" s="2" t="str">
        <f t="shared" si="14"/>
        <v>Major Delay</v>
      </c>
    </row>
    <row r="144" spans="1:20" x14ac:dyDescent="0.35">
      <c r="A144" s="2" t="s">
        <v>411</v>
      </c>
      <c r="B144" s="2" t="s">
        <v>63</v>
      </c>
      <c r="C144" s="2" t="s">
        <v>412</v>
      </c>
      <c r="D144" s="2" t="s">
        <v>18</v>
      </c>
      <c r="E144" s="2" t="s">
        <v>85</v>
      </c>
      <c r="F144" s="2" t="s">
        <v>34</v>
      </c>
      <c r="G144" s="2" t="s">
        <v>407</v>
      </c>
      <c r="H144" s="3">
        <v>45573.18472222222</v>
      </c>
      <c r="I144" s="3">
        <v>45573.354166666664</v>
      </c>
      <c r="J144" s="2">
        <v>172</v>
      </c>
      <c r="K144" s="2">
        <v>244</v>
      </c>
      <c r="L144" s="2">
        <v>1</v>
      </c>
      <c r="M144" s="2" t="s">
        <v>29</v>
      </c>
      <c r="N144" s="2">
        <v>3</v>
      </c>
      <c r="O144" s="2">
        <v>85.77</v>
      </c>
      <c r="P144" s="2">
        <f t="shared" si="10"/>
        <v>72</v>
      </c>
      <c r="Q144" s="4">
        <f t="shared" si="11"/>
        <v>0.70491803278688525</v>
      </c>
      <c r="R144" s="2" t="str">
        <f t="shared" si="12"/>
        <v>Inefficient</v>
      </c>
      <c r="S144" s="2" t="str">
        <f t="shared" si="13"/>
        <v>Very Long</v>
      </c>
      <c r="T144" s="2" t="str">
        <f t="shared" si="14"/>
        <v>Major Delay</v>
      </c>
    </row>
    <row r="145" spans="1:20" x14ac:dyDescent="0.35">
      <c r="A145" s="2" t="s">
        <v>413</v>
      </c>
      <c r="B145" s="2" t="s">
        <v>63</v>
      </c>
      <c r="C145" s="2" t="s">
        <v>414</v>
      </c>
      <c r="D145" s="2" t="s">
        <v>18</v>
      </c>
      <c r="E145" s="2" t="s">
        <v>19</v>
      </c>
      <c r="F145" s="2" t="s">
        <v>34</v>
      </c>
      <c r="G145" s="2" t="s">
        <v>415</v>
      </c>
      <c r="H145" s="3">
        <v>45577.776388888888</v>
      </c>
      <c r="I145" s="3">
        <v>45577.949305555558</v>
      </c>
      <c r="J145" s="2">
        <v>155</v>
      </c>
      <c r="K145" s="2">
        <v>249</v>
      </c>
      <c r="L145" s="2">
        <v>1</v>
      </c>
      <c r="M145" s="2" t="s">
        <v>29</v>
      </c>
      <c r="N145" s="2">
        <v>7</v>
      </c>
      <c r="O145" s="2">
        <v>430.32</v>
      </c>
      <c r="P145" s="2">
        <f t="shared" si="10"/>
        <v>94</v>
      </c>
      <c r="Q145" s="4">
        <f t="shared" si="11"/>
        <v>0.6224899598393574</v>
      </c>
      <c r="R145" s="2" t="str">
        <f t="shared" si="12"/>
        <v>Inefficient</v>
      </c>
      <c r="S145" s="2" t="str">
        <f t="shared" si="13"/>
        <v>Very Long</v>
      </c>
      <c r="T145" s="2" t="str">
        <f t="shared" si="14"/>
        <v>Major Delay</v>
      </c>
    </row>
    <row r="146" spans="1:20" x14ac:dyDescent="0.35">
      <c r="A146" s="2" t="s">
        <v>416</v>
      </c>
      <c r="B146" s="2" t="s">
        <v>63</v>
      </c>
      <c r="C146" s="2" t="s">
        <v>417</v>
      </c>
      <c r="D146" s="2" t="s">
        <v>26</v>
      </c>
      <c r="E146" s="2" t="s">
        <v>33</v>
      </c>
      <c r="F146" s="2" t="s">
        <v>57</v>
      </c>
      <c r="G146" s="2" t="s">
        <v>418</v>
      </c>
      <c r="H146" s="3">
        <v>45455.570138888892</v>
      </c>
      <c r="I146" s="3">
        <v>45455.625</v>
      </c>
      <c r="J146" s="2">
        <v>84</v>
      </c>
      <c r="K146" s="2">
        <v>79</v>
      </c>
      <c r="L146" s="2">
        <v>0</v>
      </c>
      <c r="M146" s="2" t="s">
        <v>41</v>
      </c>
      <c r="N146" s="2">
        <v>2</v>
      </c>
      <c r="O146" s="2">
        <v>118.78</v>
      </c>
      <c r="P146" s="2">
        <f t="shared" si="10"/>
        <v>-5</v>
      </c>
      <c r="Q146" s="4">
        <f t="shared" si="11"/>
        <v>1.0632911392405062</v>
      </c>
      <c r="R146" s="2" t="str">
        <f t="shared" si="12"/>
        <v>Efficient</v>
      </c>
      <c r="S146" s="2" t="str">
        <f t="shared" si="13"/>
        <v>Long</v>
      </c>
      <c r="T146" s="2" t="str">
        <f t="shared" si="14"/>
        <v>On Time</v>
      </c>
    </row>
    <row r="147" spans="1:20" x14ac:dyDescent="0.35">
      <c r="A147" s="2" t="s">
        <v>419</v>
      </c>
      <c r="B147" s="2" t="s">
        <v>31</v>
      </c>
      <c r="C147" s="2" t="s">
        <v>420</v>
      </c>
      <c r="D147" s="2" t="s">
        <v>18</v>
      </c>
      <c r="E147" s="2" t="s">
        <v>19</v>
      </c>
      <c r="F147" s="2" t="s">
        <v>27</v>
      </c>
      <c r="G147" s="2" t="s">
        <v>262</v>
      </c>
      <c r="H147" s="3">
        <v>45419.852083333331</v>
      </c>
      <c r="I147" s="3">
        <v>45420.09652777778</v>
      </c>
      <c r="J147" s="2">
        <v>236</v>
      </c>
      <c r="K147" s="2">
        <v>352</v>
      </c>
      <c r="L147" s="2">
        <v>1</v>
      </c>
      <c r="M147" s="2" t="s">
        <v>22</v>
      </c>
      <c r="N147" s="2">
        <v>6</v>
      </c>
      <c r="O147" s="2">
        <v>115.31</v>
      </c>
      <c r="P147" s="2">
        <f t="shared" si="10"/>
        <v>116</v>
      </c>
      <c r="Q147" s="4">
        <f t="shared" si="11"/>
        <v>0.67045454545454541</v>
      </c>
      <c r="R147" s="2" t="str">
        <f t="shared" si="12"/>
        <v>Inefficient</v>
      </c>
      <c r="S147" s="2" t="str">
        <f t="shared" si="13"/>
        <v>Very Long</v>
      </c>
      <c r="T147" s="2" t="str">
        <f t="shared" si="14"/>
        <v>Major Delay</v>
      </c>
    </row>
    <row r="148" spans="1:20" x14ac:dyDescent="0.35">
      <c r="A148" s="2" t="s">
        <v>421</v>
      </c>
      <c r="B148" s="2" t="s">
        <v>31</v>
      </c>
      <c r="C148" s="2" t="s">
        <v>422</v>
      </c>
      <c r="D148" s="2" t="s">
        <v>56</v>
      </c>
      <c r="E148" s="2" t="s">
        <v>85</v>
      </c>
      <c r="F148" s="2" t="s">
        <v>39</v>
      </c>
      <c r="G148" s="2" t="s">
        <v>76</v>
      </c>
      <c r="H148" s="3">
        <v>45309.585416666669</v>
      </c>
      <c r="I148" s="3">
        <v>45309.743055555555</v>
      </c>
      <c r="J148" s="2">
        <v>179</v>
      </c>
      <c r="K148" s="2">
        <v>227</v>
      </c>
      <c r="L148" s="2">
        <v>1</v>
      </c>
      <c r="M148" s="2" t="s">
        <v>22</v>
      </c>
      <c r="N148" s="2">
        <v>2</v>
      </c>
      <c r="O148" s="2">
        <v>295.18</v>
      </c>
      <c r="P148" s="2">
        <f t="shared" si="10"/>
        <v>48</v>
      </c>
      <c r="Q148" s="4">
        <f t="shared" si="11"/>
        <v>0.78854625550660795</v>
      </c>
      <c r="R148" s="2" t="str">
        <f t="shared" si="12"/>
        <v>Inefficient</v>
      </c>
      <c r="S148" s="2" t="str">
        <f t="shared" si="13"/>
        <v>Very Long</v>
      </c>
      <c r="T148" s="2" t="str">
        <f t="shared" si="14"/>
        <v>Major Delay</v>
      </c>
    </row>
    <row r="149" spans="1:20" x14ac:dyDescent="0.35">
      <c r="A149" s="2" t="s">
        <v>423</v>
      </c>
      <c r="B149" s="2" t="s">
        <v>16</v>
      </c>
      <c r="C149" s="2" t="s">
        <v>424</v>
      </c>
      <c r="D149" s="2" t="s">
        <v>56</v>
      </c>
      <c r="E149" s="2" t="s">
        <v>38</v>
      </c>
      <c r="F149" s="2" t="s">
        <v>34</v>
      </c>
      <c r="G149" s="2" t="s">
        <v>188</v>
      </c>
      <c r="H149" s="3">
        <v>45575.65902777778</v>
      </c>
      <c r="I149" s="3">
        <v>45575.850694444445</v>
      </c>
      <c r="J149" s="2">
        <v>188</v>
      </c>
      <c r="K149" s="2">
        <v>276</v>
      </c>
      <c r="L149" s="2">
        <v>1</v>
      </c>
      <c r="M149" s="2" t="s">
        <v>41</v>
      </c>
      <c r="N149" s="2">
        <v>4</v>
      </c>
      <c r="O149" s="2">
        <v>221.35</v>
      </c>
      <c r="P149" s="2">
        <f t="shared" si="10"/>
        <v>88</v>
      </c>
      <c r="Q149" s="4">
        <f t="shared" si="11"/>
        <v>0.6811594202898551</v>
      </c>
      <c r="R149" s="2" t="str">
        <f t="shared" si="12"/>
        <v>Inefficient</v>
      </c>
      <c r="S149" s="2" t="str">
        <f t="shared" si="13"/>
        <v>Very Long</v>
      </c>
      <c r="T149" s="2" t="str">
        <f t="shared" si="14"/>
        <v>Major Delay</v>
      </c>
    </row>
    <row r="150" spans="1:20" x14ac:dyDescent="0.35">
      <c r="A150" s="2" t="s">
        <v>425</v>
      </c>
      <c r="B150" s="2" t="s">
        <v>16</v>
      </c>
      <c r="C150" s="2" t="s">
        <v>426</v>
      </c>
      <c r="D150" s="2" t="s">
        <v>18</v>
      </c>
      <c r="E150" s="2" t="s">
        <v>19</v>
      </c>
      <c r="F150" s="2" t="s">
        <v>34</v>
      </c>
      <c r="G150" s="2" t="s">
        <v>427</v>
      </c>
      <c r="H150" s="3">
        <v>45467.295138888891</v>
      </c>
      <c r="I150" s="3">
        <v>45467.46597222222</v>
      </c>
      <c r="J150" s="2">
        <v>174</v>
      </c>
      <c r="K150" s="2">
        <v>246</v>
      </c>
      <c r="L150" s="2">
        <v>1</v>
      </c>
      <c r="M150" s="2" t="s">
        <v>29</v>
      </c>
      <c r="N150" s="2">
        <v>7</v>
      </c>
      <c r="O150" s="2">
        <v>80.099999999999994</v>
      </c>
      <c r="P150" s="2">
        <f t="shared" si="10"/>
        <v>72</v>
      </c>
      <c r="Q150" s="4">
        <f t="shared" si="11"/>
        <v>0.70731707317073167</v>
      </c>
      <c r="R150" s="2" t="str">
        <f t="shared" si="12"/>
        <v>Inefficient</v>
      </c>
      <c r="S150" s="2" t="str">
        <f t="shared" si="13"/>
        <v>Very Long</v>
      </c>
      <c r="T150" s="2" t="str">
        <f t="shared" si="14"/>
        <v>Major Delay</v>
      </c>
    </row>
    <row r="151" spans="1:20" x14ac:dyDescent="0.35">
      <c r="A151" s="2" t="s">
        <v>428</v>
      </c>
      <c r="B151" s="2" t="s">
        <v>31</v>
      </c>
      <c r="C151" s="2" t="s">
        <v>429</v>
      </c>
      <c r="D151" s="2" t="s">
        <v>18</v>
      </c>
      <c r="E151" s="2" t="s">
        <v>19</v>
      </c>
      <c r="F151" s="2" t="s">
        <v>57</v>
      </c>
      <c r="G151" s="2" t="s">
        <v>430</v>
      </c>
      <c r="H151" s="3">
        <v>45390.915277777778</v>
      </c>
      <c r="I151" s="3">
        <v>45390.991666666669</v>
      </c>
      <c r="J151" s="2">
        <v>53</v>
      </c>
      <c r="K151" s="2">
        <v>110</v>
      </c>
      <c r="L151" s="2">
        <v>1</v>
      </c>
      <c r="M151" s="2" t="s">
        <v>22</v>
      </c>
      <c r="N151" s="2">
        <v>3</v>
      </c>
      <c r="O151" s="2">
        <v>471.22</v>
      </c>
      <c r="P151" s="2">
        <f t="shared" si="10"/>
        <v>57</v>
      </c>
      <c r="Q151" s="4">
        <f t="shared" si="11"/>
        <v>0.48181818181818181</v>
      </c>
      <c r="R151" s="2" t="str">
        <f t="shared" si="12"/>
        <v>Inefficient</v>
      </c>
      <c r="S151" s="2" t="str">
        <f t="shared" si="13"/>
        <v>Long</v>
      </c>
      <c r="T151" s="2" t="str">
        <f t="shared" si="14"/>
        <v>Major Delay</v>
      </c>
    </row>
    <row r="152" spans="1:20" x14ac:dyDescent="0.35">
      <c r="A152" s="2" t="s">
        <v>431</v>
      </c>
      <c r="B152" s="2" t="s">
        <v>63</v>
      </c>
      <c r="C152" s="2" t="s">
        <v>432</v>
      </c>
      <c r="D152" s="2" t="s">
        <v>44</v>
      </c>
      <c r="E152" s="2" t="s">
        <v>85</v>
      </c>
      <c r="F152" s="2" t="s">
        <v>34</v>
      </c>
      <c r="G152" s="2" t="s">
        <v>225</v>
      </c>
      <c r="H152" s="3">
        <v>45639.788888888892</v>
      </c>
      <c r="I152" s="3">
        <v>45639.979861111111</v>
      </c>
      <c r="J152" s="2">
        <v>157</v>
      </c>
      <c r="K152" s="2">
        <v>275</v>
      </c>
      <c r="L152" s="2">
        <v>1</v>
      </c>
      <c r="M152" s="2" t="s">
        <v>41</v>
      </c>
      <c r="N152" s="2">
        <v>1</v>
      </c>
      <c r="O152" s="2">
        <v>298.23</v>
      </c>
      <c r="P152" s="2">
        <f t="shared" si="10"/>
        <v>118</v>
      </c>
      <c r="Q152" s="4">
        <f t="shared" si="11"/>
        <v>0.57090909090909092</v>
      </c>
      <c r="R152" s="2" t="str">
        <f t="shared" si="12"/>
        <v>Inefficient</v>
      </c>
      <c r="S152" s="2" t="str">
        <f t="shared" si="13"/>
        <v>Very Long</v>
      </c>
      <c r="T152" s="2" t="str">
        <f t="shared" si="14"/>
        <v>Major Delay</v>
      </c>
    </row>
    <row r="153" spans="1:20" x14ac:dyDescent="0.35">
      <c r="A153" s="2" t="s">
        <v>433</v>
      </c>
      <c r="B153" s="2" t="s">
        <v>31</v>
      </c>
      <c r="C153" s="2" t="s">
        <v>434</v>
      </c>
      <c r="D153" s="2" t="s">
        <v>18</v>
      </c>
      <c r="E153" s="2" t="s">
        <v>19</v>
      </c>
      <c r="F153" s="2" t="s">
        <v>34</v>
      </c>
      <c r="G153" s="2" t="s">
        <v>343</v>
      </c>
      <c r="H153" s="3">
        <v>45292.156944444447</v>
      </c>
      <c r="I153" s="3">
        <v>45292.279861111114</v>
      </c>
      <c r="J153" s="2">
        <v>163</v>
      </c>
      <c r="K153" s="2">
        <v>177</v>
      </c>
      <c r="L153" s="2">
        <v>1</v>
      </c>
      <c r="M153" s="2" t="s">
        <v>41</v>
      </c>
      <c r="N153" s="2">
        <v>6</v>
      </c>
      <c r="O153" s="2">
        <v>293.52</v>
      </c>
      <c r="P153" s="2">
        <f t="shared" si="10"/>
        <v>14</v>
      </c>
      <c r="Q153" s="4">
        <f t="shared" si="11"/>
        <v>0.92090395480225984</v>
      </c>
      <c r="R153" s="2" t="str">
        <f t="shared" si="12"/>
        <v>Inefficient</v>
      </c>
      <c r="S153" s="2" t="str">
        <f t="shared" si="13"/>
        <v>Very Long</v>
      </c>
      <c r="T153" s="2" t="str">
        <f t="shared" si="14"/>
        <v>Minor Delay</v>
      </c>
    </row>
    <row r="154" spans="1:20" x14ac:dyDescent="0.35">
      <c r="A154" s="2" t="s">
        <v>435</v>
      </c>
      <c r="B154" s="2" t="s">
        <v>24</v>
      </c>
      <c r="C154" s="2" t="s">
        <v>436</v>
      </c>
      <c r="D154" s="2" t="s">
        <v>48</v>
      </c>
      <c r="E154" s="2" t="s">
        <v>85</v>
      </c>
      <c r="F154" s="2" t="s">
        <v>34</v>
      </c>
      <c r="G154" s="2" t="s">
        <v>40</v>
      </c>
      <c r="H154" s="3">
        <v>45551.65902777778</v>
      </c>
      <c r="I154" s="3">
        <v>45551.753472222219</v>
      </c>
      <c r="J154" s="2">
        <v>82</v>
      </c>
      <c r="K154" s="2">
        <v>136</v>
      </c>
      <c r="L154" s="2">
        <v>1</v>
      </c>
      <c r="M154" s="2" t="s">
        <v>29</v>
      </c>
      <c r="N154" s="2">
        <v>3</v>
      </c>
      <c r="O154" s="2">
        <v>205.91</v>
      </c>
      <c r="P154" s="2">
        <f t="shared" si="10"/>
        <v>54</v>
      </c>
      <c r="Q154" s="4">
        <f t="shared" si="11"/>
        <v>0.6029411764705882</v>
      </c>
      <c r="R154" s="2" t="str">
        <f t="shared" si="12"/>
        <v>Inefficient</v>
      </c>
      <c r="S154" s="2" t="str">
        <f t="shared" si="13"/>
        <v>Very Long</v>
      </c>
      <c r="T154" s="2" t="str">
        <f t="shared" si="14"/>
        <v>Major Delay</v>
      </c>
    </row>
    <row r="155" spans="1:20" x14ac:dyDescent="0.35">
      <c r="A155" s="2" t="s">
        <v>437</v>
      </c>
      <c r="B155" s="2" t="s">
        <v>16</v>
      </c>
      <c r="C155" s="2" t="s">
        <v>438</v>
      </c>
      <c r="D155" s="2" t="s">
        <v>56</v>
      </c>
      <c r="E155" s="2" t="s">
        <v>33</v>
      </c>
      <c r="F155" s="2" t="s">
        <v>39</v>
      </c>
      <c r="G155" s="2" t="s">
        <v>167</v>
      </c>
      <c r="H155" s="3">
        <v>45523.322222222225</v>
      </c>
      <c r="I155" s="3">
        <v>45523.513194444444</v>
      </c>
      <c r="J155" s="2">
        <v>156</v>
      </c>
      <c r="K155" s="2">
        <v>275</v>
      </c>
      <c r="L155" s="2">
        <v>1</v>
      </c>
      <c r="M155" s="2" t="s">
        <v>29</v>
      </c>
      <c r="N155" s="2">
        <v>8</v>
      </c>
      <c r="O155" s="2">
        <v>326.32</v>
      </c>
      <c r="P155" s="2">
        <f t="shared" si="10"/>
        <v>119</v>
      </c>
      <c r="Q155" s="4">
        <f t="shared" si="11"/>
        <v>0.56727272727272726</v>
      </c>
      <c r="R155" s="2" t="str">
        <f t="shared" si="12"/>
        <v>Inefficient</v>
      </c>
      <c r="S155" s="2" t="str">
        <f t="shared" si="13"/>
        <v>Very Long</v>
      </c>
      <c r="T155" s="2" t="str">
        <f t="shared" si="14"/>
        <v>Major Delay</v>
      </c>
    </row>
    <row r="156" spans="1:20" x14ac:dyDescent="0.35">
      <c r="A156" s="2" t="s">
        <v>439</v>
      </c>
      <c r="B156" s="2" t="s">
        <v>16</v>
      </c>
      <c r="C156" s="2" t="s">
        <v>440</v>
      </c>
      <c r="D156" s="2" t="s">
        <v>48</v>
      </c>
      <c r="E156" s="2" t="s">
        <v>19</v>
      </c>
      <c r="F156" s="2" t="s">
        <v>27</v>
      </c>
      <c r="G156" s="2" t="s">
        <v>114</v>
      </c>
      <c r="H156" s="3">
        <v>45469.907638888886</v>
      </c>
      <c r="I156" s="3">
        <v>45470.095833333333</v>
      </c>
      <c r="J156" s="2">
        <v>235</v>
      </c>
      <c r="K156" s="2">
        <v>271</v>
      </c>
      <c r="L156" s="2">
        <v>1</v>
      </c>
      <c r="M156" s="2" t="s">
        <v>22</v>
      </c>
      <c r="N156" s="2">
        <v>8</v>
      </c>
      <c r="O156" s="2">
        <v>328.17</v>
      </c>
      <c r="P156" s="2">
        <f t="shared" si="10"/>
        <v>36</v>
      </c>
      <c r="Q156" s="4">
        <f t="shared" si="11"/>
        <v>0.86715867158671589</v>
      </c>
      <c r="R156" s="2" t="str">
        <f t="shared" si="12"/>
        <v>Inefficient</v>
      </c>
      <c r="S156" s="2" t="str">
        <f t="shared" si="13"/>
        <v>Very Long</v>
      </c>
      <c r="T156" s="2" t="str">
        <f t="shared" si="14"/>
        <v>Major Delay</v>
      </c>
    </row>
    <row r="157" spans="1:20" x14ac:dyDescent="0.35">
      <c r="A157" s="2" t="s">
        <v>441</v>
      </c>
      <c r="B157" s="2" t="s">
        <v>24</v>
      </c>
      <c r="C157" s="2" t="s">
        <v>442</v>
      </c>
      <c r="D157" s="2" t="s">
        <v>18</v>
      </c>
      <c r="E157" s="2" t="s">
        <v>19</v>
      </c>
      <c r="F157" s="2" t="s">
        <v>57</v>
      </c>
      <c r="G157" s="2" t="s">
        <v>140</v>
      </c>
      <c r="H157" s="3">
        <v>45480.615972222222</v>
      </c>
      <c r="I157" s="3">
        <v>45480.840277777781</v>
      </c>
      <c r="J157" s="2">
        <v>206</v>
      </c>
      <c r="K157" s="2">
        <v>323</v>
      </c>
      <c r="L157" s="2">
        <v>1</v>
      </c>
      <c r="M157" s="2" t="s">
        <v>22</v>
      </c>
      <c r="N157" s="2">
        <v>2</v>
      </c>
      <c r="O157" s="2">
        <v>282.45999999999998</v>
      </c>
      <c r="P157" s="2">
        <f t="shared" si="10"/>
        <v>117</v>
      </c>
      <c r="Q157" s="4">
        <f t="shared" si="11"/>
        <v>0.63777089783281737</v>
      </c>
      <c r="R157" s="2" t="str">
        <f t="shared" si="12"/>
        <v>Inefficient</v>
      </c>
      <c r="S157" s="2" t="str">
        <f t="shared" si="13"/>
        <v>Very Long</v>
      </c>
      <c r="T157" s="2" t="str">
        <f t="shared" si="14"/>
        <v>Major Delay</v>
      </c>
    </row>
    <row r="158" spans="1:20" x14ac:dyDescent="0.35">
      <c r="A158" s="2" t="s">
        <v>443</v>
      </c>
      <c r="B158" s="2" t="s">
        <v>51</v>
      </c>
      <c r="C158" s="2" t="s">
        <v>444</v>
      </c>
      <c r="D158" s="2" t="s">
        <v>44</v>
      </c>
      <c r="E158" s="2" t="s">
        <v>19</v>
      </c>
      <c r="F158" s="2" t="s">
        <v>27</v>
      </c>
      <c r="G158" s="2" t="s">
        <v>445</v>
      </c>
      <c r="H158" s="3">
        <v>45324.727777777778</v>
      </c>
      <c r="I158" s="3">
        <v>45324.852083333331</v>
      </c>
      <c r="J158" s="2">
        <v>143</v>
      </c>
      <c r="K158" s="2">
        <v>179</v>
      </c>
      <c r="L158" s="2">
        <v>1</v>
      </c>
      <c r="M158" s="2" t="s">
        <v>22</v>
      </c>
      <c r="N158" s="2">
        <v>3</v>
      </c>
      <c r="O158" s="2">
        <v>79.540000000000006</v>
      </c>
      <c r="P158" s="2">
        <f t="shared" si="10"/>
        <v>36</v>
      </c>
      <c r="Q158" s="4">
        <f t="shared" si="11"/>
        <v>0.7988826815642458</v>
      </c>
      <c r="R158" s="2" t="str">
        <f t="shared" si="12"/>
        <v>Inefficient</v>
      </c>
      <c r="S158" s="2" t="str">
        <f t="shared" si="13"/>
        <v>Very Long</v>
      </c>
      <c r="T158" s="2" t="str">
        <f t="shared" si="14"/>
        <v>Major Delay</v>
      </c>
    </row>
    <row r="159" spans="1:20" x14ac:dyDescent="0.35">
      <c r="A159" s="2" t="s">
        <v>446</v>
      </c>
      <c r="B159" s="2" t="s">
        <v>24</v>
      </c>
      <c r="C159" s="2" t="s">
        <v>447</v>
      </c>
      <c r="D159" s="2" t="s">
        <v>18</v>
      </c>
      <c r="E159" s="2" t="s">
        <v>19</v>
      </c>
      <c r="F159" s="2" t="s">
        <v>27</v>
      </c>
      <c r="G159" s="2" t="s">
        <v>152</v>
      </c>
      <c r="H159" s="3">
        <v>45372.769444444442</v>
      </c>
      <c r="I159" s="3">
        <v>45372.854861111111</v>
      </c>
      <c r="J159" s="2">
        <v>27</v>
      </c>
      <c r="K159" s="2">
        <v>123</v>
      </c>
      <c r="L159" s="2">
        <v>1</v>
      </c>
      <c r="M159" s="2" t="s">
        <v>29</v>
      </c>
      <c r="N159" s="2">
        <v>2</v>
      </c>
      <c r="O159" s="2">
        <v>364.1</v>
      </c>
      <c r="P159" s="2">
        <f t="shared" si="10"/>
        <v>96</v>
      </c>
      <c r="Q159" s="4">
        <f t="shared" si="11"/>
        <v>0.21951219512195122</v>
      </c>
      <c r="R159" s="2" t="str">
        <f t="shared" si="12"/>
        <v>Inefficient</v>
      </c>
      <c r="S159" s="2" t="str">
        <f t="shared" si="13"/>
        <v>Very Long</v>
      </c>
      <c r="T159" s="2" t="str">
        <f t="shared" si="14"/>
        <v>Major Delay</v>
      </c>
    </row>
    <row r="160" spans="1:20" x14ac:dyDescent="0.35">
      <c r="A160" s="2" t="s">
        <v>448</v>
      </c>
      <c r="B160" s="2" t="s">
        <v>51</v>
      </c>
      <c r="C160" s="2" t="s">
        <v>449</v>
      </c>
      <c r="D160" s="2" t="s">
        <v>26</v>
      </c>
      <c r="E160" s="2" t="s">
        <v>19</v>
      </c>
      <c r="F160" s="2" t="s">
        <v>34</v>
      </c>
      <c r="G160" s="2" t="s">
        <v>167</v>
      </c>
      <c r="H160" s="3">
        <v>45366.322222222225</v>
      </c>
      <c r="I160" s="3">
        <v>45366.489583333336</v>
      </c>
      <c r="J160" s="2">
        <v>123</v>
      </c>
      <c r="K160" s="2">
        <v>241</v>
      </c>
      <c r="L160" s="2">
        <v>1</v>
      </c>
      <c r="M160" s="2" t="s">
        <v>29</v>
      </c>
      <c r="N160" s="2">
        <v>2</v>
      </c>
      <c r="O160" s="2">
        <v>119.18</v>
      </c>
      <c r="P160" s="2">
        <f t="shared" si="10"/>
        <v>118</v>
      </c>
      <c r="Q160" s="4">
        <f t="shared" si="11"/>
        <v>0.51037344398340245</v>
      </c>
      <c r="R160" s="2" t="str">
        <f t="shared" si="12"/>
        <v>Inefficient</v>
      </c>
      <c r="S160" s="2" t="str">
        <f t="shared" si="13"/>
        <v>Very Long</v>
      </c>
      <c r="T160" s="2" t="str">
        <f t="shared" si="14"/>
        <v>Major Delay</v>
      </c>
    </row>
    <row r="161" spans="1:20" x14ac:dyDescent="0.35">
      <c r="A161" s="2" t="s">
        <v>450</v>
      </c>
      <c r="B161" s="2" t="s">
        <v>16</v>
      </c>
      <c r="C161" s="2" t="s">
        <v>451</v>
      </c>
      <c r="D161" s="2" t="s">
        <v>56</v>
      </c>
      <c r="E161" s="2" t="s">
        <v>85</v>
      </c>
      <c r="F161" s="2" t="s">
        <v>39</v>
      </c>
      <c r="G161" s="2" t="s">
        <v>445</v>
      </c>
      <c r="H161" s="3">
        <v>45339.817361111112</v>
      </c>
      <c r="I161" s="3">
        <v>45339.998611111114</v>
      </c>
      <c r="J161" s="2">
        <v>213</v>
      </c>
      <c r="K161" s="2">
        <v>261</v>
      </c>
      <c r="L161" s="2">
        <v>1</v>
      </c>
      <c r="M161" s="2" t="s">
        <v>29</v>
      </c>
      <c r="N161" s="2">
        <v>2</v>
      </c>
      <c r="O161" s="2">
        <v>57.55</v>
      </c>
      <c r="P161" s="2">
        <f t="shared" si="10"/>
        <v>48</v>
      </c>
      <c r="Q161" s="4">
        <f t="shared" si="11"/>
        <v>0.81609195402298851</v>
      </c>
      <c r="R161" s="2" t="str">
        <f t="shared" si="12"/>
        <v>Inefficient</v>
      </c>
      <c r="S161" s="2" t="str">
        <f t="shared" si="13"/>
        <v>Very Long</v>
      </c>
      <c r="T161" s="2" t="str">
        <f t="shared" si="14"/>
        <v>Major Delay</v>
      </c>
    </row>
    <row r="162" spans="1:20" x14ac:dyDescent="0.35">
      <c r="A162" s="2" t="s">
        <v>452</v>
      </c>
      <c r="B162" s="2" t="s">
        <v>16</v>
      </c>
      <c r="C162" s="2" t="s">
        <v>453</v>
      </c>
      <c r="D162" s="2" t="s">
        <v>56</v>
      </c>
      <c r="E162" s="2" t="s">
        <v>19</v>
      </c>
      <c r="F162" s="2" t="s">
        <v>39</v>
      </c>
      <c r="G162" s="2" t="s">
        <v>210</v>
      </c>
      <c r="H162" s="3">
        <v>45323.223611111112</v>
      </c>
      <c r="I162" s="3">
        <v>45323.317361111112</v>
      </c>
      <c r="J162" s="2">
        <v>64</v>
      </c>
      <c r="K162" s="2">
        <v>135</v>
      </c>
      <c r="L162" s="2">
        <v>1</v>
      </c>
      <c r="M162" s="2" t="s">
        <v>41</v>
      </c>
      <c r="N162" s="2">
        <v>7</v>
      </c>
      <c r="O162" s="2">
        <v>444.4</v>
      </c>
      <c r="P162" s="2">
        <f t="shared" si="10"/>
        <v>71</v>
      </c>
      <c r="Q162" s="4">
        <f t="shared" si="11"/>
        <v>0.47407407407407409</v>
      </c>
      <c r="R162" s="2" t="str">
        <f t="shared" si="12"/>
        <v>Inefficient</v>
      </c>
      <c r="S162" s="2" t="str">
        <f t="shared" si="13"/>
        <v>Very Long</v>
      </c>
      <c r="T162" s="2" t="str">
        <f t="shared" si="14"/>
        <v>Major Delay</v>
      </c>
    </row>
    <row r="163" spans="1:20" x14ac:dyDescent="0.35">
      <c r="A163" s="2" t="s">
        <v>454</v>
      </c>
      <c r="B163" s="2" t="s">
        <v>51</v>
      </c>
      <c r="C163" s="2" t="s">
        <v>455</v>
      </c>
      <c r="D163" s="2" t="s">
        <v>56</v>
      </c>
      <c r="E163" s="2" t="s">
        <v>33</v>
      </c>
      <c r="F163" s="2" t="s">
        <v>20</v>
      </c>
      <c r="G163" s="2" t="s">
        <v>456</v>
      </c>
      <c r="H163" s="3">
        <v>45448.806944444441</v>
      </c>
      <c r="I163" s="3">
        <v>45449</v>
      </c>
      <c r="J163" s="2">
        <v>162</v>
      </c>
      <c r="K163" s="2">
        <v>278</v>
      </c>
      <c r="L163" s="2">
        <v>1</v>
      </c>
      <c r="M163" s="2" t="s">
        <v>29</v>
      </c>
      <c r="N163" s="2">
        <v>7</v>
      </c>
      <c r="O163" s="2">
        <v>273.51</v>
      </c>
      <c r="P163" s="2">
        <f t="shared" si="10"/>
        <v>116</v>
      </c>
      <c r="Q163" s="4">
        <f t="shared" si="11"/>
        <v>0.58273381294964033</v>
      </c>
      <c r="R163" s="2" t="str">
        <f t="shared" si="12"/>
        <v>Inefficient</v>
      </c>
      <c r="S163" s="2" t="str">
        <f t="shared" si="13"/>
        <v>Very Long</v>
      </c>
      <c r="T163" s="2" t="str">
        <f t="shared" si="14"/>
        <v>Major Delay</v>
      </c>
    </row>
    <row r="164" spans="1:20" x14ac:dyDescent="0.35">
      <c r="A164" s="2" t="s">
        <v>457</v>
      </c>
      <c r="B164" s="2" t="s">
        <v>63</v>
      </c>
      <c r="C164" s="2" t="s">
        <v>458</v>
      </c>
      <c r="D164" s="2" t="s">
        <v>56</v>
      </c>
      <c r="E164" s="2" t="s">
        <v>19</v>
      </c>
      <c r="F164" s="2" t="s">
        <v>39</v>
      </c>
      <c r="G164" s="2" t="s">
        <v>459</v>
      </c>
      <c r="H164" s="3">
        <v>45347.974999999999</v>
      </c>
      <c r="I164" s="3">
        <v>45348.017361111109</v>
      </c>
      <c r="J164" s="2">
        <v>48</v>
      </c>
      <c r="K164" s="2">
        <v>61</v>
      </c>
      <c r="L164" s="2">
        <v>1</v>
      </c>
      <c r="M164" s="2" t="s">
        <v>29</v>
      </c>
      <c r="N164" s="2">
        <v>1</v>
      </c>
      <c r="O164" s="2">
        <v>55.58</v>
      </c>
      <c r="P164" s="2">
        <f t="shared" si="10"/>
        <v>13</v>
      </c>
      <c r="Q164" s="4">
        <f t="shared" si="11"/>
        <v>0.78688524590163933</v>
      </c>
      <c r="R164" s="2" t="str">
        <f t="shared" si="12"/>
        <v>Inefficient</v>
      </c>
      <c r="S164" s="2" t="str">
        <f t="shared" si="13"/>
        <v>Long</v>
      </c>
      <c r="T164" s="2" t="str">
        <f t="shared" si="14"/>
        <v>Minor Delay</v>
      </c>
    </row>
    <row r="165" spans="1:20" x14ac:dyDescent="0.35">
      <c r="A165" s="2" t="s">
        <v>460</v>
      </c>
      <c r="B165" s="2" t="s">
        <v>63</v>
      </c>
      <c r="C165" s="2" t="s">
        <v>461</v>
      </c>
      <c r="D165" s="2" t="s">
        <v>48</v>
      </c>
      <c r="E165" s="2" t="s">
        <v>19</v>
      </c>
      <c r="F165" s="2" t="s">
        <v>20</v>
      </c>
      <c r="G165" s="2" t="s">
        <v>462</v>
      </c>
      <c r="H165" s="3">
        <v>45576.054861111108</v>
      </c>
      <c r="I165" s="3">
        <v>45576.095833333333</v>
      </c>
      <c r="J165" s="2">
        <v>17</v>
      </c>
      <c r="K165" s="2">
        <v>59</v>
      </c>
      <c r="L165" s="2">
        <v>1</v>
      </c>
      <c r="M165" s="2" t="s">
        <v>41</v>
      </c>
      <c r="N165" s="2">
        <v>7</v>
      </c>
      <c r="O165" s="2">
        <v>371.13</v>
      </c>
      <c r="P165" s="2">
        <f t="shared" si="10"/>
        <v>42</v>
      </c>
      <c r="Q165" s="4">
        <f t="shared" si="11"/>
        <v>0.28813559322033899</v>
      </c>
      <c r="R165" s="2" t="str">
        <f t="shared" si="12"/>
        <v>Inefficient</v>
      </c>
      <c r="S165" s="2" t="str">
        <f t="shared" si="13"/>
        <v>Medium</v>
      </c>
      <c r="T165" s="2" t="str">
        <f t="shared" si="14"/>
        <v>Major Delay</v>
      </c>
    </row>
    <row r="166" spans="1:20" x14ac:dyDescent="0.35">
      <c r="A166" s="2" t="s">
        <v>463</v>
      </c>
      <c r="B166" s="2" t="s">
        <v>63</v>
      </c>
      <c r="C166" s="2" t="s">
        <v>464</v>
      </c>
      <c r="D166" s="2" t="s">
        <v>44</v>
      </c>
      <c r="E166" s="2" t="s">
        <v>85</v>
      </c>
      <c r="F166" s="2" t="s">
        <v>20</v>
      </c>
      <c r="G166" s="2" t="s">
        <v>465</v>
      </c>
      <c r="H166" s="3">
        <v>45458.813888888886</v>
      </c>
      <c r="I166" s="3">
        <v>45458.921527777777</v>
      </c>
      <c r="J166" s="2">
        <v>108</v>
      </c>
      <c r="K166" s="2">
        <v>155</v>
      </c>
      <c r="L166" s="2">
        <v>1</v>
      </c>
      <c r="M166" s="2" t="s">
        <v>41</v>
      </c>
      <c r="N166" s="2">
        <v>1</v>
      </c>
      <c r="O166" s="2">
        <v>288.11</v>
      </c>
      <c r="P166" s="2">
        <f t="shared" si="10"/>
        <v>47</v>
      </c>
      <c r="Q166" s="4">
        <f t="shared" si="11"/>
        <v>0.6967741935483871</v>
      </c>
      <c r="R166" s="2" t="str">
        <f t="shared" si="12"/>
        <v>Inefficient</v>
      </c>
      <c r="S166" s="2" t="str">
        <f t="shared" si="13"/>
        <v>Very Long</v>
      </c>
      <c r="T166" s="2" t="str">
        <f t="shared" si="14"/>
        <v>Major Delay</v>
      </c>
    </row>
    <row r="167" spans="1:20" x14ac:dyDescent="0.35">
      <c r="A167" s="2" t="s">
        <v>466</v>
      </c>
      <c r="B167" s="2" t="s">
        <v>16</v>
      </c>
      <c r="C167" s="2" t="s">
        <v>467</v>
      </c>
      <c r="D167" s="2" t="s">
        <v>44</v>
      </c>
      <c r="E167" s="2" t="s">
        <v>85</v>
      </c>
      <c r="F167" s="2" t="s">
        <v>34</v>
      </c>
      <c r="G167" s="2" t="s">
        <v>204</v>
      </c>
      <c r="H167" s="3">
        <v>45362.080555555556</v>
      </c>
      <c r="I167" s="3">
        <v>45362.267361111109</v>
      </c>
      <c r="J167" s="2">
        <v>201</v>
      </c>
      <c r="K167" s="2">
        <v>269</v>
      </c>
      <c r="L167" s="2">
        <v>1</v>
      </c>
      <c r="M167" s="2" t="s">
        <v>29</v>
      </c>
      <c r="N167" s="2">
        <v>3</v>
      </c>
      <c r="O167" s="2">
        <v>329.26</v>
      </c>
      <c r="P167" s="2">
        <f t="shared" si="10"/>
        <v>68</v>
      </c>
      <c r="Q167" s="4">
        <f t="shared" si="11"/>
        <v>0.74721189591078063</v>
      </c>
      <c r="R167" s="2" t="str">
        <f t="shared" si="12"/>
        <v>Inefficient</v>
      </c>
      <c r="S167" s="2" t="str">
        <f t="shared" si="13"/>
        <v>Very Long</v>
      </c>
      <c r="T167" s="2" t="str">
        <f t="shared" si="14"/>
        <v>Major Delay</v>
      </c>
    </row>
    <row r="168" spans="1:20" x14ac:dyDescent="0.35">
      <c r="A168" s="2" t="s">
        <v>468</v>
      </c>
      <c r="B168" s="2" t="s">
        <v>24</v>
      </c>
      <c r="C168" s="2" t="s">
        <v>469</v>
      </c>
      <c r="D168" s="2" t="s">
        <v>56</v>
      </c>
      <c r="E168" s="2" t="s">
        <v>33</v>
      </c>
      <c r="F168" s="2" t="s">
        <v>20</v>
      </c>
      <c r="G168" s="2" t="s">
        <v>470</v>
      </c>
      <c r="H168" s="3">
        <v>45307.78125</v>
      </c>
      <c r="I168" s="3">
        <v>45307.896527777775</v>
      </c>
      <c r="J168" s="2">
        <v>141</v>
      </c>
      <c r="K168" s="2">
        <v>166</v>
      </c>
      <c r="L168" s="2">
        <v>1</v>
      </c>
      <c r="M168" s="2" t="s">
        <v>29</v>
      </c>
      <c r="N168" s="2">
        <v>3</v>
      </c>
      <c r="O168" s="2">
        <v>481.28</v>
      </c>
      <c r="P168" s="2">
        <f t="shared" si="10"/>
        <v>25</v>
      </c>
      <c r="Q168" s="4">
        <f t="shared" si="11"/>
        <v>0.8493975903614458</v>
      </c>
      <c r="R168" s="2" t="str">
        <f t="shared" si="12"/>
        <v>Inefficient</v>
      </c>
      <c r="S168" s="2" t="str">
        <f t="shared" si="13"/>
        <v>Very Long</v>
      </c>
      <c r="T168" s="2" t="str">
        <f t="shared" si="14"/>
        <v>Minor Delay</v>
      </c>
    </row>
    <row r="169" spans="1:20" x14ac:dyDescent="0.35">
      <c r="A169" s="2" t="s">
        <v>471</v>
      </c>
      <c r="B169" s="2" t="s">
        <v>51</v>
      </c>
      <c r="C169" s="2" t="s">
        <v>472</v>
      </c>
      <c r="D169" s="2" t="s">
        <v>48</v>
      </c>
      <c r="E169" s="2" t="s">
        <v>33</v>
      </c>
      <c r="F169" s="2" t="s">
        <v>27</v>
      </c>
      <c r="G169" s="2" t="s">
        <v>473</v>
      </c>
      <c r="H169" s="3">
        <v>45596.49722222222</v>
      </c>
      <c r="I169" s="3">
        <v>45596.568749999999</v>
      </c>
      <c r="J169" s="2">
        <v>95</v>
      </c>
      <c r="K169" s="2">
        <v>103</v>
      </c>
      <c r="L169" s="2">
        <v>1</v>
      </c>
      <c r="M169" s="2" t="s">
        <v>29</v>
      </c>
      <c r="N169" s="2">
        <v>4</v>
      </c>
      <c r="O169" s="2">
        <v>495.69</v>
      </c>
      <c r="P169" s="2">
        <f t="shared" si="10"/>
        <v>8</v>
      </c>
      <c r="Q169" s="4">
        <f t="shared" si="11"/>
        <v>0.92233009708737868</v>
      </c>
      <c r="R169" s="2" t="str">
        <f t="shared" si="12"/>
        <v>Inefficient</v>
      </c>
      <c r="S169" s="2" t="str">
        <f t="shared" si="13"/>
        <v>Long</v>
      </c>
      <c r="T169" s="2" t="str">
        <f t="shared" si="14"/>
        <v>Minor Delay</v>
      </c>
    </row>
    <row r="170" spans="1:20" x14ac:dyDescent="0.35">
      <c r="A170" s="2" t="s">
        <v>474</v>
      </c>
      <c r="B170" s="2" t="s">
        <v>24</v>
      </c>
      <c r="C170" s="2" t="s">
        <v>475</v>
      </c>
      <c r="D170" s="2" t="s">
        <v>44</v>
      </c>
      <c r="E170" s="2" t="s">
        <v>33</v>
      </c>
      <c r="F170" s="2" t="s">
        <v>27</v>
      </c>
      <c r="G170" s="2" t="s">
        <v>476</v>
      </c>
      <c r="H170" s="3">
        <v>45400.683333333334</v>
      </c>
      <c r="I170" s="3">
        <v>45400.790277777778</v>
      </c>
      <c r="J170" s="2">
        <v>159</v>
      </c>
      <c r="K170" s="2">
        <v>154</v>
      </c>
      <c r="L170" s="2">
        <v>0</v>
      </c>
      <c r="M170" s="2" t="s">
        <v>41</v>
      </c>
      <c r="N170" s="2">
        <v>8</v>
      </c>
      <c r="O170" s="2">
        <v>285.58</v>
      </c>
      <c r="P170" s="2">
        <f t="shared" si="10"/>
        <v>-5</v>
      </c>
      <c r="Q170" s="4">
        <f t="shared" si="11"/>
        <v>1.0324675324675325</v>
      </c>
      <c r="R170" s="2" t="str">
        <f t="shared" si="12"/>
        <v>Efficient</v>
      </c>
      <c r="S170" s="2" t="str">
        <f t="shared" si="13"/>
        <v>Very Long</v>
      </c>
      <c r="T170" s="2" t="str">
        <f t="shared" si="14"/>
        <v>On Time</v>
      </c>
    </row>
    <row r="171" spans="1:20" x14ac:dyDescent="0.35">
      <c r="A171" s="2" t="s">
        <v>477</v>
      </c>
      <c r="B171" s="2" t="s">
        <v>63</v>
      </c>
      <c r="C171" s="2" t="s">
        <v>478</v>
      </c>
      <c r="D171" s="2" t="s">
        <v>48</v>
      </c>
      <c r="E171" s="2" t="s">
        <v>85</v>
      </c>
      <c r="F171" s="2" t="s">
        <v>39</v>
      </c>
      <c r="G171" s="2" t="s">
        <v>73</v>
      </c>
      <c r="H171" s="3">
        <v>45441.058333333334</v>
      </c>
      <c r="I171" s="3">
        <v>45441.300694444442</v>
      </c>
      <c r="J171" s="2">
        <v>238</v>
      </c>
      <c r="K171" s="2">
        <v>349</v>
      </c>
      <c r="L171" s="2">
        <v>1</v>
      </c>
      <c r="M171" s="2" t="s">
        <v>29</v>
      </c>
      <c r="N171" s="2">
        <v>7</v>
      </c>
      <c r="O171" s="2">
        <v>177.94</v>
      </c>
      <c r="P171" s="2">
        <f t="shared" si="10"/>
        <v>111</v>
      </c>
      <c r="Q171" s="4">
        <f t="shared" si="11"/>
        <v>0.68194842406876788</v>
      </c>
      <c r="R171" s="2" t="str">
        <f t="shared" si="12"/>
        <v>Inefficient</v>
      </c>
      <c r="S171" s="2" t="str">
        <f t="shared" si="13"/>
        <v>Very Long</v>
      </c>
      <c r="T171" s="2" t="str">
        <f t="shared" si="14"/>
        <v>Major Delay</v>
      </c>
    </row>
    <row r="172" spans="1:20" x14ac:dyDescent="0.35">
      <c r="A172" s="2" t="s">
        <v>479</v>
      </c>
      <c r="B172" s="2" t="s">
        <v>63</v>
      </c>
      <c r="C172" s="2" t="s">
        <v>480</v>
      </c>
      <c r="D172" s="2" t="s">
        <v>44</v>
      </c>
      <c r="E172" s="2" t="s">
        <v>19</v>
      </c>
      <c r="F172" s="2" t="s">
        <v>34</v>
      </c>
      <c r="G172" s="2" t="s">
        <v>94</v>
      </c>
      <c r="H172" s="3">
        <v>45387.675694444442</v>
      </c>
      <c r="I172" s="3">
        <v>45387.815972222219</v>
      </c>
      <c r="J172" s="2">
        <v>117</v>
      </c>
      <c r="K172" s="2">
        <v>202</v>
      </c>
      <c r="L172" s="2">
        <v>1</v>
      </c>
      <c r="M172" s="2" t="s">
        <v>29</v>
      </c>
      <c r="N172" s="2">
        <v>1</v>
      </c>
      <c r="O172" s="2">
        <v>188.28</v>
      </c>
      <c r="P172" s="2">
        <f t="shared" si="10"/>
        <v>85</v>
      </c>
      <c r="Q172" s="4">
        <f t="shared" si="11"/>
        <v>0.57920792079207917</v>
      </c>
      <c r="R172" s="2" t="str">
        <f t="shared" si="12"/>
        <v>Inefficient</v>
      </c>
      <c r="S172" s="2" t="str">
        <f t="shared" si="13"/>
        <v>Very Long</v>
      </c>
      <c r="T172" s="2" t="str">
        <f t="shared" si="14"/>
        <v>Major Delay</v>
      </c>
    </row>
    <row r="173" spans="1:20" x14ac:dyDescent="0.35">
      <c r="A173" s="2" t="s">
        <v>481</v>
      </c>
      <c r="B173" s="2" t="s">
        <v>63</v>
      </c>
      <c r="C173" s="2" t="s">
        <v>482</v>
      </c>
      <c r="D173" s="2" t="s">
        <v>48</v>
      </c>
      <c r="E173" s="2" t="s">
        <v>38</v>
      </c>
      <c r="F173" s="2" t="s">
        <v>27</v>
      </c>
      <c r="G173" s="2" t="s">
        <v>293</v>
      </c>
      <c r="H173" s="3">
        <v>45547.511805555558</v>
      </c>
      <c r="I173" s="3">
        <v>45547.576388888891</v>
      </c>
      <c r="J173" s="2">
        <v>75</v>
      </c>
      <c r="K173" s="2">
        <v>93</v>
      </c>
      <c r="L173" s="2">
        <v>1</v>
      </c>
      <c r="M173" s="2" t="s">
        <v>41</v>
      </c>
      <c r="N173" s="2">
        <v>8</v>
      </c>
      <c r="O173" s="2">
        <v>314.64</v>
      </c>
      <c r="P173" s="2">
        <f t="shared" si="10"/>
        <v>18</v>
      </c>
      <c r="Q173" s="4">
        <f t="shared" si="11"/>
        <v>0.80645161290322576</v>
      </c>
      <c r="R173" s="2" t="str">
        <f t="shared" si="12"/>
        <v>Inefficient</v>
      </c>
      <c r="S173" s="2" t="str">
        <f t="shared" si="13"/>
        <v>Long</v>
      </c>
      <c r="T173" s="2" t="str">
        <f t="shared" si="14"/>
        <v>Minor Delay</v>
      </c>
    </row>
    <row r="174" spans="1:20" x14ac:dyDescent="0.35">
      <c r="A174" s="2" t="s">
        <v>483</v>
      </c>
      <c r="B174" s="2" t="s">
        <v>63</v>
      </c>
      <c r="C174" s="2" t="s">
        <v>484</v>
      </c>
      <c r="D174" s="2" t="s">
        <v>56</v>
      </c>
      <c r="E174" s="2" t="s">
        <v>33</v>
      </c>
      <c r="F174" s="2" t="s">
        <v>39</v>
      </c>
      <c r="G174" s="2" t="s">
        <v>485</v>
      </c>
      <c r="H174" s="3">
        <v>45636.513888888891</v>
      </c>
      <c r="I174" s="3">
        <v>45636.602777777778</v>
      </c>
      <c r="J174" s="2">
        <v>61</v>
      </c>
      <c r="K174" s="2">
        <v>128</v>
      </c>
      <c r="L174" s="2">
        <v>1</v>
      </c>
      <c r="M174" s="2" t="s">
        <v>41</v>
      </c>
      <c r="N174" s="2">
        <v>2</v>
      </c>
      <c r="O174" s="2">
        <v>403.15</v>
      </c>
      <c r="P174" s="2">
        <f t="shared" si="10"/>
        <v>67</v>
      </c>
      <c r="Q174" s="4">
        <f t="shared" si="11"/>
        <v>0.4765625</v>
      </c>
      <c r="R174" s="2" t="str">
        <f t="shared" si="12"/>
        <v>Inefficient</v>
      </c>
      <c r="S174" s="2" t="str">
        <f t="shared" si="13"/>
        <v>Very Long</v>
      </c>
      <c r="T174" s="2" t="str">
        <f t="shared" si="14"/>
        <v>Major Delay</v>
      </c>
    </row>
    <row r="175" spans="1:20" x14ac:dyDescent="0.35">
      <c r="A175" s="2" t="s">
        <v>486</v>
      </c>
      <c r="B175" s="2" t="s">
        <v>51</v>
      </c>
      <c r="C175" s="2" t="s">
        <v>487</v>
      </c>
      <c r="D175" s="2" t="s">
        <v>18</v>
      </c>
      <c r="E175" s="2" t="s">
        <v>33</v>
      </c>
      <c r="F175" s="2" t="s">
        <v>57</v>
      </c>
      <c r="G175" s="2" t="s">
        <v>94</v>
      </c>
      <c r="H175" s="3">
        <v>45573.981944444444</v>
      </c>
      <c r="I175" s="3">
        <v>45574.154166666667</v>
      </c>
      <c r="J175" s="2">
        <v>155</v>
      </c>
      <c r="K175" s="2">
        <v>248</v>
      </c>
      <c r="L175" s="2">
        <v>1</v>
      </c>
      <c r="M175" s="2" t="s">
        <v>29</v>
      </c>
      <c r="N175" s="2">
        <v>8</v>
      </c>
      <c r="O175" s="2">
        <v>87.14</v>
      </c>
      <c r="P175" s="2">
        <f t="shared" si="10"/>
        <v>93</v>
      </c>
      <c r="Q175" s="4">
        <f t="shared" si="11"/>
        <v>0.625</v>
      </c>
      <c r="R175" s="2" t="str">
        <f t="shared" si="12"/>
        <v>Inefficient</v>
      </c>
      <c r="S175" s="2" t="str">
        <f t="shared" si="13"/>
        <v>Very Long</v>
      </c>
      <c r="T175" s="2" t="str">
        <f t="shared" si="14"/>
        <v>Major Delay</v>
      </c>
    </row>
    <row r="176" spans="1:20" x14ac:dyDescent="0.35">
      <c r="A176" s="2" t="s">
        <v>488</v>
      </c>
      <c r="B176" s="2" t="s">
        <v>63</v>
      </c>
      <c r="C176" s="2" t="s">
        <v>489</v>
      </c>
      <c r="D176" s="2" t="s">
        <v>18</v>
      </c>
      <c r="E176" s="2" t="s">
        <v>33</v>
      </c>
      <c r="F176" s="2" t="s">
        <v>39</v>
      </c>
      <c r="G176" s="2" t="s">
        <v>126</v>
      </c>
      <c r="H176" s="3">
        <v>45374.927083333336</v>
      </c>
      <c r="I176" s="3">
        <v>45374.945833333331</v>
      </c>
      <c r="J176" s="2">
        <v>29</v>
      </c>
      <c r="K176" s="2">
        <v>27</v>
      </c>
      <c r="L176" s="2">
        <v>0</v>
      </c>
      <c r="M176" s="2" t="s">
        <v>41</v>
      </c>
      <c r="N176" s="2">
        <v>10</v>
      </c>
      <c r="O176" s="2">
        <v>80.58</v>
      </c>
      <c r="P176" s="2">
        <f t="shared" si="10"/>
        <v>-2</v>
      </c>
      <c r="Q176" s="4">
        <f t="shared" si="11"/>
        <v>1.0740740740740742</v>
      </c>
      <c r="R176" s="2" t="str">
        <f t="shared" si="12"/>
        <v>Efficient</v>
      </c>
      <c r="S176" s="2" t="str">
        <f t="shared" si="13"/>
        <v>Short</v>
      </c>
      <c r="T176" s="2" t="str">
        <f t="shared" si="14"/>
        <v>On Time</v>
      </c>
    </row>
    <row r="177" spans="1:20" x14ac:dyDescent="0.35">
      <c r="A177" s="2" t="s">
        <v>490</v>
      </c>
      <c r="B177" s="2" t="s">
        <v>24</v>
      </c>
      <c r="C177" s="2" t="s">
        <v>491</v>
      </c>
      <c r="D177" s="2" t="s">
        <v>26</v>
      </c>
      <c r="E177" s="2" t="s">
        <v>85</v>
      </c>
      <c r="F177" s="2" t="s">
        <v>27</v>
      </c>
      <c r="G177" s="2" t="s">
        <v>158</v>
      </c>
      <c r="H177" s="3">
        <v>45557.27847222222</v>
      </c>
      <c r="I177" s="3">
        <v>45557.463888888888</v>
      </c>
      <c r="J177" s="2">
        <v>151</v>
      </c>
      <c r="K177" s="2">
        <v>267</v>
      </c>
      <c r="L177" s="2">
        <v>1</v>
      </c>
      <c r="M177" s="2" t="s">
        <v>29</v>
      </c>
      <c r="N177" s="2">
        <v>4</v>
      </c>
      <c r="O177" s="2">
        <v>285.13</v>
      </c>
      <c r="P177" s="2">
        <f t="shared" si="10"/>
        <v>116</v>
      </c>
      <c r="Q177" s="4">
        <f t="shared" si="11"/>
        <v>0.56554307116104874</v>
      </c>
      <c r="R177" s="2" t="str">
        <f t="shared" si="12"/>
        <v>Inefficient</v>
      </c>
      <c r="S177" s="2" t="str">
        <f t="shared" si="13"/>
        <v>Very Long</v>
      </c>
      <c r="T177" s="2" t="str">
        <f t="shared" si="14"/>
        <v>Major Delay</v>
      </c>
    </row>
    <row r="178" spans="1:20" x14ac:dyDescent="0.35">
      <c r="A178" s="2" t="s">
        <v>492</v>
      </c>
      <c r="B178" s="2" t="s">
        <v>16</v>
      </c>
      <c r="C178" s="2" t="s">
        <v>493</v>
      </c>
      <c r="D178" s="2" t="s">
        <v>18</v>
      </c>
      <c r="E178" s="2" t="s">
        <v>19</v>
      </c>
      <c r="F178" s="2" t="s">
        <v>57</v>
      </c>
      <c r="G178" s="2" t="s">
        <v>129</v>
      </c>
      <c r="H178" s="3">
        <v>45431.630555555559</v>
      </c>
      <c r="I178" s="3">
        <v>45431.681944444441</v>
      </c>
      <c r="J178" s="2">
        <v>55</v>
      </c>
      <c r="K178" s="2">
        <v>74</v>
      </c>
      <c r="L178" s="2">
        <v>1</v>
      </c>
      <c r="M178" s="2" t="s">
        <v>29</v>
      </c>
      <c r="N178" s="2">
        <v>9</v>
      </c>
      <c r="O178" s="2">
        <v>189.56</v>
      </c>
      <c r="P178" s="2">
        <f t="shared" si="10"/>
        <v>19</v>
      </c>
      <c r="Q178" s="4">
        <f t="shared" si="11"/>
        <v>0.7432432432432432</v>
      </c>
      <c r="R178" s="2" t="str">
        <f t="shared" si="12"/>
        <v>Inefficient</v>
      </c>
      <c r="S178" s="2" t="str">
        <f t="shared" si="13"/>
        <v>Long</v>
      </c>
      <c r="T178" s="2" t="str">
        <f t="shared" si="14"/>
        <v>Minor Delay</v>
      </c>
    </row>
    <row r="179" spans="1:20" x14ac:dyDescent="0.35">
      <c r="A179" s="2" t="s">
        <v>494</v>
      </c>
      <c r="B179" s="2" t="s">
        <v>16</v>
      </c>
      <c r="C179" s="2" t="s">
        <v>495</v>
      </c>
      <c r="D179" s="2" t="s">
        <v>48</v>
      </c>
      <c r="E179" s="2" t="s">
        <v>38</v>
      </c>
      <c r="F179" s="2" t="s">
        <v>57</v>
      </c>
      <c r="G179" s="2" t="s">
        <v>383</v>
      </c>
      <c r="H179" s="3">
        <v>45568.258333333331</v>
      </c>
      <c r="I179" s="3">
        <v>45568.277083333334</v>
      </c>
      <c r="J179" s="2">
        <v>21</v>
      </c>
      <c r="K179" s="2">
        <v>27</v>
      </c>
      <c r="L179" s="2">
        <v>1</v>
      </c>
      <c r="M179" s="2" t="s">
        <v>22</v>
      </c>
      <c r="N179" s="2">
        <v>1</v>
      </c>
      <c r="O179" s="2">
        <v>189.85</v>
      </c>
      <c r="P179" s="2">
        <f t="shared" si="10"/>
        <v>6</v>
      </c>
      <c r="Q179" s="4">
        <f t="shared" si="11"/>
        <v>0.77777777777777779</v>
      </c>
      <c r="R179" s="2" t="str">
        <f t="shared" si="12"/>
        <v>Inefficient</v>
      </c>
      <c r="S179" s="2" t="str">
        <f t="shared" si="13"/>
        <v>Short</v>
      </c>
      <c r="T179" s="2" t="str">
        <f t="shared" si="14"/>
        <v>Minor Delay</v>
      </c>
    </row>
    <row r="180" spans="1:20" x14ac:dyDescent="0.35">
      <c r="A180" s="2" t="s">
        <v>496</v>
      </c>
      <c r="B180" s="2" t="s">
        <v>16</v>
      </c>
      <c r="C180" s="2" t="s">
        <v>497</v>
      </c>
      <c r="D180" s="2" t="s">
        <v>56</v>
      </c>
      <c r="E180" s="2" t="s">
        <v>85</v>
      </c>
      <c r="F180" s="2" t="s">
        <v>39</v>
      </c>
      <c r="G180" s="2" t="s">
        <v>251</v>
      </c>
      <c r="H180" s="3">
        <v>45369.887499999997</v>
      </c>
      <c r="I180" s="3">
        <v>45370.071527777778</v>
      </c>
      <c r="J180" s="2">
        <v>197</v>
      </c>
      <c r="K180" s="2">
        <v>265</v>
      </c>
      <c r="L180" s="2">
        <v>1</v>
      </c>
      <c r="M180" s="2" t="s">
        <v>22</v>
      </c>
      <c r="N180" s="2">
        <v>1</v>
      </c>
      <c r="O180" s="2">
        <v>479.16</v>
      </c>
      <c r="P180" s="2">
        <f t="shared" si="10"/>
        <v>68</v>
      </c>
      <c r="Q180" s="4">
        <f t="shared" si="11"/>
        <v>0.74339622641509429</v>
      </c>
      <c r="R180" s="2" t="str">
        <f t="shared" si="12"/>
        <v>Inefficient</v>
      </c>
      <c r="S180" s="2" t="str">
        <f t="shared" si="13"/>
        <v>Very Long</v>
      </c>
      <c r="T180" s="2" t="str">
        <f t="shared" si="14"/>
        <v>Major Delay</v>
      </c>
    </row>
    <row r="181" spans="1:20" x14ac:dyDescent="0.35">
      <c r="A181" s="2" t="s">
        <v>498</v>
      </c>
      <c r="B181" s="2" t="s">
        <v>63</v>
      </c>
      <c r="C181" s="2" t="s">
        <v>499</v>
      </c>
      <c r="D181" s="2" t="s">
        <v>56</v>
      </c>
      <c r="E181" s="2" t="s">
        <v>38</v>
      </c>
      <c r="F181" s="2" t="s">
        <v>34</v>
      </c>
      <c r="G181" s="2" t="s">
        <v>500</v>
      </c>
      <c r="H181" s="3">
        <v>45544.259027777778</v>
      </c>
      <c r="I181" s="3">
        <v>45544.425694444442</v>
      </c>
      <c r="J181" s="2">
        <v>213</v>
      </c>
      <c r="K181" s="2">
        <v>240</v>
      </c>
      <c r="L181" s="2">
        <v>1</v>
      </c>
      <c r="M181" s="2" t="s">
        <v>29</v>
      </c>
      <c r="N181" s="2">
        <v>7</v>
      </c>
      <c r="O181" s="2">
        <v>124.97</v>
      </c>
      <c r="P181" s="2">
        <f t="shared" si="10"/>
        <v>27</v>
      </c>
      <c r="Q181" s="4">
        <f t="shared" si="11"/>
        <v>0.88749999999999996</v>
      </c>
      <c r="R181" s="2" t="str">
        <f t="shared" si="12"/>
        <v>Inefficient</v>
      </c>
      <c r="S181" s="2" t="str">
        <f t="shared" si="13"/>
        <v>Very Long</v>
      </c>
      <c r="T181" s="2" t="str">
        <f t="shared" si="14"/>
        <v>Minor Delay</v>
      </c>
    </row>
    <row r="182" spans="1:20" x14ac:dyDescent="0.35">
      <c r="A182" s="2" t="s">
        <v>501</v>
      </c>
      <c r="B182" s="2" t="s">
        <v>51</v>
      </c>
      <c r="C182" s="2" t="s">
        <v>502</v>
      </c>
      <c r="D182" s="2" t="s">
        <v>18</v>
      </c>
      <c r="E182" s="2" t="s">
        <v>85</v>
      </c>
      <c r="F182" s="2" t="s">
        <v>20</v>
      </c>
      <c r="G182" s="2" t="s">
        <v>330</v>
      </c>
      <c r="H182" s="3">
        <v>45588.663194444445</v>
      </c>
      <c r="I182" s="3">
        <v>45588.798611111109</v>
      </c>
      <c r="J182" s="2">
        <v>105</v>
      </c>
      <c r="K182" s="2">
        <v>195</v>
      </c>
      <c r="L182" s="2">
        <v>1</v>
      </c>
      <c r="M182" s="2" t="s">
        <v>41</v>
      </c>
      <c r="N182" s="2">
        <v>5</v>
      </c>
      <c r="O182" s="2">
        <v>105.18</v>
      </c>
      <c r="P182" s="2">
        <f t="shared" si="10"/>
        <v>90</v>
      </c>
      <c r="Q182" s="4">
        <f t="shared" si="11"/>
        <v>0.53846153846153844</v>
      </c>
      <c r="R182" s="2" t="str">
        <f t="shared" si="12"/>
        <v>Inefficient</v>
      </c>
      <c r="S182" s="2" t="str">
        <f t="shared" si="13"/>
        <v>Very Long</v>
      </c>
      <c r="T182" s="2" t="str">
        <f t="shared" si="14"/>
        <v>Major Delay</v>
      </c>
    </row>
    <row r="183" spans="1:20" x14ac:dyDescent="0.35">
      <c r="A183" s="2" t="s">
        <v>503</v>
      </c>
      <c r="B183" s="2" t="s">
        <v>24</v>
      </c>
      <c r="C183" s="2" t="s">
        <v>504</v>
      </c>
      <c r="D183" s="2" t="s">
        <v>56</v>
      </c>
      <c r="E183" s="2" t="s">
        <v>19</v>
      </c>
      <c r="F183" s="2" t="s">
        <v>20</v>
      </c>
      <c r="G183" s="2" t="s">
        <v>505</v>
      </c>
      <c r="H183" s="3">
        <v>45498.116666666669</v>
      </c>
      <c r="I183" s="3">
        <v>45498.269444444442</v>
      </c>
      <c r="J183" s="2">
        <v>127</v>
      </c>
      <c r="K183" s="2">
        <v>220</v>
      </c>
      <c r="L183" s="2">
        <v>1</v>
      </c>
      <c r="M183" s="2" t="s">
        <v>22</v>
      </c>
      <c r="N183" s="2">
        <v>10</v>
      </c>
      <c r="O183" s="2">
        <v>279.64</v>
      </c>
      <c r="P183" s="2">
        <f t="shared" si="10"/>
        <v>93</v>
      </c>
      <c r="Q183" s="4">
        <f t="shared" si="11"/>
        <v>0.57727272727272727</v>
      </c>
      <c r="R183" s="2" t="str">
        <f t="shared" si="12"/>
        <v>Inefficient</v>
      </c>
      <c r="S183" s="2" t="str">
        <f t="shared" si="13"/>
        <v>Very Long</v>
      </c>
      <c r="T183" s="2" t="str">
        <f t="shared" si="14"/>
        <v>Major Delay</v>
      </c>
    </row>
    <row r="184" spans="1:20" x14ac:dyDescent="0.35">
      <c r="A184" s="2" t="s">
        <v>506</v>
      </c>
      <c r="B184" s="2" t="s">
        <v>63</v>
      </c>
      <c r="C184" s="2" t="s">
        <v>507</v>
      </c>
      <c r="D184" s="2" t="s">
        <v>44</v>
      </c>
      <c r="E184" s="2" t="s">
        <v>19</v>
      </c>
      <c r="F184" s="2" t="s">
        <v>34</v>
      </c>
      <c r="G184" s="2" t="s">
        <v>473</v>
      </c>
      <c r="H184" s="3">
        <v>45478.882638888892</v>
      </c>
      <c r="I184" s="3">
        <v>45478.981944444444</v>
      </c>
      <c r="J184" s="2">
        <v>125</v>
      </c>
      <c r="K184" s="2">
        <v>143</v>
      </c>
      <c r="L184" s="2">
        <v>1</v>
      </c>
      <c r="M184" s="2" t="s">
        <v>41</v>
      </c>
      <c r="N184" s="2">
        <v>7</v>
      </c>
      <c r="O184" s="2">
        <v>157.05000000000001</v>
      </c>
      <c r="P184" s="2">
        <f t="shared" si="10"/>
        <v>18</v>
      </c>
      <c r="Q184" s="4">
        <f t="shared" si="11"/>
        <v>0.87412587412587417</v>
      </c>
      <c r="R184" s="2" t="str">
        <f t="shared" si="12"/>
        <v>Inefficient</v>
      </c>
      <c r="S184" s="2" t="str">
        <f t="shared" si="13"/>
        <v>Very Long</v>
      </c>
      <c r="T184" s="2" t="str">
        <f t="shared" si="14"/>
        <v>Minor Delay</v>
      </c>
    </row>
    <row r="185" spans="1:20" x14ac:dyDescent="0.35">
      <c r="A185" s="2" t="s">
        <v>508</v>
      </c>
      <c r="B185" s="2" t="s">
        <v>63</v>
      </c>
      <c r="C185" s="2" t="s">
        <v>509</v>
      </c>
      <c r="D185" s="2" t="s">
        <v>44</v>
      </c>
      <c r="E185" s="2" t="s">
        <v>38</v>
      </c>
      <c r="F185" s="2" t="s">
        <v>27</v>
      </c>
      <c r="G185" s="2" t="s">
        <v>170</v>
      </c>
      <c r="H185" s="3">
        <v>45323.927777777775</v>
      </c>
      <c r="I185" s="3">
        <v>45324.086805555555</v>
      </c>
      <c r="J185" s="2">
        <v>119</v>
      </c>
      <c r="K185" s="2">
        <v>229</v>
      </c>
      <c r="L185" s="2">
        <v>1</v>
      </c>
      <c r="M185" s="2" t="s">
        <v>29</v>
      </c>
      <c r="N185" s="2">
        <v>7</v>
      </c>
      <c r="O185" s="2">
        <v>58.47</v>
      </c>
      <c r="P185" s="2">
        <f t="shared" si="10"/>
        <v>110</v>
      </c>
      <c r="Q185" s="4">
        <f t="shared" si="11"/>
        <v>0.51965065502183405</v>
      </c>
      <c r="R185" s="2" t="str">
        <f t="shared" si="12"/>
        <v>Inefficient</v>
      </c>
      <c r="S185" s="2" t="str">
        <f t="shared" si="13"/>
        <v>Very Long</v>
      </c>
      <c r="T185" s="2" t="str">
        <f t="shared" si="14"/>
        <v>Major Delay</v>
      </c>
    </row>
    <row r="186" spans="1:20" x14ac:dyDescent="0.35">
      <c r="A186" s="2" t="s">
        <v>510</v>
      </c>
      <c r="B186" s="2" t="s">
        <v>63</v>
      </c>
      <c r="C186" s="2" t="s">
        <v>511</v>
      </c>
      <c r="D186" s="2" t="s">
        <v>26</v>
      </c>
      <c r="E186" s="2" t="s">
        <v>19</v>
      </c>
      <c r="F186" s="2" t="s">
        <v>57</v>
      </c>
      <c r="G186" s="2" t="s">
        <v>512</v>
      </c>
      <c r="H186" s="3">
        <v>45527.292361111111</v>
      </c>
      <c r="I186" s="3">
        <v>45527.395138888889</v>
      </c>
      <c r="J186" s="2">
        <v>153</v>
      </c>
      <c r="K186" s="2">
        <v>148</v>
      </c>
      <c r="L186" s="2">
        <v>0</v>
      </c>
      <c r="M186" s="2" t="s">
        <v>29</v>
      </c>
      <c r="N186" s="2">
        <v>9</v>
      </c>
      <c r="O186" s="2">
        <v>442.49</v>
      </c>
      <c r="P186" s="2">
        <f t="shared" si="10"/>
        <v>-5</v>
      </c>
      <c r="Q186" s="4">
        <f t="shared" si="11"/>
        <v>1.0337837837837838</v>
      </c>
      <c r="R186" s="2" t="str">
        <f t="shared" si="12"/>
        <v>Efficient</v>
      </c>
      <c r="S186" s="2" t="str">
        <f t="shared" si="13"/>
        <v>Very Long</v>
      </c>
      <c r="T186" s="2" t="str">
        <f t="shared" si="14"/>
        <v>On Time</v>
      </c>
    </row>
    <row r="187" spans="1:20" x14ac:dyDescent="0.35">
      <c r="A187" s="2" t="s">
        <v>513</v>
      </c>
      <c r="B187" s="2" t="s">
        <v>16</v>
      </c>
      <c r="C187" s="2" t="s">
        <v>514</v>
      </c>
      <c r="D187" s="2" t="s">
        <v>26</v>
      </c>
      <c r="E187" s="2" t="s">
        <v>33</v>
      </c>
      <c r="F187" s="2" t="s">
        <v>34</v>
      </c>
      <c r="G187" s="2" t="s">
        <v>262</v>
      </c>
      <c r="H187" s="3">
        <v>45631.125694444447</v>
      </c>
      <c r="I187" s="3">
        <v>45631.231249999997</v>
      </c>
      <c r="J187" s="2">
        <v>112</v>
      </c>
      <c r="K187" s="2">
        <v>152</v>
      </c>
      <c r="L187" s="2">
        <v>1</v>
      </c>
      <c r="M187" s="2" t="s">
        <v>29</v>
      </c>
      <c r="N187" s="2">
        <v>10</v>
      </c>
      <c r="O187" s="2">
        <v>235</v>
      </c>
      <c r="P187" s="2">
        <f t="shared" si="10"/>
        <v>40</v>
      </c>
      <c r="Q187" s="4">
        <f t="shared" si="11"/>
        <v>0.73684210526315785</v>
      </c>
      <c r="R187" s="2" t="str">
        <f t="shared" si="12"/>
        <v>Inefficient</v>
      </c>
      <c r="S187" s="2" t="str">
        <f t="shared" si="13"/>
        <v>Very Long</v>
      </c>
      <c r="T187" s="2" t="str">
        <f t="shared" si="14"/>
        <v>Major Delay</v>
      </c>
    </row>
    <row r="188" spans="1:20" x14ac:dyDescent="0.35">
      <c r="A188" s="2" t="s">
        <v>515</v>
      </c>
      <c r="B188" s="2" t="s">
        <v>63</v>
      </c>
      <c r="C188" s="2" t="s">
        <v>516</v>
      </c>
      <c r="D188" s="2" t="s">
        <v>48</v>
      </c>
      <c r="E188" s="2" t="s">
        <v>38</v>
      </c>
      <c r="F188" s="2" t="s">
        <v>34</v>
      </c>
      <c r="G188" s="2" t="s">
        <v>161</v>
      </c>
      <c r="H188" s="3">
        <v>45308.315972222219</v>
      </c>
      <c r="I188" s="3">
        <v>45308.507638888892</v>
      </c>
      <c r="J188" s="2">
        <v>178</v>
      </c>
      <c r="K188" s="2">
        <v>276</v>
      </c>
      <c r="L188" s="2">
        <v>1</v>
      </c>
      <c r="M188" s="2" t="s">
        <v>29</v>
      </c>
      <c r="N188" s="2">
        <v>6</v>
      </c>
      <c r="O188" s="2">
        <v>423.58</v>
      </c>
      <c r="P188" s="2">
        <f t="shared" si="10"/>
        <v>98</v>
      </c>
      <c r="Q188" s="4">
        <f t="shared" si="11"/>
        <v>0.64492753623188404</v>
      </c>
      <c r="R188" s="2" t="str">
        <f t="shared" si="12"/>
        <v>Inefficient</v>
      </c>
      <c r="S188" s="2" t="str">
        <f t="shared" si="13"/>
        <v>Very Long</v>
      </c>
      <c r="T188" s="2" t="str">
        <f t="shared" si="14"/>
        <v>Major Delay</v>
      </c>
    </row>
    <row r="189" spans="1:20" x14ac:dyDescent="0.35">
      <c r="A189" s="2" t="s">
        <v>517</v>
      </c>
      <c r="B189" s="2" t="s">
        <v>31</v>
      </c>
      <c r="C189" s="2" t="s">
        <v>518</v>
      </c>
      <c r="D189" s="2" t="s">
        <v>56</v>
      </c>
      <c r="E189" s="2" t="s">
        <v>19</v>
      </c>
      <c r="F189" s="2" t="s">
        <v>34</v>
      </c>
      <c r="G189" s="2" t="s">
        <v>140</v>
      </c>
      <c r="H189" s="3">
        <v>45318.011805555558</v>
      </c>
      <c r="I189" s="3">
        <v>45318.075694444444</v>
      </c>
      <c r="J189" s="2">
        <v>55</v>
      </c>
      <c r="K189" s="2">
        <v>92</v>
      </c>
      <c r="L189" s="2">
        <v>1</v>
      </c>
      <c r="M189" s="2" t="s">
        <v>22</v>
      </c>
      <c r="N189" s="2">
        <v>4</v>
      </c>
      <c r="O189" s="2">
        <v>303.55</v>
      </c>
      <c r="P189" s="2">
        <f t="shared" si="10"/>
        <v>37</v>
      </c>
      <c r="Q189" s="4">
        <f t="shared" si="11"/>
        <v>0.59782608695652173</v>
      </c>
      <c r="R189" s="2" t="str">
        <f t="shared" si="12"/>
        <v>Inefficient</v>
      </c>
      <c r="S189" s="2" t="str">
        <f t="shared" si="13"/>
        <v>Long</v>
      </c>
      <c r="T189" s="2" t="str">
        <f t="shared" si="14"/>
        <v>Major Delay</v>
      </c>
    </row>
    <row r="190" spans="1:20" x14ac:dyDescent="0.35">
      <c r="A190" s="2" t="s">
        <v>519</v>
      </c>
      <c r="B190" s="2" t="s">
        <v>51</v>
      </c>
      <c r="C190" s="2" t="s">
        <v>520</v>
      </c>
      <c r="D190" s="2" t="s">
        <v>48</v>
      </c>
      <c r="E190" s="2" t="s">
        <v>85</v>
      </c>
      <c r="F190" s="2" t="s">
        <v>57</v>
      </c>
      <c r="G190" s="2" t="s">
        <v>521</v>
      </c>
      <c r="H190" s="3">
        <v>45524.833333333336</v>
      </c>
      <c r="I190" s="3">
        <v>45525.003472222219</v>
      </c>
      <c r="J190" s="2">
        <v>230</v>
      </c>
      <c r="K190" s="2">
        <v>245</v>
      </c>
      <c r="L190" s="2">
        <v>1</v>
      </c>
      <c r="M190" s="2" t="s">
        <v>29</v>
      </c>
      <c r="N190" s="2">
        <v>3</v>
      </c>
      <c r="O190" s="2">
        <v>495.34</v>
      </c>
      <c r="P190" s="2">
        <f t="shared" si="10"/>
        <v>15</v>
      </c>
      <c r="Q190" s="4">
        <f t="shared" si="11"/>
        <v>0.93877551020408168</v>
      </c>
      <c r="R190" s="2" t="str">
        <f t="shared" si="12"/>
        <v>Inefficient</v>
      </c>
      <c r="S190" s="2" t="str">
        <f t="shared" si="13"/>
        <v>Very Long</v>
      </c>
      <c r="T190" s="2" t="str">
        <f t="shared" si="14"/>
        <v>Minor Delay</v>
      </c>
    </row>
    <row r="191" spans="1:20" x14ac:dyDescent="0.35">
      <c r="A191" s="2" t="s">
        <v>522</v>
      </c>
      <c r="B191" s="2" t="s">
        <v>24</v>
      </c>
      <c r="C191" s="2" t="s">
        <v>523</v>
      </c>
      <c r="D191" s="2" t="s">
        <v>56</v>
      </c>
      <c r="E191" s="2" t="s">
        <v>33</v>
      </c>
      <c r="F191" s="2" t="s">
        <v>27</v>
      </c>
      <c r="G191" s="2" t="s">
        <v>427</v>
      </c>
      <c r="H191" s="3">
        <v>45459.246527777781</v>
      </c>
      <c r="I191" s="3">
        <v>45459.37222222222</v>
      </c>
      <c r="J191" s="2">
        <v>90</v>
      </c>
      <c r="K191" s="2">
        <v>181</v>
      </c>
      <c r="L191" s="2">
        <v>1</v>
      </c>
      <c r="M191" s="2" t="s">
        <v>29</v>
      </c>
      <c r="N191" s="2">
        <v>6</v>
      </c>
      <c r="O191" s="2">
        <v>467.42</v>
      </c>
      <c r="P191" s="2">
        <f t="shared" si="10"/>
        <v>91</v>
      </c>
      <c r="Q191" s="4">
        <f t="shared" si="11"/>
        <v>0.49723756906077349</v>
      </c>
      <c r="R191" s="2" t="str">
        <f t="shared" si="12"/>
        <v>Inefficient</v>
      </c>
      <c r="S191" s="2" t="str">
        <f t="shared" si="13"/>
        <v>Very Long</v>
      </c>
      <c r="T191" s="2" t="str">
        <f t="shared" si="14"/>
        <v>Major Delay</v>
      </c>
    </row>
    <row r="192" spans="1:20" x14ac:dyDescent="0.35">
      <c r="A192" s="2" t="s">
        <v>524</v>
      </c>
      <c r="B192" s="2" t="s">
        <v>31</v>
      </c>
      <c r="C192" s="2" t="s">
        <v>525</v>
      </c>
      <c r="D192" s="2" t="s">
        <v>48</v>
      </c>
      <c r="E192" s="2" t="s">
        <v>38</v>
      </c>
      <c r="F192" s="2" t="s">
        <v>27</v>
      </c>
      <c r="G192" s="2" t="s">
        <v>526</v>
      </c>
      <c r="H192" s="3">
        <v>45417.486111111109</v>
      </c>
      <c r="I192" s="3">
        <v>45417.598611111112</v>
      </c>
      <c r="J192" s="2">
        <v>124</v>
      </c>
      <c r="K192" s="2">
        <v>162</v>
      </c>
      <c r="L192" s="2">
        <v>1</v>
      </c>
      <c r="M192" s="2" t="s">
        <v>29</v>
      </c>
      <c r="N192" s="2">
        <v>6</v>
      </c>
      <c r="O192" s="2">
        <v>253.48</v>
      </c>
      <c r="P192" s="2">
        <f t="shared" si="10"/>
        <v>38</v>
      </c>
      <c r="Q192" s="4">
        <f t="shared" si="11"/>
        <v>0.76543209876543206</v>
      </c>
      <c r="R192" s="2" t="str">
        <f t="shared" si="12"/>
        <v>Inefficient</v>
      </c>
      <c r="S192" s="2" t="str">
        <f t="shared" si="13"/>
        <v>Very Long</v>
      </c>
      <c r="T192" s="2" t="str">
        <f t="shared" si="14"/>
        <v>Major Delay</v>
      </c>
    </row>
    <row r="193" spans="1:20" x14ac:dyDescent="0.35">
      <c r="A193" s="2" t="s">
        <v>527</v>
      </c>
      <c r="B193" s="2" t="s">
        <v>31</v>
      </c>
      <c r="C193" s="2" t="s">
        <v>528</v>
      </c>
      <c r="D193" s="2" t="s">
        <v>18</v>
      </c>
      <c r="E193" s="2" t="s">
        <v>33</v>
      </c>
      <c r="F193" s="2" t="s">
        <v>20</v>
      </c>
      <c r="G193" s="2" t="s">
        <v>470</v>
      </c>
      <c r="H193" s="3">
        <v>45325.913194444445</v>
      </c>
      <c r="I193" s="3">
        <v>45325.960416666669</v>
      </c>
      <c r="J193" s="2">
        <v>28</v>
      </c>
      <c r="K193" s="2">
        <v>68</v>
      </c>
      <c r="L193" s="2">
        <v>1</v>
      </c>
      <c r="M193" s="2" t="s">
        <v>22</v>
      </c>
      <c r="N193" s="2">
        <v>3</v>
      </c>
      <c r="O193" s="2">
        <v>487.61</v>
      </c>
      <c r="P193" s="2">
        <f t="shared" si="10"/>
        <v>40</v>
      </c>
      <c r="Q193" s="4">
        <f t="shared" si="11"/>
        <v>0.41176470588235292</v>
      </c>
      <c r="R193" s="2" t="str">
        <f t="shared" si="12"/>
        <v>Inefficient</v>
      </c>
      <c r="S193" s="2" t="str">
        <f t="shared" si="13"/>
        <v>Long</v>
      </c>
      <c r="T193" s="2" t="str">
        <f t="shared" si="14"/>
        <v>Major Delay</v>
      </c>
    </row>
    <row r="194" spans="1:20" x14ac:dyDescent="0.35">
      <c r="A194" s="2" t="s">
        <v>529</v>
      </c>
      <c r="B194" s="2" t="s">
        <v>24</v>
      </c>
      <c r="C194" s="2" t="s">
        <v>530</v>
      </c>
      <c r="D194" s="2" t="s">
        <v>44</v>
      </c>
      <c r="E194" s="2" t="s">
        <v>38</v>
      </c>
      <c r="F194" s="2" t="s">
        <v>39</v>
      </c>
      <c r="G194" s="2" t="s">
        <v>123</v>
      </c>
      <c r="H194" s="3">
        <v>45544.646527777775</v>
      </c>
      <c r="I194" s="3">
        <v>45544.759027777778</v>
      </c>
      <c r="J194" s="2">
        <v>50</v>
      </c>
      <c r="K194" s="2">
        <v>162</v>
      </c>
      <c r="L194" s="2">
        <v>1</v>
      </c>
      <c r="M194" s="2" t="s">
        <v>22</v>
      </c>
      <c r="N194" s="2">
        <v>10</v>
      </c>
      <c r="O194" s="2">
        <v>241.08</v>
      </c>
      <c r="P194" s="2">
        <f t="shared" si="10"/>
        <v>112</v>
      </c>
      <c r="Q194" s="4">
        <f t="shared" si="11"/>
        <v>0.30864197530864196</v>
      </c>
      <c r="R194" s="2" t="str">
        <f t="shared" si="12"/>
        <v>Inefficient</v>
      </c>
      <c r="S194" s="2" t="str">
        <f t="shared" si="13"/>
        <v>Very Long</v>
      </c>
      <c r="T194" s="2" t="str">
        <f t="shared" si="14"/>
        <v>Major Delay</v>
      </c>
    </row>
    <row r="195" spans="1:20" x14ac:dyDescent="0.35">
      <c r="A195" s="2" t="s">
        <v>531</v>
      </c>
      <c r="B195" s="2" t="s">
        <v>31</v>
      </c>
      <c r="C195" s="2" t="s">
        <v>532</v>
      </c>
      <c r="D195" s="2" t="s">
        <v>26</v>
      </c>
      <c r="E195" s="2" t="s">
        <v>38</v>
      </c>
      <c r="F195" s="2" t="s">
        <v>27</v>
      </c>
      <c r="G195" s="2" t="s">
        <v>167</v>
      </c>
      <c r="H195" s="3">
        <v>45469.114583333336</v>
      </c>
      <c r="I195" s="3">
        <v>45469.261805555558</v>
      </c>
      <c r="J195" s="2">
        <v>151</v>
      </c>
      <c r="K195" s="2">
        <v>212</v>
      </c>
      <c r="L195" s="2">
        <v>1</v>
      </c>
      <c r="M195" s="2" t="s">
        <v>41</v>
      </c>
      <c r="N195" s="2">
        <v>1</v>
      </c>
      <c r="O195" s="2">
        <v>241.78</v>
      </c>
      <c r="P195" s="2">
        <f t="shared" ref="P195:P258" si="15">K195-J195</f>
        <v>61</v>
      </c>
      <c r="Q195" s="4">
        <f t="shared" ref="Q195:Q258" si="16">J195/K195</f>
        <v>0.71226415094339623</v>
      </c>
      <c r="R195" s="2" t="str">
        <f t="shared" ref="R195:R258" si="17">IF(Q195&gt;1,"Efficient",
IF(Q195=1,"On Target","Inefficient"))</f>
        <v>Inefficient</v>
      </c>
      <c r="S195" s="2" t="str">
        <f t="shared" ref="S195:S258" si="18">IF(K195&lt;30,"Short",
IF(K195&lt;60,"Medium",
IF(K195&lt;120,"Long","Very Long")))</f>
        <v>Very Long</v>
      </c>
      <c r="T195" s="2" t="str">
        <f t="shared" ref="T195:T258" si="19">IF(K195&lt;=J195,"On Time",
IF(K195-J195&lt;=30,"Minor Delay","Major Delay"))</f>
        <v>Major Delay</v>
      </c>
    </row>
    <row r="196" spans="1:20" x14ac:dyDescent="0.35">
      <c r="A196" s="2" t="s">
        <v>533</v>
      </c>
      <c r="B196" s="2" t="s">
        <v>51</v>
      </c>
      <c r="C196" s="2" t="s">
        <v>534</v>
      </c>
      <c r="D196" s="2" t="s">
        <v>18</v>
      </c>
      <c r="E196" s="2" t="s">
        <v>85</v>
      </c>
      <c r="F196" s="2" t="s">
        <v>27</v>
      </c>
      <c r="G196" s="2" t="s">
        <v>316</v>
      </c>
      <c r="H196" s="3">
        <v>45559.345138888886</v>
      </c>
      <c r="I196" s="3">
        <v>45559.4375</v>
      </c>
      <c r="J196" s="2">
        <v>86</v>
      </c>
      <c r="K196" s="2">
        <v>133</v>
      </c>
      <c r="L196" s="2">
        <v>1</v>
      </c>
      <c r="M196" s="2" t="s">
        <v>29</v>
      </c>
      <c r="N196" s="2">
        <v>4</v>
      </c>
      <c r="O196" s="2">
        <v>421.88</v>
      </c>
      <c r="P196" s="2">
        <f t="shared" si="15"/>
        <v>47</v>
      </c>
      <c r="Q196" s="4">
        <f t="shared" si="16"/>
        <v>0.64661654135338342</v>
      </c>
      <c r="R196" s="2" t="str">
        <f t="shared" si="17"/>
        <v>Inefficient</v>
      </c>
      <c r="S196" s="2" t="str">
        <f t="shared" si="18"/>
        <v>Very Long</v>
      </c>
      <c r="T196" s="2" t="str">
        <f t="shared" si="19"/>
        <v>Major Delay</v>
      </c>
    </row>
    <row r="197" spans="1:20" x14ac:dyDescent="0.35">
      <c r="A197" s="2" t="s">
        <v>535</v>
      </c>
      <c r="B197" s="2" t="s">
        <v>16</v>
      </c>
      <c r="C197" s="2" t="s">
        <v>536</v>
      </c>
      <c r="D197" s="2" t="s">
        <v>18</v>
      </c>
      <c r="E197" s="2" t="s">
        <v>19</v>
      </c>
      <c r="F197" s="2" t="s">
        <v>34</v>
      </c>
      <c r="G197" s="2" t="s">
        <v>283</v>
      </c>
      <c r="H197" s="3">
        <v>45504.198611111111</v>
      </c>
      <c r="I197" s="3">
        <v>45504.316666666666</v>
      </c>
      <c r="J197" s="2">
        <v>59</v>
      </c>
      <c r="K197" s="2">
        <v>170</v>
      </c>
      <c r="L197" s="2">
        <v>1</v>
      </c>
      <c r="M197" s="2" t="s">
        <v>22</v>
      </c>
      <c r="N197" s="2">
        <v>7</v>
      </c>
      <c r="O197" s="2">
        <v>273.55</v>
      </c>
      <c r="P197" s="2">
        <f t="shared" si="15"/>
        <v>111</v>
      </c>
      <c r="Q197" s="4">
        <f t="shared" si="16"/>
        <v>0.34705882352941175</v>
      </c>
      <c r="R197" s="2" t="str">
        <f t="shared" si="17"/>
        <v>Inefficient</v>
      </c>
      <c r="S197" s="2" t="str">
        <f t="shared" si="18"/>
        <v>Very Long</v>
      </c>
      <c r="T197" s="2" t="str">
        <f t="shared" si="19"/>
        <v>Major Delay</v>
      </c>
    </row>
    <row r="198" spans="1:20" x14ac:dyDescent="0.35">
      <c r="A198" s="2" t="s">
        <v>537</v>
      </c>
      <c r="B198" s="2" t="s">
        <v>51</v>
      </c>
      <c r="C198" s="2" t="s">
        <v>538</v>
      </c>
      <c r="D198" s="2" t="s">
        <v>18</v>
      </c>
      <c r="E198" s="2" t="s">
        <v>85</v>
      </c>
      <c r="F198" s="2" t="s">
        <v>57</v>
      </c>
      <c r="G198" s="2" t="s">
        <v>539</v>
      </c>
      <c r="H198" s="3">
        <v>45457.638888888891</v>
      </c>
      <c r="I198" s="3">
        <v>45457.727777777778</v>
      </c>
      <c r="J198" s="2">
        <v>50</v>
      </c>
      <c r="K198" s="2">
        <v>128</v>
      </c>
      <c r="L198" s="2">
        <v>1</v>
      </c>
      <c r="M198" s="2" t="s">
        <v>41</v>
      </c>
      <c r="N198" s="2">
        <v>6</v>
      </c>
      <c r="O198" s="2">
        <v>440.56</v>
      </c>
      <c r="P198" s="2">
        <f t="shared" si="15"/>
        <v>78</v>
      </c>
      <c r="Q198" s="4">
        <f t="shared" si="16"/>
        <v>0.390625</v>
      </c>
      <c r="R198" s="2" t="str">
        <f t="shared" si="17"/>
        <v>Inefficient</v>
      </c>
      <c r="S198" s="2" t="str">
        <f t="shared" si="18"/>
        <v>Very Long</v>
      </c>
      <c r="T198" s="2" t="str">
        <f t="shared" si="19"/>
        <v>Major Delay</v>
      </c>
    </row>
    <row r="199" spans="1:20" x14ac:dyDescent="0.35">
      <c r="A199" s="2" t="s">
        <v>540</v>
      </c>
      <c r="B199" s="2" t="s">
        <v>24</v>
      </c>
      <c r="C199" s="2" t="s">
        <v>541</v>
      </c>
      <c r="D199" s="2" t="s">
        <v>56</v>
      </c>
      <c r="E199" s="2" t="s">
        <v>33</v>
      </c>
      <c r="F199" s="2" t="s">
        <v>20</v>
      </c>
      <c r="G199" s="2" t="s">
        <v>100</v>
      </c>
      <c r="H199" s="3">
        <v>45424.414583333331</v>
      </c>
      <c r="I199" s="3">
        <v>45424.539583333331</v>
      </c>
      <c r="J199" s="2">
        <v>126</v>
      </c>
      <c r="K199" s="2">
        <v>180</v>
      </c>
      <c r="L199" s="2">
        <v>1</v>
      </c>
      <c r="M199" s="2" t="s">
        <v>41</v>
      </c>
      <c r="N199" s="2">
        <v>9</v>
      </c>
      <c r="O199" s="2">
        <v>216.35</v>
      </c>
      <c r="P199" s="2">
        <f t="shared" si="15"/>
        <v>54</v>
      </c>
      <c r="Q199" s="4">
        <f t="shared" si="16"/>
        <v>0.7</v>
      </c>
      <c r="R199" s="2" t="str">
        <f t="shared" si="17"/>
        <v>Inefficient</v>
      </c>
      <c r="S199" s="2" t="str">
        <f t="shared" si="18"/>
        <v>Very Long</v>
      </c>
      <c r="T199" s="2" t="str">
        <f t="shared" si="19"/>
        <v>Major Delay</v>
      </c>
    </row>
    <row r="200" spans="1:20" x14ac:dyDescent="0.35">
      <c r="A200" s="2" t="s">
        <v>542</v>
      </c>
      <c r="B200" s="2" t="s">
        <v>24</v>
      </c>
      <c r="C200" s="2" t="s">
        <v>543</v>
      </c>
      <c r="D200" s="2" t="s">
        <v>44</v>
      </c>
      <c r="E200" s="2" t="s">
        <v>33</v>
      </c>
      <c r="F200" s="2" t="s">
        <v>39</v>
      </c>
      <c r="G200" s="2" t="s">
        <v>231</v>
      </c>
      <c r="H200" s="3">
        <v>45468.20416666667</v>
      </c>
      <c r="I200" s="3">
        <v>45468.319444444445</v>
      </c>
      <c r="J200" s="2">
        <v>148</v>
      </c>
      <c r="K200" s="2">
        <v>166</v>
      </c>
      <c r="L200" s="2">
        <v>1</v>
      </c>
      <c r="M200" s="2" t="s">
        <v>41</v>
      </c>
      <c r="N200" s="2">
        <v>6</v>
      </c>
      <c r="O200" s="2">
        <v>148.25</v>
      </c>
      <c r="P200" s="2">
        <f t="shared" si="15"/>
        <v>18</v>
      </c>
      <c r="Q200" s="4">
        <f t="shared" si="16"/>
        <v>0.89156626506024095</v>
      </c>
      <c r="R200" s="2" t="str">
        <f t="shared" si="17"/>
        <v>Inefficient</v>
      </c>
      <c r="S200" s="2" t="str">
        <f t="shared" si="18"/>
        <v>Very Long</v>
      </c>
      <c r="T200" s="2" t="str">
        <f t="shared" si="19"/>
        <v>Minor Delay</v>
      </c>
    </row>
    <row r="201" spans="1:20" x14ac:dyDescent="0.35">
      <c r="A201" s="2" t="s">
        <v>544</v>
      </c>
      <c r="B201" s="2" t="s">
        <v>16</v>
      </c>
      <c r="C201" s="2" t="s">
        <v>545</v>
      </c>
      <c r="D201" s="2" t="s">
        <v>56</v>
      </c>
      <c r="E201" s="2" t="s">
        <v>19</v>
      </c>
      <c r="F201" s="2" t="s">
        <v>27</v>
      </c>
      <c r="G201" s="2" t="s">
        <v>546</v>
      </c>
      <c r="H201" s="3">
        <v>45549.754861111112</v>
      </c>
      <c r="I201" s="3">
        <v>45549.950694444444</v>
      </c>
      <c r="J201" s="2">
        <v>177</v>
      </c>
      <c r="K201" s="2">
        <v>282</v>
      </c>
      <c r="L201" s="2">
        <v>1</v>
      </c>
      <c r="M201" s="2" t="s">
        <v>29</v>
      </c>
      <c r="N201" s="2">
        <v>10</v>
      </c>
      <c r="O201" s="2">
        <v>448.45</v>
      </c>
      <c r="P201" s="2">
        <f t="shared" si="15"/>
        <v>105</v>
      </c>
      <c r="Q201" s="4">
        <f t="shared" si="16"/>
        <v>0.62765957446808507</v>
      </c>
      <c r="R201" s="2" t="str">
        <f t="shared" si="17"/>
        <v>Inefficient</v>
      </c>
      <c r="S201" s="2" t="str">
        <f t="shared" si="18"/>
        <v>Very Long</v>
      </c>
      <c r="T201" s="2" t="str">
        <f t="shared" si="19"/>
        <v>Major Delay</v>
      </c>
    </row>
    <row r="202" spans="1:20" x14ac:dyDescent="0.35">
      <c r="A202" s="2" t="s">
        <v>547</v>
      </c>
      <c r="B202" s="2" t="s">
        <v>24</v>
      </c>
      <c r="C202" s="2" t="s">
        <v>548</v>
      </c>
      <c r="D202" s="2" t="s">
        <v>48</v>
      </c>
      <c r="E202" s="2" t="s">
        <v>85</v>
      </c>
      <c r="F202" s="2" t="s">
        <v>27</v>
      </c>
      <c r="G202" s="2" t="s">
        <v>539</v>
      </c>
      <c r="H202" s="3">
        <v>45541.156944444447</v>
      </c>
      <c r="I202" s="3">
        <v>45541.331944444442</v>
      </c>
      <c r="J202" s="2">
        <v>164</v>
      </c>
      <c r="K202" s="2">
        <v>252</v>
      </c>
      <c r="L202" s="2">
        <v>1</v>
      </c>
      <c r="M202" s="2" t="s">
        <v>41</v>
      </c>
      <c r="N202" s="2">
        <v>10</v>
      </c>
      <c r="O202" s="2">
        <v>238.71</v>
      </c>
      <c r="P202" s="2">
        <f t="shared" si="15"/>
        <v>88</v>
      </c>
      <c r="Q202" s="4">
        <f t="shared" si="16"/>
        <v>0.65079365079365081</v>
      </c>
      <c r="R202" s="2" t="str">
        <f t="shared" si="17"/>
        <v>Inefficient</v>
      </c>
      <c r="S202" s="2" t="str">
        <f t="shared" si="18"/>
        <v>Very Long</v>
      </c>
      <c r="T202" s="2" t="str">
        <f t="shared" si="19"/>
        <v>Major Delay</v>
      </c>
    </row>
    <row r="203" spans="1:20" x14ac:dyDescent="0.35">
      <c r="A203" s="2" t="s">
        <v>549</v>
      </c>
      <c r="B203" s="2" t="s">
        <v>51</v>
      </c>
      <c r="C203" s="2" t="s">
        <v>550</v>
      </c>
      <c r="D203" s="2" t="s">
        <v>26</v>
      </c>
      <c r="E203" s="2" t="s">
        <v>33</v>
      </c>
      <c r="F203" s="2" t="s">
        <v>27</v>
      </c>
      <c r="G203" s="2" t="s">
        <v>152</v>
      </c>
      <c r="H203" s="3">
        <v>45388.832638888889</v>
      </c>
      <c r="I203" s="3">
        <v>45388.922222222223</v>
      </c>
      <c r="J203" s="2">
        <v>112</v>
      </c>
      <c r="K203" s="2">
        <v>129</v>
      </c>
      <c r="L203" s="2">
        <v>1</v>
      </c>
      <c r="M203" s="2" t="s">
        <v>41</v>
      </c>
      <c r="N203" s="2">
        <v>7</v>
      </c>
      <c r="O203" s="2">
        <v>66.680000000000007</v>
      </c>
      <c r="P203" s="2">
        <f t="shared" si="15"/>
        <v>17</v>
      </c>
      <c r="Q203" s="4">
        <f t="shared" si="16"/>
        <v>0.86821705426356588</v>
      </c>
      <c r="R203" s="2" t="str">
        <f t="shared" si="17"/>
        <v>Inefficient</v>
      </c>
      <c r="S203" s="2" t="str">
        <f t="shared" si="18"/>
        <v>Very Long</v>
      </c>
      <c r="T203" s="2" t="str">
        <f t="shared" si="19"/>
        <v>Minor Delay</v>
      </c>
    </row>
    <row r="204" spans="1:20" x14ac:dyDescent="0.35">
      <c r="A204" s="2" t="s">
        <v>551</v>
      </c>
      <c r="B204" s="2" t="s">
        <v>63</v>
      </c>
      <c r="C204" s="2" t="s">
        <v>552</v>
      </c>
      <c r="D204" s="2" t="s">
        <v>48</v>
      </c>
      <c r="E204" s="2" t="s">
        <v>19</v>
      </c>
      <c r="F204" s="2" t="s">
        <v>39</v>
      </c>
      <c r="G204" s="2" t="s">
        <v>100</v>
      </c>
      <c r="H204" s="3">
        <v>45301.80972222222</v>
      </c>
      <c r="I204" s="3">
        <v>45301.881249999999</v>
      </c>
      <c r="J204" s="2">
        <v>56</v>
      </c>
      <c r="K204" s="2">
        <v>103</v>
      </c>
      <c r="L204" s="2">
        <v>1</v>
      </c>
      <c r="M204" s="2" t="s">
        <v>29</v>
      </c>
      <c r="N204" s="2">
        <v>2</v>
      </c>
      <c r="O204" s="2">
        <v>375.19</v>
      </c>
      <c r="P204" s="2">
        <f t="shared" si="15"/>
        <v>47</v>
      </c>
      <c r="Q204" s="4">
        <f t="shared" si="16"/>
        <v>0.5436893203883495</v>
      </c>
      <c r="R204" s="2" t="str">
        <f t="shared" si="17"/>
        <v>Inefficient</v>
      </c>
      <c r="S204" s="2" t="str">
        <f t="shared" si="18"/>
        <v>Long</v>
      </c>
      <c r="T204" s="2" t="str">
        <f t="shared" si="19"/>
        <v>Major Delay</v>
      </c>
    </row>
    <row r="205" spans="1:20" x14ac:dyDescent="0.35">
      <c r="A205" s="2" t="s">
        <v>553</v>
      </c>
      <c r="B205" s="2" t="s">
        <v>63</v>
      </c>
      <c r="C205" s="2" t="s">
        <v>554</v>
      </c>
      <c r="D205" s="2" t="s">
        <v>18</v>
      </c>
      <c r="E205" s="2" t="s">
        <v>19</v>
      </c>
      <c r="F205" s="2" t="s">
        <v>39</v>
      </c>
      <c r="G205" s="2" t="s">
        <v>388</v>
      </c>
      <c r="H205" s="3">
        <v>45320.959027777775</v>
      </c>
      <c r="I205" s="3">
        <v>45321.09097222222</v>
      </c>
      <c r="J205" s="2">
        <v>134</v>
      </c>
      <c r="K205" s="2">
        <v>190</v>
      </c>
      <c r="L205" s="2">
        <v>1</v>
      </c>
      <c r="M205" s="2" t="s">
        <v>29</v>
      </c>
      <c r="N205" s="2">
        <v>10</v>
      </c>
      <c r="O205" s="2">
        <v>470.49</v>
      </c>
      <c r="P205" s="2">
        <f t="shared" si="15"/>
        <v>56</v>
      </c>
      <c r="Q205" s="4">
        <f t="shared" si="16"/>
        <v>0.70526315789473681</v>
      </c>
      <c r="R205" s="2" t="str">
        <f t="shared" si="17"/>
        <v>Inefficient</v>
      </c>
      <c r="S205" s="2" t="str">
        <f t="shared" si="18"/>
        <v>Very Long</v>
      </c>
      <c r="T205" s="2" t="str">
        <f t="shared" si="19"/>
        <v>Major Delay</v>
      </c>
    </row>
    <row r="206" spans="1:20" x14ac:dyDescent="0.35">
      <c r="A206" s="2" t="s">
        <v>555</v>
      </c>
      <c r="B206" s="2" t="s">
        <v>16</v>
      </c>
      <c r="C206" s="2" t="s">
        <v>556</v>
      </c>
      <c r="D206" s="2" t="s">
        <v>56</v>
      </c>
      <c r="E206" s="2" t="s">
        <v>85</v>
      </c>
      <c r="F206" s="2" t="s">
        <v>27</v>
      </c>
      <c r="G206" s="2" t="s">
        <v>500</v>
      </c>
      <c r="H206" s="3">
        <v>45509.799305555556</v>
      </c>
      <c r="I206" s="3">
        <v>45509.979861111111</v>
      </c>
      <c r="J206" s="2">
        <v>155</v>
      </c>
      <c r="K206" s="2">
        <v>260</v>
      </c>
      <c r="L206" s="2">
        <v>1</v>
      </c>
      <c r="M206" s="2" t="s">
        <v>22</v>
      </c>
      <c r="N206" s="2">
        <v>3</v>
      </c>
      <c r="O206" s="2">
        <v>111.02</v>
      </c>
      <c r="P206" s="2">
        <f t="shared" si="15"/>
        <v>105</v>
      </c>
      <c r="Q206" s="4">
        <f t="shared" si="16"/>
        <v>0.59615384615384615</v>
      </c>
      <c r="R206" s="2" t="str">
        <f t="shared" si="17"/>
        <v>Inefficient</v>
      </c>
      <c r="S206" s="2" t="str">
        <f t="shared" si="18"/>
        <v>Very Long</v>
      </c>
      <c r="T206" s="2" t="str">
        <f t="shared" si="19"/>
        <v>Major Delay</v>
      </c>
    </row>
    <row r="207" spans="1:20" x14ac:dyDescent="0.35">
      <c r="A207" s="2" t="s">
        <v>557</v>
      </c>
      <c r="B207" s="2" t="s">
        <v>51</v>
      </c>
      <c r="C207" s="2" t="s">
        <v>558</v>
      </c>
      <c r="D207" s="2" t="s">
        <v>44</v>
      </c>
      <c r="E207" s="2" t="s">
        <v>19</v>
      </c>
      <c r="F207" s="2" t="s">
        <v>39</v>
      </c>
      <c r="G207" s="2" t="s">
        <v>146</v>
      </c>
      <c r="H207" s="3">
        <v>45542.604861111111</v>
      </c>
      <c r="I207" s="3">
        <v>45542.651388888888</v>
      </c>
      <c r="J207" s="2">
        <v>18</v>
      </c>
      <c r="K207" s="2">
        <v>67</v>
      </c>
      <c r="L207" s="2">
        <v>1</v>
      </c>
      <c r="M207" s="2" t="s">
        <v>22</v>
      </c>
      <c r="N207" s="2">
        <v>7</v>
      </c>
      <c r="O207" s="2">
        <v>155.9</v>
      </c>
      <c r="P207" s="2">
        <f t="shared" si="15"/>
        <v>49</v>
      </c>
      <c r="Q207" s="4">
        <f t="shared" si="16"/>
        <v>0.26865671641791045</v>
      </c>
      <c r="R207" s="2" t="str">
        <f t="shared" si="17"/>
        <v>Inefficient</v>
      </c>
      <c r="S207" s="2" t="str">
        <f t="shared" si="18"/>
        <v>Long</v>
      </c>
      <c r="T207" s="2" t="str">
        <f t="shared" si="19"/>
        <v>Major Delay</v>
      </c>
    </row>
    <row r="208" spans="1:20" x14ac:dyDescent="0.35">
      <c r="A208" s="2" t="s">
        <v>559</v>
      </c>
      <c r="B208" s="2" t="s">
        <v>16</v>
      </c>
      <c r="C208" s="2" t="s">
        <v>560</v>
      </c>
      <c r="D208" s="2" t="s">
        <v>26</v>
      </c>
      <c r="E208" s="2" t="s">
        <v>85</v>
      </c>
      <c r="F208" s="2" t="s">
        <v>27</v>
      </c>
      <c r="G208" s="2" t="s">
        <v>539</v>
      </c>
      <c r="H208" s="3">
        <v>45498.189583333333</v>
      </c>
      <c r="I208" s="3">
        <v>45498.286805555559</v>
      </c>
      <c r="J208" s="2">
        <v>58</v>
      </c>
      <c r="K208" s="2">
        <v>140</v>
      </c>
      <c r="L208" s="2">
        <v>1</v>
      </c>
      <c r="M208" s="2" t="s">
        <v>41</v>
      </c>
      <c r="N208" s="2">
        <v>8</v>
      </c>
      <c r="O208" s="2">
        <v>136.52000000000001</v>
      </c>
      <c r="P208" s="2">
        <f t="shared" si="15"/>
        <v>82</v>
      </c>
      <c r="Q208" s="4">
        <f t="shared" si="16"/>
        <v>0.41428571428571431</v>
      </c>
      <c r="R208" s="2" t="str">
        <f t="shared" si="17"/>
        <v>Inefficient</v>
      </c>
      <c r="S208" s="2" t="str">
        <f t="shared" si="18"/>
        <v>Very Long</v>
      </c>
      <c r="T208" s="2" t="str">
        <f t="shared" si="19"/>
        <v>Major Delay</v>
      </c>
    </row>
    <row r="209" spans="1:20" x14ac:dyDescent="0.35">
      <c r="A209" s="2" t="s">
        <v>561</v>
      </c>
      <c r="B209" s="2" t="s">
        <v>16</v>
      </c>
      <c r="C209" s="2" t="s">
        <v>562</v>
      </c>
      <c r="D209" s="2" t="s">
        <v>18</v>
      </c>
      <c r="E209" s="2" t="s">
        <v>19</v>
      </c>
      <c r="F209" s="2" t="s">
        <v>27</v>
      </c>
      <c r="G209" s="2" t="s">
        <v>228</v>
      </c>
      <c r="H209" s="3">
        <v>45558.061805555553</v>
      </c>
      <c r="I209" s="3">
        <v>45558.226388888892</v>
      </c>
      <c r="J209" s="2">
        <v>131</v>
      </c>
      <c r="K209" s="2">
        <v>237</v>
      </c>
      <c r="L209" s="2">
        <v>1</v>
      </c>
      <c r="M209" s="2" t="s">
        <v>29</v>
      </c>
      <c r="N209" s="2">
        <v>6</v>
      </c>
      <c r="O209" s="2">
        <v>85.44</v>
      </c>
      <c r="P209" s="2">
        <f t="shared" si="15"/>
        <v>106</v>
      </c>
      <c r="Q209" s="4">
        <f t="shared" si="16"/>
        <v>0.5527426160337553</v>
      </c>
      <c r="R209" s="2" t="str">
        <f t="shared" si="17"/>
        <v>Inefficient</v>
      </c>
      <c r="S209" s="2" t="str">
        <f t="shared" si="18"/>
        <v>Very Long</v>
      </c>
      <c r="T209" s="2" t="str">
        <f t="shared" si="19"/>
        <v>Major Delay</v>
      </c>
    </row>
    <row r="210" spans="1:20" x14ac:dyDescent="0.35">
      <c r="A210" s="2" t="s">
        <v>563</v>
      </c>
      <c r="B210" s="2" t="s">
        <v>31</v>
      </c>
      <c r="C210" s="2" t="s">
        <v>564</v>
      </c>
      <c r="D210" s="2" t="s">
        <v>48</v>
      </c>
      <c r="E210" s="2" t="s">
        <v>19</v>
      </c>
      <c r="F210" s="2" t="s">
        <v>20</v>
      </c>
      <c r="G210" s="2" t="s">
        <v>103</v>
      </c>
      <c r="H210" s="3">
        <v>45485.423611111109</v>
      </c>
      <c r="I210" s="3">
        <v>45485.587500000001</v>
      </c>
      <c r="J210" s="2">
        <v>232</v>
      </c>
      <c r="K210" s="2">
        <v>236</v>
      </c>
      <c r="L210" s="2">
        <v>1</v>
      </c>
      <c r="M210" s="2" t="s">
        <v>22</v>
      </c>
      <c r="N210" s="2">
        <v>1</v>
      </c>
      <c r="O210" s="2">
        <v>280.93</v>
      </c>
      <c r="P210" s="2">
        <f t="shared" si="15"/>
        <v>4</v>
      </c>
      <c r="Q210" s="4">
        <f t="shared" si="16"/>
        <v>0.98305084745762716</v>
      </c>
      <c r="R210" s="2" t="str">
        <f t="shared" si="17"/>
        <v>Inefficient</v>
      </c>
      <c r="S210" s="2" t="str">
        <f t="shared" si="18"/>
        <v>Very Long</v>
      </c>
      <c r="T210" s="2" t="str">
        <f t="shared" si="19"/>
        <v>Minor Delay</v>
      </c>
    </row>
    <row r="211" spans="1:20" x14ac:dyDescent="0.35">
      <c r="A211" s="2" t="s">
        <v>565</v>
      </c>
      <c r="B211" s="2" t="s">
        <v>16</v>
      </c>
      <c r="C211" s="2" t="s">
        <v>566</v>
      </c>
      <c r="D211" s="2" t="s">
        <v>44</v>
      </c>
      <c r="E211" s="2" t="s">
        <v>33</v>
      </c>
      <c r="F211" s="2" t="s">
        <v>20</v>
      </c>
      <c r="G211" s="2" t="s">
        <v>173</v>
      </c>
      <c r="H211" s="3">
        <v>45424.759027777778</v>
      </c>
      <c r="I211" s="3">
        <v>45424.847916666666</v>
      </c>
      <c r="J211" s="2">
        <v>114</v>
      </c>
      <c r="K211" s="2">
        <v>128</v>
      </c>
      <c r="L211" s="2">
        <v>1</v>
      </c>
      <c r="M211" s="2" t="s">
        <v>41</v>
      </c>
      <c r="N211" s="2">
        <v>1</v>
      </c>
      <c r="O211" s="2">
        <v>256.35000000000002</v>
      </c>
      <c r="P211" s="2">
        <f t="shared" si="15"/>
        <v>14</v>
      </c>
      <c r="Q211" s="4">
        <f t="shared" si="16"/>
        <v>0.890625</v>
      </c>
      <c r="R211" s="2" t="str">
        <f t="shared" si="17"/>
        <v>Inefficient</v>
      </c>
      <c r="S211" s="2" t="str">
        <f t="shared" si="18"/>
        <v>Very Long</v>
      </c>
      <c r="T211" s="2" t="str">
        <f t="shared" si="19"/>
        <v>Minor Delay</v>
      </c>
    </row>
    <row r="212" spans="1:20" x14ac:dyDescent="0.35">
      <c r="A212" s="2" t="s">
        <v>567</v>
      </c>
      <c r="B212" s="2" t="s">
        <v>16</v>
      </c>
      <c r="C212" s="2" t="s">
        <v>568</v>
      </c>
      <c r="D212" s="2" t="s">
        <v>26</v>
      </c>
      <c r="E212" s="2" t="s">
        <v>38</v>
      </c>
      <c r="F212" s="2" t="s">
        <v>20</v>
      </c>
      <c r="G212" s="2" t="s">
        <v>140</v>
      </c>
      <c r="H212" s="3">
        <v>45484.574305555558</v>
      </c>
      <c r="I212" s="3">
        <v>45484.659722222219</v>
      </c>
      <c r="J212" s="2">
        <v>10</v>
      </c>
      <c r="K212" s="2">
        <v>123</v>
      </c>
      <c r="L212" s="2">
        <v>1</v>
      </c>
      <c r="M212" s="2" t="s">
        <v>41</v>
      </c>
      <c r="N212" s="2">
        <v>7</v>
      </c>
      <c r="O212" s="2">
        <v>476.33</v>
      </c>
      <c r="P212" s="2">
        <f t="shared" si="15"/>
        <v>113</v>
      </c>
      <c r="Q212" s="4">
        <f t="shared" si="16"/>
        <v>8.1300813008130079E-2</v>
      </c>
      <c r="R212" s="2" t="str">
        <f t="shared" si="17"/>
        <v>Inefficient</v>
      </c>
      <c r="S212" s="2" t="str">
        <f t="shared" si="18"/>
        <v>Very Long</v>
      </c>
      <c r="T212" s="2" t="str">
        <f t="shared" si="19"/>
        <v>Major Delay</v>
      </c>
    </row>
    <row r="213" spans="1:20" x14ac:dyDescent="0.35">
      <c r="A213" s="2" t="s">
        <v>569</v>
      </c>
      <c r="B213" s="2" t="s">
        <v>24</v>
      </c>
      <c r="C213" s="2" t="s">
        <v>570</v>
      </c>
      <c r="D213" s="2" t="s">
        <v>18</v>
      </c>
      <c r="E213" s="2" t="s">
        <v>85</v>
      </c>
      <c r="F213" s="2" t="s">
        <v>39</v>
      </c>
      <c r="G213" s="2" t="s">
        <v>111</v>
      </c>
      <c r="H213" s="3">
        <v>45556.336111111108</v>
      </c>
      <c r="I213" s="3">
        <v>45556.461805555555</v>
      </c>
      <c r="J213" s="2">
        <v>89</v>
      </c>
      <c r="K213" s="2">
        <v>181</v>
      </c>
      <c r="L213" s="2">
        <v>1</v>
      </c>
      <c r="M213" s="2" t="s">
        <v>22</v>
      </c>
      <c r="N213" s="2">
        <v>4</v>
      </c>
      <c r="O213" s="2">
        <v>235.85</v>
      </c>
      <c r="P213" s="2">
        <f t="shared" si="15"/>
        <v>92</v>
      </c>
      <c r="Q213" s="4">
        <f t="shared" si="16"/>
        <v>0.49171270718232046</v>
      </c>
      <c r="R213" s="2" t="str">
        <f t="shared" si="17"/>
        <v>Inefficient</v>
      </c>
      <c r="S213" s="2" t="str">
        <f t="shared" si="18"/>
        <v>Very Long</v>
      </c>
      <c r="T213" s="2" t="str">
        <f t="shared" si="19"/>
        <v>Major Delay</v>
      </c>
    </row>
    <row r="214" spans="1:20" x14ac:dyDescent="0.35">
      <c r="A214" s="2" t="s">
        <v>571</v>
      </c>
      <c r="B214" s="2" t="s">
        <v>16</v>
      </c>
      <c r="C214" s="2" t="s">
        <v>572</v>
      </c>
      <c r="D214" s="2" t="s">
        <v>48</v>
      </c>
      <c r="E214" s="2" t="s">
        <v>19</v>
      </c>
      <c r="F214" s="2" t="s">
        <v>27</v>
      </c>
      <c r="G214" s="2" t="s">
        <v>335</v>
      </c>
      <c r="H214" s="3">
        <v>45610.384027777778</v>
      </c>
      <c r="I214" s="3">
        <v>45610.59375</v>
      </c>
      <c r="J214" s="2">
        <v>218</v>
      </c>
      <c r="K214" s="2">
        <v>302</v>
      </c>
      <c r="L214" s="2">
        <v>1</v>
      </c>
      <c r="M214" s="2" t="s">
        <v>22</v>
      </c>
      <c r="N214" s="2">
        <v>2</v>
      </c>
      <c r="O214" s="2">
        <v>84.79</v>
      </c>
      <c r="P214" s="2">
        <f t="shared" si="15"/>
        <v>84</v>
      </c>
      <c r="Q214" s="4">
        <f t="shared" si="16"/>
        <v>0.72185430463576161</v>
      </c>
      <c r="R214" s="2" t="str">
        <f t="shared" si="17"/>
        <v>Inefficient</v>
      </c>
      <c r="S214" s="2" t="str">
        <f t="shared" si="18"/>
        <v>Very Long</v>
      </c>
      <c r="T214" s="2" t="str">
        <f t="shared" si="19"/>
        <v>Major Delay</v>
      </c>
    </row>
    <row r="215" spans="1:20" x14ac:dyDescent="0.35">
      <c r="A215" s="2" t="s">
        <v>573</v>
      </c>
      <c r="B215" s="2" t="s">
        <v>51</v>
      </c>
      <c r="C215" s="2" t="s">
        <v>574</v>
      </c>
      <c r="D215" s="2" t="s">
        <v>56</v>
      </c>
      <c r="E215" s="2" t="s">
        <v>19</v>
      </c>
      <c r="F215" s="2" t="s">
        <v>27</v>
      </c>
      <c r="G215" s="2" t="s">
        <v>476</v>
      </c>
      <c r="H215" s="3">
        <v>45533.12777777778</v>
      </c>
      <c r="I215" s="3">
        <v>45533.196527777778</v>
      </c>
      <c r="J215" s="2">
        <v>81</v>
      </c>
      <c r="K215" s="2">
        <v>99</v>
      </c>
      <c r="L215" s="2">
        <v>1</v>
      </c>
      <c r="M215" s="2" t="s">
        <v>29</v>
      </c>
      <c r="N215" s="2">
        <v>4</v>
      </c>
      <c r="O215" s="2">
        <v>415.19</v>
      </c>
      <c r="P215" s="2">
        <f t="shared" si="15"/>
        <v>18</v>
      </c>
      <c r="Q215" s="4">
        <f t="shared" si="16"/>
        <v>0.81818181818181823</v>
      </c>
      <c r="R215" s="2" t="str">
        <f t="shared" si="17"/>
        <v>Inefficient</v>
      </c>
      <c r="S215" s="2" t="str">
        <f t="shared" si="18"/>
        <v>Long</v>
      </c>
      <c r="T215" s="2" t="str">
        <f t="shared" si="19"/>
        <v>Minor Delay</v>
      </c>
    </row>
    <row r="216" spans="1:20" x14ac:dyDescent="0.35">
      <c r="A216" s="2" t="s">
        <v>575</v>
      </c>
      <c r="B216" s="2" t="s">
        <v>51</v>
      </c>
      <c r="C216" s="2" t="s">
        <v>576</v>
      </c>
      <c r="D216" s="2" t="s">
        <v>18</v>
      </c>
      <c r="E216" s="2" t="s">
        <v>19</v>
      </c>
      <c r="F216" s="2" t="s">
        <v>39</v>
      </c>
      <c r="G216" s="2" t="s">
        <v>577</v>
      </c>
      <c r="H216" s="3">
        <v>45334.120833333334</v>
      </c>
      <c r="I216" s="3">
        <v>45334.253472222219</v>
      </c>
      <c r="J216" s="2">
        <v>88</v>
      </c>
      <c r="K216" s="2">
        <v>191</v>
      </c>
      <c r="L216" s="2">
        <v>1</v>
      </c>
      <c r="M216" s="2" t="s">
        <v>29</v>
      </c>
      <c r="N216" s="2">
        <v>8</v>
      </c>
      <c r="O216" s="2">
        <v>58.59</v>
      </c>
      <c r="P216" s="2">
        <f t="shared" si="15"/>
        <v>103</v>
      </c>
      <c r="Q216" s="4">
        <f t="shared" si="16"/>
        <v>0.4607329842931937</v>
      </c>
      <c r="R216" s="2" t="str">
        <f t="shared" si="17"/>
        <v>Inefficient</v>
      </c>
      <c r="S216" s="2" t="str">
        <f t="shared" si="18"/>
        <v>Very Long</v>
      </c>
      <c r="T216" s="2" t="str">
        <f t="shared" si="19"/>
        <v>Major Delay</v>
      </c>
    </row>
    <row r="217" spans="1:20" x14ac:dyDescent="0.35">
      <c r="A217" s="2" t="s">
        <v>578</v>
      </c>
      <c r="B217" s="2" t="s">
        <v>51</v>
      </c>
      <c r="C217" s="2" t="s">
        <v>579</v>
      </c>
      <c r="D217" s="2" t="s">
        <v>18</v>
      </c>
      <c r="E217" s="2" t="s">
        <v>19</v>
      </c>
      <c r="F217" s="2" t="s">
        <v>57</v>
      </c>
      <c r="G217" s="2" t="s">
        <v>123</v>
      </c>
      <c r="H217" s="3">
        <v>45387.241666666669</v>
      </c>
      <c r="I217" s="3">
        <v>45387.418055555558</v>
      </c>
      <c r="J217" s="2">
        <v>186</v>
      </c>
      <c r="K217" s="2">
        <v>254</v>
      </c>
      <c r="L217" s="2">
        <v>1</v>
      </c>
      <c r="M217" s="2" t="s">
        <v>29</v>
      </c>
      <c r="N217" s="2">
        <v>6</v>
      </c>
      <c r="O217" s="2">
        <v>161.52000000000001</v>
      </c>
      <c r="P217" s="2">
        <f t="shared" si="15"/>
        <v>68</v>
      </c>
      <c r="Q217" s="4">
        <f t="shared" si="16"/>
        <v>0.73228346456692917</v>
      </c>
      <c r="R217" s="2" t="str">
        <f t="shared" si="17"/>
        <v>Inefficient</v>
      </c>
      <c r="S217" s="2" t="str">
        <f t="shared" si="18"/>
        <v>Very Long</v>
      </c>
      <c r="T217" s="2" t="str">
        <f t="shared" si="19"/>
        <v>Major Delay</v>
      </c>
    </row>
    <row r="218" spans="1:20" x14ac:dyDescent="0.35">
      <c r="A218" s="2" t="s">
        <v>580</v>
      </c>
      <c r="B218" s="2" t="s">
        <v>24</v>
      </c>
      <c r="C218" s="2" t="s">
        <v>581</v>
      </c>
      <c r="D218" s="2" t="s">
        <v>48</v>
      </c>
      <c r="E218" s="2" t="s">
        <v>38</v>
      </c>
      <c r="F218" s="2" t="s">
        <v>34</v>
      </c>
      <c r="G218" s="2" t="s">
        <v>456</v>
      </c>
      <c r="H218" s="3">
        <v>45434.638194444444</v>
      </c>
      <c r="I218" s="3">
        <v>45434.681250000001</v>
      </c>
      <c r="J218" s="2">
        <v>56</v>
      </c>
      <c r="K218" s="2">
        <v>62</v>
      </c>
      <c r="L218" s="2">
        <v>1</v>
      </c>
      <c r="M218" s="2" t="s">
        <v>41</v>
      </c>
      <c r="N218" s="2">
        <v>7</v>
      </c>
      <c r="O218" s="2">
        <v>347.6</v>
      </c>
      <c r="P218" s="2">
        <f t="shared" si="15"/>
        <v>6</v>
      </c>
      <c r="Q218" s="4">
        <f t="shared" si="16"/>
        <v>0.90322580645161288</v>
      </c>
      <c r="R218" s="2" t="str">
        <f t="shared" si="17"/>
        <v>Inefficient</v>
      </c>
      <c r="S218" s="2" t="str">
        <f t="shared" si="18"/>
        <v>Long</v>
      </c>
      <c r="T218" s="2" t="str">
        <f t="shared" si="19"/>
        <v>Minor Delay</v>
      </c>
    </row>
    <row r="219" spans="1:20" x14ac:dyDescent="0.35">
      <c r="A219" s="2" t="s">
        <v>582</v>
      </c>
      <c r="B219" s="2" t="s">
        <v>24</v>
      </c>
      <c r="C219" s="2" t="s">
        <v>583</v>
      </c>
      <c r="D219" s="2" t="s">
        <v>44</v>
      </c>
      <c r="E219" s="2" t="s">
        <v>38</v>
      </c>
      <c r="F219" s="2" t="s">
        <v>57</v>
      </c>
      <c r="G219" s="2" t="s">
        <v>521</v>
      </c>
      <c r="H219" s="3">
        <v>45633.994444444441</v>
      </c>
      <c r="I219" s="3">
        <v>45634.094444444447</v>
      </c>
      <c r="J219" s="2">
        <v>122</v>
      </c>
      <c r="K219" s="2">
        <v>144</v>
      </c>
      <c r="L219" s="2">
        <v>1</v>
      </c>
      <c r="M219" s="2" t="s">
        <v>29</v>
      </c>
      <c r="N219" s="2">
        <v>6</v>
      </c>
      <c r="O219" s="2">
        <v>184.99</v>
      </c>
      <c r="P219" s="2">
        <f t="shared" si="15"/>
        <v>22</v>
      </c>
      <c r="Q219" s="4">
        <f t="shared" si="16"/>
        <v>0.84722222222222221</v>
      </c>
      <c r="R219" s="2" t="str">
        <f t="shared" si="17"/>
        <v>Inefficient</v>
      </c>
      <c r="S219" s="2" t="str">
        <f t="shared" si="18"/>
        <v>Very Long</v>
      </c>
      <c r="T219" s="2" t="str">
        <f t="shared" si="19"/>
        <v>Minor Delay</v>
      </c>
    </row>
    <row r="220" spans="1:20" x14ac:dyDescent="0.35">
      <c r="A220" s="2" t="s">
        <v>584</v>
      </c>
      <c r="B220" s="2" t="s">
        <v>51</v>
      </c>
      <c r="C220" s="2" t="s">
        <v>585</v>
      </c>
      <c r="D220" s="2" t="s">
        <v>44</v>
      </c>
      <c r="E220" s="2" t="s">
        <v>19</v>
      </c>
      <c r="F220" s="2" t="s">
        <v>57</v>
      </c>
      <c r="G220" s="2" t="s">
        <v>237</v>
      </c>
      <c r="H220" s="3">
        <v>45571.354861111111</v>
      </c>
      <c r="I220" s="3">
        <v>45571.463194444441</v>
      </c>
      <c r="J220" s="2">
        <v>65</v>
      </c>
      <c r="K220" s="2">
        <v>156</v>
      </c>
      <c r="L220" s="2">
        <v>1</v>
      </c>
      <c r="M220" s="2" t="s">
        <v>22</v>
      </c>
      <c r="N220" s="2">
        <v>7</v>
      </c>
      <c r="O220" s="2">
        <v>195.6</v>
      </c>
      <c r="P220" s="2">
        <f t="shared" si="15"/>
        <v>91</v>
      </c>
      <c r="Q220" s="4">
        <f t="shared" si="16"/>
        <v>0.41666666666666669</v>
      </c>
      <c r="R220" s="2" t="str">
        <f t="shared" si="17"/>
        <v>Inefficient</v>
      </c>
      <c r="S220" s="2" t="str">
        <f t="shared" si="18"/>
        <v>Very Long</v>
      </c>
      <c r="T220" s="2" t="str">
        <f t="shared" si="19"/>
        <v>Major Delay</v>
      </c>
    </row>
    <row r="221" spans="1:20" x14ac:dyDescent="0.35">
      <c r="A221" s="2" t="s">
        <v>586</v>
      </c>
      <c r="B221" s="2" t="s">
        <v>51</v>
      </c>
      <c r="C221" s="2" t="s">
        <v>587</v>
      </c>
      <c r="D221" s="2" t="s">
        <v>18</v>
      </c>
      <c r="E221" s="2" t="s">
        <v>85</v>
      </c>
      <c r="F221" s="2" t="s">
        <v>57</v>
      </c>
      <c r="G221" s="2" t="s">
        <v>117</v>
      </c>
      <c r="H221" s="3">
        <v>45411.503472222219</v>
      </c>
      <c r="I221" s="3">
        <v>45411.630555555559</v>
      </c>
      <c r="J221" s="2">
        <v>112</v>
      </c>
      <c r="K221" s="2">
        <v>183</v>
      </c>
      <c r="L221" s="2">
        <v>1</v>
      </c>
      <c r="M221" s="2" t="s">
        <v>29</v>
      </c>
      <c r="N221" s="2">
        <v>6</v>
      </c>
      <c r="O221" s="2">
        <v>387.51</v>
      </c>
      <c r="P221" s="2">
        <f t="shared" si="15"/>
        <v>71</v>
      </c>
      <c r="Q221" s="4">
        <f t="shared" si="16"/>
        <v>0.61202185792349728</v>
      </c>
      <c r="R221" s="2" t="str">
        <f t="shared" si="17"/>
        <v>Inefficient</v>
      </c>
      <c r="S221" s="2" t="str">
        <f t="shared" si="18"/>
        <v>Very Long</v>
      </c>
      <c r="T221" s="2" t="str">
        <f t="shared" si="19"/>
        <v>Major Delay</v>
      </c>
    </row>
    <row r="222" spans="1:20" x14ac:dyDescent="0.35">
      <c r="A222" s="2" t="s">
        <v>588</v>
      </c>
      <c r="B222" s="2" t="s">
        <v>63</v>
      </c>
      <c r="C222" s="2" t="s">
        <v>589</v>
      </c>
      <c r="D222" s="2" t="s">
        <v>18</v>
      </c>
      <c r="E222" s="2" t="s">
        <v>19</v>
      </c>
      <c r="F222" s="2" t="s">
        <v>57</v>
      </c>
      <c r="G222" s="2" t="s">
        <v>296</v>
      </c>
      <c r="H222" s="3">
        <v>45477.693749999999</v>
      </c>
      <c r="I222" s="3">
        <v>45477.801388888889</v>
      </c>
      <c r="J222" s="2">
        <v>157</v>
      </c>
      <c r="K222" s="2">
        <v>155</v>
      </c>
      <c r="L222" s="2">
        <v>0</v>
      </c>
      <c r="M222" s="2" t="s">
        <v>41</v>
      </c>
      <c r="N222" s="2">
        <v>6</v>
      </c>
      <c r="O222" s="2">
        <v>358.87</v>
      </c>
      <c r="P222" s="2">
        <f t="shared" si="15"/>
        <v>-2</v>
      </c>
      <c r="Q222" s="4">
        <f t="shared" si="16"/>
        <v>1.0129032258064516</v>
      </c>
      <c r="R222" s="2" t="str">
        <f t="shared" si="17"/>
        <v>Efficient</v>
      </c>
      <c r="S222" s="2" t="str">
        <f t="shared" si="18"/>
        <v>Very Long</v>
      </c>
      <c r="T222" s="2" t="str">
        <f t="shared" si="19"/>
        <v>On Time</v>
      </c>
    </row>
    <row r="223" spans="1:20" x14ac:dyDescent="0.35">
      <c r="A223" s="2" t="s">
        <v>590</v>
      </c>
      <c r="B223" s="2" t="s">
        <v>31</v>
      </c>
      <c r="C223" s="2" t="s">
        <v>591</v>
      </c>
      <c r="D223" s="2" t="s">
        <v>44</v>
      </c>
      <c r="E223" s="2" t="s">
        <v>19</v>
      </c>
      <c r="F223" s="2" t="s">
        <v>39</v>
      </c>
      <c r="G223" s="2" t="s">
        <v>354</v>
      </c>
      <c r="H223" s="3">
        <v>45408.115277777775</v>
      </c>
      <c r="I223" s="3">
        <v>45408.201388888891</v>
      </c>
      <c r="J223" s="2">
        <v>128</v>
      </c>
      <c r="K223" s="2">
        <v>124</v>
      </c>
      <c r="L223" s="2">
        <v>0</v>
      </c>
      <c r="M223" s="2" t="s">
        <v>41</v>
      </c>
      <c r="N223" s="2">
        <v>1</v>
      </c>
      <c r="O223" s="2">
        <v>308.68</v>
      </c>
      <c r="P223" s="2">
        <f t="shared" si="15"/>
        <v>-4</v>
      </c>
      <c r="Q223" s="4">
        <f t="shared" si="16"/>
        <v>1.032258064516129</v>
      </c>
      <c r="R223" s="2" t="str">
        <f t="shared" si="17"/>
        <v>Efficient</v>
      </c>
      <c r="S223" s="2" t="str">
        <f t="shared" si="18"/>
        <v>Very Long</v>
      </c>
      <c r="T223" s="2" t="str">
        <f t="shared" si="19"/>
        <v>On Time</v>
      </c>
    </row>
    <row r="224" spans="1:20" x14ac:dyDescent="0.35">
      <c r="A224" s="2" t="s">
        <v>592</v>
      </c>
      <c r="B224" s="2" t="s">
        <v>24</v>
      </c>
      <c r="C224" s="2" t="s">
        <v>593</v>
      </c>
      <c r="D224" s="2" t="s">
        <v>56</v>
      </c>
      <c r="E224" s="2" t="s">
        <v>38</v>
      </c>
      <c r="F224" s="2" t="s">
        <v>20</v>
      </c>
      <c r="G224" s="2" t="s">
        <v>594</v>
      </c>
      <c r="H224" s="3">
        <v>45320.051388888889</v>
      </c>
      <c r="I224" s="3">
        <v>45320.13958333333</v>
      </c>
      <c r="J224" s="2">
        <v>13</v>
      </c>
      <c r="K224" s="2">
        <v>127</v>
      </c>
      <c r="L224" s="2">
        <v>1</v>
      </c>
      <c r="M224" s="2" t="s">
        <v>29</v>
      </c>
      <c r="N224" s="2">
        <v>9</v>
      </c>
      <c r="O224" s="2">
        <v>497.37</v>
      </c>
      <c r="P224" s="2">
        <f t="shared" si="15"/>
        <v>114</v>
      </c>
      <c r="Q224" s="4">
        <f t="shared" si="16"/>
        <v>0.10236220472440945</v>
      </c>
      <c r="R224" s="2" t="str">
        <f t="shared" si="17"/>
        <v>Inefficient</v>
      </c>
      <c r="S224" s="2" t="str">
        <f t="shared" si="18"/>
        <v>Very Long</v>
      </c>
      <c r="T224" s="2" t="str">
        <f t="shared" si="19"/>
        <v>Major Delay</v>
      </c>
    </row>
    <row r="225" spans="1:20" x14ac:dyDescent="0.35">
      <c r="A225" s="2" t="s">
        <v>595</v>
      </c>
      <c r="B225" s="2" t="s">
        <v>63</v>
      </c>
      <c r="C225" s="2" t="s">
        <v>596</v>
      </c>
      <c r="D225" s="2" t="s">
        <v>26</v>
      </c>
      <c r="E225" s="2" t="s">
        <v>33</v>
      </c>
      <c r="F225" s="2" t="s">
        <v>57</v>
      </c>
      <c r="G225" s="2" t="s">
        <v>228</v>
      </c>
      <c r="H225" s="3">
        <v>45516.965277777781</v>
      </c>
      <c r="I225" s="3">
        <v>45517.063194444447</v>
      </c>
      <c r="J225" s="2">
        <v>35</v>
      </c>
      <c r="K225" s="2">
        <v>141</v>
      </c>
      <c r="L225" s="2">
        <v>1</v>
      </c>
      <c r="M225" s="2" t="s">
        <v>22</v>
      </c>
      <c r="N225" s="2">
        <v>4</v>
      </c>
      <c r="O225" s="2">
        <v>56.41</v>
      </c>
      <c r="P225" s="2">
        <f t="shared" si="15"/>
        <v>106</v>
      </c>
      <c r="Q225" s="4">
        <f t="shared" si="16"/>
        <v>0.24822695035460993</v>
      </c>
      <c r="R225" s="2" t="str">
        <f t="shared" si="17"/>
        <v>Inefficient</v>
      </c>
      <c r="S225" s="2" t="str">
        <f t="shared" si="18"/>
        <v>Very Long</v>
      </c>
      <c r="T225" s="2" t="str">
        <f t="shared" si="19"/>
        <v>Major Delay</v>
      </c>
    </row>
    <row r="226" spans="1:20" x14ac:dyDescent="0.35">
      <c r="A226" s="2" t="s">
        <v>597</v>
      </c>
      <c r="B226" s="2" t="s">
        <v>24</v>
      </c>
      <c r="C226" s="2" t="s">
        <v>598</v>
      </c>
      <c r="D226" s="2" t="s">
        <v>56</v>
      </c>
      <c r="E226" s="2" t="s">
        <v>38</v>
      </c>
      <c r="F226" s="2" t="s">
        <v>57</v>
      </c>
      <c r="G226" s="2" t="s">
        <v>599</v>
      </c>
      <c r="H226" s="3">
        <v>45434.3125</v>
      </c>
      <c r="I226" s="3">
        <v>45434.510416666664</v>
      </c>
      <c r="J226" s="2">
        <v>187</v>
      </c>
      <c r="K226" s="2">
        <v>285</v>
      </c>
      <c r="L226" s="2">
        <v>1</v>
      </c>
      <c r="M226" s="2" t="s">
        <v>41</v>
      </c>
      <c r="N226" s="2">
        <v>9</v>
      </c>
      <c r="O226" s="2">
        <v>417.75</v>
      </c>
      <c r="P226" s="2">
        <f t="shared" si="15"/>
        <v>98</v>
      </c>
      <c r="Q226" s="4">
        <f t="shared" si="16"/>
        <v>0.65614035087719302</v>
      </c>
      <c r="R226" s="2" t="str">
        <f t="shared" si="17"/>
        <v>Inefficient</v>
      </c>
      <c r="S226" s="2" t="str">
        <f t="shared" si="18"/>
        <v>Very Long</v>
      </c>
      <c r="T226" s="2" t="str">
        <f t="shared" si="19"/>
        <v>Major Delay</v>
      </c>
    </row>
    <row r="227" spans="1:20" x14ac:dyDescent="0.35">
      <c r="A227" s="2" t="s">
        <v>600</v>
      </c>
      <c r="B227" s="2" t="s">
        <v>24</v>
      </c>
      <c r="C227" s="2" t="s">
        <v>601</v>
      </c>
      <c r="D227" s="2" t="s">
        <v>26</v>
      </c>
      <c r="E227" s="2" t="s">
        <v>85</v>
      </c>
      <c r="F227" s="2" t="s">
        <v>39</v>
      </c>
      <c r="G227" s="2" t="s">
        <v>602</v>
      </c>
      <c r="H227" s="3">
        <v>45394.038194444445</v>
      </c>
      <c r="I227" s="3">
        <v>45394.163194444445</v>
      </c>
      <c r="J227" s="2">
        <v>166</v>
      </c>
      <c r="K227" s="2">
        <v>180</v>
      </c>
      <c r="L227" s="2">
        <v>1</v>
      </c>
      <c r="M227" s="2" t="s">
        <v>22</v>
      </c>
      <c r="N227" s="2">
        <v>6</v>
      </c>
      <c r="O227" s="2">
        <v>241.19</v>
      </c>
      <c r="P227" s="2">
        <f t="shared" si="15"/>
        <v>14</v>
      </c>
      <c r="Q227" s="4">
        <f t="shared" si="16"/>
        <v>0.92222222222222228</v>
      </c>
      <c r="R227" s="2" t="str">
        <f t="shared" si="17"/>
        <v>Inefficient</v>
      </c>
      <c r="S227" s="2" t="str">
        <f t="shared" si="18"/>
        <v>Very Long</v>
      </c>
      <c r="T227" s="2" t="str">
        <f t="shared" si="19"/>
        <v>Minor Delay</v>
      </c>
    </row>
    <row r="228" spans="1:20" x14ac:dyDescent="0.35">
      <c r="A228" s="2" t="s">
        <v>603</v>
      </c>
      <c r="B228" s="2" t="s">
        <v>24</v>
      </c>
      <c r="C228" s="2" t="s">
        <v>604</v>
      </c>
      <c r="D228" s="2" t="s">
        <v>44</v>
      </c>
      <c r="E228" s="2" t="s">
        <v>19</v>
      </c>
      <c r="F228" s="2" t="s">
        <v>34</v>
      </c>
      <c r="G228" s="2" t="s">
        <v>132</v>
      </c>
      <c r="H228" s="3">
        <v>45446.275694444441</v>
      </c>
      <c r="I228" s="3">
        <v>45446.395138888889</v>
      </c>
      <c r="J228" s="2">
        <v>56</v>
      </c>
      <c r="K228" s="2">
        <v>172</v>
      </c>
      <c r="L228" s="2">
        <v>1</v>
      </c>
      <c r="M228" s="2" t="s">
        <v>41</v>
      </c>
      <c r="N228" s="2">
        <v>5</v>
      </c>
      <c r="O228" s="2">
        <v>262.04000000000002</v>
      </c>
      <c r="P228" s="2">
        <f t="shared" si="15"/>
        <v>116</v>
      </c>
      <c r="Q228" s="4">
        <f t="shared" si="16"/>
        <v>0.32558139534883723</v>
      </c>
      <c r="R228" s="2" t="str">
        <f t="shared" si="17"/>
        <v>Inefficient</v>
      </c>
      <c r="S228" s="2" t="str">
        <f t="shared" si="18"/>
        <v>Very Long</v>
      </c>
      <c r="T228" s="2" t="str">
        <f t="shared" si="19"/>
        <v>Major Delay</v>
      </c>
    </row>
    <row r="229" spans="1:20" x14ac:dyDescent="0.35">
      <c r="A229" s="2" t="s">
        <v>605</v>
      </c>
      <c r="B229" s="2" t="s">
        <v>24</v>
      </c>
      <c r="C229" s="2" t="s">
        <v>606</v>
      </c>
      <c r="D229" s="2" t="s">
        <v>26</v>
      </c>
      <c r="E229" s="2" t="s">
        <v>19</v>
      </c>
      <c r="F229" s="2" t="s">
        <v>34</v>
      </c>
      <c r="G229" s="2" t="s">
        <v>146</v>
      </c>
      <c r="H229" s="3">
        <v>45450.770833333336</v>
      </c>
      <c r="I229" s="3">
        <v>45450.9</v>
      </c>
      <c r="J229" s="2">
        <v>157</v>
      </c>
      <c r="K229" s="2">
        <v>186</v>
      </c>
      <c r="L229" s="2">
        <v>1</v>
      </c>
      <c r="M229" s="2" t="s">
        <v>22</v>
      </c>
      <c r="N229" s="2">
        <v>3</v>
      </c>
      <c r="O229" s="2">
        <v>456.17</v>
      </c>
      <c r="P229" s="2">
        <f t="shared" si="15"/>
        <v>29</v>
      </c>
      <c r="Q229" s="4">
        <f t="shared" si="16"/>
        <v>0.84408602150537637</v>
      </c>
      <c r="R229" s="2" t="str">
        <f t="shared" si="17"/>
        <v>Inefficient</v>
      </c>
      <c r="S229" s="2" t="str">
        <f t="shared" si="18"/>
        <v>Very Long</v>
      </c>
      <c r="T229" s="2" t="str">
        <f t="shared" si="19"/>
        <v>Minor Delay</v>
      </c>
    </row>
    <row r="230" spans="1:20" x14ac:dyDescent="0.35">
      <c r="A230" s="2" t="s">
        <v>607</v>
      </c>
      <c r="B230" s="2" t="s">
        <v>31</v>
      </c>
      <c r="C230" s="2" t="s">
        <v>608</v>
      </c>
      <c r="D230" s="2" t="s">
        <v>44</v>
      </c>
      <c r="E230" s="2" t="s">
        <v>85</v>
      </c>
      <c r="F230" s="2" t="s">
        <v>34</v>
      </c>
      <c r="G230" s="2" t="s">
        <v>201</v>
      </c>
      <c r="H230" s="3">
        <v>45644.162499999999</v>
      </c>
      <c r="I230" s="3">
        <v>45644.277083333334</v>
      </c>
      <c r="J230" s="2">
        <v>64</v>
      </c>
      <c r="K230" s="2">
        <v>165</v>
      </c>
      <c r="L230" s="2">
        <v>1</v>
      </c>
      <c r="M230" s="2" t="s">
        <v>29</v>
      </c>
      <c r="N230" s="2">
        <v>3</v>
      </c>
      <c r="O230" s="2">
        <v>466.9</v>
      </c>
      <c r="P230" s="2">
        <f t="shared" si="15"/>
        <v>101</v>
      </c>
      <c r="Q230" s="4">
        <f t="shared" si="16"/>
        <v>0.38787878787878788</v>
      </c>
      <c r="R230" s="2" t="str">
        <f t="shared" si="17"/>
        <v>Inefficient</v>
      </c>
      <c r="S230" s="2" t="str">
        <f t="shared" si="18"/>
        <v>Very Long</v>
      </c>
      <c r="T230" s="2" t="str">
        <f t="shared" si="19"/>
        <v>Major Delay</v>
      </c>
    </row>
    <row r="231" spans="1:20" x14ac:dyDescent="0.35">
      <c r="A231" s="2" t="s">
        <v>609</v>
      </c>
      <c r="B231" s="2" t="s">
        <v>31</v>
      </c>
      <c r="C231" s="2" t="s">
        <v>610</v>
      </c>
      <c r="D231" s="2" t="s">
        <v>26</v>
      </c>
      <c r="E231" s="2" t="s">
        <v>38</v>
      </c>
      <c r="F231" s="2" t="s">
        <v>34</v>
      </c>
      <c r="G231" s="2" t="s">
        <v>354</v>
      </c>
      <c r="H231" s="3">
        <v>45376.814583333333</v>
      </c>
      <c r="I231" s="3">
        <v>45376.945138888892</v>
      </c>
      <c r="J231" s="2">
        <v>157</v>
      </c>
      <c r="K231" s="2">
        <v>188</v>
      </c>
      <c r="L231" s="2">
        <v>1</v>
      </c>
      <c r="M231" s="2" t="s">
        <v>22</v>
      </c>
      <c r="N231" s="2">
        <v>9</v>
      </c>
      <c r="O231" s="2">
        <v>188.88</v>
      </c>
      <c r="P231" s="2">
        <f t="shared" si="15"/>
        <v>31</v>
      </c>
      <c r="Q231" s="4">
        <f t="shared" si="16"/>
        <v>0.83510638297872342</v>
      </c>
      <c r="R231" s="2" t="str">
        <f t="shared" si="17"/>
        <v>Inefficient</v>
      </c>
      <c r="S231" s="2" t="str">
        <f t="shared" si="18"/>
        <v>Very Long</v>
      </c>
      <c r="T231" s="2" t="str">
        <f t="shared" si="19"/>
        <v>Major Delay</v>
      </c>
    </row>
    <row r="232" spans="1:20" x14ac:dyDescent="0.35">
      <c r="A232" s="2" t="s">
        <v>611</v>
      </c>
      <c r="B232" s="2" t="s">
        <v>16</v>
      </c>
      <c r="C232" s="2" t="s">
        <v>612</v>
      </c>
      <c r="D232" s="2" t="s">
        <v>48</v>
      </c>
      <c r="E232" s="2" t="s">
        <v>33</v>
      </c>
      <c r="F232" s="2" t="s">
        <v>27</v>
      </c>
      <c r="G232" s="2" t="s">
        <v>158</v>
      </c>
      <c r="H232" s="3">
        <v>45305.333333333336</v>
      </c>
      <c r="I232" s="3">
        <v>45305.549305555556</v>
      </c>
      <c r="J232" s="2">
        <v>228</v>
      </c>
      <c r="K232" s="2">
        <v>311</v>
      </c>
      <c r="L232" s="2">
        <v>1</v>
      </c>
      <c r="M232" s="2" t="s">
        <v>22</v>
      </c>
      <c r="N232" s="2">
        <v>10</v>
      </c>
      <c r="O232" s="2">
        <v>412.75</v>
      </c>
      <c r="P232" s="2">
        <f t="shared" si="15"/>
        <v>83</v>
      </c>
      <c r="Q232" s="4">
        <f t="shared" si="16"/>
        <v>0.73311897106109325</v>
      </c>
      <c r="R232" s="2" t="str">
        <f t="shared" si="17"/>
        <v>Inefficient</v>
      </c>
      <c r="S232" s="2" t="str">
        <f t="shared" si="18"/>
        <v>Very Long</v>
      </c>
      <c r="T232" s="2" t="str">
        <f t="shared" si="19"/>
        <v>Major Delay</v>
      </c>
    </row>
    <row r="233" spans="1:20" x14ac:dyDescent="0.35">
      <c r="A233" s="2" t="s">
        <v>613</v>
      </c>
      <c r="B233" s="2" t="s">
        <v>51</v>
      </c>
      <c r="C233" s="2" t="s">
        <v>614</v>
      </c>
      <c r="D233" s="2" t="s">
        <v>18</v>
      </c>
      <c r="E233" s="2" t="s">
        <v>38</v>
      </c>
      <c r="F233" s="2" t="s">
        <v>57</v>
      </c>
      <c r="G233" s="2" t="s">
        <v>615</v>
      </c>
      <c r="H233" s="3">
        <v>45508.968055555553</v>
      </c>
      <c r="I233" s="3">
        <v>45509.072916666664</v>
      </c>
      <c r="J233" s="2">
        <v>67</v>
      </c>
      <c r="K233" s="2">
        <v>151</v>
      </c>
      <c r="L233" s="2">
        <v>1</v>
      </c>
      <c r="M233" s="2" t="s">
        <v>41</v>
      </c>
      <c r="N233" s="2">
        <v>5</v>
      </c>
      <c r="O233" s="2">
        <v>130.94999999999999</v>
      </c>
      <c r="P233" s="2">
        <f t="shared" si="15"/>
        <v>84</v>
      </c>
      <c r="Q233" s="4">
        <f t="shared" si="16"/>
        <v>0.44370860927152317</v>
      </c>
      <c r="R233" s="2" t="str">
        <f t="shared" si="17"/>
        <v>Inefficient</v>
      </c>
      <c r="S233" s="2" t="str">
        <f t="shared" si="18"/>
        <v>Very Long</v>
      </c>
      <c r="T233" s="2" t="str">
        <f t="shared" si="19"/>
        <v>Major Delay</v>
      </c>
    </row>
    <row r="234" spans="1:20" x14ac:dyDescent="0.35">
      <c r="A234" s="2" t="s">
        <v>616</v>
      </c>
      <c r="B234" s="2" t="s">
        <v>51</v>
      </c>
      <c r="C234" s="2" t="s">
        <v>617</v>
      </c>
      <c r="D234" s="2" t="s">
        <v>56</v>
      </c>
      <c r="E234" s="2" t="s">
        <v>33</v>
      </c>
      <c r="F234" s="2" t="s">
        <v>34</v>
      </c>
      <c r="G234" s="2" t="s">
        <v>259</v>
      </c>
      <c r="H234" s="3">
        <v>45337.555555555555</v>
      </c>
      <c r="I234" s="3">
        <v>45337.722222222219</v>
      </c>
      <c r="J234" s="2">
        <v>163</v>
      </c>
      <c r="K234" s="2">
        <v>240</v>
      </c>
      <c r="L234" s="2">
        <v>1</v>
      </c>
      <c r="M234" s="2" t="s">
        <v>41</v>
      </c>
      <c r="N234" s="2">
        <v>2</v>
      </c>
      <c r="O234" s="2">
        <v>427.52</v>
      </c>
      <c r="P234" s="2">
        <f t="shared" si="15"/>
        <v>77</v>
      </c>
      <c r="Q234" s="4">
        <f t="shared" si="16"/>
        <v>0.6791666666666667</v>
      </c>
      <c r="R234" s="2" t="str">
        <f t="shared" si="17"/>
        <v>Inefficient</v>
      </c>
      <c r="S234" s="2" t="str">
        <f t="shared" si="18"/>
        <v>Very Long</v>
      </c>
      <c r="T234" s="2" t="str">
        <f t="shared" si="19"/>
        <v>Major Delay</v>
      </c>
    </row>
    <row r="235" spans="1:20" x14ac:dyDescent="0.35">
      <c r="A235" s="2" t="s">
        <v>618</v>
      </c>
      <c r="B235" s="2" t="s">
        <v>51</v>
      </c>
      <c r="C235" s="2" t="s">
        <v>619</v>
      </c>
      <c r="D235" s="2" t="s">
        <v>44</v>
      </c>
      <c r="E235" s="2" t="s">
        <v>19</v>
      </c>
      <c r="F235" s="2" t="s">
        <v>57</v>
      </c>
      <c r="G235" s="2" t="s">
        <v>402</v>
      </c>
      <c r="H235" s="3">
        <v>45384.329861111109</v>
      </c>
      <c r="I235" s="3">
        <v>45384.527777777781</v>
      </c>
      <c r="J235" s="2">
        <v>207</v>
      </c>
      <c r="K235" s="2">
        <v>285</v>
      </c>
      <c r="L235" s="2">
        <v>1</v>
      </c>
      <c r="M235" s="2" t="s">
        <v>22</v>
      </c>
      <c r="N235" s="2">
        <v>4</v>
      </c>
      <c r="O235" s="2">
        <v>89.47</v>
      </c>
      <c r="P235" s="2">
        <f t="shared" si="15"/>
        <v>78</v>
      </c>
      <c r="Q235" s="4">
        <f t="shared" si="16"/>
        <v>0.72631578947368425</v>
      </c>
      <c r="R235" s="2" t="str">
        <f t="shared" si="17"/>
        <v>Inefficient</v>
      </c>
      <c r="S235" s="2" t="str">
        <f t="shared" si="18"/>
        <v>Very Long</v>
      </c>
      <c r="T235" s="2" t="str">
        <f t="shared" si="19"/>
        <v>Major Delay</v>
      </c>
    </row>
    <row r="236" spans="1:20" x14ac:dyDescent="0.35">
      <c r="A236" s="2" t="s">
        <v>620</v>
      </c>
      <c r="B236" s="2" t="s">
        <v>16</v>
      </c>
      <c r="C236" s="2" t="s">
        <v>621</v>
      </c>
      <c r="D236" s="2" t="s">
        <v>48</v>
      </c>
      <c r="E236" s="2" t="s">
        <v>19</v>
      </c>
      <c r="F236" s="2" t="s">
        <v>57</v>
      </c>
      <c r="G236" s="2" t="s">
        <v>622</v>
      </c>
      <c r="H236" s="3">
        <v>45460.701388888891</v>
      </c>
      <c r="I236" s="3">
        <v>45460.814583333333</v>
      </c>
      <c r="J236" s="2">
        <v>118</v>
      </c>
      <c r="K236" s="2">
        <v>163</v>
      </c>
      <c r="L236" s="2">
        <v>1</v>
      </c>
      <c r="M236" s="2" t="s">
        <v>29</v>
      </c>
      <c r="N236" s="2">
        <v>10</v>
      </c>
      <c r="O236" s="2">
        <v>267.75</v>
      </c>
      <c r="P236" s="2">
        <f t="shared" si="15"/>
        <v>45</v>
      </c>
      <c r="Q236" s="4">
        <f t="shared" si="16"/>
        <v>0.7239263803680982</v>
      </c>
      <c r="R236" s="2" t="str">
        <f t="shared" si="17"/>
        <v>Inefficient</v>
      </c>
      <c r="S236" s="2" t="str">
        <f t="shared" si="18"/>
        <v>Very Long</v>
      </c>
      <c r="T236" s="2" t="str">
        <f t="shared" si="19"/>
        <v>Major Delay</v>
      </c>
    </row>
    <row r="237" spans="1:20" x14ac:dyDescent="0.35">
      <c r="A237" s="2" t="s">
        <v>623</v>
      </c>
      <c r="B237" s="2" t="s">
        <v>51</v>
      </c>
      <c r="C237" s="2" t="s">
        <v>624</v>
      </c>
      <c r="D237" s="2" t="s">
        <v>48</v>
      </c>
      <c r="E237" s="2" t="s">
        <v>19</v>
      </c>
      <c r="F237" s="2" t="s">
        <v>34</v>
      </c>
      <c r="G237" s="2" t="s">
        <v>143</v>
      </c>
      <c r="H237" s="3">
        <v>45523.540972222225</v>
      </c>
      <c r="I237" s="3">
        <v>45523.732638888891</v>
      </c>
      <c r="J237" s="2">
        <v>157</v>
      </c>
      <c r="K237" s="2">
        <v>276</v>
      </c>
      <c r="L237" s="2">
        <v>1</v>
      </c>
      <c r="M237" s="2" t="s">
        <v>41</v>
      </c>
      <c r="N237" s="2">
        <v>7</v>
      </c>
      <c r="O237" s="2">
        <v>183.41</v>
      </c>
      <c r="P237" s="2">
        <f t="shared" si="15"/>
        <v>119</v>
      </c>
      <c r="Q237" s="4">
        <f t="shared" si="16"/>
        <v>0.5688405797101449</v>
      </c>
      <c r="R237" s="2" t="str">
        <f t="shared" si="17"/>
        <v>Inefficient</v>
      </c>
      <c r="S237" s="2" t="str">
        <f t="shared" si="18"/>
        <v>Very Long</v>
      </c>
      <c r="T237" s="2" t="str">
        <f t="shared" si="19"/>
        <v>Major Delay</v>
      </c>
    </row>
    <row r="238" spans="1:20" x14ac:dyDescent="0.35">
      <c r="A238" s="2" t="s">
        <v>625</v>
      </c>
      <c r="B238" s="2" t="s">
        <v>31</v>
      </c>
      <c r="C238" s="2" t="s">
        <v>626</v>
      </c>
      <c r="D238" s="2" t="s">
        <v>26</v>
      </c>
      <c r="E238" s="2" t="s">
        <v>33</v>
      </c>
      <c r="F238" s="2" t="s">
        <v>39</v>
      </c>
      <c r="G238" s="2" t="s">
        <v>415</v>
      </c>
      <c r="H238" s="3">
        <v>45493.004861111112</v>
      </c>
      <c r="I238" s="3">
        <v>45493.150694444441</v>
      </c>
      <c r="J238" s="2">
        <v>153</v>
      </c>
      <c r="K238" s="2">
        <v>210</v>
      </c>
      <c r="L238" s="2">
        <v>1</v>
      </c>
      <c r="M238" s="2" t="s">
        <v>22</v>
      </c>
      <c r="N238" s="2">
        <v>10</v>
      </c>
      <c r="O238" s="2">
        <v>386.66</v>
      </c>
      <c r="P238" s="2">
        <f t="shared" si="15"/>
        <v>57</v>
      </c>
      <c r="Q238" s="4">
        <f t="shared" si="16"/>
        <v>0.72857142857142854</v>
      </c>
      <c r="R238" s="2" t="str">
        <f t="shared" si="17"/>
        <v>Inefficient</v>
      </c>
      <c r="S238" s="2" t="str">
        <f t="shared" si="18"/>
        <v>Very Long</v>
      </c>
      <c r="T238" s="2" t="str">
        <f t="shared" si="19"/>
        <v>Major Delay</v>
      </c>
    </row>
    <row r="239" spans="1:20" x14ac:dyDescent="0.35">
      <c r="A239" s="2" t="s">
        <v>627</v>
      </c>
      <c r="B239" s="2" t="s">
        <v>16</v>
      </c>
      <c r="C239" s="2" t="s">
        <v>628</v>
      </c>
      <c r="D239" s="2" t="s">
        <v>26</v>
      </c>
      <c r="E239" s="2" t="s">
        <v>19</v>
      </c>
      <c r="F239" s="2" t="s">
        <v>57</v>
      </c>
      <c r="G239" s="2" t="s">
        <v>231</v>
      </c>
      <c r="H239" s="3">
        <v>45642.859027777777</v>
      </c>
      <c r="I239" s="3">
        <v>45642.949305555558</v>
      </c>
      <c r="J239" s="2">
        <v>122</v>
      </c>
      <c r="K239" s="2">
        <v>130</v>
      </c>
      <c r="L239" s="2">
        <v>1</v>
      </c>
      <c r="M239" s="2" t="s">
        <v>29</v>
      </c>
      <c r="N239" s="2">
        <v>2</v>
      </c>
      <c r="O239" s="2">
        <v>213.76</v>
      </c>
      <c r="P239" s="2">
        <f t="shared" si="15"/>
        <v>8</v>
      </c>
      <c r="Q239" s="4">
        <f t="shared" si="16"/>
        <v>0.93846153846153846</v>
      </c>
      <c r="R239" s="2" t="str">
        <f t="shared" si="17"/>
        <v>Inefficient</v>
      </c>
      <c r="S239" s="2" t="str">
        <f t="shared" si="18"/>
        <v>Very Long</v>
      </c>
      <c r="T239" s="2" t="str">
        <f t="shared" si="19"/>
        <v>Minor Delay</v>
      </c>
    </row>
    <row r="240" spans="1:20" x14ac:dyDescent="0.35">
      <c r="A240" s="2" t="s">
        <v>629</v>
      </c>
      <c r="B240" s="2" t="s">
        <v>31</v>
      </c>
      <c r="C240" s="2" t="s">
        <v>630</v>
      </c>
      <c r="D240" s="2" t="s">
        <v>56</v>
      </c>
      <c r="E240" s="2" t="s">
        <v>38</v>
      </c>
      <c r="F240" s="2" t="s">
        <v>20</v>
      </c>
      <c r="G240" s="2" t="s">
        <v>631</v>
      </c>
      <c r="H240" s="3">
        <v>45523.921527777777</v>
      </c>
      <c r="I240" s="3">
        <v>45524.010416666664</v>
      </c>
      <c r="J240" s="2">
        <v>108</v>
      </c>
      <c r="K240" s="2">
        <v>128</v>
      </c>
      <c r="L240" s="2">
        <v>1</v>
      </c>
      <c r="M240" s="2" t="s">
        <v>29</v>
      </c>
      <c r="N240" s="2">
        <v>5</v>
      </c>
      <c r="O240" s="2">
        <v>280.94</v>
      </c>
      <c r="P240" s="2">
        <f t="shared" si="15"/>
        <v>20</v>
      </c>
      <c r="Q240" s="4">
        <f t="shared" si="16"/>
        <v>0.84375</v>
      </c>
      <c r="R240" s="2" t="str">
        <f t="shared" si="17"/>
        <v>Inefficient</v>
      </c>
      <c r="S240" s="2" t="str">
        <f t="shared" si="18"/>
        <v>Very Long</v>
      </c>
      <c r="T240" s="2" t="str">
        <f t="shared" si="19"/>
        <v>Minor Delay</v>
      </c>
    </row>
    <row r="241" spans="1:20" x14ac:dyDescent="0.35">
      <c r="A241" s="2" t="s">
        <v>632</v>
      </c>
      <c r="B241" s="2" t="s">
        <v>16</v>
      </c>
      <c r="C241" s="2" t="s">
        <v>633</v>
      </c>
      <c r="D241" s="2" t="s">
        <v>56</v>
      </c>
      <c r="E241" s="2" t="s">
        <v>19</v>
      </c>
      <c r="F241" s="2" t="s">
        <v>34</v>
      </c>
      <c r="G241" s="2" t="s">
        <v>111</v>
      </c>
      <c r="H241" s="3">
        <v>45362.074305555558</v>
      </c>
      <c r="I241" s="3">
        <v>45362.138194444444</v>
      </c>
      <c r="J241" s="2">
        <v>97</v>
      </c>
      <c r="K241" s="2">
        <v>92</v>
      </c>
      <c r="L241" s="2">
        <v>0</v>
      </c>
      <c r="M241" s="2" t="s">
        <v>22</v>
      </c>
      <c r="N241" s="2">
        <v>2</v>
      </c>
      <c r="O241" s="2">
        <v>70.17</v>
      </c>
      <c r="P241" s="2">
        <f t="shared" si="15"/>
        <v>-5</v>
      </c>
      <c r="Q241" s="4">
        <f t="shared" si="16"/>
        <v>1.0543478260869565</v>
      </c>
      <c r="R241" s="2" t="str">
        <f t="shared" si="17"/>
        <v>Efficient</v>
      </c>
      <c r="S241" s="2" t="str">
        <f t="shared" si="18"/>
        <v>Long</v>
      </c>
      <c r="T241" s="2" t="str">
        <f t="shared" si="19"/>
        <v>On Time</v>
      </c>
    </row>
    <row r="242" spans="1:20" x14ac:dyDescent="0.35">
      <c r="A242" s="2" t="s">
        <v>634</v>
      </c>
      <c r="B242" s="2" t="s">
        <v>16</v>
      </c>
      <c r="C242" s="2" t="s">
        <v>635</v>
      </c>
      <c r="D242" s="2" t="s">
        <v>26</v>
      </c>
      <c r="E242" s="2" t="s">
        <v>19</v>
      </c>
      <c r="F242" s="2" t="s">
        <v>34</v>
      </c>
      <c r="G242" s="2" t="s">
        <v>120</v>
      </c>
      <c r="H242" s="3">
        <v>45562.956944444442</v>
      </c>
      <c r="I242" s="3">
        <v>45563.05972222222</v>
      </c>
      <c r="J242" s="2">
        <v>40</v>
      </c>
      <c r="K242" s="2">
        <v>148</v>
      </c>
      <c r="L242" s="2">
        <v>1</v>
      </c>
      <c r="M242" s="2" t="s">
        <v>29</v>
      </c>
      <c r="N242" s="2">
        <v>3</v>
      </c>
      <c r="O242" s="2">
        <v>439.1</v>
      </c>
      <c r="P242" s="2">
        <f t="shared" si="15"/>
        <v>108</v>
      </c>
      <c r="Q242" s="4">
        <f t="shared" si="16"/>
        <v>0.27027027027027029</v>
      </c>
      <c r="R242" s="2" t="str">
        <f t="shared" si="17"/>
        <v>Inefficient</v>
      </c>
      <c r="S242" s="2" t="str">
        <f t="shared" si="18"/>
        <v>Very Long</v>
      </c>
      <c r="T242" s="2" t="str">
        <f t="shared" si="19"/>
        <v>Major Delay</v>
      </c>
    </row>
    <row r="243" spans="1:20" x14ac:dyDescent="0.35">
      <c r="A243" s="2" t="s">
        <v>636</v>
      </c>
      <c r="B243" s="2" t="s">
        <v>63</v>
      </c>
      <c r="C243" s="2" t="s">
        <v>637</v>
      </c>
      <c r="D243" s="2" t="s">
        <v>48</v>
      </c>
      <c r="E243" s="2" t="s">
        <v>33</v>
      </c>
      <c r="F243" s="2" t="s">
        <v>39</v>
      </c>
      <c r="G243" s="2" t="s">
        <v>254</v>
      </c>
      <c r="H243" s="3">
        <v>45446.392361111109</v>
      </c>
      <c r="I243" s="3">
        <v>45446.583333333336</v>
      </c>
      <c r="J243" s="2">
        <v>216</v>
      </c>
      <c r="K243" s="2">
        <v>275</v>
      </c>
      <c r="L243" s="2">
        <v>1</v>
      </c>
      <c r="M243" s="2" t="s">
        <v>29</v>
      </c>
      <c r="N243" s="2">
        <v>9</v>
      </c>
      <c r="O243" s="2">
        <v>283.27999999999997</v>
      </c>
      <c r="P243" s="2">
        <f t="shared" si="15"/>
        <v>59</v>
      </c>
      <c r="Q243" s="4">
        <f t="shared" si="16"/>
        <v>0.78545454545454541</v>
      </c>
      <c r="R243" s="2" t="str">
        <f t="shared" si="17"/>
        <v>Inefficient</v>
      </c>
      <c r="S243" s="2" t="str">
        <f t="shared" si="18"/>
        <v>Very Long</v>
      </c>
      <c r="T243" s="2" t="str">
        <f t="shared" si="19"/>
        <v>Major Delay</v>
      </c>
    </row>
    <row r="244" spans="1:20" x14ac:dyDescent="0.35">
      <c r="A244" s="2" t="s">
        <v>638</v>
      </c>
      <c r="B244" s="2" t="s">
        <v>51</v>
      </c>
      <c r="C244" s="2" t="s">
        <v>639</v>
      </c>
      <c r="D244" s="2" t="s">
        <v>48</v>
      </c>
      <c r="E244" s="2" t="s">
        <v>33</v>
      </c>
      <c r="F244" s="2" t="s">
        <v>34</v>
      </c>
      <c r="G244" s="2" t="s">
        <v>640</v>
      </c>
      <c r="H244" s="3">
        <v>45433.043055555558</v>
      </c>
      <c r="I244" s="3">
        <v>45433.261111111111</v>
      </c>
      <c r="J244" s="2">
        <v>206</v>
      </c>
      <c r="K244" s="2">
        <v>314</v>
      </c>
      <c r="L244" s="2">
        <v>1</v>
      </c>
      <c r="M244" s="2" t="s">
        <v>22</v>
      </c>
      <c r="N244" s="2">
        <v>9</v>
      </c>
      <c r="O244" s="2">
        <v>322.16000000000003</v>
      </c>
      <c r="P244" s="2">
        <f t="shared" si="15"/>
        <v>108</v>
      </c>
      <c r="Q244" s="4">
        <f t="shared" si="16"/>
        <v>0.6560509554140127</v>
      </c>
      <c r="R244" s="2" t="str">
        <f t="shared" si="17"/>
        <v>Inefficient</v>
      </c>
      <c r="S244" s="2" t="str">
        <f t="shared" si="18"/>
        <v>Very Long</v>
      </c>
      <c r="T244" s="2" t="str">
        <f t="shared" si="19"/>
        <v>Major Delay</v>
      </c>
    </row>
    <row r="245" spans="1:20" x14ac:dyDescent="0.35">
      <c r="A245" s="2" t="s">
        <v>641</v>
      </c>
      <c r="B245" s="2" t="s">
        <v>16</v>
      </c>
      <c r="C245" s="2" t="s">
        <v>642</v>
      </c>
      <c r="D245" s="2" t="s">
        <v>26</v>
      </c>
      <c r="E245" s="2" t="s">
        <v>85</v>
      </c>
      <c r="F245" s="2" t="s">
        <v>20</v>
      </c>
      <c r="G245" s="2" t="s">
        <v>640</v>
      </c>
      <c r="H245" s="3">
        <v>45482.552777777775</v>
      </c>
      <c r="I245" s="3">
        <v>45482.714583333334</v>
      </c>
      <c r="J245" s="2">
        <v>138</v>
      </c>
      <c r="K245" s="2">
        <v>233</v>
      </c>
      <c r="L245" s="2">
        <v>1</v>
      </c>
      <c r="M245" s="2" t="s">
        <v>22</v>
      </c>
      <c r="N245" s="2">
        <v>8</v>
      </c>
      <c r="O245" s="2">
        <v>287.24</v>
      </c>
      <c r="P245" s="2">
        <f t="shared" si="15"/>
        <v>95</v>
      </c>
      <c r="Q245" s="4">
        <f t="shared" si="16"/>
        <v>0.59227467811158796</v>
      </c>
      <c r="R245" s="2" t="str">
        <f t="shared" si="17"/>
        <v>Inefficient</v>
      </c>
      <c r="S245" s="2" t="str">
        <f t="shared" si="18"/>
        <v>Very Long</v>
      </c>
      <c r="T245" s="2" t="str">
        <f t="shared" si="19"/>
        <v>Major Delay</v>
      </c>
    </row>
    <row r="246" spans="1:20" x14ac:dyDescent="0.35">
      <c r="A246" s="2" t="s">
        <v>643</v>
      </c>
      <c r="B246" s="2" t="s">
        <v>63</v>
      </c>
      <c r="C246" s="2" t="s">
        <v>644</v>
      </c>
      <c r="D246" s="2" t="s">
        <v>18</v>
      </c>
      <c r="E246" s="2" t="s">
        <v>19</v>
      </c>
      <c r="F246" s="2" t="s">
        <v>27</v>
      </c>
      <c r="G246" s="2" t="s">
        <v>364</v>
      </c>
      <c r="H246" s="3">
        <v>45415.583333333336</v>
      </c>
      <c r="I246" s="3">
        <v>45415.722916666666</v>
      </c>
      <c r="J246" s="2">
        <v>138</v>
      </c>
      <c r="K246" s="2">
        <v>201</v>
      </c>
      <c r="L246" s="2">
        <v>1</v>
      </c>
      <c r="M246" s="2" t="s">
        <v>29</v>
      </c>
      <c r="N246" s="2">
        <v>3</v>
      </c>
      <c r="O246" s="2">
        <v>81.63</v>
      </c>
      <c r="P246" s="2">
        <f t="shared" si="15"/>
        <v>63</v>
      </c>
      <c r="Q246" s="4">
        <f t="shared" si="16"/>
        <v>0.68656716417910446</v>
      </c>
      <c r="R246" s="2" t="str">
        <f t="shared" si="17"/>
        <v>Inefficient</v>
      </c>
      <c r="S246" s="2" t="str">
        <f t="shared" si="18"/>
        <v>Very Long</v>
      </c>
      <c r="T246" s="2" t="str">
        <f t="shared" si="19"/>
        <v>Major Delay</v>
      </c>
    </row>
    <row r="247" spans="1:20" x14ac:dyDescent="0.35">
      <c r="A247" s="2" t="s">
        <v>645</v>
      </c>
      <c r="B247" s="2" t="s">
        <v>51</v>
      </c>
      <c r="C247" s="2" t="s">
        <v>646</v>
      </c>
      <c r="D247" s="2" t="s">
        <v>26</v>
      </c>
      <c r="E247" s="2" t="s">
        <v>38</v>
      </c>
      <c r="F247" s="2" t="s">
        <v>34</v>
      </c>
      <c r="G247" s="2" t="s">
        <v>647</v>
      </c>
      <c r="H247" s="3">
        <v>45486.211805555555</v>
      </c>
      <c r="I247" s="3">
        <v>45486.401388888888</v>
      </c>
      <c r="J247" s="2">
        <v>176</v>
      </c>
      <c r="K247" s="2">
        <v>273</v>
      </c>
      <c r="L247" s="2">
        <v>1</v>
      </c>
      <c r="M247" s="2" t="s">
        <v>41</v>
      </c>
      <c r="N247" s="2">
        <v>10</v>
      </c>
      <c r="O247" s="2">
        <v>387.59</v>
      </c>
      <c r="P247" s="2">
        <f t="shared" si="15"/>
        <v>97</v>
      </c>
      <c r="Q247" s="4">
        <f t="shared" si="16"/>
        <v>0.64468864468864473</v>
      </c>
      <c r="R247" s="2" t="str">
        <f t="shared" si="17"/>
        <v>Inefficient</v>
      </c>
      <c r="S247" s="2" t="str">
        <f t="shared" si="18"/>
        <v>Very Long</v>
      </c>
      <c r="T247" s="2" t="str">
        <f t="shared" si="19"/>
        <v>Major Delay</v>
      </c>
    </row>
    <row r="248" spans="1:20" x14ac:dyDescent="0.35">
      <c r="A248" s="2" t="s">
        <v>648</v>
      </c>
      <c r="B248" s="2" t="s">
        <v>51</v>
      </c>
      <c r="C248" s="2" t="s">
        <v>649</v>
      </c>
      <c r="D248" s="2" t="s">
        <v>26</v>
      </c>
      <c r="E248" s="2" t="s">
        <v>33</v>
      </c>
      <c r="F248" s="2" t="s">
        <v>27</v>
      </c>
      <c r="G248" s="2" t="s">
        <v>650</v>
      </c>
      <c r="H248" s="3">
        <v>45566.479861111111</v>
      </c>
      <c r="I248" s="3">
        <v>45566.652083333334</v>
      </c>
      <c r="J248" s="2">
        <v>176</v>
      </c>
      <c r="K248" s="2">
        <v>248</v>
      </c>
      <c r="L248" s="2">
        <v>1</v>
      </c>
      <c r="M248" s="2" t="s">
        <v>41</v>
      </c>
      <c r="N248" s="2">
        <v>4</v>
      </c>
      <c r="O248" s="2">
        <v>405.81</v>
      </c>
      <c r="P248" s="2">
        <f t="shared" si="15"/>
        <v>72</v>
      </c>
      <c r="Q248" s="4">
        <f t="shared" si="16"/>
        <v>0.70967741935483875</v>
      </c>
      <c r="R248" s="2" t="str">
        <f t="shared" si="17"/>
        <v>Inefficient</v>
      </c>
      <c r="S248" s="2" t="str">
        <f t="shared" si="18"/>
        <v>Very Long</v>
      </c>
      <c r="T248" s="2" t="str">
        <f t="shared" si="19"/>
        <v>Major Delay</v>
      </c>
    </row>
    <row r="249" spans="1:20" x14ac:dyDescent="0.35">
      <c r="A249" s="2" t="s">
        <v>651</v>
      </c>
      <c r="B249" s="2" t="s">
        <v>51</v>
      </c>
      <c r="C249" s="2" t="s">
        <v>652</v>
      </c>
      <c r="D249" s="2" t="s">
        <v>18</v>
      </c>
      <c r="E249" s="2" t="s">
        <v>33</v>
      </c>
      <c r="F249" s="2" t="s">
        <v>39</v>
      </c>
      <c r="G249" s="2" t="s">
        <v>470</v>
      </c>
      <c r="H249" s="3">
        <v>45312.052777777775</v>
      </c>
      <c r="I249" s="3">
        <v>45312.206944444442</v>
      </c>
      <c r="J249" s="2">
        <v>114</v>
      </c>
      <c r="K249" s="2">
        <v>222</v>
      </c>
      <c r="L249" s="2">
        <v>1</v>
      </c>
      <c r="M249" s="2" t="s">
        <v>22</v>
      </c>
      <c r="N249" s="2">
        <v>6</v>
      </c>
      <c r="O249" s="2">
        <v>297.48</v>
      </c>
      <c r="P249" s="2">
        <f t="shared" si="15"/>
        <v>108</v>
      </c>
      <c r="Q249" s="4">
        <f t="shared" si="16"/>
        <v>0.51351351351351349</v>
      </c>
      <c r="R249" s="2" t="str">
        <f t="shared" si="17"/>
        <v>Inefficient</v>
      </c>
      <c r="S249" s="2" t="str">
        <f t="shared" si="18"/>
        <v>Very Long</v>
      </c>
      <c r="T249" s="2" t="str">
        <f t="shared" si="19"/>
        <v>Major Delay</v>
      </c>
    </row>
    <row r="250" spans="1:20" x14ac:dyDescent="0.35">
      <c r="A250" s="2" t="s">
        <v>653</v>
      </c>
      <c r="B250" s="2" t="s">
        <v>16</v>
      </c>
      <c r="C250" s="2" t="s">
        <v>654</v>
      </c>
      <c r="D250" s="2" t="s">
        <v>18</v>
      </c>
      <c r="E250" s="2" t="s">
        <v>85</v>
      </c>
      <c r="F250" s="2" t="s">
        <v>27</v>
      </c>
      <c r="G250" s="2" t="s">
        <v>40</v>
      </c>
      <c r="H250" s="3">
        <v>45597.253472222219</v>
      </c>
      <c r="I250" s="3">
        <v>45597.387499999997</v>
      </c>
      <c r="J250" s="2">
        <v>148</v>
      </c>
      <c r="K250" s="2">
        <v>193</v>
      </c>
      <c r="L250" s="2">
        <v>1</v>
      </c>
      <c r="M250" s="2" t="s">
        <v>41</v>
      </c>
      <c r="N250" s="2">
        <v>1</v>
      </c>
      <c r="O250" s="2">
        <v>419</v>
      </c>
      <c r="P250" s="2">
        <f t="shared" si="15"/>
        <v>45</v>
      </c>
      <c r="Q250" s="4">
        <f t="shared" si="16"/>
        <v>0.76683937823834192</v>
      </c>
      <c r="R250" s="2" t="str">
        <f t="shared" si="17"/>
        <v>Inefficient</v>
      </c>
      <c r="S250" s="2" t="str">
        <f t="shared" si="18"/>
        <v>Very Long</v>
      </c>
      <c r="T250" s="2" t="str">
        <f t="shared" si="19"/>
        <v>Major Delay</v>
      </c>
    </row>
    <row r="251" spans="1:20" x14ac:dyDescent="0.35">
      <c r="A251" s="2" t="s">
        <v>655</v>
      </c>
      <c r="B251" s="2" t="s">
        <v>16</v>
      </c>
      <c r="C251" s="2" t="s">
        <v>656</v>
      </c>
      <c r="D251" s="2" t="s">
        <v>18</v>
      </c>
      <c r="E251" s="2" t="s">
        <v>19</v>
      </c>
      <c r="F251" s="2" t="s">
        <v>34</v>
      </c>
      <c r="G251" s="2" t="s">
        <v>521</v>
      </c>
      <c r="H251" s="3">
        <v>45501.330555555556</v>
      </c>
      <c r="I251" s="3">
        <v>45501.34652777778</v>
      </c>
      <c r="J251" s="2">
        <v>24</v>
      </c>
      <c r="K251" s="2">
        <v>23</v>
      </c>
      <c r="L251" s="2">
        <v>0</v>
      </c>
      <c r="M251" s="2" t="s">
        <v>22</v>
      </c>
      <c r="N251" s="2">
        <v>2</v>
      </c>
      <c r="O251" s="2">
        <v>53.22</v>
      </c>
      <c r="P251" s="2">
        <f t="shared" si="15"/>
        <v>-1</v>
      </c>
      <c r="Q251" s="4">
        <f t="shared" si="16"/>
        <v>1.0434782608695652</v>
      </c>
      <c r="R251" s="2" t="str">
        <f t="shared" si="17"/>
        <v>Efficient</v>
      </c>
      <c r="S251" s="2" t="str">
        <f t="shared" si="18"/>
        <v>Short</v>
      </c>
      <c r="T251" s="2" t="str">
        <f t="shared" si="19"/>
        <v>On Time</v>
      </c>
    </row>
    <row r="252" spans="1:20" x14ac:dyDescent="0.35">
      <c r="A252" s="2" t="s">
        <v>657</v>
      </c>
      <c r="B252" s="2" t="s">
        <v>31</v>
      </c>
      <c r="C252" s="2" t="s">
        <v>658</v>
      </c>
      <c r="D252" s="2" t="s">
        <v>44</v>
      </c>
      <c r="E252" s="2" t="s">
        <v>85</v>
      </c>
      <c r="F252" s="2" t="s">
        <v>39</v>
      </c>
      <c r="G252" s="2" t="s">
        <v>485</v>
      </c>
      <c r="H252" s="3">
        <v>45533.84097222222</v>
      </c>
      <c r="I252" s="3">
        <v>45533.950694444444</v>
      </c>
      <c r="J252" s="2">
        <v>146</v>
      </c>
      <c r="K252" s="2">
        <v>158</v>
      </c>
      <c r="L252" s="2">
        <v>1</v>
      </c>
      <c r="M252" s="2" t="s">
        <v>41</v>
      </c>
      <c r="N252" s="2">
        <v>8</v>
      </c>
      <c r="O252" s="2">
        <v>459.52</v>
      </c>
      <c r="P252" s="2">
        <f t="shared" si="15"/>
        <v>12</v>
      </c>
      <c r="Q252" s="4">
        <f t="shared" si="16"/>
        <v>0.92405063291139244</v>
      </c>
      <c r="R252" s="2" t="str">
        <f t="shared" si="17"/>
        <v>Inefficient</v>
      </c>
      <c r="S252" s="2" t="str">
        <f t="shared" si="18"/>
        <v>Very Long</v>
      </c>
      <c r="T252" s="2" t="str">
        <f t="shared" si="19"/>
        <v>Minor Delay</v>
      </c>
    </row>
    <row r="253" spans="1:20" x14ac:dyDescent="0.35">
      <c r="A253" s="2" t="s">
        <v>659</v>
      </c>
      <c r="B253" s="2" t="s">
        <v>16</v>
      </c>
      <c r="C253" s="2" t="s">
        <v>660</v>
      </c>
      <c r="D253" s="2" t="s">
        <v>44</v>
      </c>
      <c r="E253" s="2" t="s">
        <v>85</v>
      </c>
      <c r="F253" s="2" t="s">
        <v>20</v>
      </c>
      <c r="G253" s="2" t="s">
        <v>143</v>
      </c>
      <c r="H253" s="3">
        <v>45364.004166666666</v>
      </c>
      <c r="I253" s="3">
        <v>45364.161111111112</v>
      </c>
      <c r="J253" s="2">
        <v>154</v>
      </c>
      <c r="K253" s="2">
        <v>226</v>
      </c>
      <c r="L253" s="2">
        <v>1</v>
      </c>
      <c r="M253" s="2" t="s">
        <v>41</v>
      </c>
      <c r="N253" s="2">
        <v>4</v>
      </c>
      <c r="O253" s="2">
        <v>65.099999999999994</v>
      </c>
      <c r="P253" s="2">
        <f t="shared" si="15"/>
        <v>72</v>
      </c>
      <c r="Q253" s="4">
        <f t="shared" si="16"/>
        <v>0.68141592920353977</v>
      </c>
      <c r="R253" s="2" t="str">
        <f t="shared" si="17"/>
        <v>Inefficient</v>
      </c>
      <c r="S253" s="2" t="str">
        <f t="shared" si="18"/>
        <v>Very Long</v>
      </c>
      <c r="T253" s="2" t="str">
        <f t="shared" si="19"/>
        <v>Major Delay</v>
      </c>
    </row>
    <row r="254" spans="1:20" x14ac:dyDescent="0.35">
      <c r="A254" s="2" t="s">
        <v>661</v>
      </c>
      <c r="B254" s="2" t="s">
        <v>51</v>
      </c>
      <c r="C254" s="2" t="s">
        <v>662</v>
      </c>
      <c r="D254" s="2" t="s">
        <v>26</v>
      </c>
      <c r="E254" s="2" t="s">
        <v>85</v>
      </c>
      <c r="F254" s="2" t="s">
        <v>39</v>
      </c>
      <c r="G254" s="2" t="s">
        <v>234</v>
      </c>
      <c r="H254" s="3">
        <v>45453.52847222222</v>
      </c>
      <c r="I254" s="3">
        <v>45453.591666666667</v>
      </c>
      <c r="J254" s="2">
        <v>24</v>
      </c>
      <c r="K254" s="2">
        <v>91</v>
      </c>
      <c r="L254" s="2">
        <v>1</v>
      </c>
      <c r="M254" s="2" t="s">
        <v>29</v>
      </c>
      <c r="N254" s="2">
        <v>9</v>
      </c>
      <c r="O254" s="2">
        <v>379.48</v>
      </c>
      <c r="P254" s="2">
        <f t="shared" si="15"/>
        <v>67</v>
      </c>
      <c r="Q254" s="4">
        <f t="shared" si="16"/>
        <v>0.26373626373626374</v>
      </c>
      <c r="R254" s="2" t="str">
        <f t="shared" si="17"/>
        <v>Inefficient</v>
      </c>
      <c r="S254" s="2" t="str">
        <f t="shared" si="18"/>
        <v>Long</v>
      </c>
      <c r="T254" s="2" t="str">
        <f t="shared" si="19"/>
        <v>Major Delay</v>
      </c>
    </row>
    <row r="255" spans="1:20" x14ac:dyDescent="0.35">
      <c r="A255" s="2" t="s">
        <v>663</v>
      </c>
      <c r="B255" s="2" t="s">
        <v>63</v>
      </c>
      <c r="C255" s="2" t="s">
        <v>664</v>
      </c>
      <c r="D255" s="2" t="s">
        <v>18</v>
      </c>
      <c r="E255" s="2" t="s">
        <v>33</v>
      </c>
      <c r="F255" s="2" t="s">
        <v>27</v>
      </c>
      <c r="G255" s="2" t="s">
        <v>615</v>
      </c>
      <c r="H255" s="3">
        <v>45317.618750000001</v>
      </c>
      <c r="I255" s="3">
        <v>45317.737500000003</v>
      </c>
      <c r="J255" s="2">
        <v>114</v>
      </c>
      <c r="K255" s="2">
        <v>171</v>
      </c>
      <c r="L255" s="2">
        <v>1</v>
      </c>
      <c r="M255" s="2" t="s">
        <v>41</v>
      </c>
      <c r="N255" s="2">
        <v>10</v>
      </c>
      <c r="O255" s="2">
        <v>299.58</v>
      </c>
      <c r="P255" s="2">
        <f t="shared" si="15"/>
        <v>57</v>
      </c>
      <c r="Q255" s="4">
        <f t="shared" si="16"/>
        <v>0.66666666666666663</v>
      </c>
      <c r="R255" s="2" t="str">
        <f t="shared" si="17"/>
        <v>Inefficient</v>
      </c>
      <c r="S255" s="2" t="str">
        <f t="shared" si="18"/>
        <v>Very Long</v>
      </c>
      <c r="T255" s="2" t="str">
        <f t="shared" si="19"/>
        <v>Major Delay</v>
      </c>
    </row>
    <row r="256" spans="1:20" x14ac:dyDescent="0.35">
      <c r="A256" s="2" t="s">
        <v>665</v>
      </c>
      <c r="B256" s="2" t="s">
        <v>24</v>
      </c>
      <c r="C256" s="2" t="s">
        <v>666</v>
      </c>
      <c r="D256" s="2" t="s">
        <v>26</v>
      </c>
      <c r="E256" s="2" t="s">
        <v>19</v>
      </c>
      <c r="F256" s="2" t="s">
        <v>34</v>
      </c>
      <c r="G256" s="2" t="s">
        <v>402</v>
      </c>
      <c r="H256" s="3">
        <v>45485.263888888891</v>
      </c>
      <c r="I256" s="3">
        <v>45485.313888888886</v>
      </c>
      <c r="J256" s="2">
        <v>28</v>
      </c>
      <c r="K256" s="2">
        <v>72</v>
      </c>
      <c r="L256" s="2">
        <v>1</v>
      </c>
      <c r="M256" s="2" t="s">
        <v>22</v>
      </c>
      <c r="N256" s="2">
        <v>10</v>
      </c>
      <c r="O256" s="2">
        <v>373.71</v>
      </c>
      <c r="P256" s="2">
        <f t="shared" si="15"/>
        <v>44</v>
      </c>
      <c r="Q256" s="4">
        <f t="shared" si="16"/>
        <v>0.3888888888888889</v>
      </c>
      <c r="R256" s="2" t="str">
        <f t="shared" si="17"/>
        <v>Inefficient</v>
      </c>
      <c r="S256" s="2" t="str">
        <f t="shared" si="18"/>
        <v>Long</v>
      </c>
      <c r="T256" s="2" t="str">
        <f t="shared" si="19"/>
        <v>Major Delay</v>
      </c>
    </row>
    <row r="257" spans="1:20" x14ac:dyDescent="0.35">
      <c r="A257" s="2" t="s">
        <v>667</v>
      </c>
      <c r="B257" s="2" t="s">
        <v>63</v>
      </c>
      <c r="C257" s="2" t="s">
        <v>668</v>
      </c>
      <c r="D257" s="2" t="s">
        <v>18</v>
      </c>
      <c r="E257" s="2" t="s">
        <v>38</v>
      </c>
      <c r="F257" s="2" t="s">
        <v>39</v>
      </c>
      <c r="G257" s="2" t="s">
        <v>669</v>
      </c>
      <c r="H257" s="3">
        <v>45558.020833333336</v>
      </c>
      <c r="I257" s="3">
        <v>45558.154861111114</v>
      </c>
      <c r="J257" s="2">
        <v>115</v>
      </c>
      <c r="K257" s="2">
        <v>193</v>
      </c>
      <c r="L257" s="2">
        <v>1</v>
      </c>
      <c r="M257" s="2" t="s">
        <v>29</v>
      </c>
      <c r="N257" s="2">
        <v>8</v>
      </c>
      <c r="O257" s="2">
        <v>447.27</v>
      </c>
      <c r="P257" s="2">
        <f t="shared" si="15"/>
        <v>78</v>
      </c>
      <c r="Q257" s="4">
        <f t="shared" si="16"/>
        <v>0.59585492227979275</v>
      </c>
      <c r="R257" s="2" t="str">
        <f t="shared" si="17"/>
        <v>Inefficient</v>
      </c>
      <c r="S257" s="2" t="str">
        <f t="shared" si="18"/>
        <v>Very Long</v>
      </c>
      <c r="T257" s="2" t="str">
        <f t="shared" si="19"/>
        <v>Major Delay</v>
      </c>
    </row>
    <row r="258" spans="1:20" x14ac:dyDescent="0.35">
      <c r="A258" s="2" t="s">
        <v>670</v>
      </c>
      <c r="B258" s="2" t="s">
        <v>51</v>
      </c>
      <c r="C258" s="2" t="s">
        <v>671</v>
      </c>
      <c r="D258" s="2" t="s">
        <v>26</v>
      </c>
      <c r="E258" s="2" t="s">
        <v>85</v>
      </c>
      <c r="F258" s="2" t="s">
        <v>27</v>
      </c>
      <c r="G258" s="2" t="s">
        <v>354</v>
      </c>
      <c r="H258" s="3">
        <v>45293.261111111111</v>
      </c>
      <c r="I258" s="3">
        <v>45293.330555555556</v>
      </c>
      <c r="J258" s="2">
        <v>53</v>
      </c>
      <c r="K258" s="2">
        <v>100</v>
      </c>
      <c r="L258" s="2">
        <v>1</v>
      </c>
      <c r="M258" s="2" t="s">
        <v>22</v>
      </c>
      <c r="N258" s="2">
        <v>7</v>
      </c>
      <c r="O258" s="2">
        <v>227.94</v>
      </c>
      <c r="P258" s="2">
        <f t="shared" si="15"/>
        <v>47</v>
      </c>
      <c r="Q258" s="4">
        <f t="shared" si="16"/>
        <v>0.53</v>
      </c>
      <c r="R258" s="2" t="str">
        <f t="shared" si="17"/>
        <v>Inefficient</v>
      </c>
      <c r="S258" s="2" t="str">
        <f t="shared" si="18"/>
        <v>Long</v>
      </c>
      <c r="T258" s="2" t="str">
        <f t="shared" si="19"/>
        <v>Major Delay</v>
      </c>
    </row>
    <row r="259" spans="1:20" x14ac:dyDescent="0.35">
      <c r="A259" s="2" t="s">
        <v>672</v>
      </c>
      <c r="B259" s="2" t="s">
        <v>31</v>
      </c>
      <c r="C259" s="2" t="s">
        <v>673</v>
      </c>
      <c r="D259" s="2" t="s">
        <v>48</v>
      </c>
      <c r="E259" s="2" t="s">
        <v>33</v>
      </c>
      <c r="F259" s="2" t="s">
        <v>57</v>
      </c>
      <c r="G259" s="2" t="s">
        <v>40</v>
      </c>
      <c r="H259" s="3">
        <v>45310.462500000001</v>
      </c>
      <c r="I259" s="3">
        <v>45310.469444444447</v>
      </c>
      <c r="J259" s="2">
        <v>11</v>
      </c>
      <c r="K259" s="2">
        <v>10</v>
      </c>
      <c r="L259" s="2">
        <v>0</v>
      </c>
      <c r="M259" s="2" t="s">
        <v>29</v>
      </c>
      <c r="N259" s="2">
        <v>10</v>
      </c>
      <c r="O259" s="2">
        <v>496.1</v>
      </c>
      <c r="P259" s="2">
        <f t="shared" ref="P259:P322" si="20">K259-J259</f>
        <v>-1</v>
      </c>
      <c r="Q259" s="4">
        <f t="shared" ref="Q259:Q322" si="21">J259/K259</f>
        <v>1.1000000000000001</v>
      </c>
      <c r="R259" s="2" t="str">
        <f t="shared" ref="R259:R322" si="22">IF(Q259&gt;1,"Efficient",
IF(Q259=1,"On Target","Inefficient"))</f>
        <v>Efficient</v>
      </c>
      <c r="S259" s="2" t="str">
        <f t="shared" ref="S259:S322" si="23">IF(K259&lt;30,"Short",
IF(K259&lt;60,"Medium",
IF(K259&lt;120,"Long","Very Long")))</f>
        <v>Short</v>
      </c>
      <c r="T259" s="2" t="str">
        <f t="shared" ref="T259:T322" si="24">IF(K259&lt;=J259,"On Time",
IF(K259-J259&lt;=30,"Minor Delay","Major Delay"))</f>
        <v>On Time</v>
      </c>
    </row>
    <row r="260" spans="1:20" x14ac:dyDescent="0.35">
      <c r="A260" s="2" t="s">
        <v>674</v>
      </c>
      <c r="B260" s="2" t="s">
        <v>63</v>
      </c>
      <c r="C260" s="2" t="s">
        <v>675</v>
      </c>
      <c r="D260" s="2" t="s">
        <v>48</v>
      </c>
      <c r="E260" s="2" t="s">
        <v>38</v>
      </c>
      <c r="F260" s="2" t="s">
        <v>57</v>
      </c>
      <c r="G260" s="2" t="s">
        <v>676</v>
      </c>
      <c r="H260" s="3">
        <v>45410.152083333334</v>
      </c>
      <c r="I260" s="3">
        <v>45410.223611111112</v>
      </c>
      <c r="J260" s="2">
        <v>74</v>
      </c>
      <c r="K260" s="2">
        <v>103</v>
      </c>
      <c r="L260" s="2">
        <v>1</v>
      </c>
      <c r="M260" s="2" t="s">
        <v>29</v>
      </c>
      <c r="N260" s="2">
        <v>3</v>
      </c>
      <c r="O260" s="2">
        <v>312.01</v>
      </c>
      <c r="P260" s="2">
        <f t="shared" si="20"/>
        <v>29</v>
      </c>
      <c r="Q260" s="4">
        <f t="shared" si="21"/>
        <v>0.71844660194174759</v>
      </c>
      <c r="R260" s="2" t="str">
        <f t="shared" si="22"/>
        <v>Inefficient</v>
      </c>
      <c r="S260" s="2" t="str">
        <f t="shared" si="23"/>
        <v>Long</v>
      </c>
      <c r="T260" s="2" t="str">
        <f t="shared" si="24"/>
        <v>Minor Delay</v>
      </c>
    </row>
    <row r="261" spans="1:20" x14ac:dyDescent="0.35">
      <c r="A261" s="2" t="s">
        <v>677</v>
      </c>
      <c r="B261" s="2" t="s">
        <v>24</v>
      </c>
      <c r="C261" s="2" t="s">
        <v>678</v>
      </c>
      <c r="D261" s="2" t="s">
        <v>26</v>
      </c>
      <c r="E261" s="2" t="s">
        <v>38</v>
      </c>
      <c r="F261" s="2" t="s">
        <v>57</v>
      </c>
      <c r="G261" s="2" t="s">
        <v>308</v>
      </c>
      <c r="H261" s="3">
        <v>45500.866666666669</v>
      </c>
      <c r="I261" s="3">
        <v>45501.020138888889</v>
      </c>
      <c r="J261" s="2">
        <v>178</v>
      </c>
      <c r="K261" s="2">
        <v>221</v>
      </c>
      <c r="L261" s="2">
        <v>1</v>
      </c>
      <c r="M261" s="2" t="s">
        <v>29</v>
      </c>
      <c r="N261" s="2">
        <v>4</v>
      </c>
      <c r="O261" s="2">
        <v>345.99</v>
      </c>
      <c r="P261" s="2">
        <f t="shared" si="20"/>
        <v>43</v>
      </c>
      <c r="Q261" s="4">
        <f t="shared" si="21"/>
        <v>0.80542986425339369</v>
      </c>
      <c r="R261" s="2" t="str">
        <f t="shared" si="22"/>
        <v>Inefficient</v>
      </c>
      <c r="S261" s="2" t="str">
        <f t="shared" si="23"/>
        <v>Very Long</v>
      </c>
      <c r="T261" s="2" t="str">
        <f t="shared" si="24"/>
        <v>Major Delay</v>
      </c>
    </row>
    <row r="262" spans="1:20" x14ac:dyDescent="0.35">
      <c r="A262" s="2" t="s">
        <v>679</v>
      </c>
      <c r="B262" s="2" t="s">
        <v>31</v>
      </c>
      <c r="C262" s="2" t="s">
        <v>680</v>
      </c>
      <c r="D262" s="2" t="s">
        <v>44</v>
      </c>
      <c r="E262" s="2" t="s">
        <v>85</v>
      </c>
      <c r="F262" s="2" t="s">
        <v>34</v>
      </c>
      <c r="G262" s="2" t="s">
        <v>681</v>
      </c>
      <c r="H262" s="3">
        <v>45536.289583333331</v>
      </c>
      <c r="I262" s="3">
        <v>45536.431250000001</v>
      </c>
      <c r="J262" s="2">
        <v>110</v>
      </c>
      <c r="K262" s="2">
        <v>204</v>
      </c>
      <c r="L262" s="2">
        <v>1</v>
      </c>
      <c r="M262" s="2" t="s">
        <v>41</v>
      </c>
      <c r="N262" s="2">
        <v>9</v>
      </c>
      <c r="O262" s="2">
        <v>457.84</v>
      </c>
      <c r="P262" s="2">
        <f t="shared" si="20"/>
        <v>94</v>
      </c>
      <c r="Q262" s="4">
        <f t="shared" si="21"/>
        <v>0.53921568627450978</v>
      </c>
      <c r="R262" s="2" t="str">
        <f t="shared" si="22"/>
        <v>Inefficient</v>
      </c>
      <c r="S262" s="2" t="str">
        <f t="shared" si="23"/>
        <v>Very Long</v>
      </c>
      <c r="T262" s="2" t="str">
        <f t="shared" si="24"/>
        <v>Major Delay</v>
      </c>
    </row>
    <row r="263" spans="1:20" x14ac:dyDescent="0.35">
      <c r="A263" s="2" t="s">
        <v>682</v>
      </c>
      <c r="B263" s="2" t="s">
        <v>31</v>
      </c>
      <c r="C263" s="2" t="s">
        <v>683</v>
      </c>
      <c r="D263" s="2" t="s">
        <v>48</v>
      </c>
      <c r="E263" s="2" t="s">
        <v>19</v>
      </c>
      <c r="F263" s="2" t="s">
        <v>39</v>
      </c>
      <c r="G263" s="2" t="s">
        <v>684</v>
      </c>
      <c r="H263" s="3">
        <v>45624.53402777778</v>
      </c>
      <c r="I263" s="3">
        <v>45624.663888888892</v>
      </c>
      <c r="J263" s="2">
        <v>131</v>
      </c>
      <c r="K263" s="2">
        <v>187</v>
      </c>
      <c r="L263" s="2">
        <v>1</v>
      </c>
      <c r="M263" s="2" t="s">
        <v>41</v>
      </c>
      <c r="N263" s="2">
        <v>4</v>
      </c>
      <c r="O263" s="2">
        <v>171.18</v>
      </c>
      <c r="P263" s="2">
        <f t="shared" si="20"/>
        <v>56</v>
      </c>
      <c r="Q263" s="4">
        <f t="shared" si="21"/>
        <v>0.70053475935828879</v>
      </c>
      <c r="R263" s="2" t="str">
        <f t="shared" si="22"/>
        <v>Inefficient</v>
      </c>
      <c r="S263" s="2" t="str">
        <f t="shared" si="23"/>
        <v>Very Long</v>
      </c>
      <c r="T263" s="2" t="str">
        <f t="shared" si="24"/>
        <v>Major Delay</v>
      </c>
    </row>
    <row r="264" spans="1:20" x14ac:dyDescent="0.35">
      <c r="A264" s="2" t="s">
        <v>685</v>
      </c>
      <c r="B264" s="2" t="s">
        <v>51</v>
      </c>
      <c r="C264" s="2" t="s">
        <v>686</v>
      </c>
      <c r="D264" s="2" t="s">
        <v>56</v>
      </c>
      <c r="E264" s="2" t="s">
        <v>33</v>
      </c>
      <c r="F264" s="2" t="s">
        <v>57</v>
      </c>
      <c r="G264" s="2" t="s">
        <v>120</v>
      </c>
      <c r="H264" s="3">
        <v>45397.415972222225</v>
      </c>
      <c r="I264" s="3">
        <v>45397.544444444444</v>
      </c>
      <c r="J264" s="2">
        <v>147</v>
      </c>
      <c r="K264" s="2">
        <v>185</v>
      </c>
      <c r="L264" s="2">
        <v>1</v>
      </c>
      <c r="M264" s="2" t="s">
        <v>22</v>
      </c>
      <c r="N264" s="2">
        <v>5</v>
      </c>
      <c r="O264" s="2">
        <v>387.03</v>
      </c>
      <c r="P264" s="2">
        <f t="shared" si="20"/>
        <v>38</v>
      </c>
      <c r="Q264" s="4">
        <f t="shared" si="21"/>
        <v>0.79459459459459458</v>
      </c>
      <c r="R264" s="2" t="str">
        <f t="shared" si="22"/>
        <v>Inefficient</v>
      </c>
      <c r="S264" s="2" t="str">
        <f t="shared" si="23"/>
        <v>Very Long</v>
      </c>
      <c r="T264" s="2" t="str">
        <f t="shared" si="24"/>
        <v>Major Delay</v>
      </c>
    </row>
    <row r="265" spans="1:20" x14ac:dyDescent="0.35">
      <c r="A265" s="2" t="s">
        <v>687</v>
      </c>
      <c r="B265" s="2" t="s">
        <v>31</v>
      </c>
      <c r="C265" s="2" t="s">
        <v>688</v>
      </c>
      <c r="D265" s="2" t="s">
        <v>48</v>
      </c>
      <c r="E265" s="2" t="s">
        <v>85</v>
      </c>
      <c r="F265" s="2" t="s">
        <v>34</v>
      </c>
      <c r="G265" s="2" t="s">
        <v>354</v>
      </c>
      <c r="H265" s="3">
        <v>45605.931250000001</v>
      </c>
      <c r="I265" s="3">
        <v>45606.018055555556</v>
      </c>
      <c r="J265" s="2">
        <v>24</v>
      </c>
      <c r="K265" s="2">
        <v>125</v>
      </c>
      <c r="L265" s="2">
        <v>1</v>
      </c>
      <c r="M265" s="2" t="s">
        <v>41</v>
      </c>
      <c r="N265" s="2">
        <v>9</v>
      </c>
      <c r="O265" s="2">
        <v>225.57</v>
      </c>
      <c r="P265" s="2">
        <f t="shared" si="20"/>
        <v>101</v>
      </c>
      <c r="Q265" s="4">
        <f t="shared" si="21"/>
        <v>0.192</v>
      </c>
      <c r="R265" s="2" t="str">
        <f t="shared" si="22"/>
        <v>Inefficient</v>
      </c>
      <c r="S265" s="2" t="str">
        <f t="shared" si="23"/>
        <v>Very Long</v>
      </c>
      <c r="T265" s="2" t="str">
        <f t="shared" si="24"/>
        <v>Major Delay</v>
      </c>
    </row>
    <row r="266" spans="1:20" x14ac:dyDescent="0.35">
      <c r="A266" s="2" t="s">
        <v>689</v>
      </c>
      <c r="B266" s="2" t="s">
        <v>51</v>
      </c>
      <c r="C266" s="2" t="s">
        <v>690</v>
      </c>
      <c r="D266" s="2" t="s">
        <v>56</v>
      </c>
      <c r="E266" s="2" t="s">
        <v>19</v>
      </c>
      <c r="F266" s="2" t="s">
        <v>57</v>
      </c>
      <c r="G266" s="2" t="s">
        <v>691</v>
      </c>
      <c r="H266" s="3">
        <v>45428.906944444447</v>
      </c>
      <c r="I266" s="3">
        <v>45428.963888888888</v>
      </c>
      <c r="J266" s="2">
        <v>31</v>
      </c>
      <c r="K266" s="2">
        <v>82</v>
      </c>
      <c r="L266" s="2">
        <v>1</v>
      </c>
      <c r="M266" s="2" t="s">
        <v>29</v>
      </c>
      <c r="N266" s="2">
        <v>2</v>
      </c>
      <c r="O266" s="2">
        <v>104.31</v>
      </c>
      <c r="P266" s="2">
        <f t="shared" si="20"/>
        <v>51</v>
      </c>
      <c r="Q266" s="4">
        <f t="shared" si="21"/>
        <v>0.37804878048780488</v>
      </c>
      <c r="R266" s="2" t="str">
        <f t="shared" si="22"/>
        <v>Inefficient</v>
      </c>
      <c r="S266" s="2" t="str">
        <f t="shared" si="23"/>
        <v>Long</v>
      </c>
      <c r="T266" s="2" t="str">
        <f t="shared" si="24"/>
        <v>Major Delay</v>
      </c>
    </row>
    <row r="267" spans="1:20" x14ac:dyDescent="0.35">
      <c r="A267" s="2" t="s">
        <v>692</v>
      </c>
      <c r="B267" s="2" t="s">
        <v>51</v>
      </c>
      <c r="C267" s="2" t="s">
        <v>693</v>
      </c>
      <c r="D267" s="2" t="s">
        <v>56</v>
      </c>
      <c r="E267" s="2" t="s">
        <v>19</v>
      </c>
      <c r="F267" s="2" t="s">
        <v>27</v>
      </c>
      <c r="G267" s="2" t="s">
        <v>316</v>
      </c>
      <c r="H267" s="3">
        <v>45386.435416666667</v>
      </c>
      <c r="I267" s="3">
        <v>45386.681250000001</v>
      </c>
      <c r="J267" s="2">
        <v>236</v>
      </c>
      <c r="K267" s="2">
        <v>354</v>
      </c>
      <c r="L267" s="2">
        <v>1</v>
      </c>
      <c r="M267" s="2" t="s">
        <v>29</v>
      </c>
      <c r="N267" s="2">
        <v>1</v>
      </c>
      <c r="O267" s="2">
        <v>416.86</v>
      </c>
      <c r="P267" s="2">
        <f t="shared" si="20"/>
        <v>118</v>
      </c>
      <c r="Q267" s="4">
        <f t="shared" si="21"/>
        <v>0.66666666666666663</v>
      </c>
      <c r="R267" s="2" t="str">
        <f t="shared" si="22"/>
        <v>Inefficient</v>
      </c>
      <c r="S267" s="2" t="str">
        <f t="shared" si="23"/>
        <v>Very Long</v>
      </c>
      <c r="T267" s="2" t="str">
        <f t="shared" si="24"/>
        <v>Major Delay</v>
      </c>
    </row>
    <row r="268" spans="1:20" x14ac:dyDescent="0.35">
      <c r="A268" s="2" t="s">
        <v>694</v>
      </c>
      <c r="B268" s="2" t="s">
        <v>31</v>
      </c>
      <c r="C268" s="2" t="s">
        <v>695</v>
      </c>
      <c r="D268" s="2" t="s">
        <v>26</v>
      </c>
      <c r="E268" s="2" t="s">
        <v>19</v>
      </c>
      <c r="F268" s="2" t="s">
        <v>27</v>
      </c>
      <c r="G268" s="2" t="s">
        <v>338</v>
      </c>
      <c r="H268" s="3">
        <v>45409.1</v>
      </c>
      <c r="I268" s="3">
        <v>45409.315972222219</v>
      </c>
      <c r="J268" s="2">
        <v>222</v>
      </c>
      <c r="K268" s="2">
        <v>311</v>
      </c>
      <c r="L268" s="2">
        <v>1</v>
      </c>
      <c r="M268" s="2" t="s">
        <v>29</v>
      </c>
      <c r="N268" s="2">
        <v>2</v>
      </c>
      <c r="O268" s="2">
        <v>236.46</v>
      </c>
      <c r="P268" s="2">
        <f t="shared" si="20"/>
        <v>89</v>
      </c>
      <c r="Q268" s="4">
        <f t="shared" si="21"/>
        <v>0.7138263665594855</v>
      </c>
      <c r="R268" s="2" t="str">
        <f t="shared" si="22"/>
        <v>Inefficient</v>
      </c>
      <c r="S268" s="2" t="str">
        <f t="shared" si="23"/>
        <v>Very Long</v>
      </c>
      <c r="T268" s="2" t="str">
        <f t="shared" si="24"/>
        <v>Major Delay</v>
      </c>
    </row>
    <row r="269" spans="1:20" x14ac:dyDescent="0.35">
      <c r="A269" s="2" t="s">
        <v>696</v>
      </c>
      <c r="B269" s="2" t="s">
        <v>51</v>
      </c>
      <c r="C269" s="2" t="s">
        <v>697</v>
      </c>
      <c r="D269" s="2" t="s">
        <v>48</v>
      </c>
      <c r="E269" s="2" t="s">
        <v>19</v>
      </c>
      <c r="F269" s="2" t="s">
        <v>39</v>
      </c>
      <c r="G269" s="2" t="s">
        <v>194</v>
      </c>
      <c r="H269" s="3">
        <v>45369.204861111109</v>
      </c>
      <c r="I269" s="3">
        <v>45369.254166666666</v>
      </c>
      <c r="J269" s="2">
        <v>33</v>
      </c>
      <c r="K269" s="2">
        <v>71</v>
      </c>
      <c r="L269" s="2">
        <v>1</v>
      </c>
      <c r="M269" s="2" t="s">
        <v>41</v>
      </c>
      <c r="N269" s="2">
        <v>4</v>
      </c>
      <c r="O269" s="2">
        <v>393.13</v>
      </c>
      <c r="P269" s="2">
        <f t="shared" si="20"/>
        <v>38</v>
      </c>
      <c r="Q269" s="4">
        <f t="shared" si="21"/>
        <v>0.46478873239436619</v>
      </c>
      <c r="R269" s="2" t="str">
        <f t="shared" si="22"/>
        <v>Inefficient</v>
      </c>
      <c r="S269" s="2" t="str">
        <f t="shared" si="23"/>
        <v>Long</v>
      </c>
      <c r="T269" s="2" t="str">
        <f t="shared" si="24"/>
        <v>Major Delay</v>
      </c>
    </row>
    <row r="270" spans="1:20" x14ac:dyDescent="0.35">
      <c r="A270" s="2" t="s">
        <v>698</v>
      </c>
      <c r="B270" s="2" t="s">
        <v>51</v>
      </c>
      <c r="C270" s="2" t="s">
        <v>699</v>
      </c>
      <c r="D270" s="2" t="s">
        <v>44</v>
      </c>
      <c r="E270" s="2" t="s">
        <v>33</v>
      </c>
      <c r="F270" s="2" t="s">
        <v>27</v>
      </c>
      <c r="G270" s="2" t="s">
        <v>700</v>
      </c>
      <c r="H270" s="3">
        <v>45498.000694444447</v>
      </c>
      <c r="I270" s="3">
        <v>45498.105555555558</v>
      </c>
      <c r="J270" s="2">
        <v>132</v>
      </c>
      <c r="K270" s="2">
        <v>151</v>
      </c>
      <c r="L270" s="2">
        <v>1</v>
      </c>
      <c r="M270" s="2" t="s">
        <v>22</v>
      </c>
      <c r="N270" s="2">
        <v>7</v>
      </c>
      <c r="O270" s="2">
        <v>227.97</v>
      </c>
      <c r="P270" s="2">
        <f t="shared" si="20"/>
        <v>19</v>
      </c>
      <c r="Q270" s="4">
        <f t="shared" si="21"/>
        <v>0.8741721854304636</v>
      </c>
      <c r="R270" s="2" t="str">
        <f t="shared" si="22"/>
        <v>Inefficient</v>
      </c>
      <c r="S270" s="2" t="str">
        <f t="shared" si="23"/>
        <v>Very Long</v>
      </c>
      <c r="T270" s="2" t="str">
        <f t="shared" si="24"/>
        <v>Minor Delay</v>
      </c>
    </row>
    <row r="271" spans="1:20" x14ac:dyDescent="0.35">
      <c r="A271" s="2" t="s">
        <v>701</v>
      </c>
      <c r="B271" s="2" t="s">
        <v>31</v>
      </c>
      <c r="C271" s="2" t="s">
        <v>702</v>
      </c>
      <c r="D271" s="2" t="s">
        <v>44</v>
      </c>
      <c r="E271" s="2" t="s">
        <v>19</v>
      </c>
      <c r="F271" s="2" t="s">
        <v>34</v>
      </c>
      <c r="G271" s="2" t="s">
        <v>296</v>
      </c>
      <c r="H271" s="3">
        <v>45441.726388888892</v>
      </c>
      <c r="I271" s="3">
        <v>45441.931944444441</v>
      </c>
      <c r="J271" s="2">
        <v>222</v>
      </c>
      <c r="K271" s="2">
        <v>296</v>
      </c>
      <c r="L271" s="2">
        <v>1</v>
      </c>
      <c r="M271" s="2" t="s">
        <v>22</v>
      </c>
      <c r="N271" s="2">
        <v>4</v>
      </c>
      <c r="O271" s="2">
        <v>371.48</v>
      </c>
      <c r="P271" s="2">
        <f t="shared" si="20"/>
        <v>74</v>
      </c>
      <c r="Q271" s="4">
        <f t="shared" si="21"/>
        <v>0.75</v>
      </c>
      <c r="R271" s="2" t="str">
        <f t="shared" si="22"/>
        <v>Inefficient</v>
      </c>
      <c r="S271" s="2" t="str">
        <f t="shared" si="23"/>
        <v>Very Long</v>
      </c>
      <c r="T271" s="2" t="str">
        <f t="shared" si="24"/>
        <v>Major Delay</v>
      </c>
    </row>
    <row r="272" spans="1:20" x14ac:dyDescent="0.35">
      <c r="A272" s="2" t="s">
        <v>703</v>
      </c>
      <c r="B272" s="2" t="s">
        <v>51</v>
      </c>
      <c r="C272" s="2" t="s">
        <v>704</v>
      </c>
      <c r="D272" s="2" t="s">
        <v>18</v>
      </c>
      <c r="E272" s="2" t="s">
        <v>19</v>
      </c>
      <c r="F272" s="2" t="s">
        <v>20</v>
      </c>
      <c r="G272" s="2" t="s">
        <v>108</v>
      </c>
      <c r="H272" s="3">
        <v>45623.23541666667</v>
      </c>
      <c r="I272" s="3">
        <v>45623.415277777778</v>
      </c>
      <c r="J272" s="2">
        <v>203</v>
      </c>
      <c r="K272" s="2">
        <v>259</v>
      </c>
      <c r="L272" s="2">
        <v>1</v>
      </c>
      <c r="M272" s="2" t="s">
        <v>22</v>
      </c>
      <c r="N272" s="2">
        <v>2</v>
      </c>
      <c r="O272" s="2">
        <v>125.05</v>
      </c>
      <c r="P272" s="2">
        <f t="shared" si="20"/>
        <v>56</v>
      </c>
      <c r="Q272" s="4">
        <f t="shared" si="21"/>
        <v>0.78378378378378377</v>
      </c>
      <c r="R272" s="2" t="str">
        <f t="shared" si="22"/>
        <v>Inefficient</v>
      </c>
      <c r="S272" s="2" t="str">
        <f t="shared" si="23"/>
        <v>Very Long</v>
      </c>
      <c r="T272" s="2" t="str">
        <f t="shared" si="24"/>
        <v>Major Delay</v>
      </c>
    </row>
    <row r="273" spans="1:20" x14ac:dyDescent="0.35">
      <c r="A273" s="2" t="s">
        <v>705</v>
      </c>
      <c r="B273" s="2" t="s">
        <v>63</v>
      </c>
      <c r="C273" s="2" t="s">
        <v>706</v>
      </c>
      <c r="D273" s="2" t="s">
        <v>48</v>
      </c>
      <c r="E273" s="2" t="s">
        <v>33</v>
      </c>
      <c r="F273" s="2" t="s">
        <v>34</v>
      </c>
      <c r="G273" s="2" t="s">
        <v>129</v>
      </c>
      <c r="H273" s="3">
        <v>45378.67083333333</v>
      </c>
      <c r="I273" s="3">
        <v>45378.789583333331</v>
      </c>
      <c r="J273" s="2">
        <v>168</v>
      </c>
      <c r="K273" s="2">
        <v>171</v>
      </c>
      <c r="L273" s="2">
        <v>1</v>
      </c>
      <c r="M273" s="2" t="s">
        <v>41</v>
      </c>
      <c r="N273" s="2">
        <v>10</v>
      </c>
      <c r="O273" s="2">
        <v>367.23</v>
      </c>
      <c r="P273" s="2">
        <f t="shared" si="20"/>
        <v>3</v>
      </c>
      <c r="Q273" s="4">
        <f t="shared" si="21"/>
        <v>0.98245614035087714</v>
      </c>
      <c r="R273" s="2" t="str">
        <f t="shared" si="22"/>
        <v>Inefficient</v>
      </c>
      <c r="S273" s="2" t="str">
        <f t="shared" si="23"/>
        <v>Very Long</v>
      </c>
      <c r="T273" s="2" t="str">
        <f t="shared" si="24"/>
        <v>Minor Delay</v>
      </c>
    </row>
    <row r="274" spans="1:20" x14ac:dyDescent="0.35">
      <c r="A274" s="2" t="s">
        <v>707</v>
      </c>
      <c r="B274" s="2" t="s">
        <v>16</v>
      </c>
      <c r="C274" s="2" t="s">
        <v>708</v>
      </c>
      <c r="D274" s="2" t="s">
        <v>56</v>
      </c>
      <c r="E274" s="2" t="s">
        <v>33</v>
      </c>
      <c r="F274" s="2" t="s">
        <v>39</v>
      </c>
      <c r="G274" s="2" t="s">
        <v>210</v>
      </c>
      <c r="H274" s="3">
        <v>45625.22152777778</v>
      </c>
      <c r="I274" s="3">
        <v>45625.446527777778</v>
      </c>
      <c r="J274" s="2">
        <v>215</v>
      </c>
      <c r="K274" s="2">
        <v>324</v>
      </c>
      <c r="L274" s="2">
        <v>1</v>
      </c>
      <c r="M274" s="2" t="s">
        <v>41</v>
      </c>
      <c r="N274" s="2">
        <v>10</v>
      </c>
      <c r="O274" s="2">
        <v>156.22999999999999</v>
      </c>
      <c r="P274" s="2">
        <f t="shared" si="20"/>
        <v>109</v>
      </c>
      <c r="Q274" s="4">
        <f t="shared" si="21"/>
        <v>0.6635802469135802</v>
      </c>
      <c r="R274" s="2" t="str">
        <f t="shared" si="22"/>
        <v>Inefficient</v>
      </c>
      <c r="S274" s="2" t="str">
        <f t="shared" si="23"/>
        <v>Very Long</v>
      </c>
      <c r="T274" s="2" t="str">
        <f t="shared" si="24"/>
        <v>Major Delay</v>
      </c>
    </row>
    <row r="275" spans="1:20" x14ac:dyDescent="0.35">
      <c r="A275" s="2" t="s">
        <v>709</v>
      </c>
      <c r="B275" s="2" t="s">
        <v>63</v>
      </c>
      <c r="C275" s="2" t="s">
        <v>710</v>
      </c>
      <c r="D275" s="2" t="s">
        <v>18</v>
      </c>
      <c r="E275" s="2" t="s">
        <v>19</v>
      </c>
      <c r="F275" s="2" t="s">
        <v>39</v>
      </c>
      <c r="G275" s="2" t="s">
        <v>308</v>
      </c>
      <c r="H275" s="3">
        <v>45556.075694444444</v>
      </c>
      <c r="I275" s="3">
        <v>45556.167361111111</v>
      </c>
      <c r="J275" s="2">
        <v>137</v>
      </c>
      <c r="K275" s="2">
        <v>132</v>
      </c>
      <c r="L275" s="2">
        <v>0</v>
      </c>
      <c r="M275" s="2" t="s">
        <v>22</v>
      </c>
      <c r="N275" s="2">
        <v>1</v>
      </c>
      <c r="O275" s="2">
        <v>267.16000000000003</v>
      </c>
      <c r="P275" s="2">
        <f t="shared" si="20"/>
        <v>-5</v>
      </c>
      <c r="Q275" s="4">
        <f t="shared" si="21"/>
        <v>1.0378787878787878</v>
      </c>
      <c r="R275" s="2" t="str">
        <f t="shared" si="22"/>
        <v>Efficient</v>
      </c>
      <c r="S275" s="2" t="str">
        <f t="shared" si="23"/>
        <v>Very Long</v>
      </c>
      <c r="T275" s="2" t="str">
        <f t="shared" si="24"/>
        <v>On Time</v>
      </c>
    </row>
    <row r="276" spans="1:20" x14ac:dyDescent="0.35">
      <c r="A276" s="2" t="s">
        <v>711</v>
      </c>
      <c r="B276" s="2" t="s">
        <v>16</v>
      </c>
      <c r="C276" s="2" t="s">
        <v>712</v>
      </c>
      <c r="D276" s="2" t="s">
        <v>48</v>
      </c>
      <c r="E276" s="2" t="s">
        <v>33</v>
      </c>
      <c r="F276" s="2" t="s">
        <v>20</v>
      </c>
      <c r="G276" s="2" t="s">
        <v>383</v>
      </c>
      <c r="H276" s="3">
        <v>45367.269444444442</v>
      </c>
      <c r="I276" s="3">
        <v>45367.429166666669</v>
      </c>
      <c r="J276" s="2">
        <v>136</v>
      </c>
      <c r="K276" s="2">
        <v>230</v>
      </c>
      <c r="L276" s="2">
        <v>1</v>
      </c>
      <c r="M276" s="2" t="s">
        <v>22</v>
      </c>
      <c r="N276" s="2">
        <v>2</v>
      </c>
      <c r="O276" s="2">
        <v>331.39</v>
      </c>
      <c r="P276" s="2">
        <f t="shared" si="20"/>
        <v>94</v>
      </c>
      <c r="Q276" s="4">
        <f t="shared" si="21"/>
        <v>0.59130434782608698</v>
      </c>
      <c r="R276" s="2" t="str">
        <f t="shared" si="22"/>
        <v>Inefficient</v>
      </c>
      <c r="S276" s="2" t="str">
        <f t="shared" si="23"/>
        <v>Very Long</v>
      </c>
      <c r="T276" s="2" t="str">
        <f t="shared" si="24"/>
        <v>Major Delay</v>
      </c>
    </row>
    <row r="277" spans="1:20" x14ac:dyDescent="0.35">
      <c r="A277" s="2" t="s">
        <v>713</v>
      </c>
      <c r="B277" s="2" t="s">
        <v>51</v>
      </c>
      <c r="C277" s="2" t="s">
        <v>714</v>
      </c>
      <c r="D277" s="2" t="s">
        <v>18</v>
      </c>
      <c r="E277" s="2" t="s">
        <v>19</v>
      </c>
      <c r="F277" s="2" t="s">
        <v>27</v>
      </c>
      <c r="G277" s="2" t="s">
        <v>470</v>
      </c>
      <c r="H277" s="3">
        <v>45415.725694444445</v>
      </c>
      <c r="I277" s="3">
        <v>45415.813194444447</v>
      </c>
      <c r="J277" s="2">
        <v>17</v>
      </c>
      <c r="K277" s="2">
        <v>126</v>
      </c>
      <c r="L277" s="2">
        <v>1</v>
      </c>
      <c r="M277" s="2" t="s">
        <v>22</v>
      </c>
      <c r="N277" s="2">
        <v>4</v>
      </c>
      <c r="O277" s="2">
        <v>145.96</v>
      </c>
      <c r="P277" s="2">
        <f t="shared" si="20"/>
        <v>109</v>
      </c>
      <c r="Q277" s="4">
        <f t="shared" si="21"/>
        <v>0.13492063492063491</v>
      </c>
      <c r="R277" s="2" t="str">
        <f t="shared" si="22"/>
        <v>Inefficient</v>
      </c>
      <c r="S277" s="2" t="str">
        <f t="shared" si="23"/>
        <v>Very Long</v>
      </c>
      <c r="T277" s="2" t="str">
        <f t="shared" si="24"/>
        <v>Major Delay</v>
      </c>
    </row>
    <row r="278" spans="1:20" x14ac:dyDescent="0.35">
      <c r="A278" s="2" t="s">
        <v>715</v>
      </c>
      <c r="B278" s="2" t="s">
        <v>63</v>
      </c>
      <c r="C278" s="2" t="s">
        <v>716</v>
      </c>
      <c r="D278" s="2" t="s">
        <v>26</v>
      </c>
      <c r="E278" s="2" t="s">
        <v>19</v>
      </c>
      <c r="F278" s="2" t="s">
        <v>34</v>
      </c>
      <c r="G278" s="2" t="s">
        <v>182</v>
      </c>
      <c r="H278" s="3">
        <v>45620.218055555553</v>
      </c>
      <c r="I278" s="3">
        <v>45620.383333333331</v>
      </c>
      <c r="J278" s="2">
        <v>229</v>
      </c>
      <c r="K278" s="2">
        <v>238</v>
      </c>
      <c r="L278" s="2">
        <v>1</v>
      </c>
      <c r="M278" s="2" t="s">
        <v>29</v>
      </c>
      <c r="N278" s="2">
        <v>8</v>
      </c>
      <c r="O278" s="2">
        <v>168.09</v>
      </c>
      <c r="P278" s="2">
        <f t="shared" si="20"/>
        <v>9</v>
      </c>
      <c r="Q278" s="4">
        <f t="shared" si="21"/>
        <v>0.96218487394957986</v>
      </c>
      <c r="R278" s="2" t="str">
        <f t="shared" si="22"/>
        <v>Inefficient</v>
      </c>
      <c r="S278" s="2" t="str">
        <f t="shared" si="23"/>
        <v>Very Long</v>
      </c>
      <c r="T278" s="2" t="str">
        <f t="shared" si="24"/>
        <v>Minor Delay</v>
      </c>
    </row>
    <row r="279" spans="1:20" x14ac:dyDescent="0.35">
      <c r="A279" s="2" t="s">
        <v>717</v>
      </c>
      <c r="B279" s="2" t="s">
        <v>63</v>
      </c>
      <c r="C279" s="2" t="s">
        <v>718</v>
      </c>
      <c r="D279" s="2" t="s">
        <v>48</v>
      </c>
      <c r="E279" s="2" t="s">
        <v>33</v>
      </c>
      <c r="F279" s="2" t="s">
        <v>34</v>
      </c>
      <c r="G279" s="2" t="s">
        <v>335</v>
      </c>
      <c r="H279" s="3">
        <v>45304.847916666666</v>
      </c>
      <c r="I279" s="3">
        <v>45305.034722222219</v>
      </c>
      <c r="J279" s="2">
        <v>193</v>
      </c>
      <c r="K279" s="2">
        <v>269</v>
      </c>
      <c r="L279" s="2">
        <v>1</v>
      </c>
      <c r="M279" s="2" t="s">
        <v>29</v>
      </c>
      <c r="N279" s="2">
        <v>4</v>
      </c>
      <c r="O279" s="2">
        <v>321.02</v>
      </c>
      <c r="P279" s="2">
        <f t="shared" si="20"/>
        <v>76</v>
      </c>
      <c r="Q279" s="4">
        <f t="shared" si="21"/>
        <v>0.71747211895910779</v>
      </c>
      <c r="R279" s="2" t="str">
        <f t="shared" si="22"/>
        <v>Inefficient</v>
      </c>
      <c r="S279" s="2" t="str">
        <f t="shared" si="23"/>
        <v>Very Long</v>
      </c>
      <c r="T279" s="2" t="str">
        <f t="shared" si="24"/>
        <v>Major Delay</v>
      </c>
    </row>
    <row r="280" spans="1:20" x14ac:dyDescent="0.35">
      <c r="A280" s="2" t="s">
        <v>719</v>
      </c>
      <c r="B280" s="2" t="s">
        <v>51</v>
      </c>
      <c r="C280" s="2" t="s">
        <v>720</v>
      </c>
      <c r="D280" s="2" t="s">
        <v>56</v>
      </c>
      <c r="E280" s="2" t="s">
        <v>85</v>
      </c>
      <c r="F280" s="2" t="s">
        <v>39</v>
      </c>
      <c r="G280" s="2" t="s">
        <v>473</v>
      </c>
      <c r="H280" s="3">
        <v>45622.220833333333</v>
      </c>
      <c r="I280" s="3">
        <v>45622.399305555555</v>
      </c>
      <c r="J280" s="2">
        <v>159</v>
      </c>
      <c r="K280" s="2">
        <v>257</v>
      </c>
      <c r="L280" s="2">
        <v>1</v>
      </c>
      <c r="M280" s="2" t="s">
        <v>29</v>
      </c>
      <c r="N280" s="2">
        <v>10</v>
      </c>
      <c r="O280" s="2">
        <v>262.70999999999998</v>
      </c>
      <c r="P280" s="2">
        <f t="shared" si="20"/>
        <v>98</v>
      </c>
      <c r="Q280" s="4">
        <f t="shared" si="21"/>
        <v>0.61867704280155644</v>
      </c>
      <c r="R280" s="2" t="str">
        <f t="shared" si="22"/>
        <v>Inefficient</v>
      </c>
      <c r="S280" s="2" t="str">
        <f t="shared" si="23"/>
        <v>Very Long</v>
      </c>
      <c r="T280" s="2" t="str">
        <f t="shared" si="24"/>
        <v>Major Delay</v>
      </c>
    </row>
    <row r="281" spans="1:20" x14ac:dyDescent="0.35">
      <c r="A281" s="2" t="s">
        <v>721</v>
      </c>
      <c r="B281" s="2" t="s">
        <v>16</v>
      </c>
      <c r="C281" s="2" t="s">
        <v>722</v>
      </c>
      <c r="D281" s="2" t="s">
        <v>26</v>
      </c>
      <c r="E281" s="2" t="s">
        <v>38</v>
      </c>
      <c r="F281" s="2" t="s">
        <v>57</v>
      </c>
      <c r="G281" s="2" t="s">
        <v>335</v>
      </c>
      <c r="H281" s="3">
        <v>45491.029166666667</v>
      </c>
      <c r="I281" s="3">
        <v>45491.084722222222</v>
      </c>
      <c r="J281" s="2">
        <v>57</v>
      </c>
      <c r="K281" s="2">
        <v>80</v>
      </c>
      <c r="L281" s="2">
        <v>1</v>
      </c>
      <c r="M281" s="2" t="s">
        <v>29</v>
      </c>
      <c r="N281" s="2">
        <v>8</v>
      </c>
      <c r="O281" s="2">
        <v>454.03</v>
      </c>
      <c r="P281" s="2">
        <f t="shared" si="20"/>
        <v>23</v>
      </c>
      <c r="Q281" s="4">
        <f t="shared" si="21"/>
        <v>0.71250000000000002</v>
      </c>
      <c r="R281" s="2" t="str">
        <f t="shared" si="22"/>
        <v>Inefficient</v>
      </c>
      <c r="S281" s="2" t="str">
        <f t="shared" si="23"/>
        <v>Long</v>
      </c>
      <c r="T281" s="2" t="str">
        <f t="shared" si="24"/>
        <v>Minor Delay</v>
      </c>
    </row>
    <row r="282" spans="1:20" x14ac:dyDescent="0.35">
      <c r="A282" s="2" t="s">
        <v>723</v>
      </c>
      <c r="B282" s="2" t="s">
        <v>63</v>
      </c>
      <c r="C282" s="2" t="s">
        <v>724</v>
      </c>
      <c r="D282" s="2" t="s">
        <v>26</v>
      </c>
      <c r="E282" s="2" t="s">
        <v>19</v>
      </c>
      <c r="F282" s="2" t="s">
        <v>20</v>
      </c>
      <c r="G282" s="2" t="s">
        <v>335</v>
      </c>
      <c r="H282" s="3">
        <v>45419.956944444442</v>
      </c>
      <c r="I282" s="3">
        <v>45420.021527777775</v>
      </c>
      <c r="J282" s="2">
        <v>23</v>
      </c>
      <c r="K282" s="2">
        <v>93</v>
      </c>
      <c r="L282" s="2">
        <v>1</v>
      </c>
      <c r="M282" s="2" t="s">
        <v>41</v>
      </c>
      <c r="N282" s="2">
        <v>1</v>
      </c>
      <c r="O282" s="2">
        <v>333.48</v>
      </c>
      <c r="P282" s="2">
        <f t="shared" si="20"/>
        <v>70</v>
      </c>
      <c r="Q282" s="4">
        <f t="shared" si="21"/>
        <v>0.24731182795698925</v>
      </c>
      <c r="R282" s="2" t="str">
        <f t="shared" si="22"/>
        <v>Inefficient</v>
      </c>
      <c r="S282" s="2" t="str">
        <f t="shared" si="23"/>
        <v>Long</v>
      </c>
      <c r="T282" s="2" t="str">
        <f t="shared" si="24"/>
        <v>Major Delay</v>
      </c>
    </row>
    <row r="283" spans="1:20" x14ac:dyDescent="0.35">
      <c r="A283" s="2" t="s">
        <v>725</v>
      </c>
      <c r="B283" s="2" t="s">
        <v>24</v>
      </c>
      <c r="C283" s="2" t="s">
        <v>726</v>
      </c>
      <c r="D283" s="2" t="s">
        <v>26</v>
      </c>
      <c r="E283" s="2" t="s">
        <v>85</v>
      </c>
      <c r="F283" s="2" t="s">
        <v>57</v>
      </c>
      <c r="G283" s="2" t="s">
        <v>88</v>
      </c>
      <c r="H283" s="3">
        <v>45299.984027777777</v>
      </c>
      <c r="I283" s="3">
        <v>45300.127083333333</v>
      </c>
      <c r="J283" s="2">
        <v>190</v>
      </c>
      <c r="K283" s="2">
        <v>206</v>
      </c>
      <c r="L283" s="2">
        <v>1</v>
      </c>
      <c r="M283" s="2" t="s">
        <v>22</v>
      </c>
      <c r="N283" s="2">
        <v>1</v>
      </c>
      <c r="O283" s="2">
        <v>143.80000000000001</v>
      </c>
      <c r="P283" s="2">
        <f t="shared" si="20"/>
        <v>16</v>
      </c>
      <c r="Q283" s="4">
        <f t="shared" si="21"/>
        <v>0.92233009708737868</v>
      </c>
      <c r="R283" s="2" t="str">
        <f t="shared" si="22"/>
        <v>Inefficient</v>
      </c>
      <c r="S283" s="2" t="str">
        <f t="shared" si="23"/>
        <v>Very Long</v>
      </c>
      <c r="T283" s="2" t="str">
        <f t="shared" si="24"/>
        <v>Minor Delay</v>
      </c>
    </row>
    <row r="284" spans="1:20" x14ac:dyDescent="0.35">
      <c r="A284" s="2" t="s">
        <v>727</v>
      </c>
      <c r="B284" s="2" t="s">
        <v>51</v>
      </c>
      <c r="C284" s="2" t="s">
        <v>728</v>
      </c>
      <c r="D284" s="2" t="s">
        <v>44</v>
      </c>
      <c r="E284" s="2" t="s">
        <v>85</v>
      </c>
      <c r="F284" s="2" t="s">
        <v>20</v>
      </c>
      <c r="G284" s="2" t="s">
        <v>167</v>
      </c>
      <c r="H284" s="3">
        <v>45561.838888888888</v>
      </c>
      <c r="I284" s="3">
        <v>45561.897222222222</v>
      </c>
      <c r="J284" s="2">
        <v>70</v>
      </c>
      <c r="K284" s="2">
        <v>84</v>
      </c>
      <c r="L284" s="2">
        <v>1</v>
      </c>
      <c r="M284" s="2" t="s">
        <v>29</v>
      </c>
      <c r="N284" s="2">
        <v>10</v>
      </c>
      <c r="O284" s="2">
        <v>432.35</v>
      </c>
      <c r="P284" s="2">
        <f t="shared" si="20"/>
        <v>14</v>
      </c>
      <c r="Q284" s="4">
        <f t="shared" si="21"/>
        <v>0.83333333333333337</v>
      </c>
      <c r="R284" s="2" t="str">
        <f t="shared" si="22"/>
        <v>Inefficient</v>
      </c>
      <c r="S284" s="2" t="str">
        <f t="shared" si="23"/>
        <v>Long</v>
      </c>
      <c r="T284" s="2" t="str">
        <f t="shared" si="24"/>
        <v>Minor Delay</v>
      </c>
    </row>
    <row r="285" spans="1:20" x14ac:dyDescent="0.35">
      <c r="A285" s="2" t="s">
        <v>729</v>
      </c>
      <c r="B285" s="2" t="s">
        <v>16</v>
      </c>
      <c r="C285" s="2" t="s">
        <v>730</v>
      </c>
      <c r="D285" s="2" t="s">
        <v>56</v>
      </c>
      <c r="E285" s="2" t="s">
        <v>19</v>
      </c>
      <c r="F285" s="2" t="s">
        <v>20</v>
      </c>
      <c r="G285" s="2" t="s">
        <v>191</v>
      </c>
      <c r="H285" s="3">
        <v>45612.57708333333</v>
      </c>
      <c r="I285" s="3">
        <v>45612.772222222222</v>
      </c>
      <c r="J285" s="2">
        <v>198</v>
      </c>
      <c r="K285" s="2">
        <v>281</v>
      </c>
      <c r="L285" s="2">
        <v>1</v>
      </c>
      <c r="M285" s="2" t="s">
        <v>29</v>
      </c>
      <c r="N285" s="2">
        <v>5</v>
      </c>
      <c r="O285" s="2">
        <v>212.34</v>
      </c>
      <c r="P285" s="2">
        <f t="shared" si="20"/>
        <v>83</v>
      </c>
      <c r="Q285" s="4">
        <f t="shared" si="21"/>
        <v>0.70462633451957291</v>
      </c>
      <c r="R285" s="2" t="str">
        <f t="shared" si="22"/>
        <v>Inefficient</v>
      </c>
      <c r="S285" s="2" t="str">
        <f t="shared" si="23"/>
        <v>Very Long</v>
      </c>
      <c r="T285" s="2" t="str">
        <f t="shared" si="24"/>
        <v>Major Delay</v>
      </c>
    </row>
    <row r="286" spans="1:20" x14ac:dyDescent="0.35">
      <c r="A286" s="2" t="s">
        <v>731</v>
      </c>
      <c r="B286" s="2" t="s">
        <v>31</v>
      </c>
      <c r="C286" s="2" t="s">
        <v>732</v>
      </c>
      <c r="D286" s="2" t="s">
        <v>18</v>
      </c>
      <c r="E286" s="2" t="s">
        <v>85</v>
      </c>
      <c r="F286" s="2" t="s">
        <v>34</v>
      </c>
      <c r="G286" s="2" t="s">
        <v>299</v>
      </c>
      <c r="H286" s="3">
        <v>45400.595833333333</v>
      </c>
      <c r="I286" s="3">
        <v>45400.777777777781</v>
      </c>
      <c r="J286" s="2">
        <v>216</v>
      </c>
      <c r="K286" s="2">
        <v>262</v>
      </c>
      <c r="L286" s="2">
        <v>1</v>
      </c>
      <c r="M286" s="2" t="s">
        <v>22</v>
      </c>
      <c r="N286" s="2">
        <v>5</v>
      </c>
      <c r="O286" s="2">
        <v>437.73</v>
      </c>
      <c r="P286" s="2">
        <f t="shared" si="20"/>
        <v>46</v>
      </c>
      <c r="Q286" s="4">
        <f t="shared" si="21"/>
        <v>0.82442748091603058</v>
      </c>
      <c r="R286" s="2" t="str">
        <f t="shared" si="22"/>
        <v>Inefficient</v>
      </c>
      <c r="S286" s="2" t="str">
        <f t="shared" si="23"/>
        <v>Very Long</v>
      </c>
      <c r="T286" s="2" t="str">
        <f t="shared" si="24"/>
        <v>Major Delay</v>
      </c>
    </row>
    <row r="287" spans="1:20" x14ac:dyDescent="0.35">
      <c r="A287" s="2" t="s">
        <v>733</v>
      </c>
      <c r="B287" s="2" t="s">
        <v>16</v>
      </c>
      <c r="C287" s="2" t="s">
        <v>734</v>
      </c>
      <c r="D287" s="2" t="s">
        <v>26</v>
      </c>
      <c r="E287" s="2" t="s">
        <v>33</v>
      </c>
      <c r="F287" s="2" t="s">
        <v>39</v>
      </c>
      <c r="G287" s="2" t="s">
        <v>97</v>
      </c>
      <c r="H287" s="3">
        <v>45509.101388888892</v>
      </c>
      <c r="I287" s="3">
        <v>45509.295138888891</v>
      </c>
      <c r="J287" s="2">
        <v>217</v>
      </c>
      <c r="K287" s="2">
        <v>279</v>
      </c>
      <c r="L287" s="2">
        <v>1</v>
      </c>
      <c r="M287" s="2" t="s">
        <v>41</v>
      </c>
      <c r="N287" s="2">
        <v>3</v>
      </c>
      <c r="O287" s="2">
        <v>395.67</v>
      </c>
      <c r="P287" s="2">
        <f t="shared" si="20"/>
        <v>62</v>
      </c>
      <c r="Q287" s="4">
        <f t="shared" si="21"/>
        <v>0.77777777777777779</v>
      </c>
      <c r="R287" s="2" t="str">
        <f t="shared" si="22"/>
        <v>Inefficient</v>
      </c>
      <c r="S287" s="2" t="str">
        <f t="shared" si="23"/>
        <v>Very Long</v>
      </c>
      <c r="T287" s="2" t="str">
        <f t="shared" si="24"/>
        <v>Major Delay</v>
      </c>
    </row>
    <row r="288" spans="1:20" x14ac:dyDescent="0.35">
      <c r="A288" s="2" t="s">
        <v>735</v>
      </c>
      <c r="B288" s="2" t="s">
        <v>31</v>
      </c>
      <c r="C288" s="2" t="s">
        <v>736</v>
      </c>
      <c r="D288" s="2" t="s">
        <v>26</v>
      </c>
      <c r="E288" s="2" t="s">
        <v>38</v>
      </c>
      <c r="F288" s="2" t="s">
        <v>27</v>
      </c>
      <c r="G288" s="2" t="s">
        <v>684</v>
      </c>
      <c r="H288" s="3">
        <v>45497.680555555555</v>
      </c>
      <c r="I288" s="3">
        <v>45497.726388888892</v>
      </c>
      <c r="J288" s="2">
        <v>20</v>
      </c>
      <c r="K288" s="2">
        <v>66</v>
      </c>
      <c r="L288" s="2">
        <v>1</v>
      </c>
      <c r="M288" s="2" t="s">
        <v>29</v>
      </c>
      <c r="N288" s="2">
        <v>8</v>
      </c>
      <c r="O288" s="2">
        <v>61.81</v>
      </c>
      <c r="P288" s="2">
        <f t="shared" si="20"/>
        <v>46</v>
      </c>
      <c r="Q288" s="4">
        <f t="shared" si="21"/>
        <v>0.30303030303030304</v>
      </c>
      <c r="R288" s="2" t="str">
        <f t="shared" si="22"/>
        <v>Inefficient</v>
      </c>
      <c r="S288" s="2" t="str">
        <f t="shared" si="23"/>
        <v>Long</v>
      </c>
      <c r="T288" s="2" t="str">
        <f t="shared" si="24"/>
        <v>Major Delay</v>
      </c>
    </row>
    <row r="289" spans="1:20" x14ac:dyDescent="0.35">
      <c r="A289" s="2" t="s">
        <v>737</v>
      </c>
      <c r="B289" s="2" t="s">
        <v>51</v>
      </c>
      <c r="C289" s="2" t="s">
        <v>738</v>
      </c>
      <c r="D289" s="2" t="s">
        <v>26</v>
      </c>
      <c r="E289" s="2" t="s">
        <v>85</v>
      </c>
      <c r="F289" s="2" t="s">
        <v>20</v>
      </c>
      <c r="G289" s="2" t="s">
        <v>222</v>
      </c>
      <c r="H289" s="3">
        <v>45386.519444444442</v>
      </c>
      <c r="I289" s="3">
        <v>45386.765972222223</v>
      </c>
      <c r="J289" s="2">
        <v>237</v>
      </c>
      <c r="K289" s="2">
        <v>355</v>
      </c>
      <c r="L289" s="2">
        <v>1</v>
      </c>
      <c r="M289" s="2" t="s">
        <v>29</v>
      </c>
      <c r="N289" s="2">
        <v>5</v>
      </c>
      <c r="O289" s="2">
        <v>380.3</v>
      </c>
      <c r="P289" s="2">
        <f t="shared" si="20"/>
        <v>118</v>
      </c>
      <c r="Q289" s="4">
        <f t="shared" si="21"/>
        <v>0.6676056338028169</v>
      </c>
      <c r="R289" s="2" t="str">
        <f t="shared" si="22"/>
        <v>Inefficient</v>
      </c>
      <c r="S289" s="2" t="str">
        <f t="shared" si="23"/>
        <v>Very Long</v>
      </c>
      <c r="T289" s="2" t="str">
        <f t="shared" si="24"/>
        <v>Major Delay</v>
      </c>
    </row>
    <row r="290" spans="1:20" x14ac:dyDescent="0.35">
      <c r="A290" s="2" t="s">
        <v>739</v>
      </c>
      <c r="B290" s="2" t="s">
        <v>63</v>
      </c>
      <c r="C290" s="2" t="s">
        <v>740</v>
      </c>
      <c r="D290" s="2" t="s">
        <v>48</v>
      </c>
      <c r="E290" s="2" t="s">
        <v>33</v>
      </c>
      <c r="F290" s="2" t="s">
        <v>39</v>
      </c>
      <c r="G290" s="2" t="s">
        <v>684</v>
      </c>
      <c r="H290" s="3">
        <v>45365.211805555555</v>
      </c>
      <c r="I290" s="3">
        <v>45365.287499999999</v>
      </c>
      <c r="J290" s="2">
        <v>114</v>
      </c>
      <c r="K290" s="2">
        <v>109</v>
      </c>
      <c r="L290" s="2">
        <v>0</v>
      </c>
      <c r="M290" s="2" t="s">
        <v>22</v>
      </c>
      <c r="N290" s="2">
        <v>7</v>
      </c>
      <c r="O290" s="2">
        <v>484.13</v>
      </c>
      <c r="P290" s="2">
        <f t="shared" si="20"/>
        <v>-5</v>
      </c>
      <c r="Q290" s="4">
        <f t="shared" si="21"/>
        <v>1.0458715596330275</v>
      </c>
      <c r="R290" s="2" t="str">
        <f t="shared" si="22"/>
        <v>Efficient</v>
      </c>
      <c r="S290" s="2" t="str">
        <f t="shared" si="23"/>
        <v>Long</v>
      </c>
      <c r="T290" s="2" t="str">
        <f t="shared" si="24"/>
        <v>On Time</v>
      </c>
    </row>
    <row r="291" spans="1:20" x14ac:dyDescent="0.35">
      <c r="A291" s="2" t="s">
        <v>741</v>
      </c>
      <c r="B291" s="2" t="s">
        <v>24</v>
      </c>
      <c r="C291" s="2" t="s">
        <v>742</v>
      </c>
      <c r="D291" s="2" t="s">
        <v>18</v>
      </c>
      <c r="E291" s="2" t="s">
        <v>85</v>
      </c>
      <c r="F291" s="2" t="s">
        <v>34</v>
      </c>
      <c r="G291" s="2" t="s">
        <v>58</v>
      </c>
      <c r="H291" s="3">
        <v>45360.099305555559</v>
      </c>
      <c r="I291" s="3">
        <v>45360.247916666667</v>
      </c>
      <c r="J291" s="2">
        <v>195</v>
      </c>
      <c r="K291" s="2">
        <v>214</v>
      </c>
      <c r="L291" s="2">
        <v>1</v>
      </c>
      <c r="M291" s="2" t="s">
        <v>41</v>
      </c>
      <c r="N291" s="2">
        <v>1</v>
      </c>
      <c r="O291" s="2">
        <v>441.5</v>
      </c>
      <c r="P291" s="2">
        <f t="shared" si="20"/>
        <v>19</v>
      </c>
      <c r="Q291" s="4">
        <f t="shared" si="21"/>
        <v>0.91121495327102808</v>
      </c>
      <c r="R291" s="2" t="str">
        <f t="shared" si="22"/>
        <v>Inefficient</v>
      </c>
      <c r="S291" s="2" t="str">
        <f t="shared" si="23"/>
        <v>Very Long</v>
      </c>
      <c r="T291" s="2" t="str">
        <f t="shared" si="24"/>
        <v>Minor Delay</v>
      </c>
    </row>
    <row r="292" spans="1:20" x14ac:dyDescent="0.35">
      <c r="A292" s="2" t="s">
        <v>743</v>
      </c>
      <c r="B292" s="2" t="s">
        <v>24</v>
      </c>
      <c r="C292" s="2" t="s">
        <v>744</v>
      </c>
      <c r="D292" s="2" t="s">
        <v>44</v>
      </c>
      <c r="E292" s="2" t="s">
        <v>38</v>
      </c>
      <c r="F292" s="2" t="s">
        <v>34</v>
      </c>
      <c r="G292" s="2" t="s">
        <v>111</v>
      </c>
      <c r="H292" s="3">
        <v>45328.588888888888</v>
      </c>
      <c r="I292" s="3">
        <v>45328.711111111108</v>
      </c>
      <c r="J292" s="2">
        <v>103</v>
      </c>
      <c r="K292" s="2">
        <v>176</v>
      </c>
      <c r="L292" s="2">
        <v>1</v>
      </c>
      <c r="M292" s="2" t="s">
        <v>22</v>
      </c>
      <c r="N292" s="2">
        <v>8</v>
      </c>
      <c r="O292" s="2">
        <v>267.27</v>
      </c>
      <c r="P292" s="2">
        <f t="shared" si="20"/>
        <v>73</v>
      </c>
      <c r="Q292" s="4">
        <f t="shared" si="21"/>
        <v>0.58522727272727271</v>
      </c>
      <c r="R292" s="2" t="str">
        <f t="shared" si="22"/>
        <v>Inefficient</v>
      </c>
      <c r="S292" s="2" t="str">
        <f t="shared" si="23"/>
        <v>Very Long</v>
      </c>
      <c r="T292" s="2" t="str">
        <f t="shared" si="24"/>
        <v>Major Delay</v>
      </c>
    </row>
    <row r="293" spans="1:20" x14ac:dyDescent="0.35">
      <c r="A293" s="2" t="s">
        <v>745</v>
      </c>
      <c r="B293" s="2" t="s">
        <v>63</v>
      </c>
      <c r="C293" s="2" t="s">
        <v>746</v>
      </c>
      <c r="D293" s="2" t="s">
        <v>48</v>
      </c>
      <c r="E293" s="2" t="s">
        <v>19</v>
      </c>
      <c r="F293" s="2" t="s">
        <v>27</v>
      </c>
      <c r="G293" s="2" t="s">
        <v>237</v>
      </c>
      <c r="H293" s="3">
        <v>45607.277777777781</v>
      </c>
      <c r="I293" s="3">
        <v>45607.368750000001</v>
      </c>
      <c r="J293" s="2">
        <v>72</v>
      </c>
      <c r="K293" s="2">
        <v>131</v>
      </c>
      <c r="L293" s="2">
        <v>1</v>
      </c>
      <c r="M293" s="2" t="s">
        <v>29</v>
      </c>
      <c r="N293" s="2">
        <v>2</v>
      </c>
      <c r="O293" s="2">
        <v>154.49</v>
      </c>
      <c r="P293" s="2">
        <f t="shared" si="20"/>
        <v>59</v>
      </c>
      <c r="Q293" s="4">
        <f t="shared" si="21"/>
        <v>0.54961832061068705</v>
      </c>
      <c r="R293" s="2" t="str">
        <f t="shared" si="22"/>
        <v>Inefficient</v>
      </c>
      <c r="S293" s="2" t="str">
        <f t="shared" si="23"/>
        <v>Very Long</v>
      </c>
      <c r="T293" s="2" t="str">
        <f t="shared" si="24"/>
        <v>Major Delay</v>
      </c>
    </row>
    <row r="294" spans="1:20" x14ac:dyDescent="0.35">
      <c r="A294" s="2" t="s">
        <v>747</v>
      </c>
      <c r="B294" s="2" t="s">
        <v>63</v>
      </c>
      <c r="C294" s="2" t="s">
        <v>748</v>
      </c>
      <c r="D294" s="2" t="s">
        <v>48</v>
      </c>
      <c r="E294" s="2" t="s">
        <v>33</v>
      </c>
      <c r="F294" s="2" t="s">
        <v>39</v>
      </c>
      <c r="G294" s="2" t="s">
        <v>749</v>
      </c>
      <c r="H294" s="3">
        <v>45369.743055555555</v>
      </c>
      <c r="I294" s="3">
        <v>45369.972916666666</v>
      </c>
      <c r="J294" s="2">
        <v>236</v>
      </c>
      <c r="K294" s="2">
        <v>331</v>
      </c>
      <c r="L294" s="2">
        <v>1</v>
      </c>
      <c r="M294" s="2" t="s">
        <v>41</v>
      </c>
      <c r="N294" s="2">
        <v>5</v>
      </c>
      <c r="O294" s="2">
        <v>300.10000000000002</v>
      </c>
      <c r="P294" s="2">
        <f t="shared" si="20"/>
        <v>95</v>
      </c>
      <c r="Q294" s="4">
        <f t="shared" si="21"/>
        <v>0.71299093655589119</v>
      </c>
      <c r="R294" s="2" t="str">
        <f t="shared" si="22"/>
        <v>Inefficient</v>
      </c>
      <c r="S294" s="2" t="str">
        <f t="shared" si="23"/>
        <v>Very Long</v>
      </c>
      <c r="T294" s="2" t="str">
        <f t="shared" si="24"/>
        <v>Major Delay</v>
      </c>
    </row>
    <row r="295" spans="1:20" x14ac:dyDescent="0.35">
      <c r="A295" s="2" t="s">
        <v>750</v>
      </c>
      <c r="B295" s="2" t="s">
        <v>24</v>
      </c>
      <c r="C295" s="2" t="s">
        <v>751</v>
      </c>
      <c r="D295" s="2" t="s">
        <v>44</v>
      </c>
      <c r="E295" s="2" t="s">
        <v>38</v>
      </c>
      <c r="F295" s="2" t="s">
        <v>20</v>
      </c>
      <c r="G295" s="2" t="s">
        <v>330</v>
      </c>
      <c r="H295" s="3">
        <v>45433.499305555553</v>
      </c>
      <c r="I295" s="3">
        <v>45433.602777777778</v>
      </c>
      <c r="J295" s="2">
        <v>118</v>
      </c>
      <c r="K295" s="2">
        <v>149</v>
      </c>
      <c r="L295" s="2">
        <v>1</v>
      </c>
      <c r="M295" s="2" t="s">
        <v>41</v>
      </c>
      <c r="N295" s="2">
        <v>7</v>
      </c>
      <c r="O295" s="2">
        <v>464.1</v>
      </c>
      <c r="P295" s="2">
        <f t="shared" si="20"/>
        <v>31</v>
      </c>
      <c r="Q295" s="4">
        <f t="shared" si="21"/>
        <v>0.79194630872483218</v>
      </c>
      <c r="R295" s="2" t="str">
        <f t="shared" si="22"/>
        <v>Inefficient</v>
      </c>
      <c r="S295" s="2" t="str">
        <f t="shared" si="23"/>
        <v>Very Long</v>
      </c>
      <c r="T295" s="2" t="str">
        <f t="shared" si="24"/>
        <v>Major Delay</v>
      </c>
    </row>
    <row r="296" spans="1:20" x14ac:dyDescent="0.35">
      <c r="A296" s="2" t="s">
        <v>752</v>
      </c>
      <c r="B296" s="2" t="s">
        <v>16</v>
      </c>
      <c r="C296" s="2" t="s">
        <v>753</v>
      </c>
      <c r="D296" s="2" t="s">
        <v>26</v>
      </c>
      <c r="E296" s="2" t="s">
        <v>85</v>
      </c>
      <c r="F296" s="2" t="s">
        <v>34</v>
      </c>
      <c r="G296" s="2" t="s">
        <v>754</v>
      </c>
      <c r="H296" s="3">
        <v>45372.392361111109</v>
      </c>
      <c r="I296" s="3">
        <v>45372.481249999997</v>
      </c>
      <c r="J296" s="2">
        <v>20</v>
      </c>
      <c r="K296" s="2">
        <v>128</v>
      </c>
      <c r="L296" s="2">
        <v>1</v>
      </c>
      <c r="M296" s="2" t="s">
        <v>29</v>
      </c>
      <c r="N296" s="2">
        <v>2</v>
      </c>
      <c r="O296" s="2">
        <v>464.47</v>
      </c>
      <c r="P296" s="2">
        <f t="shared" si="20"/>
        <v>108</v>
      </c>
      <c r="Q296" s="4">
        <f t="shared" si="21"/>
        <v>0.15625</v>
      </c>
      <c r="R296" s="2" t="str">
        <f t="shared" si="22"/>
        <v>Inefficient</v>
      </c>
      <c r="S296" s="2" t="str">
        <f t="shared" si="23"/>
        <v>Very Long</v>
      </c>
      <c r="T296" s="2" t="str">
        <f t="shared" si="24"/>
        <v>Major Delay</v>
      </c>
    </row>
    <row r="297" spans="1:20" x14ac:dyDescent="0.35">
      <c r="A297" s="2" t="s">
        <v>755</v>
      </c>
      <c r="B297" s="2" t="s">
        <v>51</v>
      </c>
      <c r="C297" s="2" t="s">
        <v>756</v>
      </c>
      <c r="D297" s="2" t="s">
        <v>18</v>
      </c>
      <c r="E297" s="2" t="s">
        <v>85</v>
      </c>
      <c r="F297" s="2" t="s">
        <v>27</v>
      </c>
      <c r="G297" s="2" t="s">
        <v>111</v>
      </c>
      <c r="H297" s="3">
        <v>45358.173611111109</v>
      </c>
      <c r="I297" s="3">
        <v>45358.332638888889</v>
      </c>
      <c r="J297" s="2">
        <v>229</v>
      </c>
      <c r="K297" s="2">
        <v>229</v>
      </c>
      <c r="L297" s="2">
        <v>0</v>
      </c>
      <c r="M297" s="2" t="s">
        <v>41</v>
      </c>
      <c r="N297" s="2">
        <v>10</v>
      </c>
      <c r="O297" s="2">
        <v>254.78</v>
      </c>
      <c r="P297" s="2">
        <f t="shared" si="20"/>
        <v>0</v>
      </c>
      <c r="Q297" s="4">
        <f t="shared" si="21"/>
        <v>1</v>
      </c>
      <c r="R297" s="2" t="str">
        <f t="shared" si="22"/>
        <v>On Target</v>
      </c>
      <c r="S297" s="2" t="str">
        <f t="shared" si="23"/>
        <v>Very Long</v>
      </c>
      <c r="T297" s="2" t="str">
        <f t="shared" si="24"/>
        <v>On Time</v>
      </c>
    </row>
    <row r="298" spans="1:20" x14ac:dyDescent="0.35">
      <c r="A298" s="2" t="s">
        <v>757</v>
      </c>
      <c r="B298" s="2" t="s">
        <v>51</v>
      </c>
      <c r="C298" s="2" t="s">
        <v>758</v>
      </c>
      <c r="D298" s="2" t="s">
        <v>18</v>
      </c>
      <c r="E298" s="2" t="s">
        <v>85</v>
      </c>
      <c r="F298" s="2" t="s">
        <v>27</v>
      </c>
      <c r="G298" s="2" t="s">
        <v>462</v>
      </c>
      <c r="H298" s="3">
        <v>45384.081944444442</v>
      </c>
      <c r="I298" s="3">
        <v>45384.115972222222</v>
      </c>
      <c r="J298" s="2">
        <v>51</v>
      </c>
      <c r="K298" s="2">
        <v>49</v>
      </c>
      <c r="L298" s="2">
        <v>0</v>
      </c>
      <c r="M298" s="2" t="s">
        <v>29</v>
      </c>
      <c r="N298" s="2">
        <v>9</v>
      </c>
      <c r="O298" s="2">
        <v>419.24</v>
      </c>
      <c r="P298" s="2">
        <f t="shared" si="20"/>
        <v>-2</v>
      </c>
      <c r="Q298" s="4">
        <f t="shared" si="21"/>
        <v>1.0408163265306123</v>
      </c>
      <c r="R298" s="2" t="str">
        <f t="shared" si="22"/>
        <v>Efficient</v>
      </c>
      <c r="S298" s="2" t="str">
        <f t="shared" si="23"/>
        <v>Medium</v>
      </c>
      <c r="T298" s="2" t="str">
        <f t="shared" si="24"/>
        <v>On Time</v>
      </c>
    </row>
    <row r="299" spans="1:20" x14ac:dyDescent="0.35">
      <c r="A299" s="2" t="s">
        <v>759</v>
      </c>
      <c r="B299" s="2" t="s">
        <v>24</v>
      </c>
      <c r="C299" s="2" t="s">
        <v>760</v>
      </c>
      <c r="D299" s="2" t="s">
        <v>48</v>
      </c>
      <c r="E299" s="2" t="s">
        <v>38</v>
      </c>
      <c r="F299" s="2" t="s">
        <v>27</v>
      </c>
      <c r="G299" s="2" t="s">
        <v>476</v>
      </c>
      <c r="H299" s="3">
        <v>45424.570138888892</v>
      </c>
      <c r="I299" s="3">
        <v>45424.65347222222</v>
      </c>
      <c r="J299" s="2">
        <v>73</v>
      </c>
      <c r="K299" s="2">
        <v>120</v>
      </c>
      <c r="L299" s="2">
        <v>1</v>
      </c>
      <c r="M299" s="2" t="s">
        <v>41</v>
      </c>
      <c r="N299" s="2">
        <v>5</v>
      </c>
      <c r="O299" s="2">
        <v>249.11</v>
      </c>
      <c r="P299" s="2">
        <f t="shared" si="20"/>
        <v>47</v>
      </c>
      <c r="Q299" s="4">
        <f t="shared" si="21"/>
        <v>0.60833333333333328</v>
      </c>
      <c r="R299" s="2" t="str">
        <f t="shared" si="22"/>
        <v>Inefficient</v>
      </c>
      <c r="S299" s="2" t="str">
        <f t="shared" si="23"/>
        <v>Very Long</v>
      </c>
      <c r="T299" s="2" t="str">
        <f t="shared" si="24"/>
        <v>Major Delay</v>
      </c>
    </row>
    <row r="300" spans="1:20" x14ac:dyDescent="0.35">
      <c r="A300" s="2" t="s">
        <v>761</v>
      </c>
      <c r="B300" s="2" t="s">
        <v>24</v>
      </c>
      <c r="C300" s="2" t="s">
        <v>762</v>
      </c>
      <c r="D300" s="2" t="s">
        <v>56</v>
      </c>
      <c r="E300" s="2" t="s">
        <v>38</v>
      </c>
      <c r="F300" s="2" t="s">
        <v>20</v>
      </c>
      <c r="G300" s="2" t="s">
        <v>68</v>
      </c>
      <c r="H300" s="3">
        <v>45448.202777777777</v>
      </c>
      <c r="I300" s="3">
        <v>45448.277083333334</v>
      </c>
      <c r="J300" s="2">
        <v>106</v>
      </c>
      <c r="K300" s="2">
        <v>107</v>
      </c>
      <c r="L300" s="2">
        <v>1</v>
      </c>
      <c r="M300" s="2" t="s">
        <v>22</v>
      </c>
      <c r="N300" s="2">
        <v>1</v>
      </c>
      <c r="O300" s="2">
        <v>298.56</v>
      </c>
      <c r="P300" s="2">
        <f t="shared" si="20"/>
        <v>1</v>
      </c>
      <c r="Q300" s="4">
        <f t="shared" si="21"/>
        <v>0.99065420560747663</v>
      </c>
      <c r="R300" s="2" t="str">
        <f t="shared" si="22"/>
        <v>Inefficient</v>
      </c>
      <c r="S300" s="2" t="str">
        <f t="shared" si="23"/>
        <v>Long</v>
      </c>
      <c r="T300" s="2" t="str">
        <f t="shared" si="24"/>
        <v>Minor Delay</v>
      </c>
    </row>
    <row r="301" spans="1:20" x14ac:dyDescent="0.35">
      <c r="A301" s="2" t="s">
        <v>763</v>
      </c>
      <c r="B301" s="2" t="s">
        <v>63</v>
      </c>
      <c r="C301" s="2" t="s">
        <v>764</v>
      </c>
      <c r="D301" s="2" t="s">
        <v>48</v>
      </c>
      <c r="E301" s="2" t="s">
        <v>33</v>
      </c>
      <c r="F301" s="2" t="s">
        <v>39</v>
      </c>
      <c r="G301" s="2" t="s">
        <v>647</v>
      </c>
      <c r="H301" s="3">
        <v>45642.806944444441</v>
      </c>
      <c r="I301" s="3">
        <v>45642.896527777775</v>
      </c>
      <c r="J301" s="2">
        <v>120</v>
      </c>
      <c r="K301" s="2">
        <v>129</v>
      </c>
      <c r="L301" s="2">
        <v>1</v>
      </c>
      <c r="M301" s="2" t="s">
        <v>22</v>
      </c>
      <c r="N301" s="2">
        <v>2</v>
      </c>
      <c r="O301" s="2">
        <v>455.72</v>
      </c>
      <c r="P301" s="2">
        <f t="shared" si="20"/>
        <v>9</v>
      </c>
      <c r="Q301" s="4">
        <f t="shared" si="21"/>
        <v>0.93023255813953487</v>
      </c>
      <c r="R301" s="2" t="str">
        <f t="shared" si="22"/>
        <v>Inefficient</v>
      </c>
      <c r="S301" s="2" t="str">
        <f t="shared" si="23"/>
        <v>Very Long</v>
      </c>
      <c r="T301" s="2" t="str">
        <f t="shared" si="24"/>
        <v>Minor Delay</v>
      </c>
    </row>
    <row r="302" spans="1:20" x14ac:dyDescent="0.35">
      <c r="A302" s="2" t="s">
        <v>765</v>
      </c>
      <c r="B302" s="2" t="s">
        <v>31</v>
      </c>
      <c r="C302" s="2" t="s">
        <v>766</v>
      </c>
      <c r="D302" s="2" t="s">
        <v>18</v>
      </c>
      <c r="E302" s="2" t="s">
        <v>38</v>
      </c>
      <c r="F302" s="2" t="s">
        <v>39</v>
      </c>
      <c r="G302" s="2" t="s">
        <v>188</v>
      </c>
      <c r="H302" s="3">
        <v>45419.642361111109</v>
      </c>
      <c r="I302" s="3">
        <v>45419.794444444444</v>
      </c>
      <c r="J302" s="2">
        <v>100</v>
      </c>
      <c r="K302" s="2">
        <v>219</v>
      </c>
      <c r="L302" s="2">
        <v>1</v>
      </c>
      <c r="M302" s="2" t="s">
        <v>41</v>
      </c>
      <c r="N302" s="2">
        <v>10</v>
      </c>
      <c r="O302" s="2">
        <v>251.29</v>
      </c>
      <c r="P302" s="2">
        <f t="shared" si="20"/>
        <v>119</v>
      </c>
      <c r="Q302" s="4">
        <f t="shared" si="21"/>
        <v>0.45662100456621002</v>
      </c>
      <c r="R302" s="2" t="str">
        <f t="shared" si="22"/>
        <v>Inefficient</v>
      </c>
      <c r="S302" s="2" t="str">
        <f t="shared" si="23"/>
        <v>Very Long</v>
      </c>
      <c r="T302" s="2" t="str">
        <f t="shared" si="24"/>
        <v>Major Delay</v>
      </c>
    </row>
    <row r="303" spans="1:20" x14ac:dyDescent="0.35">
      <c r="A303" s="2" t="s">
        <v>767</v>
      </c>
      <c r="B303" s="2" t="s">
        <v>24</v>
      </c>
      <c r="C303" s="2" t="s">
        <v>768</v>
      </c>
      <c r="D303" s="2" t="s">
        <v>48</v>
      </c>
      <c r="E303" s="2" t="s">
        <v>85</v>
      </c>
      <c r="F303" s="2" t="s">
        <v>34</v>
      </c>
      <c r="G303" s="2" t="s">
        <v>354</v>
      </c>
      <c r="H303" s="3">
        <v>45640.697916666664</v>
      </c>
      <c r="I303" s="3">
        <v>45640.866666666669</v>
      </c>
      <c r="J303" s="2">
        <v>189</v>
      </c>
      <c r="K303" s="2">
        <v>243</v>
      </c>
      <c r="L303" s="2">
        <v>1</v>
      </c>
      <c r="M303" s="2" t="s">
        <v>29</v>
      </c>
      <c r="N303" s="2">
        <v>3</v>
      </c>
      <c r="O303" s="2">
        <v>473.82</v>
      </c>
      <c r="P303" s="2">
        <f t="shared" si="20"/>
        <v>54</v>
      </c>
      <c r="Q303" s="4">
        <f t="shared" si="21"/>
        <v>0.77777777777777779</v>
      </c>
      <c r="R303" s="2" t="str">
        <f t="shared" si="22"/>
        <v>Inefficient</v>
      </c>
      <c r="S303" s="2" t="str">
        <f t="shared" si="23"/>
        <v>Very Long</v>
      </c>
      <c r="T303" s="2" t="str">
        <f t="shared" si="24"/>
        <v>Major Delay</v>
      </c>
    </row>
    <row r="304" spans="1:20" x14ac:dyDescent="0.35">
      <c r="A304" s="2" t="s">
        <v>769</v>
      </c>
      <c r="B304" s="2" t="s">
        <v>31</v>
      </c>
      <c r="C304" s="2" t="s">
        <v>770</v>
      </c>
      <c r="D304" s="2" t="s">
        <v>48</v>
      </c>
      <c r="E304" s="2" t="s">
        <v>85</v>
      </c>
      <c r="F304" s="2" t="s">
        <v>34</v>
      </c>
      <c r="G304" s="2" t="s">
        <v>167</v>
      </c>
      <c r="H304" s="3">
        <v>45407.722222222219</v>
      </c>
      <c r="I304" s="3">
        <v>45407.886111111111</v>
      </c>
      <c r="J304" s="2">
        <v>194</v>
      </c>
      <c r="K304" s="2">
        <v>236</v>
      </c>
      <c r="L304" s="2">
        <v>1</v>
      </c>
      <c r="M304" s="2" t="s">
        <v>41</v>
      </c>
      <c r="N304" s="2">
        <v>7</v>
      </c>
      <c r="O304" s="2">
        <v>255.6</v>
      </c>
      <c r="P304" s="2">
        <f t="shared" si="20"/>
        <v>42</v>
      </c>
      <c r="Q304" s="4">
        <f t="shared" si="21"/>
        <v>0.82203389830508478</v>
      </c>
      <c r="R304" s="2" t="str">
        <f t="shared" si="22"/>
        <v>Inefficient</v>
      </c>
      <c r="S304" s="2" t="str">
        <f t="shared" si="23"/>
        <v>Very Long</v>
      </c>
      <c r="T304" s="2" t="str">
        <f t="shared" si="24"/>
        <v>Major Delay</v>
      </c>
    </row>
    <row r="305" spans="1:20" x14ac:dyDescent="0.35">
      <c r="A305" s="2" t="s">
        <v>771</v>
      </c>
      <c r="B305" s="2" t="s">
        <v>51</v>
      </c>
      <c r="C305" s="2" t="s">
        <v>772</v>
      </c>
      <c r="D305" s="2" t="s">
        <v>18</v>
      </c>
      <c r="E305" s="2" t="s">
        <v>38</v>
      </c>
      <c r="F305" s="2" t="s">
        <v>39</v>
      </c>
      <c r="G305" s="2" t="s">
        <v>676</v>
      </c>
      <c r="H305" s="3">
        <v>45348.671527777777</v>
      </c>
      <c r="I305" s="3">
        <v>45348.849305555559</v>
      </c>
      <c r="J305" s="2">
        <v>159</v>
      </c>
      <c r="K305" s="2">
        <v>256</v>
      </c>
      <c r="L305" s="2">
        <v>1</v>
      </c>
      <c r="M305" s="2" t="s">
        <v>22</v>
      </c>
      <c r="N305" s="2">
        <v>1</v>
      </c>
      <c r="O305" s="2">
        <v>368.13</v>
      </c>
      <c r="P305" s="2">
        <f t="shared" si="20"/>
        <v>97</v>
      </c>
      <c r="Q305" s="4">
        <f t="shared" si="21"/>
        <v>0.62109375</v>
      </c>
      <c r="R305" s="2" t="str">
        <f t="shared" si="22"/>
        <v>Inefficient</v>
      </c>
      <c r="S305" s="2" t="str">
        <f t="shared" si="23"/>
        <v>Very Long</v>
      </c>
      <c r="T305" s="2" t="str">
        <f t="shared" si="24"/>
        <v>Major Delay</v>
      </c>
    </row>
    <row r="306" spans="1:20" x14ac:dyDescent="0.35">
      <c r="A306" s="2" t="s">
        <v>773</v>
      </c>
      <c r="B306" s="2" t="s">
        <v>51</v>
      </c>
      <c r="C306" s="2" t="s">
        <v>774</v>
      </c>
      <c r="D306" s="2" t="s">
        <v>18</v>
      </c>
      <c r="E306" s="2" t="s">
        <v>33</v>
      </c>
      <c r="F306" s="2" t="s">
        <v>39</v>
      </c>
      <c r="G306" s="2" t="s">
        <v>91</v>
      </c>
      <c r="H306" s="3">
        <v>45559.746527777781</v>
      </c>
      <c r="I306" s="3">
        <v>45559.845833333333</v>
      </c>
      <c r="J306" s="2">
        <v>104</v>
      </c>
      <c r="K306" s="2">
        <v>143</v>
      </c>
      <c r="L306" s="2">
        <v>1</v>
      </c>
      <c r="M306" s="2" t="s">
        <v>22</v>
      </c>
      <c r="N306" s="2">
        <v>9</v>
      </c>
      <c r="O306" s="2">
        <v>134.16999999999999</v>
      </c>
      <c r="P306" s="2">
        <f t="shared" si="20"/>
        <v>39</v>
      </c>
      <c r="Q306" s="4">
        <f t="shared" si="21"/>
        <v>0.72727272727272729</v>
      </c>
      <c r="R306" s="2" t="str">
        <f t="shared" si="22"/>
        <v>Inefficient</v>
      </c>
      <c r="S306" s="2" t="str">
        <f t="shared" si="23"/>
        <v>Very Long</v>
      </c>
      <c r="T306" s="2" t="str">
        <f t="shared" si="24"/>
        <v>Major Delay</v>
      </c>
    </row>
    <row r="307" spans="1:20" x14ac:dyDescent="0.35">
      <c r="A307" s="2" t="s">
        <v>775</v>
      </c>
      <c r="B307" s="2" t="s">
        <v>63</v>
      </c>
      <c r="C307" s="2" t="s">
        <v>776</v>
      </c>
      <c r="D307" s="2" t="s">
        <v>44</v>
      </c>
      <c r="E307" s="2" t="s">
        <v>38</v>
      </c>
      <c r="F307" s="2" t="s">
        <v>57</v>
      </c>
      <c r="G307" s="2" t="s">
        <v>777</v>
      </c>
      <c r="H307" s="3">
        <v>45466.748611111114</v>
      </c>
      <c r="I307" s="3">
        <v>45466.848611111112</v>
      </c>
      <c r="J307" s="2">
        <v>87</v>
      </c>
      <c r="K307" s="2">
        <v>144</v>
      </c>
      <c r="L307" s="2">
        <v>1</v>
      </c>
      <c r="M307" s="2" t="s">
        <v>41</v>
      </c>
      <c r="N307" s="2">
        <v>4</v>
      </c>
      <c r="O307" s="2">
        <v>382.21</v>
      </c>
      <c r="P307" s="2">
        <f t="shared" si="20"/>
        <v>57</v>
      </c>
      <c r="Q307" s="4">
        <f t="shared" si="21"/>
        <v>0.60416666666666663</v>
      </c>
      <c r="R307" s="2" t="str">
        <f t="shared" si="22"/>
        <v>Inefficient</v>
      </c>
      <c r="S307" s="2" t="str">
        <f t="shared" si="23"/>
        <v>Very Long</v>
      </c>
      <c r="T307" s="2" t="str">
        <f t="shared" si="24"/>
        <v>Major Delay</v>
      </c>
    </row>
    <row r="308" spans="1:20" x14ac:dyDescent="0.35">
      <c r="A308" s="2" t="s">
        <v>778</v>
      </c>
      <c r="B308" s="2" t="s">
        <v>16</v>
      </c>
      <c r="C308" s="2" t="s">
        <v>779</v>
      </c>
      <c r="D308" s="2" t="s">
        <v>44</v>
      </c>
      <c r="E308" s="2" t="s">
        <v>38</v>
      </c>
      <c r="F308" s="2" t="s">
        <v>34</v>
      </c>
      <c r="G308" s="2" t="s">
        <v>681</v>
      </c>
      <c r="H308" s="3">
        <v>45380.513888888891</v>
      </c>
      <c r="I308" s="3">
        <v>45380.679861111108</v>
      </c>
      <c r="J308" s="2">
        <v>135</v>
      </c>
      <c r="K308" s="2">
        <v>239</v>
      </c>
      <c r="L308" s="2">
        <v>1</v>
      </c>
      <c r="M308" s="2" t="s">
        <v>41</v>
      </c>
      <c r="N308" s="2">
        <v>3</v>
      </c>
      <c r="O308" s="2">
        <v>378.49</v>
      </c>
      <c r="P308" s="2">
        <f t="shared" si="20"/>
        <v>104</v>
      </c>
      <c r="Q308" s="4">
        <f t="shared" si="21"/>
        <v>0.56485355648535562</v>
      </c>
      <c r="R308" s="2" t="str">
        <f t="shared" si="22"/>
        <v>Inefficient</v>
      </c>
      <c r="S308" s="2" t="str">
        <f t="shared" si="23"/>
        <v>Very Long</v>
      </c>
      <c r="T308" s="2" t="str">
        <f t="shared" si="24"/>
        <v>Major Delay</v>
      </c>
    </row>
    <row r="309" spans="1:20" x14ac:dyDescent="0.35">
      <c r="A309" s="2" t="s">
        <v>780</v>
      </c>
      <c r="B309" s="2" t="s">
        <v>63</v>
      </c>
      <c r="C309" s="2" t="s">
        <v>781</v>
      </c>
      <c r="D309" s="2" t="s">
        <v>56</v>
      </c>
      <c r="E309" s="2" t="s">
        <v>33</v>
      </c>
      <c r="F309" s="2" t="s">
        <v>39</v>
      </c>
      <c r="G309" s="2" t="s">
        <v>782</v>
      </c>
      <c r="H309" s="3">
        <v>45620.32708333333</v>
      </c>
      <c r="I309" s="3">
        <v>45620.473611111112</v>
      </c>
      <c r="J309" s="2">
        <v>150</v>
      </c>
      <c r="K309" s="2">
        <v>211</v>
      </c>
      <c r="L309" s="2">
        <v>1</v>
      </c>
      <c r="M309" s="2" t="s">
        <v>41</v>
      </c>
      <c r="N309" s="2">
        <v>8</v>
      </c>
      <c r="O309" s="2">
        <v>441.9</v>
      </c>
      <c r="P309" s="2">
        <f t="shared" si="20"/>
        <v>61</v>
      </c>
      <c r="Q309" s="4">
        <f t="shared" si="21"/>
        <v>0.7109004739336493</v>
      </c>
      <c r="R309" s="2" t="str">
        <f t="shared" si="22"/>
        <v>Inefficient</v>
      </c>
      <c r="S309" s="2" t="str">
        <f t="shared" si="23"/>
        <v>Very Long</v>
      </c>
      <c r="T309" s="2" t="str">
        <f t="shared" si="24"/>
        <v>Major Delay</v>
      </c>
    </row>
    <row r="310" spans="1:20" x14ac:dyDescent="0.35">
      <c r="A310" s="2" t="s">
        <v>783</v>
      </c>
      <c r="B310" s="2" t="s">
        <v>51</v>
      </c>
      <c r="C310" s="2" t="s">
        <v>784</v>
      </c>
      <c r="D310" s="2" t="s">
        <v>48</v>
      </c>
      <c r="E310" s="2" t="s">
        <v>38</v>
      </c>
      <c r="F310" s="2" t="s">
        <v>39</v>
      </c>
      <c r="G310" s="2" t="s">
        <v>785</v>
      </c>
      <c r="H310" s="3">
        <v>45296.009027777778</v>
      </c>
      <c r="I310" s="3">
        <v>45296.199305555558</v>
      </c>
      <c r="J310" s="2">
        <v>175</v>
      </c>
      <c r="K310" s="2">
        <v>274</v>
      </c>
      <c r="L310" s="2">
        <v>1</v>
      </c>
      <c r="M310" s="2" t="s">
        <v>41</v>
      </c>
      <c r="N310" s="2">
        <v>8</v>
      </c>
      <c r="O310" s="2">
        <v>482.26</v>
      </c>
      <c r="P310" s="2">
        <f t="shared" si="20"/>
        <v>99</v>
      </c>
      <c r="Q310" s="4">
        <f t="shared" si="21"/>
        <v>0.63868613138686137</v>
      </c>
      <c r="R310" s="2" t="str">
        <f t="shared" si="22"/>
        <v>Inefficient</v>
      </c>
      <c r="S310" s="2" t="str">
        <f t="shared" si="23"/>
        <v>Very Long</v>
      </c>
      <c r="T310" s="2" t="str">
        <f t="shared" si="24"/>
        <v>Major Delay</v>
      </c>
    </row>
    <row r="311" spans="1:20" x14ac:dyDescent="0.35">
      <c r="A311" s="2" t="s">
        <v>786</v>
      </c>
      <c r="B311" s="2" t="s">
        <v>51</v>
      </c>
      <c r="C311" s="2" t="s">
        <v>787</v>
      </c>
      <c r="D311" s="2" t="s">
        <v>48</v>
      </c>
      <c r="E311" s="2" t="s">
        <v>33</v>
      </c>
      <c r="F311" s="2" t="s">
        <v>20</v>
      </c>
      <c r="G311" s="2" t="s">
        <v>456</v>
      </c>
      <c r="H311" s="3">
        <v>45367.614583333336</v>
      </c>
      <c r="I311" s="3">
        <v>45367.638194444444</v>
      </c>
      <c r="J311" s="2">
        <v>28</v>
      </c>
      <c r="K311" s="2">
        <v>34</v>
      </c>
      <c r="L311" s="2">
        <v>1</v>
      </c>
      <c r="M311" s="2" t="s">
        <v>22</v>
      </c>
      <c r="N311" s="2">
        <v>5</v>
      </c>
      <c r="O311" s="2">
        <v>197.88</v>
      </c>
      <c r="P311" s="2">
        <f t="shared" si="20"/>
        <v>6</v>
      </c>
      <c r="Q311" s="4">
        <f t="shared" si="21"/>
        <v>0.82352941176470584</v>
      </c>
      <c r="R311" s="2" t="str">
        <f t="shared" si="22"/>
        <v>Inefficient</v>
      </c>
      <c r="S311" s="2" t="str">
        <f t="shared" si="23"/>
        <v>Medium</v>
      </c>
      <c r="T311" s="2" t="str">
        <f t="shared" si="24"/>
        <v>Minor Delay</v>
      </c>
    </row>
    <row r="312" spans="1:20" x14ac:dyDescent="0.35">
      <c r="A312" s="2" t="s">
        <v>788</v>
      </c>
      <c r="B312" s="2" t="s">
        <v>16</v>
      </c>
      <c r="C312" s="2" t="s">
        <v>789</v>
      </c>
      <c r="D312" s="2" t="s">
        <v>44</v>
      </c>
      <c r="E312" s="2" t="s">
        <v>85</v>
      </c>
      <c r="F312" s="2" t="s">
        <v>39</v>
      </c>
      <c r="G312" s="2" t="s">
        <v>79</v>
      </c>
      <c r="H312" s="3">
        <v>45554.508333333331</v>
      </c>
      <c r="I312" s="3">
        <v>45554.684027777781</v>
      </c>
      <c r="J312" s="2">
        <v>161</v>
      </c>
      <c r="K312" s="2">
        <v>253</v>
      </c>
      <c r="L312" s="2">
        <v>1</v>
      </c>
      <c r="M312" s="2" t="s">
        <v>41</v>
      </c>
      <c r="N312" s="2">
        <v>2</v>
      </c>
      <c r="O312" s="2">
        <v>60.24</v>
      </c>
      <c r="P312" s="2">
        <f t="shared" si="20"/>
        <v>92</v>
      </c>
      <c r="Q312" s="4">
        <f t="shared" si="21"/>
        <v>0.63636363636363635</v>
      </c>
      <c r="R312" s="2" t="str">
        <f t="shared" si="22"/>
        <v>Inefficient</v>
      </c>
      <c r="S312" s="2" t="str">
        <f t="shared" si="23"/>
        <v>Very Long</v>
      </c>
      <c r="T312" s="2" t="str">
        <f t="shared" si="24"/>
        <v>Major Delay</v>
      </c>
    </row>
    <row r="313" spans="1:20" x14ac:dyDescent="0.35">
      <c r="A313" s="2" t="s">
        <v>790</v>
      </c>
      <c r="B313" s="2" t="s">
        <v>51</v>
      </c>
      <c r="C313" s="2" t="s">
        <v>791</v>
      </c>
      <c r="D313" s="2" t="s">
        <v>26</v>
      </c>
      <c r="E313" s="2" t="s">
        <v>33</v>
      </c>
      <c r="F313" s="2" t="s">
        <v>27</v>
      </c>
      <c r="G313" s="2" t="s">
        <v>500</v>
      </c>
      <c r="H313" s="3">
        <v>45469.550694444442</v>
      </c>
      <c r="I313" s="3">
        <v>45469.720833333333</v>
      </c>
      <c r="J313" s="2">
        <v>188</v>
      </c>
      <c r="K313" s="2">
        <v>245</v>
      </c>
      <c r="L313" s="2">
        <v>1</v>
      </c>
      <c r="M313" s="2" t="s">
        <v>41</v>
      </c>
      <c r="N313" s="2">
        <v>7</v>
      </c>
      <c r="O313" s="2">
        <v>486.83</v>
      </c>
      <c r="P313" s="2">
        <f t="shared" si="20"/>
        <v>57</v>
      </c>
      <c r="Q313" s="4">
        <f t="shared" si="21"/>
        <v>0.76734693877551019</v>
      </c>
      <c r="R313" s="2" t="str">
        <f t="shared" si="22"/>
        <v>Inefficient</v>
      </c>
      <c r="S313" s="2" t="str">
        <f t="shared" si="23"/>
        <v>Very Long</v>
      </c>
      <c r="T313" s="2" t="str">
        <f t="shared" si="24"/>
        <v>Major Delay</v>
      </c>
    </row>
    <row r="314" spans="1:20" x14ac:dyDescent="0.35">
      <c r="A314" s="2" t="s">
        <v>792</v>
      </c>
      <c r="B314" s="2" t="s">
        <v>24</v>
      </c>
      <c r="C314" s="2" t="s">
        <v>793</v>
      </c>
      <c r="D314" s="2" t="s">
        <v>18</v>
      </c>
      <c r="E314" s="2" t="s">
        <v>19</v>
      </c>
      <c r="F314" s="2" t="s">
        <v>20</v>
      </c>
      <c r="G314" s="2" t="s">
        <v>94</v>
      </c>
      <c r="H314" s="3">
        <v>45522.8</v>
      </c>
      <c r="I314" s="3">
        <v>45522.930555555555</v>
      </c>
      <c r="J314" s="2">
        <v>104</v>
      </c>
      <c r="K314" s="2">
        <v>188</v>
      </c>
      <c r="L314" s="2">
        <v>1</v>
      </c>
      <c r="M314" s="2" t="s">
        <v>41</v>
      </c>
      <c r="N314" s="2">
        <v>6</v>
      </c>
      <c r="O314" s="2">
        <v>288.10000000000002</v>
      </c>
      <c r="P314" s="2">
        <f t="shared" si="20"/>
        <v>84</v>
      </c>
      <c r="Q314" s="4">
        <f t="shared" si="21"/>
        <v>0.55319148936170215</v>
      </c>
      <c r="R314" s="2" t="str">
        <f t="shared" si="22"/>
        <v>Inefficient</v>
      </c>
      <c r="S314" s="2" t="str">
        <f t="shared" si="23"/>
        <v>Very Long</v>
      </c>
      <c r="T314" s="2" t="str">
        <f t="shared" si="24"/>
        <v>Major Delay</v>
      </c>
    </row>
    <row r="315" spans="1:20" x14ac:dyDescent="0.35">
      <c r="A315" s="2" t="s">
        <v>794</v>
      </c>
      <c r="B315" s="2" t="s">
        <v>63</v>
      </c>
      <c r="C315" s="2" t="s">
        <v>795</v>
      </c>
      <c r="D315" s="2" t="s">
        <v>56</v>
      </c>
      <c r="E315" s="2" t="s">
        <v>38</v>
      </c>
      <c r="F315" s="2" t="s">
        <v>20</v>
      </c>
      <c r="G315" s="2" t="s">
        <v>359</v>
      </c>
      <c r="H315" s="3">
        <v>45628.449305555558</v>
      </c>
      <c r="I315" s="3">
        <v>45628.560416666667</v>
      </c>
      <c r="J315" s="2">
        <v>83</v>
      </c>
      <c r="K315" s="2">
        <v>160</v>
      </c>
      <c r="L315" s="2">
        <v>1</v>
      </c>
      <c r="M315" s="2" t="s">
        <v>41</v>
      </c>
      <c r="N315" s="2">
        <v>1</v>
      </c>
      <c r="O315" s="2">
        <v>128.43</v>
      </c>
      <c r="P315" s="2">
        <f t="shared" si="20"/>
        <v>77</v>
      </c>
      <c r="Q315" s="4">
        <f t="shared" si="21"/>
        <v>0.51875000000000004</v>
      </c>
      <c r="R315" s="2" t="str">
        <f t="shared" si="22"/>
        <v>Inefficient</v>
      </c>
      <c r="S315" s="2" t="str">
        <f t="shared" si="23"/>
        <v>Very Long</v>
      </c>
      <c r="T315" s="2" t="str">
        <f t="shared" si="24"/>
        <v>Major Delay</v>
      </c>
    </row>
    <row r="316" spans="1:20" x14ac:dyDescent="0.35">
      <c r="A316" s="2" t="s">
        <v>796</v>
      </c>
      <c r="B316" s="2" t="s">
        <v>24</v>
      </c>
      <c r="C316" s="2" t="s">
        <v>797</v>
      </c>
      <c r="D316" s="2" t="s">
        <v>56</v>
      </c>
      <c r="E316" s="2" t="s">
        <v>33</v>
      </c>
      <c r="F316" s="2" t="s">
        <v>27</v>
      </c>
      <c r="G316" s="2" t="s">
        <v>61</v>
      </c>
      <c r="H316" s="3">
        <v>45469.308333333334</v>
      </c>
      <c r="I316" s="3">
        <v>45469.318749999999</v>
      </c>
      <c r="J316" s="2">
        <v>20</v>
      </c>
      <c r="K316" s="2">
        <v>15</v>
      </c>
      <c r="L316" s="2">
        <v>0</v>
      </c>
      <c r="M316" s="2" t="s">
        <v>22</v>
      </c>
      <c r="N316" s="2">
        <v>4</v>
      </c>
      <c r="O316" s="2">
        <v>263.05</v>
      </c>
      <c r="P316" s="2">
        <f t="shared" si="20"/>
        <v>-5</v>
      </c>
      <c r="Q316" s="4">
        <f t="shared" si="21"/>
        <v>1.3333333333333333</v>
      </c>
      <c r="R316" s="2" t="str">
        <f t="shared" si="22"/>
        <v>Efficient</v>
      </c>
      <c r="S316" s="2" t="str">
        <f t="shared" si="23"/>
        <v>Short</v>
      </c>
      <c r="T316" s="2" t="str">
        <f t="shared" si="24"/>
        <v>On Time</v>
      </c>
    </row>
    <row r="317" spans="1:20" x14ac:dyDescent="0.35">
      <c r="A317" s="2" t="s">
        <v>798</v>
      </c>
      <c r="B317" s="2" t="s">
        <v>51</v>
      </c>
      <c r="C317" s="2" t="s">
        <v>799</v>
      </c>
      <c r="D317" s="2" t="s">
        <v>48</v>
      </c>
      <c r="E317" s="2" t="s">
        <v>85</v>
      </c>
      <c r="F317" s="2" t="s">
        <v>20</v>
      </c>
      <c r="G317" s="2" t="s">
        <v>296</v>
      </c>
      <c r="H317" s="3">
        <v>45387.509722222225</v>
      </c>
      <c r="I317" s="3">
        <v>45387.6</v>
      </c>
      <c r="J317" s="2">
        <v>106</v>
      </c>
      <c r="K317" s="2">
        <v>130</v>
      </c>
      <c r="L317" s="2">
        <v>1</v>
      </c>
      <c r="M317" s="2" t="s">
        <v>22</v>
      </c>
      <c r="N317" s="2">
        <v>6</v>
      </c>
      <c r="O317" s="2">
        <v>476.64</v>
      </c>
      <c r="P317" s="2">
        <f t="shared" si="20"/>
        <v>24</v>
      </c>
      <c r="Q317" s="4">
        <f t="shared" si="21"/>
        <v>0.81538461538461537</v>
      </c>
      <c r="R317" s="2" t="str">
        <f t="shared" si="22"/>
        <v>Inefficient</v>
      </c>
      <c r="S317" s="2" t="str">
        <f t="shared" si="23"/>
        <v>Very Long</v>
      </c>
      <c r="T317" s="2" t="str">
        <f t="shared" si="24"/>
        <v>Minor Delay</v>
      </c>
    </row>
    <row r="318" spans="1:20" x14ac:dyDescent="0.35">
      <c r="A318" s="2" t="s">
        <v>800</v>
      </c>
      <c r="B318" s="2" t="s">
        <v>51</v>
      </c>
      <c r="C318" s="2" t="s">
        <v>801</v>
      </c>
      <c r="D318" s="2" t="s">
        <v>44</v>
      </c>
      <c r="E318" s="2" t="s">
        <v>38</v>
      </c>
      <c r="F318" s="2" t="s">
        <v>27</v>
      </c>
      <c r="G318" s="2" t="s">
        <v>146</v>
      </c>
      <c r="H318" s="3">
        <v>45611.361805555556</v>
      </c>
      <c r="I318" s="3">
        <v>45611.592361111114</v>
      </c>
      <c r="J318" s="2">
        <v>233</v>
      </c>
      <c r="K318" s="2">
        <v>332</v>
      </c>
      <c r="L318" s="2">
        <v>1</v>
      </c>
      <c r="M318" s="2" t="s">
        <v>41</v>
      </c>
      <c r="N318" s="2">
        <v>6</v>
      </c>
      <c r="O318" s="2">
        <v>256.93</v>
      </c>
      <c r="P318" s="2">
        <f t="shared" si="20"/>
        <v>99</v>
      </c>
      <c r="Q318" s="4">
        <f t="shared" si="21"/>
        <v>0.70180722891566261</v>
      </c>
      <c r="R318" s="2" t="str">
        <f t="shared" si="22"/>
        <v>Inefficient</v>
      </c>
      <c r="S318" s="2" t="str">
        <f t="shared" si="23"/>
        <v>Very Long</v>
      </c>
      <c r="T318" s="2" t="str">
        <f t="shared" si="24"/>
        <v>Major Delay</v>
      </c>
    </row>
    <row r="319" spans="1:20" x14ac:dyDescent="0.35">
      <c r="A319" s="2" t="s">
        <v>802</v>
      </c>
      <c r="B319" s="2" t="s">
        <v>63</v>
      </c>
      <c r="C319" s="2" t="s">
        <v>803</v>
      </c>
      <c r="D319" s="2" t="s">
        <v>26</v>
      </c>
      <c r="E319" s="2" t="s">
        <v>33</v>
      </c>
      <c r="F319" s="2" t="s">
        <v>20</v>
      </c>
      <c r="G319" s="2" t="s">
        <v>213</v>
      </c>
      <c r="H319" s="3">
        <v>45455.007638888892</v>
      </c>
      <c r="I319" s="3">
        <v>45455.154861111114</v>
      </c>
      <c r="J319" s="2">
        <v>211</v>
      </c>
      <c r="K319" s="2">
        <v>212</v>
      </c>
      <c r="L319" s="2">
        <v>1</v>
      </c>
      <c r="M319" s="2" t="s">
        <v>29</v>
      </c>
      <c r="N319" s="2">
        <v>3</v>
      </c>
      <c r="O319" s="2">
        <v>134.96</v>
      </c>
      <c r="P319" s="2">
        <f t="shared" si="20"/>
        <v>1</v>
      </c>
      <c r="Q319" s="4">
        <f t="shared" si="21"/>
        <v>0.99528301886792447</v>
      </c>
      <c r="R319" s="2" t="str">
        <f t="shared" si="22"/>
        <v>Inefficient</v>
      </c>
      <c r="S319" s="2" t="str">
        <f t="shared" si="23"/>
        <v>Very Long</v>
      </c>
      <c r="T319" s="2" t="str">
        <f t="shared" si="24"/>
        <v>Minor Delay</v>
      </c>
    </row>
    <row r="320" spans="1:20" x14ac:dyDescent="0.35">
      <c r="A320" s="2" t="s">
        <v>804</v>
      </c>
      <c r="B320" s="2" t="s">
        <v>24</v>
      </c>
      <c r="C320" s="2" t="s">
        <v>805</v>
      </c>
      <c r="D320" s="2" t="s">
        <v>56</v>
      </c>
      <c r="E320" s="2" t="s">
        <v>38</v>
      </c>
      <c r="F320" s="2" t="s">
        <v>57</v>
      </c>
      <c r="G320" s="2" t="s">
        <v>415</v>
      </c>
      <c r="H320" s="3">
        <v>45656.960416666669</v>
      </c>
      <c r="I320" s="3">
        <v>45657.001388888886</v>
      </c>
      <c r="J320" s="2">
        <v>45</v>
      </c>
      <c r="K320" s="2">
        <v>59</v>
      </c>
      <c r="L320" s="2">
        <v>1</v>
      </c>
      <c r="M320" s="2" t="s">
        <v>22</v>
      </c>
      <c r="N320" s="2">
        <v>1</v>
      </c>
      <c r="O320" s="2">
        <v>372.72</v>
      </c>
      <c r="P320" s="2">
        <f t="shared" si="20"/>
        <v>14</v>
      </c>
      <c r="Q320" s="4">
        <f t="shared" si="21"/>
        <v>0.76271186440677963</v>
      </c>
      <c r="R320" s="2" t="str">
        <f t="shared" si="22"/>
        <v>Inefficient</v>
      </c>
      <c r="S320" s="2" t="str">
        <f t="shared" si="23"/>
        <v>Medium</v>
      </c>
      <c r="T320" s="2" t="str">
        <f t="shared" si="24"/>
        <v>Minor Delay</v>
      </c>
    </row>
    <row r="321" spans="1:20" x14ac:dyDescent="0.35">
      <c r="A321" s="2" t="s">
        <v>806</v>
      </c>
      <c r="B321" s="2" t="s">
        <v>24</v>
      </c>
      <c r="C321" s="2" t="s">
        <v>807</v>
      </c>
      <c r="D321" s="2" t="s">
        <v>26</v>
      </c>
      <c r="E321" s="2" t="s">
        <v>38</v>
      </c>
      <c r="F321" s="2" t="s">
        <v>57</v>
      </c>
      <c r="G321" s="2" t="s">
        <v>782</v>
      </c>
      <c r="H321" s="3">
        <v>45652.881249999999</v>
      </c>
      <c r="I321" s="3">
        <v>45653.004861111112</v>
      </c>
      <c r="J321" s="2">
        <v>158</v>
      </c>
      <c r="K321" s="2">
        <v>178</v>
      </c>
      <c r="L321" s="2">
        <v>1</v>
      </c>
      <c r="M321" s="2" t="s">
        <v>29</v>
      </c>
      <c r="N321" s="2">
        <v>3</v>
      </c>
      <c r="O321" s="2">
        <v>331.05</v>
      </c>
      <c r="P321" s="2">
        <f t="shared" si="20"/>
        <v>20</v>
      </c>
      <c r="Q321" s="4">
        <f t="shared" si="21"/>
        <v>0.88764044943820219</v>
      </c>
      <c r="R321" s="2" t="str">
        <f t="shared" si="22"/>
        <v>Inefficient</v>
      </c>
      <c r="S321" s="2" t="str">
        <f t="shared" si="23"/>
        <v>Very Long</v>
      </c>
      <c r="T321" s="2" t="str">
        <f t="shared" si="24"/>
        <v>Minor Delay</v>
      </c>
    </row>
    <row r="322" spans="1:20" x14ac:dyDescent="0.35">
      <c r="A322" s="2" t="s">
        <v>808</v>
      </c>
      <c r="B322" s="2" t="s">
        <v>63</v>
      </c>
      <c r="C322" s="2" t="s">
        <v>809</v>
      </c>
      <c r="D322" s="2" t="s">
        <v>56</v>
      </c>
      <c r="E322" s="2" t="s">
        <v>19</v>
      </c>
      <c r="F322" s="2" t="s">
        <v>57</v>
      </c>
      <c r="G322" s="2" t="s">
        <v>810</v>
      </c>
      <c r="H322" s="3">
        <v>45476.993750000001</v>
      </c>
      <c r="I322" s="3">
        <v>45477.198611111111</v>
      </c>
      <c r="J322" s="2">
        <v>224</v>
      </c>
      <c r="K322" s="2">
        <v>295</v>
      </c>
      <c r="L322" s="2">
        <v>1</v>
      </c>
      <c r="M322" s="2" t="s">
        <v>29</v>
      </c>
      <c r="N322" s="2">
        <v>9</v>
      </c>
      <c r="O322" s="2">
        <v>319.94</v>
      </c>
      <c r="P322" s="2">
        <f t="shared" si="20"/>
        <v>71</v>
      </c>
      <c r="Q322" s="4">
        <f t="shared" si="21"/>
        <v>0.7593220338983051</v>
      </c>
      <c r="R322" s="2" t="str">
        <f t="shared" si="22"/>
        <v>Inefficient</v>
      </c>
      <c r="S322" s="2" t="str">
        <f t="shared" si="23"/>
        <v>Very Long</v>
      </c>
      <c r="T322" s="2" t="str">
        <f t="shared" si="24"/>
        <v>Major Delay</v>
      </c>
    </row>
    <row r="323" spans="1:20" x14ac:dyDescent="0.35">
      <c r="A323" s="2" t="s">
        <v>811</v>
      </c>
      <c r="B323" s="2" t="s">
        <v>31</v>
      </c>
      <c r="C323" s="2" t="s">
        <v>812</v>
      </c>
      <c r="D323" s="2" t="s">
        <v>48</v>
      </c>
      <c r="E323" s="2" t="s">
        <v>38</v>
      </c>
      <c r="F323" s="2" t="s">
        <v>39</v>
      </c>
      <c r="G323" s="2" t="s">
        <v>749</v>
      </c>
      <c r="H323" s="3">
        <v>45609.320138888892</v>
      </c>
      <c r="I323" s="3">
        <v>45609.520138888889</v>
      </c>
      <c r="J323" s="2">
        <v>207</v>
      </c>
      <c r="K323" s="2">
        <v>288</v>
      </c>
      <c r="L323" s="2">
        <v>1</v>
      </c>
      <c r="M323" s="2" t="s">
        <v>29</v>
      </c>
      <c r="N323" s="2">
        <v>2</v>
      </c>
      <c r="O323" s="2">
        <v>87.99</v>
      </c>
      <c r="P323" s="2">
        <f t="shared" ref="P323:P386" si="25">K323-J323</f>
        <v>81</v>
      </c>
      <c r="Q323" s="4">
        <f t="shared" ref="Q323:Q386" si="26">J323/K323</f>
        <v>0.71875</v>
      </c>
      <c r="R323" s="2" t="str">
        <f t="shared" ref="R323:R386" si="27">IF(Q323&gt;1,"Efficient",
IF(Q323=1,"On Target","Inefficient"))</f>
        <v>Inefficient</v>
      </c>
      <c r="S323" s="2" t="str">
        <f t="shared" ref="S323:S386" si="28">IF(K323&lt;30,"Short",
IF(K323&lt;60,"Medium",
IF(K323&lt;120,"Long","Very Long")))</f>
        <v>Very Long</v>
      </c>
      <c r="T323" s="2" t="str">
        <f t="shared" ref="T323:T386" si="29">IF(K323&lt;=J323,"On Time",
IF(K323-J323&lt;=30,"Minor Delay","Major Delay"))</f>
        <v>Major Delay</v>
      </c>
    </row>
    <row r="324" spans="1:20" x14ac:dyDescent="0.35">
      <c r="A324" s="2" t="s">
        <v>813</v>
      </c>
      <c r="B324" s="2" t="s">
        <v>24</v>
      </c>
      <c r="C324" s="2" t="s">
        <v>814</v>
      </c>
      <c r="D324" s="2" t="s">
        <v>18</v>
      </c>
      <c r="E324" s="2" t="s">
        <v>33</v>
      </c>
      <c r="F324" s="2" t="s">
        <v>57</v>
      </c>
      <c r="G324" s="2" t="s">
        <v>594</v>
      </c>
      <c r="H324" s="3">
        <v>45489.400694444441</v>
      </c>
      <c r="I324" s="3">
        <v>45489.588194444441</v>
      </c>
      <c r="J324" s="2">
        <v>167</v>
      </c>
      <c r="K324" s="2">
        <v>270</v>
      </c>
      <c r="L324" s="2">
        <v>1</v>
      </c>
      <c r="M324" s="2" t="s">
        <v>41</v>
      </c>
      <c r="N324" s="2">
        <v>4</v>
      </c>
      <c r="O324" s="2">
        <v>62.85</v>
      </c>
      <c r="P324" s="2">
        <f t="shared" si="25"/>
        <v>103</v>
      </c>
      <c r="Q324" s="4">
        <f t="shared" si="26"/>
        <v>0.61851851851851847</v>
      </c>
      <c r="R324" s="2" t="str">
        <f t="shared" si="27"/>
        <v>Inefficient</v>
      </c>
      <c r="S324" s="2" t="str">
        <f t="shared" si="28"/>
        <v>Very Long</v>
      </c>
      <c r="T324" s="2" t="str">
        <f t="shared" si="29"/>
        <v>Major Delay</v>
      </c>
    </row>
    <row r="325" spans="1:20" x14ac:dyDescent="0.35">
      <c r="A325" s="2" t="s">
        <v>815</v>
      </c>
      <c r="B325" s="2" t="s">
        <v>63</v>
      </c>
      <c r="C325" s="2" t="s">
        <v>816</v>
      </c>
      <c r="D325" s="2" t="s">
        <v>18</v>
      </c>
      <c r="E325" s="2" t="s">
        <v>38</v>
      </c>
      <c r="F325" s="2" t="s">
        <v>27</v>
      </c>
      <c r="G325" s="2" t="s">
        <v>817</v>
      </c>
      <c r="H325" s="3">
        <v>45608.196527777778</v>
      </c>
      <c r="I325" s="3">
        <v>45608.261805555558</v>
      </c>
      <c r="J325" s="2">
        <v>62</v>
      </c>
      <c r="K325" s="2">
        <v>94</v>
      </c>
      <c r="L325" s="2">
        <v>1</v>
      </c>
      <c r="M325" s="2" t="s">
        <v>41</v>
      </c>
      <c r="N325" s="2">
        <v>1</v>
      </c>
      <c r="O325" s="2">
        <v>426.8</v>
      </c>
      <c r="P325" s="2">
        <f t="shared" si="25"/>
        <v>32</v>
      </c>
      <c r="Q325" s="4">
        <f t="shared" si="26"/>
        <v>0.65957446808510634</v>
      </c>
      <c r="R325" s="2" t="str">
        <f t="shared" si="27"/>
        <v>Inefficient</v>
      </c>
      <c r="S325" s="2" t="str">
        <f t="shared" si="28"/>
        <v>Long</v>
      </c>
      <c r="T325" s="2" t="str">
        <f t="shared" si="29"/>
        <v>Major Delay</v>
      </c>
    </row>
    <row r="326" spans="1:20" x14ac:dyDescent="0.35">
      <c r="A326" s="2" t="s">
        <v>818</v>
      </c>
      <c r="B326" s="2" t="s">
        <v>31</v>
      </c>
      <c r="C326" s="2" t="s">
        <v>819</v>
      </c>
      <c r="D326" s="2" t="s">
        <v>44</v>
      </c>
      <c r="E326" s="2" t="s">
        <v>85</v>
      </c>
      <c r="F326" s="2" t="s">
        <v>57</v>
      </c>
      <c r="G326" s="2" t="s">
        <v>103</v>
      </c>
      <c r="H326" s="3">
        <v>45302.484722222223</v>
      </c>
      <c r="I326" s="3">
        <v>45302.576388888891</v>
      </c>
      <c r="J326" s="2">
        <v>126</v>
      </c>
      <c r="K326" s="2">
        <v>132</v>
      </c>
      <c r="L326" s="2">
        <v>1</v>
      </c>
      <c r="M326" s="2" t="s">
        <v>22</v>
      </c>
      <c r="N326" s="2">
        <v>1</v>
      </c>
      <c r="O326" s="2">
        <v>130.21</v>
      </c>
      <c r="P326" s="2">
        <f t="shared" si="25"/>
        <v>6</v>
      </c>
      <c r="Q326" s="4">
        <f t="shared" si="26"/>
        <v>0.95454545454545459</v>
      </c>
      <c r="R326" s="2" t="str">
        <f t="shared" si="27"/>
        <v>Inefficient</v>
      </c>
      <c r="S326" s="2" t="str">
        <f t="shared" si="28"/>
        <v>Very Long</v>
      </c>
      <c r="T326" s="2" t="str">
        <f t="shared" si="29"/>
        <v>Minor Delay</v>
      </c>
    </row>
    <row r="327" spans="1:20" x14ac:dyDescent="0.35">
      <c r="A327" s="2" t="s">
        <v>820</v>
      </c>
      <c r="B327" s="2" t="s">
        <v>63</v>
      </c>
      <c r="C327" s="2" t="s">
        <v>821</v>
      </c>
      <c r="D327" s="2" t="s">
        <v>18</v>
      </c>
      <c r="E327" s="2" t="s">
        <v>19</v>
      </c>
      <c r="F327" s="2" t="s">
        <v>57</v>
      </c>
      <c r="G327" s="2" t="s">
        <v>170</v>
      </c>
      <c r="H327" s="3">
        <v>45443.572916666664</v>
      </c>
      <c r="I327" s="3">
        <v>45443.60833333333</v>
      </c>
      <c r="J327" s="2">
        <v>53</v>
      </c>
      <c r="K327" s="2">
        <v>51</v>
      </c>
      <c r="L327" s="2">
        <v>0</v>
      </c>
      <c r="M327" s="2" t="s">
        <v>22</v>
      </c>
      <c r="N327" s="2">
        <v>8</v>
      </c>
      <c r="O327" s="2">
        <v>365.34</v>
      </c>
      <c r="P327" s="2">
        <f t="shared" si="25"/>
        <v>-2</v>
      </c>
      <c r="Q327" s="4">
        <f t="shared" si="26"/>
        <v>1.0392156862745099</v>
      </c>
      <c r="R327" s="2" t="str">
        <f t="shared" si="27"/>
        <v>Efficient</v>
      </c>
      <c r="S327" s="2" t="str">
        <f t="shared" si="28"/>
        <v>Medium</v>
      </c>
      <c r="T327" s="2" t="str">
        <f t="shared" si="29"/>
        <v>On Time</v>
      </c>
    </row>
    <row r="328" spans="1:20" x14ac:dyDescent="0.35">
      <c r="A328" s="2" t="s">
        <v>822</v>
      </c>
      <c r="B328" s="2" t="s">
        <v>51</v>
      </c>
      <c r="C328" s="2" t="s">
        <v>823</v>
      </c>
      <c r="D328" s="2" t="s">
        <v>44</v>
      </c>
      <c r="E328" s="2" t="s">
        <v>33</v>
      </c>
      <c r="F328" s="2" t="s">
        <v>34</v>
      </c>
      <c r="G328" s="2" t="s">
        <v>237</v>
      </c>
      <c r="H328" s="3">
        <v>45412.645833333336</v>
      </c>
      <c r="I328" s="3">
        <v>45412.770833333336</v>
      </c>
      <c r="J328" s="2">
        <v>75</v>
      </c>
      <c r="K328" s="2">
        <v>180</v>
      </c>
      <c r="L328" s="2">
        <v>1</v>
      </c>
      <c r="M328" s="2" t="s">
        <v>41</v>
      </c>
      <c r="N328" s="2">
        <v>2</v>
      </c>
      <c r="O328" s="2">
        <v>197.29</v>
      </c>
      <c r="P328" s="2">
        <f t="shared" si="25"/>
        <v>105</v>
      </c>
      <c r="Q328" s="4">
        <f t="shared" si="26"/>
        <v>0.41666666666666669</v>
      </c>
      <c r="R328" s="2" t="str">
        <f t="shared" si="27"/>
        <v>Inefficient</v>
      </c>
      <c r="S328" s="2" t="str">
        <f t="shared" si="28"/>
        <v>Very Long</v>
      </c>
      <c r="T328" s="2" t="str">
        <f t="shared" si="29"/>
        <v>Major Delay</v>
      </c>
    </row>
    <row r="329" spans="1:20" x14ac:dyDescent="0.35">
      <c r="A329" s="2" t="s">
        <v>824</v>
      </c>
      <c r="B329" s="2" t="s">
        <v>24</v>
      </c>
      <c r="C329" s="2" t="s">
        <v>825</v>
      </c>
      <c r="D329" s="2" t="s">
        <v>26</v>
      </c>
      <c r="E329" s="2" t="s">
        <v>85</v>
      </c>
      <c r="F329" s="2" t="s">
        <v>27</v>
      </c>
      <c r="G329" s="2" t="s">
        <v>640</v>
      </c>
      <c r="H329" s="3">
        <v>45516.75277777778</v>
      </c>
      <c r="I329" s="3">
        <v>45516.825694444444</v>
      </c>
      <c r="J329" s="2">
        <v>59</v>
      </c>
      <c r="K329" s="2">
        <v>105</v>
      </c>
      <c r="L329" s="2">
        <v>1</v>
      </c>
      <c r="M329" s="2" t="s">
        <v>29</v>
      </c>
      <c r="N329" s="2">
        <v>1</v>
      </c>
      <c r="O329" s="2">
        <v>478.04</v>
      </c>
      <c r="P329" s="2">
        <f t="shared" si="25"/>
        <v>46</v>
      </c>
      <c r="Q329" s="4">
        <f t="shared" si="26"/>
        <v>0.56190476190476191</v>
      </c>
      <c r="R329" s="2" t="str">
        <f t="shared" si="27"/>
        <v>Inefficient</v>
      </c>
      <c r="S329" s="2" t="str">
        <f t="shared" si="28"/>
        <v>Long</v>
      </c>
      <c r="T329" s="2" t="str">
        <f t="shared" si="29"/>
        <v>Major Delay</v>
      </c>
    </row>
    <row r="330" spans="1:20" x14ac:dyDescent="0.35">
      <c r="A330" s="2" t="s">
        <v>826</v>
      </c>
      <c r="B330" s="2" t="s">
        <v>51</v>
      </c>
      <c r="C330" s="2" t="s">
        <v>827</v>
      </c>
      <c r="D330" s="2" t="s">
        <v>48</v>
      </c>
      <c r="E330" s="2" t="s">
        <v>19</v>
      </c>
      <c r="F330" s="2" t="s">
        <v>27</v>
      </c>
      <c r="G330" s="2" t="s">
        <v>149</v>
      </c>
      <c r="H330" s="3">
        <v>45439.602777777778</v>
      </c>
      <c r="I330" s="3">
        <v>45439.682638888888</v>
      </c>
      <c r="J330" s="2">
        <v>94</v>
      </c>
      <c r="K330" s="2">
        <v>115</v>
      </c>
      <c r="L330" s="2">
        <v>1</v>
      </c>
      <c r="M330" s="2" t="s">
        <v>22</v>
      </c>
      <c r="N330" s="2">
        <v>9</v>
      </c>
      <c r="O330" s="2">
        <v>494.16</v>
      </c>
      <c r="P330" s="2">
        <f t="shared" si="25"/>
        <v>21</v>
      </c>
      <c r="Q330" s="4">
        <f t="shared" si="26"/>
        <v>0.81739130434782614</v>
      </c>
      <c r="R330" s="2" t="str">
        <f t="shared" si="27"/>
        <v>Inefficient</v>
      </c>
      <c r="S330" s="2" t="str">
        <f t="shared" si="28"/>
        <v>Long</v>
      </c>
      <c r="T330" s="2" t="str">
        <f t="shared" si="29"/>
        <v>Minor Delay</v>
      </c>
    </row>
    <row r="331" spans="1:20" x14ac:dyDescent="0.35">
      <c r="A331" s="2" t="s">
        <v>828</v>
      </c>
      <c r="B331" s="2" t="s">
        <v>16</v>
      </c>
      <c r="C331" s="2" t="s">
        <v>829</v>
      </c>
      <c r="D331" s="2" t="s">
        <v>56</v>
      </c>
      <c r="E331" s="2" t="s">
        <v>33</v>
      </c>
      <c r="F331" s="2" t="s">
        <v>57</v>
      </c>
      <c r="G331" s="2" t="s">
        <v>299</v>
      </c>
      <c r="H331" s="3">
        <v>45429.306944444441</v>
      </c>
      <c r="I331" s="3">
        <v>45429.444444444445</v>
      </c>
      <c r="J331" s="2">
        <v>131</v>
      </c>
      <c r="K331" s="2">
        <v>198</v>
      </c>
      <c r="L331" s="2">
        <v>1</v>
      </c>
      <c r="M331" s="2" t="s">
        <v>41</v>
      </c>
      <c r="N331" s="2">
        <v>6</v>
      </c>
      <c r="O331" s="2">
        <v>127.69</v>
      </c>
      <c r="P331" s="2">
        <f t="shared" si="25"/>
        <v>67</v>
      </c>
      <c r="Q331" s="4">
        <f t="shared" si="26"/>
        <v>0.66161616161616166</v>
      </c>
      <c r="R331" s="2" t="str">
        <f t="shared" si="27"/>
        <v>Inefficient</v>
      </c>
      <c r="S331" s="2" t="str">
        <f t="shared" si="28"/>
        <v>Very Long</v>
      </c>
      <c r="T331" s="2" t="str">
        <f t="shared" si="29"/>
        <v>Major Delay</v>
      </c>
    </row>
    <row r="332" spans="1:20" x14ac:dyDescent="0.35">
      <c r="A332" s="2" t="s">
        <v>830</v>
      </c>
      <c r="B332" s="2" t="s">
        <v>16</v>
      </c>
      <c r="C332" s="2" t="s">
        <v>831</v>
      </c>
      <c r="D332" s="2" t="s">
        <v>18</v>
      </c>
      <c r="E332" s="2" t="s">
        <v>33</v>
      </c>
      <c r="F332" s="2" t="s">
        <v>20</v>
      </c>
      <c r="G332" s="2" t="s">
        <v>188</v>
      </c>
      <c r="H332" s="3">
        <v>45548.88958333333</v>
      </c>
      <c r="I332" s="3">
        <v>45549.040277777778</v>
      </c>
      <c r="J332" s="2">
        <v>173</v>
      </c>
      <c r="K332" s="2">
        <v>217</v>
      </c>
      <c r="L332" s="2">
        <v>1</v>
      </c>
      <c r="M332" s="2" t="s">
        <v>22</v>
      </c>
      <c r="N332" s="2">
        <v>6</v>
      </c>
      <c r="O332" s="2">
        <v>353.68</v>
      </c>
      <c r="P332" s="2">
        <f t="shared" si="25"/>
        <v>44</v>
      </c>
      <c r="Q332" s="4">
        <f t="shared" si="26"/>
        <v>0.79723502304147464</v>
      </c>
      <c r="R332" s="2" t="str">
        <f t="shared" si="27"/>
        <v>Inefficient</v>
      </c>
      <c r="S332" s="2" t="str">
        <f t="shared" si="28"/>
        <v>Very Long</v>
      </c>
      <c r="T332" s="2" t="str">
        <f t="shared" si="29"/>
        <v>Major Delay</v>
      </c>
    </row>
    <row r="333" spans="1:20" x14ac:dyDescent="0.35">
      <c r="A333" s="2" t="s">
        <v>832</v>
      </c>
      <c r="B333" s="2" t="s">
        <v>31</v>
      </c>
      <c r="C333" s="2" t="s">
        <v>833</v>
      </c>
      <c r="D333" s="2" t="s">
        <v>44</v>
      </c>
      <c r="E333" s="2" t="s">
        <v>19</v>
      </c>
      <c r="F333" s="2" t="s">
        <v>34</v>
      </c>
      <c r="G333" s="2" t="s">
        <v>415</v>
      </c>
      <c r="H333" s="3">
        <v>45602.094444444447</v>
      </c>
      <c r="I333" s="3">
        <v>45602.25277777778</v>
      </c>
      <c r="J333" s="2">
        <v>228</v>
      </c>
      <c r="K333" s="2">
        <v>228</v>
      </c>
      <c r="L333" s="2">
        <v>0</v>
      </c>
      <c r="M333" s="2" t="s">
        <v>29</v>
      </c>
      <c r="N333" s="2">
        <v>7</v>
      </c>
      <c r="O333" s="2">
        <v>253.29</v>
      </c>
      <c r="P333" s="2">
        <f t="shared" si="25"/>
        <v>0</v>
      </c>
      <c r="Q333" s="4">
        <f t="shared" si="26"/>
        <v>1</v>
      </c>
      <c r="R333" s="2" t="str">
        <f t="shared" si="27"/>
        <v>On Target</v>
      </c>
      <c r="S333" s="2" t="str">
        <f t="shared" si="28"/>
        <v>Very Long</v>
      </c>
      <c r="T333" s="2" t="str">
        <f t="shared" si="29"/>
        <v>On Time</v>
      </c>
    </row>
    <row r="334" spans="1:20" x14ac:dyDescent="0.35">
      <c r="A334" s="2" t="s">
        <v>834</v>
      </c>
      <c r="B334" s="2" t="s">
        <v>16</v>
      </c>
      <c r="C334" s="2" t="s">
        <v>835</v>
      </c>
      <c r="D334" s="2" t="s">
        <v>48</v>
      </c>
      <c r="E334" s="2" t="s">
        <v>19</v>
      </c>
      <c r="F334" s="2" t="s">
        <v>57</v>
      </c>
      <c r="G334" s="2" t="s">
        <v>430</v>
      </c>
      <c r="H334" s="3">
        <v>45531.552777777775</v>
      </c>
      <c r="I334" s="3">
        <v>45531.697916666664</v>
      </c>
      <c r="J334" s="2">
        <v>121</v>
      </c>
      <c r="K334" s="2">
        <v>209</v>
      </c>
      <c r="L334" s="2">
        <v>1</v>
      </c>
      <c r="M334" s="2" t="s">
        <v>41</v>
      </c>
      <c r="N334" s="2">
        <v>7</v>
      </c>
      <c r="O334" s="2">
        <v>394.46</v>
      </c>
      <c r="P334" s="2">
        <f t="shared" si="25"/>
        <v>88</v>
      </c>
      <c r="Q334" s="4">
        <f t="shared" si="26"/>
        <v>0.57894736842105265</v>
      </c>
      <c r="R334" s="2" t="str">
        <f t="shared" si="27"/>
        <v>Inefficient</v>
      </c>
      <c r="S334" s="2" t="str">
        <f t="shared" si="28"/>
        <v>Very Long</v>
      </c>
      <c r="T334" s="2" t="str">
        <f t="shared" si="29"/>
        <v>Major Delay</v>
      </c>
    </row>
    <row r="335" spans="1:20" x14ac:dyDescent="0.35">
      <c r="A335" s="2" t="s">
        <v>836</v>
      </c>
      <c r="B335" s="2" t="s">
        <v>24</v>
      </c>
      <c r="C335" s="2" t="s">
        <v>837</v>
      </c>
      <c r="D335" s="2" t="s">
        <v>26</v>
      </c>
      <c r="E335" s="2" t="s">
        <v>85</v>
      </c>
      <c r="F335" s="2" t="s">
        <v>39</v>
      </c>
      <c r="G335" s="2" t="s">
        <v>170</v>
      </c>
      <c r="H335" s="3">
        <v>45390.445833333331</v>
      </c>
      <c r="I335" s="3">
        <v>45390.577777777777</v>
      </c>
      <c r="J335" s="2">
        <v>74</v>
      </c>
      <c r="K335" s="2">
        <v>190</v>
      </c>
      <c r="L335" s="2">
        <v>1</v>
      </c>
      <c r="M335" s="2" t="s">
        <v>22</v>
      </c>
      <c r="N335" s="2">
        <v>2</v>
      </c>
      <c r="O335" s="2">
        <v>378.69</v>
      </c>
      <c r="P335" s="2">
        <f t="shared" si="25"/>
        <v>116</v>
      </c>
      <c r="Q335" s="4">
        <f t="shared" si="26"/>
        <v>0.38947368421052631</v>
      </c>
      <c r="R335" s="2" t="str">
        <f t="shared" si="27"/>
        <v>Inefficient</v>
      </c>
      <c r="S335" s="2" t="str">
        <f t="shared" si="28"/>
        <v>Very Long</v>
      </c>
      <c r="T335" s="2" t="str">
        <f t="shared" si="29"/>
        <v>Major Delay</v>
      </c>
    </row>
    <row r="336" spans="1:20" x14ac:dyDescent="0.35">
      <c r="A336" s="2" t="s">
        <v>838</v>
      </c>
      <c r="B336" s="2" t="s">
        <v>63</v>
      </c>
      <c r="C336" s="2" t="s">
        <v>839</v>
      </c>
      <c r="D336" s="2" t="s">
        <v>18</v>
      </c>
      <c r="E336" s="2" t="s">
        <v>33</v>
      </c>
      <c r="F336" s="2" t="s">
        <v>57</v>
      </c>
      <c r="G336" s="2" t="s">
        <v>782</v>
      </c>
      <c r="H336" s="3">
        <v>45320.586111111108</v>
      </c>
      <c r="I336" s="3">
        <v>45320.712500000001</v>
      </c>
      <c r="J336" s="2">
        <v>185</v>
      </c>
      <c r="K336" s="2">
        <v>182</v>
      </c>
      <c r="L336" s="2">
        <v>0</v>
      </c>
      <c r="M336" s="2" t="s">
        <v>41</v>
      </c>
      <c r="N336" s="2">
        <v>9</v>
      </c>
      <c r="O336" s="2">
        <v>258.99</v>
      </c>
      <c r="P336" s="2">
        <f t="shared" si="25"/>
        <v>-3</v>
      </c>
      <c r="Q336" s="4">
        <f t="shared" si="26"/>
        <v>1.0164835164835164</v>
      </c>
      <c r="R336" s="2" t="str">
        <f t="shared" si="27"/>
        <v>Efficient</v>
      </c>
      <c r="S336" s="2" t="str">
        <f t="shared" si="28"/>
        <v>Very Long</v>
      </c>
      <c r="T336" s="2" t="str">
        <f t="shared" si="29"/>
        <v>On Time</v>
      </c>
    </row>
    <row r="337" spans="1:20" x14ac:dyDescent="0.35">
      <c r="A337" s="2" t="s">
        <v>840</v>
      </c>
      <c r="B337" s="2" t="s">
        <v>31</v>
      </c>
      <c r="C337" s="2" t="s">
        <v>841</v>
      </c>
      <c r="D337" s="2" t="s">
        <v>26</v>
      </c>
      <c r="E337" s="2" t="s">
        <v>38</v>
      </c>
      <c r="F337" s="2" t="s">
        <v>27</v>
      </c>
      <c r="G337" s="2" t="s">
        <v>842</v>
      </c>
      <c r="H337" s="3">
        <v>45371.549305555556</v>
      </c>
      <c r="I337" s="3">
        <v>45371.642361111109</v>
      </c>
      <c r="J337" s="2">
        <v>111</v>
      </c>
      <c r="K337" s="2">
        <v>134</v>
      </c>
      <c r="L337" s="2">
        <v>1</v>
      </c>
      <c r="M337" s="2" t="s">
        <v>22</v>
      </c>
      <c r="N337" s="2">
        <v>8</v>
      </c>
      <c r="O337" s="2">
        <v>325.7</v>
      </c>
      <c r="P337" s="2">
        <f t="shared" si="25"/>
        <v>23</v>
      </c>
      <c r="Q337" s="4">
        <f t="shared" si="26"/>
        <v>0.82835820895522383</v>
      </c>
      <c r="R337" s="2" t="str">
        <f t="shared" si="27"/>
        <v>Inefficient</v>
      </c>
      <c r="S337" s="2" t="str">
        <f t="shared" si="28"/>
        <v>Very Long</v>
      </c>
      <c r="T337" s="2" t="str">
        <f t="shared" si="29"/>
        <v>Minor Delay</v>
      </c>
    </row>
    <row r="338" spans="1:20" x14ac:dyDescent="0.35">
      <c r="A338" s="2" t="s">
        <v>843</v>
      </c>
      <c r="B338" s="2" t="s">
        <v>24</v>
      </c>
      <c r="C338" s="2" t="s">
        <v>844</v>
      </c>
      <c r="D338" s="2" t="s">
        <v>26</v>
      </c>
      <c r="E338" s="2" t="s">
        <v>38</v>
      </c>
      <c r="F338" s="2" t="s">
        <v>20</v>
      </c>
      <c r="G338" s="2" t="s">
        <v>308</v>
      </c>
      <c r="H338" s="3">
        <v>45613.768055555556</v>
      </c>
      <c r="I338" s="3">
        <v>45613.90902777778</v>
      </c>
      <c r="J338" s="2">
        <v>137</v>
      </c>
      <c r="K338" s="2">
        <v>203</v>
      </c>
      <c r="L338" s="2">
        <v>1</v>
      </c>
      <c r="M338" s="2" t="s">
        <v>29</v>
      </c>
      <c r="N338" s="2">
        <v>5</v>
      </c>
      <c r="O338" s="2">
        <v>113.07</v>
      </c>
      <c r="P338" s="2">
        <f t="shared" si="25"/>
        <v>66</v>
      </c>
      <c r="Q338" s="4">
        <f t="shared" si="26"/>
        <v>0.67487684729064035</v>
      </c>
      <c r="R338" s="2" t="str">
        <f t="shared" si="27"/>
        <v>Inefficient</v>
      </c>
      <c r="S338" s="2" t="str">
        <f t="shared" si="28"/>
        <v>Very Long</v>
      </c>
      <c r="T338" s="2" t="str">
        <f t="shared" si="29"/>
        <v>Major Delay</v>
      </c>
    </row>
    <row r="339" spans="1:20" x14ac:dyDescent="0.35">
      <c r="A339" s="2" t="s">
        <v>845</v>
      </c>
      <c r="B339" s="2" t="s">
        <v>24</v>
      </c>
      <c r="C339" s="2" t="s">
        <v>846</v>
      </c>
      <c r="D339" s="2" t="s">
        <v>48</v>
      </c>
      <c r="E339" s="2" t="s">
        <v>85</v>
      </c>
      <c r="F339" s="2" t="s">
        <v>39</v>
      </c>
      <c r="G339" s="2" t="s">
        <v>615</v>
      </c>
      <c r="H339" s="3">
        <v>45571.236111111109</v>
      </c>
      <c r="I339" s="3">
        <v>45571.377083333333</v>
      </c>
      <c r="J339" s="2">
        <v>196</v>
      </c>
      <c r="K339" s="2">
        <v>203</v>
      </c>
      <c r="L339" s="2">
        <v>1</v>
      </c>
      <c r="M339" s="2" t="s">
        <v>41</v>
      </c>
      <c r="N339" s="2">
        <v>10</v>
      </c>
      <c r="O339" s="2">
        <v>138.86000000000001</v>
      </c>
      <c r="P339" s="2">
        <f t="shared" si="25"/>
        <v>7</v>
      </c>
      <c r="Q339" s="4">
        <f t="shared" si="26"/>
        <v>0.96551724137931039</v>
      </c>
      <c r="R339" s="2" t="str">
        <f t="shared" si="27"/>
        <v>Inefficient</v>
      </c>
      <c r="S339" s="2" t="str">
        <f t="shared" si="28"/>
        <v>Very Long</v>
      </c>
      <c r="T339" s="2" t="str">
        <f t="shared" si="29"/>
        <v>Minor Delay</v>
      </c>
    </row>
    <row r="340" spans="1:20" x14ac:dyDescent="0.35">
      <c r="A340" s="2" t="s">
        <v>847</v>
      </c>
      <c r="B340" s="2" t="s">
        <v>63</v>
      </c>
      <c r="C340" s="2" t="s">
        <v>848</v>
      </c>
      <c r="D340" s="2" t="s">
        <v>26</v>
      </c>
      <c r="E340" s="2" t="s">
        <v>38</v>
      </c>
      <c r="F340" s="2" t="s">
        <v>57</v>
      </c>
      <c r="G340" s="2" t="s">
        <v>465</v>
      </c>
      <c r="H340" s="3">
        <v>45557.256249999999</v>
      </c>
      <c r="I340" s="3">
        <v>45557.413194444445</v>
      </c>
      <c r="J340" s="2">
        <v>221</v>
      </c>
      <c r="K340" s="2">
        <v>226</v>
      </c>
      <c r="L340" s="2">
        <v>1</v>
      </c>
      <c r="M340" s="2" t="s">
        <v>22</v>
      </c>
      <c r="N340" s="2">
        <v>8</v>
      </c>
      <c r="O340" s="2">
        <v>495.86</v>
      </c>
      <c r="P340" s="2">
        <f t="shared" si="25"/>
        <v>5</v>
      </c>
      <c r="Q340" s="4">
        <f t="shared" si="26"/>
        <v>0.97787610619469023</v>
      </c>
      <c r="R340" s="2" t="str">
        <f t="shared" si="27"/>
        <v>Inefficient</v>
      </c>
      <c r="S340" s="2" t="str">
        <f t="shared" si="28"/>
        <v>Very Long</v>
      </c>
      <c r="T340" s="2" t="str">
        <f t="shared" si="29"/>
        <v>Minor Delay</v>
      </c>
    </row>
    <row r="341" spans="1:20" x14ac:dyDescent="0.35">
      <c r="A341" s="2" t="s">
        <v>849</v>
      </c>
      <c r="B341" s="2" t="s">
        <v>31</v>
      </c>
      <c r="C341" s="2" t="s">
        <v>850</v>
      </c>
      <c r="D341" s="2" t="s">
        <v>44</v>
      </c>
      <c r="E341" s="2" t="s">
        <v>33</v>
      </c>
      <c r="F341" s="2" t="s">
        <v>39</v>
      </c>
      <c r="G341" s="2" t="s">
        <v>407</v>
      </c>
      <c r="H341" s="3">
        <v>45625.34097222222</v>
      </c>
      <c r="I341" s="3">
        <v>45625.416666666664</v>
      </c>
      <c r="J341" s="2">
        <v>25</v>
      </c>
      <c r="K341" s="2">
        <v>109</v>
      </c>
      <c r="L341" s="2">
        <v>1</v>
      </c>
      <c r="M341" s="2" t="s">
        <v>41</v>
      </c>
      <c r="N341" s="2">
        <v>2</v>
      </c>
      <c r="O341" s="2">
        <v>56.95</v>
      </c>
      <c r="P341" s="2">
        <f t="shared" si="25"/>
        <v>84</v>
      </c>
      <c r="Q341" s="4">
        <f t="shared" si="26"/>
        <v>0.22935779816513763</v>
      </c>
      <c r="R341" s="2" t="str">
        <f t="shared" si="27"/>
        <v>Inefficient</v>
      </c>
      <c r="S341" s="2" t="str">
        <f t="shared" si="28"/>
        <v>Long</v>
      </c>
      <c r="T341" s="2" t="str">
        <f t="shared" si="29"/>
        <v>Major Delay</v>
      </c>
    </row>
    <row r="342" spans="1:20" x14ac:dyDescent="0.35">
      <c r="A342" s="2" t="s">
        <v>851</v>
      </c>
      <c r="B342" s="2" t="s">
        <v>16</v>
      </c>
      <c r="C342" s="2" t="s">
        <v>852</v>
      </c>
      <c r="D342" s="2" t="s">
        <v>56</v>
      </c>
      <c r="E342" s="2" t="s">
        <v>38</v>
      </c>
      <c r="F342" s="2" t="s">
        <v>57</v>
      </c>
      <c r="G342" s="2" t="s">
        <v>853</v>
      </c>
      <c r="H342" s="3">
        <v>45525.818055555559</v>
      </c>
      <c r="I342" s="3">
        <v>45525.993055555555</v>
      </c>
      <c r="J342" s="2">
        <v>139</v>
      </c>
      <c r="K342" s="2">
        <v>252</v>
      </c>
      <c r="L342" s="2">
        <v>1</v>
      </c>
      <c r="M342" s="2" t="s">
        <v>41</v>
      </c>
      <c r="N342" s="2">
        <v>1</v>
      </c>
      <c r="O342" s="2">
        <v>132.63999999999999</v>
      </c>
      <c r="P342" s="2">
        <f t="shared" si="25"/>
        <v>113</v>
      </c>
      <c r="Q342" s="4">
        <f t="shared" si="26"/>
        <v>0.55158730158730163</v>
      </c>
      <c r="R342" s="2" t="str">
        <f t="shared" si="27"/>
        <v>Inefficient</v>
      </c>
      <c r="S342" s="2" t="str">
        <f t="shared" si="28"/>
        <v>Very Long</v>
      </c>
      <c r="T342" s="2" t="str">
        <f t="shared" si="29"/>
        <v>Major Delay</v>
      </c>
    </row>
    <row r="343" spans="1:20" x14ac:dyDescent="0.35">
      <c r="A343" s="2" t="s">
        <v>854</v>
      </c>
      <c r="B343" s="2" t="s">
        <v>63</v>
      </c>
      <c r="C343" s="2" t="s">
        <v>855</v>
      </c>
      <c r="D343" s="2" t="s">
        <v>56</v>
      </c>
      <c r="E343" s="2" t="s">
        <v>19</v>
      </c>
      <c r="F343" s="2" t="s">
        <v>27</v>
      </c>
      <c r="G343" s="2" t="s">
        <v>45</v>
      </c>
      <c r="H343" s="3">
        <v>45624.647222222222</v>
      </c>
      <c r="I343" s="3">
        <v>45624.818055555559</v>
      </c>
      <c r="J343" s="2">
        <v>171</v>
      </c>
      <c r="K343" s="2">
        <v>246</v>
      </c>
      <c r="L343" s="2">
        <v>1</v>
      </c>
      <c r="M343" s="2" t="s">
        <v>22</v>
      </c>
      <c r="N343" s="2">
        <v>10</v>
      </c>
      <c r="O343" s="2">
        <v>467</v>
      </c>
      <c r="P343" s="2">
        <f t="shared" si="25"/>
        <v>75</v>
      </c>
      <c r="Q343" s="4">
        <f t="shared" si="26"/>
        <v>0.69512195121951215</v>
      </c>
      <c r="R343" s="2" t="str">
        <f t="shared" si="27"/>
        <v>Inefficient</v>
      </c>
      <c r="S343" s="2" t="str">
        <f t="shared" si="28"/>
        <v>Very Long</v>
      </c>
      <c r="T343" s="2" t="str">
        <f t="shared" si="29"/>
        <v>Major Delay</v>
      </c>
    </row>
    <row r="344" spans="1:20" x14ac:dyDescent="0.35">
      <c r="A344" s="2" t="s">
        <v>856</v>
      </c>
      <c r="B344" s="2" t="s">
        <v>24</v>
      </c>
      <c r="C344" s="2" t="s">
        <v>857</v>
      </c>
      <c r="D344" s="2" t="s">
        <v>56</v>
      </c>
      <c r="E344" s="2" t="s">
        <v>85</v>
      </c>
      <c r="F344" s="2" t="s">
        <v>27</v>
      </c>
      <c r="G344" s="2" t="s">
        <v>120</v>
      </c>
      <c r="H344" s="3">
        <v>45468.868055555555</v>
      </c>
      <c r="I344" s="3">
        <v>45469.000694444447</v>
      </c>
      <c r="J344" s="2">
        <v>194</v>
      </c>
      <c r="K344" s="2">
        <v>191</v>
      </c>
      <c r="L344" s="2">
        <v>0</v>
      </c>
      <c r="M344" s="2" t="s">
        <v>29</v>
      </c>
      <c r="N344" s="2">
        <v>7</v>
      </c>
      <c r="O344" s="2">
        <v>240.6</v>
      </c>
      <c r="P344" s="2">
        <f t="shared" si="25"/>
        <v>-3</v>
      </c>
      <c r="Q344" s="4">
        <f t="shared" si="26"/>
        <v>1.0157068062827226</v>
      </c>
      <c r="R344" s="2" t="str">
        <f t="shared" si="27"/>
        <v>Efficient</v>
      </c>
      <c r="S344" s="2" t="str">
        <f t="shared" si="28"/>
        <v>Very Long</v>
      </c>
      <c r="T344" s="2" t="str">
        <f t="shared" si="29"/>
        <v>On Time</v>
      </c>
    </row>
    <row r="345" spans="1:20" x14ac:dyDescent="0.35">
      <c r="A345" s="2" t="s">
        <v>858</v>
      </c>
      <c r="B345" s="2" t="s">
        <v>51</v>
      </c>
      <c r="C345" s="2" t="s">
        <v>859</v>
      </c>
      <c r="D345" s="2" t="s">
        <v>44</v>
      </c>
      <c r="E345" s="2" t="s">
        <v>33</v>
      </c>
      <c r="F345" s="2" t="s">
        <v>20</v>
      </c>
      <c r="G345" s="2" t="s">
        <v>415</v>
      </c>
      <c r="H345" s="3">
        <v>45608.725694444445</v>
      </c>
      <c r="I345" s="3">
        <v>45608.770833333336</v>
      </c>
      <c r="J345" s="2">
        <v>21</v>
      </c>
      <c r="K345" s="2">
        <v>65</v>
      </c>
      <c r="L345" s="2">
        <v>1</v>
      </c>
      <c r="M345" s="2" t="s">
        <v>41</v>
      </c>
      <c r="N345" s="2">
        <v>7</v>
      </c>
      <c r="O345" s="2">
        <v>261.39999999999998</v>
      </c>
      <c r="P345" s="2">
        <f t="shared" si="25"/>
        <v>44</v>
      </c>
      <c r="Q345" s="4">
        <f t="shared" si="26"/>
        <v>0.32307692307692309</v>
      </c>
      <c r="R345" s="2" t="str">
        <f t="shared" si="27"/>
        <v>Inefficient</v>
      </c>
      <c r="S345" s="2" t="str">
        <f t="shared" si="28"/>
        <v>Long</v>
      </c>
      <c r="T345" s="2" t="str">
        <f t="shared" si="29"/>
        <v>Major Delay</v>
      </c>
    </row>
    <row r="346" spans="1:20" x14ac:dyDescent="0.35">
      <c r="A346" s="2" t="s">
        <v>860</v>
      </c>
      <c r="B346" s="2" t="s">
        <v>31</v>
      </c>
      <c r="C346" s="2" t="s">
        <v>861</v>
      </c>
      <c r="D346" s="2" t="s">
        <v>44</v>
      </c>
      <c r="E346" s="2" t="s">
        <v>38</v>
      </c>
      <c r="F346" s="2" t="s">
        <v>27</v>
      </c>
      <c r="G346" s="2" t="s">
        <v>397</v>
      </c>
      <c r="H346" s="3">
        <v>45498.989583333336</v>
      </c>
      <c r="I346" s="3">
        <v>45499.12222222222</v>
      </c>
      <c r="J346" s="2">
        <v>115</v>
      </c>
      <c r="K346" s="2">
        <v>191</v>
      </c>
      <c r="L346" s="2">
        <v>1</v>
      </c>
      <c r="M346" s="2" t="s">
        <v>29</v>
      </c>
      <c r="N346" s="2">
        <v>5</v>
      </c>
      <c r="O346" s="2">
        <v>319.36</v>
      </c>
      <c r="P346" s="2">
        <f t="shared" si="25"/>
        <v>76</v>
      </c>
      <c r="Q346" s="4">
        <f t="shared" si="26"/>
        <v>0.60209424083769636</v>
      </c>
      <c r="R346" s="2" t="str">
        <f t="shared" si="27"/>
        <v>Inefficient</v>
      </c>
      <c r="S346" s="2" t="str">
        <f t="shared" si="28"/>
        <v>Very Long</v>
      </c>
      <c r="T346" s="2" t="str">
        <f t="shared" si="29"/>
        <v>Major Delay</v>
      </c>
    </row>
    <row r="347" spans="1:20" x14ac:dyDescent="0.35">
      <c r="A347" s="2" t="s">
        <v>862</v>
      </c>
      <c r="B347" s="2" t="s">
        <v>51</v>
      </c>
      <c r="C347" s="2" t="s">
        <v>863</v>
      </c>
      <c r="D347" s="2" t="s">
        <v>48</v>
      </c>
      <c r="E347" s="2" t="s">
        <v>19</v>
      </c>
      <c r="F347" s="2" t="s">
        <v>20</v>
      </c>
      <c r="G347" s="2" t="s">
        <v>615</v>
      </c>
      <c r="H347" s="3">
        <v>45578.970833333333</v>
      </c>
      <c r="I347" s="3">
        <v>45579.119444444441</v>
      </c>
      <c r="J347" s="2">
        <v>167</v>
      </c>
      <c r="K347" s="2">
        <v>214</v>
      </c>
      <c r="L347" s="2">
        <v>1</v>
      </c>
      <c r="M347" s="2" t="s">
        <v>22</v>
      </c>
      <c r="N347" s="2">
        <v>1</v>
      </c>
      <c r="O347" s="2">
        <v>429.25</v>
      </c>
      <c r="P347" s="2">
        <f t="shared" si="25"/>
        <v>47</v>
      </c>
      <c r="Q347" s="4">
        <f t="shared" si="26"/>
        <v>0.78037383177570097</v>
      </c>
      <c r="R347" s="2" t="str">
        <f t="shared" si="27"/>
        <v>Inefficient</v>
      </c>
      <c r="S347" s="2" t="str">
        <f t="shared" si="28"/>
        <v>Very Long</v>
      </c>
      <c r="T347" s="2" t="str">
        <f t="shared" si="29"/>
        <v>Major Delay</v>
      </c>
    </row>
    <row r="348" spans="1:20" x14ac:dyDescent="0.35">
      <c r="A348" s="2" t="s">
        <v>864</v>
      </c>
      <c r="B348" s="2" t="s">
        <v>63</v>
      </c>
      <c r="C348" s="2" t="s">
        <v>865</v>
      </c>
      <c r="D348" s="2" t="s">
        <v>44</v>
      </c>
      <c r="E348" s="2" t="s">
        <v>33</v>
      </c>
      <c r="F348" s="2" t="s">
        <v>39</v>
      </c>
      <c r="G348" s="2" t="s">
        <v>126</v>
      </c>
      <c r="H348" s="3">
        <v>45518.98541666667</v>
      </c>
      <c r="I348" s="3">
        <v>45519.13958333333</v>
      </c>
      <c r="J348" s="2">
        <v>192</v>
      </c>
      <c r="K348" s="2">
        <v>222</v>
      </c>
      <c r="L348" s="2">
        <v>1</v>
      </c>
      <c r="M348" s="2" t="s">
        <v>41</v>
      </c>
      <c r="N348" s="2">
        <v>2</v>
      </c>
      <c r="O348" s="2">
        <v>253.2</v>
      </c>
      <c r="P348" s="2">
        <f t="shared" si="25"/>
        <v>30</v>
      </c>
      <c r="Q348" s="4">
        <f t="shared" si="26"/>
        <v>0.86486486486486491</v>
      </c>
      <c r="R348" s="2" t="str">
        <f t="shared" si="27"/>
        <v>Inefficient</v>
      </c>
      <c r="S348" s="2" t="str">
        <f t="shared" si="28"/>
        <v>Very Long</v>
      </c>
      <c r="T348" s="2" t="str">
        <f t="shared" si="29"/>
        <v>Minor Delay</v>
      </c>
    </row>
    <row r="349" spans="1:20" x14ac:dyDescent="0.35">
      <c r="A349" s="2" t="s">
        <v>866</v>
      </c>
      <c r="B349" s="2" t="s">
        <v>51</v>
      </c>
      <c r="C349" s="2" t="s">
        <v>867</v>
      </c>
      <c r="D349" s="2" t="s">
        <v>26</v>
      </c>
      <c r="E349" s="2" t="s">
        <v>85</v>
      </c>
      <c r="F349" s="2" t="s">
        <v>20</v>
      </c>
      <c r="G349" s="2" t="s">
        <v>161</v>
      </c>
      <c r="H349" s="3">
        <v>45366.888888888891</v>
      </c>
      <c r="I349" s="3">
        <v>45366.976388888892</v>
      </c>
      <c r="J349" s="2">
        <v>57</v>
      </c>
      <c r="K349" s="2">
        <v>126</v>
      </c>
      <c r="L349" s="2">
        <v>1</v>
      </c>
      <c r="M349" s="2" t="s">
        <v>22</v>
      </c>
      <c r="N349" s="2">
        <v>1</v>
      </c>
      <c r="O349" s="2">
        <v>173.45</v>
      </c>
      <c r="P349" s="2">
        <f t="shared" si="25"/>
        <v>69</v>
      </c>
      <c r="Q349" s="4">
        <f t="shared" si="26"/>
        <v>0.45238095238095238</v>
      </c>
      <c r="R349" s="2" t="str">
        <f t="shared" si="27"/>
        <v>Inefficient</v>
      </c>
      <c r="S349" s="2" t="str">
        <f t="shared" si="28"/>
        <v>Very Long</v>
      </c>
      <c r="T349" s="2" t="str">
        <f t="shared" si="29"/>
        <v>Major Delay</v>
      </c>
    </row>
    <row r="350" spans="1:20" x14ac:dyDescent="0.35">
      <c r="A350" s="2" t="s">
        <v>868</v>
      </c>
      <c r="B350" s="2" t="s">
        <v>24</v>
      </c>
      <c r="C350" s="2" t="s">
        <v>869</v>
      </c>
      <c r="D350" s="2" t="s">
        <v>26</v>
      </c>
      <c r="E350" s="2" t="s">
        <v>38</v>
      </c>
      <c r="F350" s="2" t="s">
        <v>57</v>
      </c>
      <c r="G350" s="2" t="s">
        <v>462</v>
      </c>
      <c r="H350" s="3">
        <v>45629.704861111109</v>
      </c>
      <c r="I350" s="3">
        <v>45629.879166666666</v>
      </c>
      <c r="J350" s="2">
        <v>218</v>
      </c>
      <c r="K350" s="2">
        <v>251</v>
      </c>
      <c r="L350" s="2">
        <v>1</v>
      </c>
      <c r="M350" s="2" t="s">
        <v>22</v>
      </c>
      <c r="N350" s="2">
        <v>7</v>
      </c>
      <c r="O350" s="2">
        <v>90.28</v>
      </c>
      <c r="P350" s="2">
        <f t="shared" si="25"/>
        <v>33</v>
      </c>
      <c r="Q350" s="4">
        <f t="shared" si="26"/>
        <v>0.86852589641434264</v>
      </c>
      <c r="R350" s="2" t="str">
        <f t="shared" si="27"/>
        <v>Inefficient</v>
      </c>
      <c r="S350" s="2" t="str">
        <f t="shared" si="28"/>
        <v>Very Long</v>
      </c>
      <c r="T350" s="2" t="str">
        <f t="shared" si="29"/>
        <v>Major Delay</v>
      </c>
    </row>
    <row r="351" spans="1:20" x14ac:dyDescent="0.35">
      <c r="A351" s="2" t="s">
        <v>870</v>
      </c>
      <c r="B351" s="2" t="s">
        <v>51</v>
      </c>
      <c r="C351" s="2" t="s">
        <v>871</v>
      </c>
      <c r="D351" s="2" t="s">
        <v>18</v>
      </c>
      <c r="E351" s="2" t="s">
        <v>19</v>
      </c>
      <c r="F351" s="2" t="s">
        <v>27</v>
      </c>
      <c r="G351" s="2" t="s">
        <v>161</v>
      </c>
      <c r="H351" s="3">
        <v>45403.468055555553</v>
      </c>
      <c r="I351" s="3">
        <v>45403.636111111111</v>
      </c>
      <c r="J351" s="2">
        <v>209</v>
      </c>
      <c r="K351" s="2">
        <v>242</v>
      </c>
      <c r="L351" s="2">
        <v>1</v>
      </c>
      <c r="M351" s="2" t="s">
        <v>22</v>
      </c>
      <c r="N351" s="2">
        <v>8</v>
      </c>
      <c r="O351" s="2">
        <v>230.69</v>
      </c>
      <c r="P351" s="2">
        <f t="shared" si="25"/>
        <v>33</v>
      </c>
      <c r="Q351" s="4">
        <f t="shared" si="26"/>
        <v>0.86363636363636365</v>
      </c>
      <c r="R351" s="2" t="str">
        <f t="shared" si="27"/>
        <v>Inefficient</v>
      </c>
      <c r="S351" s="2" t="str">
        <f t="shared" si="28"/>
        <v>Very Long</v>
      </c>
      <c r="T351" s="2" t="str">
        <f t="shared" si="29"/>
        <v>Major Delay</v>
      </c>
    </row>
    <row r="352" spans="1:20" x14ac:dyDescent="0.35">
      <c r="A352" s="2" t="s">
        <v>872</v>
      </c>
      <c r="B352" s="2" t="s">
        <v>16</v>
      </c>
      <c r="C352" s="2" t="s">
        <v>873</v>
      </c>
      <c r="D352" s="2" t="s">
        <v>18</v>
      </c>
      <c r="E352" s="2" t="s">
        <v>38</v>
      </c>
      <c r="F352" s="2" t="s">
        <v>34</v>
      </c>
      <c r="G352" s="2" t="s">
        <v>407</v>
      </c>
      <c r="H352" s="3">
        <v>45625.909722222219</v>
      </c>
      <c r="I352" s="3">
        <v>45626.006249999999</v>
      </c>
      <c r="J352" s="2">
        <v>128</v>
      </c>
      <c r="K352" s="2">
        <v>139</v>
      </c>
      <c r="L352" s="2">
        <v>1</v>
      </c>
      <c r="M352" s="2" t="s">
        <v>29</v>
      </c>
      <c r="N352" s="2">
        <v>6</v>
      </c>
      <c r="O352" s="2">
        <v>479.53</v>
      </c>
      <c r="P352" s="2">
        <f t="shared" si="25"/>
        <v>11</v>
      </c>
      <c r="Q352" s="4">
        <f t="shared" si="26"/>
        <v>0.92086330935251803</v>
      </c>
      <c r="R352" s="2" t="str">
        <f t="shared" si="27"/>
        <v>Inefficient</v>
      </c>
      <c r="S352" s="2" t="str">
        <f t="shared" si="28"/>
        <v>Very Long</v>
      </c>
      <c r="T352" s="2" t="str">
        <f t="shared" si="29"/>
        <v>Minor Delay</v>
      </c>
    </row>
    <row r="353" spans="1:20" x14ac:dyDescent="0.35">
      <c r="A353" s="2" t="s">
        <v>874</v>
      </c>
      <c r="B353" s="2" t="s">
        <v>31</v>
      </c>
      <c r="C353" s="2" t="s">
        <v>875</v>
      </c>
      <c r="D353" s="2" t="s">
        <v>56</v>
      </c>
      <c r="E353" s="2" t="s">
        <v>85</v>
      </c>
      <c r="F353" s="2" t="s">
        <v>39</v>
      </c>
      <c r="G353" s="2" t="s">
        <v>470</v>
      </c>
      <c r="H353" s="3">
        <v>45545.57708333333</v>
      </c>
      <c r="I353" s="3">
        <v>45545.797222222223</v>
      </c>
      <c r="J353" s="2">
        <v>224</v>
      </c>
      <c r="K353" s="2">
        <v>317</v>
      </c>
      <c r="L353" s="2">
        <v>1</v>
      </c>
      <c r="M353" s="2" t="s">
        <v>22</v>
      </c>
      <c r="N353" s="2">
        <v>10</v>
      </c>
      <c r="O353" s="2">
        <v>344.55</v>
      </c>
      <c r="P353" s="2">
        <f t="shared" si="25"/>
        <v>93</v>
      </c>
      <c r="Q353" s="4">
        <f t="shared" si="26"/>
        <v>0.70662460567823349</v>
      </c>
      <c r="R353" s="2" t="str">
        <f t="shared" si="27"/>
        <v>Inefficient</v>
      </c>
      <c r="S353" s="2" t="str">
        <f t="shared" si="28"/>
        <v>Very Long</v>
      </c>
      <c r="T353" s="2" t="str">
        <f t="shared" si="29"/>
        <v>Major Delay</v>
      </c>
    </row>
    <row r="354" spans="1:20" x14ac:dyDescent="0.35">
      <c r="A354" s="2" t="s">
        <v>876</v>
      </c>
      <c r="B354" s="2" t="s">
        <v>16</v>
      </c>
      <c r="C354" s="2" t="s">
        <v>877</v>
      </c>
      <c r="D354" s="2" t="s">
        <v>56</v>
      </c>
      <c r="E354" s="2" t="s">
        <v>85</v>
      </c>
      <c r="F354" s="2" t="s">
        <v>39</v>
      </c>
      <c r="G354" s="2" t="s">
        <v>684</v>
      </c>
      <c r="H354" s="3">
        <v>45306.71875</v>
      </c>
      <c r="I354" s="3">
        <v>45306.911111111112</v>
      </c>
      <c r="J354" s="2">
        <v>200</v>
      </c>
      <c r="K354" s="2">
        <v>277</v>
      </c>
      <c r="L354" s="2">
        <v>1</v>
      </c>
      <c r="M354" s="2" t="s">
        <v>29</v>
      </c>
      <c r="N354" s="2">
        <v>2</v>
      </c>
      <c r="O354" s="2">
        <v>99.92</v>
      </c>
      <c r="P354" s="2">
        <f t="shared" si="25"/>
        <v>77</v>
      </c>
      <c r="Q354" s="4">
        <f t="shared" si="26"/>
        <v>0.72202166064981954</v>
      </c>
      <c r="R354" s="2" t="str">
        <f t="shared" si="27"/>
        <v>Inefficient</v>
      </c>
      <c r="S354" s="2" t="str">
        <f t="shared" si="28"/>
        <v>Very Long</v>
      </c>
      <c r="T354" s="2" t="str">
        <f t="shared" si="29"/>
        <v>Major Delay</v>
      </c>
    </row>
    <row r="355" spans="1:20" x14ac:dyDescent="0.35">
      <c r="A355" s="2" t="s">
        <v>878</v>
      </c>
      <c r="B355" s="2" t="s">
        <v>51</v>
      </c>
      <c r="C355" s="2" t="s">
        <v>879</v>
      </c>
      <c r="D355" s="2" t="s">
        <v>18</v>
      </c>
      <c r="E355" s="2" t="s">
        <v>19</v>
      </c>
      <c r="F355" s="2" t="s">
        <v>34</v>
      </c>
      <c r="G355" s="2" t="s">
        <v>53</v>
      </c>
      <c r="H355" s="3">
        <v>45641.270833333336</v>
      </c>
      <c r="I355" s="3">
        <v>45641.397916666669</v>
      </c>
      <c r="J355" s="2">
        <v>93</v>
      </c>
      <c r="K355" s="2">
        <v>183</v>
      </c>
      <c r="L355" s="2">
        <v>1</v>
      </c>
      <c r="M355" s="2" t="s">
        <v>29</v>
      </c>
      <c r="N355" s="2">
        <v>8</v>
      </c>
      <c r="O355" s="2">
        <v>455.49</v>
      </c>
      <c r="P355" s="2">
        <f t="shared" si="25"/>
        <v>90</v>
      </c>
      <c r="Q355" s="4">
        <f t="shared" si="26"/>
        <v>0.50819672131147542</v>
      </c>
      <c r="R355" s="2" t="str">
        <f t="shared" si="27"/>
        <v>Inefficient</v>
      </c>
      <c r="S355" s="2" t="str">
        <f t="shared" si="28"/>
        <v>Very Long</v>
      </c>
      <c r="T355" s="2" t="str">
        <f t="shared" si="29"/>
        <v>Major Delay</v>
      </c>
    </row>
    <row r="356" spans="1:20" x14ac:dyDescent="0.35">
      <c r="A356" s="2" t="s">
        <v>880</v>
      </c>
      <c r="B356" s="2" t="s">
        <v>31</v>
      </c>
      <c r="C356" s="2" t="s">
        <v>881</v>
      </c>
      <c r="D356" s="2" t="s">
        <v>56</v>
      </c>
      <c r="E356" s="2" t="s">
        <v>19</v>
      </c>
      <c r="F356" s="2" t="s">
        <v>57</v>
      </c>
      <c r="G356" s="2" t="s">
        <v>311</v>
      </c>
      <c r="H356" s="3">
        <v>45462.802083333336</v>
      </c>
      <c r="I356" s="3">
        <v>45463.011805555558</v>
      </c>
      <c r="J356" s="2">
        <v>219</v>
      </c>
      <c r="K356" s="2">
        <v>302</v>
      </c>
      <c r="L356" s="2">
        <v>1</v>
      </c>
      <c r="M356" s="2" t="s">
        <v>22</v>
      </c>
      <c r="N356" s="2">
        <v>3</v>
      </c>
      <c r="O356" s="2">
        <v>384.66</v>
      </c>
      <c r="P356" s="2">
        <f t="shared" si="25"/>
        <v>83</v>
      </c>
      <c r="Q356" s="4">
        <f t="shared" si="26"/>
        <v>0.72516556291390732</v>
      </c>
      <c r="R356" s="2" t="str">
        <f t="shared" si="27"/>
        <v>Inefficient</v>
      </c>
      <c r="S356" s="2" t="str">
        <f t="shared" si="28"/>
        <v>Very Long</v>
      </c>
      <c r="T356" s="2" t="str">
        <f t="shared" si="29"/>
        <v>Major Delay</v>
      </c>
    </row>
    <row r="357" spans="1:20" x14ac:dyDescent="0.35">
      <c r="A357" s="2" t="s">
        <v>882</v>
      </c>
      <c r="B357" s="2" t="s">
        <v>16</v>
      </c>
      <c r="C357" s="2" t="s">
        <v>883</v>
      </c>
      <c r="D357" s="2" t="s">
        <v>56</v>
      </c>
      <c r="E357" s="2" t="s">
        <v>19</v>
      </c>
      <c r="F357" s="2" t="s">
        <v>57</v>
      </c>
      <c r="G357" s="2" t="s">
        <v>146</v>
      </c>
      <c r="H357" s="3">
        <v>45317.477777777778</v>
      </c>
      <c r="I357" s="3">
        <v>45317.536111111112</v>
      </c>
      <c r="J357" s="2">
        <v>77</v>
      </c>
      <c r="K357" s="2">
        <v>84</v>
      </c>
      <c r="L357" s="2">
        <v>1</v>
      </c>
      <c r="M357" s="2" t="s">
        <v>29</v>
      </c>
      <c r="N357" s="2">
        <v>2</v>
      </c>
      <c r="O357" s="2">
        <v>55.51</v>
      </c>
      <c r="P357" s="2">
        <f t="shared" si="25"/>
        <v>7</v>
      </c>
      <c r="Q357" s="4">
        <f t="shared" si="26"/>
        <v>0.91666666666666663</v>
      </c>
      <c r="R357" s="2" t="str">
        <f t="shared" si="27"/>
        <v>Inefficient</v>
      </c>
      <c r="S357" s="2" t="str">
        <f t="shared" si="28"/>
        <v>Long</v>
      </c>
      <c r="T357" s="2" t="str">
        <f t="shared" si="29"/>
        <v>Minor Delay</v>
      </c>
    </row>
    <row r="358" spans="1:20" x14ac:dyDescent="0.35">
      <c r="A358" s="2" t="s">
        <v>884</v>
      </c>
      <c r="B358" s="2" t="s">
        <v>31</v>
      </c>
      <c r="C358" s="2" t="s">
        <v>885</v>
      </c>
      <c r="D358" s="2" t="s">
        <v>56</v>
      </c>
      <c r="E358" s="2" t="s">
        <v>33</v>
      </c>
      <c r="F358" s="2" t="s">
        <v>20</v>
      </c>
      <c r="G358" s="2" t="s">
        <v>853</v>
      </c>
      <c r="H358" s="3">
        <v>45376.553472222222</v>
      </c>
      <c r="I358" s="3">
        <v>45376.749305555553</v>
      </c>
      <c r="J358" s="2">
        <v>238</v>
      </c>
      <c r="K358" s="2">
        <v>282</v>
      </c>
      <c r="L358" s="2">
        <v>1</v>
      </c>
      <c r="M358" s="2" t="s">
        <v>29</v>
      </c>
      <c r="N358" s="2">
        <v>5</v>
      </c>
      <c r="O358" s="2">
        <v>358.33</v>
      </c>
      <c r="P358" s="2">
        <f t="shared" si="25"/>
        <v>44</v>
      </c>
      <c r="Q358" s="4">
        <f t="shared" si="26"/>
        <v>0.84397163120567376</v>
      </c>
      <c r="R358" s="2" t="str">
        <f t="shared" si="27"/>
        <v>Inefficient</v>
      </c>
      <c r="S358" s="2" t="str">
        <f t="shared" si="28"/>
        <v>Very Long</v>
      </c>
      <c r="T358" s="2" t="str">
        <f t="shared" si="29"/>
        <v>Major Delay</v>
      </c>
    </row>
    <row r="359" spans="1:20" x14ac:dyDescent="0.35">
      <c r="A359" s="2" t="s">
        <v>886</v>
      </c>
      <c r="B359" s="2" t="s">
        <v>16</v>
      </c>
      <c r="C359" s="2" t="s">
        <v>887</v>
      </c>
      <c r="D359" s="2" t="s">
        <v>48</v>
      </c>
      <c r="E359" s="2" t="s">
        <v>33</v>
      </c>
      <c r="F359" s="2" t="s">
        <v>57</v>
      </c>
      <c r="G359" s="2" t="s">
        <v>465</v>
      </c>
      <c r="H359" s="3">
        <v>45599.15902777778</v>
      </c>
      <c r="I359" s="3">
        <v>45599.275000000001</v>
      </c>
      <c r="J359" s="2">
        <v>97</v>
      </c>
      <c r="K359" s="2">
        <v>167</v>
      </c>
      <c r="L359" s="2">
        <v>1</v>
      </c>
      <c r="M359" s="2" t="s">
        <v>41</v>
      </c>
      <c r="N359" s="2">
        <v>2</v>
      </c>
      <c r="O359" s="2">
        <v>108.14</v>
      </c>
      <c r="P359" s="2">
        <f t="shared" si="25"/>
        <v>70</v>
      </c>
      <c r="Q359" s="4">
        <f t="shared" si="26"/>
        <v>0.58083832335329344</v>
      </c>
      <c r="R359" s="2" t="str">
        <f t="shared" si="27"/>
        <v>Inefficient</v>
      </c>
      <c r="S359" s="2" t="str">
        <f t="shared" si="28"/>
        <v>Very Long</v>
      </c>
      <c r="T359" s="2" t="str">
        <f t="shared" si="29"/>
        <v>Major Delay</v>
      </c>
    </row>
    <row r="360" spans="1:20" x14ac:dyDescent="0.35">
      <c r="A360" s="2" t="s">
        <v>888</v>
      </c>
      <c r="B360" s="2" t="s">
        <v>63</v>
      </c>
      <c r="C360" s="2" t="s">
        <v>889</v>
      </c>
      <c r="D360" s="2" t="s">
        <v>18</v>
      </c>
      <c r="E360" s="2" t="s">
        <v>19</v>
      </c>
      <c r="F360" s="2" t="s">
        <v>27</v>
      </c>
      <c r="G360" s="2" t="s">
        <v>512</v>
      </c>
      <c r="H360" s="3">
        <v>45489.928472222222</v>
      </c>
      <c r="I360" s="3">
        <v>45490.086805555555</v>
      </c>
      <c r="J360" s="2">
        <v>152</v>
      </c>
      <c r="K360" s="2">
        <v>228</v>
      </c>
      <c r="L360" s="2">
        <v>1</v>
      </c>
      <c r="M360" s="2" t="s">
        <v>29</v>
      </c>
      <c r="N360" s="2">
        <v>2</v>
      </c>
      <c r="O360" s="2">
        <v>129.86000000000001</v>
      </c>
      <c r="P360" s="2">
        <f t="shared" si="25"/>
        <v>76</v>
      </c>
      <c r="Q360" s="4">
        <f t="shared" si="26"/>
        <v>0.66666666666666663</v>
      </c>
      <c r="R360" s="2" t="str">
        <f t="shared" si="27"/>
        <v>Inefficient</v>
      </c>
      <c r="S360" s="2" t="str">
        <f t="shared" si="28"/>
        <v>Very Long</v>
      </c>
      <c r="T360" s="2" t="str">
        <f t="shared" si="29"/>
        <v>Major Delay</v>
      </c>
    </row>
    <row r="361" spans="1:20" x14ac:dyDescent="0.35">
      <c r="A361" s="2" t="s">
        <v>890</v>
      </c>
      <c r="B361" s="2" t="s">
        <v>16</v>
      </c>
      <c r="C361" s="2" t="s">
        <v>891</v>
      </c>
      <c r="D361" s="2" t="s">
        <v>48</v>
      </c>
      <c r="E361" s="2" t="s">
        <v>19</v>
      </c>
      <c r="F361" s="2" t="s">
        <v>27</v>
      </c>
      <c r="G361" s="2" t="s">
        <v>100</v>
      </c>
      <c r="H361" s="3">
        <v>45491.419444444444</v>
      </c>
      <c r="I361" s="3">
        <v>45491.615972222222</v>
      </c>
      <c r="J361" s="2">
        <v>212</v>
      </c>
      <c r="K361" s="2">
        <v>283</v>
      </c>
      <c r="L361" s="2">
        <v>1</v>
      </c>
      <c r="M361" s="2" t="s">
        <v>41</v>
      </c>
      <c r="N361" s="2">
        <v>2</v>
      </c>
      <c r="O361" s="2">
        <v>451.49</v>
      </c>
      <c r="P361" s="2">
        <f t="shared" si="25"/>
        <v>71</v>
      </c>
      <c r="Q361" s="4">
        <f t="shared" si="26"/>
        <v>0.74911660777385158</v>
      </c>
      <c r="R361" s="2" t="str">
        <f t="shared" si="27"/>
        <v>Inefficient</v>
      </c>
      <c r="S361" s="2" t="str">
        <f t="shared" si="28"/>
        <v>Very Long</v>
      </c>
      <c r="T361" s="2" t="str">
        <f t="shared" si="29"/>
        <v>Major Delay</v>
      </c>
    </row>
    <row r="362" spans="1:20" x14ac:dyDescent="0.35">
      <c r="A362" s="2" t="s">
        <v>892</v>
      </c>
      <c r="B362" s="2" t="s">
        <v>63</v>
      </c>
      <c r="C362" s="2" t="s">
        <v>893</v>
      </c>
      <c r="D362" s="2" t="s">
        <v>56</v>
      </c>
      <c r="E362" s="2" t="s">
        <v>85</v>
      </c>
      <c r="F362" s="2" t="s">
        <v>39</v>
      </c>
      <c r="G362" s="2" t="s">
        <v>894</v>
      </c>
      <c r="H362" s="3">
        <v>45581.92291666667</v>
      </c>
      <c r="I362" s="3">
        <v>45581.996527777781</v>
      </c>
      <c r="J362" s="2">
        <v>13</v>
      </c>
      <c r="K362" s="2">
        <v>106</v>
      </c>
      <c r="L362" s="2">
        <v>1</v>
      </c>
      <c r="M362" s="2" t="s">
        <v>29</v>
      </c>
      <c r="N362" s="2">
        <v>3</v>
      </c>
      <c r="O362" s="2">
        <v>398.06</v>
      </c>
      <c r="P362" s="2">
        <f t="shared" si="25"/>
        <v>93</v>
      </c>
      <c r="Q362" s="4">
        <f t="shared" si="26"/>
        <v>0.12264150943396226</v>
      </c>
      <c r="R362" s="2" t="str">
        <f t="shared" si="27"/>
        <v>Inefficient</v>
      </c>
      <c r="S362" s="2" t="str">
        <f t="shared" si="28"/>
        <v>Long</v>
      </c>
      <c r="T362" s="2" t="str">
        <f t="shared" si="29"/>
        <v>Major Delay</v>
      </c>
    </row>
    <row r="363" spans="1:20" x14ac:dyDescent="0.35">
      <c r="A363" s="2" t="s">
        <v>895</v>
      </c>
      <c r="B363" s="2" t="s">
        <v>16</v>
      </c>
      <c r="C363" s="2" t="s">
        <v>896</v>
      </c>
      <c r="D363" s="2" t="s">
        <v>18</v>
      </c>
      <c r="E363" s="2" t="s">
        <v>85</v>
      </c>
      <c r="F363" s="2" t="s">
        <v>57</v>
      </c>
      <c r="G363" s="2" t="s">
        <v>897</v>
      </c>
      <c r="H363" s="3">
        <v>45344.760416666664</v>
      </c>
      <c r="I363" s="3">
        <v>45344.895833333336</v>
      </c>
      <c r="J363" s="2">
        <v>153</v>
      </c>
      <c r="K363" s="2">
        <v>195</v>
      </c>
      <c r="L363" s="2">
        <v>1</v>
      </c>
      <c r="M363" s="2" t="s">
        <v>29</v>
      </c>
      <c r="N363" s="2">
        <v>9</v>
      </c>
      <c r="O363" s="2">
        <v>99.03</v>
      </c>
      <c r="P363" s="2">
        <f t="shared" si="25"/>
        <v>42</v>
      </c>
      <c r="Q363" s="4">
        <f t="shared" si="26"/>
        <v>0.7846153846153846</v>
      </c>
      <c r="R363" s="2" t="str">
        <f t="shared" si="27"/>
        <v>Inefficient</v>
      </c>
      <c r="S363" s="2" t="str">
        <f t="shared" si="28"/>
        <v>Very Long</v>
      </c>
      <c r="T363" s="2" t="str">
        <f t="shared" si="29"/>
        <v>Major Delay</v>
      </c>
    </row>
    <row r="364" spans="1:20" x14ac:dyDescent="0.35">
      <c r="A364" s="2" t="s">
        <v>898</v>
      </c>
      <c r="B364" s="2" t="s">
        <v>16</v>
      </c>
      <c r="C364" s="2" t="s">
        <v>899</v>
      </c>
      <c r="D364" s="2" t="s">
        <v>18</v>
      </c>
      <c r="E364" s="2" t="s">
        <v>19</v>
      </c>
      <c r="F364" s="2" t="s">
        <v>34</v>
      </c>
      <c r="G364" s="2" t="s">
        <v>283</v>
      </c>
      <c r="H364" s="3">
        <v>45600.31527777778</v>
      </c>
      <c r="I364" s="3">
        <v>45600.442361111112</v>
      </c>
      <c r="J364" s="2">
        <v>169</v>
      </c>
      <c r="K364" s="2">
        <v>183</v>
      </c>
      <c r="L364" s="2">
        <v>1</v>
      </c>
      <c r="M364" s="2" t="s">
        <v>22</v>
      </c>
      <c r="N364" s="2">
        <v>5</v>
      </c>
      <c r="O364" s="2">
        <v>440.03</v>
      </c>
      <c r="P364" s="2">
        <f t="shared" si="25"/>
        <v>14</v>
      </c>
      <c r="Q364" s="4">
        <f t="shared" si="26"/>
        <v>0.92349726775956287</v>
      </c>
      <c r="R364" s="2" t="str">
        <f t="shared" si="27"/>
        <v>Inefficient</v>
      </c>
      <c r="S364" s="2" t="str">
        <f t="shared" si="28"/>
        <v>Very Long</v>
      </c>
      <c r="T364" s="2" t="str">
        <f t="shared" si="29"/>
        <v>Minor Delay</v>
      </c>
    </row>
    <row r="365" spans="1:20" x14ac:dyDescent="0.35">
      <c r="A365" s="2" t="s">
        <v>900</v>
      </c>
      <c r="B365" s="2" t="s">
        <v>24</v>
      </c>
      <c r="C365" s="2" t="s">
        <v>901</v>
      </c>
      <c r="D365" s="2" t="s">
        <v>48</v>
      </c>
      <c r="E365" s="2" t="s">
        <v>19</v>
      </c>
      <c r="F365" s="2" t="s">
        <v>20</v>
      </c>
      <c r="G365" s="2" t="s">
        <v>669</v>
      </c>
      <c r="H365" s="3">
        <v>45296.345833333333</v>
      </c>
      <c r="I365" s="3">
        <v>45296.549305555556</v>
      </c>
      <c r="J365" s="2">
        <v>194</v>
      </c>
      <c r="K365" s="2">
        <v>293</v>
      </c>
      <c r="L365" s="2">
        <v>1</v>
      </c>
      <c r="M365" s="2" t="s">
        <v>22</v>
      </c>
      <c r="N365" s="2">
        <v>7</v>
      </c>
      <c r="O365" s="2">
        <v>340.72</v>
      </c>
      <c r="P365" s="2">
        <f t="shared" si="25"/>
        <v>99</v>
      </c>
      <c r="Q365" s="4">
        <f t="shared" si="26"/>
        <v>0.66211604095563137</v>
      </c>
      <c r="R365" s="2" t="str">
        <f t="shared" si="27"/>
        <v>Inefficient</v>
      </c>
      <c r="S365" s="2" t="str">
        <f t="shared" si="28"/>
        <v>Very Long</v>
      </c>
      <c r="T365" s="2" t="str">
        <f t="shared" si="29"/>
        <v>Major Delay</v>
      </c>
    </row>
    <row r="366" spans="1:20" x14ac:dyDescent="0.35">
      <c r="A366" s="2" t="s">
        <v>902</v>
      </c>
      <c r="B366" s="2" t="s">
        <v>16</v>
      </c>
      <c r="C366" s="2" t="s">
        <v>903</v>
      </c>
      <c r="D366" s="2" t="s">
        <v>56</v>
      </c>
      <c r="E366" s="2" t="s">
        <v>33</v>
      </c>
      <c r="F366" s="2" t="s">
        <v>34</v>
      </c>
      <c r="G366" s="2" t="s">
        <v>359</v>
      </c>
      <c r="H366" s="3">
        <v>45392.40347222222</v>
      </c>
      <c r="I366" s="3">
        <v>45392.540972222225</v>
      </c>
      <c r="J366" s="2">
        <v>141</v>
      </c>
      <c r="K366" s="2">
        <v>198</v>
      </c>
      <c r="L366" s="2">
        <v>1</v>
      </c>
      <c r="M366" s="2" t="s">
        <v>22</v>
      </c>
      <c r="N366" s="2">
        <v>1</v>
      </c>
      <c r="O366" s="2">
        <v>234.14</v>
      </c>
      <c r="P366" s="2">
        <f t="shared" si="25"/>
        <v>57</v>
      </c>
      <c r="Q366" s="4">
        <f t="shared" si="26"/>
        <v>0.71212121212121215</v>
      </c>
      <c r="R366" s="2" t="str">
        <f t="shared" si="27"/>
        <v>Inefficient</v>
      </c>
      <c r="S366" s="2" t="str">
        <f t="shared" si="28"/>
        <v>Very Long</v>
      </c>
      <c r="T366" s="2" t="str">
        <f t="shared" si="29"/>
        <v>Major Delay</v>
      </c>
    </row>
    <row r="367" spans="1:20" x14ac:dyDescent="0.35">
      <c r="A367" s="2" t="s">
        <v>904</v>
      </c>
      <c r="B367" s="2" t="s">
        <v>31</v>
      </c>
      <c r="C367" s="2" t="s">
        <v>905</v>
      </c>
      <c r="D367" s="2" t="s">
        <v>44</v>
      </c>
      <c r="E367" s="2" t="s">
        <v>19</v>
      </c>
      <c r="F367" s="2" t="s">
        <v>20</v>
      </c>
      <c r="G367" s="2" t="s">
        <v>111</v>
      </c>
      <c r="H367" s="3">
        <v>45593.842361111114</v>
      </c>
      <c r="I367" s="3">
        <v>45593.915277777778</v>
      </c>
      <c r="J367" s="2">
        <v>77</v>
      </c>
      <c r="K367" s="2">
        <v>105</v>
      </c>
      <c r="L367" s="2">
        <v>1</v>
      </c>
      <c r="M367" s="2" t="s">
        <v>22</v>
      </c>
      <c r="N367" s="2">
        <v>9</v>
      </c>
      <c r="O367" s="2">
        <v>82.7</v>
      </c>
      <c r="P367" s="2">
        <f t="shared" si="25"/>
        <v>28</v>
      </c>
      <c r="Q367" s="4">
        <f t="shared" si="26"/>
        <v>0.73333333333333328</v>
      </c>
      <c r="R367" s="2" t="str">
        <f t="shared" si="27"/>
        <v>Inefficient</v>
      </c>
      <c r="S367" s="2" t="str">
        <f t="shared" si="28"/>
        <v>Long</v>
      </c>
      <c r="T367" s="2" t="str">
        <f t="shared" si="29"/>
        <v>Minor Delay</v>
      </c>
    </row>
    <row r="368" spans="1:20" x14ac:dyDescent="0.35">
      <c r="A368" s="2" t="s">
        <v>906</v>
      </c>
      <c r="B368" s="2" t="s">
        <v>24</v>
      </c>
      <c r="C368" s="2" t="s">
        <v>907</v>
      </c>
      <c r="D368" s="2" t="s">
        <v>48</v>
      </c>
      <c r="E368" s="2" t="s">
        <v>85</v>
      </c>
      <c r="F368" s="2" t="s">
        <v>39</v>
      </c>
      <c r="G368" s="2" t="s">
        <v>35</v>
      </c>
      <c r="H368" s="3">
        <v>45612.556250000001</v>
      </c>
      <c r="I368" s="3">
        <v>45612.742361111108</v>
      </c>
      <c r="J368" s="2">
        <v>228</v>
      </c>
      <c r="K368" s="2">
        <v>268</v>
      </c>
      <c r="L368" s="2">
        <v>1</v>
      </c>
      <c r="M368" s="2" t="s">
        <v>22</v>
      </c>
      <c r="N368" s="2">
        <v>7</v>
      </c>
      <c r="O368" s="2">
        <v>343.92</v>
      </c>
      <c r="P368" s="2">
        <f t="shared" si="25"/>
        <v>40</v>
      </c>
      <c r="Q368" s="4">
        <f t="shared" si="26"/>
        <v>0.85074626865671643</v>
      </c>
      <c r="R368" s="2" t="str">
        <f t="shared" si="27"/>
        <v>Inefficient</v>
      </c>
      <c r="S368" s="2" t="str">
        <f t="shared" si="28"/>
        <v>Very Long</v>
      </c>
      <c r="T368" s="2" t="str">
        <f t="shared" si="29"/>
        <v>Major Delay</v>
      </c>
    </row>
    <row r="369" spans="1:20" x14ac:dyDescent="0.35">
      <c r="A369" s="2" t="s">
        <v>908</v>
      </c>
      <c r="B369" s="2" t="s">
        <v>51</v>
      </c>
      <c r="C369" s="2" t="s">
        <v>909</v>
      </c>
      <c r="D369" s="2" t="s">
        <v>26</v>
      </c>
      <c r="E369" s="2" t="s">
        <v>38</v>
      </c>
      <c r="F369" s="2" t="s">
        <v>27</v>
      </c>
      <c r="G369" s="2" t="s">
        <v>640</v>
      </c>
      <c r="H369" s="3">
        <v>45325.384027777778</v>
      </c>
      <c r="I369" s="3">
        <v>45325.553472222222</v>
      </c>
      <c r="J369" s="2">
        <v>220</v>
      </c>
      <c r="K369" s="2">
        <v>244</v>
      </c>
      <c r="L369" s="2">
        <v>1</v>
      </c>
      <c r="M369" s="2" t="s">
        <v>41</v>
      </c>
      <c r="N369" s="2">
        <v>5</v>
      </c>
      <c r="O369" s="2">
        <v>119.22</v>
      </c>
      <c r="P369" s="2">
        <f t="shared" si="25"/>
        <v>24</v>
      </c>
      <c r="Q369" s="4">
        <f t="shared" si="26"/>
        <v>0.90163934426229508</v>
      </c>
      <c r="R369" s="2" t="str">
        <f t="shared" si="27"/>
        <v>Inefficient</v>
      </c>
      <c r="S369" s="2" t="str">
        <f t="shared" si="28"/>
        <v>Very Long</v>
      </c>
      <c r="T369" s="2" t="str">
        <f t="shared" si="29"/>
        <v>Minor Delay</v>
      </c>
    </row>
    <row r="370" spans="1:20" x14ac:dyDescent="0.35">
      <c r="A370" s="2" t="s">
        <v>910</v>
      </c>
      <c r="B370" s="2" t="s">
        <v>63</v>
      </c>
      <c r="C370" s="2" t="s">
        <v>911</v>
      </c>
      <c r="D370" s="2" t="s">
        <v>44</v>
      </c>
      <c r="E370" s="2" t="s">
        <v>85</v>
      </c>
      <c r="F370" s="2" t="s">
        <v>34</v>
      </c>
      <c r="G370" s="2" t="s">
        <v>167</v>
      </c>
      <c r="H370" s="3">
        <v>45442.652777777781</v>
      </c>
      <c r="I370" s="3">
        <v>45442.818749999999</v>
      </c>
      <c r="J370" s="2">
        <v>197</v>
      </c>
      <c r="K370" s="2">
        <v>239</v>
      </c>
      <c r="L370" s="2">
        <v>1</v>
      </c>
      <c r="M370" s="2" t="s">
        <v>22</v>
      </c>
      <c r="N370" s="2">
        <v>9</v>
      </c>
      <c r="O370" s="2">
        <v>385.36</v>
      </c>
      <c r="P370" s="2">
        <f t="shared" si="25"/>
        <v>42</v>
      </c>
      <c r="Q370" s="4">
        <f t="shared" si="26"/>
        <v>0.82426778242677823</v>
      </c>
      <c r="R370" s="2" t="str">
        <f t="shared" si="27"/>
        <v>Inefficient</v>
      </c>
      <c r="S370" s="2" t="str">
        <f t="shared" si="28"/>
        <v>Very Long</v>
      </c>
      <c r="T370" s="2" t="str">
        <f t="shared" si="29"/>
        <v>Major Delay</v>
      </c>
    </row>
    <row r="371" spans="1:20" x14ac:dyDescent="0.35">
      <c r="A371" s="2" t="s">
        <v>912</v>
      </c>
      <c r="B371" s="2" t="s">
        <v>24</v>
      </c>
      <c r="C371" s="2" t="s">
        <v>913</v>
      </c>
      <c r="D371" s="2" t="s">
        <v>48</v>
      </c>
      <c r="E371" s="2" t="s">
        <v>33</v>
      </c>
      <c r="F371" s="2" t="s">
        <v>39</v>
      </c>
      <c r="G371" s="2" t="s">
        <v>170</v>
      </c>
      <c r="H371" s="3">
        <v>45550.109027777777</v>
      </c>
      <c r="I371" s="3">
        <v>45550.177083333336</v>
      </c>
      <c r="J371" s="2">
        <v>52</v>
      </c>
      <c r="K371" s="2">
        <v>98</v>
      </c>
      <c r="L371" s="2">
        <v>1</v>
      </c>
      <c r="M371" s="2" t="s">
        <v>22</v>
      </c>
      <c r="N371" s="2">
        <v>2</v>
      </c>
      <c r="O371" s="2">
        <v>52.77</v>
      </c>
      <c r="P371" s="2">
        <f t="shared" si="25"/>
        <v>46</v>
      </c>
      <c r="Q371" s="4">
        <f t="shared" si="26"/>
        <v>0.53061224489795922</v>
      </c>
      <c r="R371" s="2" t="str">
        <f t="shared" si="27"/>
        <v>Inefficient</v>
      </c>
      <c r="S371" s="2" t="str">
        <f t="shared" si="28"/>
        <v>Long</v>
      </c>
      <c r="T371" s="2" t="str">
        <f t="shared" si="29"/>
        <v>Major Delay</v>
      </c>
    </row>
    <row r="372" spans="1:20" x14ac:dyDescent="0.35">
      <c r="A372" s="2" t="s">
        <v>914</v>
      </c>
      <c r="B372" s="2" t="s">
        <v>16</v>
      </c>
      <c r="C372" s="2" t="s">
        <v>915</v>
      </c>
      <c r="D372" s="2" t="s">
        <v>26</v>
      </c>
      <c r="E372" s="2" t="s">
        <v>38</v>
      </c>
      <c r="F372" s="2" t="s">
        <v>39</v>
      </c>
      <c r="G372" s="2" t="s">
        <v>916</v>
      </c>
      <c r="H372" s="3">
        <v>45417.017361111109</v>
      </c>
      <c r="I372" s="3">
        <v>45417.18472222222</v>
      </c>
      <c r="J372" s="2">
        <v>180</v>
      </c>
      <c r="K372" s="2">
        <v>241</v>
      </c>
      <c r="L372" s="2">
        <v>1</v>
      </c>
      <c r="M372" s="2" t="s">
        <v>41</v>
      </c>
      <c r="N372" s="2">
        <v>6</v>
      </c>
      <c r="O372" s="2">
        <v>212.97</v>
      </c>
      <c r="P372" s="2">
        <f t="shared" si="25"/>
        <v>61</v>
      </c>
      <c r="Q372" s="4">
        <f t="shared" si="26"/>
        <v>0.74688796680497926</v>
      </c>
      <c r="R372" s="2" t="str">
        <f t="shared" si="27"/>
        <v>Inefficient</v>
      </c>
      <c r="S372" s="2" t="str">
        <f t="shared" si="28"/>
        <v>Very Long</v>
      </c>
      <c r="T372" s="2" t="str">
        <f t="shared" si="29"/>
        <v>Major Delay</v>
      </c>
    </row>
    <row r="373" spans="1:20" x14ac:dyDescent="0.35">
      <c r="A373" s="2" t="s">
        <v>917</v>
      </c>
      <c r="B373" s="2" t="s">
        <v>24</v>
      </c>
      <c r="C373" s="2" t="s">
        <v>918</v>
      </c>
      <c r="D373" s="2" t="s">
        <v>44</v>
      </c>
      <c r="E373" s="2" t="s">
        <v>19</v>
      </c>
      <c r="F373" s="2" t="s">
        <v>34</v>
      </c>
      <c r="G373" s="2" t="s">
        <v>316</v>
      </c>
      <c r="H373" s="3">
        <v>45329.651388888888</v>
      </c>
      <c r="I373" s="3">
        <v>45329.763194444444</v>
      </c>
      <c r="J373" s="2">
        <v>117</v>
      </c>
      <c r="K373" s="2">
        <v>161</v>
      </c>
      <c r="L373" s="2">
        <v>1</v>
      </c>
      <c r="M373" s="2" t="s">
        <v>22</v>
      </c>
      <c r="N373" s="2">
        <v>7</v>
      </c>
      <c r="O373" s="2">
        <v>185.41</v>
      </c>
      <c r="P373" s="2">
        <f t="shared" si="25"/>
        <v>44</v>
      </c>
      <c r="Q373" s="4">
        <f t="shared" si="26"/>
        <v>0.72670807453416153</v>
      </c>
      <c r="R373" s="2" t="str">
        <f t="shared" si="27"/>
        <v>Inefficient</v>
      </c>
      <c r="S373" s="2" t="str">
        <f t="shared" si="28"/>
        <v>Very Long</v>
      </c>
      <c r="T373" s="2" t="str">
        <f t="shared" si="29"/>
        <v>Major Delay</v>
      </c>
    </row>
    <row r="374" spans="1:20" x14ac:dyDescent="0.35">
      <c r="A374" s="2" t="s">
        <v>919</v>
      </c>
      <c r="B374" s="2" t="s">
        <v>16</v>
      </c>
      <c r="C374" s="2" t="s">
        <v>920</v>
      </c>
      <c r="D374" s="2" t="s">
        <v>44</v>
      </c>
      <c r="E374" s="2" t="s">
        <v>33</v>
      </c>
      <c r="F374" s="2" t="s">
        <v>57</v>
      </c>
      <c r="G374" s="2" t="s">
        <v>640</v>
      </c>
      <c r="H374" s="3">
        <v>45333.75</v>
      </c>
      <c r="I374" s="3">
        <v>45333.807638888888</v>
      </c>
      <c r="J374" s="2">
        <v>47</v>
      </c>
      <c r="K374" s="2">
        <v>83</v>
      </c>
      <c r="L374" s="2">
        <v>1</v>
      </c>
      <c r="M374" s="2" t="s">
        <v>29</v>
      </c>
      <c r="N374" s="2">
        <v>5</v>
      </c>
      <c r="O374" s="2">
        <v>354.78</v>
      </c>
      <c r="P374" s="2">
        <f t="shared" si="25"/>
        <v>36</v>
      </c>
      <c r="Q374" s="4">
        <f t="shared" si="26"/>
        <v>0.5662650602409639</v>
      </c>
      <c r="R374" s="2" t="str">
        <f t="shared" si="27"/>
        <v>Inefficient</v>
      </c>
      <c r="S374" s="2" t="str">
        <f t="shared" si="28"/>
        <v>Long</v>
      </c>
      <c r="T374" s="2" t="str">
        <f t="shared" si="29"/>
        <v>Major Delay</v>
      </c>
    </row>
    <row r="375" spans="1:20" x14ac:dyDescent="0.35">
      <c r="A375" s="2" t="s">
        <v>921</v>
      </c>
      <c r="B375" s="2" t="s">
        <v>24</v>
      </c>
      <c r="C375" s="2" t="s">
        <v>922</v>
      </c>
      <c r="D375" s="2" t="s">
        <v>44</v>
      </c>
      <c r="E375" s="2" t="s">
        <v>85</v>
      </c>
      <c r="F375" s="2" t="s">
        <v>34</v>
      </c>
      <c r="G375" s="2" t="s">
        <v>916</v>
      </c>
      <c r="H375" s="3">
        <v>45338.207638888889</v>
      </c>
      <c r="I375" s="3">
        <v>45338.438888888886</v>
      </c>
      <c r="J375" s="2">
        <v>234</v>
      </c>
      <c r="K375" s="2">
        <v>333</v>
      </c>
      <c r="L375" s="2">
        <v>1</v>
      </c>
      <c r="M375" s="2" t="s">
        <v>29</v>
      </c>
      <c r="N375" s="2">
        <v>1</v>
      </c>
      <c r="O375" s="2">
        <v>270.88</v>
      </c>
      <c r="P375" s="2">
        <f t="shared" si="25"/>
        <v>99</v>
      </c>
      <c r="Q375" s="4">
        <f t="shared" si="26"/>
        <v>0.70270270270270274</v>
      </c>
      <c r="R375" s="2" t="str">
        <f t="shared" si="27"/>
        <v>Inefficient</v>
      </c>
      <c r="S375" s="2" t="str">
        <f t="shared" si="28"/>
        <v>Very Long</v>
      </c>
      <c r="T375" s="2" t="str">
        <f t="shared" si="29"/>
        <v>Major Delay</v>
      </c>
    </row>
    <row r="376" spans="1:20" x14ac:dyDescent="0.35">
      <c r="A376" s="2" t="s">
        <v>923</v>
      </c>
      <c r="B376" s="2" t="s">
        <v>16</v>
      </c>
      <c r="C376" s="2" t="s">
        <v>924</v>
      </c>
      <c r="D376" s="2" t="s">
        <v>26</v>
      </c>
      <c r="E376" s="2" t="s">
        <v>33</v>
      </c>
      <c r="F376" s="2" t="s">
        <v>39</v>
      </c>
      <c r="G376" s="2" t="s">
        <v>485</v>
      </c>
      <c r="H376" s="3">
        <v>45462.168055555558</v>
      </c>
      <c r="I376" s="3">
        <v>45462.344444444447</v>
      </c>
      <c r="J376" s="2">
        <v>176</v>
      </c>
      <c r="K376" s="2">
        <v>254</v>
      </c>
      <c r="L376" s="2">
        <v>1</v>
      </c>
      <c r="M376" s="2" t="s">
        <v>22</v>
      </c>
      <c r="N376" s="2">
        <v>2</v>
      </c>
      <c r="O376" s="2">
        <v>215.19</v>
      </c>
      <c r="P376" s="2">
        <f t="shared" si="25"/>
        <v>78</v>
      </c>
      <c r="Q376" s="4">
        <f t="shared" si="26"/>
        <v>0.69291338582677164</v>
      </c>
      <c r="R376" s="2" t="str">
        <f t="shared" si="27"/>
        <v>Inefficient</v>
      </c>
      <c r="S376" s="2" t="str">
        <f t="shared" si="28"/>
        <v>Very Long</v>
      </c>
      <c r="T376" s="2" t="str">
        <f t="shared" si="29"/>
        <v>Major Delay</v>
      </c>
    </row>
    <row r="377" spans="1:20" x14ac:dyDescent="0.35">
      <c r="A377" s="2" t="s">
        <v>925</v>
      </c>
      <c r="B377" s="2" t="s">
        <v>16</v>
      </c>
      <c r="C377" s="2" t="s">
        <v>926</v>
      </c>
      <c r="D377" s="2" t="s">
        <v>26</v>
      </c>
      <c r="E377" s="2" t="s">
        <v>19</v>
      </c>
      <c r="F377" s="2" t="s">
        <v>34</v>
      </c>
      <c r="G377" s="2" t="s">
        <v>853</v>
      </c>
      <c r="H377" s="3">
        <v>45634.447916666664</v>
      </c>
      <c r="I377" s="3">
        <v>45634.559027777781</v>
      </c>
      <c r="J377" s="2">
        <v>74</v>
      </c>
      <c r="K377" s="2">
        <v>160</v>
      </c>
      <c r="L377" s="2">
        <v>1</v>
      </c>
      <c r="M377" s="2" t="s">
        <v>22</v>
      </c>
      <c r="N377" s="2">
        <v>7</v>
      </c>
      <c r="O377" s="2">
        <v>398.96</v>
      </c>
      <c r="P377" s="2">
        <f t="shared" si="25"/>
        <v>86</v>
      </c>
      <c r="Q377" s="4">
        <f t="shared" si="26"/>
        <v>0.46250000000000002</v>
      </c>
      <c r="R377" s="2" t="str">
        <f t="shared" si="27"/>
        <v>Inefficient</v>
      </c>
      <c r="S377" s="2" t="str">
        <f t="shared" si="28"/>
        <v>Very Long</v>
      </c>
      <c r="T377" s="2" t="str">
        <f t="shared" si="29"/>
        <v>Major Delay</v>
      </c>
    </row>
    <row r="378" spans="1:20" x14ac:dyDescent="0.35">
      <c r="A378" s="2" t="s">
        <v>927</v>
      </c>
      <c r="B378" s="2" t="s">
        <v>51</v>
      </c>
      <c r="C378" s="2" t="s">
        <v>928</v>
      </c>
      <c r="D378" s="2" t="s">
        <v>18</v>
      </c>
      <c r="E378" s="2" t="s">
        <v>33</v>
      </c>
      <c r="F378" s="2" t="s">
        <v>39</v>
      </c>
      <c r="G378" s="2" t="s">
        <v>170</v>
      </c>
      <c r="H378" s="3">
        <v>45438.501388888886</v>
      </c>
      <c r="I378" s="3">
        <v>45438.669444444444</v>
      </c>
      <c r="J378" s="2">
        <v>211</v>
      </c>
      <c r="K378" s="2">
        <v>242</v>
      </c>
      <c r="L378" s="2">
        <v>1</v>
      </c>
      <c r="M378" s="2" t="s">
        <v>41</v>
      </c>
      <c r="N378" s="2">
        <v>4</v>
      </c>
      <c r="O378" s="2">
        <v>478.13</v>
      </c>
      <c r="P378" s="2">
        <f t="shared" si="25"/>
        <v>31</v>
      </c>
      <c r="Q378" s="4">
        <f t="shared" si="26"/>
        <v>0.87190082644628097</v>
      </c>
      <c r="R378" s="2" t="str">
        <f t="shared" si="27"/>
        <v>Inefficient</v>
      </c>
      <c r="S378" s="2" t="str">
        <f t="shared" si="28"/>
        <v>Very Long</v>
      </c>
      <c r="T378" s="2" t="str">
        <f t="shared" si="29"/>
        <v>Major Delay</v>
      </c>
    </row>
    <row r="379" spans="1:20" x14ac:dyDescent="0.35">
      <c r="A379" s="2" t="s">
        <v>929</v>
      </c>
      <c r="B379" s="2" t="s">
        <v>31</v>
      </c>
      <c r="C379" s="2" t="s">
        <v>930</v>
      </c>
      <c r="D379" s="2" t="s">
        <v>56</v>
      </c>
      <c r="E379" s="2" t="s">
        <v>19</v>
      </c>
      <c r="F379" s="2" t="s">
        <v>20</v>
      </c>
      <c r="G379" s="2" t="s">
        <v>49</v>
      </c>
      <c r="H379" s="3">
        <v>45343.557638888888</v>
      </c>
      <c r="I379" s="3">
        <v>45343.626388888886</v>
      </c>
      <c r="J379" s="2">
        <v>101</v>
      </c>
      <c r="K379" s="2">
        <v>99</v>
      </c>
      <c r="L379" s="2">
        <v>0</v>
      </c>
      <c r="M379" s="2" t="s">
        <v>22</v>
      </c>
      <c r="N379" s="2">
        <v>9</v>
      </c>
      <c r="O379" s="2">
        <v>129.22999999999999</v>
      </c>
      <c r="P379" s="2">
        <f t="shared" si="25"/>
        <v>-2</v>
      </c>
      <c r="Q379" s="4">
        <f t="shared" si="26"/>
        <v>1.0202020202020201</v>
      </c>
      <c r="R379" s="2" t="str">
        <f t="shared" si="27"/>
        <v>Efficient</v>
      </c>
      <c r="S379" s="2" t="str">
        <f t="shared" si="28"/>
        <v>Long</v>
      </c>
      <c r="T379" s="2" t="str">
        <f t="shared" si="29"/>
        <v>On Time</v>
      </c>
    </row>
    <row r="380" spans="1:20" x14ac:dyDescent="0.35">
      <c r="A380" s="2" t="s">
        <v>931</v>
      </c>
      <c r="B380" s="2" t="s">
        <v>16</v>
      </c>
      <c r="C380" s="2" t="s">
        <v>932</v>
      </c>
      <c r="D380" s="2" t="s">
        <v>56</v>
      </c>
      <c r="E380" s="2" t="s">
        <v>33</v>
      </c>
      <c r="F380" s="2" t="s">
        <v>57</v>
      </c>
      <c r="G380" s="2" t="s">
        <v>376</v>
      </c>
      <c r="H380" s="3">
        <v>45513.413194444445</v>
      </c>
      <c r="I380" s="3">
        <v>45513.428472222222</v>
      </c>
      <c r="J380" s="2">
        <v>12</v>
      </c>
      <c r="K380" s="2">
        <v>22</v>
      </c>
      <c r="L380" s="2">
        <v>1</v>
      </c>
      <c r="M380" s="2" t="s">
        <v>29</v>
      </c>
      <c r="N380" s="2">
        <v>1</v>
      </c>
      <c r="O380" s="2">
        <v>431.8</v>
      </c>
      <c r="P380" s="2">
        <f t="shared" si="25"/>
        <v>10</v>
      </c>
      <c r="Q380" s="4">
        <f t="shared" si="26"/>
        <v>0.54545454545454541</v>
      </c>
      <c r="R380" s="2" t="str">
        <f t="shared" si="27"/>
        <v>Inefficient</v>
      </c>
      <c r="S380" s="2" t="str">
        <f t="shared" si="28"/>
        <v>Short</v>
      </c>
      <c r="T380" s="2" t="str">
        <f t="shared" si="29"/>
        <v>Minor Delay</v>
      </c>
    </row>
    <row r="381" spans="1:20" x14ac:dyDescent="0.35">
      <c r="A381" s="2" t="s">
        <v>933</v>
      </c>
      <c r="B381" s="2" t="s">
        <v>31</v>
      </c>
      <c r="C381" s="2" t="s">
        <v>934</v>
      </c>
      <c r="D381" s="2" t="s">
        <v>48</v>
      </c>
      <c r="E381" s="2" t="s">
        <v>38</v>
      </c>
      <c r="F381" s="2" t="s">
        <v>39</v>
      </c>
      <c r="G381" s="2" t="s">
        <v>210</v>
      </c>
      <c r="H381" s="3">
        <v>45515.227777777778</v>
      </c>
      <c r="I381" s="3">
        <v>45515.316666666666</v>
      </c>
      <c r="J381" s="2">
        <v>88</v>
      </c>
      <c r="K381" s="2">
        <v>128</v>
      </c>
      <c r="L381" s="2">
        <v>1</v>
      </c>
      <c r="M381" s="2" t="s">
        <v>41</v>
      </c>
      <c r="N381" s="2">
        <v>10</v>
      </c>
      <c r="O381" s="2">
        <v>118.51</v>
      </c>
      <c r="P381" s="2">
        <f t="shared" si="25"/>
        <v>40</v>
      </c>
      <c r="Q381" s="4">
        <f t="shared" si="26"/>
        <v>0.6875</v>
      </c>
      <c r="R381" s="2" t="str">
        <f t="shared" si="27"/>
        <v>Inefficient</v>
      </c>
      <c r="S381" s="2" t="str">
        <f t="shared" si="28"/>
        <v>Very Long</v>
      </c>
      <c r="T381" s="2" t="str">
        <f t="shared" si="29"/>
        <v>Major Delay</v>
      </c>
    </row>
    <row r="382" spans="1:20" x14ac:dyDescent="0.35">
      <c r="A382" s="2" t="s">
        <v>935</v>
      </c>
      <c r="B382" s="2" t="s">
        <v>16</v>
      </c>
      <c r="C382" s="2" t="s">
        <v>936</v>
      </c>
      <c r="D382" s="2" t="s">
        <v>18</v>
      </c>
      <c r="E382" s="2" t="s">
        <v>85</v>
      </c>
      <c r="F382" s="2" t="s">
        <v>57</v>
      </c>
      <c r="G382" s="2" t="s">
        <v>120</v>
      </c>
      <c r="H382" s="3">
        <v>45648.441666666666</v>
      </c>
      <c r="I382" s="3">
        <v>45648.622916666667</v>
      </c>
      <c r="J382" s="2">
        <v>235</v>
      </c>
      <c r="K382" s="2">
        <v>261</v>
      </c>
      <c r="L382" s="2">
        <v>1</v>
      </c>
      <c r="M382" s="2" t="s">
        <v>22</v>
      </c>
      <c r="N382" s="2">
        <v>4</v>
      </c>
      <c r="O382" s="2">
        <v>116.52</v>
      </c>
      <c r="P382" s="2">
        <f t="shared" si="25"/>
        <v>26</v>
      </c>
      <c r="Q382" s="4">
        <f t="shared" si="26"/>
        <v>0.90038314176245215</v>
      </c>
      <c r="R382" s="2" t="str">
        <f t="shared" si="27"/>
        <v>Inefficient</v>
      </c>
      <c r="S382" s="2" t="str">
        <f t="shared" si="28"/>
        <v>Very Long</v>
      </c>
      <c r="T382" s="2" t="str">
        <f t="shared" si="29"/>
        <v>Minor Delay</v>
      </c>
    </row>
    <row r="383" spans="1:20" x14ac:dyDescent="0.35">
      <c r="A383" s="2" t="s">
        <v>937</v>
      </c>
      <c r="B383" s="2" t="s">
        <v>24</v>
      </c>
      <c r="C383" s="2" t="s">
        <v>938</v>
      </c>
      <c r="D383" s="2" t="s">
        <v>48</v>
      </c>
      <c r="E383" s="2" t="s">
        <v>85</v>
      </c>
      <c r="F383" s="2" t="s">
        <v>57</v>
      </c>
      <c r="G383" s="2" t="s">
        <v>94</v>
      </c>
      <c r="H383" s="3">
        <v>45340.649305555555</v>
      </c>
      <c r="I383" s="3">
        <v>45340.745138888888</v>
      </c>
      <c r="J383" s="2">
        <v>133</v>
      </c>
      <c r="K383" s="2">
        <v>138</v>
      </c>
      <c r="L383" s="2">
        <v>1</v>
      </c>
      <c r="M383" s="2" t="s">
        <v>22</v>
      </c>
      <c r="N383" s="2">
        <v>8</v>
      </c>
      <c r="O383" s="2">
        <v>264.39</v>
      </c>
      <c r="P383" s="2">
        <f t="shared" si="25"/>
        <v>5</v>
      </c>
      <c r="Q383" s="4">
        <f t="shared" si="26"/>
        <v>0.96376811594202894</v>
      </c>
      <c r="R383" s="2" t="str">
        <f t="shared" si="27"/>
        <v>Inefficient</v>
      </c>
      <c r="S383" s="2" t="str">
        <f t="shared" si="28"/>
        <v>Very Long</v>
      </c>
      <c r="T383" s="2" t="str">
        <f t="shared" si="29"/>
        <v>Minor Delay</v>
      </c>
    </row>
    <row r="384" spans="1:20" x14ac:dyDescent="0.35">
      <c r="A384" s="2" t="s">
        <v>939</v>
      </c>
      <c r="B384" s="2" t="s">
        <v>16</v>
      </c>
      <c r="C384" s="2" t="s">
        <v>940</v>
      </c>
      <c r="D384" s="2" t="s">
        <v>44</v>
      </c>
      <c r="E384" s="2" t="s">
        <v>33</v>
      </c>
      <c r="F384" s="2" t="s">
        <v>27</v>
      </c>
      <c r="G384" s="2" t="s">
        <v>28</v>
      </c>
      <c r="H384" s="3">
        <v>45337.436111111114</v>
      </c>
      <c r="I384" s="3">
        <v>45337.508333333331</v>
      </c>
      <c r="J384" s="2">
        <v>70</v>
      </c>
      <c r="K384" s="2">
        <v>104</v>
      </c>
      <c r="L384" s="2">
        <v>1</v>
      </c>
      <c r="M384" s="2" t="s">
        <v>41</v>
      </c>
      <c r="N384" s="2">
        <v>1</v>
      </c>
      <c r="O384" s="2">
        <v>233.89</v>
      </c>
      <c r="P384" s="2">
        <f t="shared" si="25"/>
        <v>34</v>
      </c>
      <c r="Q384" s="4">
        <f t="shared" si="26"/>
        <v>0.67307692307692313</v>
      </c>
      <c r="R384" s="2" t="str">
        <f t="shared" si="27"/>
        <v>Inefficient</v>
      </c>
      <c r="S384" s="2" t="str">
        <f t="shared" si="28"/>
        <v>Long</v>
      </c>
      <c r="T384" s="2" t="str">
        <f t="shared" si="29"/>
        <v>Major Delay</v>
      </c>
    </row>
    <row r="385" spans="1:20" x14ac:dyDescent="0.35">
      <c r="A385" s="2" t="s">
        <v>941</v>
      </c>
      <c r="B385" s="2" t="s">
        <v>31</v>
      </c>
      <c r="C385" s="2" t="s">
        <v>942</v>
      </c>
      <c r="D385" s="2" t="s">
        <v>56</v>
      </c>
      <c r="E385" s="2" t="s">
        <v>38</v>
      </c>
      <c r="F385" s="2" t="s">
        <v>57</v>
      </c>
      <c r="G385" s="2" t="s">
        <v>73</v>
      </c>
      <c r="H385" s="3">
        <v>45329.494444444441</v>
      </c>
      <c r="I385" s="3">
        <v>45329.693055555559</v>
      </c>
      <c r="J385" s="2">
        <v>192</v>
      </c>
      <c r="K385" s="2">
        <v>286</v>
      </c>
      <c r="L385" s="2">
        <v>1</v>
      </c>
      <c r="M385" s="2" t="s">
        <v>29</v>
      </c>
      <c r="N385" s="2">
        <v>9</v>
      </c>
      <c r="O385" s="2">
        <v>165.96</v>
      </c>
      <c r="P385" s="2">
        <f t="shared" si="25"/>
        <v>94</v>
      </c>
      <c r="Q385" s="4">
        <f t="shared" si="26"/>
        <v>0.67132867132867136</v>
      </c>
      <c r="R385" s="2" t="str">
        <f t="shared" si="27"/>
        <v>Inefficient</v>
      </c>
      <c r="S385" s="2" t="str">
        <f t="shared" si="28"/>
        <v>Very Long</v>
      </c>
      <c r="T385" s="2" t="str">
        <f t="shared" si="29"/>
        <v>Major Delay</v>
      </c>
    </row>
    <row r="386" spans="1:20" x14ac:dyDescent="0.35">
      <c r="A386" s="2" t="s">
        <v>943</v>
      </c>
      <c r="B386" s="2" t="s">
        <v>31</v>
      </c>
      <c r="C386" s="2" t="s">
        <v>944</v>
      </c>
      <c r="D386" s="2" t="s">
        <v>56</v>
      </c>
      <c r="E386" s="2" t="s">
        <v>85</v>
      </c>
      <c r="F386" s="2" t="s">
        <v>39</v>
      </c>
      <c r="G386" s="2" t="s">
        <v>311</v>
      </c>
      <c r="H386" s="3">
        <v>45322.413888888892</v>
      </c>
      <c r="I386" s="3">
        <v>45322.6</v>
      </c>
      <c r="J386" s="2">
        <v>201</v>
      </c>
      <c r="K386" s="2">
        <v>268</v>
      </c>
      <c r="L386" s="2">
        <v>1</v>
      </c>
      <c r="M386" s="2" t="s">
        <v>41</v>
      </c>
      <c r="N386" s="2">
        <v>4</v>
      </c>
      <c r="O386" s="2">
        <v>286.62</v>
      </c>
      <c r="P386" s="2">
        <f t="shared" si="25"/>
        <v>67</v>
      </c>
      <c r="Q386" s="4">
        <f t="shared" si="26"/>
        <v>0.75</v>
      </c>
      <c r="R386" s="2" t="str">
        <f t="shared" si="27"/>
        <v>Inefficient</v>
      </c>
      <c r="S386" s="2" t="str">
        <f t="shared" si="28"/>
        <v>Very Long</v>
      </c>
      <c r="T386" s="2" t="str">
        <f t="shared" si="29"/>
        <v>Major Delay</v>
      </c>
    </row>
    <row r="387" spans="1:20" x14ac:dyDescent="0.35">
      <c r="A387" s="2" t="s">
        <v>945</v>
      </c>
      <c r="B387" s="2" t="s">
        <v>63</v>
      </c>
      <c r="C387" s="2" t="s">
        <v>946</v>
      </c>
      <c r="D387" s="2" t="s">
        <v>44</v>
      </c>
      <c r="E387" s="2" t="s">
        <v>33</v>
      </c>
      <c r="F387" s="2" t="s">
        <v>20</v>
      </c>
      <c r="G387" s="2" t="s">
        <v>120</v>
      </c>
      <c r="H387" s="3">
        <v>45628.109027777777</v>
      </c>
      <c r="I387" s="3">
        <v>45628.269444444442</v>
      </c>
      <c r="J387" s="2">
        <v>222</v>
      </c>
      <c r="K387" s="2">
        <v>231</v>
      </c>
      <c r="L387" s="2">
        <v>1</v>
      </c>
      <c r="M387" s="2" t="s">
        <v>29</v>
      </c>
      <c r="N387" s="2">
        <v>7</v>
      </c>
      <c r="O387" s="2">
        <v>219.35</v>
      </c>
      <c r="P387" s="2">
        <f t="shared" ref="P387:P450" si="30">K387-J387</f>
        <v>9</v>
      </c>
      <c r="Q387" s="4">
        <f t="shared" ref="Q387:Q450" si="31">J387/K387</f>
        <v>0.96103896103896103</v>
      </c>
      <c r="R387" s="2" t="str">
        <f t="shared" ref="R387:R450" si="32">IF(Q387&gt;1,"Efficient",
IF(Q387=1,"On Target","Inefficient"))</f>
        <v>Inefficient</v>
      </c>
      <c r="S387" s="2" t="str">
        <f t="shared" ref="S387:S450" si="33">IF(K387&lt;30,"Short",
IF(K387&lt;60,"Medium",
IF(K387&lt;120,"Long","Very Long")))</f>
        <v>Very Long</v>
      </c>
      <c r="T387" s="2" t="str">
        <f t="shared" ref="T387:T450" si="34">IF(K387&lt;=J387,"On Time",
IF(K387-J387&lt;=30,"Minor Delay","Major Delay"))</f>
        <v>Minor Delay</v>
      </c>
    </row>
    <row r="388" spans="1:20" x14ac:dyDescent="0.35">
      <c r="A388" s="2" t="s">
        <v>947</v>
      </c>
      <c r="B388" s="2" t="s">
        <v>51</v>
      </c>
      <c r="C388" s="2" t="s">
        <v>948</v>
      </c>
      <c r="D388" s="2" t="s">
        <v>18</v>
      </c>
      <c r="E388" s="2" t="s">
        <v>85</v>
      </c>
      <c r="F388" s="2" t="s">
        <v>27</v>
      </c>
      <c r="G388" s="2" t="s">
        <v>296</v>
      </c>
      <c r="H388" s="3">
        <v>45367.03125</v>
      </c>
      <c r="I388" s="3">
        <v>45367.195833333331</v>
      </c>
      <c r="J388" s="2">
        <v>208</v>
      </c>
      <c r="K388" s="2">
        <v>237</v>
      </c>
      <c r="L388" s="2">
        <v>1</v>
      </c>
      <c r="M388" s="2" t="s">
        <v>29</v>
      </c>
      <c r="N388" s="2">
        <v>9</v>
      </c>
      <c r="O388" s="2">
        <v>437.83</v>
      </c>
      <c r="P388" s="2">
        <f t="shared" si="30"/>
        <v>29</v>
      </c>
      <c r="Q388" s="4">
        <f t="shared" si="31"/>
        <v>0.87763713080168781</v>
      </c>
      <c r="R388" s="2" t="str">
        <f t="shared" si="32"/>
        <v>Inefficient</v>
      </c>
      <c r="S388" s="2" t="str">
        <f t="shared" si="33"/>
        <v>Very Long</v>
      </c>
      <c r="T388" s="2" t="str">
        <f t="shared" si="34"/>
        <v>Minor Delay</v>
      </c>
    </row>
    <row r="389" spans="1:20" x14ac:dyDescent="0.35">
      <c r="A389" s="2" t="s">
        <v>949</v>
      </c>
      <c r="B389" s="2" t="s">
        <v>63</v>
      </c>
      <c r="C389" s="2" t="s">
        <v>950</v>
      </c>
      <c r="D389" s="2" t="s">
        <v>26</v>
      </c>
      <c r="E389" s="2" t="s">
        <v>33</v>
      </c>
      <c r="F389" s="2" t="s">
        <v>27</v>
      </c>
      <c r="G389" s="2" t="s">
        <v>129</v>
      </c>
      <c r="H389" s="3">
        <v>45513.106249999997</v>
      </c>
      <c r="I389" s="3">
        <v>45513.262499999997</v>
      </c>
      <c r="J389" s="2">
        <v>190</v>
      </c>
      <c r="K389" s="2">
        <v>225</v>
      </c>
      <c r="L389" s="2">
        <v>1</v>
      </c>
      <c r="M389" s="2" t="s">
        <v>22</v>
      </c>
      <c r="N389" s="2">
        <v>1</v>
      </c>
      <c r="O389" s="2">
        <v>305.02</v>
      </c>
      <c r="P389" s="2">
        <f t="shared" si="30"/>
        <v>35</v>
      </c>
      <c r="Q389" s="4">
        <f t="shared" si="31"/>
        <v>0.84444444444444444</v>
      </c>
      <c r="R389" s="2" t="str">
        <f t="shared" si="32"/>
        <v>Inefficient</v>
      </c>
      <c r="S389" s="2" t="str">
        <f t="shared" si="33"/>
        <v>Very Long</v>
      </c>
      <c r="T389" s="2" t="str">
        <f t="shared" si="34"/>
        <v>Major Delay</v>
      </c>
    </row>
    <row r="390" spans="1:20" x14ac:dyDescent="0.35">
      <c r="A390" s="2" t="s">
        <v>951</v>
      </c>
      <c r="B390" s="2" t="s">
        <v>31</v>
      </c>
      <c r="C390" s="2" t="s">
        <v>952</v>
      </c>
      <c r="D390" s="2" t="s">
        <v>48</v>
      </c>
      <c r="E390" s="2" t="s">
        <v>19</v>
      </c>
      <c r="F390" s="2" t="s">
        <v>27</v>
      </c>
      <c r="G390" s="2" t="s">
        <v>415</v>
      </c>
      <c r="H390" s="3">
        <v>45384.763194444444</v>
      </c>
      <c r="I390" s="3">
        <v>45384.97152777778</v>
      </c>
      <c r="J390" s="2">
        <v>192</v>
      </c>
      <c r="K390" s="2">
        <v>300</v>
      </c>
      <c r="L390" s="2">
        <v>1</v>
      </c>
      <c r="M390" s="2" t="s">
        <v>41</v>
      </c>
      <c r="N390" s="2">
        <v>3</v>
      </c>
      <c r="O390" s="2">
        <v>114.58</v>
      </c>
      <c r="P390" s="2">
        <f t="shared" si="30"/>
        <v>108</v>
      </c>
      <c r="Q390" s="4">
        <f t="shared" si="31"/>
        <v>0.64</v>
      </c>
      <c r="R390" s="2" t="str">
        <f t="shared" si="32"/>
        <v>Inefficient</v>
      </c>
      <c r="S390" s="2" t="str">
        <f t="shared" si="33"/>
        <v>Very Long</v>
      </c>
      <c r="T390" s="2" t="str">
        <f t="shared" si="34"/>
        <v>Major Delay</v>
      </c>
    </row>
    <row r="391" spans="1:20" x14ac:dyDescent="0.35">
      <c r="A391" s="2" t="s">
        <v>953</v>
      </c>
      <c r="B391" s="2" t="s">
        <v>24</v>
      </c>
      <c r="C391" s="2" t="s">
        <v>954</v>
      </c>
      <c r="D391" s="2" t="s">
        <v>44</v>
      </c>
      <c r="E391" s="2" t="s">
        <v>85</v>
      </c>
      <c r="F391" s="2" t="s">
        <v>34</v>
      </c>
      <c r="G391" s="2" t="s">
        <v>684</v>
      </c>
      <c r="H391" s="3">
        <v>45622.020138888889</v>
      </c>
      <c r="I391" s="3">
        <v>45622.147916666669</v>
      </c>
      <c r="J391" s="2">
        <v>97</v>
      </c>
      <c r="K391" s="2">
        <v>184</v>
      </c>
      <c r="L391" s="2">
        <v>1</v>
      </c>
      <c r="M391" s="2" t="s">
        <v>29</v>
      </c>
      <c r="N391" s="2">
        <v>2</v>
      </c>
      <c r="O391" s="2">
        <v>113.79</v>
      </c>
      <c r="P391" s="2">
        <f t="shared" si="30"/>
        <v>87</v>
      </c>
      <c r="Q391" s="4">
        <f t="shared" si="31"/>
        <v>0.52717391304347827</v>
      </c>
      <c r="R391" s="2" t="str">
        <f t="shared" si="32"/>
        <v>Inefficient</v>
      </c>
      <c r="S391" s="2" t="str">
        <f t="shared" si="33"/>
        <v>Very Long</v>
      </c>
      <c r="T391" s="2" t="str">
        <f t="shared" si="34"/>
        <v>Major Delay</v>
      </c>
    </row>
    <row r="392" spans="1:20" x14ac:dyDescent="0.35">
      <c r="A392" s="2" t="s">
        <v>955</v>
      </c>
      <c r="B392" s="2" t="s">
        <v>16</v>
      </c>
      <c r="C392" s="2" t="s">
        <v>956</v>
      </c>
      <c r="D392" s="2" t="s">
        <v>48</v>
      </c>
      <c r="E392" s="2" t="s">
        <v>33</v>
      </c>
      <c r="F392" s="2" t="s">
        <v>27</v>
      </c>
      <c r="G392" s="2" t="s">
        <v>143</v>
      </c>
      <c r="H392" s="3">
        <v>45447.852777777778</v>
      </c>
      <c r="I392" s="3">
        <v>45447.939583333333</v>
      </c>
      <c r="J392" s="2">
        <v>60</v>
      </c>
      <c r="K392" s="2">
        <v>125</v>
      </c>
      <c r="L392" s="2">
        <v>1</v>
      </c>
      <c r="M392" s="2" t="s">
        <v>22</v>
      </c>
      <c r="N392" s="2">
        <v>4</v>
      </c>
      <c r="O392" s="2">
        <v>455.54</v>
      </c>
      <c r="P392" s="2">
        <f t="shared" si="30"/>
        <v>65</v>
      </c>
      <c r="Q392" s="4">
        <f t="shared" si="31"/>
        <v>0.48</v>
      </c>
      <c r="R392" s="2" t="str">
        <f t="shared" si="32"/>
        <v>Inefficient</v>
      </c>
      <c r="S392" s="2" t="str">
        <f t="shared" si="33"/>
        <v>Very Long</v>
      </c>
      <c r="T392" s="2" t="str">
        <f t="shared" si="34"/>
        <v>Major Delay</v>
      </c>
    </row>
    <row r="393" spans="1:20" x14ac:dyDescent="0.35">
      <c r="A393" s="2" t="s">
        <v>957</v>
      </c>
      <c r="B393" s="2" t="s">
        <v>63</v>
      </c>
      <c r="C393" s="2" t="s">
        <v>958</v>
      </c>
      <c r="D393" s="2" t="s">
        <v>44</v>
      </c>
      <c r="E393" s="2" t="s">
        <v>85</v>
      </c>
      <c r="F393" s="2" t="s">
        <v>34</v>
      </c>
      <c r="G393" s="2" t="s">
        <v>164</v>
      </c>
      <c r="H393" s="3">
        <v>45352.479166666664</v>
      </c>
      <c r="I393" s="3">
        <v>45352.494444444441</v>
      </c>
      <c r="J393" s="2">
        <v>14</v>
      </c>
      <c r="K393" s="2">
        <v>22</v>
      </c>
      <c r="L393" s="2">
        <v>1</v>
      </c>
      <c r="M393" s="2" t="s">
        <v>41</v>
      </c>
      <c r="N393" s="2">
        <v>1</v>
      </c>
      <c r="O393" s="2">
        <v>387.98</v>
      </c>
      <c r="P393" s="2">
        <f t="shared" si="30"/>
        <v>8</v>
      </c>
      <c r="Q393" s="4">
        <f t="shared" si="31"/>
        <v>0.63636363636363635</v>
      </c>
      <c r="R393" s="2" t="str">
        <f t="shared" si="32"/>
        <v>Inefficient</v>
      </c>
      <c r="S393" s="2" t="str">
        <f t="shared" si="33"/>
        <v>Short</v>
      </c>
      <c r="T393" s="2" t="str">
        <f t="shared" si="34"/>
        <v>Minor Delay</v>
      </c>
    </row>
    <row r="394" spans="1:20" x14ac:dyDescent="0.35">
      <c r="A394" s="2" t="s">
        <v>959</v>
      </c>
      <c r="B394" s="2" t="s">
        <v>16</v>
      </c>
      <c r="C394" s="2" t="s">
        <v>960</v>
      </c>
      <c r="D394" s="2" t="s">
        <v>18</v>
      </c>
      <c r="E394" s="2" t="s">
        <v>85</v>
      </c>
      <c r="F394" s="2" t="s">
        <v>27</v>
      </c>
      <c r="G394" s="2" t="s">
        <v>465</v>
      </c>
      <c r="H394" s="3">
        <v>45354.682638888888</v>
      </c>
      <c r="I394" s="3">
        <v>45354.785416666666</v>
      </c>
      <c r="J394" s="2">
        <v>68</v>
      </c>
      <c r="K394" s="2">
        <v>148</v>
      </c>
      <c r="L394" s="2">
        <v>1</v>
      </c>
      <c r="M394" s="2" t="s">
        <v>41</v>
      </c>
      <c r="N394" s="2">
        <v>5</v>
      </c>
      <c r="O394" s="2">
        <v>289.06</v>
      </c>
      <c r="P394" s="2">
        <f t="shared" si="30"/>
        <v>80</v>
      </c>
      <c r="Q394" s="4">
        <f t="shared" si="31"/>
        <v>0.45945945945945948</v>
      </c>
      <c r="R394" s="2" t="str">
        <f t="shared" si="32"/>
        <v>Inefficient</v>
      </c>
      <c r="S394" s="2" t="str">
        <f t="shared" si="33"/>
        <v>Very Long</v>
      </c>
      <c r="T394" s="2" t="str">
        <f t="shared" si="34"/>
        <v>Major Delay</v>
      </c>
    </row>
    <row r="395" spans="1:20" x14ac:dyDescent="0.35">
      <c r="A395" s="2" t="s">
        <v>961</v>
      </c>
      <c r="B395" s="2" t="s">
        <v>31</v>
      </c>
      <c r="C395" s="2" t="s">
        <v>962</v>
      </c>
      <c r="D395" s="2" t="s">
        <v>48</v>
      </c>
      <c r="E395" s="2" t="s">
        <v>33</v>
      </c>
      <c r="F395" s="2" t="s">
        <v>20</v>
      </c>
      <c r="G395" s="2" t="s">
        <v>207</v>
      </c>
      <c r="H395" s="3">
        <v>45480.10833333333</v>
      </c>
      <c r="I395" s="3">
        <v>45480.252083333333</v>
      </c>
      <c r="J395" s="2">
        <v>151</v>
      </c>
      <c r="K395" s="2">
        <v>207</v>
      </c>
      <c r="L395" s="2">
        <v>1</v>
      </c>
      <c r="M395" s="2" t="s">
        <v>22</v>
      </c>
      <c r="N395" s="2">
        <v>6</v>
      </c>
      <c r="O395" s="2">
        <v>472.74</v>
      </c>
      <c r="P395" s="2">
        <f t="shared" si="30"/>
        <v>56</v>
      </c>
      <c r="Q395" s="4">
        <f t="shared" si="31"/>
        <v>0.72946859903381644</v>
      </c>
      <c r="R395" s="2" t="str">
        <f t="shared" si="32"/>
        <v>Inefficient</v>
      </c>
      <c r="S395" s="2" t="str">
        <f t="shared" si="33"/>
        <v>Very Long</v>
      </c>
      <c r="T395" s="2" t="str">
        <f t="shared" si="34"/>
        <v>Major Delay</v>
      </c>
    </row>
    <row r="396" spans="1:20" x14ac:dyDescent="0.35">
      <c r="A396" s="2" t="s">
        <v>963</v>
      </c>
      <c r="B396" s="2" t="s">
        <v>51</v>
      </c>
      <c r="C396" s="2" t="s">
        <v>964</v>
      </c>
      <c r="D396" s="2" t="s">
        <v>26</v>
      </c>
      <c r="E396" s="2" t="s">
        <v>38</v>
      </c>
      <c r="F396" s="2" t="s">
        <v>20</v>
      </c>
      <c r="G396" s="2" t="s">
        <v>700</v>
      </c>
      <c r="H396" s="3">
        <v>45334.322916666664</v>
      </c>
      <c r="I396" s="3">
        <v>45334.405555555553</v>
      </c>
      <c r="J396" s="2">
        <v>13</v>
      </c>
      <c r="K396" s="2">
        <v>119</v>
      </c>
      <c r="L396" s="2">
        <v>1</v>
      </c>
      <c r="M396" s="2" t="s">
        <v>41</v>
      </c>
      <c r="N396" s="2">
        <v>8</v>
      </c>
      <c r="O396" s="2">
        <v>188.32</v>
      </c>
      <c r="P396" s="2">
        <f t="shared" si="30"/>
        <v>106</v>
      </c>
      <c r="Q396" s="4">
        <f t="shared" si="31"/>
        <v>0.1092436974789916</v>
      </c>
      <c r="R396" s="2" t="str">
        <f t="shared" si="32"/>
        <v>Inefficient</v>
      </c>
      <c r="S396" s="2" t="str">
        <f t="shared" si="33"/>
        <v>Long</v>
      </c>
      <c r="T396" s="2" t="str">
        <f t="shared" si="34"/>
        <v>Major Delay</v>
      </c>
    </row>
    <row r="397" spans="1:20" x14ac:dyDescent="0.35">
      <c r="A397" s="2" t="s">
        <v>965</v>
      </c>
      <c r="B397" s="2" t="s">
        <v>63</v>
      </c>
      <c r="C397" s="2" t="s">
        <v>966</v>
      </c>
      <c r="D397" s="2" t="s">
        <v>56</v>
      </c>
      <c r="E397" s="2" t="s">
        <v>33</v>
      </c>
      <c r="F397" s="2" t="s">
        <v>57</v>
      </c>
      <c r="G397" s="2" t="s">
        <v>111</v>
      </c>
      <c r="H397" s="3">
        <v>45439.402083333334</v>
      </c>
      <c r="I397" s="3">
        <v>45439.525694444441</v>
      </c>
      <c r="J397" s="2">
        <v>172</v>
      </c>
      <c r="K397" s="2">
        <v>178</v>
      </c>
      <c r="L397" s="2">
        <v>1</v>
      </c>
      <c r="M397" s="2" t="s">
        <v>22</v>
      </c>
      <c r="N397" s="2">
        <v>7</v>
      </c>
      <c r="O397" s="2">
        <v>205.62</v>
      </c>
      <c r="P397" s="2">
        <f t="shared" si="30"/>
        <v>6</v>
      </c>
      <c r="Q397" s="4">
        <f t="shared" si="31"/>
        <v>0.9662921348314607</v>
      </c>
      <c r="R397" s="2" t="str">
        <f t="shared" si="32"/>
        <v>Inefficient</v>
      </c>
      <c r="S397" s="2" t="str">
        <f t="shared" si="33"/>
        <v>Very Long</v>
      </c>
      <c r="T397" s="2" t="str">
        <f t="shared" si="34"/>
        <v>Minor Delay</v>
      </c>
    </row>
    <row r="398" spans="1:20" x14ac:dyDescent="0.35">
      <c r="A398" s="2" t="s">
        <v>967</v>
      </c>
      <c r="B398" s="2" t="s">
        <v>31</v>
      </c>
      <c r="C398" s="2" t="s">
        <v>968</v>
      </c>
      <c r="D398" s="2" t="s">
        <v>56</v>
      </c>
      <c r="E398" s="2" t="s">
        <v>85</v>
      </c>
      <c r="F398" s="2" t="s">
        <v>20</v>
      </c>
      <c r="G398" s="2" t="s">
        <v>158</v>
      </c>
      <c r="H398" s="3">
        <v>45562.760416666664</v>
      </c>
      <c r="I398" s="3">
        <v>45562.893750000003</v>
      </c>
      <c r="J398" s="2">
        <v>135</v>
      </c>
      <c r="K398" s="2">
        <v>192</v>
      </c>
      <c r="L398" s="2">
        <v>1</v>
      </c>
      <c r="M398" s="2" t="s">
        <v>41</v>
      </c>
      <c r="N398" s="2">
        <v>4</v>
      </c>
      <c r="O398" s="2">
        <v>75.400000000000006</v>
      </c>
      <c r="P398" s="2">
        <f t="shared" si="30"/>
        <v>57</v>
      </c>
      <c r="Q398" s="4">
        <f t="shared" si="31"/>
        <v>0.703125</v>
      </c>
      <c r="R398" s="2" t="str">
        <f t="shared" si="32"/>
        <v>Inefficient</v>
      </c>
      <c r="S398" s="2" t="str">
        <f t="shared" si="33"/>
        <v>Very Long</v>
      </c>
      <c r="T398" s="2" t="str">
        <f t="shared" si="34"/>
        <v>Major Delay</v>
      </c>
    </row>
    <row r="399" spans="1:20" x14ac:dyDescent="0.35">
      <c r="A399" s="2" t="s">
        <v>969</v>
      </c>
      <c r="B399" s="2" t="s">
        <v>31</v>
      </c>
      <c r="C399" s="2" t="s">
        <v>970</v>
      </c>
      <c r="D399" s="2" t="s">
        <v>56</v>
      </c>
      <c r="E399" s="2" t="s">
        <v>38</v>
      </c>
      <c r="F399" s="2" t="s">
        <v>34</v>
      </c>
      <c r="G399" s="2" t="s">
        <v>402</v>
      </c>
      <c r="H399" s="3">
        <v>45365.586805555555</v>
      </c>
      <c r="I399" s="3">
        <v>45365.628472222219</v>
      </c>
      <c r="J399" s="2">
        <v>23</v>
      </c>
      <c r="K399" s="2">
        <v>60</v>
      </c>
      <c r="L399" s="2">
        <v>1</v>
      </c>
      <c r="M399" s="2" t="s">
        <v>41</v>
      </c>
      <c r="N399" s="2">
        <v>8</v>
      </c>
      <c r="O399" s="2">
        <v>404.27</v>
      </c>
      <c r="P399" s="2">
        <f t="shared" si="30"/>
        <v>37</v>
      </c>
      <c r="Q399" s="4">
        <f t="shared" si="31"/>
        <v>0.38333333333333336</v>
      </c>
      <c r="R399" s="2" t="str">
        <f t="shared" si="32"/>
        <v>Inefficient</v>
      </c>
      <c r="S399" s="2" t="str">
        <f t="shared" si="33"/>
        <v>Long</v>
      </c>
      <c r="T399" s="2" t="str">
        <f t="shared" si="34"/>
        <v>Major Delay</v>
      </c>
    </row>
    <row r="400" spans="1:20" x14ac:dyDescent="0.35">
      <c r="A400" s="2" t="s">
        <v>971</v>
      </c>
      <c r="B400" s="2" t="s">
        <v>31</v>
      </c>
      <c r="C400" s="2" t="s">
        <v>972</v>
      </c>
      <c r="D400" s="2" t="s">
        <v>56</v>
      </c>
      <c r="E400" s="2" t="s">
        <v>85</v>
      </c>
      <c r="F400" s="2" t="s">
        <v>20</v>
      </c>
      <c r="G400" s="2" t="s">
        <v>415</v>
      </c>
      <c r="H400" s="3">
        <v>45359.963194444441</v>
      </c>
      <c r="I400" s="3">
        <v>45360.146527777775</v>
      </c>
      <c r="J400" s="2">
        <v>195</v>
      </c>
      <c r="K400" s="2">
        <v>264</v>
      </c>
      <c r="L400" s="2">
        <v>1</v>
      </c>
      <c r="M400" s="2" t="s">
        <v>29</v>
      </c>
      <c r="N400" s="2">
        <v>3</v>
      </c>
      <c r="O400" s="2">
        <v>181.11</v>
      </c>
      <c r="P400" s="2">
        <f t="shared" si="30"/>
        <v>69</v>
      </c>
      <c r="Q400" s="4">
        <f t="shared" si="31"/>
        <v>0.73863636363636365</v>
      </c>
      <c r="R400" s="2" t="str">
        <f t="shared" si="32"/>
        <v>Inefficient</v>
      </c>
      <c r="S400" s="2" t="str">
        <f t="shared" si="33"/>
        <v>Very Long</v>
      </c>
      <c r="T400" s="2" t="str">
        <f t="shared" si="34"/>
        <v>Major Delay</v>
      </c>
    </row>
    <row r="401" spans="1:20" x14ac:dyDescent="0.35">
      <c r="A401" s="2" t="s">
        <v>973</v>
      </c>
      <c r="B401" s="2" t="s">
        <v>51</v>
      </c>
      <c r="C401" s="2" t="s">
        <v>974</v>
      </c>
      <c r="D401" s="2" t="s">
        <v>56</v>
      </c>
      <c r="E401" s="2" t="s">
        <v>33</v>
      </c>
      <c r="F401" s="2" t="s">
        <v>57</v>
      </c>
      <c r="G401" s="2" t="s">
        <v>188</v>
      </c>
      <c r="H401" s="3">
        <v>45561.611805555556</v>
      </c>
      <c r="I401" s="3">
        <v>45561.840277777781</v>
      </c>
      <c r="J401" s="2">
        <v>237</v>
      </c>
      <c r="K401" s="2">
        <v>329</v>
      </c>
      <c r="L401" s="2">
        <v>1</v>
      </c>
      <c r="M401" s="2" t="s">
        <v>41</v>
      </c>
      <c r="N401" s="2">
        <v>1</v>
      </c>
      <c r="O401" s="2">
        <v>225.72</v>
      </c>
      <c r="P401" s="2">
        <f t="shared" si="30"/>
        <v>92</v>
      </c>
      <c r="Q401" s="4">
        <f t="shared" si="31"/>
        <v>0.72036474164133735</v>
      </c>
      <c r="R401" s="2" t="str">
        <f t="shared" si="32"/>
        <v>Inefficient</v>
      </c>
      <c r="S401" s="2" t="str">
        <f t="shared" si="33"/>
        <v>Very Long</v>
      </c>
      <c r="T401" s="2" t="str">
        <f t="shared" si="34"/>
        <v>Major Delay</v>
      </c>
    </row>
    <row r="402" spans="1:20" x14ac:dyDescent="0.35">
      <c r="A402" s="2" t="s">
        <v>975</v>
      </c>
      <c r="B402" s="2" t="s">
        <v>24</v>
      </c>
      <c r="C402" s="2" t="s">
        <v>976</v>
      </c>
      <c r="D402" s="2" t="s">
        <v>26</v>
      </c>
      <c r="E402" s="2" t="s">
        <v>38</v>
      </c>
      <c r="F402" s="2" t="s">
        <v>34</v>
      </c>
      <c r="G402" s="2" t="s">
        <v>669</v>
      </c>
      <c r="H402" s="3">
        <v>45505.865972222222</v>
      </c>
      <c r="I402" s="3">
        <v>45506.013194444444</v>
      </c>
      <c r="J402" s="2">
        <v>99</v>
      </c>
      <c r="K402" s="2">
        <v>212</v>
      </c>
      <c r="L402" s="2">
        <v>1</v>
      </c>
      <c r="M402" s="2" t="s">
        <v>41</v>
      </c>
      <c r="N402" s="2">
        <v>10</v>
      </c>
      <c r="O402" s="2">
        <v>276.36</v>
      </c>
      <c r="P402" s="2">
        <f t="shared" si="30"/>
        <v>113</v>
      </c>
      <c r="Q402" s="4">
        <f t="shared" si="31"/>
        <v>0.46698113207547171</v>
      </c>
      <c r="R402" s="2" t="str">
        <f t="shared" si="32"/>
        <v>Inefficient</v>
      </c>
      <c r="S402" s="2" t="str">
        <f t="shared" si="33"/>
        <v>Very Long</v>
      </c>
      <c r="T402" s="2" t="str">
        <f t="shared" si="34"/>
        <v>Major Delay</v>
      </c>
    </row>
    <row r="403" spans="1:20" x14ac:dyDescent="0.35">
      <c r="A403" s="2" t="s">
        <v>977</v>
      </c>
      <c r="B403" s="2" t="s">
        <v>16</v>
      </c>
      <c r="C403" s="2" t="s">
        <v>978</v>
      </c>
      <c r="D403" s="2" t="s">
        <v>48</v>
      </c>
      <c r="E403" s="2" t="s">
        <v>33</v>
      </c>
      <c r="F403" s="2" t="s">
        <v>57</v>
      </c>
      <c r="G403" s="2" t="s">
        <v>111</v>
      </c>
      <c r="H403" s="3">
        <v>45408.798611111109</v>
      </c>
      <c r="I403" s="3">
        <v>45408.845138888886</v>
      </c>
      <c r="J403" s="2">
        <v>46</v>
      </c>
      <c r="K403" s="2">
        <v>67</v>
      </c>
      <c r="L403" s="2">
        <v>1</v>
      </c>
      <c r="M403" s="2" t="s">
        <v>41</v>
      </c>
      <c r="N403" s="2">
        <v>2</v>
      </c>
      <c r="O403" s="2">
        <v>237.14</v>
      </c>
      <c r="P403" s="2">
        <f t="shared" si="30"/>
        <v>21</v>
      </c>
      <c r="Q403" s="4">
        <f t="shared" si="31"/>
        <v>0.68656716417910446</v>
      </c>
      <c r="R403" s="2" t="str">
        <f t="shared" si="32"/>
        <v>Inefficient</v>
      </c>
      <c r="S403" s="2" t="str">
        <f t="shared" si="33"/>
        <v>Long</v>
      </c>
      <c r="T403" s="2" t="str">
        <f t="shared" si="34"/>
        <v>Minor Delay</v>
      </c>
    </row>
    <row r="404" spans="1:20" x14ac:dyDescent="0.35">
      <c r="A404" s="2" t="s">
        <v>979</v>
      </c>
      <c r="B404" s="2" t="s">
        <v>16</v>
      </c>
      <c r="C404" s="2" t="s">
        <v>980</v>
      </c>
      <c r="D404" s="2" t="s">
        <v>48</v>
      </c>
      <c r="E404" s="2" t="s">
        <v>38</v>
      </c>
      <c r="F404" s="2" t="s">
        <v>20</v>
      </c>
      <c r="G404" s="2" t="s">
        <v>111</v>
      </c>
      <c r="H404" s="3">
        <v>45299.574999999997</v>
      </c>
      <c r="I404" s="3">
        <v>45299.792361111111</v>
      </c>
      <c r="J404" s="2">
        <v>203</v>
      </c>
      <c r="K404" s="2">
        <v>313</v>
      </c>
      <c r="L404" s="2">
        <v>1</v>
      </c>
      <c r="M404" s="2" t="s">
        <v>29</v>
      </c>
      <c r="N404" s="2">
        <v>5</v>
      </c>
      <c r="O404" s="2">
        <v>267.86</v>
      </c>
      <c r="P404" s="2">
        <f t="shared" si="30"/>
        <v>110</v>
      </c>
      <c r="Q404" s="4">
        <f t="shared" si="31"/>
        <v>0.6485623003194888</v>
      </c>
      <c r="R404" s="2" t="str">
        <f t="shared" si="32"/>
        <v>Inefficient</v>
      </c>
      <c r="S404" s="2" t="str">
        <f t="shared" si="33"/>
        <v>Very Long</v>
      </c>
      <c r="T404" s="2" t="str">
        <f t="shared" si="34"/>
        <v>Major Delay</v>
      </c>
    </row>
    <row r="405" spans="1:20" x14ac:dyDescent="0.35">
      <c r="A405" s="2" t="s">
        <v>981</v>
      </c>
      <c r="B405" s="2" t="s">
        <v>16</v>
      </c>
      <c r="C405" s="2" t="s">
        <v>982</v>
      </c>
      <c r="D405" s="2" t="s">
        <v>18</v>
      </c>
      <c r="E405" s="2" t="s">
        <v>19</v>
      </c>
      <c r="F405" s="2" t="s">
        <v>34</v>
      </c>
      <c r="G405" s="2" t="s">
        <v>983</v>
      </c>
      <c r="H405" s="3">
        <v>45598.28402777778</v>
      </c>
      <c r="I405" s="3">
        <v>45598.384722222225</v>
      </c>
      <c r="J405" s="2">
        <v>49</v>
      </c>
      <c r="K405" s="2">
        <v>145</v>
      </c>
      <c r="L405" s="2">
        <v>1</v>
      </c>
      <c r="M405" s="2" t="s">
        <v>22</v>
      </c>
      <c r="N405" s="2">
        <v>1</v>
      </c>
      <c r="O405" s="2">
        <v>224.65</v>
      </c>
      <c r="P405" s="2">
        <f t="shared" si="30"/>
        <v>96</v>
      </c>
      <c r="Q405" s="4">
        <f t="shared" si="31"/>
        <v>0.33793103448275863</v>
      </c>
      <c r="R405" s="2" t="str">
        <f t="shared" si="32"/>
        <v>Inefficient</v>
      </c>
      <c r="S405" s="2" t="str">
        <f t="shared" si="33"/>
        <v>Very Long</v>
      </c>
      <c r="T405" s="2" t="str">
        <f t="shared" si="34"/>
        <v>Major Delay</v>
      </c>
    </row>
    <row r="406" spans="1:20" x14ac:dyDescent="0.35">
      <c r="A406" s="2" t="s">
        <v>984</v>
      </c>
      <c r="B406" s="2" t="s">
        <v>31</v>
      </c>
      <c r="C406" s="2" t="s">
        <v>985</v>
      </c>
      <c r="D406" s="2" t="s">
        <v>44</v>
      </c>
      <c r="E406" s="2" t="s">
        <v>85</v>
      </c>
      <c r="F406" s="2" t="s">
        <v>34</v>
      </c>
      <c r="G406" s="2" t="s">
        <v>445</v>
      </c>
      <c r="H406" s="3">
        <v>45326.352777777778</v>
      </c>
      <c r="I406" s="3">
        <v>45326.427083333336</v>
      </c>
      <c r="J406" s="2">
        <v>32</v>
      </c>
      <c r="K406" s="2">
        <v>107</v>
      </c>
      <c r="L406" s="2">
        <v>1</v>
      </c>
      <c r="M406" s="2" t="s">
        <v>29</v>
      </c>
      <c r="N406" s="2">
        <v>4</v>
      </c>
      <c r="O406" s="2">
        <v>403.12</v>
      </c>
      <c r="P406" s="2">
        <f t="shared" si="30"/>
        <v>75</v>
      </c>
      <c r="Q406" s="4">
        <f t="shared" si="31"/>
        <v>0.29906542056074764</v>
      </c>
      <c r="R406" s="2" t="str">
        <f t="shared" si="32"/>
        <v>Inefficient</v>
      </c>
      <c r="S406" s="2" t="str">
        <f t="shared" si="33"/>
        <v>Long</v>
      </c>
      <c r="T406" s="2" t="str">
        <f t="shared" si="34"/>
        <v>Major Delay</v>
      </c>
    </row>
    <row r="407" spans="1:20" x14ac:dyDescent="0.35">
      <c r="A407" s="2" t="s">
        <v>986</v>
      </c>
      <c r="B407" s="2" t="s">
        <v>16</v>
      </c>
      <c r="C407" s="2" t="s">
        <v>987</v>
      </c>
      <c r="D407" s="2" t="s">
        <v>48</v>
      </c>
      <c r="E407" s="2" t="s">
        <v>85</v>
      </c>
      <c r="F407" s="2" t="s">
        <v>34</v>
      </c>
      <c r="G407" s="2" t="s">
        <v>988</v>
      </c>
      <c r="H407" s="3">
        <v>45305.584722222222</v>
      </c>
      <c r="I407" s="3">
        <v>45305.709722222222</v>
      </c>
      <c r="J407" s="2">
        <v>125</v>
      </c>
      <c r="K407" s="2">
        <v>180</v>
      </c>
      <c r="L407" s="2">
        <v>1</v>
      </c>
      <c r="M407" s="2" t="s">
        <v>22</v>
      </c>
      <c r="N407" s="2">
        <v>4</v>
      </c>
      <c r="O407" s="2">
        <v>138.25</v>
      </c>
      <c r="P407" s="2">
        <f t="shared" si="30"/>
        <v>55</v>
      </c>
      <c r="Q407" s="4">
        <f t="shared" si="31"/>
        <v>0.69444444444444442</v>
      </c>
      <c r="R407" s="2" t="str">
        <f t="shared" si="32"/>
        <v>Inefficient</v>
      </c>
      <c r="S407" s="2" t="str">
        <f t="shared" si="33"/>
        <v>Very Long</v>
      </c>
      <c r="T407" s="2" t="str">
        <f t="shared" si="34"/>
        <v>Major Delay</v>
      </c>
    </row>
    <row r="408" spans="1:20" x14ac:dyDescent="0.35">
      <c r="A408" s="2" t="s">
        <v>989</v>
      </c>
      <c r="B408" s="2" t="s">
        <v>63</v>
      </c>
      <c r="C408" s="2" t="s">
        <v>990</v>
      </c>
      <c r="D408" s="2" t="s">
        <v>44</v>
      </c>
      <c r="E408" s="2" t="s">
        <v>85</v>
      </c>
      <c r="F408" s="2" t="s">
        <v>20</v>
      </c>
      <c r="G408" s="2" t="s">
        <v>470</v>
      </c>
      <c r="H408" s="3">
        <v>45571.640972222223</v>
      </c>
      <c r="I408" s="3">
        <v>45571.807638888888</v>
      </c>
      <c r="J408" s="2">
        <v>146</v>
      </c>
      <c r="K408" s="2">
        <v>240</v>
      </c>
      <c r="L408" s="2">
        <v>1</v>
      </c>
      <c r="M408" s="2" t="s">
        <v>41</v>
      </c>
      <c r="N408" s="2">
        <v>1</v>
      </c>
      <c r="O408" s="2">
        <v>297.13</v>
      </c>
      <c r="P408" s="2">
        <f t="shared" si="30"/>
        <v>94</v>
      </c>
      <c r="Q408" s="4">
        <f t="shared" si="31"/>
        <v>0.60833333333333328</v>
      </c>
      <c r="R408" s="2" t="str">
        <f t="shared" si="32"/>
        <v>Inefficient</v>
      </c>
      <c r="S408" s="2" t="str">
        <f t="shared" si="33"/>
        <v>Very Long</v>
      </c>
      <c r="T408" s="2" t="str">
        <f t="shared" si="34"/>
        <v>Major Delay</v>
      </c>
    </row>
    <row r="409" spans="1:20" x14ac:dyDescent="0.35">
      <c r="A409" s="2" t="s">
        <v>991</v>
      </c>
      <c r="B409" s="2" t="s">
        <v>24</v>
      </c>
      <c r="C409" s="2" t="s">
        <v>992</v>
      </c>
      <c r="D409" s="2" t="s">
        <v>56</v>
      </c>
      <c r="E409" s="2" t="s">
        <v>85</v>
      </c>
      <c r="F409" s="2" t="s">
        <v>34</v>
      </c>
      <c r="G409" s="2" t="s">
        <v>364</v>
      </c>
      <c r="H409" s="3">
        <v>45528.595138888886</v>
      </c>
      <c r="I409" s="3">
        <v>45528.622916666667</v>
      </c>
      <c r="J409" s="2">
        <v>23</v>
      </c>
      <c r="K409" s="2">
        <v>40</v>
      </c>
      <c r="L409" s="2">
        <v>1</v>
      </c>
      <c r="M409" s="2" t="s">
        <v>29</v>
      </c>
      <c r="N409" s="2">
        <v>3</v>
      </c>
      <c r="O409" s="2">
        <v>495.92</v>
      </c>
      <c r="P409" s="2">
        <f t="shared" si="30"/>
        <v>17</v>
      </c>
      <c r="Q409" s="4">
        <f t="shared" si="31"/>
        <v>0.57499999999999996</v>
      </c>
      <c r="R409" s="2" t="str">
        <f t="shared" si="32"/>
        <v>Inefficient</v>
      </c>
      <c r="S409" s="2" t="str">
        <f t="shared" si="33"/>
        <v>Medium</v>
      </c>
      <c r="T409" s="2" t="str">
        <f t="shared" si="34"/>
        <v>Minor Delay</v>
      </c>
    </row>
    <row r="410" spans="1:20" x14ac:dyDescent="0.35">
      <c r="A410" s="2" t="s">
        <v>993</v>
      </c>
      <c r="B410" s="2" t="s">
        <v>51</v>
      </c>
      <c r="C410" s="2" t="s">
        <v>994</v>
      </c>
      <c r="D410" s="2" t="s">
        <v>18</v>
      </c>
      <c r="E410" s="2" t="s">
        <v>85</v>
      </c>
      <c r="F410" s="2" t="s">
        <v>57</v>
      </c>
      <c r="G410" s="2" t="s">
        <v>61</v>
      </c>
      <c r="H410" s="3">
        <v>45649.8125</v>
      </c>
      <c r="I410" s="3">
        <v>45649.9375</v>
      </c>
      <c r="J410" s="2">
        <v>174</v>
      </c>
      <c r="K410" s="2">
        <v>180</v>
      </c>
      <c r="L410" s="2">
        <v>1</v>
      </c>
      <c r="M410" s="2" t="s">
        <v>29</v>
      </c>
      <c r="N410" s="2">
        <v>10</v>
      </c>
      <c r="O410" s="2">
        <v>483.15</v>
      </c>
      <c r="P410" s="2">
        <f t="shared" si="30"/>
        <v>6</v>
      </c>
      <c r="Q410" s="4">
        <f t="shared" si="31"/>
        <v>0.96666666666666667</v>
      </c>
      <c r="R410" s="2" t="str">
        <f t="shared" si="32"/>
        <v>Inefficient</v>
      </c>
      <c r="S410" s="2" t="str">
        <f t="shared" si="33"/>
        <v>Very Long</v>
      </c>
      <c r="T410" s="2" t="str">
        <f t="shared" si="34"/>
        <v>Minor Delay</v>
      </c>
    </row>
    <row r="411" spans="1:20" x14ac:dyDescent="0.35">
      <c r="A411" s="2" t="s">
        <v>995</v>
      </c>
      <c r="B411" s="2" t="s">
        <v>51</v>
      </c>
      <c r="C411" s="2" t="s">
        <v>996</v>
      </c>
      <c r="D411" s="2" t="s">
        <v>18</v>
      </c>
      <c r="E411" s="2" t="s">
        <v>38</v>
      </c>
      <c r="F411" s="2" t="s">
        <v>20</v>
      </c>
      <c r="G411" s="2" t="s">
        <v>476</v>
      </c>
      <c r="H411" s="3">
        <v>45564.503472222219</v>
      </c>
      <c r="I411" s="3">
        <v>45564.538888888892</v>
      </c>
      <c r="J411" s="2">
        <v>46</v>
      </c>
      <c r="K411" s="2">
        <v>51</v>
      </c>
      <c r="L411" s="2">
        <v>1</v>
      </c>
      <c r="M411" s="2" t="s">
        <v>41</v>
      </c>
      <c r="N411" s="2">
        <v>3</v>
      </c>
      <c r="O411" s="2">
        <v>80.25</v>
      </c>
      <c r="P411" s="2">
        <f t="shared" si="30"/>
        <v>5</v>
      </c>
      <c r="Q411" s="4">
        <f t="shared" si="31"/>
        <v>0.90196078431372551</v>
      </c>
      <c r="R411" s="2" t="str">
        <f t="shared" si="32"/>
        <v>Inefficient</v>
      </c>
      <c r="S411" s="2" t="str">
        <f t="shared" si="33"/>
        <v>Medium</v>
      </c>
      <c r="T411" s="2" t="str">
        <f t="shared" si="34"/>
        <v>Minor Delay</v>
      </c>
    </row>
    <row r="412" spans="1:20" x14ac:dyDescent="0.35">
      <c r="A412" s="2" t="s">
        <v>997</v>
      </c>
      <c r="B412" s="2" t="s">
        <v>24</v>
      </c>
      <c r="C412" s="2" t="s">
        <v>998</v>
      </c>
      <c r="D412" s="2" t="s">
        <v>18</v>
      </c>
      <c r="E412" s="2" t="s">
        <v>19</v>
      </c>
      <c r="F412" s="2" t="s">
        <v>57</v>
      </c>
      <c r="G412" s="2" t="s">
        <v>999</v>
      </c>
      <c r="H412" s="3">
        <v>45297.651388888888</v>
      </c>
      <c r="I412" s="3">
        <v>45297.740972222222</v>
      </c>
      <c r="J412" s="2">
        <v>39</v>
      </c>
      <c r="K412" s="2">
        <v>129</v>
      </c>
      <c r="L412" s="2">
        <v>1</v>
      </c>
      <c r="M412" s="2" t="s">
        <v>41</v>
      </c>
      <c r="N412" s="2">
        <v>9</v>
      </c>
      <c r="O412" s="2">
        <v>304.20999999999998</v>
      </c>
      <c r="P412" s="2">
        <f t="shared" si="30"/>
        <v>90</v>
      </c>
      <c r="Q412" s="4">
        <f t="shared" si="31"/>
        <v>0.30232558139534882</v>
      </c>
      <c r="R412" s="2" t="str">
        <f t="shared" si="32"/>
        <v>Inefficient</v>
      </c>
      <c r="S412" s="2" t="str">
        <f t="shared" si="33"/>
        <v>Very Long</v>
      </c>
      <c r="T412" s="2" t="str">
        <f t="shared" si="34"/>
        <v>Major Delay</v>
      </c>
    </row>
    <row r="413" spans="1:20" x14ac:dyDescent="0.35">
      <c r="A413" s="2" t="s">
        <v>1000</v>
      </c>
      <c r="B413" s="2" t="s">
        <v>24</v>
      </c>
      <c r="C413" s="2" t="s">
        <v>1001</v>
      </c>
      <c r="D413" s="2" t="s">
        <v>44</v>
      </c>
      <c r="E413" s="2" t="s">
        <v>33</v>
      </c>
      <c r="F413" s="2" t="s">
        <v>57</v>
      </c>
      <c r="G413" s="2" t="s">
        <v>430</v>
      </c>
      <c r="H413" s="3">
        <v>45560.467361111114</v>
      </c>
      <c r="I413" s="3">
        <v>45560.56527777778</v>
      </c>
      <c r="J413" s="2">
        <v>141</v>
      </c>
      <c r="K413" s="2">
        <v>141</v>
      </c>
      <c r="L413" s="2">
        <v>0</v>
      </c>
      <c r="M413" s="2" t="s">
        <v>41</v>
      </c>
      <c r="N413" s="2">
        <v>1</v>
      </c>
      <c r="O413" s="2">
        <v>268.32</v>
      </c>
      <c r="P413" s="2">
        <f t="shared" si="30"/>
        <v>0</v>
      </c>
      <c r="Q413" s="4">
        <f t="shared" si="31"/>
        <v>1</v>
      </c>
      <c r="R413" s="2" t="str">
        <f t="shared" si="32"/>
        <v>On Target</v>
      </c>
      <c r="S413" s="2" t="str">
        <f t="shared" si="33"/>
        <v>Very Long</v>
      </c>
      <c r="T413" s="2" t="str">
        <f t="shared" si="34"/>
        <v>On Time</v>
      </c>
    </row>
    <row r="414" spans="1:20" x14ac:dyDescent="0.35">
      <c r="A414" s="2" t="s">
        <v>1002</v>
      </c>
      <c r="B414" s="2" t="s">
        <v>51</v>
      </c>
      <c r="C414" s="2" t="s">
        <v>1003</v>
      </c>
      <c r="D414" s="2" t="s">
        <v>44</v>
      </c>
      <c r="E414" s="2" t="s">
        <v>19</v>
      </c>
      <c r="F414" s="2" t="s">
        <v>27</v>
      </c>
      <c r="G414" s="2" t="s">
        <v>225</v>
      </c>
      <c r="H414" s="3">
        <v>45384.443055555559</v>
      </c>
      <c r="I414" s="3">
        <v>45384.524305555555</v>
      </c>
      <c r="J414" s="2">
        <v>113</v>
      </c>
      <c r="K414" s="2">
        <v>117</v>
      </c>
      <c r="L414" s="2">
        <v>1</v>
      </c>
      <c r="M414" s="2" t="s">
        <v>29</v>
      </c>
      <c r="N414" s="2">
        <v>5</v>
      </c>
      <c r="O414" s="2">
        <v>86.41</v>
      </c>
      <c r="P414" s="2">
        <f t="shared" si="30"/>
        <v>4</v>
      </c>
      <c r="Q414" s="4">
        <f t="shared" si="31"/>
        <v>0.96581196581196582</v>
      </c>
      <c r="R414" s="2" t="str">
        <f t="shared" si="32"/>
        <v>Inefficient</v>
      </c>
      <c r="S414" s="2" t="str">
        <f t="shared" si="33"/>
        <v>Long</v>
      </c>
      <c r="T414" s="2" t="str">
        <f t="shared" si="34"/>
        <v>Minor Delay</v>
      </c>
    </row>
    <row r="415" spans="1:20" x14ac:dyDescent="0.35">
      <c r="A415" s="2" t="s">
        <v>1004</v>
      </c>
      <c r="B415" s="2" t="s">
        <v>51</v>
      </c>
      <c r="C415" s="2" t="s">
        <v>1005</v>
      </c>
      <c r="D415" s="2" t="s">
        <v>48</v>
      </c>
      <c r="E415" s="2" t="s">
        <v>38</v>
      </c>
      <c r="F415" s="2" t="s">
        <v>34</v>
      </c>
      <c r="G415" s="2" t="s">
        <v>123</v>
      </c>
      <c r="H415" s="3">
        <v>45294.821527777778</v>
      </c>
      <c r="I415" s="3">
        <v>45294.96597222222</v>
      </c>
      <c r="J415" s="2">
        <v>156</v>
      </c>
      <c r="K415" s="2">
        <v>208</v>
      </c>
      <c r="L415" s="2">
        <v>1</v>
      </c>
      <c r="M415" s="2" t="s">
        <v>29</v>
      </c>
      <c r="N415" s="2">
        <v>7</v>
      </c>
      <c r="O415" s="2">
        <v>230.29</v>
      </c>
      <c r="P415" s="2">
        <f t="shared" si="30"/>
        <v>52</v>
      </c>
      <c r="Q415" s="4">
        <f t="shared" si="31"/>
        <v>0.75</v>
      </c>
      <c r="R415" s="2" t="str">
        <f t="shared" si="32"/>
        <v>Inefficient</v>
      </c>
      <c r="S415" s="2" t="str">
        <f t="shared" si="33"/>
        <v>Very Long</v>
      </c>
      <c r="T415" s="2" t="str">
        <f t="shared" si="34"/>
        <v>Major Delay</v>
      </c>
    </row>
    <row r="416" spans="1:20" x14ac:dyDescent="0.35">
      <c r="A416" s="2" t="s">
        <v>1006</v>
      </c>
      <c r="B416" s="2" t="s">
        <v>31</v>
      </c>
      <c r="C416" s="2" t="s">
        <v>1007</v>
      </c>
      <c r="D416" s="2" t="s">
        <v>56</v>
      </c>
      <c r="E416" s="2" t="s">
        <v>19</v>
      </c>
      <c r="F416" s="2" t="s">
        <v>57</v>
      </c>
      <c r="G416" s="2" t="s">
        <v>68</v>
      </c>
      <c r="H416" s="3">
        <v>45598.862500000003</v>
      </c>
      <c r="I416" s="3">
        <v>45598.97152777778</v>
      </c>
      <c r="J416" s="2">
        <v>155</v>
      </c>
      <c r="K416" s="2">
        <v>157</v>
      </c>
      <c r="L416" s="2">
        <v>1</v>
      </c>
      <c r="M416" s="2" t="s">
        <v>41</v>
      </c>
      <c r="N416" s="2">
        <v>6</v>
      </c>
      <c r="O416" s="2">
        <v>262.92</v>
      </c>
      <c r="P416" s="2">
        <f t="shared" si="30"/>
        <v>2</v>
      </c>
      <c r="Q416" s="4">
        <f t="shared" si="31"/>
        <v>0.98726114649681529</v>
      </c>
      <c r="R416" s="2" t="str">
        <f t="shared" si="32"/>
        <v>Inefficient</v>
      </c>
      <c r="S416" s="2" t="str">
        <f t="shared" si="33"/>
        <v>Very Long</v>
      </c>
      <c r="T416" s="2" t="str">
        <f t="shared" si="34"/>
        <v>Minor Delay</v>
      </c>
    </row>
    <row r="417" spans="1:20" x14ac:dyDescent="0.35">
      <c r="A417" s="2" t="s">
        <v>1008</v>
      </c>
      <c r="B417" s="2" t="s">
        <v>51</v>
      </c>
      <c r="C417" s="2" t="s">
        <v>1009</v>
      </c>
      <c r="D417" s="2" t="s">
        <v>56</v>
      </c>
      <c r="E417" s="2" t="s">
        <v>19</v>
      </c>
      <c r="F417" s="2" t="s">
        <v>27</v>
      </c>
      <c r="G417" s="2" t="s">
        <v>170</v>
      </c>
      <c r="H417" s="3">
        <v>45503.493750000001</v>
      </c>
      <c r="I417" s="3">
        <v>45503.629166666666</v>
      </c>
      <c r="J417" s="2">
        <v>86</v>
      </c>
      <c r="K417" s="2">
        <v>195</v>
      </c>
      <c r="L417" s="2">
        <v>1</v>
      </c>
      <c r="M417" s="2" t="s">
        <v>41</v>
      </c>
      <c r="N417" s="2">
        <v>3</v>
      </c>
      <c r="O417" s="2">
        <v>256.70999999999998</v>
      </c>
      <c r="P417" s="2">
        <f t="shared" si="30"/>
        <v>109</v>
      </c>
      <c r="Q417" s="4">
        <f t="shared" si="31"/>
        <v>0.44102564102564101</v>
      </c>
      <c r="R417" s="2" t="str">
        <f t="shared" si="32"/>
        <v>Inefficient</v>
      </c>
      <c r="S417" s="2" t="str">
        <f t="shared" si="33"/>
        <v>Very Long</v>
      </c>
      <c r="T417" s="2" t="str">
        <f t="shared" si="34"/>
        <v>Major Delay</v>
      </c>
    </row>
    <row r="418" spans="1:20" x14ac:dyDescent="0.35">
      <c r="A418" s="2" t="s">
        <v>1010</v>
      </c>
      <c r="B418" s="2" t="s">
        <v>24</v>
      </c>
      <c r="C418" s="2" t="s">
        <v>1011</v>
      </c>
      <c r="D418" s="2" t="s">
        <v>44</v>
      </c>
      <c r="E418" s="2" t="s">
        <v>33</v>
      </c>
      <c r="F418" s="2" t="s">
        <v>20</v>
      </c>
      <c r="G418" s="2" t="s">
        <v>407</v>
      </c>
      <c r="H418" s="3">
        <v>45351.037499999999</v>
      </c>
      <c r="I418" s="3">
        <v>45351.068749999999</v>
      </c>
      <c r="J418" s="2">
        <v>22</v>
      </c>
      <c r="K418" s="2">
        <v>45</v>
      </c>
      <c r="L418" s="2">
        <v>1</v>
      </c>
      <c r="M418" s="2" t="s">
        <v>29</v>
      </c>
      <c r="N418" s="2">
        <v>5</v>
      </c>
      <c r="O418" s="2">
        <v>178.14</v>
      </c>
      <c r="P418" s="2">
        <f t="shared" si="30"/>
        <v>23</v>
      </c>
      <c r="Q418" s="4">
        <f t="shared" si="31"/>
        <v>0.48888888888888887</v>
      </c>
      <c r="R418" s="2" t="str">
        <f t="shared" si="32"/>
        <v>Inefficient</v>
      </c>
      <c r="S418" s="2" t="str">
        <f t="shared" si="33"/>
        <v>Medium</v>
      </c>
      <c r="T418" s="2" t="str">
        <f t="shared" si="34"/>
        <v>Minor Delay</v>
      </c>
    </row>
    <row r="419" spans="1:20" x14ac:dyDescent="0.35">
      <c r="A419" s="2" t="s">
        <v>1012</v>
      </c>
      <c r="B419" s="2" t="s">
        <v>63</v>
      </c>
      <c r="C419" s="2" t="s">
        <v>1013</v>
      </c>
      <c r="D419" s="2" t="s">
        <v>26</v>
      </c>
      <c r="E419" s="2" t="s">
        <v>33</v>
      </c>
      <c r="F419" s="2" t="s">
        <v>34</v>
      </c>
      <c r="G419" s="2" t="s">
        <v>445</v>
      </c>
      <c r="H419" s="3">
        <v>45459.104166666664</v>
      </c>
      <c r="I419" s="3">
        <v>45459.199999999997</v>
      </c>
      <c r="J419" s="2">
        <v>54</v>
      </c>
      <c r="K419" s="2">
        <v>138</v>
      </c>
      <c r="L419" s="2">
        <v>1</v>
      </c>
      <c r="M419" s="2" t="s">
        <v>22</v>
      </c>
      <c r="N419" s="2">
        <v>9</v>
      </c>
      <c r="O419" s="2">
        <v>418.2</v>
      </c>
      <c r="P419" s="2">
        <f t="shared" si="30"/>
        <v>84</v>
      </c>
      <c r="Q419" s="4">
        <f t="shared" si="31"/>
        <v>0.39130434782608697</v>
      </c>
      <c r="R419" s="2" t="str">
        <f t="shared" si="32"/>
        <v>Inefficient</v>
      </c>
      <c r="S419" s="2" t="str">
        <f t="shared" si="33"/>
        <v>Very Long</v>
      </c>
      <c r="T419" s="2" t="str">
        <f t="shared" si="34"/>
        <v>Major Delay</v>
      </c>
    </row>
    <row r="420" spans="1:20" x14ac:dyDescent="0.35">
      <c r="A420" s="2" t="s">
        <v>1014</v>
      </c>
      <c r="B420" s="2" t="s">
        <v>51</v>
      </c>
      <c r="C420" s="2" t="s">
        <v>1015</v>
      </c>
      <c r="D420" s="2" t="s">
        <v>18</v>
      </c>
      <c r="E420" s="2" t="s">
        <v>19</v>
      </c>
      <c r="F420" s="2" t="s">
        <v>27</v>
      </c>
      <c r="G420" s="2" t="s">
        <v>418</v>
      </c>
      <c r="H420" s="3">
        <v>45494.431250000001</v>
      </c>
      <c r="I420" s="3">
        <v>45494.636805555558</v>
      </c>
      <c r="J420" s="2">
        <v>189</v>
      </c>
      <c r="K420" s="2">
        <v>296</v>
      </c>
      <c r="L420" s="2">
        <v>1</v>
      </c>
      <c r="M420" s="2" t="s">
        <v>41</v>
      </c>
      <c r="N420" s="2">
        <v>5</v>
      </c>
      <c r="O420" s="2">
        <v>158.52000000000001</v>
      </c>
      <c r="P420" s="2">
        <f t="shared" si="30"/>
        <v>107</v>
      </c>
      <c r="Q420" s="4">
        <f t="shared" si="31"/>
        <v>0.63851351351351349</v>
      </c>
      <c r="R420" s="2" t="str">
        <f t="shared" si="32"/>
        <v>Inefficient</v>
      </c>
      <c r="S420" s="2" t="str">
        <f t="shared" si="33"/>
        <v>Very Long</v>
      </c>
      <c r="T420" s="2" t="str">
        <f t="shared" si="34"/>
        <v>Major Delay</v>
      </c>
    </row>
    <row r="421" spans="1:20" x14ac:dyDescent="0.35">
      <c r="A421" s="2" t="s">
        <v>1016</v>
      </c>
      <c r="B421" s="2" t="s">
        <v>16</v>
      </c>
      <c r="C421" s="2" t="s">
        <v>1017</v>
      </c>
      <c r="D421" s="2" t="s">
        <v>26</v>
      </c>
      <c r="E421" s="2" t="s">
        <v>19</v>
      </c>
      <c r="F421" s="2" t="s">
        <v>34</v>
      </c>
      <c r="G421" s="2" t="s">
        <v>231</v>
      </c>
      <c r="H421" s="3">
        <v>45443.704861111109</v>
      </c>
      <c r="I421" s="3">
        <v>45443.744444444441</v>
      </c>
      <c r="J421" s="2">
        <v>38</v>
      </c>
      <c r="K421" s="2">
        <v>57</v>
      </c>
      <c r="L421" s="2">
        <v>1</v>
      </c>
      <c r="M421" s="2" t="s">
        <v>22</v>
      </c>
      <c r="N421" s="2">
        <v>5</v>
      </c>
      <c r="O421" s="2">
        <v>369.91</v>
      </c>
      <c r="P421" s="2">
        <f t="shared" si="30"/>
        <v>19</v>
      </c>
      <c r="Q421" s="4">
        <f t="shared" si="31"/>
        <v>0.66666666666666663</v>
      </c>
      <c r="R421" s="2" t="str">
        <f t="shared" si="32"/>
        <v>Inefficient</v>
      </c>
      <c r="S421" s="2" t="str">
        <f t="shared" si="33"/>
        <v>Medium</v>
      </c>
      <c r="T421" s="2" t="str">
        <f t="shared" si="34"/>
        <v>Minor Delay</v>
      </c>
    </row>
    <row r="422" spans="1:20" x14ac:dyDescent="0.35">
      <c r="A422" s="2" t="s">
        <v>1018</v>
      </c>
      <c r="B422" s="2" t="s">
        <v>63</v>
      </c>
      <c r="C422" s="2" t="s">
        <v>1019</v>
      </c>
      <c r="D422" s="2" t="s">
        <v>48</v>
      </c>
      <c r="E422" s="2" t="s">
        <v>38</v>
      </c>
      <c r="F422" s="2" t="s">
        <v>34</v>
      </c>
      <c r="G422" s="2" t="s">
        <v>40</v>
      </c>
      <c r="H422" s="3">
        <v>45656.731944444444</v>
      </c>
      <c r="I422" s="3">
        <v>45656.902777777781</v>
      </c>
      <c r="J422" s="2">
        <v>202</v>
      </c>
      <c r="K422" s="2">
        <v>246</v>
      </c>
      <c r="L422" s="2">
        <v>1</v>
      </c>
      <c r="M422" s="2" t="s">
        <v>29</v>
      </c>
      <c r="N422" s="2">
        <v>10</v>
      </c>
      <c r="O422" s="2">
        <v>183.63</v>
      </c>
      <c r="P422" s="2">
        <f t="shared" si="30"/>
        <v>44</v>
      </c>
      <c r="Q422" s="4">
        <f t="shared" si="31"/>
        <v>0.82113821138211385</v>
      </c>
      <c r="R422" s="2" t="str">
        <f t="shared" si="32"/>
        <v>Inefficient</v>
      </c>
      <c r="S422" s="2" t="str">
        <f t="shared" si="33"/>
        <v>Very Long</v>
      </c>
      <c r="T422" s="2" t="str">
        <f t="shared" si="34"/>
        <v>Major Delay</v>
      </c>
    </row>
    <row r="423" spans="1:20" x14ac:dyDescent="0.35">
      <c r="A423" s="2" t="s">
        <v>1020</v>
      </c>
      <c r="B423" s="2" t="s">
        <v>63</v>
      </c>
      <c r="C423" s="2" t="s">
        <v>1021</v>
      </c>
      <c r="D423" s="2" t="s">
        <v>26</v>
      </c>
      <c r="E423" s="2" t="s">
        <v>19</v>
      </c>
      <c r="F423" s="2" t="s">
        <v>57</v>
      </c>
      <c r="G423" s="2" t="s">
        <v>58</v>
      </c>
      <c r="H423" s="3">
        <v>45424.32916666667</v>
      </c>
      <c r="I423" s="3">
        <v>45424.519444444442</v>
      </c>
      <c r="J423" s="2">
        <v>216</v>
      </c>
      <c r="K423" s="2">
        <v>274</v>
      </c>
      <c r="L423" s="2">
        <v>1</v>
      </c>
      <c r="M423" s="2" t="s">
        <v>29</v>
      </c>
      <c r="N423" s="2">
        <v>3</v>
      </c>
      <c r="O423" s="2">
        <v>254.03</v>
      </c>
      <c r="P423" s="2">
        <f t="shared" si="30"/>
        <v>58</v>
      </c>
      <c r="Q423" s="4">
        <f t="shared" si="31"/>
        <v>0.78832116788321172</v>
      </c>
      <c r="R423" s="2" t="str">
        <f t="shared" si="32"/>
        <v>Inefficient</v>
      </c>
      <c r="S423" s="2" t="str">
        <f t="shared" si="33"/>
        <v>Very Long</v>
      </c>
      <c r="T423" s="2" t="str">
        <f t="shared" si="34"/>
        <v>Major Delay</v>
      </c>
    </row>
    <row r="424" spans="1:20" x14ac:dyDescent="0.35">
      <c r="A424" s="2" t="s">
        <v>1022</v>
      </c>
      <c r="B424" s="2" t="s">
        <v>63</v>
      </c>
      <c r="C424" s="2" t="s">
        <v>1023</v>
      </c>
      <c r="D424" s="2" t="s">
        <v>48</v>
      </c>
      <c r="E424" s="2" t="s">
        <v>19</v>
      </c>
      <c r="F424" s="2" t="s">
        <v>20</v>
      </c>
      <c r="G424" s="2" t="s">
        <v>108</v>
      </c>
      <c r="H424" s="3">
        <v>45508.902083333334</v>
      </c>
      <c r="I424" s="3">
        <v>45509.05972222222</v>
      </c>
      <c r="J424" s="2">
        <v>224</v>
      </c>
      <c r="K424" s="2">
        <v>227</v>
      </c>
      <c r="L424" s="2">
        <v>1</v>
      </c>
      <c r="M424" s="2" t="s">
        <v>41</v>
      </c>
      <c r="N424" s="2">
        <v>9</v>
      </c>
      <c r="O424" s="2">
        <v>153.77000000000001</v>
      </c>
      <c r="P424" s="2">
        <f t="shared" si="30"/>
        <v>3</v>
      </c>
      <c r="Q424" s="4">
        <f t="shared" si="31"/>
        <v>0.986784140969163</v>
      </c>
      <c r="R424" s="2" t="str">
        <f t="shared" si="32"/>
        <v>Inefficient</v>
      </c>
      <c r="S424" s="2" t="str">
        <f t="shared" si="33"/>
        <v>Very Long</v>
      </c>
      <c r="T424" s="2" t="str">
        <f t="shared" si="34"/>
        <v>Minor Delay</v>
      </c>
    </row>
    <row r="425" spans="1:20" x14ac:dyDescent="0.35">
      <c r="A425" s="2" t="s">
        <v>1024</v>
      </c>
      <c r="B425" s="2" t="s">
        <v>51</v>
      </c>
      <c r="C425" s="2" t="s">
        <v>1025</v>
      </c>
      <c r="D425" s="2" t="s">
        <v>44</v>
      </c>
      <c r="E425" s="2" t="s">
        <v>85</v>
      </c>
      <c r="F425" s="2" t="s">
        <v>39</v>
      </c>
      <c r="G425" s="2" t="s">
        <v>782</v>
      </c>
      <c r="H425" s="3">
        <v>45341.214583333334</v>
      </c>
      <c r="I425" s="3">
        <v>45341.302777777775</v>
      </c>
      <c r="J425" s="2">
        <v>123</v>
      </c>
      <c r="K425" s="2">
        <v>127</v>
      </c>
      <c r="L425" s="2">
        <v>1</v>
      </c>
      <c r="M425" s="2" t="s">
        <v>29</v>
      </c>
      <c r="N425" s="2">
        <v>8</v>
      </c>
      <c r="O425" s="2">
        <v>303.58999999999997</v>
      </c>
      <c r="P425" s="2">
        <f t="shared" si="30"/>
        <v>4</v>
      </c>
      <c r="Q425" s="4">
        <f t="shared" si="31"/>
        <v>0.96850393700787396</v>
      </c>
      <c r="R425" s="2" t="str">
        <f t="shared" si="32"/>
        <v>Inefficient</v>
      </c>
      <c r="S425" s="2" t="str">
        <f t="shared" si="33"/>
        <v>Very Long</v>
      </c>
      <c r="T425" s="2" t="str">
        <f t="shared" si="34"/>
        <v>Minor Delay</v>
      </c>
    </row>
    <row r="426" spans="1:20" x14ac:dyDescent="0.35">
      <c r="A426" s="2" t="s">
        <v>1026</v>
      </c>
      <c r="B426" s="2" t="s">
        <v>16</v>
      </c>
      <c r="C426" s="2" t="s">
        <v>1027</v>
      </c>
      <c r="D426" s="2" t="s">
        <v>18</v>
      </c>
      <c r="E426" s="2" t="s">
        <v>19</v>
      </c>
      <c r="F426" s="2" t="s">
        <v>27</v>
      </c>
      <c r="G426" s="2" t="s">
        <v>123</v>
      </c>
      <c r="H426" s="3">
        <v>45594.436805555553</v>
      </c>
      <c r="I426" s="3">
        <v>45594.555555555555</v>
      </c>
      <c r="J426" s="2">
        <v>122</v>
      </c>
      <c r="K426" s="2">
        <v>171</v>
      </c>
      <c r="L426" s="2">
        <v>1</v>
      </c>
      <c r="M426" s="2" t="s">
        <v>41</v>
      </c>
      <c r="N426" s="2">
        <v>8</v>
      </c>
      <c r="O426" s="2">
        <v>339.29</v>
      </c>
      <c r="P426" s="2">
        <f t="shared" si="30"/>
        <v>49</v>
      </c>
      <c r="Q426" s="4">
        <f t="shared" si="31"/>
        <v>0.71345029239766078</v>
      </c>
      <c r="R426" s="2" t="str">
        <f t="shared" si="32"/>
        <v>Inefficient</v>
      </c>
      <c r="S426" s="2" t="str">
        <f t="shared" si="33"/>
        <v>Very Long</v>
      </c>
      <c r="T426" s="2" t="str">
        <f t="shared" si="34"/>
        <v>Major Delay</v>
      </c>
    </row>
    <row r="427" spans="1:20" x14ac:dyDescent="0.35">
      <c r="A427" s="2" t="s">
        <v>1028</v>
      </c>
      <c r="B427" s="2" t="s">
        <v>31</v>
      </c>
      <c r="C427" s="2" t="s">
        <v>1029</v>
      </c>
      <c r="D427" s="2" t="s">
        <v>48</v>
      </c>
      <c r="E427" s="2" t="s">
        <v>85</v>
      </c>
      <c r="F427" s="2" t="s">
        <v>27</v>
      </c>
      <c r="G427" s="2" t="s">
        <v>1030</v>
      </c>
      <c r="H427" s="3">
        <v>45604.552777777775</v>
      </c>
      <c r="I427" s="3">
        <v>45604.661111111112</v>
      </c>
      <c r="J427" s="2">
        <v>86</v>
      </c>
      <c r="K427" s="2">
        <v>156</v>
      </c>
      <c r="L427" s="2">
        <v>1</v>
      </c>
      <c r="M427" s="2" t="s">
        <v>29</v>
      </c>
      <c r="N427" s="2">
        <v>9</v>
      </c>
      <c r="O427" s="2">
        <v>245.38</v>
      </c>
      <c r="P427" s="2">
        <f t="shared" si="30"/>
        <v>70</v>
      </c>
      <c r="Q427" s="4">
        <f t="shared" si="31"/>
        <v>0.55128205128205132</v>
      </c>
      <c r="R427" s="2" t="str">
        <f t="shared" si="32"/>
        <v>Inefficient</v>
      </c>
      <c r="S427" s="2" t="str">
        <f t="shared" si="33"/>
        <v>Very Long</v>
      </c>
      <c r="T427" s="2" t="str">
        <f t="shared" si="34"/>
        <v>Major Delay</v>
      </c>
    </row>
    <row r="428" spans="1:20" x14ac:dyDescent="0.35">
      <c r="A428" s="2" t="s">
        <v>1031</v>
      </c>
      <c r="B428" s="2" t="s">
        <v>51</v>
      </c>
      <c r="C428" s="2" t="s">
        <v>1032</v>
      </c>
      <c r="D428" s="2" t="s">
        <v>18</v>
      </c>
      <c r="E428" s="2" t="s">
        <v>19</v>
      </c>
      <c r="F428" s="2" t="s">
        <v>39</v>
      </c>
      <c r="G428" s="2" t="s">
        <v>594</v>
      </c>
      <c r="H428" s="3">
        <v>45361.69027777778</v>
      </c>
      <c r="I428" s="3">
        <v>45361.856944444444</v>
      </c>
      <c r="J428" s="2">
        <v>172</v>
      </c>
      <c r="K428" s="2">
        <v>240</v>
      </c>
      <c r="L428" s="2">
        <v>1</v>
      </c>
      <c r="M428" s="2" t="s">
        <v>29</v>
      </c>
      <c r="N428" s="2">
        <v>9</v>
      </c>
      <c r="O428" s="2">
        <v>402.25</v>
      </c>
      <c r="P428" s="2">
        <f t="shared" si="30"/>
        <v>68</v>
      </c>
      <c r="Q428" s="4">
        <f t="shared" si="31"/>
        <v>0.71666666666666667</v>
      </c>
      <c r="R428" s="2" t="str">
        <f t="shared" si="32"/>
        <v>Inefficient</v>
      </c>
      <c r="S428" s="2" t="str">
        <f t="shared" si="33"/>
        <v>Very Long</v>
      </c>
      <c r="T428" s="2" t="str">
        <f t="shared" si="34"/>
        <v>Major Delay</v>
      </c>
    </row>
    <row r="429" spans="1:20" x14ac:dyDescent="0.35">
      <c r="A429" s="2" t="s">
        <v>1033</v>
      </c>
      <c r="B429" s="2" t="s">
        <v>63</v>
      </c>
      <c r="C429" s="2" t="s">
        <v>1034</v>
      </c>
      <c r="D429" s="2" t="s">
        <v>56</v>
      </c>
      <c r="E429" s="2" t="s">
        <v>19</v>
      </c>
      <c r="F429" s="2" t="s">
        <v>39</v>
      </c>
      <c r="G429" s="2" t="s">
        <v>49</v>
      </c>
      <c r="H429" s="3">
        <v>45313.742361111108</v>
      </c>
      <c r="I429" s="3">
        <v>45313.959027777775</v>
      </c>
      <c r="J429" s="2">
        <v>236</v>
      </c>
      <c r="K429" s="2">
        <v>312</v>
      </c>
      <c r="L429" s="2">
        <v>1</v>
      </c>
      <c r="M429" s="2" t="s">
        <v>22</v>
      </c>
      <c r="N429" s="2">
        <v>5</v>
      </c>
      <c r="O429" s="2">
        <v>474.7</v>
      </c>
      <c r="P429" s="2">
        <f t="shared" si="30"/>
        <v>76</v>
      </c>
      <c r="Q429" s="4">
        <f t="shared" si="31"/>
        <v>0.75641025641025639</v>
      </c>
      <c r="R429" s="2" t="str">
        <f t="shared" si="32"/>
        <v>Inefficient</v>
      </c>
      <c r="S429" s="2" t="str">
        <f t="shared" si="33"/>
        <v>Very Long</v>
      </c>
      <c r="T429" s="2" t="str">
        <f t="shared" si="34"/>
        <v>Major Delay</v>
      </c>
    </row>
    <row r="430" spans="1:20" x14ac:dyDescent="0.35">
      <c r="A430" s="2" t="s">
        <v>1035</v>
      </c>
      <c r="B430" s="2" t="s">
        <v>24</v>
      </c>
      <c r="C430" s="2" t="s">
        <v>1036</v>
      </c>
      <c r="D430" s="2" t="s">
        <v>44</v>
      </c>
      <c r="E430" s="2" t="s">
        <v>19</v>
      </c>
      <c r="F430" s="2" t="s">
        <v>39</v>
      </c>
      <c r="G430" s="2" t="s">
        <v>615</v>
      </c>
      <c r="H430" s="3">
        <v>45642.715277777781</v>
      </c>
      <c r="I430" s="3">
        <v>45642.885416666664</v>
      </c>
      <c r="J430" s="2">
        <v>162</v>
      </c>
      <c r="K430" s="2">
        <v>245</v>
      </c>
      <c r="L430" s="2">
        <v>1</v>
      </c>
      <c r="M430" s="2" t="s">
        <v>41</v>
      </c>
      <c r="N430" s="2">
        <v>6</v>
      </c>
      <c r="O430" s="2">
        <v>65.45</v>
      </c>
      <c r="P430" s="2">
        <f t="shared" si="30"/>
        <v>83</v>
      </c>
      <c r="Q430" s="4">
        <f t="shared" si="31"/>
        <v>0.66122448979591841</v>
      </c>
      <c r="R430" s="2" t="str">
        <f t="shared" si="32"/>
        <v>Inefficient</v>
      </c>
      <c r="S430" s="2" t="str">
        <f t="shared" si="33"/>
        <v>Very Long</v>
      </c>
      <c r="T430" s="2" t="str">
        <f t="shared" si="34"/>
        <v>Major Delay</v>
      </c>
    </row>
    <row r="431" spans="1:20" x14ac:dyDescent="0.35">
      <c r="A431" s="2" t="s">
        <v>1037</v>
      </c>
      <c r="B431" s="2" t="s">
        <v>63</v>
      </c>
      <c r="C431" s="2" t="s">
        <v>1038</v>
      </c>
      <c r="D431" s="2" t="s">
        <v>48</v>
      </c>
      <c r="E431" s="2" t="s">
        <v>33</v>
      </c>
      <c r="F431" s="2" t="s">
        <v>39</v>
      </c>
      <c r="G431" s="2" t="s">
        <v>338</v>
      </c>
      <c r="H431" s="3">
        <v>45390.665972222225</v>
      </c>
      <c r="I431" s="3">
        <v>45390.782638888886</v>
      </c>
      <c r="J431" s="2">
        <v>127</v>
      </c>
      <c r="K431" s="2">
        <v>168</v>
      </c>
      <c r="L431" s="2">
        <v>1</v>
      </c>
      <c r="M431" s="2" t="s">
        <v>29</v>
      </c>
      <c r="N431" s="2">
        <v>4</v>
      </c>
      <c r="O431" s="2">
        <v>198.72</v>
      </c>
      <c r="P431" s="2">
        <f t="shared" si="30"/>
        <v>41</v>
      </c>
      <c r="Q431" s="4">
        <f t="shared" si="31"/>
        <v>0.75595238095238093</v>
      </c>
      <c r="R431" s="2" t="str">
        <f t="shared" si="32"/>
        <v>Inefficient</v>
      </c>
      <c r="S431" s="2" t="str">
        <f t="shared" si="33"/>
        <v>Very Long</v>
      </c>
      <c r="T431" s="2" t="str">
        <f t="shared" si="34"/>
        <v>Major Delay</v>
      </c>
    </row>
    <row r="432" spans="1:20" x14ac:dyDescent="0.35">
      <c r="A432" s="2" t="s">
        <v>1039</v>
      </c>
      <c r="B432" s="2" t="s">
        <v>63</v>
      </c>
      <c r="C432" s="2" t="s">
        <v>1040</v>
      </c>
      <c r="D432" s="2" t="s">
        <v>56</v>
      </c>
      <c r="E432" s="2" t="s">
        <v>85</v>
      </c>
      <c r="F432" s="2" t="s">
        <v>27</v>
      </c>
      <c r="G432" s="2" t="s">
        <v>207</v>
      </c>
      <c r="H432" s="3">
        <v>45531.588194444441</v>
      </c>
      <c r="I432" s="3">
        <v>45531.664583333331</v>
      </c>
      <c r="J432" s="2">
        <v>87</v>
      </c>
      <c r="K432" s="2">
        <v>110</v>
      </c>
      <c r="L432" s="2">
        <v>1</v>
      </c>
      <c r="M432" s="2" t="s">
        <v>29</v>
      </c>
      <c r="N432" s="2">
        <v>9</v>
      </c>
      <c r="O432" s="2">
        <v>136.12</v>
      </c>
      <c r="P432" s="2">
        <f t="shared" si="30"/>
        <v>23</v>
      </c>
      <c r="Q432" s="4">
        <f t="shared" si="31"/>
        <v>0.79090909090909089</v>
      </c>
      <c r="R432" s="2" t="str">
        <f t="shared" si="32"/>
        <v>Inefficient</v>
      </c>
      <c r="S432" s="2" t="str">
        <f t="shared" si="33"/>
        <v>Long</v>
      </c>
      <c r="T432" s="2" t="str">
        <f t="shared" si="34"/>
        <v>Minor Delay</v>
      </c>
    </row>
    <row r="433" spans="1:20" x14ac:dyDescent="0.35">
      <c r="A433" s="2" t="s">
        <v>1041</v>
      </c>
      <c r="B433" s="2" t="s">
        <v>16</v>
      </c>
      <c r="C433" s="2" t="s">
        <v>1042</v>
      </c>
      <c r="D433" s="2" t="s">
        <v>44</v>
      </c>
      <c r="E433" s="2" t="s">
        <v>33</v>
      </c>
      <c r="F433" s="2" t="s">
        <v>39</v>
      </c>
      <c r="G433" s="2" t="s">
        <v>111</v>
      </c>
      <c r="H433" s="3">
        <v>45414.861805555556</v>
      </c>
      <c r="I433" s="3">
        <v>45414.916666666664</v>
      </c>
      <c r="J433" s="2">
        <v>59</v>
      </c>
      <c r="K433" s="2">
        <v>79</v>
      </c>
      <c r="L433" s="2">
        <v>1</v>
      </c>
      <c r="M433" s="2" t="s">
        <v>41</v>
      </c>
      <c r="N433" s="2">
        <v>7</v>
      </c>
      <c r="O433" s="2">
        <v>153.02000000000001</v>
      </c>
      <c r="P433" s="2">
        <f t="shared" si="30"/>
        <v>20</v>
      </c>
      <c r="Q433" s="4">
        <f t="shared" si="31"/>
        <v>0.74683544303797467</v>
      </c>
      <c r="R433" s="2" t="str">
        <f t="shared" si="32"/>
        <v>Inefficient</v>
      </c>
      <c r="S433" s="2" t="str">
        <f t="shared" si="33"/>
        <v>Long</v>
      </c>
      <c r="T433" s="2" t="str">
        <f t="shared" si="34"/>
        <v>Minor Delay</v>
      </c>
    </row>
    <row r="434" spans="1:20" x14ac:dyDescent="0.35">
      <c r="A434" s="2" t="s">
        <v>1043</v>
      </c>
      <c r="B434" s="2" t="s">
        <v>51</v>
      </c>
      <c r="C434" s="2" t="s">
        <v>1044</v>
      </c>
      <c r="D434" s="2" t="s">
        <v>18</v>
      </c>
      <c r="E434" s="2" t="s">
        <v>38</v>
      </c>
      <c r="F434" s="2" t="s">
        <v>34</v>
      </c>
      <c r="G434" s="2" t="s">
        <v>204</v>
      </c>
      <c r="H434" s="3">
        <v>45450.555555555555</v>
      </c>
      <c r="I434" s="3">
        <v>45450.621527777781</v>
      </c>
      <c r="J434" s="2">
        <v>62</v>
      </c>
      <c r="K434" s="2">
        <v>95</v>
      </c>
      <c r="L434" s="2">
        <v>1</v>
      </c>
      <c r="M434" s="2" t="s">
        <v>29</v>
      </c>
      <c r="N434" s="2">
        <v>6</v>
      </c>
      <c r="O434" s="2">
        <v>219.02</v>
      </c>
      <c r="P434" s="2">
        <f t="shared" si="30"/>
        <v>33</v>
      </c>
      <c r="Q434" s="4">
        <f t="shared" si="31"/>
        <v>0.65263157894736845</v>
      </c>
      <c r="R434" s="2" t="str">
        <f t="shared" si="32"/>
        <v>Inefficient</v>
      </c>
      <c r="S434" s="2" t="str">
        <f t="shared" si="33"/>
        <v>Long</v>
      </c>
      <c r="T434" s="2" t="str">
        <f t="shared" si="34"/>
        <v>Major Delay</v>
      </c>
    </row>
    <row r="435" spans="1:20" x14ac:dyDescent="0.35">
      <c r="A435" s="2" t="s">
        <v>1045</v>
      </c>
      <c r="B435" s="2" t="s">
        <v>31</v>
      </c>
      <c r="C435" s="2" t="s">
        <v>1046</v>
      </c>
      <c r="D435" s="2" t="s">
        <v>26</v>
      </c>
      <c r="E435" s="2" t="s">
        <v>85</v>
      </c>
      <c r="F435" s="2" t="s">
        <v>20</v>
      </c>
      <c r="G435" s="2" t="s">
        <v>539</v>
      </c>
      <c r="H435" s="3">
        <v>45625.51666666667</v>
      </c>
      <c r="I435" s="3">
        <v>45625.660416666666</v>
      </c>
      <c r="J435" s="2">
        <v>189</v>
      </c>
      <c r="K435" s="2">
        <v>207</v>
      </c>
      <c r="L435" s="2">
        <v>1</v>
      </c>
      <c r="M435" s="2" t="s">
        <v>41</v>
      </c>
      <c r="N435" s="2">
        <v>8</v>
      </c>
      <c r="O435" s="2">
        <v>138.52000000000001</v>
      </c>
      <c r="P435" s="2">
        <f t="shared" si="30"/>
        <v>18</v>
      </c>
      <c r="Q435" s="4">
        <f t="shared" si="31"/>
        <v>0.91304347826086951</v>
      </c>
      <c r="R435" s="2" t="str">
        <f t="shared" si="32"/>
        <v>Inefficient</v>
      </c>
      <c r="S435" s="2" t="str">
        <f t="shared" si="33"/>
        <v>Very Long</v>
      </c>
      <c r="T435" s="2" t="str">
        <f t="shared" si="34"/>
        <v>Minor Delay</v>
      </c>
    </row>
    <row r="436" spans="1:20" x14ac:dyDescent="0.35">
      <c r="A436" s="2" t="s">
        <v>1047</v>
      </c>
      <c r="B436" s="2" t="s">
        <v>24</v>
      </c>
      <c r="C436" s="2" t="s">
        <v>1048</v>
      </c>
      <c r="D436" s="2" t="s">
        <v>48</v>
      </c>
      <c r="E436" s="2" t="s">
        <v>33</v>
      </c>
      <c r="F436" s="2" t="s">
        <v>39</v>
      </c>
      <c r="G436" s="2" t="s">
        <v>82</v>
      </c>
      <c r="H436" s="3">
        <v>45601.597222222219</v>
      </c>
      <c r="I436" s="3">
        <v>45601.615277777775</v>
      </c>
      <c r="J436" s="2">
        <v>22</v>
      </c>
      <c r="K436" s="2">
        <v>26</v>
      </c>
      <c r="L436" s="2">
        <v>1</v>
      </c>
      <c r="M436" s="2" t="s">
        <v>22</v>
      </c>
      <c r="N436" s="2">
        <v>10</v>
      </c>
      <c r="O436" s="2">
        <v>160.63999999999999</v>
      </c>
      <c r="P436" s="2">
        <f t="shared" si="30"/>
        <v>4</v>
      </c>
      <c r="Q436" s="4">
        <f t="shared" si="31"/>
        <v>0.84615384615384615</v>
      </c>
      <c r="R436" s="2" t="str">
        <f t="shared" si="32"/>
        <v>Inefficient</v>
      </c>
      <c r="S436" s="2" t="str">
        <f t="shared" si="33"/>
        <v>Short</v>
      </c>
      <c r="T436" s="2" t="str">
        <f t="shared" si="34"/>
        <v>Minor Delay</v>
      </c>
    </row>
    <row r="437" spans="1:20" x14ac:dyDescent="0.35">
      <c r="A437" s="2" t="s">
        <v>1049</v>
      </c>
      <c r="B437" s="2" t="s">
        <v>16</v>
      </c>
      <c r="C437" s="2" t="s">
        <v>1050</v>
      </c>
      <c r="D437" s="2" t="s">
        <v>48</v>
      </c>
      <c r="E437" s="2" t="s">
        <v>85</v>
      </c>
      <c r="F437" s="2" t="s">
        <v>27</v>
      </c>
      <c r="G437" s="2" t="s">
        <v>749</v>
      </c>
      <c r="H437" s="3">
        <v>45446.418055555558</v>
      </c>
      <c r="I437" s="3">
        <v>45446.447916666664</v>
      </c>
      <c r="J437" s="2">
        <v>27</v>
      </c>
      <c r="K437" s="2">
        <v>43</v>
      </c>
      <c r="L437" s="2">
        <v>1</v>
      </c>
      <c r="M437" s="2" t="s">
        <v>22</v>
      </c>
      <c r="N437" s="2">
        <v>9</v>
      </c>
      <c r="O437" s="2">
        <v>309.49</v>
      </c>
      <c r="P437" s="2">
        <f t="shared" si="30"/>
        <v>16</v>
      </c>
      <c r="Q437" s="4">
        <f t="shared" si="31"/>
        <v>0.62790697674418605</v>
      </c>
      <c r="R437" s="2" t="str">
        <f t="shared" si="32"/>
        <v>Inefficient</v>
      </c>
      <c r="S437" s="2" t="str">
        <f t="shared" si="33"/>
        <v>Medium</v>
      </c>
      <c r="T437" s="2" t="str">
        <f t="shared" si="34"/>
        <v>Minor Delay</v>
      </c>
    </row>
    <row r="438" spans="1:20" x14ac:dyDescent="0.35">
      <c r="A438" s="2" t="s">
        <v>1051</v>
      </c>
      <c r="B438" s="2" t="s">
        <v>63</v>
      </c>
      <c r="C438" s="2" t="s">
        <v>1052</v>
      </c>
      <c r="D438" s="2" t="s">
        <v>18</v>
      </c>
      <c r="E438" s="2" t="s">
        <v>19</v>
      </c>
      <c r="F438" s="2" t="s">
        <v>39</v>
      </c>
      <c r="G438" s="2" t="s">
        <v>647</v>
      </c>
      <c r="H438" s="3">
        <v>45366.647916666669</v>
      </c>
      <c r="I438" s="3">
        <v>45366.796527777777</v>
      </c>
      <c r="J438" s="2">
        <v>110</v>
      </c>
      <c r="K438" s="2">
        <v>214</v>
      </c>
      <c r="L438" s="2">
        <v>1</v>
      </c>
      <c r="M438" s="2" t="s">
        <v>29</v>
      </c>
      <c r="N438" s="2">
        <v>10</v>
      </c>
      <c r="O438" s="2">
        <v>96.97</v>
      </c>
      <c r="P438" s="2">
        <f t="shared" si="30"/>
        <v>104</v>
      </c>
      <c r="Q438" s="4">
        <f t="shared" si="31"/>
        <v>0.51401869158878499</v>
      </c>
      <c r="R438" s="2" t="str">
        <f t="shared" si="32"/>
        <v>Inefficient</v>
      </c>
      <c r="S438" s="2" t="str">
        <f t="shared" si="33"/>
        <v>Very Long</v>
      </c>
      <c r="T438" s="2" t="str">
        <f t="shared" si="34"/>
        <v>Major Delay</v>
      </c>
    </row>
    <row r="439" spans="1:20" x14ac:dyDescent="0.35">
      <c r="A439" s="2" t="s">
        <v>1053</v>
      </c>
      <c r="B439" s="2" t="s">
        <v>51</v>
      </c>
      <c r="C439" s="2" t="s">
        <v>1054</v>
      </c>
      <c r="D439" s="2" t="s">
        <v>48</v>
      </c>
      <c r="E439" s="2" t="s">
        <v>33</v>
      </c>
      <c r="F439" s="2" t="s">
        <v>39</v>
      </c>
      <c r="G439" s="2" t="s">
        <v>594</v>
      </c>
      <c r="H439" s="3">
        <v>45537.95208333333</v>
      </c>
      <c r="I439" s="3">
        <v>45538.15347222222</v>
      </c>
      <c r="J439" s="2">
        <v>199</v>
      </c>
      <c r="K439" s="2">
        <v>290</v>
      </c>
      <c r="L439" s="2">
        <v>1</v>
      </c>
      <c r="M439" s="2" t="s">
        <v>22</v>
      </c>
      <c r="N439" s="2">
        <v>8</v>
      </c>
      <c r="O439" s="2">
        <v>461.53</v>
      </c>
      <c r="P439" s="2">
        <f t="shared" si="30"/>
        <v>91</v>
      </c>
      <c r="Q439" s="4">
        <f t="shared" si="31"/>
        <v>0.68620689655172418</v>
      </c>
      <c r="R439" s="2" t="str">
        <f t="shared" si="32"/>
        <v>Inefficient</v>
      </c>
      <c r="S439" s="2" t="str">
        <f t="shared" si="33"/>
        <v>Very Long</v>
      </c>
      <c r="T439" s="2" t="str">
        <f t="shared" si="34"/>
        <v>Major Delay</v>
      </c>
    </row>
    <row r="440" spans="1:20" x14ac:dyDescent="0.35">
      <c r="A440" s="2" t="s">
        <v>1055</v>
      </c>
      <c r="B440" s="2" t="s">
        <v>63</v>
      </c>
      <c r="C440" s="2" t="s">
        <v>1056</v>
      </c>
      <c r="D440" s="2" t="s">
        <v>44</v>
      </c>
      <c r="E440" s="2" t="s">
        <v>19</v>
      </c>
      <c r="F440" s="2" t="s">
        <v>57</v>
      </c>
      <c r="G440" s="2" t="s">
        <v>338</v>
      </c>
      <c r="H440" s="3">
        <v>45327.636805555558</v>
      </c>
      <c r="I440" s="3">
        <v>45327.769444444442</v>
      </c>
      <c r="J440" s="2">
        <v>72</v>
      </c>
      <c r="K440" s="2">
        <v>191</v>
      </c>
      <c r="L440" s="2">
        <v>1</v>
      </c>
      <c r="M440" s="2" t="s">
        <v>22</v>
      </c>
      <c r="N440" s="2">
        <v>2</v>
      </c>
      <c r="O440" s="2">
        <v>240.5</v>
      </c>
      <c r="P440" s="2">
        <f t="shared" si="30"/>
        <v>119</v>
      </c>
      <c r="Q440" s="4">
        <f t="shared" si="31"/>
        <v>0.37696335078534032</v>
      </c>
      <c r="R440" s="2" t="str">
        <f t="shared" si="32"/>
        <v>Inefficient</v>
      </c>
      <c r="S440" s="2" t="str">
        <f t="shared" si="33"/>
        <v>Very Long</v>
      </c>
      <c r="T440" s="2" t="str">
        <f t="shared" si="34"/>
        <v>Major Delay</v>
      </c>
    </row>
    <row r="441" spans="1:20" x14ac:dyDescent="0.35">
      <c r="A441" s="2" t="s">
        <v>1057</v>
      </c>
      <c r="B441" s="2" t="s">
        <v>51</v>
      </c>
      <c r="C441" s="2" t="s">
        <v>1058</v>
      </c>
      <c r="D441" s="2" t="s">
        <v>18</v>
      </c>
      <c r="E441" s="2" t="s">
        <v>85</v>
      </c>
      <c r="F441" s="2" t="s">
        <v>39</v>
      </c>
      <c r="G441" s="2" t="s">
        <v>97</v>
      </c>
      <c r="H441" s="3">
        <v>45321.713194444441</v>
      </c>
      <c r="I441" s="3">
        <v>45321.892361111109</v>
      </c>
      <c r="J441" s="2">
        <v>186</v>
      </c>
      <c r="K441" s="2">
        <v>258</v>
      </c>
      <c r="L441" s="2">
        <v>1</v>
      </c>
      <c r="M441" s="2" t="s">
        <v>22</v>
      </c>
      <c r="N441" s="2">
        <v>9</v>
      </c>
      <c r="O441" s="2">
        <v>429.74</v>
      </c>
      <c r="P441" s="2">
        <f t="shared" si="30"/>
        <v>72</v>
      </c>
      <c r="Q441" s="4">
        <f t="shared" si="31"/>
        <v>0.72093023255813948</v>
      </c>
      <c r="R441" s="2" t="str">
        <f t="shared" si="32"/>
        <v>Inefficient</v>
      </c>
      <c r="S441" s="2" t="str">
        <f t="shared" si="33"/>
        <v>Very Long</v>
      </c>
      <c r="T441" s="2" t="str">
        <f t="shared" si="34"/>
        <v>Major Delay</v>
      </c>
    </row>
    <row r="442" spans="1:20" x14ac:dyDescent="0.35">
      <c r="A442" s="2" t="s">
        <v>1059</v>
      </c>
      <c r="B442" s="2" t="s">
        <v>16</v>
      </c>
      <c r="C442" s="2" t="s">
        <v>1060</v>
      </c>
      <c r="D442" s="2" t="s">
        <v>18</v>
      </c>
      <c r="E442" s="2" t="s">
        <v>33</v>
      </c>
      <c r="F442" s="2" t="s">
        <v>39</v>
      </c>
      <c r="G442" s="2" t="s">
        <v>676</v>
      </c>
      <c r="H442" s="3">
        <v>45352.262499999997</v>
      </c>
      <c r="I442" s="3">
        <v>45352.345138888886</v>
      </c>
      <c r="J442" s="2">
        <v>18</v>
      </c>
      <c r="K442" s="2">
        <v>119</v>
      </c>
      <c r="L442" s="2">
        <v>1</v>
      </c>
      <c r="M442" s="2" t="s">
        <v>29</v>
      </c>
      <c r="N442" s="2">
        <v>4</v>
      </c>
      <c r="O442" s="2">
        <v>382.92</v>
      </c>
      <c r="P442" s="2">
        <f t="shared" si="30"/>
        <v>101</v>
      </c>
      <c r="Q442" s="4">
        <f t="shared" si="31"/>
        <v>0.15126050420168066</v>
      </c>
      <c r="R442" s="2" t="str">
        <f t="shared" si="32"/>
        <v>Inefficient</v>
      </c>
      <c r="S442" s="2" t="str">
        <f t="shared" si="33"/>
        <v>Long</v>
      </c>
      <c r="T442" s="2" t="str">
        <f t="shared" si="34"/>
        <v>Major Delay</v>
      </c>
    </row>
    <row r="443" spans="1:20" x14ac:dyDescent="0.35">
      <c r="A443" s="2" t="s">
        <v>1061</v>
      </c>
      <c r="B443" s="2" t="s">
        <v>63</v>
      </c>
      <c r="C443" s="2" t="s">
        <v>1062</v>
      </c>
      <c r="D443" s="2" t="s">
        <v>26</v>
      </c>
      <c r="E443" s="2" t="s">
        <v>33</v>
      </c>
      <c r="F443" s="2" t="s">
        <v>39</v>
      </c>
      <c r="G443" s="2" t="s">
        <v>76</v>
      </c>
      <c r="H443" s="3">
        <v>45352.761805555558</v>
      </c>
      <c r="I443" s="3">
        <v>45352.804166666669</v>
      </c>
      <c r="J443" s="2">
        <v>25</v>
      </c>
      <c r="K443" s="2">
        <v>61</v>
      </c>
      <c r="L443" s="2">
        <v>1</v>
      </c>
      <c r="M443" s="2" t="s">
        <v>29</v>
      </c>
      <c r="N443" s="2">
        <v>4</v>
      </c>
      <c r="O443" s="2">
        <v>263.99</v>
      </c>
      <c r="P443" s="2">
        <f t="shared" si="30"/>
        <v>36</v>
      </c>
      <c r="Q443" s="4">
        <f t="shared" si="31"/>
        <v>0.4098360655737705</v>
      </c>
      <c r="R443" s="2" t="str">
        <f t="shared" si="32"/>
        <v>Inefficient</v>
      </c>
      <c r="S443" s="2" t="str">
        <f t="shared" si="33"/>
        <v>Long</v>
      </c>
      <c r="T443" s="2" t="str">
        <f t="shared" si="34"/>
        <v>Major Delay</v>
      </c>
    </row>
    <row r="444" spans="1:20" x14ac:dyDescent="0.35">
      <c r="A444" s="2" t="s">
        <v>1063</v>
      </c>
      <c r="B444" s="2" t="s">
        <v>16</v>
      </c>
      <c r="C444" s="2" t="s">
        <v>1064</v>
      </c>
      <c r="D444" s="2" t="s">
        <v>48</v>
      </c>
      <c r="E444" s="2" t="s">
        <v>19</v>
      </c>
      <c r="F444" s="2" t="s">
        <v>20</v>
      </c>
      <c r="G444" s="2" t="s">
        <v>418</v>
      </c>
      <c r="H444" s="3">
        <v>45464.22152777778</v>
      </c>
      <c r="I444" s="3">
        <v>45464.275694444441</v>
      </c>
      <c r="J444" s="2">
        <v>63</v>
      </c>
      <c r="K444" s="2">
        <v>78</v>
      </c>
      <c r="L444" s="2">
        <v>1</v>
      </c>
      <c r="M444" s="2" t="s">
        <v>22</v>
      </c>
      <c r="N444" s="2">
        <v>4</v>
      </c>
      <c r="O444" s="2">
        <v>375.84</v>
      </c>
      <c r="P444" s="2">
        <f t="shared" si="30"/>
        <v>15</v>
      </c>
      <c r="Q444" s="4">
        <f t="shared" si="31"/>
        <v>0.80769230769230771</v>
      </c>
      <c r="R444" s="2" t="str">
        <f t="shared" si="32"/>
        <v>Inefficient</v>
      </c>
      <c r="S444" s="2" t="str">
        <f t="shared" si="33"/>
        <v>Long</v>
      </c>
      <c r="T444" s="2" t="str">
        <f t="shared" si="34"/>
        <v>Minor Delay</v>
      </c>
    </row>
    <row r="445" spans="1:20" x14ac:dyDescent="0.35">
      <c r="A445" s="2" t="s">
        <v>1065</v>
      </c>
      <c r="B445" s="2" t="s">
        <v>31</v>
      </c>
      <c r="C445" s="2" t="s">
        <v>1066</v>
      </c>
      <c r="D445" s="2" t="s">
        <v>26</v>
      </c>
      <c r="E445" s="2" t="s">
        <v>38</v>
      </c>
      <c r="F445" s="2" t="s">
        <v>20</v>
      </c>
      <c r="G445" s="2" t="s">
        <v>321</v>
      </c>
      <c r="H445" s="3">
        <v>45310.64166666667</v>
      </c>
      <c r="I445" s="3">
        <v>45310.712500000001</v>
      </c>
      <c r="J445" s="2">
        <v>49</v>
      </c>
      <c r="K445" s="2">
        <v>102</v>
      </c>
      <c r="L445" s="2">
        <v>1</v>
      </c>
      <c r="M445" s="2" t="s">
        <v>41</v>
      </c>
      <c r="N445" s="2">
        <v>8</v>
      </c>
      <c r="O445" s="2">
        <v>289.25</v>
      </c>
      <c r="P445" s="2">
        <f t="shared" si="30"/>
        <v>53</v>
      </c>
      <c r="Q445" s="4">
        <f t="shared" si="31"/>
        <v>0.48039215686274511</v>
      </c>
      <c r="R445" s="2" t="str">
        <f t="shared" si="32"/>
        <v>Inefficient</v>
      </c>
      <c r="S445" s="2" t="str">
        <f t="shared" si="33"/>
        <v>Long</v>
      </c>
      <c r="T445" s="2" t="str">
        <f t="shared" si="34"/>
        <v>Major Delay</v>
      </c>
    </row>
    <row r="446" spans="1:20" x14ac:dyDescent="0.35">
      <c r="A446" s="2" t="s">
        <v>1067</v>
      </c>
      <c r="B446" s="2" t="s">
        <v>63</v>
      </c>
      <c r="C446" s="2" t="s">
        <v>1068</v>
      </c>
      <c r="D446" s="2" t="s">
        <v>48</v>
      </c>
      <c r="E446" s="2" t="s">
        <v>19</v>
      </c>
      <c r="F446" s="2" t="s">
        <v>39</v>
      </c>
      <c r="G446" s="2" t="s">
        <v>58</v>
      </c>
      <c r="H446" s="3">
        <v>45598.416666666664</v>
      </c>
      <c r="I446" s="3">
        <v>45598.59097222222</v>
      </c>
      <c r="J446" s="2">
        <v>173</v>
      </c>
      <c r="K446" s="2">
        <v>251</v>
      </c>
      <c r="L446" s="2">
        <v>1</v>
      </c>
      <c r="M446" s="2" t="s">
        <v>41</v>
      </c>
      <c r="N446" s="2">
        <v>4</v>
      </c>
      <c r="O446" s="2">
        <v>212.31</v>
      </c>
      <c r="P446" s="2">
        <f t="shared" si="30"/>
        <v>78</v>
      </c>
      <c r="Q446" s="4">
        <f t="shared" si="31"/>
        <v>0.68924302788844627</v>
      </c>
      <c r="R446" s="2" t="str">
        <f t="shared" si="32"/>
        <v>Inefficient</v>
      </c>
      <c r="S446" s="2" t="str">
        <f t="shared" si="33"/>
        <v>Very Long</v>
      </c>
      <c r="T446" s="2" t="str">
        <f t="shared" si="34"/>
        <v>Major Delay</v>
      </c>
    </row>
    <row r="447" spans="1:20" x14ac:dyDescent="0.35">
      <c r="A447" s="2" t="s">
        <v>1069</v>
      </c>
      <c r="B447" s="2" t="s">
        <v>31</v>
      </c>
      <c r="C447" s="2" t="s">
        <v>1070</v>
      </c>
      <c r="D447" s="2" t="s">
        <v>48</v>
      </c>
      <c r="E447" s="2" t="s">
        <v>33</v>
      </c>
      <c r="F447" s="2" t="s">
        <v>20</v>
      </c>
      <c r="G447" s="2" t="s">
        <v>68</v>
      </c>
      <c r="H447" s="3">
        <v>45468.087500000001</v>
      </c>
      <c r="I447" s="3">
        <v>45468.21875</v>
      </c>
      <c r="J447" s="2">
        <v>117</v>
      </c>
      <c r="K447" s="2">
        <v>189</v>
      </c>
      <c r="L447" s="2">
        <v>1</v>
      </c>
      <c r="M447" s="2" t="s">
        <v>22</v>
      </c>
      <c r="N447" s="2">
        <v>5</v>
      </c>
      <c r="O447" s="2">
        <v>275.77999999999997</v>
      </c>
      <c r="P447" s="2">
        <f t="shared" si="30"/>
        <v>72</v>
      </c>
      <c r="Q447" s="4">
        <f t="shared" si="31"/>
        <v>0.61904761904761907</v>
      </c>
      <c r="R447" s="2" t="str">
        <f t="shared" si="32"/>
        <v>Inefficient</v>
      </c>
      <c r="S447" s="2" t="str">
        <f t="shared" si="33"/>
        <v>Very Long</v>
      </c>
      <c r="T447" s="2" t="str">
        <f t="shared" si="34"/>
        <v>Major Delay</v>
      </c>
    </row>
    <row r="448" spans="1:20" x14ac:dyDescent="0.35">
      <c r="A448" s="2" t="s">
        <v>1071</v>
      </c>
      <c r="B448" s="2" t="s">
        <v>16</v>
      </c>
      <c r="C448" s="2" t="s">
        <v>1072</v>
      </c>
      <c r="D448" s="2" t="s">
        <v>26</v>
      </c>
      <c r="E448" s="2" t="s">
        <v>33</v>
      </c>
      <c r="F448" s="2" t="s">
        <v>34</v>
      </c>
      <c r="G448" s="2" t="s">
        <v>88</v>
      </c>
      <c r="H448" s="3">
        <v>45608.465277777781</v>
      </c>
      <c r="I448" s="3">
        <v>45608.55972222222</v>
      </c>
      <c r="J448" s="2">
        <v>137</v>
      </c>
      <c r="K448" s="2">
        <v>136</v>
      </c>
      <c r="L448" s="2">
        <v>0</v>
      </c>
      <c r="M448" s="2" t="s">
        <v>41</v>
      </c>
      <c r="N448" s="2">
        <v>6</v>
      </c>
      <c r="O448" s="2">
        <v>249.96</v>
      </c>
      <c r="P448" s="2">
        <f t="shared" si="30"/>
        <v>-1</v>
      </c>
      <c r="Q448" s="4">
        <f t="shared" si="31"/>
        <v>1.0073529411764706</v>
      </c>
      <c r="R448" s="2" t="str">
        <f t="shared" si="32"/>
        <v>Efficient</v>
      </c>
      <c r="S448" s="2" t="str">
        <f t="shared" si="33"/>
        <v>Very Long</v>
      </c>
      <c r="T448" s="2" t="str">
        <f t="shared" si="34"/>
        <v>On Time</v>
      </c>
    </row>
    <row r="449" spans="1:20" x14ac:dyDescent="0.35">
      <c r="A449" s="2" t="s">
        <v>1073</v>
      </c>
      <c r="B449" s="2" t="s">
        <v>51</v>
      </c>
      <c r="C449" s="2" t="s">
        <v>1074</v>
      </c>
      <c r="D449" s="2" t="s">
        <v>44</v>
      </c>
      <c r="E449" s="2" t="s">
        <v>38</v>
      </c>
      <c r="F449" s="2" t="s">
        <v>34</v>
      </c>
      <c r="G449" s="2" t="s">
        <v>170</v>
      </c>
      <c r="H449" s="3">
        <v>45560.688888888886</v>
      </c>
      <c r="I449" s="3">
        <v>45560.775000000001</v>
      </c>
      <c r="J449" s="2">
        <v>98</v>
      </c>
      <c r="K449" s="2">
        <v>124</v>
      </c>
      <c r="L449" s="2">
        <v>1</v>
      </c>
      <c r="M449" s="2" t="s">
        <v>22</v>
      </c>
      <c r="N449" s="2">
        <v>5</v>
      </c>
      <c r="O449" s="2">
        <v>438.4</v>
      </c>
      <c r="P449" s="2">
        <f t="shared" si="30"/>
        <v>26</v>
      </c>
      <c r="Q449" s="4">
        <f t="shared" si="31"/>
        <v>0.79032258064516125</v>
      </c>
      <c r="R449" s="2" t="str">
        <f t="shared" si="32"/>
        <v>Inefficient</v>
      </c>
      <c r="S449" s="2" t="str">
        <f t="shared" si="33"/>
        <v>Very Long</v>
      </c>
      <c r="T449" s="2" t="str">
        <f t="shared" si="34"/>
        <v>Minor Delay</v>
      </c>
    </row>
    <row r="450" spans="1:20" x14ac:dyDescent="0.35">
      <c r="A450" s="2" t="s">
        <v>1075</v>
      </c>
      <c r="B450" s="2" t="s">
        <v>51</v>
      </c>
      <c r="C450" s="2" t="s">
        <v>1076</v>
      </c>
      <c r="D450" s="2" t="s">
        <v>26</v>
      </c>
      <c r="E450" s="2" t="s">
        <v>38</v>
      </c>
      <c r="F450" s="2" t="s">
        <v>57</v>
      </c>
      <c r="G450" s="2" t="s">
        <v>296</v>
      </c>
      <c r="H450" s="3">
        <v>45595.748611111114</v>
      </c>
      <c r="I450" s="3">
        <v>45595.853472222225</v>
      </c>
      <c r="J450" s="2">
        <v>101</v>
      </c>
      <c r="K450" s="2">
        <v>151</v>
      </c>
      <c r="L450" s="2">
        <v>1</v>
      </c>
      <c r="M450" s="2" t="s">
        <v>29</v>
      </c>
      <c r="N450" s="2">
        <v>10</v>
      </c>
      <c r="O450" s="2">
        <v>383.86</v>
      </c>
      <c r="P450" s="2">
        <f t="shared" si="30"/>
        <v>50</v>
      </c>
      <c r="Q450" s="4">
        <f t="shared" si="31"/>
        <v>0.66887417218543044</v>
      </c>
      <c r="R450" s="2" t="str">
        <f t="shared" si="32"/>
        <v>Inefficient</v>
      </c>
      <c r="S450" s="2" t="str">
        <f t="shared" si="33"/>
        <v>Very Long</v>
      </c>
      <c r="T450" s="2" t="str">
        <f t="shared" si="34"/>
        <v>Major Delay</v>
      </c>
    </row>
    <row r="451" spans="1:20" x14ac:dyDescent="0.35">
      <c r="A451" s="2" t="s">
        <v>1077</v>
      </c>
      <c r="B451" s="2" t="s">
        <v>24</v>
      </c>
      <c r="C451" s="2" t="s">
        <v>1078</v>
      </c>
      <c r="D451" s="2" t="s">
        <v>26</v>
      </c>
      <c r="E451" s="2" t="s">
        <v>38</v>
      </c>
      <c r="F451" s="2" t="s">
        <v>27</v>
      </c>
      <c r="G451" s="2" t="s">
        <v>45</v>
      </c>
      <c r="H451" s="3">
        <v>45300.038888888892</v>
      </c>
      <c r="I451" s="3">
        <v>45300.250694444447</v>
      </c>
      <c r="J451" s="2">
        <v>217</v>
      </c>
      <c r="K451" s="2">
        <v>305</v>
      </c>
      <c r="L451" s="2">
        <v>1</v>
      </c>
      <c r="M451" s="2" t="s">
        <v>22</v>
      </c>
      <c r="N451" s="2">
        <v>10</v>
      </c>
      <c r="O451" s="2">
        <v>67.510000000000005</v>
      </c>
      <c r="P451" s="2">
        <f t="shared" ref="P451:P514" si="35">K451-J451</f>
        <v>88</v>
      </c>
      <c r="Q451" s="4">
        <f t="shared" ref="Q451:Q514" si="36">J451/K451</f>
        <v>0.71147540983606561</v>
      </c>
      <c r="R451" s="2" t="str">
        <f t="shared" ref="R451:R514" si="37">IF(Q451&gt;1,"Efficient",
IF(Q451=1,"On Target","Inefficient"))</f>
        <v>Inefficient</v>
      </c>
      <c r="S451" s="2" t="str">
        <f t="shared" ref="S451:S514" si="38">IF(K451&lt;30,"Short",
IF(K451&lt;60,"Medium",
IF(K451&lt;120,"Long","Very Long")))</f>
        <v>Very Long</v>
      </c>
      <c r="T451" s="2" t="str">
        <f t="shared" ref="T451:T514" si="39">IF(K451&lt;=J451,"On Time",
IF(K451-J451&lt;=30,"Minor Delay","Major Delay"))</f>
        <v>Major Delay</v>
      </c>
    </row>
    <row r="452" spans="1:20" x14ac:dyDescent="0.35">
      <c r="A452" s="2" t="s">
        <v>1079</v>
      </c>
      <c r="B452" s="2" t="s">
        <v>24</v>
      </c>
      <c r="C452" s="2" t="s">
        <v>1080</v>
      </c>
      <c r="D452" s="2" t="s">
        <v>48</v>
      </c>
      <c r="E452" s="2" t="s">
        <v>38</v>
      </c>
      <c r="F452" s="2" t="s">
        <v>27</v>
      </c>
      <c r="G452" s="2" t="s">
        <v>288</v>
      </c>
      <c r="H452" s="3">
        <v>45616.977083333331</v>
      </c>
      <c r="I452" s="3">
        <v>45617.115277777775</v>
      </c>
      <c r="J452" s="2">
        <v>149</v>
      </c>
      <c r="K452" s="2">
        <v>199</v>
      </c>
      <c r="L452" s="2">
        <v>1</v>
      </c>
      <c r="M452" s="2" t="s">
        <v>41</v>
      </c>
      <c r="N452" s="2">
        <v>1</v>
      </c>
      <c r="O452" s="2">
        <v>255.07</v>
      </c>
      <c r="P452" s="2">
        <f t="shared" si="35"/>
        <v>50</v>
      </c>
      <c r="Q452" s="4">
        <f t="shared" si="36"/>
        <v>0.74874371859296485</v>
      </c>
      <c r="R452" s="2" t="str">
        <f t="shared" si="37"/>
        <v>Inefficient</v>
      </c>
      <c r="S452" s="2" t="str">
        <f t="shared" si="38"/>
        <v>Very Long</v>
      </c>
      <c r="T452" s="2" t="str">
        <f t="shared" si="39"/>
        <v>Major Delay</v>
      </c>
    </row>
    <row r="453" spans="1:20" x14ac:dyDescent="0.35">
      <c r="A453" s="2" t="s">
        <v>1081</v>
      </c>
      <c r="B453" s="2" t="s">
        <v>24</v>
      </c>
      <c r="C453" s="2" t="s">
        <v>1082</v>
      </c>
      <c r="D453" s="2" t="s">
        <v>18</v>
      </c>
      <c r="E453" s="2" t="s">
        <v>33</v>
      </c>
      <c r="F453" s="2" t="s">
        <v>57</v>
      </c>
      <c r="G453" s="2" t="s">
        <v>631</v>
      </c>
      <c r="H453" s="3">
        <v>45656.597222222219</v>
      </c>
      <c r="I453" s="3">
        <v>45656.690972222219</v>
      </c>
      <c r="J453" s="2">
        <v>68</v>
      </c>
      <c r="K453" s="2">
        <v>135</v>
      </c>
      <c r="L453" s="2">
        <v>1</v>
      </c>
      <c r="M453" s="2" t="s">
        <v>22</v>
      </c>
      <c r="N453" s="2">
        <v>10</v>
      </c>
      <c r="O453" s="2">
        <v>288.37</v>
      </c>
      <c r="P453" s="2">
        <f t="shared" si="35"/>
        <v>67</v>
      </c>
      <c r="Q453" s="4">
        <f t="shared" si="36"/>
        <v>0.50370370370370365</v>
      </c>
      <c r="R453" s="2" t="str">
        <f t="shared" si="37"/>
        <v>Inefficient</v>
      </c>
      <c r="S453" s="2" t="str">
        <f t="shared" si="38"/>
        <v>Very Long</v>
      </c>
      <c r="T453" s="2" t="str">
        <f t="shared" si="39"/>
        <v>Major Delay</v>
      </c>
    </row>
    <row r="454" spans="1:20" x14ac:dyDescent="0.35">
      <c r="A454" s="2" t="s">
        <v>1083</v>
      </c>
      <c r="B454" s="2" t="s">
        <v>31</v>
      </c>
      <c r="C454" s="2" t="s">
        <v>1084</v>
      </c>
      <c r="D454" s="2" t="s">
        <v>48</v>
      </c>
      <c r="E454" s="2" t="s">
        <v>38</v>
      </c>
      <c r="F454" s="2" t="s">
        <v>57</v>
      </c>
      <c r="G454" s="2" t="s">
        <v>445</v>
      </c>
      <c r="H454" s="3">
        <v>45574.991666666669</v>
      </c>
      <c r="I454" s="3">
        <v>45575.056944444441</v>
      </c>
      <c r="J454" s="2">
        <v>25</v>
      </c>
      <c r="K454" s="2">
        <v>94</v>
      </c>
      <c r="L454" s="2">
        <v>1</v>
      </c>
      <c r="M454" s="2" t="s">
        <v>22</v>
      </c>
      <c r="N454" s="2">
        <v>4</v>
      </c>
      <c r="O454" s="2">
        <v>282.18</v>
      </c>
      <c r="P454" s="2">
        <f t="shared" si="35"/>
        <v>69</v>
      </c>
      <c r="Q454" s="4">
        <f t="shared" si="36"/>
        <v>0.26595744680851063</v>
      </c>
      <c r="R454" s="2" t="str">
        <f t="shared" si="37"/>
        <v>Inefficient</v>
      </c>
      <c r="S454" s="2" t="str">
        <f t="shared" si="38"/>
        <v>Long</v>
      </c>
      <c r="T454" s="2" t="str">
        <f t="shared" si="39"/>
        <v>Major Delay</v>
      </c>
    </row>
    <row r="455" spans="1:20" x14ac:dyDescent="0.35">
      <c r="A455" s="2" t="s">
        <v>1085</v>
      </c>
      <c r="B455" s="2" t="s">
        <v>63</v>
      </c>
      <c r="C455" s="2" t="s">
        <v>1086</v>
      </c>
      <c r="D455" s="2" t="s">
        <v>18</v>
      </c>
      <c r="E455" s="2" t="s">
        <v>19</v>
      </c>
      <c r="F455" s="2" t="s">
        <v>57</v>
      </c>
      <c r="G455" s="2" t="s">
        <v>321</v>
      </c>
      <c r="H455" s="3">
        <v>45296.897222222222</v>
      </c>
      <c r="I455" s="3">
        <v>45297.074305555558</v>
      </c>
      <c r="J455" s="2">
        <v>141</v>
      </c>
      <c r="K455" s="2">
        <v>255</v>
      </c>
      <c r="L455" s="2">
        <v>1</v>
      </c>
      <c r="M455" s="2" t="s">
        <v>41</v>
      </c>
      <c r="N455" s="2">
        <v>3</v>
      </c>
      <c r="O455" s="2">
        <v>436.54</v>
      </c>
      <c r="P455" s="2">
        <f t="shared" si="35"/>
        <v>114</v>
      </c>
      <c r="Q455" s="4">
        <f t="shared" si="36"/>
        <v>0.55294117647058827</v>
      </c>
      <c r="R455" s="2" t="str">
        <f t="shared" si="37"/>
        <v>Inefficient</v>
      </c>
      <c r="S455" s="2" t="str">
        <f t="shared" si="38"/>
        <v>Very Long</v>
      </c>
      <c r="T455" s="2" t="str">
        <f t="shared" si="39"/>
        <v>Major Delay</v>
      </c>
    </row>
    <row r="456" spans="1:20" x14ac:dyDescent="0.35">
      <c r="A456" s="2" t="s">
        <v>1087</v>
      </c>
      <c r="B456" s="2" t="s">
        <v>31</v>
      </c>
      <c r="C456" s="2" t="s">
        <v>1088</v>
      </c>
      <c r="D456" s="2" t="s">
        <v>18</v>
      </c>
      <c r="E456" s="2" t="s">
        <v>85</v>
      </c>
      <c r="F456" s="2" t="s">
        <v>20</v>
      </c>
      <c r="G456" s="2" t="s">
        <v>602</v>
      </c>
      <c r="H456" s="3">
        <v>45565.673611111109</v>
      </c>
      <c r="I456" s="3">
        <v>45565.836805555555</v>
      </c>
      <c r="J456" s="2">
        <v>184</v>
      </c>
      <c r="K456" s="2">
        <v>235</v>
      </c>
      <c r="L456" s="2">
        <v>1</v>
      </c>
      <c r="M456" s="2" t="s">
        <v>22</v>
      </c>
      <c r="N456" s="2">
        <v>2</v>
      </c>
      <c r="O456" s="2">
        <v>374.34</v>
      </c>
      <c r="P456" s="2">
        <f t="shared" si="35"/>
        <v>51</v>
      </c>
      <c r="Q456" s="4">
        <f t="shared" si="36"/>
        <v>0.78297872340425534</v>
      </c>
      <c r="R456" s="2" t="str">
        <f t="shared" si="37"/>
        <v>Inefficient</v>
      </c>
      <c r="S456" s="2" t="str">
        <f t="shared" si="38"/>
        <v>Very Long</v>
      </c>
      <c r="T456" s="2" t="str">
        <f t="shared" si="39"/>
        <v>Major Delay</v>
      </c>
    </row>
    <row r="457" spans="1:20" x14ac:dyDescent="0.35">
      <c r="A457" s="2" t="s">
        <v>1089</v>
      </c>
      <c r="B457" s="2" t="s">
        <v>16</v>
      </c>
      <c r="C457" s="2" t="s">
        <v>1090</v>
      </c>
      <c r="D457" s="2" t="s">
        <v>56</v>
      </c>
      <c r="E457" s="2" t="s">
        <v>85</v>
      </c>
      <c r="F457" s="2" t="s">
        <v>20</v>
      </c>
      <c r="G457" s="2" t="s">
        <v>146</v>
      </c>
      <c r="H457" s="3">
        <v>45605.481944444444</v>
      </c>
      <c r="I457" s="3">
        <v>45605.640972222223</v>
      </c>
      <c r="J457" s="2">
        <v>182</v>
      </c>
      <c r="K457" s="2">
        <v>229</v>
      </c>
      <c r="L457" s="2">
        <v>1</v>
      </c>
      <c r="M457" s="2" t="s">
        <v>22</v>
      </c>
      <c r="N457" s="2">
        <v>9</v>
      </c>
      <c r="O457" s="2">
        <v>287.49</v>
      </c>
      <c r="P457" s="2">
        <f t="shared" si="35"/>
        <v>47</v>
      </c>
      <c r="Q457" s="4">
        <f t="shared" si="36"/>
        <v>0.79475982532751088</v>
      </c>
      <c r="R457" s="2" t="str">
        <f t="shared" si="37"/>
        <v>Inefficient</v>
      </c>
      <c r="S457" s="2" t="str">
        <f t="shared" si="38"/>
        <v>Very Long</v>
      </c>
      <c r="T457" s="2" t="str">
        <f t="shared" si="39"/>
        <v>Major Delay</v>
      </c>
    </row>
    <row r="458" spans="1:20" x14ac:dyDescent="0.35">
      <c r="A458" s="2" t="s">
        <v>1091</v>
      </c>
      <c r="B458" s="2" t="s">
        <v>63</v>
      </c>
      <c r="C458" s="2" t="s">
        <v>1092</v>
      </c>
      <c r="D458" s="2" t="s">
        <v>18</v>
      </c>
      <c r="E458" s="2" t="s">
        <v>85</v>
      </c>
      <c r="F458" s="2" t="s">
        <v>27</v>
      </c>
      <c r="G458" s="2" t="s">
        <v>988</v>
      </c>
      <c r="H458" s="3">
        <v>45634.801388888889</v>
      </c>
      <c r="I458" s="3">
        <v>45634.920138888891</v>
      </c>
      <c r="J458" s="2">
        <v>152</v>
      </c>
      <c r="K458" s="2">
        <v>171</v>
      </c>
      <c r="L458" s="2">
        <v>1</v>
      </c>
      <c r="M458" s="2" t="s">
        <v>22</v>
      </c>
      <c r="N458" s="2">
        <v>9</v>
      </c>
      <c r="O458" s="2">
        <v>160.22</v>
      </c>
      <c r="P458" s="2">
        <f t="shared" si="35"/>
        <v>19</v>
      </c>
      <c r="Q458" s="4">
        <f t="shared" si="36"/>
        <v>0.88888888888888884</v>
      </c>
      <c r="R458" s="2" t="str">
        <f t="shared" si="37"/>
        <v>Inefficient</v>
      </c>
      <c r="S458" s="2" t="str">
        <f t="shared" si="38"/>
        <v>Very Long</v>
      </c>
      <c r="T458" s="2" t="str">
        <f t="shared" si="39"/>
        <v>Minor Delay</v>
      </c>
    </row>
    <row r="459" spans="1:20" x14ac:dyDescent="0.35">
      <c r="A459" s="2" t="s">
        <v>1093</v>
      </c>
      <c r="B459" s="2" t="s">
        <v>31</v>
      </c>
      <c r="C459" s="2" t="s">
        <v>1094</v>
      </c>
      <c r="D459" s="2" t="s">
        <v>44</v>
      </c>
      <c r="E459" s="2" t="s">
        <v>38</v>
      </c>
      <c r="F459" s="2" t="s">
        <v>39</v>
      </c>
      <c r="G459" s="2" t="s">
        <v>526</v>
      </c>
      <c r="H459" s="3">
        <v>45456.38958333333</v>
      </c>
      <c r="I459" s="3">
        <v>45456.570833333331</v>
      </c>
      <c r="J459" s="2">
        <v>214</v>
      </c>
      <c r="K459" s="2">
        <v>261</v>
      </c>
      <c r="L459" s="2">
        <v>1</v>
      </c>
      <c r="M459" s="2" t="s">
        <v>29</v>
      </c>
      <c r="N459" s="2">
        <v>10</v>
      </c>
      <c r="O459" s="2">
        <v>238.88</v>
      </c>
      <c r="P459" s="2">
        <f t="shared" si="35"/>
        <v>47</v>
      </c>
      <c r="Q459" s="4">
        <f t="shared" si="36"/>
        <v>0.81992337164750961</v>
      </c>
      <c r="R459" s="2" t="str">
        <f t="shared" si="37"/>
        <v>Inefficient</v>
      </c>
      <c r="S459" s="2" t="str">
        <f t="shared" si="38"/>
        <v>Very Long</v>
      </c>
      <c r="T459" s="2" t="str">
        <f t="shared" si="39"/>
        <v>Major Delay</v>
      </c>
    </row>
    <row r="460" spans="1:20" x14ac:dyDescent="0.35">
      <c r="A460" s="2" t="s">
        <v>1095</v>
      </c>
      <c r="B460" s="2" t="s">
        <v>63</v>
      </c>
      <c r="C460" s="2" t="s">
        <v>1096</v>
      </c>
      <c r="D460" s="2" t="s">
        <v>18</v>
      </c>
      <c r="E460" s="2" t="s">
        <v>85</v>
      </c>
      <c r="F460" s="2" t="s">
        <v>20</v>
      </c>
      <c r="G460" s="2" t="s">
        <v>240</v>
      </c>
      <c r="H460" s="3">
        <v>45369.270138888889</v>
      </c>
      <c r="I460" s="3">
        <v>45369.357638888891</v>
      </c>
      <c r="J460" s="2">
        <v>45</v>
      </c>
      <c r="K460" s="2">
        <v>126</v>
      </c>
      <c r="L460" s="2">
        <v>1</v>
      </c>
      <c r="M460" s="2" t="s">
        <v>22</v>
      </c>
      <c r="N460" s="2">
        <v>3</v>
      </c>
      <c r="O460" s="2">
        <v>125.33</v>
      </c>
      <c r="P460" s="2">
        <f t="shared" si="35"/>
        <v>81</v>
      </c>
      <c r="Q460" s="4">
        <f t="shared" si="36"/>
        <v>0.35714285714285715</v>
      </c>
      <c r="R460" s="2" t="str">
        <f t="shared" si="37"/>
        <v>Inefficient</v>
      </c>
      <c r="S460" s="2" t="str">
        <f t="shared" si="38"/>
        <v>Very Long</v>
      </c>
      <c r="T460" s="2" t="str">
        <f t="shared" si="39"/>
        <v>Major Delay</v>
      </c>
    </row>
    <row r="461" spans="1:20" x14ac:dyDescent="0.35">
      <c r="A461" s="2" t="s">
        <v>1097</v>
      </c>
      <c r="B461" s="2" t="s">
        <v>63</v>
      </c>
      <c r="C461" s="2" t="s">
        <v>1098</v>
      </c>
      <c r="D461" s="2" t="s">
        <v>26</v>
      </c>
      <c r="E461" s="2" t="s">
        <v>85</v>
      </c>
      <c r="F461" s="2" t="s">
        <v>57</v>
      </c>
      <c r="G461" s="2" t="s">
        <v>335</v>
      </c>
      <c r="H461" s="3">
        <v>45440.053472222222</v>
      </c>
      <c r="I461" s="3">
        <v>45440.220833333333</v>
      </c>
      <c r="J461" s="2">
        <v>156</v>
      </c>
      <c r="K461" s="2">
        <v>241</v>
      </c>
      <c r="L461" s="2">
        <v>1</v>
      </c>
      <c r="M461" s="2" t="s">
        <v>41</v>
      </c>
      <c r="N461" s="2">
        <v>3</v>
      </c>
      <c r="O461" s="2">
        <v>368.83</v>
      </c>
      <c r="P461" s="2">
        <f t="shared" si="35"/>
        <v>85</v>
      </c>
      <c r="Q461" s="4">
        <f t="shared" si="36"/>
        <v>0.64730290456431538</v>
      </c>
      <c r="R461" s="2" t="str">
        <f t="shared" si="37"/>
        <v>Inefficient</v>
      </c>
      <c r="S461" s="2" t="str">
        <f t="shared" si="38"/>
        <v>Very Long</v>
      </c>
      <c r="T461" s="2" t="str">
        <f t="shared" si="39"/>
        <v>Major Delay</v>
      </c>
    </row>
    <row r="462" spans="1:20" x14ac:dyDescent="0.35">
      <c r="A462" s="2" t="s">
        <v>1099</v>
      </c>
      <c r="B462" s="2" t="s">
        <v>63</v>
      </c>
      <c r="C462" s="2" t="s">
        <v>1100</v>
      </c>
      <c r="D462" s="2" t="s">
        <v>56</v>
      </c>
      <c r="E462" s="2" t="s">
        <v>19</v>
      </c>
      <c r="F462" s="2" t="s">
        <v>27</v>
      </c>
      <c r="G462" s="2" t="s">
        <v>681</v>
      </c>
      <c r="H462" s="3">
        <v>45519.82916666667</v>
      </c>
      <c r="I462" s="3">
        <v>45519.957638888889</v>
      </c>
      <c r="J462" s="2">
        <v>142</v>
      </c>
      <c r="K462" s="2">
        <v>185</v>
      </c>
      <c r="L462" s="2">
        <v>1</v>
      </c>
      <c r="M462" s="2" t="s">
        <v>41</v>
      </c>
      <c r="N462" s="2">
        <v>7</v>
      </c>
      <c r="O462" s="2">
        <v>341.62</v>
      </c>
      <c r="P462" s="2">
        <f t="shared" si="35"/>
        <v>43</v>
      </c>
      <c r="Q462" s="4">
        <f t="shared" si="36"/>
        <v>0.76756756756756761</v>
      </c>
      <c r="R462" s="2" t="str">
        <f t="shared" si="37"/>
        <v>Inefficient</v>
      </c>
      <c r="S462" s="2" t="str">
        <f t="shared" si="38"/>
        <v>Very Long</v>
      </c>
      <c r="T462" s="2" t="str">
        <f t="shared" si="39"/>
        <v>Major Delay</v>
      </c>
    </row>
    <row r="463" spans="1:20" x14ac:dyDescent="0.35">
      <c r="A463" s="2" t="s">
        <v>1101</v>
      </c>
      <c r="B463" s="2" t="s">
        <v>24</v>
      </c>
      <c r="C463" s="2" t="s">
        <v>1102</v>
      </c>
      <c r="D463" s="2" t="s">
        <v>26</v>
      </c>
      <c r="E463" s="2" t="s">
        <v>85</v>
      </c>
      <c r="F463" s="2" t="s">
        <v>34</v>
      </c>
      <c r="G463" s="2" t="s">
        <v>117</v>
      </c>
      <c r="H463" s="3">
        <v>45568.395138888889</v>
      </c>
      <c r="I463" s="3">
        <v>45568.455555555556</v>
      </c>
      <c r="J463" s="2">
        <v>45</v>
      </c>
      <c r="K463" s="2">
        <v>87</v>
      </c>
      <c r="L463" s="2">
        <v>1</v>
      </c>
      <c r="M463" s="2" t="s">
        <v>22</v>
      </c>
      <c r="N463" s="2">
        <v>1</v>
      </c>
      <c r="O463" s="2">
        <v>135.22</v>
      </c>
      <c r="P463" s="2">
        <f t="shared" si="35"/>
        <v>42</v>
      </c>
      <c r="Q463" s="4">
        <f t="shared" si="36"/>
        <v>0.51724137931034486</v>
      </c>
      <c r="R463" s="2" t="str">
        <f t="shared" si="37"/>
        <v>Inefficient</v>
      </c>
      <c r="S463" s="2" t="str">
        <f t="shared" si="38"/>
        <v>Long</v>
      </c>
      <c r="T463" s="2" t="str">
        <f t="shared" si="39"/>
        <v>Major Delay</v>
      </c>
    </row>
    <row r="464" spans="1:20" x14ac:dyDescent="0.35">
      <c r="A464" s="2" t="s">
        <v>1103</v>
      </c>
      <c r="B464" s="2" t="s">
        <v>63</v>
      </c>
      <c r="C464" s="2" t="s">
        <v>1104</v>
      </c>
      <c r="D464" s="2" t="s">
        <v>18</v>
      </c>
      <c r="E464" s="2" t="s">
        <v>33</v>
      </c>
      <c r="F464" s="2" t="s">
        <v>20</v>
      </c>
      <c r="G464" s="2" t="s">
        <v>470</v>
      </c>
      <c r="H464" s="3">
        <v>45593.895833333336</v>
      </c>
      <c r="I464" s="3">
        <v>45594.064583333333</v>
      </c>
      <c r="J464" s="2">
        <v>128</v>
      </c>
      <c r="K464" s="2">
        <v>243</v>
      </c>
      <c r="L464" s="2">
        <v>1</v>
      </c>
      <c r="M464" s="2" t="s">
        <v>29</v>
      </c>
      <c r="N464" s="2">
        <v>1</v>
      </c>
      <c r="O464" s="2">
        <v>100.96</v>
      </c>
      <c r="P464" s="2">
        <f t="shared" si="35"/>
        <v>115</v>
      </c>
      <c r="Q464" s="4">
        <f t="shared" si="36"/>
        <v>0.52674897119341568</v>
      </c>
      <c r="R464" s="2" t="str">
        <f t="shared" si="37"/>
        <v>Inefficient</v>
      </c>
      <c r="S464" s="2" t="str">
        <f t="shared" si="38"/>
        <v>Very Long</v>
      </c>
      <c r="T464" s="2" t="str">
        <f t="shared" si="39"/>
        <v>Major Delay</v>
      </c>
    </row>
    <row r="465" spans="1:20" x14ac:dyDescent="0.35">
      <c r="A465" s="2" t="s">
        <v>1105</v>
      </c>
      <c r="B465" s="2" t="s">
        <v>16</v>
      </c>
      <c r="C465" s="2" t="s">
        <v>1106</v>
      </c>
      <c r="D465" s="2" t="s">
        <v>44</v>
      </c>
      <c r="E465" s="2" t="s">
        <v>19</v>
      </c>
      <c r="F465" s="2" t="s">
        <v>39</v>
      </c>
      <c r="G465" s="2" t="s">
        <v>170</v>
      </c>
      <c r="H465" s="3">
        <v>45517.532638888886</v>
      </c>
      <c r="I465" s="3">
        <v>45517.696527777778</v>
      </c>
      <c r="J465" s="2">
        <v>119</v>
      </c>
      <c r="K465" s="2">
        <v>236</v>
      </c>
      <c r="L465" s="2">
        <v>1</v>
      </c>
      <c r="M465" s="2" t="s">
        <v>29</v>
      </c>
      <c r="N465" s="2">
        <v>8</v>
      </c>
      <c r="O465" s="2">
        <v>323.33999999999997</v>
      </c>
      <c r="P465" s="2">
        <f t="shared" si="35"/>
        <v>117</v>
      </c>
      <c r="Q465" s="4">
        <f t="shared" si="36"/>
        <v>0.50423728813559321</v>
      </c>
      <c r="R465" s="2" t="str">
        <f t="shared" si="37"/>
        <v>Inefficient</v>
      </c>
      <c r="S465" s="2" t="str">
        <f t="shared" si="38"/>
        <v>Very Long</v>
      </c>
      <c r="T465" s="2" t="str">
        <f t="shared" si="39"/>
        <v>Major Delay</v>
      </c>
    </row>
    <row r="466" spans="1:20" x14ac:dyDescent="0.35">
      <c r="A466" s="2" t="s">
        <v>1107</v>
      </c>
      <c r="B466" s="2" t="s">
        <v>16</v>
      </c>
      <c r="C466" s="2" t="s">
        <v>1108</v>
      </c>
      <c r="D466" s="2" t="s">
        <v>26</v>
      </c>
      <c r="E466" s="2" t="s">
        <v>33</v>
      </c>
      <c r="F466" s="2" t="s">
        <v>20</v>
      </c>
      <c r="G466" s="2" t="s">
        <v>234</v>
      </c>
      <c r="H466" s="3">
        <v>45466.067361111112</v>
      </c>
      <c r="I466" s="3">
        <v>45466.172222222223</v>
      </c>
      <c r="J466" s="2">
        <v>106</v>
      </c>
      <c r="K466" s="2">
        <v>151</v>
      </c>
      <c r="L466" s="2">
        <v>1</v>
      </c>
      <c r="M466" s="2" t="s">
        <v>29</v>
      </c>
      <c r="N466" s="2">
        <v>4</v>
      </c>
      <c r="O466" s="2">
        <v>313.77999999999997</v>
      </c>
      <c r="P466" s="2">
        <f t="shared" si="35"/>
        <v>45</v>
      </c>
      <c r="Q466" s="4">
        <f t="shared" si="36"/>
        <v>0.70198675496688745</v>
      </c>
      <c r="R466" s="2" t="str">
        <f t="shared" si="37"/>
        <v>Inefficient</v>
      </c>
      <c r="S466" s="2" t="str">
        <f t="shared" si="38"/>
        <v>Very Long</v>
      </c>
      <c r="T466" s="2" t="str">
        <f t="shared" si="39"/>
        <v>Major Delay</v>
      </c>
    </row>
    <row r="467" spans="1:20" x14ac:dyDescent="0.35">
      <c r="A467" s="2" t="s">
        <v>1109</v>
      </c>
      <c r="B467" s="2" t="s">
        <v>16</v>
      </c>
      <c r="C467" s="2" t="s">
        <v>1110</v>
      </c>
      <c r="D467" s="2" t="s">
        <v>56</v>
      </c>
      <c r="E467" s="2" t="s">
        <v>85</v>
      </c>
      <c r="F467" s="2" t="s">
        <v>39</v>
      </c>
      <c r="G467" s="2" t="s">
        <v>631</v>
      </c>
      <c r="H467" s="3">
        <v>45557.073611111111</v>
      </c>
      <c r="I467" s="3">
        <v>45557.214583333334</v>
      </c>
      <c r="J467" s="2">
        <v>129</v>
      </c>
      <c r="K467" s="2">
        <v>203</v>
      </c>
      <c r="L467" s="2">
        <v>1</v>
      </c>
      <c r="M467" s="2" t="s">
        <v>22</v>
      </c>
      <c r="N467" s="2">
        <v>10</v>
      </c>
      <c r="O467" s="2">
        <v>201.19</v>
      </c>
      <c r="P467" s="2">
        <f t="shared" si="35"/>
        <v>74</v>
      </c>
      <c r="Q467" s="4">
        <f t="shared" si="36"/>
        <v>0.6354679802955665</v>
      </c>
      <c r="R467" s="2" t="str">
        <f t="shared" si="37"/>
        <v>Inefficient</v>
      </c>
      <c r="S467" s="2" t="str">
        <f t="shared" si="38"/>
        <v>Very Long</v>
      </c>
      <c r="T467" s="2" t="str">
        <f t="shared" si="39"/>
        <v>Major Delay</v>
      </c>
    </row>
    <row r="468" spans="1:20" x14ac:dyDescent="0.35">
      <c r="A468" s="2" t="s">
        <v>1111</v>
      </c>
      <c r="B468" s="2" t="s">
        <v>51</v>
      </c>
      <c r="C468" s="2" t="s">
        <v>1112</v>
      </c>
      <c r="D468" s="2" t="s">
        <v>56</v>
      </c>
      <c r="E468" s="2" t="s">
        <v>38</v>
      </c>
      <c r="F468" s="2" t="s">
        <v>27</v>
      </c>
      <c r="G468" s="2" t="s">
        <v>330</v>
      </c>
      <c r="H468" s="3">
        <v>45420.895138888889</v>
      </c>
      <c r="I468" s="3">
        <v>45420.963888888888</v>
      </c>
      <c r="J468" s="2">
        <v>23</v>
      </c>
      <c r="K468" s="2">
        <v>99</v>
      </c>
      <c r="L468" s="2">
        <v>1</v>
      </c>
      <c r="M468" s="2" t="s">
        <v>41</v>
      </c>
      <c r="N468" s="2">
        <v>1</v>
      </c>
      <c r="O468" s="2">
        <v>401.79</v>
      </c>
      <c r="P468" s="2">
        <f t="shared" si="35"/>
        <v>76</v>
      </c>
      <c r="Q468" s="4">
        <f t="shared" si="36"/>
        <v>0.23232323232323232</v>
      </c>
      <c r="R468" s="2" t="str">
        <f t="shared" si="37"/>
        <v>Inefficient</v>
      </c>
      <c r="S468" s="2" t="str">
        <f t="shared" si="38"/>
        <v>Long</v>
      </c>
      <c r="T468" s="2" t="str">
        <f t="shared" si="39"/>
        <v>Major Delay</v>
      </c>
    </row>
    <row r="469" spans="1:20" x14ac:dyDescent="0.35">
      <c r="A469" s="2" t="s">
        <v>1113</v>
      </c>
      <c r="B469" s="2" t="s">
        <v>51</v>
      </c>
      <c r="C469" s="2" t="s">
        <v>1114</v>
      </c>
      <c r="D469" s="2" t="s">
        <v>48</v>
      </c>
      <c r="E469" s="2" t="s">
        <v>19</v>
      </c>
      <c r="F469" s="2" t="s">
        <v>57</v>
      </c>
      <c r="G469" s="2" t="s">
        <v>210</v>
      </c>
      <c r="H469" s="3">
        <v>45324.254861111112</v>
      </c>
      <c r="I469" s="3">
        <v>45324.275694444441</v>
      </c>
      <c r="J469" s="2">
        <v>15</v>
      </c>
      <c r="K469" s="2">
        <v>30</v>
      </c>
      <c r="L469" s="2">
        <v>1</v>
      </c>
      <c r="M469" s="2" t="s">
        <v>41</v>
      </c>
      <c r="N469" s="2">
        <v>5</v>
      </c>
      <c r="O469" s="2">
        <v>211.68</v>
      </c>
      <c r="P469" s="2">
        <f t="shared" si="35"/>
        <v>15</v>
      </c>
      <c r="Q469" s="4">
        <f t="shared" si="36"/>
        <v>0.5</v>
      </c>
      <c r="R469" s="2" t="str">
        <f t="shared" si="37"/>
        <v>Inefficient</v>
      </c>
      <c r="S469" s="2" t="str">
        <f t="shared" si="38"/>
        <v>Medium</v>
      </c>
      <c r="T469" s="2" t="str">
        <f t="shared" si="39"/>
        <v>Minor Delay</v>
      </c>
    </row>
    <row r="470" spans="1:20" x14ac:dyDescent="0.35">
      <c r="A470" s="2" t="s">
        <v>1115</v>
      </c>
      <c r="B470" s="2" t="s">
        <v>24</v>
      </c>
      <c r="C470" s="2" t="s">
        <v>1116</v>
      </c>
      <c r="D470" s="2" t="s">
        <v>26</v>
      </c>
      <c r="E470" s="2" t="s">
        <v>38</v>
      </c>
      <c r="F470" s="2" t="s">
        <v>27</v>
      </c>
      <c r="G470" s="2" t="s">
        <v>599</v>
      </c>
      <c r="H470" s="3">
        <v>45406.449305555558</v>
      </c>
      <c r="I470" s="3">
        <v>45406.59375</v>
      </c>
      <c r="J470" s="2">
        <v>133</v>
      </c>
      <c r="K470" s="2">
        <v>208</v>
      </c>
      <c r="L470" s="2">
        <v>1</v>
      </c>
      <c r="M470" s="2" t="s">
        <v>22</v>
      </c>
      <c r="N470" s="2">
        <v>4</v>
      </c>
      <c r="O470" s="2">
        <v>252.3</v>
      </c>
      <c r="P470" s="2">
        <f t="shared" si="35"/>
        <v>75</v>
      </c>
      <c r="Q470" s="4">
        <f t="shared" si="36"/>
        <v>0.63942307692307687</v>
      </c>
      <c r="R470" s="2" t="str">
        <f t="shared" si="37"/>
        <v>Inefficient</v>
      </c>
      <c r="S470" s="2" t="str">
        <f t="shared" si="38"/>
        <v>Very Long</v>
      </c>
      <c r="T470" s="2" t="str">
        <f t="shared" si="39"/>
        <v>Major Delay</v>
      </c>
    </row>
    <row r="471" spans="1:20" x14ac:dyDescent="0.35">
      <c r="A471" s="2" t="s">
        <v>1117</v>
      </c>
      <c r="B471" s="2" t="s">
        <v>16</v>
      </c>
      <c r="C471" s="2" t="s">
        <v>1118</v>
      </c>
      <c r="D471" s="2" t="s">
        <v>44</v>
      </c>
      <c r="E471" s="2" t="s">
        <v>33</v>
      </c>
      <c r="F471" s="2" t="s">
        <v>39</v>
      </c>
      <c r="G471" s="2" t="s">
        <v>521</v>
      </c>
      <c r="H471" s="3">
        <v>45579.178472222222</v>
      </c>
      <c r="I471" s="3">
        <v>45579.34375</v>
      </c>
      <c r="J471" s="2">
        <v>139</v>
      </c>
      <c r="K471" s="2">
        <v>238</v>
      </c>
      <c r="L471" s="2">
        <v>1</v>
      </c>
      <c r="M471" s="2" t="s">
        <v>41</v>
      </c>
      <c r="N471" s="2">
        <v>9</v>
      </c>
      <c r="O471" s="2">
        <v>383.64</v>
      </c>
      <c r="P471" s="2">
        <f t="shared" si="35"/>
        <v>99</v>
      </c>
      <c r="Q471" s="4">
        <f t="shared" si="36"/>
        <v>0.58403361344537819</v>
      </c>
      <c r="R471" s="2" t="str">
        <f t="shared" si="37"/>
        <v>Inefficient</v>
      </c>
      <c r="S471" s="2" t="str">
        <f t="shared" si="38"/>
        <v>Very Long</v>
      </c>
      <c r="T471" s="2" t="str">
        <f t="shared" si="39"/>
        <v>Major Delay</v>
      </c>
    </row>
    <row r="472" spans="1:20" x14ac:dyDescent="0.35">
      <c r="A472" s="2" t="s">
        <v>1119</v>
      </c>
      <c r="B472" s="2" t="s">
        <v>51</v>
      </c>
      <c r="C472" s="2" t="s">
        <v>1120</v>
      </c>
      <c r="D472" s="2" t="s">
        <v>44</v>
      </c>
      <c r="E472" s="2" t="s">
        <v>85</v>
      </c>
      <c r="F472" s="2" t="s">
        <v>20</v>
      </c>
      <c r="G472" s="2" t="s">
        <v>988</v>
      </c>
      <c r="H472" s="3">
        <v>45593.447222222225</v>
      </c>
      <c r="I472" s="3">
        <v>45593.515972222223</v>
      </c>
      <c r="J472" s="2">
        <v>18</v>
      </c>
      <c r="K472" s="2">
        <v>99</v>
      </c>
      <c r="L472" s="2">
        <v>1</v>
      </c>
      <c r="M472" s="2" t="s">
        <v>41</v>
      </c>
      <c r="N472" s="2">
        <v>6</v>
      </c>
      <c r="O472" s="2">
        <v>497.26</v>
      </c>
      <c r="P472" s="2">
        <f t="shared" si="35"/>
        <v>81</v>
      </c>
      <c r="Q472" s="4">
        <f t="shared" si="36"/>
        <v>0.18181818181818182</v>
      </c>
      <c r="R472" s="2" t="str">
        <f t="shared" si="37"/>
        <v>Inefficient</v>
      </c>
      <c r="S472" s="2" t="str">
        <f t="shared" si="38"/>
        <v>Long</v>
      </c>
      <c r="T472" s="2" t="str">
        <f t="shared" si="39"/>
        <v>Major Delay</v>
      </c>
    </row>
    <row r="473" spans="1:20" x14ac:dyDescent="0.35">
      <c r="A473" s="2" t="s">
        <v>1121</v>
      </c>
      <c r="B473" s="2" t="s">
        <v>51</v>
      </c>
      <c r="C473" s="2" t="s">
        <v>1122</v>
      </c>
      <c r="D473" s="2" t="s">
        <v>56</v>
      </c>
      <c r="E473" s="2" t="s">
        <v>85</v>
      </c>
      <c r="F473" s="2" t="s">
        <v>34</v>
      </c>
      <c r="G473" s="2" t="s">
        <v>354</v>
      </c>
      <c r="H473" s="3">
        <v>45583.320833333331</v>
      </c>
      <c r="I473" s="3">
        <v>45583.42083333333</v>
      </c>
      <c r="J473" s="2">
        <v>135</v>
      </c>
      <c r="K473" s="2">
        <v>144</v>
      </c>
      <c r="L473" s="2">
        <v>1</v>
      </c>
      <c r="M473" s="2" t="s">
        <v>29</v>
      </c>
      <c r="N473" s="2">
        <v>1</v>
      </c>
      <c r="O473" s="2">
        <v>204.75</v>
      </c>
      <c r="P473" s="2">
        <f t="shared" si="35"/>
        <v>9</v>
      </c>
      <c r="Q473" s="4">
        <f t="shared" si="36"/>
        <v>0.9375</v>
      </c>
      <c r="R473" s="2" t="str">
        <f t="shared" si="37"/>
        <v>Inefficient</v>
      </c>
      <c r="S473" s="2" t="str">
        <f t="shared" si="38"/>
        <v>Very Long</v>
      </c>
      <c r="T473" s="2" t="str">
        <f t="shared" si="39"/>
        <v>Minor Delay</v>
      </c>
    </row>
    <row r="474" spans="1:20" x14ac:dyDescent="0.35">
      <c r="A474" s="2" t="s">
        <v>1123</v>
      </c>
      <c r="B474" s="2" t="s">
        <v>16</v>
      </c>
      <c r="C474" s="2" t="s">
        <v>1124</v>
      </c>
      <c r="D474" s="2" t="s">
        <v>44</v>
      </c>
      <c r="E474" s="2" t="s">
        <v>33</v>
      </c>
      <c r="F474" s="2" t="s">
        <v>20</v>
      </c>
      <c r="G474" s="2" t="s">
        <v>1125</v>
      </c>
      <c r="H474" s="3">
        <v>45337.51458333333</v>
      </c>
      <c r="I474" s="3">
        <v>45337.575694444444</v>
      </c>
      <c r="J474" s="2">
        <v>89</v>
      </c>
      <c r="K474" s="2">
        <v>88</v>
      </c>
      <c r="L474" s="2">
        <v>0</v>
      </c>
      <c r="M474" s="2" t="s">
        <v>22</v>
      </c>
      <c r="N474" s="2">
        <v>5</v>
      </c>
      <c r="O474" s="2">
        <v>220.73</v>
      </c>
      <c r="P474" s="2">
        <f t="shared" si="35"/>
        <v>-1</v>
      </c>
      <c r="Q474" s="4">
        <f t="shared" si="36"/>
        <v>1.0113636363636365</v>
      </c>
      <c r="R474" s="2" t="str">
        <f t="shared" si="37"/>
        <v>Efficient</v>
      </c>
      <c r="S474" s="2" t="str">
        <f t="shared" si="38"/>
        <v>Long</v>
      </c>
      <c r="T474" s="2" t="str">
        <f t="shared" si="39"/>
        <v>On Time</v>
      </c>
    </row>
    <row r="475" spans="1:20" x14ac:dyDescent="0.35">
      <c r="A475" s="2" t="s">
        <v>1126</v>
      </c>
      <c r="B475" s="2" t="s">
        <v>24</v>
      </c>
      <c r="C475" s="2" t="s">
        <v>1127</v>
      </c>
      <c r="D475" s="2" t="s">
        <v>56</v>
      </c>
      <c r="E475" s="2" t="s">
        <v>38</v>
      </c>
      <c r="F475" s="2" t="s">
        <v>57</v>
      </c>
      <c r="G475" s="2" t="s">
        <v>897</v>
      </c>
      <c r="H475" s="3">
        <v>45340.9</v>
      </c>
      <c r="I475" s="3">
        <v>45341.124305555553</v>
      </c>
      <c r="J475" s="2">
        <v>217</v>
      </c>
      <c r="K475" s="2">
        <v>323</v>
      </c>
      <c r="L475" s="2">
        <v>1</v>
      </c>
      <c r="M475" s="2" t="s">
        <v>22</v>
      </c>
      <c r="N475" s="2">
        <v>2</v>
      </c>
      <c r="O475" s="2">
        <v>141.46</v>
      </c>
      <c r="P475" s="2">
        <f t="shared" si="35"/>
        <v>106</v>
      </c>
      <c r="Q475" s="4">
        <f t="shared" si="36"/>
        <v>0.67182662538699689</v>
      </c>
      <c r="R475" s="2" t="str">
        <f t="shared" si="37"/>
        <v>Inefficient</v>
      </c>
      <c r="S475" s="2" t="str">
        <f t="shared" si="38"/>
        <v>Very Long</v>
      </c>
      <c r="T475" s="2" t="str">
        <f t="shared" si="39"/>
        <v>Major Delay</v>
      </c>
    </row>
    <row r="476" spans="1:20" x14ac:dyDescent="0.35">
      <c r="A476" s="2" t="s">
        <v>1128</v>
      </c>
      <c r="B476" s="2" t="s">
        <v>63</v>
      </c>
      <c r="C476" s="2" t="s">
        <v>1129</v>
      </c>
      <c r="D476" s="2" t="s">
        <v>48</v>
      </c>
      <c r="E476" s="2" t="s">
        <v>33</v>
      </c>
      <c r="F476" s="2" t="s">
        <v>39</v>
      </c>
      <c r="G476" s="2" t="s">
        <v>376</v>
      </c>
      <c r="H476" s="3">
        <v>45359.509722222225</v>
      </c>
      <c r="I476" s="3">
        <v>45359.623611111114</v>
      </c>
      <c r="J476" s="2">
        <v>83</v>
      </c>
      <c r="K476" s="2">
        <v>164</v>
      </c>
      <c r="L476" s="2">
        <v>1</v>
      </c>
      <c r="M476" s="2" t="s">
        <v>41</v>
      </c>
      <c r="N476" s="2">
        <v>4</v>
      </c>
      <c r="O476" s="2">
        <v>213.78</v>
      </c>
      <c r="P476" s="2">
        <f t="shared" si="35"/>
        <v>81</v>
      </c>
      <c r="Q476" s="4">
        <f t="shared" si="36"/>
        <v>0.50609756097560976</v>
      </c>
      <c r="R476" s="2" t="str">
        <f t="shared" si="37"/>
        <v>Inefficient</v>
      </c>
      <c r="S476" s="2" t="str">
        <f t="shared" si="38"/>
        <v>Very Long</v>
      </c>
      <c r="T476" s="2" t="str">
        <f t="shared" si="39"/>
        <v>Major Delay</v>
      </c>
    </row>
    <row r="477" spans="1:20" x14ac:dyDescent="0.35">
      <c r="A477" s="2" t="s">
        <v>1130</v>
      </c>
      <c r="B477" s="2" t="s">
        <v>31</v>
      </c>
      <c r="C477" s="2" t="s">
        <v>1131</v>
      </c>
      <c r="D477" s="2" t="s">
        <v>26</v>
      </c>
      <c r="E477" s="2" t="s">
        <v>19</v>
      </c>
      <c r="F477" s="2" t="s">
        <v>57</v>
      </c>
      <c r="G477" s="2" t="s">
        <v>505</v>
      </c>
      <c r="H477" s="3">
        <v>45437.052083333336</v>
      </c>
      <c r="I477" s="3">
        <v>45437.182638888888</v>
      </c>
      <c r="J477" s="2">
        <v>172</v>
      </c>
      <c r="K477" s="2">
        <v>188</v>
      </c>
      <c r="L477" s="2">
        <v>1</v>
      </c>
      <c r="M477" s="2" t="s">
        <v>29</v>
      </c>
      <c r="N477" s="2">
        <v>3</v>
      </c>
      <c r="O477" s="2">
        <v>214.28</v>
      </c>
      <c r="P477" s="2">
        <f t="shared" si="35"/>
        <v>16</v>
      </c>
      <c r="Q477" s="4">
        <f t="shared" si="36"/>
        <v>0.91489361702127658</v>
      </c>
      <c r="R477" s="2" t="str">
        <f t="shared" si="37"/>
        <v>Inefficient</v>
      </c>
      <c r="S477" s="2" t="str">
        <f t="shared" si="38"/>
        <v>Very Long</v>
      </c>
      <c r="T477" s="2" t="str">
        <f t="shared" si="39"/>
        <v>Minor Delay</v>
      </c>
    </row>
    <row r="478" spans="1:20" x14ac:dyDescent="0.35">
      <c r="A478" s="2" t="s">
        <v>1132</v>
      </c>
      <c r="B478" s="2" t="s">
        <v>24</v>
      </c>
      <c r="C478" s="2" t="s">
        <v>1133</v>
      </c>
      <c r="D478" s="2" t="s">
        <v>18</v>
      </c>
      <c r="E478" s="2" t="s">
        <v>19</v>
      </c>
      <c r="F478" s="2" t="s">
        <v>20</v>
      </c>
      <c r="G478" s="2" t="s">
        <v>338</v>
      </c>
      <c r="H478" s="3">
        <v>45407.277777777781</v>
      </c>
      <c r="I478" s="3">
        <v>45407.443749999999</v>
      </c>
      <c r="J478" s="2">
        <v>193</v>
      </c>
      <c r="K478" s="2">
        <v>239</v>
      </c>
      <c r="L478" s="2">
        <v>1</v>
      </c>
      <c r="M478" s="2" t="s">
        <v>22</v>
      </c>
      <c r="N478" s="2">
        <v>6</v>
      </c>
      <c r="O478" s="2">
        <v>320.95</v>
      </c>
      <c r="P478" s="2">
        <f t="shared" si="35"/>
        <v>46</v>
      </c>
      <c r="Q478" s="4">
        <f t="shared" si="36"/>
        <v>0.80753138075313813</v>
      </c>
      <c r="R478" s="2" t="str">
        <f t="shared" si="37"/>
        <v>Inefficient</v>
      </c>
      <c r="S478" s="2" t="str">
        <f t="shared" si="38"/>
        <v>Very Long</v>
      </c>
      <c r="T478" s="2" t="str">
        <f t="shared" si="39"/>
        <v>Major Delay</v>
      </c>
    </row>
    <row r="479" spans="1:20" x14ac:dyDescent="0.35">
      <c r="A479" s="2" t="s">
        <v>1134</v>
      </c>
      <c r="B479" s="2" t="s">
        <v>63</v>
      </c>
      <c r="C479" s="2" t="s">
        <v>1135</v>
      </c>
      <c r="D479" s="2" t="s">
        <v>56</v>
      </c>
      <c r="E479" s="2" t="s">
        <v>33</v>
      </c>
      <c r="F479" s="2" t="s">
        <v>34</v>
      </c>
      <c r="G479" s="2" t="s">
        <v>602</v>
      </c>
      <c r="H479" s="3">
        <v>45600.20416666667</v>
      </c>
      <c r="I479" s="3">
        <v>45600.255555555559</v>
      </c>
      <c r="J479" s="2">
        <v>28</v>
      </c>
      <c r="K479" s="2">
        <v>74</v>
      </c>
      <c r="L479" s="2">
        <v>1</v>
      </c>
      <c r="M479" s="2" t="s">
        <v>29</v>
      </c>
      <c r="N479" s="2">
        <v>5</v>
      </c>
      <c r="O479" s="2">
        <v>183.01</v>
      </c>
      <c r="P479" s="2">
        <f t="shared" si="35"/>
        <v>46</v>
      </c>
      <c r="Q479" s="4">
        <f t="shared" si="36"/>
        <v>0.3783783783783784</v>
      </c>
      <c r="R479" s="2" t="str">
        <f t="shared" si="37"/>
        <v>Inefficient</v>
      </c>
      <c r="S479" s="2" t="str">
        <f t="shared" si="38"/>
        <v>Long</v>
      </c>
      <c r="T479" s="2" t="str">
        <f t="shared" si="39"/>
        <v>Major Delay</v>
      </c>
    </row>
    <row r="480" spans="1:20" x14ac:dyDescent="0.35">
      <c r="A480" s="2" t="s">
        <v>1136</v>
      </c>
      <c r="B480" s="2" t="s">
        <v>16</v>
      </c>
      <c r="C480" s="2" t="s">
        <v>1137</v>
      </c>
      <c r="D480" s="2" t="s">
        <v>44</v>
      </c>
      <c r="E480" s="2" t="s">
        <v>38</v>
      </c>
      <c r="F480" s="2" t="s">
        <v>57</v>
      </c>
      <c r="G480" s="2" t="s">
        <v>228</v>
      </c>
      <c r="H480" s="3">
        <v>45613.481249999997</v>
      </c>
      <c r="I480" s="3">
        <v>45613.664583333331</v>
      </c>
      <c r="J480" s="2">
        <v>212</v>
      </c>
      <c r="K480" s="2">
        <v>264</v>
      </c>
      <c r="L480" s="2">
        <v>1</v>
      </c>
      <c r="M480" s="2" t="s">
        <v>41</v>
      </c>
      <c r="N480" s="2">
        <v>3</v>
      </c>
      <c r="O480" s="2">
        <v>458.83</v>
      </c>
      <c r="P480" s="2">
        <f t="shared" si="35"/>
        <v>52</v>
      </c>
      <c r="Q480" s="4">
        <f t="shared" si="36"/>
        <v>0.80303030303030298</v>
      </c>
      <c r="R480" s="2" t="str">
        <f t="shared" si="37"/>
        <v>Inefficient</v>
      </c>
      <c r="S480" s="2" t="str">
        <f t="shared" si="38"/>
        <v>Very Long</v>
      </c>
      <c r="T480" s="2" t="str">
        <f t="shared" si="39"/>
        <v>Major Delay</v>
      </c>
    </row>
    <row r="481" spans="1:20" x14ac:dyDescent="0.35">
      <c r="A481" s="2" t="s">
        <v>1138</v>
      </c>
      <c r="B481" s="2" t="s">
        <v>51</v>
      </c>
      <c r="C481" s="2" t="s">
        <v>1139</v>
      </c>
      <c r="D481" s="2" t="s">
        <v>26</v>
      </c>
      <c r="E481" s="2" t="s">
        <v>38</v>
      </c>
      <c r="F481" s="2" t="s">
        <v>57</v>
      </c>
      <c r="G481" s="2" t="s">
        <v>330</v>
      </c>
      <c r="H481" s="3">
        <v>45622.818055555559</v>
      </c>
      <c r="I481" s="3">
        <v>45622.970138888886</v>
      </c>
      <c r="J481" s="2">
        <v>155</v>
      </c>
      <c r="K481" s="2">
        <v>219</v>
      </c>
      <c r="L481" s="2">
        <v>1</v>
      </c>
      <c r="M481" s="2" t="s">
        <v>22</v>
      </c>
      <c r="N481" s="2">
        <v>2</v>
      </c>
      <c r="O481" s="2">
        <v>179.64</v>
      </c>
      <c r="P481" s="2">
        <f t="shared" si="35"/>
        <v>64</v>
      </c>
      <c r="Q481" s="4">
        <f t="shared" si="36"/>
        <v>0.70776255707762559</v>
      </c>
      <c r="R481" s="2" t="str">
        <f t="shared" si="37"/>
        <v>Inefficient</v>
      </c>
      <c r="S481" s="2" t="str">
        <f t="shared" si="38"/>
        <v>Very Long</v>
      </c>
      <c r="T481" s="2" t="str">
        <f t="shared" si="39"/>
        <v>Major Delay</v>
      </c>
    </row>
    <row r="482" spans="1:20" x14ac:dyDescent="0.35">
      <c r="A482" s="2" t="s">
        <v>1140</v>
      </c>
      <c r="B482" s="2" t="s">
        <v>31</v>
      </c>
      <c r="C482" s="2" t="s">
        <v>1141</v>
      </c>
      <c r="D482" s="2" t="s">
        <v>56</v>
      </c>
      <c r="E482" s="2" t="s">
        <v>38</v>
      </c>
      <c r="F482" s="2" t="s">
        <v>27</v>
      </c>
      <c r="G482" s="2" t="s">
        <v>82</v>
      </c>
      <c r="H482" s="3">
        <v>45524.696527777778</v>
      </c>
      <c r="I482" s="3">
        <v>45524.876388888886</v>
      </c>
      <c r="J482" s="2">
        <v>193</v>
      </c>
      <c r="K482" s="2">
        <v>259</v>
      </c>
      <c r="L482" s="2">
        <v>1</v>
      </c>
      <c r="M482" s="2" t="s">
        <v>41</v>
      </c>
      <c r="N482" s="2">
        <v>8</v>
      </c>
      <c r="O482" s="2">
        <v>129.25</v>
      </c>
      <c r="P482" s="2">
        <f t="shared" si="35"/>
        <v>66</v>
      </c>
      <c r="Q482" s="4">
        <f t="shared" si="36"/>
        <v>0.74517374517374513</v>
      </c>
      <c r="R482" s="2" t="str">
        <f t="shared" si="37"/>
        <v>Inefficient</v>
      </c>
      <c r="S482" s="2" t="str">
        <f t="shared" si="38"/>
        <v>Very Long</v>
      </c>
      <c r="T482" s="2" t="str">
        <f t="shared" si="39"/>
        <v>Major Delay</v>
      </c>
    </row>
    <row r="483" spans="1:20" x14ac:dyDescent="0.35">
      <c r="A483" s="2" t="s">
        <v>1142</v>
      </c>
      <c r="B483" s="2" t="s">
        <v>16</v>
      </c>
      <c r="C483" s="2" t="s">
        <v>1143</v>
      </c>
      <c r="D483" s="2" t="s">
        <v>56</v>
      </c>
      <c r="E483" s="2" t="s">
        <v>19</v>
      </c>
      <c r="F483" s="2" t="s">
        <v>20</v>
      </c>
      <c r="G483" s="2" t="s">
        <v>49</v>
      </c>
      <c r="H483" s="3">
        <v>45407.055555555555</v>
      </c>
      <c r="I483" s="3">
        <v>45407.133333333331</v>
      </c>
      <c r="J483" s="2">
        <v>77</v>
      </c>
      <c r="K483" s="2">
        <v>112</v>
      </c>
      <c r="L483" s="2">
        <v>1</v>
      </c>
      <c r="M483" s="2" t="s">
        <v>22</v>
      </c>
      <c r="N483" s="2">
        <v>8</v>
      </c>
      <c r="O483" s="2">
        <v>369.62</v>
      </c>
      <c r="P483" s="2">
        <f t="shared" si="35"/>
        <v>35</v>
      </c>
      <c r="Q483" s="4">
        <f t="shared" si="36"/>
        <v>0.6875</v>
      </c>
      <c r="R483" s="2" t="str">
        <f t="shared" si="37"/>
        <v>Inefficient</v>
      </c>
      <c r="S483" s="2" t="str">
        <f t="shared" si="38"/>
        <v>Long</v>
      </c>
      <c r="T483" s="2" t="str">
        <f t="shared" si="39"/>
        <v>Major Delay</v>
      </c>
    </row>
    <row r="484" spans="1:20" x14ac:dyDescent="0.35">
      <c r="A484" s="2" t="s">
        <v>1144</v>
      </c>
      <c r="B484" s="2" t="s">
        <v>16</v>
      </c>
      <c r="C484" s="2" t="s">
        <v>1145</v>
      </c>
      <c r="D484" s="2" t="s">
        <v>44</v>
      </c>
      <c r="E484" s="2" t="s">
        <v>85</v>
      </c>
      <c r="F484" s="2" t="s">
        <v>27</v>
      </c>
      <c r="G484" s="2" t="s">
        <v>577</v>
      </c>
      <c r="H484" s="3">
        <v>45515.213194444441</v>
      </c>
      <c r="I484" s="3">
        <v>45515.361805555556</v>
      </c>
      <c r="J484" s="2">
        <v>169</v>
      </c>
      <c r="K484" s="2">
        <v>214</v>
      </c>
      <c r="L484" s="2">
        <v>1</v>
      </c>
      <c r="M484" s="2" t="s">
        <v>22</v>
      </c>
      <c r="N484" s="2">
        <v>5</v>
      </c>
      <c r="O484" s="2">
        <v>93.43</v>
      </c>
      <c r="P484" s="2">
        <f t="shared" si="35"/>
        <v>45</v>
      </c>
      <c r="Q484" s="4">
        <f t="shared" si="36"/>
        <v>0.78971962616822433</v>
      </c>
      <c r="R484" s="2" t="str">
        <f t="shared" si="37"/>
        <v>Inefficient</v>
      </c>
      <c r="S484" s="2" t="str">
        <f t="shared" si="38"/>
        <v>Very Long</v>
      </c>
      <c r="T484" s="2" t="str">
        <f t="shared" si="39"/>
        <v>Major Delay</v>
      </c>
    </row>
    <row r="485" spans="1:20" x14ac:dyDescent="0.35">
      <c r="A485" s="2" t="s">
        <v>1146</v>
      </c>
      <c r="B485" s="2" t="s">
        <v>31</v>
      </c>
      <c r="C485" s="2" t="s">
        <v>1147</v>
      </c>
      <c r="D485" s="2" t="s">
        <v>18</v>
      </c>
      <c r="E485" s="2" t="s">
        <v>85</v>
      </c>
      <c r="F485" s="2" t="s">
        <v>27</v>
      </c>
      <c r="G485" s="2" t="s">
        <v>222</v>
      </c>
      <c r="H485" s="3">
        <v>45622.401388888888</v>
      </c>
      <c r="I485" s="3">
        <v>45622.538888888892</v>
      </c>
      <c r="J485" s="2">
        <v>147</v>
      </c>
      <c r="K485" s="2">
        <v>198</v>
      </c>
      <c r="L485" s="2">
        <v>1</v>
      </c>
      <c r="M485" s="2" t="s">
        <v>41</v>
      </c>
      <c r="N485" s="2">
        <v>7</v>
      </c>
      <c r="O485" s="2">
        <v>409.73</v>
      </c>
      <c r="P485" s="2">
        <f t="shared" si="35"/>
        <v>51</v>
      </c>
      <c r="Q485" s="4">
        <f t="shared" si="36"/>
        <v>0.74242424242424243</v>
      </c>
      <c r="R485" s="2" t="str">
        <f t="shared" si="37"/>
        <v>Inefficient</v>
      </c>
      <c r="S485" s="2" t="str">
        <f t="shared" si="38"/>
        <v>Very Long</v>
      </c>
      <c r="T485" s="2" t="str">
        <f t="shared" si="39"/>
        <v>Major Delay</v>
      </c>
    </row>
    <row r="486" spans="1:20" x14ac:dyDescent="0.35">
      <c r="A486" s="2" t="s">
        <v>1148</v>
      </c>
      <c r="B486" s="2" t="s">
        <v>51</v>
      </c>
      <c r="C486" s="2" t="s">
        <v>1149</v>
      </c>
      <c r="D486" s="2" t="s">
        <v>48</v>
      </c>
      <c r="E486" s="2" t="s">
        <v>33</v>
      </c>
      <c r="F486" s="2" t="s">
        <v>20</v>
      </c>
      <c r="G486" s="2" t="s">
        <v>700</v>
      </c>
      <c r="H486" s="3">
        <v>45432.066666666666</v>
      </c>
      <c r="I486" s="3">
        <v>45432.158333333333</v>
      </c>
      <c r="J486" s="2">
        <v>112</v>
      </c>
      <c r="K486" s="2">
        <v>132</v>
      </c>
      <c r="L486" s="2">
        <v>1</v>
      </c>
      <c r="M486" s="2" t="s">
        <v>22</v>
      </c>
      <c r="N486" s="2">
        <v>1</v>
      </c>
      <c r="O486" s="2">
        <v>170.78</v>
      </c>
      <c r="P486" s="2">
        <f t="shared" si="35"/>
        <v>20</v>
      </c>
      <c r="Q486" s="4">
        <f t="shared" si="36"/>
        <v>0.84848484848484851</v>
      </c>
      <c r="R486" s="2" t="str">
        <f t="shared" si="37"/>
        <v>Inefficient</v>
      </c>
      <c r="S486" s="2" t="str">
        <f t="shared" si="38"/>
        <v>Very Long</v>
      </c>
      <c r="T486" s="2" t="str">
        <f t="shared" si="39"/>
        <v>Minor Delay</v>
      </c>
    </row>
    <row r="487" spans="1:20" x14ac:dyDescent="0.35">
      <c r="A487" s="2" t="s">
        <v>1150</v>
      </c>
      <c r="B487" s="2" t="s">
        <v>31</v>
      </c>
      <c r="C487" s="2" t="s">
        <v>1151</v>
      </c>
      <c r="D487" s="2" t="s">
        <v>44</v>
      </c>
      <c r="E487" s="2" t="s">
        <v>85</v>
      </c>
      <c r="F487" s="2" t="s">
        <v>34</v>
      </c>
      <c r="G487" s="2" t="s">
        <v>251</v>
      </c>
      <c r="H487" s="3">
        <v>45418.76666666667</v>
      </c>
      <c r="I487" s="3">
        <v>45418.848611111112</v>
      </c>
      <c r="J487" s="2">
        <v>110</v>
      </c>
      <c r="K487" s="2">
        <v>118</v>
      </c>
      <c r="L487" s="2">
        <v>1</v>
      </c>
      <c r="M487" s="2" t="s">
        <v>22</v>
      </c>
      <c r="N487" s="2">
        <v>2</v>
      </c>
      <c r="O487" s="2">
        <v>495.7</v>
      </c>
      <c r="P487" s="2">
        <f t="shared" si="35"/>
        <v>8</v>
      </c>
      <c r="Q487" s="4">
        <f t="shared" si="36"/>
        <v>0.93220338983050843</v>
      </c>
      <c r="R487" s="2" t="str">
        <f t="shared" si="37"/>
        <v>Inefficient</v>
      </c>
      <c r="S487" s="2" t="str">
        <f t="shared" si="38"/>
        <v>Long</v>
      </c>
      <c r="T487" s="2" t="str">
        <f t="shared" si="39"/>
        <v>Minor Delay</v>
      </c>
    </row>
    <row r="488" spans="1:20" x14ac:dyDescent="0.35">
      <c r="A488" s="2" t="s">
        <v>1152</v>
      </c>
      <c r="B488" s="2" t="s">
        <v>63</v>
      </c>
      <c r="C488" s="2" t="s">
        <v>1153</v>
      </c>
      <c r="D488" s="2" t="s">
        <v>48</v>
      </c>
      <c r="E488" s="2" t="s">
        <v>19</v>
      </c>
      <c r="F488" s="2" t="s">
        <v>57</v>
      </c>
      <c r="G488" s="2" t="s">
        <v>76</v>
      </c>
      <c r="H488" s="3">
        <v>45305.817361111112</v>
      </c>
      <c r="I488" s="3">
        <v>45305.915972222225</v>
      </c>
      <c r="J488" s="2">
        <v>113</v>
      </c>
      <c r="K488" s="2">
        <v>142</v>
      </c>
      <c r="L488" s="2">
        <v>1</v>
      </c>
      <c r="M488" s="2" t="s">
        <v>41</v>
      </c>
      <c r="N488" s="2">
        <v>2</v>
      </c>
      <c r="O488" s="2">
        <v>368.55</v>
      </c>
      <c r="P488" s="2">
        <f t="shared" si="35"/>
        <v>29</v>
      </c>
      <c r="Q488" s="4">
        <f t="shared" si="36"/>
        <v>0.79577464788732399</v>
      </c>
      <c r="R488" s="2" t="str">
        <f t="shared" si="37"/>
        <v>Inefficient</v>
      </c>
      <c r="S488" s="2" t="str">
        <f t="shared" si="38"/>
        <v>Very Long</v>
      </c>
      <c r="T488" s="2" t="str">
        <f t="shared" si="39"/>
        <v>Minor Delay</v>
      </c>
    </row>
    <row r="489" spans="1:20" x14ac:dyDescent="0.35">
      <c r="A489" s="2" t="s">
        <v>1154</v>
      </c>
      <c r="B489" s="2" t="s">
        <v>24</v>
      </c>
      <c r="C489" s="2" t="s">
        <v>1155</v>
      </c>
      <c r="D489" s="2" t="s">
        <v>26</v>
      </c>
      <c r="E489" s="2" t="s">
        <v>38</v>
      </c>
      <c r="F489" s="2" t="s">
        <v>20</v>
      </c>
      <c r="G489" s="2" t="s">
        <v>640</v>
      </c>
      <c r="H489" s="3">
        <v>45339.07916666667</v>
      </c>
      <c r="I489" s="3">
        <v>45339.163194444445</v>
      </c>
      <c r="J489" s="2">
        <v>78</v>
      </c>
      <c r="K489" s="2">
        <v>121</v>
      </c>
      <c r="L489" s="2">
        <v>1</v>
      </c>
      <c r="M489" s="2" t="s">
        <v>29</v>
      </c>
      <c r="N489" s="2">
        <v>2</v>
      </c>
      <c r="O489" s="2">
        <v>75.03</v>
      </c>
      <c r="P489" s="2">
        <f t="shared" si="35"/>
        <v>43</v>
      </c>
      <c r="Q489" s="4">
        <f t="shared" si="36"/>
        <v>0.64462809917355368</v>
      </c>
      <c r="R489" s="2" t="str">
        <f t="shared" si="37"/>
        <v>Inefficient</v>
      </c>
      <c r="S489" s="2" t="str">
        <f t="shared" si="38"/>
        <v>Very Long</v>
      </c>
      <c r="T489" s="2" t="str">
        <f t="shared" si="39"/>
        <v>Major Delay</v>
      </c>
    </row>
    <row r="490" spans="1:20" x14ac:dyDescent="0.35">
      <c r="A490" s="2" t="s">
        <v>1156</v>
      </c>
      <c r="B490" s="2" t="s">
        <v>24</v>
      </c>
      <c r="C490" s="2" t="s">
        <v>1157</v>
      </c>
      <c r="D490" s="2" t="s">
        <v>18</v>
      </c>
      <c r="E490" s="2" t="s">
        <v>19</v>
      </c>
      <c r="F490" s="2" t="s">
        <v>20</v>
      </c>
      <c r="G490" s="2" t="s">
        <v>343</v>
      </c>
      <c r="H490" s="3">
        <v>45304.293055555558</v>
      </c>
      <c r="I490" s="3">
        <v>45304.393055555556</v>
      </c>
      <c r="J490" s="2">
        <v>93</v>
      </c>
      <c r="K490" s="2">
        <v>144</v>
      </c>
      <c r="L490" s="2">
        <v>1</v>
      </c>
      <c r="M490" s="2" t="s">
        <v>29</v>
      </c>
      <c r="N490" s="2">
        <v>9</v>
      </c>
      <c r="O490" s="2">
        <v>100.36</v>
      </c>
      <c r="P490" s="2">
        <f t="shared" si="35"/>
        <v>51</v>
      </c>
      <c r="Q490" s="4">
        <f t="shared" si="36"/>
        <v>0.64583333333333337</v>
      </c>
      <c r="R490" s="2" t="str">
        <f t="shared" si="37"/>
        <v>Inefficient</v>
      </c>
      <c r="S490" s="2" t="str">
        <f t="shared" si="38"/>
        <v>Very Long</v>
      </c>
      <c r="T490" s="2" t="str">
        <f t="shared" si="39"/>
        <v>Major Delay</v>
      </c>
    </row>
    <row r="491" spans="1:20" x14ac:dyDescent="0.35">
      <c r="A491" s="2" t="s">
        <v>1158</v>
      </c>
      <c r="B491" s="2" t="s">
        <v>31</v>
      </c>
      <c r="C491" s="2" t="s">
        <v>1159</v>
      </c>
      <c r="D491" s="2" t="s">
        <v>48</v>
      </c>
      <c r="E491" s="2" t="s">
        <v>85</v>
      </c>
      <c r="F491" s="2" t="s">
        <v>34</v>
      </c>
      <c r="G491" s="2" t="s">
        <v>58</v>
      </c>
      <c r="H491" s="3">
        <v>45353.009027777778</v>
      </c>
      <c r="I491" s="3">
        <v>45353.086111111108</v>
      </c>
      <c r="J491" s="2">
        <v>41</v>
      </c>
      <c r="K491" s="2">
        <v>111</v>
      </c>
      <c r="L491" s="2">
        <v>1</v>
      </c>
      <c r="M491" s="2" t="s">
        <v>29</v>
      </c>
      <c r="N491" s="2">
        <v>10</v>
      </c>
      <c r="O491" s="2">
        <v>226.61</v>
      </c>
      <c r="P491" s="2">
        <f t="shared" si="35"/>
        <v>70</v>
      </c>
      <c r="Q491" s="4">
        <f t="shared" si="36"/>
        <v>0.36936936936936937</v>
      </c>
      <c r="R491" s="2" t="str">
        <f t="shared" si="37"/>
        <v>Inefficient</v>
      </c>
      <c r="S491" s="2" t="str">
        <f t="shared" si="38"/>
        <v>Long</v>
      </c>
      <c r="T491" s="2" t="str">
        <f t="shared" si="39"/>
        <v>Major Delay</v>
      </c>
    </row>
    <row r="492" spans="1:20" x14ac:dyDescent="0.35">
      <c r="A492" s="2" t="s">
        <v>1160</v>
      </c>
      <c r="B492" s="2" t="s">
        <v>31</v>
      </c>
      <c r="C492" s="2" t="s">
        <v>1161</v>
      </c>
      <c r="D492" s="2" t="s">
        <v>56</v>
      </c>
      <c r="E492" s="2" t="s">
        <v>19</v>
      </c>
      <c r="F492" s="2" t="s">
        <v>27</v>
      </c>
      <c r="G492" s="2" t="s">
        <v>622</v>
      </c>
      <c r="H492" s="3">
        <v>45580.247916666667</v>
      </c>
      <c r="I492" s="3">
        <v>45580.345833333333</v>
      </c>
      <c r="J492" s="2">
        <v>127</v>
      </c>
      <c r="K492" s="2">
        <v>141</v>
      </c>
      <c r="L492" s="2">
        <v>1</v>
      </c>
      <c r="M492" s="2" t="s">
        <v>22</v>
      </c>
      <c r="N492" s="2">
        <v>7</v>
      </c>
      <c r="O492" s="2">
        <v>196.09</v>
      </c>
      <c r="P492" s="2">
        <f t="shared" si="35"/>
        <v>14</v>
      </c>
      <c r="Q492" s="4">
        <f t="shared" si="36"/>
        <v>0.900709219858156</v>
      </c>
      <c r="R492" s="2" t="str">
        <f t="shared" si="37"/>
        <v>Inefficient</v>
      </c>
      <c r="S492" s="2" t="str">
        <f t="shared" si="38"/>
        <v>Very Long</v>
      </c>
      <c r="T492" s="2" t="str">
        <f t="shared" si="39"/>
        <v>Minor Delay</v>
      </c>
    </row>
    <row r="493" spans="1:20" x14ac:dyDescent="0.35">
      <c r="A493" s="2" t="s">
        <v>1162</v>
      </c>
      <c r="B493" s="2" t="s">
        <v>24</v>
      </c>
      <c r="C493" s="2" t="s">
        <v>1163</v>
      </c>
      <c r="D493" s="2" t="s">
        <v>44</v>
      </c>
      <c r="E493" s="2" t="s">
        <v>38</v>
      </c>
      <c r="F493" s="2" t="s">
        <v>39</v>
      </c>
      <c r="G493" s="2" t="s">
        <v>103</v>
      </c>
      <c r="H493" s="3">
        <v>45616.078472222223</v>
      </c>
      <c r="I493" s="3">
        <v>45616.165277777778</v>
      </c>
      <c r="J493" s="2">
        <v>25</v>
      </c>
      <c r="K493" s="2">
        <v>125</v>
      </c>
      <c r="L493" s="2">
        <v>1</v>
      </c>
      <c r="M493" s="2" t="s">
        <v>29</v>
      </c>
      <c r="N493" s="2">
        <v>2</v>
      </c>
      <c r="O493" s="2">
        <v>72.7</v>
      </c>
      <c r="P493" s="2">
        <f t="shared" si="35"/>
        <v>100</v>
      </c>
      <c r="Q493" s="4">
        <f t="shared" si="36"/>
        <v>0.2</v>
      </c>
      <c r="R493" s="2" t="str">
        <f t="shared" si="37"/>
        <v>Inefficient</v>
      </c>
      <c r="S493" s="2" t="str">
        <f t="shared" si="38"/>
        <v>Very Long</v>
      </c>
      <c r="T493" s="2" t="str">
        <f t="shared" si="39"/>
        <v>Major Delay</v>
      </c>
    </row>
    <row r="494" spans="1:20" x14ac:dyDescent="0.35">
      <c r="A494" s="2" t="s">
        <v>1164</v>
      </c>
      <c r="B494" s="2" t="s">
        <v>16</v>
      </c>
      <c r="C494" s="2" t="s">
        <v>1165</v>
      </c>
      <c r="D494" s="2" t="s">
        <v>18</v>
      </c>
      <c r="E494" s="2" t="s">
        <v>19</v>
      </c>
      <c r="F494" s="2" t="s">
        <v>27</v>
      </c>
      <c r="G494" s="2" t="s">
        <v>161</v>
      </c>
      <c r="H494" s="3">
        <v>45391.774305555555</v>
      </c>
      <c r="I494" s="3">
        <v>45391.895833333336</v>
      </c>
      <c r="J494" s="2">
        <v>119</v>
      </c>
      <c r="K494" s="2">
        <v>175</v>
      </c>
      <c r="L494" s="2">
        <v>1</v>
      </c>
      <c r="M494" s="2" t="s">
        <v>29</v>
      </c>
      <c r="N494" s="2">
        <v>4</v>
      </c>
      <c r="O494" s="2">
        <v>275.02</v>
      </c>
      <c r="P494" s="2">
        <f t="shared" si="35"/>
        <v>56</v>
      </c>
      <c r="Q494" s="4">
        <f t="shared" si="36"/>
        <v>0.68</v>
      </c>
      <c r="R494" s="2" t="str">
        <f t="shared" si="37"/>
        <v>Inefficient</v>
      </c>
      <c r="S494" s="2" t="str">
        <f t="shared" si="38"/>
        <v>Very Long</v>
      </c>
      <c r="T494" s="2" t="str">
        <f t="shared" si="39"/>
        <v>Major Delay</v>
      </c>
    </row>
    <row r="495" spans="1:20" x14ac:dyDescent="0.35">
      <c r="A495" s="2" t="s">
        <v>1166</v>
      </c>
      <c r="B495" s="2" t="s">
        <v>31</v>
      </c>
      <c r="C495" s="2" t="s">
        <v>1167</v>
      </c>
      <c r="D495" s="2" t="s">
        <v>18</v>
      </c>
      <c r="E495" s="2" t="s">
        <v>38</v>
      </c>
      <c r="F495" s="2" t="s">
        <v>34</v>
      </c>
      <c r="G495" s="2" t="s">
        <v>916</v>
      </c>
      <c r="H495" s="3">
        <v>45294.145833333336</v>
      </c>
      <c r="I495" s="3">
        <v>45294.347222222219</v>
      </c>
      <c r="J495" s="2">
        <v>203</v>
      </c>
      <c r="K495" s="2">
        <v>290</v>
      </c>
      <c r="L495" s="2">
        <v>1</v>
      </c>
      <c r="M495" s="2" t="s">
        <v>29</v>
      </c>
      <c r="N495" s="2">
        <v>6</v>
      </c>
      <c r="O495" s="2">
        <v>255.62</v>
      </c>
      <c r="P495" s="2">
        <f t="shared" si="35"/>
        <v>87</v>
      </c>
      <c r="Q495" s="4">
        <f t="shared" si="36"/>
        <v>0.7</v>
      </c>
      <c r="R495" s="2" t="str">
        <f t="shared" si="37"/>
        <v>Inefficient</v>
      </c>
      <c r="S495" s="2" t="str">
        <f t="shared" si="38"/>
        <v>Very Long</v>
      </c>
      <c r="T495" s="2" t="str">
        <f t="shared" si="39"/>
        <v>Major Delay</v>
      </c>
    </row>
    <row r="496" spans="1:20" x14ac:dyDescent="0.35">
      <c r="A496" s="2" t="s">
        <v>1168</v>
      </c>
      <c r="B496" s="2" t="s">
        <v>24</v>
      </c>
      <c r="C496" s="2" t="s">
        <v>1169</v>
      </c>
      <c r="D496" s="2" t="s">
        <v>56</v>
      </c>
      <c r="E496" s="2" t="s">
        <v>85</v>
      </c>
      <c r="F496" s="2" t="s">
        <v>39</v>
      </c>
      <c r="G496" s="2" t="s">
        <v>777</v>
      </c>
      <c r="H496" s="3">
        <v>45618.396527777775</v>
      </c>
      <c r="I496" s="3">
        <v>45618.572222222225</v>
      </c>
      <c r="J496" s="2">
        <v>195</v>
      </c>
      <c r="K496" s="2">
        <v>253</v>
      </c>
      <c r="L496" s="2">
        <v>1</v>
      </c>
      <c r="M496" s="2" t="s">
        <v>41</v>
      </c>
      <c r="N496" s="2">
        <v>9</v>
      </c>
      <c r="O496" s="2">
        <v>259.60000000000002</v>
      </c>
      <c r="P496" s="2">
        <f t="shared" si="35"/>
        <v>58</v>
      </c>
      <c r="Q496" s="4">
        <f t="shared" si="36"/>
        <v>0.77075098814229248</v>
      </c>
      <c r="R496" s="2" t="str">
        <f t="shared" si="37"/>
        <v>Inefficient</v>
      </c>
      <c r="S496" s="2" t="str">
        <f t="shared" si="38"/>
        <v>Very Long</v>
      </c>
      <c r="T496" s="2" t="str">
        <f t="shared" si="39"/>
        <v>Major Delay</v>
      </c>
    </row>
    <row r="497" spans="1:20" x14ac:dyDescent="0.35">
      <c r="A497" s="2" t="s">
        <v>1170</v>
      </c>
      <c r="B497" s="2" t="s">
        <v>31</v>
      </c>
      <c r="C497" s="2" t="s">
        <v>1171</v>
      </c>
      <c r="D497" s="2" t="s">
        <v>18</v>
      </c>
      <c r="E497" s="2" t="s">
        <v>19</v>
      </c>
      <c r="F497" s="2" t="s">
        <v>20</v>
      </c>
      <c r="G497" s="2" t="s">
        <v>1172</v>
      </c>
      <c r="H497" s="3">
        <v>45398.244444444441</v>
      </c>
      <c r="I497" s="3">
        <v>45398.40625</v>
      </c>
      <c r="J497" s="2">
        <v>166</v>
      </c>
      <c r="K497" s="2">
        <v>233</v>
      </c>
      <c r="L497" s="2">
        <v>1</v>
      </c>
      <c r="M497" s="2" t="s">
        <v>22</v>
      </c>
      <c r="N497" s="2">
        <v>4</v>
      </c>
      <c r="O497" s="2">
        <v>94.22</v>
      </c>
      <c r="P497" s="2">
        <f t="shared" si="35"/>
        <v>67</v>
      </c>
      <c r="Q497" s="4">
        <f t="shared" si="36"/>
        <v>0.71244635193133043</v>
      </c>
      <c r="R497" s="2" t="str">
        <f t="shared" si="37"/>
        <v>Inefficient</v>
      </c>
      <c r="S497" s="2" t="str">
        <f t="shared" si="38"/>
        <v>Very Long</v>
      </c>
      <c r="T497" s="2" t="str">
        <f t="shared" si="39"/>
        <v>Major Delay</v>
      </c>
    </row>
    <row r="498" spans="1:20" x14ac:dyDescent="0.35">
      <c r="A498" s="2" t="s">
        <v>1173</v>
      </c>
      <c r="B498" s="2" t="s">
        <v>24</v>
      </c>
      <c r="C498" s="2" t="s">
        <v>1174</v>
      </c>
      <c r="D498" s="2" t="s">
        <v>44</v>
      </c>
      <c r="E498" s="2" t="s">
        <v>38</v>
      </c>
      <c r="F498" s="2" t="s">
        <v>27</v>
      </c>
      <c r="G498" s="2" t="s">
        <v>68</v>
      </c>
      <c r="H498" s="3">
        <v>45425.580555555556</v>
      </c>
      <c r="I498" s="3">
        <v>45425.727083333331</v>
      </c>
      <c r="J498" s="2">
        <v>149</v>
      </c>
      <c r="K498" s="2">
        <v>211</v>
      </c>
      <c r="L498" s="2">
        <v>1</v>
      </c>
      <c r="M498" s="2" t="s">
        <v>41</v>
      </c>
      <c r="N498" s="2">
        <v>4</v>
      </c>
      <c r="O498" s="2">
        <v>240.63</v>
      </c>
      <c r="P498" s="2">
        <f t="shared" si="35"/>
        <v>62</v>
      </c>
      <c r="Q498" s="4">
        <f t="shared" si="36"/>
        <v>0.70616113744075826</v>
      </c>
      <c r="R498" s="2" t="str">
        <f t="shared" si="37"/>
        <v>Inefficient</v>
      </c>
      <c r="S498" s="2" t="str">
        <f t="shared" si="38"/>
        <v>Very Long</v>
      </c>
      <c r="T498" s="2" t="str">
        <f t="shared" si="39"/>
        <v>Major Delay</v>
      </c>
    </row>
    <row r="499" spans="1:20" x14ac:dyDescent="0.35">
      <c r="A499" s="2" t="s">
        <v>1175</v>
      </c>
      <c r="B499" s="2" t="s">
        <v>31</v>
      </c>
      <c r="C499" s="2" t="s">
        <v>1176</v>
      </c>
      <c r="D499" s="2" t="s">
        <v>18</v>
      </c>
      <c r="E499" s="2" t="s">
        <v>33</v>
      </c>
      <c r="F499" s="2" t="s">
        <v>34</v>
      </c>
      <c r="G499" s="2" t="s">
        <v>321</v>
      </c>
      <c r="H499" s="3">
        <v>45575.070138888892</v>
      </c>
      <c r="I499" s="3">
        <v>45575.176388888889</v>
      </c>
      <c r="J499" s="2">
        <v>47</v>
      </c>
      <c r="K499" s="2">
        <v>153</v>
      </c>
      <c r="L499" s="2">
        <v>1</v>
      </c>
      <c r="M499" s="2" t="s">
        <v>22</v>
      </c>
      <c r="N499" s="2">
        <v>3</v>
      </c>
      <c r="O499" s="2">
        <v>451.74</v>
      </c>
      <c r="P499" s="2">
        <f t="shared" si="35"/>
        <v>106</v>
      </c>
      <c r="Q499" s="4">
        <f t="shared" si="36"/>
        <v>0.30718954248366015</v>
      </c>
      <c r="R499" s="2" t="str">
        <f t="shared" si="37"/>
        <v>Inefficient</v>
      </c>
      <c r="S499" s="2" t="str">
        <f t="shared" si="38"/>
        <v>Very Long</v>
      </c>
      <c r="T499" s="2" t="str">
        <f t="shared" si="39"/>
        <v>Major Delay</v>
      </c>
    </row>
    <row r="500" spans="1:20" x14ac:dyDescent="0.35">
      <c r="A500" s="2" t="s">
        <v>1177</v>
      </c>
      <c r="B500" s="2" t="s">
        <v>16</v>
      </c>
      <c r="C500" s="2" t="s">
        <v>1178</v>
      </c>
      <c r="D500" s="2" t="s">
        <v>48</v>
      </c>
      <c r="E500" s="2" t="s">
        <v>85</v>
      </c>
      <c r="F500" s="2" t="s">
        <v>39</v>
      </c>
      <c r="G500" s="2" t="s">
        <v>415</v>
      </c>
      <c r="H500" s="3">
        <v>45370.258333333331</v>
      </c>
      <c r="I500" s="3">
        <v>45370.42291666667</v>
      </c>
      <c r="J500" s="2">
        <v>166</v>
      </c>
      <c r="K500" s="2">
        <v>237</v>
      </c>
      <c r="L500" s="2">
        <v>1</v>
      </c>
      <c r="M500" s="2" t="s">
        <v>22</v>
      </c>
      <c r="N500" s="2">
        <v>6</v>
      </c>
      <c r="O500" s="2">
        <v>291.98</v>
      </c>
      <c r="P500" s="2">
        <f t="shared" si="35"/>
        <v>71</v>
      </c>
      <c r="Q500" s="4">
        <f t="shared" si="36"/>
        <v>0.70042194092827004</v>
      </c>
      <c r="R500" s="2" t="str">
        <f t="shared" si="37"/>
        <v>Inefficient</v>
      </c>
      <c r="S500" s="2" t="str">
        <f t="shared" si="38"/>
        <v>Very Long</v>
      </c>
      <c r="T500" s="2" t="str">
        <f t="shared" si="39"/>
        <v>Major Delay</v>
      </c>
    </row>
    <row r="501" spans="1:20" x14ac:dyDescent="0.35">
      <c r="A501" s="2" t="s">
        <v>1179</v>
      </c>
      <c r="B501" s="2" t="s">
        <v>31</v>
      </c>
      <c r="C501" s="2" t="s">
        <v>1180</v>
      </c>
      <c r="D501" s="2" t="s">
        <v>18</v>
      </c>
      <c r="E501" s="2" t="s">
        <v>85</v>
      </c>
      <c r="F501" s="2" t="s">
        <v>20</v>
      </c>
      <c r="G501" s="2" t="s">
        <v>402</v>
      </c>
      <c r="H501" s="3">
        <v>45529.300694444442</v>
      </c>
      <c r="I501" s="3">
        <v>45529.381249999999</v>
      </c>
      <c r="J501" s="2">
        <v>24</v>
      </c>
      <c r="K501" s="2">
        <v>116</v>
      </c>
      <c r="L501" s="2">
        <v>1</v>
      </c>
      <c r="M501" s="2" t="s">
        <v>22</v>
      </c>
      <c r="N501" s="2">
        <v>5</v>
      </c>
      <c r="O501" s="2">
        <v>224.66</v>
      </c>
      <c r="P501" s="2">
        <f t="shared" si="35"/>
        <v>92</v>
      </c>
      <c r="Q501" s="4">
        <f t="shared" si="36"/>
        <v>0.20689655172413793</v>
      </c>
      <c r="R501" s="2" t="str">
        <f t="shared" si="37"/>
        <v>Inefficient</v>
      </c>
      <c r="S501" s="2" t="str">
        <f t="shared" si="38"/>
        <v>Long</v>
      </c>
      <c r="T501" s="2" t="str">
        <f t="shared" si="39"/>
        <v>Major Delay</v>
      </c>
    </row>
    <row r="502" spans="1:20" x14ac:dyDescent="0.35">
      <c r="A502" s="2" t="s">
        <v>1181</v>
      </c>
      <c r="B502" s="2" t="s">
        <v>63</v>
      </c>
      <c r="C502" s="2" t="s">
        <v>1182</v>
      </c>
      <c r="D502" s="2" t="s">
        <v>18</v>
      </c>
      <c r="E502" s="2" t="s">
        <v>19</v>
      </c>
      <c r="F502" s="2" t="s">
        <v>34</v>
      </c>
      <c r="G502" s="2" t="s">
        <v>473</v>
      </c>
      <c r="H502" s="3">
        <v>45486.37222222222</v>
      </c>
      <c r="I502" s="3">
        <v>45486.538194444445</v>
      </c>
      <c r="J502" s="2">
        <v>144</v>
      </c>
      <c r="K502" s="2">
        <v>239</v>
      </c>
      <c r="L502" s="2">
        <v>1</v>
      </c>
      <c r="M502" s="2" t="s">
        <v>29</v>
      </c>
      <c r="N502" s="2">
        <v>5</v>
      </c>
      <c r="O502" s="2">
        <v>135.38</v>
      </c>
      <c r="P502" s="2">
        <f t="shared" si="35"/>
        <v>95</v>
      </c>
      <c r="Q502" s="4">
        <f t="shared" si="36"/>
        <v>0.60251046025104604</v>
      </c>
      <c r="R502" s="2" t="str">
        <f t="shared" si="37"/>
        <v>Inefficient</v>
      </c>
      <c r="S502" s="2" t="str">
        <f t="shared" si="38"/>
        <v>Very Long</v>
      </c>
      <c r="T502" s="2" t="str">
        <f t="shared" si="39"/>
        <v>Major Delay</v>
      </c>
    </row>
    <row r="503" spans="1:20" x14ac:dyDescent="0.35">
      <c r="A503" s="2" t="s">
        <v>1183</v>
      </c>
      <c r="B503" s="2" t="s">
        <v>24</v>
      </c>
      <c r="C503" s="2" t="s">
        <v>1184</v>
      </c>
      <c r="D503" s="2" t="s">
        <v>26</v>
      </c>
      <c r="E503" s="2" t="s">
        <v>19</v>
      </c>
      <c r="F503" s="2" t="s">
        <v>20</v>
      </c>
      <c r="G503" s="2" t="s">
        <v>88</v>
      </c>
      <c r="H503" s="3">
        <v>45457.268750000003</v>
      </c>
      <c r="I503" s="3">
        <v>45457.365972222222</v>
      </c>
      <c r="J503" s="2">
        <v>69</v>
      </c>
      <c r="K503" s="2">
        <v>140</v>
      </c>
      <c r="L503" s="2">
        <v>1</v>
      </c>
      <c r="M503" s="2" t="s">
        <v>29</v>
      </c>
      <c r="N503" s="2">
        <v>9</v>
      </c>
      <c r="O503" s="2">
        <v>72.040000000000006</v>
      </c>
      <c r="P503" s="2">
        <f t="shared" si="35"/>
        <v>71</v>
      </c>
      <c r="Q503" s="4">
        <f t="shared" si="36"/>
        <v>0.49285714285714288</v>
      </c>
      <c r="R503" s="2" t="str">
        <f t="shared" si="37"/>
        <v>Inefficient</v>
      </c>
      <c r="S503" s="2" t="str">
        <f t="shared" si="38"/>
        <v>Very Long</v>
      </c>
      <c r="T503" s="2" t="str">
        <f t="shared" si="39"/>
        <v>Major Delay</v>
      </c>
    </row>
    <row r="504" spans="1:20" x14ac:dyDescent="0.35">
      <c r="A504" s="2" t="s">
        <v>1185</v>
      </c>
      <c r="B504" s="2" t="s">
        <v>31</v>
      </c>
      <c r="C504" s="2" t="s">
        <v>1186</v>
      </c>
      <c r="D504" s="2" t="s">
        <v>26</v>
      </c>
      <c r="E504" s="2" t="s">
        <v>85</v>
      </c>
      <c r="F504" s="2" t="s">
        <v>34</v>
      </c>
      <c r="G504" s="2" t="s">
        <v>1187</v>
      </c>
      <c r="H504" s="3">
        <v>45506.874305555553</v>
      </c>
      <c r="I504" s="3">
        <v>45506.931250000001</v>
      </c>
      <c r="J504" s="2">
        <v>30</v>
      </c>
      <c r="K504" s="2">
        <v>82</v>
      </c>
      <c r="L504" s="2">
        <v>1</v>
      </c>
      <c r="M504" s="2" t="s">
        <v>22</v>
      </c>
      <c r="N504" s="2">
        <v>2</v>
      </c>
      <c r="O504" s="2">
        <v>246.07</v>
      </c>
      <c r="P504" s="2">
        <f t="shared" si="35"/>
        <v>52</v>
      </c>
      <c r="Q504" s="4">
        <f t="shared" si="36"/>
        <v>0.36585365853658536</v>
      </c>
      <c r="R504" s="2" t="str">
        <f t="shared" si="37"/>
        <v>Inefficient</v>
      </c>
      <c r="S504" s="2" t="str">
        <f t="shared" si="38"/>
        <v>Long</v>
      </c>
      <c r="T504" s="2" t="str">
        <f t="shared" si="39"/>
        <v>Major Delay</v>
      </c>
    </row>
    <row r="505" spans="1:20" x14ac:dyDescent="0.35">
      <c r="A505" s="2" t="s">
        <v>1188</v>
      </c>
      <c r="B505" s="2" t="s">
        <v>63</v>
      </c>
      <c r="C505" s="2" t="s">
        <v>1189</v>
      </c>
      <c r="D505" s="2" t="s">
        <v>44</v>
      </c>
      <c r="E505" s="2" t="s">
        <v>38</v>
      </c>
      <c r="F505" s="2" t="s">
        <v>20</v>
      </c>
      <c r="G505" s="2" t="s">
        <v>152</v>
      </c>
      <c r="H505" s="3">
        <v>45526.507638888892</v>
      </c>
      <c r="I505" s="3">
        <v>45526.752083333333</v>
      </c>
      <c r="J505" s="2">
        <v>240</v>
      </c>
      <c r="K505" s="2">
        <v>352</v>
      </c>
      <c r="L505" s="2">
        <v>1</v>
      </c>
      <c r="M505" s="2" t="s">
        <v>41</v>
      </c>
      <c r="N505" s="2">
        <v>1</v>
      </c>
      <c r="O505" s="2">
        <v>119.7</v>
      </c>
      <c r="P505" s="2">
        <f t="shared" si="35"/>
        <v>112</v>
      </c>
      <c r="Q505" s="4">
        <f t="shared" si="36"/>
        <v>0.68181818181818177</v>
      </c>
      <c r="R505" s="2" t="str">
        <f t="shared" si="37"/>
        <v>Inefficient</v>
      </c>
      <c r="S505" s="2" t="str">
        <f t="shared" si="38"/>
        <v>Very Long</v>
      </c>
      <c r="T505" s="2" t="str">
        <f t="shared" si="39"/>
        <v>Major Delay</v>
      </c>
    </row>
    <row r="506" spans="1:20" x14ac:dyDescent="0.35">
      <c r="A506" s="2" t="s">
        <v>1190</v>
      </c>
      <c r="B506" s="2" t="s">
        <v>16</v>
      </c>
      <c r="C506" s="2" t="s">
        <v>1191</v>
      </c>
      <c r="D506" s="2" t="s">
        <v>56</v>
      </c>
      <c r="E506" s="2" t="s">
        <v>19</v>
      </c>
      <c r="F506" s="2" t="s">
        <v>34</v>
      </c>
      <c r="G506" s="2" t="s">
        <v>103</v>
      </c>
      <c r="H506" s="3">
        <v>45417.145138888889</v>
      </c>
      <c r="I506" s="3">
        <v>45417.170138888891</v>
      </c>
      <c r="J506" s="2">
        <v>17</v>
      </c>
      <c r="K506" s="2">
        <v>36</v>
      </c>
      <c r="L506" s="2">
        <v>1</v>
      </c>
      <c r="M506" s="2" t="s">
        <v>22</v>
      </c>
      <c r="N506" s="2">
        <v>10</v>
      </c>
      <c r="O506" s="2">
        <v>480.35</v>
      </c>
      <c r="P506" s="2">
        <f t="shared" si="35"/>
        <v>19</v>
      </c>
      <c r="Q506" s="4">
        <f t="shared" si="36"/>
        <v>0.47222222222222221</v>
      </c>
      <c r="R506" s="2" t="str">
        <f t="shared" si="37"/>
        <v>Inefficient</v>
      </c>
      <c r="S506" s="2" t="str">
        <f t="shared" si="38"/>
        <v>Medium</v>
      </c>
      <c r="T506" s="2" t="str">
        <f t="shared" si="39"/>
        <v>Minor Delay</v>
      </c>
    </row>
    <row r="507" spans="1:20" x14ac:dyDescent="0.35">
      <c r="A507" s="2" t="s">
        <v>1192</v>
      </c>
      <c r="B507" s="2" t="s">
        <v>31</v>
      </c>
      <c r="C507" s="2" t="s">
        <v>1193</v>
      </c>
      <c r="D507" s="2" t="s">
        <v>56</v>
      </c>
      <c r="E507" s="2" t="s">
        <v>19</v>
      </c>
      <c r="F507" s="2" t="s">
        <v>27</v>
      </c>
      <c r="G507" s="2" t="s">
        <v>91</v>
      </c>
      <c r="H507" s="3">
        <v>45416.447222222225</v>
      </c>
      <c r="I507" s="3">
        <v>45416.569444444445</v>
      </c>
      <c r="J507" s="2">
        <v>127</v>
      </c>
      <c r="K507" s="2">
        <v>176</v>
      </c>
      <c r="L507" s="2">
        <v>1</v>
      </c>
      <c r="M507" s="2" t="s">
        <v>29</v>
      </c>
      <c r="N507" s="2">
        <v>8</v>
      </c>
      <c r="O507" s="2">
        <v>148.57</v>
      </c>
      <c r="P507" s="2">
        <f t="shared" si="35"/>
        <v>49</v>
      </c>
      <c r="Q507" s="4">
        <f t="shared" si="36"/>
        <v>0.72159090909090906</v>
      </c>
      <c r="R507" s="2" t="str">
        <f t="shared" si="37"/>
        <v>Inefficient</v>
      </c>
      <c r="S507" s="2" t="str">
        <f t="shared" si="38"/>
        <v>Very Long</v>
      </c>
      <c r="T507" s="2" t="str">
        <f t="shared" si="39"/>
        <v>Major Delay</v>
      </c>
    </row>
    <row r="508" spans="1:20" x14ac:dyDescent="0.35">
      <c r="A508" s="2" t="s">
        <v>1194</v>
      </c>
      <c r="B508" s="2" t="s">
        <v>51</v>
      </c>
      <c r="C508" s="2" t="s">
        <v>1195</v>
      </c>
      <c r="D508" s="2" t="s">
        <v>48</v>
      </c>
      <c r="E508" s="2" t="s">
        <v>38</v>
      </c>
      <c r="F508" s="2" t="s">
        <v>39</v>
      </c>
      <c r="G508" s="2" t="s">
        <v>602</v>
      </c>
      <c r="H508" s="3">
        <v>45448.756944444445</v>
      </c>
      <c r="I508" s="3">
        <v>45448.800694444442</v>
      </c>
      <c r="J508" s="2">
        <v>20</v>
      </c>
      <c r="K508" s="2">
        <v>63</v>
      </c>
      <c r="L508" s="2">
        <v>1</v>
      </c>
      <c r="M508" s="2" t="s">
        <v>22</v>
      </c>
      <c r="N508" s="2">
        <v>10</v>
      </c>
      <c r="O508" s="2">
        <v>456.41</v>
      </c>
      <c r="P508" s="2">
        <f t="shared" si="35"/>
        <v>43</v>
      </c>
      <c r="Q508" s="4">
        <f t="shared" si="36"/>
        <v>0.31746031746031744</v>
      </c>
      <c r="R508" s="2" t="str">
        <f t="shared" si="37"/>
        <v>Inefficient</v>
      </c>
      <c r="S508" s="2" t="str">
        <f t="shared" si="38"/>
        <v>Long</v>
      </c>
      <c r="T508" s="2" t="str">
        <f t="shared" si="39"/>
        <v>Major Delay</v>
      </c>
    </row>
    <row r="509" spans="1:20" x14ac:dyDescent="0.35">
      <c r="A509" s="2" t="s">
        <v>1196</v>
      </c>
      <c r="B509" s="2" t="s">
        <v>24</v>
      </c>
      <c r="C509" s="2" t="s">
        <v>1197</v>
      </c>
      <c r="D509" s="2" t="s">
        <v>56</v>
      </c>
      <c r="E509" s="2" t="s">
        <v>33</v>
      </c>
      <c r="F509" s="2" t="s">
        <v>34</v>
      </c>
      <c r="G509" s="2" t="s">
        <v>410</v>
      </c>
      <c r="H509" s="3">
        <v>45654.714583333334</v>
      </c>
      <c r="I509" s="3">
        <v>45654.844444444447</v>
      </c>
      <c r="J509" s="2">
        <v>159</v>
      </c>
      <c r="K509" s="2">
        <v>187</v>
      </c>
      <c r="L509" s="2">
        <v>1</v>
      </c>
      <c r="M509" s="2" t="s">
        <v>29</v>
      </c>
      <c r="N509" s="2">
        <v>4</v>
      </c>
      <c r="O509" s="2">
        <v>79.77</v>
      </c>
      <c r="P509" s="2">
        <f t="shared" si="35"/>
        <v>28</v>
      </c>
      <c r="Q509" s="4">
        <f t="shared" si="36"/>
        <v>0.85026737967914434</v>
      </c>
      <c r="R509" s="2" t="str">
        <f t="shared" si="37"/>
        <v>Inefficient</v>
      </c>
      <c r="S509" s="2" t="str">
        <f t="shared" si="38"/>
        <v>Very Long</v>
      </c>
      <c r="T509" s="2" t="str">
        <f t="shared" si="39"/>
        <v>Minor Delay</v>
      </c>
    </row>
    <row r="510" spans="1:20" x14ac:dyDescent="0.35">
      <c r="A510" s="2" t="s">
        <v>1198</v>
      </c>
      <c r="B510" s="2" t="s">
        <v>16</v>
      </c>
      <c r="C510" s="2" t="s">
        <v>1199</v>
      </c>
      <c r="D510" s="2" t="s">
        <v>18</v>
      </c>
      <c r="E510" s="2" t="s">
        <v>33</v>
      </c>
      <c r="F510" s="2" t="s">
        <v>34</v>
      </c>
      <c r="G510" s="2" t="s">
        <v>539</v>
      </c>
      <c r="H510" s="3">
        <v>45643.859027777777</v>
      </c>
      <c r="I510" s="3">
        <v>45644.023611111108</v>
      </c>
      <c r="J510" s="2">
        <v>161</v>
      </c>
      <c r="K510" s="2">
        <v>237</v>
      </c>
      <c r="L510" s="2">
        <v>1</v>
      </c>
      <c r="M510" s="2" t="s">
        <v>41</v>
      </c>
      <c r="N510" s="2">
        <v>3</v>
      </c>
      <c r="O510" s="2">
        <v>322.93</v>
      </c>
      <c r="P510" s="2">
        <f t="shared" si="35"/>
        <v>76</v>
      </c>
      <c r="Q510" s="4">
        <f t="shared" si="36"/>
        <v>0.67932489451476796</v>
      </c>
      <c r="R510" s="2" t="str">
        <f t="shared" si="37"/>
        <v>Inefficient</v>
      </c>
      <c r="S510" s="2" t="str">
        <f t="shared" si="38"/>
        <v>Very Long</v>
      </c>
      <c r="T510" s="2" t="str">
        <f t="shared" si="39"/>
        <v>Major Delay</v>
      </c>
    </row>
    <row r="511" spans="1:20" x14ac:dyDescent="0.35">
      <c r="A511" s="2" t="s">
        <v>1200</v>
      </c>
      <c r="B511" s="2" t="s">
        <v>51</v>
      </c>
      <c r="C511" s="2" t="s">
        <v>1201</v>
      </c>
      <c r="D511" s="2" t="s">
        <v>44</v>
      </c>
      <c r="E511" s="2" t="s">
        <v>33</v>
      </c>
      <c r="F511" s="2" t="s">
        <v>39</v>
      </c>
      <c r="G511" s="2" t="s">
        <v>49</v>
      </c>
      <c r="H511" s="3">
        <v>45477.84652777778</v>
      </c>
      <c r="I511" s="3">
        <v>45477.941666666666</v>
      </c>
      <c r="J511" s="2">
        <v>56</v>
      </c>
      <c r="K511" s="2">
        <v>137</v>
      </c>
      <c r="L511" s="2">
        <v>1</v>
      </c>
      <c r="M511" s="2" t="s">
        <v>22</v>
      </c>
      <c r="N511" s="2">
        <v>10</v>
      </c>
      <c r="O511" s="2">
        <v>488.56</v>
      </c>
      <c r="P511" s="2">
        <f t="shared" si="35"/>
        <v>81</v>
      </c>
      <c r="Q511" s="4">
        <f t="shared" si="36"/>
        <v>0.40875912408759124</v>
      </c>
      <c r="R511" s="2" t="str">
        <f t="shared" si="37"/>
        <v>Inefficient</v>
      </c>
      <c r="S511" s="2" t="str">
        <f t="shared" si="38"/>
        <v>Very Long</v>
      </c>
      <c r="T511" s="2" t="str">
        <f t="shared" si="39"/>
        <v>Major Delay</v>
      </c>
    </row>
    <row r="512" spans="1:20" x14ac:dyDescent="0.35">
      <c r="A512" s="2" t="s">
        <v>1202</v>
      </c>
      <c r="B512" s="2" t="s">
        <v>63</v>
      </c>
      <c r="C512" s="2" t="s">
        <v>1203</v>
      </c>
      <c r="D512" s="2" t="s">
        <v>48</v>
      </c>
      <c r="E512" s="2" t="s">
        <v>85</v>
      </c>
      <c r="F512" s="2" t="s">
        <v>27</v>
      </c>
      <c r="G512" s="2" t="s">
        <v>512</v>
      </c>
      <c r="H512" s="3">
        <v>45381.469444444447</v>
      </c>
      <c r="I512" s="3">
        <v>45381.501388888886</v>
      </c>
      <c r="J512" s="2">
        <v>10</v>
      </c>
      <c r="K512" s="2">
        <v>46</v>
      </c>
      <c r="L512" s="2">
        <v>1</v>
      </c>
      <c r="M512" s="2" t="s">
        <v>22</v>
      </c>
      <c r="N512" s="2">
        <v>5</v>
      </c>
      <c r="O512" s="2">
        <v>341.36</v>
      </c>
      <c r="P512" s="2">
        <f t="shared" si="35"/>
        <v>36</v>
      </c>
      <c r="Q512" s="4">
        <f t="shared" si="36"/>
        <v>0.21739130434782608</v>
      </c>
      <c r="R512" s="2" t="str">
        <f t="shared" si="37"/>
        <v>Inefficient</v>
      </c>
      <c r="S512" s="2" t="str">
        <f t="shared" si="38"/>
        <v>Medium</v>
      </c>
      <c r="T512" s="2" t="str">
        <f t="shared" si="39"/>
        <v>Major Delay</v>
      </c>
    </row>
    <row r="513" spans="1:20" x14ac:dyDescent="0.35">
      <c r="A513" s="2" t="s">
        <v>1204</v>
      </c>
      <c r="B513" s="2" t="s">
        <v>51</v>
      </c>
      <c r="C513" s="2" t="s">
        <v>1205</v>
      </c>
      <c r="D513" s="2" t="s">
        <v>44</v>
      </c>
      <c r="E513" s="2" t="s">
        <v>33</v>
      </c>
      <c r="F513" s="2" t="s">
        <v>39</v>
      </c>
      <c r="G513" s="2" t="s">
        <v>228</v>
      </c>
      <c r="H513" s="3">
        <v>45453.688888888886</v>
      </c>
      <c r="I513" s="3">
        <v>45453.786805555559</v>
      </c>
      <c r="J513" s="2">
        <v>41</v>
      </c>
      <c r="K513" s="2">
        <v>141</v>
      </c>
      <c r="L513" s="2">
        <v>1</v>
      </c>
      <c r="M513" s="2" t="s">
        <v>41</v>
      </c>
      <c r="N513" s="2">
        <v>3</v>
      </c>
      <c r="O513" s="2">
        <v>424.79</v>
      </c>
      <c r="P513" s="2">
        <f t="shared" si="35"/>
        <v>100</v>
      </c>
      <c r="Q513" s="4">
        <f t="shared" si="36"/>
        <v>0.29078014184397161</v>
      </c>
      <c r="R513" s="2" t="str">
        <f t="shared" si="37"/>
        <v>Inefficient</v>
      </c>
      <c r="S513" s="2" t="str">
        <f t="shared" si="38"/>
        <v>Very Long</v>
      </c>
      <c r="T513" s="2" t="str">
        <f t="shared" si="39"/>
        <v>Major Delay</v>
      </c>
    </row>
    <row r="514" spans="1:20" x14ac:dyDescent="0.35">
      <c r="A514" s="2" t="s">
        <v>1206</v>
      </c>
      <c r="B514" s="2" t="s">
        <v>31</v>
      </c>
      <c r="C514" s="2" t="s">
        <v>1207</v>
      </c>
      <c r="D514" s="2" t="s">
        <v>26</v>
      </c>
      <c r="E514" s="2" t="s">
        <v>85</v>
      </c>
      <c r="F514" s="2" t="s">
        <v>20</v>
      </c>
      <c r="G514" s="2" t="s">
        <v>631</v>
      </c>
      <c r="H514" s="3">
        <v>45338.212500000001</v>
      </c>
      <c r="I514" s="3">
        <v>45338.359027777777</v>
      </c>
      <c r="J514" s="2">
        <v>114</v>
      </c>
      <c r="K514" s="2">
        <v>211</v>
      </c>
      <c r="L514" s="2">
        <v>1</v>
      </c>
      <c r="M514" s="2" t="s">
        <v>22</v>
      </c>
      <c r="N514" s="2">
        <v>1</v>
      </c>
      <c r="O514" s="2">
        <v>119.7</v>
      </c>
      <c r="P514" s="2">
        <f t="shared" si="35"/>
        <v>97</v>
      </c>
      <c r="Q514" s="4">
        <f t="shared" si="36"/>
        <v>0.54028436018957349</v>
      </c>
      <c r="R514" s="2" t="str">
        <f t="shared" si="37"/>
        <v>Inefficient</v>
      </c>
      <c r="S514" s="2" t="str">
        <f t="shared" si="38"/>
        <v>Very Long</v>
      </c>
      <c r="T514" s="2" t="str">
        <f t="shared" si="39"/>
        <v>Major Delay</v>
      </c>
    </row>
    <row r="515" spans="1:20" x14ac:dyDescent="0.35">
      <c r="A515" s="2" t="s">
        <v>1208</v>
      </c>
      <c r="B515" s="2" t="s">
        <v>24</v>
      </c>
      <c r="C515" s="2" t="s">
        <v>1209</v>
      </c>
      <c r="D515" s="2" t="s">
        <v>18</v>
      </c>
      <c r="E515" s="2" t="s">
        <v>33</v>
      </c>
      <c r="F515" s="2" t="s">
        <v>39</v>
      </c>
      <c r="G515" s="2" t="s">
        <v>916</v>
      </c>
      <c r="H515" s="3">
        <v>45378.405555555553</v>
      </c>
      <c r="I515" s="3">
        <v>45378.587500000001</v>
      </c>
      <c r="J515" s="2">
        <v>208</v>
      </c>
      <c r="K515" s="2">
        <v>262</v>
      </c>
      <c r="L515" s="2">
        <v>1</v>
      </c>
      <c r="M515" s="2" t="s">
        <v>22</v>
      </c>
      <c r="N515" s="2">
        <v>7</v>
      </c>
      <c r="O515" s="2">
        <v>495.25</v>
      </c>
      <c r="P515" s="2">
        <f t="shared" ref="P515:P578" si="40">K515-J515</f>
        <v>54</v>
      </c>
      <c r="Q515" s="4">
        <f t="shared" ref="Q515:Q578" si="41">J515/K515</f>
        <v>0.79389312977099236</v>
      </c>
      <c r="R515" s="2" t="str">
        <f t="shared" ref="R515:R578" si="42">IF(Q515&gt;1,"Efficient",
IF(Q515=1,"On Target","Inefficient"))</f>
        <v>Inefficient</v>
      </c>
      <c r="S515" s="2" t="str">
        <f t="shared" ref="S515:S578" si="43">IF(K515&lt;30,"Short",
IF(K515&lt;60,"Medium",
IF(K515&lt;120,"Long","Very Long")))</f>
        <v>Very Long</v>
      </c>
      <c r="T515" s="2" t="str">
        <f t="shared" ref="T515:T578" si="44">IF(K515&lt;=J515,"On Time",
IF(K515-J515&lt;=30,"Minor Delay","Major Delay"))</f>
        <v>Major Delay</v>
      </c>
    </row>
    <row r="516" spans="1:20" x14ac:dyDescent="0.35">
      <c r="A516" s="2" t="s">
        <v>1210</v>
      </c>
      <c r="B516" s="2" t="s">
        <v>63</v>
      </c>
      <c r="C516" s="2" t="s">
        <v>1211</v>
      </c>
      <c r="D516" s="2" t="s">
        <v>44</v>
      </c>
      <c r="E516" s="2" t="s">
        <v>85</v>
      </c>
      <c r="F516" s="2" t="s">
        <v>34</v>
      </c>
      <c r="G516" s="2" t="s">
        <v>691</v>
      </c>
      <c r="H516" s="3">
        <v>45528.090277777781</v>
      </c>
      <c r="I516" s="3">
        <v>45528.210416666669</v>
      </c>
      <c r="J516" s="2">
        <v>58</v>
      </c>
      <c r="K516" s="2">
        <v>173</v>
      </c>
      <c r="L516" s="2">
        <v>1</v>
      </c>
      <c r="M516" s="2" t="s">
        <v>29</v>
      </c>
      <c r="N516" s="2">
        <v>4</v>
      </c>
      <c r="O516" s="2">
        <v>191.18</v>
      </c>
      <c r="P516" s="2">
        <f t="shared" si="40"/>
        <v>115</v>
      </c>
      <c r="Q516" s="4">
        <f t="shared" si="41"/>
        <v>0.33526011560693642</v>
      </c>
      <c r="R516" s="2" t="str">
        <f t="shared" si="42"/>
        <v>Inefficient</v>
      </c>
      <c r="S516" s="2" t="str">
        <f t="shared" si="43"/>
        <v>Very Long</v>
      </c>
      <c r="T516" s="2" t="str">
        <f t="shared" si="44"/>
        <v>Major Delay</v>
      </c>
    </row>
    <row r="517" spans="1:20" x14ac:dyDescent="0.35">
      <c r="A517" s="2" t="s">
        <v>1212</v>
      </c>
      <c r="B517" s="2" t="s">
        <v>16</v>
      </c>
      <c r="C517" s="2" t="s">
        <v>1213</v>
      </c>
      <c r="D517" s="2" t="s">
        <v>48</v>
      </c>
      <c r="E517" s="2" t="s">
        <v>19</v>
      </c>
      <c r="F517" s="2" t="s">
        <v>34</v>
      </c>
      <c r="G517" s="2" t="s">
        <v>225</v>
      </c>
      <c r="H517" s="3">
        <v>45564.271527777775</v>
      </c>
      <c r="I517" s="3">
        <v>45564.421527777777</v>
      </c>
      <c r="J517" s="2">
        <v>118</v>
      </c>
      <c r="K517" s="2">
        <v>216</v>
      </c>
      <c r="L517" s="2">
        <v>1</v>
      </c>
      <c r="M517" s="2" t="s">
        <v>29</v>
      </c>
      <c r="N517" s="2">
        <v>4</v>
      </c>
      <c r="O517" s="2">
        <v>85.41</v>
      </c>
      <c r="P517" s="2">
        <f t="shared" si="40"/>
        <v>98</v>
      </c>
      <c r="Q517" s="4">
        <f t="shared" si="41"/>
        <v>0.54629629629629628</v>
      </c>
      <c r="R517" s="2" t="str">
        <f t="shared" si="42"/>
        <v>Inefficient</v>
      </c>
      <c r="S517" s="2" t="str">
        <f t="shared" si="43"/>
        <v>Very Long</v>
      </c>
      <c r="T517" s="2" t="str">
        <f t="shared" si="44"/>
        <v>Major Delay</v>
      </c>
    </row>
    <row r="518" spans="1:20" x14ac:dyDescent="0.35">
      <c r="A518" s="2" t="s">
        <v>1214</v>
      </c>
      <c r="B518" s="2" t="s">
        <v>51</v>
      </c>
      <c r="C518" s="2" t="s">
        <v>1215</v>
      </c>
      <c r="D518" s="2" t="s">
        <v>26</v>
      </c>
      <c r="E518" s="2" t="s">
        <v>19</v>
      </c>
      <c r="F518" s="2" t="s">
        <v>27</v>
      </c>
      <c r="G518" s="2" t="s">
        <v>143</v>
      </c>
      <c r="H518" s="3">
        <v>45295.527083333334</v>
      </c>
      <c r="I518" s="3">
        <v>45295.651388888888</v>
      </c>
      <c r="J518" s="2">
        <v>151</v>
      </c>
      <c r="K518" s="2">
        <v>179</v>
      </c>
      <c r="L518" s="2">
        <v>1</v>
      </c>
      <c r="M518" s="2" t="s">
        <v>29</v>
      </c>
      <c r="N518" s="2">
        <v>1</v>
      </c>
      <c r="O518" s="2">
        <v>196.8</v>
      </c>
      <c r="P518" s="2">
        <f t="shared" si="40"/>
        <v>28</v>
      </c>
      <c r="Q518" s="4">
        <f t="shared" si="41"/>
        <v>0.84357541899441346</v>
      </c>
      <c r="R518" s="2" t="str">
        <f t="shared" si="42"/>
        <v>Inefficient</v>
      </c>
      <c r="S518" s="2" t="str">
        <f t="shared" si="43"/>
        <v>Very Long</v>
      </c>
      <c r="T518" s="2" t="str">
        <f t="shared" si="44"/>
        <v>Minor Delay</v>
      </c>
    </row>
    <row r="519" spans="1:20" x14ac:dyDescent="0.35">
      <c r="A519" s="2" t="s">
        <v>1216</v>
      </c>
      <c r="B519" s="2" t="s">
        <v>51</v>
      </c>
      <c r="C519" s="2" t="s">
        <v>1217</v>
      </c>
      <c r="D519" s="2" t="s">
        <v>26</v>
      </c>
      <c r="E519" s="2" t="s">
        <v>38</v>
      </c>
      <c r="F519" s="2" t="s">
        <v>34</v>
      </c>
      <c r="G519" s="2" t="s">
        <v>100</v>
      </c>
      <c r="H519" s="3">
        <v>45382.611111111109</v>
      </c>
      <c r="I519" s="3">
        <v>45382.71597222222</v>
      </c>
      <c r="J519" s="2">
        <v>141</v>
      </c>
      <c r="K519" s="2">
        <v>151</v>
      </c>
      <c r="L519" s="2">
        <v>1</v>
      </c>
      <c r="M519" s="2" t="s">
        <v>41</v>
      </c>
      <c r="N519" s="2">
        <v>6</v>
      </c>
      <c r="O519" s="2">
        <v>217.28</v>
      </c>
      <c r="P519" s="2">
        <f t="shared" si="40"/>
        <v>10</v>
      </c>
      <c r="Q519" s="4">
        <f t="shared" si="41"/>
        <v>0.93377483443708609</v>
      </c>
      <c r="R519" s="2" t="str">
        <f t="shared" si="42"/>
        <v>Inefficient</v>
      </c>
      <c r="S519" s="2" t="str">
        <f t="shared" si="43"/>
        <v>Very Long</v>
      </c>
      <c r="T519" s="2" t="str">
        <f t="shared" si="44"/>
        <v>Minor Delay</v>
      </c>
    </row>
    <row r="520" spans="1:20" x14ac:dyDescent="0.35">
      <c r="A520" s="2" t="s">
        <v>1218</v>
      </c>
      <c r="B520" s="2" t="s">
        <v>24</v>
      </c>
      <c r="C520" s="2" t="s">
        <v>1219</v>
      </c>
      <c r="D520" s="2" t="s">
        <v>44</v>
      </c>
      <c r="E520" s="2" t="s">
        <v>19</v>
      </c>
      <c r="F520" s="2" t="s">
        <v>27</v>
      </c>
      <c r="G520" s="2" t="s">
        <v>691</v>
      </c>
      <c r="H520" s="3">
        <v>45341.777777777781</v>
      </c>
      <c r="I520" s="3">
        <v>45341.969444444447</v>
      </c>
      <c r="J520" s="2">
        <v>235</v>
      </c>
      <c r="K520" s="2">
        <v>276</v>
      </c>
      <c r="L520" s="2">
        <v>1</v>
      </c>
      <c r="M520" s="2" t="s">
        <v>22</v>
      </c>
      <c r="N520" s="2">
        <v>3</v>
      </c>
      <c r="O520" s="2">
        <v>468.28</v>
      </c>
      <c r="P520" s="2">
        <f t="shared" si="40"/>
        <v>41</v>
      </c>
      <c r="Q520" s="4">
        <f t="shared" si="41"/>
        <v>0.85144927536231885</v>
      </c>
      <c r="R520" s="2" t="str">
        <f t="shared" si="42"/>
        <v>Inefficient</v>
      </c>
      <c r="S520" s="2" t="str">
        <f t="shared" si="43"/>
        <v>Very Long</v>
      </c>
      <c r="T520" s="2" t="str">
        <f t="shared" si="44"/>
        <v>Major Delay</v>
      </c>
    </row>
    <row r="521" spans="1:20" x14ac:dyDescent="0.35">
      <c r="A521" s="2" t="s">
        <v>1220</v>
      </c>
      <c r="B521" s="2" t="s">
        <v>16</v>
      </c>
      <c r="C521" s="2" t="s">
        <v>1221</v>
      </c>
      <c r="D521" s="2" t="s">
        <v>26</v>
      </c>
      <c r="E521" s="2" t="s">
        <v>38</v>
      </c>
      <c r="F521" s="2" t="s">
        <v>20</v>
      </c>
      <c r="G521" s="2" t="s">
        <v>754</v>
      </c>
      <c r="H521" s="3">
        <v>45620.602777777778</v>
      </c>
      <c r="I521" s="3">
        <v>45620.79583333333</v>
      </c>
      <c r="J521" s="2">
        <v>182</v>
      </c>
      <c r="K521" s="2">
        <v>278</v>
      </c>
      <c r="L521" s="2">
        <v>1</v>
      </c>
      <c r="M521" s="2" t="s">
        <v>29</v>
      </c>
      <c r="N521" s="2">
        <v>9</v>
      </c>
      <c r="O521" s="2">
        <v>154.77000000000001</v>
      </c>
      <c r="P521" s="2">
        <f t="shared" si="40"/>
        <v>96</v>
      </c>
      <c r="Q521" s="4">
        <f t="shared" si="41"/>
        <v>0.65467625899280579</v>
      </c>
      <c r="R521" s="2" t="str">
        <f t="shared" si="42"/>
        <v>Inefficient</v>
      </c>
      <c r="S521" s="2" t="str">
        <f t="shared" si="43"/>
        <v>Very Long</v>
      </c>
      <c r="T521" s="2" t="str">
        <f t="shared" si="44"/>
        <v>Major Delay</v>
      </c>
    </row>
    <row r="522" spans="1:20" x14ac:dyDescent="0.35">
      <c r="A522" s="2" t="s">
        <v>1222</v>
      </c>
      <c r="B522" s="2" t="s">
        <v>51</v>
      </c>
      <c r="C522" s="2" t="s">
        <v>1223</v>
      </c>
      <c r="D522" s="2" t="s">
        <v>48</v>
      </c>
      <c r="E522" s="2" t="s">
        <v>38</v>
      </c>
      <c r="F522" s="2" t="s">
        <v>20</v>
      </c>
      <c r="G522" s="2" t="s">
        <v>79</v>
      </c>
      <c r="H522" s="3">
        <v>45491.154166666667</v>
      </c>
      <c r="I522" s="3">
        <v>45491.336111111108</v>
      </c>
      <c r="J522" s="2">
        <v>168</v>
      </c>
      <c r="K522" s="2">
        <v>262</v>
      </c>
      <c r="L522" s="2">
        <v>1</v>
      </c>
      <c r="M522" s="2" t="s">
        <v>29</v>
      </c>
      <c r="N522" s="2">
        <v>6</v>
      </c>
      <c r="O522" s="2">
        <v>336.6</v>
      </c>
      <c r="P522" s="2">
        <f t="shared" si="40"/>
        <v>94</v>
      </c>
      <c r="Q522" s="4">
        <f t="shared" si="41"/>
        <v>0.64122137404580148</v>
      </c>
      <c r="R522" s="2" t="str">
        <f t="shared" si="42"/>
        <v>Inefficient</v>
      </c>
      <c r="S522" s="2" t="str">
        <f t="shared" si="43"/>
        <v>Very Long</v>
      </c>
      <c r="T522" s="2" t="str">
        <f t="shared" si="44"/>
        <v>Major Delay</v>
      </c>
    </row>
    <row r="523" spans="1:20" x14ac:dyDescent="0.35">
      <c r="A523" s="2" t="s">
        <v>1224</v>
      </c>
      <c r="B523" s="2" t="s">
        <v>51</v>
      </c>
      <c r="C523" s="2" t="s">
        <v>1225</v>
      </c>
      <c r="D523" s="2" t="s">
        <v>44</v>
      </c>
      <c r="E523" s="2" t="s">
        <v>33</v>
      </c>
      <c r="F523" s="2" t="s">
        <v>57</v>
      </c>
      <c r="G523" s="2" t="s">
        <v>111</v>
      </c>
      <c r="H523" s="3">
        <v>45477.926388888889</v>
      </c>
      <c r="I523" s="3">
        <v>45478.1</v>
      </c>
      <c r="J523" s="2">
        <v>163</v>
      </c>
      <c r="K523" s="2">
        <v>250</v>
      </c>
      <c r="L523" s="2">
        <v>1</v>
      </c>
      <c r="M523" s="2" t="s">
        <v>29</v>
      </c>
      <c r="N523" s="2">
        <v>2</v>
      </c>
      <c r="O523" s="2">
        <v>273.79000000000002</v>
      </c>
      <c r="P523" s="2">
        <f t="shared" si="40"/>
        <v>87</v>
      </c>
      <c r="Q523" s="4">
        <f t="shared" si="41"/>
        <v>0.65200000000000002</v>
      </c>
      <c r="R523" s="2" t="str">
        <f t="shared" si="42"/>
        <v>Inefficient</v>
      </c>
      <c r="S523" s="2" t="str">
        <f t="shared" si="43"/>
        <v>Very Long</v>
      </c>
      <c r="T523" s="2" t="str">
        <f t="shared" si="44"/>
        <v>Major Delay</v>
      </c>
    </row>
    <row r="524" spans="1:20" x14ac:dyDescent="0.35">
      <c r="A524" s="2" t="s">
        <v>1226</v>
      </c>
      <c r="B524" s="2" t="s">
        <v>51</v>
      </c>
      <c r="C524" s="2" t="s">
        <v>1227</v>
      </c>
      <c r="D524" s="2" t="s">
        <v>26</v>
      </c>
      <c r="E524" s="2" t="s">
        <v>33</v>
      </c>
      <c r="F524" s="2" t="s">
        <v>57</v>
      </c>
      <c r="G524" s="2" t="s">
        <v>418</v>
      </c>
      <c r="H524" s="3">
        <v>45425.795138888891</v>
      </c>
      <c r="I524" s="3">
        <v>45425.945138888892</v>
      </c>
      <c r="J524" s="2">
        <v>130</v>
      </c>
      <c r="K524" s="2">
        <v>216</v>
      </c>
      <c r="L524" s="2">
        <v>1</v>
      </c>
      <c r="M524" s="2" t="s">
        <v>22</v>
      </c>
      <c r="N524" s="2">
        <v>1</v>
      </c>
      <c r="O524" s="2">
        <v>466.61</v>
      </c>
      <c r="P524" s="2">
        <f t="shared" si="40"/>
        <v>86</v>
      </c>
      <c r="Q524" s="4">
        <f t="shared" si="41"/>
        <v>0.60185185185185186</v>
      </c>
      <c r="R524" s="2" t="str">
        <f t="shared" si="42"/>
        <v>Inefficient</v>
      </c>
      <c r="S524" s="2" t="str">
        <f t="shared" si="43"/>
        <v>Very Long</v>
      </c>
      <c r="T524" s="2" t="str">
        <f t="shared" si="44"/>
        <v>Major Delay</v>
      </c>
    </row>
    <row r="525" spans="1:20" x14ac:dyDescent="0.35">
      <c r="A525" s="2" t="s">
        <v>1228</v>
      </c>
      <c r="B525" s="2" t="s">
        <v>63</v>
      </c>
      <c r="C525" s="2" t="s">
        <v>1229</v>
      </c>
      <c r="D525" s="2" t="s">
        <v>48</v>
      </c>
      <c r="E525" s="2" t="s">
        <v>85</v>
      </c>
      <c r="F525" s="2" t="s">
        <v>57</v>
      </c>
      <c r="G525" s="2" t="s">
        <v>76</v>
      </c>
      <c r="H525" s="3">
        <v>45393.029861111114</v>
      </c>
      <c r="I525" s="3">
        <v>45393.160416666666</v>
      </c>
      <c r="J525" s="2">
        <v>74</v>
      </c>
      <c r="K525" s="2">
        <v>188</v>
      </c>
      <c r="L525" s="2">
        <v>1</v>
      </c>
      <c r="M525" s="2" t="s">
        <v>22</v>
      </c>
      <c r="N525" s="2">
        <v>9</v>
      </c>
      <c r="O525" s="2">
        <v>302.58</v>
      </c>
      <c r="P525" s="2">
        <f t="shared" si="40"/>
        <v>114</v>
      </c>
      <c r="Q525" s="4">
        <f t="shared" si="41"/>
        <v>0.39361702127659576</v>
      </c>
      <c r="R525" s="2" t="str">
        <f t="shared" si="42"/>
        <v>Inefficient</v>
      </c>
      <c r="S525" s="2" t="str">
        <f t="shared" si="43"/>
        <v>Very Long</v>
      </c>
      <c r="T525" s="2" t="str">
        <f t="shared" si="44"/>
        <v>Major Delay</v>
      </c>
    </row>
    <row r="526" spans="1:20" x14ac:dyDescent="0.35">
      <c r="A526" s="2" t="s">
        <v>1230</v>
      </c>
      <c r="B526" s="2" t="s">
        <v>51</v>
      </c>
      <c r="C526" s="2" t="s">
        <v>1231</v>
      </c>
      <c r="D526" s="2" t="s">
        <v>48</v>
      </c>
      <c r="E526" s="2" t="s">
        <v>19</v>
      </c>
      <c r="F526" s="2" t="s">
        <v>34</v>
      </c>
      <c r="G526" s="2" t="s">
        <v>749</v>
      </c>
      <c r="H526" s="3">
        <v>45446.088888888888</v>
      </c>
      <c r="I526" s="3">
        <v>45446.248611111114</v>
      </c>
      <c r="J526" s="2">
        <v>203</v>
      </c>
      <c r="K526" s="2">
        <v>230</v>
      </c>
      <c r="L526" s="2">
        <v>1</v>
      </c>
      <c r="M526" s="2" t="s">
        <v>41</v>
      </c>
      <c r="N526" s="2">
        <v>8</v>
      </c>
      <c r="O526" s="2">
        <v>98.09</v>
      </c>
      <c r="P526" s="2">
        <f t="shared" si="40"/>
        <v>27</v>
      </c>
      <c r="Q526" s="4">
        <f t="shared" si="41"/>
        <v>0.88260869565217392</v>
      </c>
      <c r="R526" s="2" t="str">
        <f t="shared" si="42"/>
        <v>Inefficient</v>
      </c>
      <c r="S526" s="2" t="str">
        <f t="shared" si="43"/>
        <v>Very Long</v>
      </c>
      <c r="T526" s="2" t="str">
        <f t="shared" si="44"/>
        <v>Minor Delay</v>
      </c>
    </row>
    <row r="527" spans="1:20" x14ac:dyDescent="0.35">
      <c r="A527" s="2" t="s">
        <v>1232</v>
      </c>
      <c r="B527" s="2" t="s">
        <v>51</v>
      </c>
      <c r="C527" s="2" t="s">
        <v>1233</v>
      </c>
      <c r="D527" s="2" t="s">
        <v>18</v>
      </c>
      <c r="E527" s="2" t="s">
        <v>19</v>
      </c>
      <c r="F527" s="2" t="s">
        <v>27</v>
      </c>
      <c r="G527" s="2" t="s">
        <v>137</v>
      </c>
      <c r="H527" s="3">
        <v>45373.884722222225</v>
      </c>
      <c r="I527" s="3">
        <v>45373.928472222222</v>
      </c>
      <c r="J527" s="2">
        <v>49</v>
      </c>
      <c r="K527" s="2">
        <v>63</v>
      </c>
      <c r="L527" s="2">
        <v>1</v>
      </c>
      <c r="M527" s="2" t="s">
        <v>41</v>
      </c>
      <c r="N527" s="2">
        <v>8</v>
      </c>
      <c r="O527" s="2">
        <v>169.87</v>
      </c>
      <c r="P527" s="2">
        <f t="shared" si="40"/>
        <v>14</v>
      </c>
      <c r="Q527" s="4">
        <f t="shared" si="41"/>
        <v>0.77777777777777779</v>
      </c>
      <c r="R527" s="2" t="str">
        <f t="shared" si="42"/>
        <v>Inefficient</v>
      </c>
      <c r="S527" s="2" t="str">
        <f t="shared" si="43"/>
        <v>Long</v>
      </c>
      <c r="T527" s="2" t="str">
        <f t="shared" si="44"/>
        <v>Minor Delay</v>
      </c>
    </row>
    <row r="528" spans="1:20" x14ac:dyDescent="0.35">
      <c r="A528" s="2" t="s">
        <v>1234</v>
      </c>
      <c r="B528" s="2" t="s">
        <v>51</v>
      </c>
      <c r="C528" s="2" t="s">
        <v>1235</v>
      </c>
      <c r="D528" s="2" t="s">
        <v>18</v>
      </c>
      <c r="E528" s="2" t="s">
        <v>38</v>
      </c>
      <c r="F528" s="2" t="s">
        <v>27</v>
      </c>
      <c r="G528" s="2" t="s">
        <v>88</v>
      </c>
      <c r="H528" s="3">
        <v>45444.785416666666</v>
      </c>
      <c r="I528" s="3">
        <v>45444.934027777781</v>
      </c>
      <c r="J528" s="2">
        <v>161</v>
      </c>
      <c r="K528" s="2">
        <v>214</v>
      </c>
      <c r="L528" s="2">
        <v>1</v>
      </c>
      <c r="M528" s="2" t="s">
        <v>41</v>
      </c>
      <c r="N528" s="2">
        <v>2</v>
      </c>
      <c r="O528" s="2">
        <v>488.03</v>
      </c>
      <c r="P528" s="2">
        <f t="shared" si="40"/>
        <v>53</v>
      </c>
      <c r="Q528" s="4">
        <f t="shared" si="41"/>
        <v>0.75233644859813087</v>
      </c>
      <c r="R528" s="2" t="str">
        <f t="shared" si="42"/>
        <v>Inefficient</v>
      </c>
      <c r="S528" s="2" t="str">
        <f t="shared" si="43"/>
        <v>Very Long</v>
      </c>
      <c r="T528" s="2" t="str">
        <f t="shared" si="44"/>
        <v>Major Delay</v>
      </c>
    </row>
    <row r="529" spans="1:20" x14ac:dyDescent="0.35">
      <c r="A529" s="2" t="s">
        <v>1236</v>
      </c>
      <c r="B529" s="2" t="s">
        <v>51</v>
      </c>
      <c r="C529" s="2" t="s">
        <v>1237</v>
      </c>
      <c r="D529" s="2" t="s">
        <v>44</v>
      </c>
      <c r="E529" s="2" t="s">
        <v>38</v>
      </c>
      <c r="F529" s="2" t="s">
        <v>39</v>
      </c>
      <c r="G529" s="2" t="s">
        <v>311</v>
      </c>
      <c r="H529" s="3">
        <v>45516.800694444442</v>
      </c>
      <c r="I529" s="3">
        <v>45516.861111111109</v>
      </c>
      <c r="J529" s="2">
        <v>53</v>
      </c>
      <c r="K529" s="2">
        <v>87</v>
      </c>
      <c r="L529" s="2">
        <v>1</v>
      </c>
      <c r="M529" s="2" t="s">
        <v>29</v>
      </c>
      <c r="N529" s="2">
        <v>8</v>
      </c>
      <c r="O529" s="2">
        <v>289.11</v>
      </c>
      <c r="P529" s="2">
        <f t="shared" si="40"/>
        <v>34</v>
      </c>
      <c r="Q529" s="4">
        <f t="shared" si="41"/>
        <v>0.60919540229885061</v>
      </c>
      <c r="R529" s="2" t="str">
        <f t="shared" si="42"/>
        <v>Inefficient</v>
      </c>
      <c r="S529" s="2" t="str">
        <f t="shared" si="43"/>
        <v>Long</v>
      </c>
      <c r="T529" s="2" t="str">
        <f t="shared" si="44"/>
        <v>Major Delay</v>
      </c>
    </row>
    <row r="530" spans="1:20" x14ac:dyDescent="0.35">
      <c r="A530" s="2" t="s">
        <v>1238</v>
      </c>
      <c r="B530" s="2" t="s">
        <v>63</v>
      </c>
      <c r="C530" s="2" t="s">
        <v>1239</v>
      </c>
      <c r="D530" s="2" t="s">
        <v>48</v>
      </c>
      <c r="E530" s="2" t="s">
        <v>85</v>
      </c>
      <c r="F530" s="2" t="s">
        <v>27</v>
      </c>
      <c r="G530" s="2" t="s">
        <v>288</v>
      </c>
      <c r="H530" s="3">
        <v>45356.541666666664</v>
      </c>
      <c r="I530" s="3">
        <v>45356.598611111112</v>
      </c>
      <c r="J530" s="2">
        <v>35</v>
      </c>
      <c r="K530" s="2">
        <v>82</v>
      </c>
      <c r="L530" s="2">
        <v>1</v>
      </c>
      <c r="M530" s="2" t="s">
        <v>41</v>
      </c>
      <c r="N530" s="2">
        <v>6</v>
      </c>
      <c r="O530" s="2">
        <v>264.89</v>
      </c>
      <c r="P530" s="2">
        <f t="shared" si="40"/>
        <v>47</v>
      </c>
      <c r="Q530" s="4">
        <f t="shared" si="41"/>
        <v>0.42682926829268292</v>
      </c>
      <c r="R530" s="2" t="str">
        <f t="shared" si="42"/>
        <v>Inefficient</v>
      </c>
      <c r="S530" s="2" t="str">
        <f t="shared" si="43"/>
        <v>Long</v>
      </c>
      <c r="T530" s="2" t="str">
        <f t="shared" si="44"/>
        <v>Major Delay</v>
      </c>
    </row>
    <row r="531" spans="1:20" x14ac:dyDescent="0.35">
      <c r="A531" s="2" t="s">
        <v>1240</v>
      </c>
      <c r="B531" s="2" t="s">
        <v>31</v>
      </c>
      <c r="C531" s="2" t="s">
        <v>1241</v>
      </c>
      <c r="D531" s="2" t="s">
        <v>18</v>
      </c>
      <c r="E531" s="2" t="s">
        <v>33</v>
      </c>
      <c r="F531" s="2" t="s">
        <v>39</v>
      </c>
      <c r="G531" s="2" t="s">
        <v>418</v>
      </c>
      <c r="H531" s="3">
        <v>45510.45416666667</v>
      </c>
      <c r="I531" s="3">
        <v>45510.652083333334</v>
      </c>
      <c r="J531" s="2">
        <v>200</v>
      </c>
      <c r="K531" s="2">
        <v>285</v>
      </c>
      <c r="L531" s="2">
        <v>1</v>
      </c>
      <c r="M531" s="2" t="s">
        <v>22</v>
      </c>
      <c r="N531" s="2">
        <v>2</v>
      </c>
      <c r="O531" s="2">
        <v>491.36</v>
      </c>
      <c r="P531" s="2">
        <f t="shared" si="40"/>
        <v>85</v>
      </c>
      <c r="Q531" s="4">
        <f t="shared" si="41"/>
        <v>0.70175438596491224</v>
      </c>
      <c r="R531" s="2" t="str">
        <f t="shared" si="42"/>
        <v>Inefficient</v>
      </c>
      <c r="S531" s="2" t="str">
        <f t="shared" si="43"/>
        <v>Very Long</v>
      </c>
      <c r="T531" s="2" t="str">
        <f t="shared" si="44"/>
        <v>Major Delay</v>
      </c>
    </row>
    <row r="532" spans="1:20" x14ac:dyDescent="0.35">
      <c r="A532" s="2" t="s">
        <v>1242</v>
      </c>
      <c r="B532" s="2" t="s">
        <v>51</v>
      </c>
      <c r="C532" s="2" t="s">
        <v>1243</v>
      </c>
      <c r="D532" s="2" t="s">
        <v>56</v>
      </c>
      <c r="E532" s="2" t="s">
        <v>38</v>
      </c>
      <c r="F532" s="2" t="s">
        <v>20</v>
      </c>
      <c r="G532" s="2" t="s">
        <v>894</v>
      </c>
      <c r="H532" s="3">
        <v>45431.450694444444</v>
      </c>
      <c r="I532" s="3">
        <v>45431.649305555555</v>
      </c>
      <c r="J532" s="2">
        <v>239</v>
      </c>
      <c r="K532" s="2">
        <v>286</v>
      </c>
      <c r="L532" s="2">
        <v>1</v>
      </c>
      <c r="M532" s="2" t="s">
        <v>41</v>
      </c>
      <c r="N532" s="2">
        <v>2</v>
      </c>
      <c r="O532" s="2">
        <v>124.33</v>
      </c>
      <c r="P532" s="2">
        <f t="shared" si="40"/>
        <v>47</v>
      </c>
      <c r="Q532" s="4">
        <f t="shared" si="41"/>
        <v>0.83566433566433562</v>
      </c>
      <c r="R532" s="2" t="str">
        <f t="shared" si="42"/>
        <v>Inefficient</v>
      </c>
      <c r="S532" s="2" t="str">
        <f t="shared" si="43"/>
        <v>Very Long</v>
      </c>
      <c r="T532" s="2" t="str">
        <f t="shared" si="44"/>
        <v>Major Delay</v>
      </c>
    </row>
    <row r="533" spans="1:20" x14ac:dyDescent="0.35">
      <c r="A533" s="2" t="s">
        <v>1244</v>
      </c>
      <c r="B533" s="2" t="s">
        <v>31</v>
      </c>
      <c r="C533" s="2" t="s">
        <v>1245</v>
      </c>
      <c r="D533" s="2" t="s">
        <v>48</v>
      </c>
      <c r="E533" s="2" t="s">
        <v>38</v>
      </c>
      <c r="F533" s="2" t="s">
        <v>34</v>
      </c>
      <c r="G533" s="2" t="s">
        <v>418</v>
      </c>
      <c r="H533" s="3">
        <v>45616.068749999999</v>
      </c>
      <c r="I533" s="3">
        <v>45616.148611111108</v>
      </c>
      <c r="J533" s="2">
        <v>116</v>
      </c>
      <c r="K533" s="2">
        <v>115</v>
      </c>
      <c r="L533" s="2">
        <v>0</v>
      </c>
      <c r="M533" s="2" t="s">
        <v>29</v>
      </c>
      <c r="N533" s="2">
        <v>6</v>
      </c>
      <c r="O533" s="2">
        <v>125.52</v>
      </c>
      <c r="P533" s="2">
        <f t="shared" si="40"/>
        <v>-1</v>
      </c>
      <c r="Q533" s="4">
        <f t="shared" si="41"/>
        <v>1.008695652173913</v>
      </c>
      <c r="R533" s="2" t="str">
        <f t="shared" si="42"/>
        <v>Efficient</v>
      </c>
      <c r="S533" s="2" t="str">
        <f t="shared" si="43"/>
        <v>Long</v>
      </c>
      <c r="T533" s="2" t="str">
        <f t="shared" si="44"/>
        <v>On Time</v>
      </c>
    </row>
    <row r="534" spans="1:20" x14ac:dyDescent="0.35">
      <c r="A534" s="2" t="s">
        <v>1246</v>
      </c>
      <c r="B534" s="2" t="s">
        <v>24</v>
      </c>
      <c r="C534" s="2" t="s">
        <v>1247</v>
      </c>
      <c r="D534" s="2" t="s">
        <v>26</v>
      </c>
      <c r="E534" s="2" t="s">
        <v>38</v>
      </c>
      <c r="F534" s="2" t="s">
        <v>20</v>
      </c>
      <c r="G534" s="2" t="s">
        <v>364</v>
      </c>
      <c r="H534" s="3">
        <v>45513.42083333333</v>
      </c>
      <c r="I534" s="3">
        <v>45513.557638888888</v>
      </c>
      <c r="J534" s="2">
        <v>145</v>
      </c>
      <c r="K534" s="2">
        <v>197</v>
      </c>
      <c r="L534" s="2">
        <v>1</v>
      </c>
      <c r="M534" s="2" t="s">
        <v>22</v>
      </c>
      <c r="N534" s="2">
        <v>10</v>
      </c>
      <c r="O534" s="2">
        <v>455.07</v>
      </c>
      <c r="P534" s="2">
        <f t="shared" si="40"/>
        <v>52</v>
      </c>
      <c r="Q534" s="4">
        <f t="shared" si="41"/>
        <v>0.73604060913705582</v>
      </c>
      <c r="R534" s="2" t="str">
        <f t="shared" si="42"/>
        <v>Inefficient</v>
      </c>
      <c r="S534" s="2" t="str">
        <f t="shared" si="43"/>
        <v>Very Long</v>
      </c>
      <c r="T534" s="2" t="str">
        <f t="shared" si="44"/>
        <v>Major Delay</v>
      </c>
    </row>
    <row r="535" spans="1:20" x14ac:dyDescent="0.35">
      <c r="A535" s="2" t="s">
        <v>1248</v>
      </c>
      <c r="B535" s="2" t="s">
        <v>16</v>
      </c>
      <c r="C535" s="2" t="s">
        <v>1249</v>
      </c>
      <c r="D535" s="2" t="s">
        <v>48</v>
      </c>
      <c r="E535" s="2" t="s">
        <v>38</v>
      </c>
      <c r="F535" s="2" t="s">
        <v>57</v>
      </c>
      <c r="G535" s="2" t="s">
        <v>117</v>
      </c>
      <c r="H535" s="3">
        <v>45581.006249999999</v>
      </c>
      <c r="I535" s="3">
        <v>45581.120833333334</v>
      </c>
      <c r="J535" s="2">
        <v>164</v>
      </c>
      <c r="K535" s="2">
        <v>165</v>
      </c>
      <c r="L535" s="2">
        <v>1</v>
      </c>
      <c r="M535" s="2" t="s">
        <v>22</v>
      </c>
      <c r="N535" s="2">
        <v>5</v>
      </c>
      <c r="O535" s="2">
        <v>385.91</v>
      </c>
      <c r="P535" s="2">
        <f t="shared" si="40"/>
        <v>1</v>
      </c>
      <c r="Q535" s="4">
        <f t="shared" si="41"/>
        <v>0.9939393939393939</v>
      </c>
      <c r="R535" s="2" t="str">
        <f t="shared" si="42"/>
        <v>Inefficient</v>
      </c>
      <c r="S535" s="2" t="str">
        <f t="shared" si="43"/>
        <v>Very Long</v>
      </c>
      <c r="T535" s="2" t="str">
        <f t="shared" si="44"/>
        <v>Minor Delay</v>
      </c>
    </row>
    <row r="536" spans="1:20" x14ac:dyDescent="0.35">
      <c r="A536" s="2" t="s">
        <v>1250</v>
      </c>
      <c r="B536" s="2" t="s">
        <v>31</v>
      </c>
      <c r="C536" s="2" t="s">
        <v>1251</v>
      </c>
      <c r="D536" s="2" t="s">
        <v>18</v>
      </c>
      <c r="E536" s="2" t="s">
        <v>19</v>
      </c>
      <c r="F536" s="2" t="s">
        <v>34</v>
      </c>
      <c r="G536" s="2" t="s">
        <v>103</v>
      </c>
      <c r="H536" s="3">
        <v>45579.972222222219</v>
      </c>
      <c r="I536" s="3">
        <v>45580.152083333334</v>
      </c>
      <c r="J536" s="2">
        <v>157</v>
      </c>
      <c r="K536" s="2">
        <v>259</v>
      </c>
      <c r="L536" s="2">
        <v>1</v>
      </c>
      <c r="M536" s="2" t="s">
        <v>29</v>
      </c>
      <c r="N536" s="2">
        <v>1</v>
      </c>
      <c r="O536" s="2">
        <v>82.44</v>
      </c>
      <c r="P536" s="2">
        <f t="shared" si="40"/>
        <v>102</v>
      </c>
      <c r="Q536" s="4">
        <f t="shared" si="41"/>
        <v>0.60617760617760619</v>
      </c>
      <c r="R536" s="2" t="str">
        <f t="shared" si="42"/>
        <v>Inefficient</v>
      </c>
      <c r="S536" s="2" t="str">
        <f t="shared" si="43"/>
        <v>Very Long</v>
      </c>
      <c r="T536" s="2" t="str">
        <f t="shared" si="44"/>
        <v>Major Delay</v>
      </c>
    </row>
    <row r="537" spans="1:20" x14ac:dyDescent="0.35">
      <c r="A537" s="2" t="s">
        <v>1252</v>
      </c>
      <c r="B537" s="2" t="s">
        <v>24</v>
      </c>
      <c r="C537" s="2" t="s">
        <v>1253</v>
      </c>
      <c r="D537" s="2" t="s">
        <v>56</v>
      </c>
      <c r="E537" s="2" t="s">
        <v>19</v>
      </c>
      <c r="F537" s="2" t="s">
        <v>20</v>
      </c>
      <c r="G537" s="2" t="s">
        <v>418</v>
      </c>
      <c r="H537" s="3">
        <v>45402.861111111109</v>
      </c>
      <c r="I537" s="3">
        <v>45403.068749999999</v>
      </c>
      <c r="J537" s="2">
        <v>226</v>
      </c>
      <c r="K537" s="2">
        <v>299</v>
      </c>
      <c r="L537" s="2">
        <v>1</v>
      </c>
      <c r="M537" s="2" t="s">
        <v>29</v>
      </c>
      <c r="N537" s="2">
        <v>4</v>
      </c>
      <c r="O537" s="2">
        <v>161.32</v>
      </c>
      <c r="P537" s="2">
        <f t="shared" si="40"/>
        <v>73</v>
      </c>
      <c r="Q537" s="4">
        <f t="shared" si="41"/>
        <v>0.7558528428093646</v>
      </c>
      <c r="R537" s="2" t="str">
        <f t="shared" si="42"/>
        <v>Inefficient</v>
      </c>
      <c r="S537" s="2" t="str">
        <f t="shared" si="43"/>
        <v>Very Long</v>
      </c>
      <c r="T537" s="2" t="str">
        <f t="shared" si="44"/>
        <v>Major Delay</v>
      </c>
    </row>
    <row r="538" spans="1:20" x14ac:dyDescent="0.35">
      <c r="A538" s="2" t="s">
        <v>1254</v>
      </c>
      <c r="B538" s="2" t="s">
        <v>51</v>
      </c>
      <c r="C538" s="2" t="s">
        <v>1255</v>
      </c>
      <c r="D538" s="2" t="s">
        <v>56</v>
      </c>
      <c r="E538" s="2" t="s">
        <v>19</v>
      </c>
      <c r="F538" s="2" t="s">
        <v>39</v>
      </c>
      <c r="G538" s="2" t="s">
        <v>999</v>
      </c>
      <c r="H538" s="3">
        <v>45368.211111111108</v>
      </c>
      <c r="I538" s="3">
        <v>45368.340277777781</v>
      </c>
      <c r="J538" s="2">
        <v>189</v>
      </c>
      <c r="K538" s="2">
        <v>186</v>
      </c>
      <c r="L538" s="2">
        <v>0</v>
      </c>
      <c r="M538" s="2" t="s">
        <v>22</v>
      </c>
      <c r="N538" s="2">
        <v>8</v>
      </c>
      <c r="O538" s="2">
        <v>437.47</v>
      </c>
      <c r="P538" s="2">
        <f t="shared" si="40"/>
        <v>-3</v>
      </c>
      <c r="Q538" s="4">
        <f t="shared" si="41"/>
        <v>1.0161290322580645</v>
      </c>
      <c r="R538" s="2" t="str">
        <f t="shared" si="42"/>
        <v>Efficient</v>
      </c>
      <c r="S538" s="2" t="str">
        <f t="shared" si="43"/>
        <v>Very Long</v>
      </c>
      <c r="T538" s="2" t="str">
        <f t="shared" si="44"/>
        <v>On Time</v>
      </c>
    </row>
    <row r="539" spans="1:20" x14ac:dyDescent="0.35">
      <c r="A539" s="2" t="s">
        <v>1256</v>
      </c>
      <c r="B539" s="2" t="s">
        <v>31</v>
      </c>
      <c r="C539" s="2" t="s">
        <v>1257</v>
      </c>
      <c r="D539" s="2" t="s">
        <v>48</v>
      </c>
      <c r="E539" s="2" t="s">
        <v>33</v>
      </c>
      <c r="F539" s="2" t="s">
        <v>20</v>
      </c>
      <c r="G539" s="2" t="s">
        <v>681</v>
      </c>
      <c r="H539" s="3">
        <v>45451.761805555558</v>
      </c>
      <c r="I539" s="3">
        <v>45451.830555555556</v>
      </c>
      <c r="J539" s="2">
        <v>14</v>
      </c>
      <c r="K539" s="2">
        <v>99</v>
      </c>
      <c r="L539" s="2">
        <v>1</v>
      </c>
      <c r="M539" s="2" t="s">
        <v>22</v>
      </c>
      <c r="N539" s="2">
        <v>9</v>
      </c>
      <c r="O539" s="2">
        <v>340.33</v>
      </c>
      <c r="P539" s="2">
        <f t="shared" si="40"/>
        <v>85</v>
      </c>
      <c r="Q539" s="4">
        <f t="shared" si="41"/>
        <v>0.14141414141414141</v>
      </c>
      <c r="R539" s="2" t="str">
        <f t="shared" si="42"/>
        <v>Inefficient</v>
      </c>
      <c r="S539" s="2" t="str">
        <f t="shared" si="43"/>
        <v>Long</v>
      </c>
      <c r="T539" s="2" t="str">
        <f t="shared" si="44"/>
        <v>Major Delay</v>
      </c>
    </row>
    <row r="540" spans="1:20" x14ac:dyDescent="0.35">
      <c r="A540" s="2" t="s">
        <v>1258</v>
      </c>
      <c r="B540" s="2" t="s">
        <v>51</v>
      </c>
      <c r="C540" s="2" t="s">
        <v>1259</v>
      </c>
      <c r="D540" s="2" t="s">
        <v>26</v>
      </c>
      <c r="E540" s="2" t="s">
        <v>19</v>
      </c>
      <c r="F540" s="2" t="s">
        <v>34</v>
      </c>
      <c r="G540" s="2" t="s">
        <v>143</v>
      </c>
      <c r="H540" s="3">
        <v>45315.40625</v>
      </c>
      <c r="I540" s="3">
        <v>45315.538888888892</v>
      </c>
      <c r="J540" s="2">
        <v>169</v>
      </c>
      <c r="K540" s="2">
        <v>191</v>
      </c>
      <c r="L540" s="2">
        <v>1</v>
      </c>
      <c r="M540" s="2" t="s">
        <v>29</v>
      </c>
      <c r="N540" s="2">
        <v>9</v>
      </c>
      <c r="O540" s="2">
        <v>319.04000000000002</v>
      </c>
      <c r="P540" s="2">
        <f t="shared" si="40"/>
        <v>22</v>
      </c>
      <c r="Q540" s="4">
        <f t="shared" si="41"/>
        <v>0.88481675392670156</v>
      </c>
      <c r="R540" s="2" t="str">
        <f t="shared" si="42"/>
        <v>Inefficient</v>
      </c>
      <c r="S540" s="2" t="str">
        <f t="shared" si="43"/>
        <v>Very Long</v>
      </c>
      <c r="T540" s="2" t="str">
        <f t="shared" si="44"/>
        <v>Minor Delay</v>
      </c>
    </row>
    <row r="541" spans="1:20" x14ac:dyDescent="0.35">
      <c r="A541" s="2" t="s">
        <v>1260</v>
      </c>
      <c r="B541" s="2" t="s">
        <v>63</v>
      </c>
      <c r="C541" s="2" t="s">
        <v>1261</v>
      </c>
      <c r="D541" s="2" t="s">
        <v>26</v>
      </c>
      <c r="E541" s="2" t="s">
        <v>19</v>
      </c>
      <c r="F541" s="2" t="s">
        <v>27</v>
      </c>
      <c r="G541" s="2" t="s">
        <v>65</v>
      </c>
      <c r="H541" s="3">
        <v>45605.104861111111</v>
      </c>
      <c r="I541" s="3">
        <v>45605.12777777778</v>
      </c>
      <c r="J541" s="2">
        <v>25</v>
      </c>
      <c r="K541" s="2">
        <v>33</v>
      </c>
      <c r="L541" s="2">
        <v>1</v>
      </c>
      <c r="M541" s="2" t="s">
        <v>29</v>
      </c>
      <c r="N541" s="2">
        <v>9</v>
      </c>
      <c r="O541" s="2">
        <v>136.33000000000001</v>
      </c>
      <c r="P541" s="2">
        <f t="shared" si="40"/>
        <v>8</v>
      </c>
      <c r="Q541" s="4">
        <f t="shared" si="41"/>
        <v>0.75757575757575757</v>
      </c>
      <c r="R541" s="2" t="str">
        <f t="shared" si="42"/>
        <v>Inefficient</v>
      </c>
      <c r="S541" s="2" t="str">
        <f t="shared" si="43"/>
        <v>Medium</v>
      </c>
      <c r="T541" s="2" t="str">
        <f t="shared" si="44"/>
        <v>Minor Delay</v>
      </c>
    </row>
    <row r="542" spans="1:20" x14ac:dyDescent="0.35">
      <c r="A542" s="2" t="s">
        <v>1262</v>
      </c>
      <c r="B542" s="2" t="s">
        <v>24</v>
      </c>
      <c r="C542" s="2" t="s">
        <v>1263</v>
      </c>
      <c r="D542" s="2" t="s">
        <v>26</v>
      </c>
      <c r="E542" s="2" t="s">
        <v>85</v>
      </c>
      <c r="F542" s="2" t="s">
        <v>39</v>
      </c>
      <c r="G542" s="2" t="s">
        <v>299</v>
      </c>
      <c r="H542" s="3">
        <v>45642.449305555558</v>
      </c>
      <c r="I542" s="3">
        <v>45642.574999999997</v>
      </c>
      <c r="J542" s="2">
        <v>131</v>
      </c>
      <c r="K542" s="2">
        <v>181</v>
      </c>
      <c r="L542" s="2">
        <v>1</v>
      </c>
      <c r="M542" s="2" t="s">
        <v>22</v>
      </c>
      <c r="N542" s="2">
        <v>1</v>
      </c>
      <c r="O542" s="2">
        <v>348.38</v>
      </c>
      <c r="P542" s="2">
        <f t="shared" si="40"/>
        <v>50</v>
      </c>
      <c r="Q542" s="4">
        <f t="shared" si="41"/>
        <v>0.72375690607734811</v>
      </c>
      <c r="R542" s="2" t="str">
        <f t="shared" si="42"/>
        <v>Inefficient</v>
      </c>
      <c r="S542" s="2" t="str">
        <f t="shared" si="43"/>
        <v>Very Long</v>
      </c>
      <c r="T542" s="2" t="str">
        <f t="shared" si="44"/>
        <v>Major Delay</v>
      </c>
    </row>
    <row r="543" spans="1:20" x14ac:dyDescent="0.35">
      <c r="A543" s="2" t="s">
        <v>1264</v>
      </c>
      <c r="B543" s="2" t="s">
        <v>31</v>
      </c>
      <c r="C543" s="2" t="s">
        <v>1265</v>
      </c>
      <c r="D543" s="2" t="s">
        <v>18</v>
      </c>
      <c r="E543" s="2" t="s">
        <v>19</v>
      </c>
      <c r="F543" s="2" t="s">
        <v>34</v>
      </c>
      <c r="G543" s="2" t="s">
        <v>1125</v>
      </c>
      <c r="H543" s="3">
        <v>45637.681250000001</v>
      </c>
      <c r="I543" s="3">
        <v>45637.87777777778</v>
      </c>
      <c r="J543" s="2">
        <v>214</v>
      </c>
      <c r="K543" s="2">
        <v>283</v>
      </c>
      <c r="L543" s="2">
        <v>1</v>
      </c>
      <c r="M543" s="2" t="s">
        <v>22</v>
      </c>
      <c r="N543" s="2">
        <v>6</v>
      </c>
      <c r="O543" s="2">
        <v>493.36</v>
      </c>
      <c r="P543" s="2">
        <f t="shared" si="40"/>
        <v>69</v>
      </c>
      <c r="Q543" s="4">
        <f t="shared" si="41"/>
        <v>0.75618374558303891</v>
      </c>
      <c r="R543" s="2" t="str">
        <f t="shared" si="42"/>
        <v>Inefficient</v>
      </c>
      <c r="S543" s="2" t="str">
        <f t="shared" si="43"/>
        <v>Very Long</v>
      </c>
      <c r="T543" s="2" t="str">
        <f t="shared" si="44"/>
        <v>Major Delay</v>
      </c>
    </row>
    <row r="544" spans="1:20" x14ac:dyDescent="0.35">
      <c r="A544" s="2" t="s">
        <v>1266</v>
      </c>
      <c r="B544" s="2" t="s">
        <v>31</v>
      </c>
      <c r="C544" s="2" t="s">
        <v>1267</v>
      </c>
      <c r="D544" s="2" t="s">
        <v>56</v>
      </c>
      <c r="E544" s="2" t="s">
        <v>85</v>
      </c>
      <c r="F544" s="2" t="s">
        <v>34</v>
      </c>
      <c r="G544" s="2" t="s">
        <v>459</v>
      </c>
      <c r="H544" s="3">
        <v>45578.102777777778</v>
      </c>
      <c r="I544" s="3">
        <v>45578.166666666664</v>
      </c>
      <c r="J544" s="2">
        <v>62</v>
      </c>
      <c r="K544" s="2">
        <v>92</v>
      </c>
      <c r="L544" s="2">
        <v>1</v>
      </c>
      <c r="M544" s="2" t="s">
        <v>29</v>
      </c>
      <c r="N544" s="2">
        <v>8</v>
      </c>
      <c r="O544" s="2">
        <v>209.19</v>
      </c>
      <c r="P544" s="2">
        <f t="shared" si="40"/>
        <v>30</v>
      </c>
      <c r="Q544" s="4">
        <f t="shared" si="41"/>
        <v>0.67391304347826086</v>
      </c>
      <c r="R544" s="2" t="str">
        <f t="shared" si="42"/>
        <v>Inefficient</v>
      </c>
      <c r="S544" s="2" t="str">
        <f t="shared" si="43"/>
        <v>Long</v>
      </c>
      <c r="T544" s="2" t="str">
        <f t="shared" si="44"/>
        <v>Minor Delay</v>
      </c>
    </row>
    <row r="545" spans="1:20" x14ac:dyDescent="0.35">
      <c r="A545" s="2" t="s">
        <v>1268</v>
      </c>
      <c r="B545" s="2" t="s">
        <v>63</v>
      </c>
      <c r="C545" s="2" t="s">
        <v>1269</v>
      </c>
      <c r="D545" s="2" t="s">
        <v>18</v>
      </c>
      <c r="E545" s="2" t="s">
        <v>33</v>
      </c>
      <c r="F545" s="2" t="s">
        <v>39</v>
      </c>
      <c r="G545" s="2" t="s">
        <v>225</v>
      </c>
      <c r="H545" s="3">
        <v>45304.3</v>
      </c>
      <c r="I545" s="3">
        <v>45304.459027777775</v>
      </c>
      <c r="J545" s="2">
        <v>167</v>
      </c>
      <c r="K545" s="2">
        <v>229</v>
      </c>
      <c r="L545" s="2">
        <v>1</v>
      </c>
      <c r="M545" s="2" t="s">
        <v>29</v>
      </c>
      <c r="N545" s="2">
        <v>10</v>
      </c>
      <c r="O545" s="2">
        <v>254.16</v>
      </c>
      <c r="P545" s="2">
        <f t="shared" si="40"/>
        <v>62</v>
      </c>
      <c r="Q545" s="4">
        <f t="shared" si="41"/>
        <v>0.72925764192139741</v>
      </c>
      <c r="R545" s="2" t="str">
        <f t="shared" si="42"/>
        <v>Inefficient</v>
      </c>
      <c r="S545" s="2" t="str">
        <f t="shared" si="43"/>
        <v>Very Long</v>
      </c>
      <c r="T545" s="2" t="str">
        <f t="shared" si="44"/>
        <v>Major Delay</v>
      </c>
    </row>
    <row r="546" spans="1:20" x14ac:dyDescent="0.35">
      <c r="A546" s="2" t="s">
        <v>1270</v>
      </c>
      <c r="B546" s="2" t="s">
        <v>31</v>
      </c>
      <c r="C546" s="2" t="s">
        <v>1271</v>
      </c>
      <c r="D546" s="2" t="s">
        <v>26</v>
      </c>
      <c r="E546" s="2" t="s">
        <v>19</v>
      </c>
      <c r="F546" s="2" t="s">
        <v>20</v>
      </c>
      <c r="G546" s="2" t="s">
        <v>140</v>
      </c>
      <c r="H546" s="3">
        <v>45481.563194444447</v>
      </c>
      <c r="I546" s="3">
        <v>45481.78125</v>
      </c>
      <c r="J546" s="2">
        <v>200</v>
      </c>
      <c r="K546" s="2">
        <v>314</v>
      </c>
      <c r="L546" s="2">
        <v>1</v>
      </c>
      <c r="M546" s="2" t="s">
        <v>29</v>
      </c>
      <c r="N546" s="2">
        <v>9</v>
      </c>
      <c r="O546" s="2">
        <v>221.68</v>
      </c>
      <c r="P546" s="2">
        <f t="shared" si="40"/>
        <v>114</v>
      </c>
      <c r="Q546" s="4">
        <f t="shared" si="41"/>
        <v>0.63694267515923564</v>
      </c>
      <c r="R546" s="2" t="str">
        <f t="shared" si="42"/>
        <v>Inefficient</v>
      </c>
      <c r="S546" s="2" t="str">
        <f t="shared" si="43"/>
        <v>Very Long</v>
      </c>
      <c r="T546" s="2" t="str">
        <f t="shared" si="44"/>
        <v>Major Delay</v>
      </c>
    </row>
    <row r="547" spans="1:20" x14ac:dyDescent="0.35">
      <c r="A547" s="2" t="s">
        <v>1272</v>
      </c>
      <c r="B547" s="2" t="s">
        <v>63</v>
      </c>
      <c r="C547" s="2" t="s">
        <v>1273</v>
      </c>
      <c r="D547" s="2" t="s">
        <v>26</v>
      </c>
      <c r="E547" s="2" t="s">
        <v>33</v>
      </c>
      <c r="F547" s="2" t="s">
        <v>27</v>
      </c>
      <c r="G547" s="2" t="s">
        <v>842</v>
      </c>
      <c r="H547" s="3">
        <v>45616.895833333336</v>
      </c>
      <c r="I547" s="3">
        <v>45617.036805555559</v>
      </c>
      <c r="J547" s="2">
        <v>84</v>
      </c>
      <c r="K547" s="2">
        <v>203</v>
      </c>
      <c r="L547" s="2">
        <v>1</v>
      </c>
      <c r="M547" s="2" t="s">
        <v>29</v>
      </c>
      <c r="N547" s="2">
        <v>3</v>
      </c>
      <c r="O547" s="2">
        <v>315.68</v>
      </c>
      <c r="P547" s="2">
        <f t="shared" si="40"/>
        <v>119</v>
      </c>
      <c r="Q547" s="4">
        <f t="shared" si="41"/>
        <v>0.41379310344827586</v>
      </c>
      <c r="R547" s="2" t="str">
        <f t="shared" si="42"/>
        <v>Inefficient</v>
      </c>
      <c r="S547" s="2" t="str">
        <f t="shared" si="43"/>
        <v>Very Long</v>
      </c>
      <c r="T547" s="2" t="str">
        <f t="shared" si="44"/>
        <v>Major Delay</v>
      </c>
    </row>
    <row r="548" spans="1:20" x14ac:dyDescent="0.35">
      <c r="A548" s="2" t="s">
        <v>1274</v>
      </c>
      <c r="B548" s="2" t="s">
        <v>51</v>
      </c>
      <c r="C548" s="2" t="s">
        <v>1275</v>
      </c>
      <c r="D548" s="2" t="s">
        <v>18</v>
      </c>
      <c r="E548" s="2" t="s">
        <v>85</v>
      </c>
      <c r="F548" s="2" t="s">
        <v>34</v>
      </c>
      <c r="G548" s="2" t="s">
        <v>1125</v>
      </c>
      <c r="H548" s="3">
        <v>45473.04791666667</v>
      </c>
      <c r="I548" s="3">
        <v>45473.184027777781</v>
      </c>
      <c r="J548" s="2">
        <v>130</v>
      </c>
      <c r="K548" s="2">
        <v>196</v>
      </c>
      <c r="L548" s="2">
        <v>1</v>
      </c>
      <c r="M548" s="2" t="s">
        <v>41</v>
      </c>
      <c r="N548" s="2">
        <v>10</v>
      </c>
      <c r="O548" s="2">
        <v>151.75</v>
      </c>
      <c r="P548" s="2">
        <f t="shared" si="40"/>
        <v>66</v>
      </c>
      <c r="Q548" s="4">
        <f t="shared" si="41"/>
        <v>0.66326530612244894</v>
      </c>
      <c r="R548" s="2" t="str">
        <f t="shared" si="42"/>
        <v>Inefficient</v>
      </c>
      <c r="S548" s="2" t="str">
        <f t="shared" si="43"/>
        <v>Very Long</v>
      </c>
      <c r="T548" s="2" t="str">
        <f t="shared" si="44"/>
        <v>Major Delay</v>
      </c>
    </row>
    <row r="549" spans="1:20" x14ac:dyDescent="0.35">
      <c r="A549" s="2" t="s">
        <v>1276</v>
      </c>
      <c r="B549" s="2" t="s">
        <v>51</v>
      </c>
      <c r="C549" s="2" t="s">
        <v>1277</v>
      </c>
      <c r="D549" s="2" t="s">
        <v>56</v>
      </c>
      <c r="E549" s="2" t="s">
        <v>33</v>
      </c>
      <c r="F549" s="2" t="s">
        <v>39</v>
      </c>
      <c r="G549" s="2" t="s">
        <v>1278</v>
      </c>
      <c r="H549" s="3">
        <v>45623.229861111111</v>
      </c>
      <c r="I549" s="3">
        <v>45623.29791666667</v>
      </c>
      <c r="J549" s="2">
        <v>29</v>
      </c>
      <c r="K549" s="2">
        <v>98</v>
      </c>
      <c r="L549" s="2">
        <v>1</v>
      </c>
      <c r="M549" s="2" t="s">
        <v>22</v>
      </c>
      <c r="N549" s="2">
        <v>9</v>
      </c>
      <c r="O549" s="2">
        <v>141.12</v>
      </c>
      <c r="P549" s="2">
        <f t="shared" si="40"/>
        <v>69</v>
      </c>
      <c r="Q549" s="4">
        <f t="shared" si="41"/>
        <v>0.29591836734693877</v>
      </c>
      <c r="R549" s="2" t="str">
        <f t="shared" si="42"/>
        <v>Inefficient</v>
      </c>
      <c r="S549" s="2" t="str">
        <f t="shared" si="43"/>
        <v>Long</v>
      </c>
      <c r="T549" s="2" t="str">
        <f t="shared" si="44"/>
        <v>Major Delay</v>
      </c>
    </row>
    <row r="550" spans="1:20" x14ac:dyDescent="0.35">
      <c r="A550" s="2" t="s">
        <v>1279</v>
      </c>
      <c r="B550" s="2" t="s">
        <v>63</v>
      </c>
      <c r="C550" s="2" t="s">
        <v>1280</v>
      </c>
      <c r="D550" s="2" t="s">
        <v>44</v>
      </c>
      <c r="E550" s="2" t="s">
        <v>38</v>
      </c>
      <c r="F550" s="2" t="s">
        <v>27</v>
      </c>
      <c r="G550" s="2" t="s">
        <v>749</v>
      </c>
      <c r="H550" s="3">
        <v>45396.497916666667</v>
      </c>
      <c r="I550" s="3">
        <v>45396.709027777775</v>
      </c>
      <c r="J550" s="2">
        <v>186</v>
      </c>
      <c r="K550" s="2">
        <v>304</v>
      </c>
      <c r="L550" s="2">
        <v>1</v>
      </c>
      <c r="M550" s="2" t="s">
        <v>29</v>
      </c>
      <c r="N550" s="2">
        <v>8</v>
      </c>
      <c r="O550" s="2">
        <v>380.25</v>
      </c>
      <c r="P550" s="2">
        <f t="shared" si="40"/>
        <v>118</v>
      </c>
      <c r="Q550" s="4">
        <f t="shared" si="41"/>
        <v>0.61184210526315785</v>
      </c>
      <c r="R550" s="2" t="str">
        <f t="shared" si="42"/>
        <v>Inefficient</v>
      </c>
      <c r="S550" s="2" t="str">
        <f t="shared" si="43"/>
        <v>Very Long</v>
      </c>
      <c r="T550" s="2" t="str">
        <f t="shared" si="44"/>
        <v>Major Delay</v>
      </c>
    </row>
    <row r="551" spans="1:20" x14ac:dyDescent="0.35">
      <c r="A551" s="2" t="s">
        <v>1281</v>
      </c>
      <c r="B551" s="2" t="s">
        <v>24</v>
      </c>
      <c r="C551" s="2" t="s">
        <v>1282</v>
      </c>
      <c r="D551" s="2" t="s">
        <v>44</v>
      </c>
      <c r="E551" s="2" t="s">
        <v>33</v>
      </c>
      <c r="F551" s="2" t="s">
        <v>20</v>
      </c>
      <c r="G551" s="2" t="s">
        <v>599</v>
      </c>
      <c r="H551" s="3">
        <v>45489.176388888889</v>
      </c>
      <c r="I551" s="3">
        <v>45489.218055555553</v>
      </c>
      <c r="J551" s="2">
        <v>46</v>
      </c>
      <c r="K551" s="2">
        <v>60</v>
      </c>
      <c r="L551" s="2">
        <v>1</v>
      </c>
      <c r="M551" s="2" t="s">
        <v>22</v>
      </c>
      <c r="N551" s="2">
        <v>1</v>
      </c>
      <c r="O551" s="2">
        <v>233.59</v>
      </c>
      <c r="P551" s="2">
        <f t="shared" si="40"/>
        <v>14</v>
      </c>
      <c r="Q551" s="4">
        <f t="shared" si="41"/>
        <v>0.76666666666666672</v>
      </c>
      <c r="R551" s="2" t="str">
        <f t="shared" si="42"/>
        <v>Inefficient</v>
      </c>
      <c r="S551" s="2" t="str">
        <f t="shared" si="43"/>
        <v>Long</v>
      </c>
      <c r="T551" s="2" t="str">
        <f t="shared" si="44"/>
        <v>Minor Delay</v>
      </c>
    </row>
    <row r="552" spans="1:20" x14ac:dyDescent="0.35">
      <c r="A552" s="2" t="s">
        <v>1283</v>
      </c>
      <c r="B552" s="2" t="s">
        <v>51</v>
      </c>
      <c r="C552" s="2" t="s">
        <v>1284</v>
      </c>
      <c r="D552" s="2" t="s">
        <v>56</v>
      </c>
      <c r="E552" s="2" t="s">
        <v>33</v>
      </c>
      <c r="F552" s="2" t="s">
        <v>27</v>
      </c>
      <c r="G552" s="2" t="s">
        <v>103</v>
      </c>
      <c r="H552" s="3">
        <v>45508.723611111112</v>
      </c>
      <c r="I552" s="3">
        <v>45508.761111111111</v>
      </c>
      <c r="J552" s="2">
        <v>39</v>
      </c>
      <c r="K552" s="2">
        <v>54</v>
      </c>
      <c r="L552" s="2">
        <v>1</v>
      </c>
      <c r="M552" s="2" t="s">
        <v>22</v>
      </c>
      <c r="N552" s="2">
        <v>8</v>
      </c>
      <c r="O552" s="2">
        <v>406.78</v>
      </c>
      <c r="P552" s="2">
        <f t="shared" si="40"/>
        <v>15</v>
      </c>
      <c r="Q552" s="4">
        <f t="shared" si="41"/>
        <v>0.72222222222222221</v>
      </c>
      <c r="R552" s="2" t="str">
        <f t="shared" si="42"/>
        <v>Inefficient</v>
      </c>
      <c r="S552" s="2" t="str">
        <f t="shared" si="43"/>
        <v>Medium</v>
      </c>
      <c r="T552" s="2" t="str">
        <f t="shared" si="44"/>
        <v>Minor Delay</v>
      </c>
    </row>
    <row r="553" spans="1:20" x14ac:dyDescent="0.35">
      <c r="A553" s="2" t="s">
        <v>1285</v>
      </c>
      <c r="B553" s="2" t="s">
        <v>51</v>
      </c>
      <c r="C553" s="2" t="s">
        <v>1286</v>
      </c>
      <c r="D553" s="2" t="s">
        <v>56</v>
      </c>
      <c r="E553" s="2" t="s">
        <v>38</v>
      </c>
      <c r="F553" s="2" t="s">
        <v>20</v>
      </c>
      <c r="G553" s="2" t="s">
        <v>155</v>
      </c>
      <c r="H553" s="3">
        <v>45496.96597222222</v>
      </c>
      <c r="I553" s="3">
        <v>45497.121527777781</v>
      </c>
      <c r="J553" s="2">
        <v>142</v>
      </c>
      <c r="K553" s="2">
        <v>224</v>
      </c>
      <c r="L553" s="2">
        <v>1</v>
      </c>
      <c r="M553" s="2" t="s">
        <v>22</v>
      </c>
      <c r="N553" s="2">
        <v>4</v>
      </c>
      <c r="O553" s="2">
        <v>158.01</v>
      </c>
      <c r="P553" s="2">
        <f t="shared" si="40"/>
        <v>82</v>
      </c>
      <c r="Q553" s="4">
        <f t="shared" si="41"/>
        <v>0.6339285714285714</v>
      </c>
      <c r="R553" s="2" t="str">
        <f t="shared" si="42"/>
        <v>Inefficient</v>
      </c>
      <c r="S553" s="2" t="str">
        <f t="shared" si="43"/>
        <v>Very Long</v>
      </c>
      <c r="T553" s="2" t="str">
        <f t="shared" si="44"/>
        <v>Major Delay</v>
      </c>
    </row>
    <row r="554" spans="1:20" x14ac:dyDescent="0.35">
      <c r="A554" s="2" t="s">
        <v>1287</v>
      </c>
      <c r="B554" s="2" t="s">
        <v>24</v>
      </c>
      <c r="C554" s="2" t="s">
        <v>1288</v>
      </c>
      <c r="D554" s="2" t="s">
        <v>18</v>
      </c>
      <c r="E554" s="2" t="s">
        <v>38</v>
      </c>
      <c r="F554" s="2" t="s">
        <v>57</v>
      </c>
      <c r="G554" s="2" t="s">
        <v>58</v>
      </c>
      <c r="H554" s="3">
        <v>45561.970138888886</v>
      </c>
      <c r="I554" s="3">
        <v>45561.997916666667</v>
      </c>
      <c r="J554" s="2">
        <v>32</v>
      </c>
      <c r="K554" s="2">
        <v>40</v>
      </c>
      <c r="L554" s="2">
        <v>1</v>
      </c>
      <c r="M554" s="2" t="s">
        <v>29</v>
      </c>
      <c r="N554" s="2">
        <v>4</v>
      </c>
      <c r="O554" s="2">
        <v>497.08</v>
      </c>
      <c r="P554" s="2">
        <f t="shared" si="40"/>
        <v>8</v>
      </c>
      <c r="Q554" s="4">
        <f t="shared" si="41"/>
        <v>0.8</v>
      </c>
      <c r="R554" s="2" t="str">
        <f t="shared" si="42"/>
        <v>Inefficient</v>
      </c>
      <c r="S554" s="2" t="str">
        <f t="shared" si="43"/>
        <v>Medium</v>
      </c>
      <c r="T554" s="2" t="str">
        <f t="shared" si="44"/>
        <v>Minor Delay</v>
      </c>
    </row>
    <row r="555" spans="1:20" x14ac:dyDescent="0.35">
      <c r="A555" s="2" t="s">
        <v>1289</v>
      </c>
      <c r="B555" s="2" t="s">
        <v>24</v>
      </c>
      <c r="C555" s="2" t="s">
        <v>1290</v>
      </c>
      <c r="D555" s="2" t="s">
        <v>26</v>
      </c>
      <c r="E555" s="2" t="s">
        <v>85</v>
      </c>
      <c r="F555" s="2" t="s">
        <v>39</v>
      </c>
      <c r="G555" s="2" t="s">
        <v>470</v>
      </c>
      <c r="H555" s="3">
        <v>45519.219444444447</v>
      </c>
      <c r="I555" s="3">
        <v>45519.288194444445</v>
      </c>
      <c r="J555" s="2">
        <v>37</v>
      </c>
      <c r="K555" s="2">
        <v>99</v>
      </c>
      <c r="L555" s="2">
        <v>1</v>
      </c>
      <c r="M555" s="2" t="s">
        <v>29</v>
      </c>
      <c r="N555" s="2">
        <v>8</v>
      </c>
      <c r="O555" s="2">
        <v>469.32</v>
      </c>
      <c r="P555" s="2">
        <f t="shared" si="40"/>
        <v>62</v>
      </c>
      <c r="Q555" s="4">
        <f t="shared" si="41"/>
        <v>0.37373737373737376</v>
      </c>
      <c r="R555" s="2" t="str">
        <f t="shared" si="42"/>
        <v>Inefficient</v>
      </c>
      <c r="S555" s="2" t="str">
        <f t="shared" si="43"/>
        <v>Long</v>
      </c>
      <c r="T555" s="2" t="str">
        <f t="shared" si="44"/>
        <v>Major Delay</v>
      </c>
    </row>
    <row r="556" spans="1:20" x14ac:dyDescent="0.35">
      <c r="A556" s="2" t="s">
        <v>1291</v>
      </c>
      <c r="B556" s="2" t="s">
        <v>51</v>
      </c>
      <c r="C556" s="2" t="s">
        <v>1292</v>
      </c>
      <c r="D556" s="2" t="s">
        <v>26</v>
      </c>
      <c r="E556" s="2" t="s">
        <v>33</v>
      </c>
      <c r="F556" s="2" t="s">
        <v>34</v>
      </c>
      <c r="G556" s="2" t="s">
        <v>123</v>
      </c>
      <c r="H556" s="3">
        <v>45328.373611111114</v>
      </c>
      <c r="I556" s="3">
        <v>45328.436111111114</v>
      </c>
      <c r="J556" s="2">
        <v>46</v>
      </c>
      <c r="K556" s="2">
        <v>90</v>
      </c>
      <c r="L556" s="2">
        <v>1</v>
      </c>
      <c r="M556" s="2" t="s">
        <v>41</v>
      </c>
      <c r="N556" s="2">
        <v>2</v>
      </c>
      <c r="O556" s="2">
        <v>224.29</v>
      </c>
      <c r="P556" s="2">
        <f t="shared" si="40"/>
        <v>44</v>
      </c>
      <c r="Q556" s="4">
        <f t="shared" si="41"/>
        <v>0.51111111111111107</v>
      </c>
      <c r="R556" s="2" t="str">
        <f t="shared" si="42"/>
        <v>Inefficient</v>
      </c>
      <c r="S556" s="2" t="str">
        <f t="shared" si="43"/>
        <v>Long</v>
      </c>
      <c r="T556" s="2" t="str">
        <f t="shared" si="44"/>
        <v>Major Delay</v>
      </c>
    </row>
    <row r="557" spans="1:20" x14ac:dyDescent="0.35">
      <c r="A557" s="2" t="s">
        <v>1293</v>
      </c>
      <c r="B557" s="2" t="s">
        <v>16</v>
      </c>
      <c r="C557" s="2" t="s">
        <v>1294</v>
      </c>
      <c r="D557" s="2" t="s">
        <v>48</v>
      </c>
      <c r="E557" s="2" t="s">
        <v>33</v>
      </c>
      <c r="F557" s="2" t="s">
        <v>20</v>
      </c>
      <c r="G557" s="2" t="s">
        <v>143</v>
      </c>
      <c r="H557" s="3">
        <v>45534.248611111114</v>
      </c>
      <c r="I557" s="3">
        <v>45534.420138888891</v>
      </c>
      <c r="J557" s="2">
        <v>184</v>
      </c>
      <c r="K557" s="2">
        <v>247</v>
      </c>
      <c r="L557" s="2">
        <v>1</v>
      </c>
      <c r="M557" s="2" t="s">
        <v>22</v>
      </c>
      <c r="N557" s="2">
        <v>8</v>
      </c>
      <c r="O557" s="2">
        <v>163.63999999999999</v>
      </c>
      <c r="P557" s="2">
        <f t="shared" si="40"/>
        <v>63</v>
      </c>
      <c r="Q557" s="4">
        <f t="shared" si="41"/>
        <v>0.74493927125506076</v>
      </c>
      <c r="R557" s="2" t="str">
        <f t="shared" si="42"/>
        <v>Inefficient</v>
      </c>
      <c r="S557" s="2" t="str">
        <f t="shared" si="43"/>
        <v>Very Long</v>
      </c>
      <c r="T557" s="2" t="str">
        <f t="shared" si="44"/>
        <v>Major Delay</v>
      </c>
    </row>
    <row r="558" spans="1:20" x14ac:dyDescent="0.35">
      <c r="A558" s="2" t="s">
        <v>1295</v>
      </c>
      <c r="B558" s="2" t="s">
        <v>16</v>
      </c>
      <c r="C558" s="2" t="s">
        <v>1296</v>
      </c>
      <c r="D558" s="2" t="s">
        <v>56</v>
      </c>
      <c r="E558" s="2" t="s">
        <v>19</v>
      </c>
      <c r="F558" s="2" t="s">
        <v>34</v>
      </c>
      <c r="G558" s="2" t="s">
        <v>500</v>
      </c>
      <c r="H558" s="3">
        <v>45343.750694444447</v>
      </c>
      <c r="I558" s="3">
        <v>45343.988194444442</v>
      </c>
      <c r="J558" s="2">
        <v>232</v>
      </c>
      <c r="K558" s="2">
        <v>342</v>
      </c>
      <c r="L558" s="2">
        <v>1</v>
      </c>
      <c r="M558" s="2" t="s">
        <v>22</v>
      </c>
      <c r="N558" s="2">
        <v>5</v>
      </c>
      <c r="O558" s="2">
        <v>95.83</v>
      </c>
      <c r="P558" s="2">
        <f t="shared" si="40"/>
        <v>110</v>
      </c>
      <c r="Q558" s="4">
        <f t="shared" si="41"/>
        <v>0.67836257309941517</v>
      </c>
      <c r="R558" s="2" t="str">
        <f t="shared" si="42"/>
        <v>Inefficient</v>
      </c>
      <c r="S558" s="2" t="str">
        <f t="shared" si="43"/>
        <v>Very Long</v>
      </c>
      <c r="T558" s="2" t="str">
        <f t="shared" si="44"/>
        <v>Major Delay</v>
      </c>
    </row>
    <row r="559" spans="1:20" x14ac:dyDescent="0.35">
      <c r="A559" s="2" t="s">
        <v>1297</v>
      </c>
      <c r="B559" s="2" t="s">
        <v>24</v>
      </c>
      <c r="C559" s="2" t="s">
        <v>1298</v>
      </c>
      <c r="D559" s="2" t="s">
        <v>48</v>
      </c>
      <c r="E559" s="2" t="s">
        <v>38</v>
      </c>
      <c r="F559" s="2" t="s">
        <v>57</v>
      </c>
      <c r="G559" s="2" t="s">
        <v>188</v>
      </c>
      <c r="H559" s="3">
        <v>45406.775000000001</v>
      </c>
      <c r="I559" s="3">
        <v>45406.96597222222</v>
      </c>
      <c r="J559" s="2">
        <v>225</v>
      </c>
      <c r="K559" s="2">
        <v>275</v>
      </c>
      <c r="L559" s="2">
        <v>1</v>
      </c>
      <c r="M559" s="2" t="s">
        <v>29</v>
      </c>
      <c r="N559" s="2">
        <v>4</v>
      </c>
      <c r="O559" s="2">
        <v>474.91</v>
      </c>
      <c r="P559" s="2">
        <f t="shared" si="40"/>
        <v>50</v>
      </c>
      <c r="Q559" s="4">
        <f t="shared" si="41"/>
        <v>0.81818181818181823</v>
      </c>
      <c r="R559" s="2" t="str">
        <f t="shared" si="42"/>
        <v>Inefficient</v>
      </c>
      <c r="S559" s="2" t="str">
        <f t="shared" si="43"/>
        <v>Very Long</v>
      </c>
      <c r="T559" s="2" t="str">
        <f t="shared" si="44"/>
        <v>Major Delay</v>
      </c>
    </row>
    <row r="560" spans="1:20" x14ac:dyDescent="0.35">
      <c r="A560" s="2" t="s">
        <v>1299</v>
      </c>
      <c r="B560" s="2" t="s">
        <v>31</v>
      </c>
      <c r="C560" s="2" t="s">
        <v>1300</v>
      </c>
      <c r="D560" s="2" t="s">
        <v>48</v>
      </c>
      <c r="E560" s="2" t="s">
        <v>85</v>
      </c>
      <c r="F560" s="2" t="s">
        <v>34</v>
      </c>
      <c r="G560" s="2" t="s">
        <v>754</v>
      </c>
      <c r="H560" s="3">
        <v>45525.980555555558</v>
      </c>
      <c r="I560" s="3">
        <v>45526.126388888886</v>
      </c>
      <c r="J560" s="2">
        <v>90</v>
      </c>
      <c r="K560" s="2">
        <v>210</v>
      </c>
      <c r="L560" s="2">
        <v>1</v>
      </c>
      <c r="M560" s="2" t="s">
        <v>41</v>
      </c>
      <c r="N560" s="2">
        <v>6</v>
      </c>
      <c r="O560" s="2">
        <v>487.57</v>
      </c>
      <c r="P560" s="2">
        <f t="shared" si="40"/>
        <v>120</v>
      </c>
      <c r="Q560" s="4">
        <f t="shared" si="41"/>
        <v>0.42857142857142855</v>
      </c>
      <c r="R560" s="2" t="str">
        <f t="shared" si="42"/>
        <v>Inefficient</v>
      </c>
      <c r="S560" s="2" t="str">
        <f t="shared" si="43"/>
        <v>Very Long</v>
      </c>
      <c r="T560" s="2" t="str">
        <f t="shared" si="44"/>
        <v>Major Delay</v>
      </c>
    </row>
    <row r="561" spans="1:20" x14ac:dyDescent="0.35">
      <c r="A561" s="2" t="s">
        <v>1301</v>
      </c>
      <c r="B561" s="2" t="s">
        <v>63</v>
      </c>
      <c r="C561" s="2" t="s">
        <v>1302</v>
      </c>
      <c r="D561" s="2" t="s">
        <v>44</v>
      </c>
      <c r="E561" s="2" t="s">
        <v>19</v>
      </c>
      <c r="F561" s="2" t="s">
        <v>27</v>
      </c>
      <c r="G561" s="2" t="s">
        <v>427</v>
      </c>
      <c r="H561" s="3">
        <v>45442.390277777777</v>
      </c>
      <c r="I561" s="3">
        <v>45442.54791666667</v>
      </c>
      <c r="J561" s="2">
        <v>210</v>
      </c>
      <c r="K561" s="2">
        <v>227</v>
      </c>
      <c r="L561" s="2">
        <v>1</v>
      </c>
      <c r="M561" s="2" t="s">
        <v>22</v>
      </c>
      <c r="N561" s="2">
        <v>5</v>
      </c>
      <c r="O561" s="2">
        <v>386.32</v>
      </c>
      <c r="P561" s="2">
        <f t="shared" si="40"/>
        <v>17</v>
      </c>
      <c r="Q561" s="4">
        <f t="shared" si="41"/>
        <v>0.92511013215859028</v>
      </c>
      <c r="R561" s="2" t="str">
        <f t="shared" si="42"/>
        <v>Inefficient</v>
      </c>
      <c r="S561" s="2" t="str">
        <f t="shared" si="43"/>
        <v>Very Long</v>
      </c>
      <c r="T561" s="2" t="str">
        <f t="shared" si="44"/>
        <v>Minor Delay</v>
      </c>
    </row>
    <row r="562" spans="1:20" x14ac:dyDescent="0.35">
      <c r="A562" s="2" t="s">
        <v>1303</v>
      </c>
      <c r="B562" s="2" t="s">
        <v>16</v>
      </c>
      <c r="C562" s="2" t="s">
        <v>1304</v>
      </c>
      <c r="D562" s="2" t="s">
        <v>44</v>
      </c>
      <c r="E562" s="2" t="s">
        <v>38</v>
      </c>
      <c r="F562" s="2" t="s">
        <v>34</v>
      </c>
      <c r="G562" s="2" t="s">
        <v>622</v>
      </c>
      <c r="H562" s="3">
        <v>45359.220138888886</v>
      </c>
      <c r="I562" s="3">
        <v>45359.412499999999</v>
      </c>
      <c r="J562" s="2">
        <v>219</v>
      </c>
      <c r="K562" s="2">
        <v>277</v>
      </c>
      <c r="L562" s="2">
        <v>1</v>
      </c>
      <c r="M562" s="2" t="s">
        <v>29</v>
      </c>
      <c r="N562" s="2">
        <v>1</v>
      </c>
      <c r="O562" s="2">
        <v>289.35000000000002</v>
      </c>
      <c r="P562" s="2">
        <f t="shared" si="40"/>
        <v>58</v>
      </c>
      <c r="Q562" s="4">
        <f t="shared" si="41"/>
        <v>0.79061371841155237</v>
      </c>
      <c r="R562" s="2" t="str">
        <f t="shared" si="42"/>
        <v>Inefficient</v>
      </c>
      <c r="S562" s="2" t="str">
        <f t="shared" si="43"/>
        <v>Very Long</v>
      </c>
      <c r="T562" s="2" t="str">
        <f t="shared" si="44"/>
        <v>Major Delay</v>
      </c>
    </row>
    <row r="563" spans="1:20" x14ac:dyDescent="0.35">
      <c r="A563" s="2" t="s">
        <v>1305</v>
      </c>
      <c r="B563" s="2" t="s">
        <v>51</v>
      </c>
      <c r="C563" s="2" t="s">
        <v>1306</v>
      </c>
      <c r="D563" s="2" t="s">
        <v>26</v>
      </c>
      <c r="E563" s="2" t="s">
        <v>38</v>
      </c>
      <c r="F563" s="2" t="s">
        <v>27</v>
      </c>
      <c r="G563" s="2" t="s">
        <v>251</v>
      </c>
      <c r="H563" s="3">
        <v>45589.654166666667</v>
      </c>
      <c r="I563" s="3">
        <v>45589.772916666669</v>
      </c>
      <c r="J563" s="2">
        <v>163</v>
      </c>
      <c r="K563" s="2">
        <v>171</v>
      </c>
      <c r="L563" s="2">
        <v>1</v>
      </c>
      <c r="M563" s="2" t="s">
        <v>41</v>
      </c>
      <c r="N563" s="2">
        <v>2</v>
      </c>
      <c r="O563" s="2">
        <v>84.55</v>
      </c>
      <c r="P563" s="2">
        <f t="shared" si="40"/>
        <v>8</v>
      </c>
      <c r="Q563" s="4">
        <f t="shared" si="41"/>
        <v>0.95321637426900585</v>
      </c>
      <c r="R563" s="2" t="str">
        <f t="shared" si="42"/>
        <v>Inefficient</v>
      </c>
      <c r="S563" s="2" t="str">
        <f t="shared" si="43"/>
        <v>Very Long</v>
      </c>
      <c r="T563" s="2" t="str">
        <f t="shared" si="44"/>
        <v>Minor Delay</v>
      </c>
    </row>
    <row r="564" spans="1:20" x14ac:dyDescent="0.35">
      <c r="A564" s="2" t="s">
        <v>1307</v>
      </c>
      <c r="B564" s="2" t="s">
        <v>24</v>
      </c>
      <c r="C564" s="2" t="s">
        <v>1308</v>
      </c>
      <c r="D564" s="2" t="s">
        <v>48</v>
      </c>
      <c r="E564" s="2" t="s">
        <v>85</v>
      </c>
      <c r="F564" s="2" t="s">
        <v>39</v>
      </c>
      <c r="G564" s="2" t="s">
        <v>526</v>
      </c>
      <c r="H564" s="3">
        <v>45550.655555555553</v>
      </c>
      <c r="I564" s="3">
        <v>45550.673611111109</v>
      </c>
      <c r="J564" s="2">
        <v>25</v>
      </c>
      <c r="K564" s="2">
        <v>26</v>
      </c>
      <c r="L564" s="2">
        <v>1</v>
      </c>
      <c r="M564" s="2" t="s">
        <v>41</v>
      </c>
      <c r="N564" s="2">
        <v>4</v>
      </c>
      <c r="O564" s="2">
        <v>201.43</v>
      </c>
      <c r="P564" s="2">
        <f t="shared" si="40"/>
        <v>1</v>
      </c>
      <c r="Q564" s="4">
        <f t="shared" si="41"/>
        <v>0.96153846153846156</v>
      </c>
      <c r="R564" s="2" t="str">
        <f t="shared" si="42"/>
        <v>Inefficient</v>
      </c>
      <c r="S564" s="2" t="str">
        <f t="shared" si="43"/>
        <v>Short</v>
      </c>
      <c r="T564" s="2" t="str">
        <f t="shared" si="44"/>
        <v>Minor Delay</v>
      </c>
    </row>
    <row r="565" spans="1:20" x14ac:dyDescent="0.35">
      <c r="A565" s="2" t="s">
        <v>1309</v>
      </c>
      <c r="B565" s="2" t="s">
        <v>63</v>
      </c>
      <c r="C565" s="2" t="s">
        <v>1310</v>
      </c>
      <c r="D565" s="2" t="s">
        <v>18</v>
      </c>
      <c r="E565" s="2" t="s">
        <v>33</v>
      </c>
      <c r="F565" s="2" t="s">
        <v>27</v>
      </c>
      <c r="G565" s="2" t="s">
        <v>228</v>
      </c>
      <c r="H565" s="3">
        <v>45558.333333333336</v>
      </c>
      <c r="I565" s="3">
        <v>45558.411111111112</v>
      </c>
      <c r="J565" s="2">
        <v>85</v>
      </c>
      <c r="K565" s="2">
        <v>112</v>
      </c>
      <c r="L565" s="2">
        <v>1</v>
      </c>
      <c r="M565" s="2" t="s">
        <v>22</v>
      </c>
      <c r="N565" s="2">
        <v>4</v>
      </c>
      <c r="O565" s="2">
        <v>417.24</v>
      </c>
      <c r="P565" s="2">
        <f t="shared" si="40"/>
        <v>27</v>
      </c>
      <c r="Q565" s="4">
        <f t="shared" si="41"/>
        <v>0.7589285714285714</v>
      </c>
      <c r="R565" s="2" t="str">
        <f t="shared" si="42"/>
        <v>Inefficient</v>
      </c>
      <c r="S565" s="2" t="str">
        <f t="shared" si="43"/>
        <v>Long</v>
      </c>
      <c r="T565" s="2" t="str">
        <f t="shared" si="44"/>
        <v>Minor Delay</v>
      </c>
    </row>
    <row r="566" spans="1:20" x14ac:dyDescent="0.35">
      <c r="A566" s="2" t="s">
        <v>1311</v>
      </c>
      <c r="B566" s="2" t="s">
        <v>31</v>
      </c>
      <c r="C566" s="2" t="s">
        <v>1312</v>
      </c>
      <c r="D566" s="2" t="s">
        <v>48</v>
      </c>
      <c r="E566" s="2" t="s">
        <v>85</v>
      </c>
      <c r="F566" s="2" t="s">
        <v>27</v>
      </c>
      <c r="G566" s="2" t="s">
        <v>415</v>
      </c>
      <c r="H566" s="3">
        <v>45311.137499999997</v>
      </c>
      <c r="I566" s="3">
        <v>45311.322222222225</v>
      </c>
      <c r="J566" s="2">
        <v>196</v>
      </c>
      <c r="K566" s="2">
        <v>266</v>
      </c>
      <c r="L566" s="2">
        <v>1</v>
      </c>
      <c r="M566" s="2" t="s">
        <v>29</v>
      </c>
      <c r="N566" s="2">
        <v>2</v>
      </c>
      <c r="O566" s="2">
        <v>250.89</v>
      </c>
      <c r="P566" s="2">
        <f t="shared" si="40"/>
        <v>70</v>
      </c>
      <c r="Q566" s="4">
        <f t="shared" si="41"/>
        <v>0.73684210526315785</v>
      </c>
      <c r="R566" s="2" t="str">
        <f t="shared" si="42"/>
        <v>Inefficient</v>
      </c>
      <c r="S566" s="2" t="str">
        <f t="shared" si="43"/>
        <v>Very Long</v>
      </c>
      <c r="T566" s="2" t="str">
        <f t="shared" si="44"/>
        <v>Major Delay</v>
      </c>
    </row>
    <row r="567" spans="1:20" x14ac:dyDescent="0.35">
      <c r="A567" s="2" t="s">
        <v>1313</v>
      </c>
      <c r="B567" s="2" t="s">
        <v>31</v>
      </c>
      <c r="C567" s="2" t="s">
        <v>1314</v>
      </c>
      <c r="D567" s="2" t="s">
        <v>56</v>
      </c>
      <c r="E567" s="2" t="s">
        <v>85</v>
      </c>
      <c r="F567" s="2" t="s">
        <v>27</v>
      </c>
      <c r="G567" s="2" t="s">
        <v>204</v>
      </c>
      <c r="H567" s="3">
        <v>45615.989583333336</v>
      </c>
      <c r="I567" s="3">
        <v>45616.1</v>
      </c>
      <c r="J567" s="2">
        <v>138</v>
      </c>
      <c r="K567" s="2">
        <v>159</v>
      </c>
      <c r="L567" s="2">
        <v>1</v>
      </c>
      <c r="M567" s="2" t="s">
        <v>22</v>
      </c>
      <c r="N567" s="2">
        <v>7</v>
      </c>
      <c r="O567" s="2">
        <v>312.23</v>
      </c>
      <c r="P567" s="2">
        <f t="shared" si="40"/>
        <v>21</v>
      </c>
      <c r="Q567" s="4">
        <f t="shared" si="41"/>
        <v>0.86792452830188682</v>
      </c>
      <c r="R567" s="2" t="str">
        <f t="shared" si="42"/>
        <v>Inefficient</v>
      </c>
      <c r="S567" s="2" t="str">
        <f t="shared" si="43"/>
        <v>Very Long</v>
      </c>
      <c r="T567" s="2" t="str">
        <f t="shared" si="44"/>
        <v>Minor Delay</v>
      </c>
    </row>
    <row r="568" spans="1:20" x14ac:dyDescent="0.35">
      <c r="A568" s="2" t="s">
        <v>1315</v>
      </c>
      <c r="B568" s="2" t="s">
        <v>51</v>
      </c>
      <c r="C568" s="2" t="s">
        <v>1316</v>
      </c>
      <c r="D568" s="2" t="s">
        <v>44</v>
      </c>
      <c r="E568" s="2" t="s">
        <v>19</v>
      </c>
      <c r="F568" s="2" t="s">
        <v>39</v>
      </c>
      <c r="G568" s="2" t="s">
        <v>234</v>
      </c>
      <c r="H568" s="3">
        <v>45356.396527777775</v>
      </c>
      <c r="I568" s="3">
        <v>45356.431250000001</v>
      </c>
      <c r="J568" s="2">
        <v>52</v>
      </c>
      <c r="K568" s="2">
        <v>50</v>
      </c>
      <c r="L568" s="2">
        <v>0</v>
      </c>
      <c r="M568" s="2" t="s">
        <v>29</v>
      </c>
      <c r="N568" s="2">
        <v>7</v>
      </c>
      <c r="O568" s="2">
        <v>142.15</v>
      </c>
      <c r="P568" s="2">
        <f t="shared" si="40"/>
        <v>-2</v>
      </c>
      <c r="Q568" s="4">
        <f t="shared" si="41"/>
        <v>1.04</v>
      </c>
      <c r="R568" s="2" t="str">
        <f t="shared" si="42"/>
        <v>Efficient</v>
      </c>
      <c r="S568" s="2" t="str">
        <f t="shared" si="43"/>
        <v>Medium</v>
      </c>
      <c r="T568" s="2" t="str">
        <f t="shared" si="44"/>
        <v>On Time</v>
      </c>
    </row>
    <row r="569" spans="1:20" x14ac:dyDescent="0.35">
      <c r="A569" s="2" t="s">
        <v>1317</v>
      </c>
      <c r="B569" s="2" t="s">
        <v>16</v>
      </c>
      <c r="C569" s="2" t="s">
        <v>1318</v>
      </c>
      <c r="D569" s="2" t="s">
        <v>44</v>
      </c>
      <c r="E569" s="2" t="s">
        <v>85</v>
      </c>
      <c r="F569" s="2" t="s">
        <v>39</v>
      </c>
      <c r="G569" s="2" t="s">
        <v>152</v>
      </c>
      <c r="H569" s="3">
        <v>45634.087500000001</v>
      </c>
      <c r="I569" s="3">
        <v>45634.229166666664</v>
      </c>
      <c r="J569" s="2">
        <v>115</v>
      </c>
      <c r="K569" s="2">
        <v>204</v>
      </c>
      <c r="L569" s="2">
        <v>1</v>
      </c>
      <c r="M569" s="2" t="s">
        <v>41</v>
      </c>
      <c r="N569" s="2">
        <v>2</v>
      </c>
      <c r="O569" s="2">
        <v>374.8</v>
      </c>
      <c r="P569" s="2">
        <f t="shared" si="40"/>
        <v>89</v>
      </c>
      <c r="Q569" s="4">
        <f t="shared" si="41"/>
        <v>0.56372549019607843</v>
      </c>
      <c r="R569" s="2" t="str">
        <f t="shared" si="42"/>
        <v>Inefficient</v>
      </c>
      <c r="S569" s="2" t="str">
        <f t="shared" si="43"/>
        <v>Very Long</v>
      </c>
      <c r="T569" s="2" t="str">
        <f t="shared" si="44"/>
        <v>Major Delay</v>
      </c>
    </row>
    <row r="570" spans="1:20" x14ac:dyDescent="0.35">
      <c r="A570" s="2" t="s">
        <v>1319</v>
      </c>
      <c r="B570" s="2" t="s">
        <v>16</v>
      </c>
      <c r="C570" s="2" t="s">
        <v>1320</v>
      </c>
      <c r="D570" s="2" t="s">
        <v>48</v>
      </c>
      <c r="E570" s="2" t="s">
        <v>85</v>
      </c>
      <c r="F570" s="2" t="s">
        <v>34</v>
      </c>
      <c r="G570" s="2" t="s">
        <v>418</v>
      </c>
      <c r="H570" s="3">
        <v>45456.136805555558</v>
      </c>
      <c r="I570" s="3">
        <v>45456.309027777781</v>
      </c>
      <c r="J570" s="2">
        <v>137</v>
      </c>
      <c r="K570" s="2">
        <v>248</v>
      </c>
      <c r="L570" s="2">
        <v>1</v>
      </c>
      <c r="M570" s="2" t="s">
        <v>29</v>
      </c>
      <c r="N570" s="2">
        <v>7</v>
      </c>
      <c r="O570" s="2">
        <v>443.2</v>
      </c>
      <c r="P570" s="2">
        <f t="shared" si="40"/>
        <v>111</v>
      </c>
      <c r="Q570" s="4">
        <f t="shared" si="41"/>
        <v>0.55241935483870963</v>
      </c>
      <c r="R570" s="2" t="str">
        <f t="shared" si="42"/>
        <v>Inefficient</v>
      </c>
      <c r="S570" s="2" t="str">
        <f t="shared" si="43"/>
        <v>Very Long</v>
      </c>
      <c r="T570" s="2" t="str">
        <f t="shared" si="44"/>
        <v>Major Delay</v>
      </c>
    </row>
    <row r="571" spans="1:20" x14ac:dyDescent="0.35">
      <c r="A571" s="2" t="s">
        <v>1321</v>
      </c>
      <c r="B571" s="2" t="s">
        <v>31</v>
      </c>
      <c r="C571" s="2" t="s">
        <v>1322</v>
      </c>
      <c r="D571" s="2" t="s">
        <v>26</v>
      </c>
      <c r="E571" s="2" t="s">
        <v>38</v>
      </c>
      <c r="F571" s="2" t="s">
        <v>39</v>
      </c>
      <c r="G571" s="2" t="s">
        <v>988</v>
      </c>
      <c r="H571" s="3">
        <v>45367.626388888886</v>
      </c>
      <c r="I571" s="3">
        <v>45367.790277777778</v>
      </c>
      <c r="J571" s="2">
        <v>236</v>
      </c>
      <c r="K571" s="2">
        <v>236</v>
      </c>
      <c r="L571" s="2">
        <v>0</v>
      </c>
      <c r="M571" s="2" t="s">
        <v>29</v>
      </c>
      <c r="N571" s="2">
        <v>2</v>
      </c>
      <c r="O571" s="2">
        <v>275.24</v>
      </c>
      <c r="P571" s="2">
        <f t="shared" si="40"/>
        <v>0</v>
      </c>
      <c r="Q571" s="4">
        <f t="shared" si="41"/>
        <v>1</v>
      </c>
      <c r="R571" s="2" t="str">
        <f t="shared" si="42"/>
        <v>On Target</v>
      </c>
      <c r="S571" s="2" t="str">
        <f t="shared" si="43"/>
        <v>Very Long</v>
      </c>
      <c r="T571" s="2" t="str">
        <f t="shared" si="44"/>
        <v>On Time</v>
      </c>
    </row>
    <row r="572" spans="1:20" x14ac:dyDescent="0.35">
      <c r="A572" s="2" t="s">
        <v>1323</v>
      </c>
      <c r="B572" s="2" t="s">
        <v>51</v>
      </c>
      <c r="C572" s="2" t="s">
        <v>1324</v>
      </c>
      <c r="D572" s="2" t="s">
        <v>26</v>
      </c>
      <c r="E572" s="2" t="s">
        <v>33</v>
      </c>
      <c r="F572" s="2" t="s">
        <v>20</v>
      </c>
      <c r="G572" s="2" t="s">
        <v>999</v>
      </c>
      <c r="H572" s="3">
        <v>45441.54583333333</v>
      </c>
      <c r="I572" s="3">
        <v>45441.761805555558</v>
      </c>
      <c r="J572" s="2">
        <v>207</v>
      </c>
      <c r="K572" s="2">
        <v>311</v>
      </c>
      <c r="L572" s="2">
        <v>1</v>
      </c>
      <c r="M572" s="2" t="s">
        <v>29</v>
      </c>
      <c r="N572" s="2">
        <v>1</v>
      </c>
      <c r="O572" s="2">
        <v>406.84</v>
      </c>
      <c r="P572" s="2">
        <f t="shared" si="40"/>
        <v>104</v>
      </c>
      <c r="Q572" s="4">
        <f t="shared" si="41"/>
        <v>0.66559485530546625</v>
      </c>
      <c r="R572" s="2" t="str">
        <f t="shared" si="42"/>
        <v>Inefficient</v>
      </c>
      <c r="S572" s="2" t="str">
        <f t="shared" si="43"/>
        <v>Very Long</v>
      </c>
      <c r="T572" s="2" t="str">
        <f t="shared" si="44"/>
        <v>Major Delay</v>
      </c>
    </row>
    <row r="573" spans="1:20" x14ac:dyDescent="0.35">
      <c r="A573" s="2" t="s">
        <v>1325</v>
      </c>
      <c r="B573" s="2" t="s">
        <v>24</v>
      </c>
      <c r="C573" s="2" t="s">
        <v>1326</v>
      </c>
      <c r="D573" s="2" t="s">
        <v>44</v>
      </c>
      <c r="E573" s="2" t="s">
        <v>19</v>
      </c>
      <c r="F573" s="2" t="s">
        <v>57</v>
      </c>
      <c r="G573" s="2" t="s">
        <v>427</v>
      </c>
      <c r="H573" s="3">
        <v>45355.070833333331</v>
      </c>
      <c r="I573" s="3">
        <v>45355.133333333331</v>
      </c>
      <c r="J573" s="2">
        <v>61</v>
      </c>
      <c r="K573" s="2">
        <v>90</v>
      </c>
      <c r="L573" s="2">
        <v>1</v>
      </c>
      <c r="M573" s="2" t="s">
        <v>41</v>
      </c>
      <c r="N573" s="2">
        <v>8</v>
      </c>
      <c r="O573" s="2">
        <v>306.74</v>
      </c>
      <c r="P573" s="2">
        <f t="shared" si="40"/>
        <v>29</v>
      </c>
      <c r="Q573" s="4">
        <f t="shared" si="41"/>
        <v>0.67777777777777781</v>
      </c>
      <c r="R573" s="2" t="str">
        <f t="shared" si="42"/>
        <v>Inefficient</v>
      </c>
      <c r="S573" s="2" t="str">
        <f t="shared" si="43"/>
        <v>Long</v>
      </c>
      <c r="T573" s="2" t="str">
        <f t="shared" si="44"/>
        <v>Minor Delay</v>
      </c>
    </row>
    <row r="574" spans="1:20" x14ac:dyDescent="0.35">
      <c r="A574" s="2" t="s">
        <v>1327</v>
      </c>
      <c r="B574" s="2" t="s">
        <v>31</v>
      </c>
      <c r="C574" s="2" t="s">
        <v>1328</v>
      </c>
      <c r="D574" s="2" t="s">
        <v>56</v>
      </c>
      <c r="E574" s="2" t="s">
        <v>85</v>
      </c>
      <c r="F574" s="2" t="s">
        <v>34</v>
      </c>
      <c r="G574" s="2" t="s">
        <v>615</v>
      </c>
      <c r="H574" s="3">
        <v>45647.872916666667</v>
      </c>
      <c r="I574" s="3">
        <v>45648.047222222223</v>
      </c>
      <c r="J574" s="2">
        <v>218</v>
      </c>
      <c r="K574" s="2">
        <v>251</v>
      </c>
      <c r="L574" s="2">
        <v>1</v>
      </c>
      <c r="M574" s="2" t="s">
        <v>22</v>
      </c>
      <c r="N574" s="2">
        <v>2</v>
      </c>
      <c r="O574" s="2">
        <v>89.47</v>
      </c>
      <c r="P574" s="2">
        <f t="shared" si="40"/>
        <v>33</v>
      </c>
      <c r="Q574" s="4">
        <f t="shared" si="41"/>
        <v>0.86852589641434264</v>
      </c>
      <c r="R574" s="2" t="str">
        <f t="shared" si="42"/>
        <v>Inefficient</v>
      </c>
      <c r="S574" s="2" t="str">
        <f t="shared" si="43"/>
        <v>Very Long</v>
      </c>
      <c r="T574" s="2" t="str">
        <f t="shared" si="44"/>
        <v>Major Delay</v>
      </c>
    </row>
    <row r="575" spans="1:20" x14ac:dyDescent="0.35">
      <c r="A575" s="2" t="s">
        <v>1329</v>
      </c>
      <c r="B575" s="2" t="s">
        <v>31</v>
      </c>
      <c r="C575" s="2" t="s">
        <v>1330</v>
      </c>
      <c r="D575" s="2" t="s">
        <v>18</v>
      </c>
      <c r="E575" s="2" t="s">
        <v>33</v>
      </c>
      <c r="F575" s="2" t="s">
        <v>27</v>
      </c>
      <c r="G575" s="2" t="s">
        <v>296</v>
      </c>
      <c r="H575" s="3">
        <v>45479.723611111112</v>
      </c>
      <c r="I575" s="3">
        <v>45479.857638888891</v>
      </c>
      <c r="J575" s="2">
        <v>117</v>
      </c>
      <c r="K575" s="2">
        <v>193</v>
      </c>
      <c r="L575" s="2">
        <v>1</v>
      </c>
      <c r="M575" s="2" t="s">
        <v>22</v>
      </c>
      <c r="N575" s="2">
        <v>8</v>
      </c>
      <c r="O575" s="2">
        <v>200.29</v>
      </c>
      <c r="P575" s="2">
        <f t="shared" si="40"/>
        <v>76</v>
      </c>
      <c r="Q575" s="4">
        <f t="shared" si="41"/>
        <v>0.60621761658031093</v>
      </c>
      <c r="R575" s="2" t="str">
        <f t="shared" si="42"/>
        <v>Inefficient</v>
      </c>
      <c r="S575" s="2" t="str">
        <f t="shared" si="43"/>
        <v>Very Long</v>
      </c>
      <c r="T575" s="2" t="str">
        <f t="shared" si="44"/>
        <v>Major Delay</v>
      </c>
    </row>
    <row r="576" spans="1:20" x14ac:dyDescent="0.35">
      <c r="A576" s="2" t="s">
        <v>1331</v>
      </c>
      <c r="B576" s="2" t="s">
        <v>24</v>
      </c>
      <c r="C576" s="2" t="s">
        <v>1332</v>
      </c>
      <c r="D576" s="2" t="s">
        <v>48</v>
      </c>
      <c r="E576" s="2" t="s">
        <v>33</v>
      </c>
      <c r="F576" s="2" t="s">
        <v>20</v>
      </c>
      <c r="G576" s="2" t="s">
        <v>388</v>
      </c>
      <c r="H576" s="3">
        <v>45388.911805555559</v>
      </c>
      <c r="I576" s="3">
        <v>45389.030555555553</v>
      </c>
      <c r="J576" s="2">
        <v>53</v>
      </c>
      <c r="K576" s="2">
        <v>171</v>
      </c>
      <c r="L576" s="2">
        <v>1</v>
      </c>
      <c r="M576" s="2" t="s">
        <v>29</v>
      </c>
      <c r="N576" s="2">
        <v>9</v>
      </c>
      <c r="O576" s="2">
        <v>423.19</v>
      </c>
      <c r="P576" s="2">
        <f t="shared" si="40"/>
        <v>118</v>
      </c>
      <c r="Q576" s="4">
        <f t="shared" si="41"/>
        <v>0.30994152046783624</v>
      </c>
      <c r="R576" s="2" t="str">
        <f t="shared" si="42"/>
        <v>Inefficient</v>
      </c>
      <c r="S576" s="2" t="str">
        <f t="shared" si="43"/>
        <v>Very Long</v>
      </c>
      <c r="T576" s="2" t="str">
        <f t="shared" si="44"/>
        <v>Major Delay</v>
      </c>
    </row>
    <row r="577" spans="1:20" x14ac:dyDescent="0.35">
      <c r="A577" s="2" t="s">
        <v>1333</v>
      </c>
      <c r="B577" s="2" t="s">
        <v>63</v>
      </c>
      <c r="C577" s="2" t="s">
        <v>1334</v>
      </c>
      <c r="D577" s="2" t="s">
        <v>56</v>
      </c>
      <c r="E577" s="2" t="s">
        <v>33</v>
      </c>
      <c r="F577" s="2" t="s">
        <v>20</v>
      </c>
      <c r="G577" s="2" t="s">
        <v>343</v>
      </c>
      <c r="H577" s="3">
        <v>45449.169444444444</v>
      </c>
      <c r="I577" s="3">
        <v>45449.34652777778</v>
      </c>
      <c r="J577" s="2">
        <v>162</v>
      </c>
      <c r="K577" s="2">
        <v>255</v>
      </c>
      <c r="L577" s="2">
        <v>1</v>
      </c>
      <c r="M577" s="2" t="s">
        <v>41</v>
      </c>
      <c r="N577" s="2">
        <v>4</v>
      </c>
      <c r="O577" s="2">
        <v>428.62</v>
      </c>
      <c r="P577" s="2">
        <f t="shared" si="40"/>
        <v>93</v>
      </c>
      <c r="Q577" s="4">
        <f t="shared" si="41"/>
        <v>0.63529411764705879</v>
      </c>
      <c r="R577" s="2" t="str">
        <f t="shared" si="42"/>
        <v>Inefficient</v>
      </c>
      <c r="S577" s="2" t="str">
        <f t="shared" si="43"/>
        <v>Very Long</v>
      </c>
      <c r="T577" s="2" t="str">
        <f t="shared" si="44"/>
        <v>Major Delay</v>
      </c>
    </row>
    <row r="578" spans="1:20" x14ac:dyDescent="0.35">
      <c r="A578" s="2" t="s">
        <v>1335</v>
      </c>
      <c r="B578" s="2" t="s">
        <v>63</v>
      </c>
      <c r="C578" s="2" t="s">
        <v>1336</v>
      </c>
      <c r="D578" s="2" t="s">
        <v>48</v>
      </c>
      <c r="E578" s="2" t="s">
        <v>19</v>
      </c>
      <c r="F578" s="2" t="s">
        <v>39</v>
      </c>
      <c r="G578" s="2" t="s">
        <v>58</v>
      </c>
      <c r="H578" s="3">
        <v>45650.325694444444</v>
      </c>
      <c r="I578" s="3">
        <v>45650.546527777777</v>
      </c>
      <c r="J578" s="2">
        <v>199</v>
      </c>
      <c r="K578" s="2">
        <v>318</v>
      </c>
      <c r="L578" s="2">
        <v>1</v>
      </c>
      <c r="M578" s="2" t="s">
        <v>29</v>
      </c>
      <c r="N578" s="2">
        <v>8</v>
      </c>
      <c r="O578" s="2">
        <v>392.57</v>
      </c>
      <c r="P578" s="2">
        <f t="shared" si="40"/>
        <v>119</v>
      </c>
      <c r="Q578" s="4">
        <f t="shared" si="41"/>
        <v>0.62578616352201255</v>
      </c>
      <c r="R578" s="2" t="str">
        <f t="shared" si="42"/>
        <v>Inefficient</v>
      </c>
      <c r="S578" s="2" t="str">
        <f t="shared" si="43"/>
        <v>Very Long</v>
      </c>
      <c r="T578" s="2" t="str">
        <f t="shared" si="44"/>
        <v>Major Delay</v>
      </c>
    </row>
    <row r="579" spans="1:20" x14ac:dyDescent="0.35">
      <c r="A579" s="2" t="s">
        <v>1337</v>
      </c>
      <c r="B579" s="2" t="s">
        <v>16</v>
      </c>
      <c r="C579" s="2" t="s">
        <v>1338</v>
      </c>
      <c r="D579" s="2" t="s">
        <v>48</v>
      </c>
      <c r="E579" s="2" t="s">
        <v>85</v>
      </c>
      <c r="F579" s="2" t="s">
        <v>20</v>
      </c>
      <c r="G579" s="2" t="s">
        <v>402</v>
      </c>
      <c r="H579" s="3">
        <v>45580.361111111109</v>
      </c>
      <c r="I579" s="3">
        <v>45580.443749999999</v>
      </c>
      <c r="J579" s="2">
        <v>112</v>
      </c>
      <c r="K579" s="2">
        <v>119</v>
      </c>
      <c r="L579" s="2">
        <v>1</v>
      </c>
      <c r="M579" s="2" t="s">
        <v>22</v>
      </c>
      <c r="N579" s="2">
        <v>5</v>
      </c>
      <c r="O579" s="2">
        <v>381.42</v>
      </c>
      <c r="P579" s="2">
        <f t="shared" ref="P579:P642" si="45">K579-J579</f>
        <v>7</v>
      </c>
      <c r="Q579" s="4">
        <f t="shared" ref="Q579:Q642" si="46">J579/K579</f>
        <v>0.94117647058823528</v>
      </c>
      <c r="R579" s="2" t="str">
        <f t="shared" ref="R579:R642" si="47">IF(Q579&gt;1,"Efficient",
IF(Q579=1,"On Target","Inefficient"))</f>
        <v>Inefficient</v>
      </c>
      <c r="S579" s="2" t="str">
        <f t="shared" ref="S579:S642" si="48">IF(K579&lt;30,"Short",
IF(K579&lt;60,"Medium",
IF(K579&lt;120,"Long","Very Long")))</f>
        <v>Long</v>
      </c>
      <c r="T579" s="2" t="str">
        <f t="shared" ref="T579:T642" si="49">IF(K579&lt;=J579,"On Time",
IF(K579-J579&lt;=30,"Minor Delay","Major Delay"))</f>
        <v>Minor Delay</v>
      </c>
    </row>
    <row r="580" spans="1:20" x14ac:dyDescent="0.35">
      <c r="A580" s="2" t="s">
        <v>1339</v>
      </c>
      <c r="B580" s="2" t="s">
        <v>31</v>
      </c>
      <c r="C580" s="2" t="s">
        <v>1340</v>
      </c>
      <c r="D580" s="2" t="s">
        <v>18</v>
      </c>
      <c r="E580" s="2" t="s">
        <v>85</v>
      </c>
      <c r="F580" s="2" t="s">
        <v>57</v>
      </c>
      <c r="G580" s="2" t="s">
        <v>359</v>
      </c>
      <c r="H580" s="3">
        <v>45617.71597222222</v>
      </c>
      <c r="I580" s="3">
        <v>45617.785416666666</v>
      </c>
      <c r="J580" s="2">
        <v>14</v>
      </c>
      <c r="K580" s="2">
        <v>100</v>
      </c>
      <c r="L580" s="2">
        <v>1</v>
      </c>
      <c r="M580" s="2" t="s">
        <v>22</v>
      </c>
      <c r="N580" s="2">
        <v>10</v>
      </c>
      <c r="O580" s="2">
        <v>262.89999999999998</v>
      </c>
      <c r="P580" s="2">
        <f t="shared" si="45"/>
        <v>86</v>
      </c>
      <c r="Q580" s="4">
        <f t="shared" si="46"/>
        <v>0.14000000000000001</v>
      </c>
      <c r="R580" s="2" t="str">
        <f t="shared" si="47"/>
        <v>Inefficient</v>
      </c>
      <c r="S580" s="2" t="str">
        <f t="shared" si="48"/>
        <v>Long</v>
      </c>
      <c r="T580" s="2" t="str">
        <f t="shared" si="49"/>
        <v>Major Delay</v>
      </c>
    </row>
    <row r="581" spans="1:20" x14ac:dyDescent="0.35">
      <c r="A581" s="2" t="s">
        <v>1341</v>
      </c>
      <c r="B581" s="2" t="s">
        <v>63</v>
      </c>
      <c r="C581" s="2" t="s">
        <v>1342</v>
      </c>
      <c r="D581" s="2" t="s">
        <v>48</v>
      </c>
      <c r="E581" s="2" t="s">
        <v>38</v>
      </c>
      <c r="F581" s="2" t="s">
        <v>27</v>
      </c>
      <c r="G581" s="2" t="s">
        <v>225</v>
      </c>
      <c r="H581" s="3">
        <v>45565.372916666667</v>
      </c>
      <c r="I581" s="3">
        <v>45565.439583333333</v>
      </c>
      <c r="J581" s="2">
        <v>15</v>
      </c>
      <c r="K581" s="2">
        <v>96</v>
      </c>
      <c r="L581" s="2">
        <v>1</v>
      </c>
      <c r="M581" s="2" t="s">
        <v>41</v>
      </c>
      <c r="N581" s="2">
        <v>7</v>
      </c>
      <c r="O581" s="2">
        <v>222.89</v>
      </c>
      <c r="P581" s="2">
        <f t="shared" si="45"/>
        <v>81</v>
      </c>
      <c r="Q581" s="4">
        <f t="shared" si="46"/>
        <v>0.15625</v>
      </c>
      <c r="R581" s="2" t="str">
        <f t="shared" si="47"/>
        <v>Inefficient</v>
      </c>
      <c r="S581" s="2" t="str">
        <f t="shared" si="48"/>
        <v>Long</v>
      </c>
      <c r="T581" s="2" t="str">
        <f t="shared" si="49"/>
        <v>Major Delay</v>
      </c>
    </row>
    <row r="582" spans="1:20" x14ac:dyDescent="0.35">
      <c r="A582" s="2" t="s">
        <v>1343</v>
      </c>
      <c r="B582" s="2" t="s">
        <v>51</v>
      </c>
      <c r="C582" s="2" t="s">
        <v>1344</v>
      </c>
      <c r="D582" s="2" t="s">
        <v>44</v>
      </c>
      <c r="E582" s="2" t="s">
        <v>38</v>
      </c>
      <c r="F582" s="2" t="s">
        <v>34</v>
      </c>
      <c r="G582" s="2" t="s">
        <v>228</v>
      </c>
      <c r="H582" s="3">
        <v>45583.459722222222</v>
      </c>
      <c r="I582" s="3">
        <v>45583.54583333333</v>
      </c>
      <c r="J582" s="2">
        <v>40</v>
      </c>
      <c r="K582" s="2">
        <v>124</v>
      </c>
      <c r="L582" s="2">
        <v>1</v>
      </c>
      <c r="M582" s="2" t="s">
        <v>29</v>
      </c>
      <c r="N582" s="2">
        <v>10</v>
      </c>
      <c r="O582" s="2">
        <v>477.26</v>
      </c>
      <c r="P582" s="2">
        <f t="shared" si="45"/>
        <v>84</v>
      </c>
      <c r="Q582" s="4">
        <f t="shared" si="46"/>
        <v>0.32258064516129031</v>
      </c>
      <c r="R582" s="2" t="str">
        <f t="shared" si="47"/>
        <v>Inefficient</v>
      </c>
      <c r="S582" s="2" t="str">
        <f t="shared" si="48"/>
        <v>Very Long</v>
      </c>
      <c r="T582" s="2" t="str">
        <f t="shared" si="49"/>
        <v>Major Delay</v>
      </c>
    </row>
    <row r="583" spans="1:20" x14ac:dyDescent="0.35">
      <c r="A583" s="2" t="s">
        <v>1345</v>
      </c>
      <c r="B583" s="2" t="s">
        <v>16</v>
      </c>
      <c r="C583" s="2" t="s">
        <v>1346</v>
      </c>
      <c r="D583" s="2" t="s">
        <v>48</v>
      </c>
      <c r="E583" s="2" t="s">
        <v>33</v>
      </c>
      <c r="F583" s="2" t="s">
        <v>27</v>
      </c>
      <c r="G583" s="2" t="s">
        <v>700</v>
      </c>
      <c r="H583" s="3">
        <v>45485.859027777777</v>
      </c>
      <c r="I583" s="3">
        <v>45485.87777777778</v>
      </c>
      <c r="J583" s="2">
        <v>20</v>
      </c>
      <c r="K583" s="2">
        <v>27</v>
      </c>
      <c r="L583" s="2">
        <v>1</v>
      </c>
      <c r="M583" s="2" t="s">
        <v>29</v>
      </c>
      <c r="N583" s="2">
        <v>8</v>
      </c>
      <c r="O583" s="2">
        <v>81.680000000000007</v>
      </c>
      <c r="P583" s="2">
        <f t="shared" si="45"/>
        <v>7</v>
      </c>
      <c r="Q583" s="4">
        <f t="shared" si="46"/>
        <v>0.7407407407407407</v>
      </c>
      <c r="R583" s="2" t="str">
        <f t="shared" si="47"/>
        <v>Inefficient</v>
      </c>
      <c r="S583" s="2" t="str">
        <f t="shared" si="48"/>
        <v>Short</v>
      </c>
      <c r="T583" s="2" t="str">
        <f t="shared" si="49"/>
        <v>Minor Delay</v>
      </c>
    </row>
    <row r="584" spans="1:20" x14ac:dyDescent="0.35">
      <c r="A584" s="2" t="s">
        <v>1347</v>
      </c>
      <c r="B584" s="2" t="s">
        <v>16</v>
      </c>
      <c r="C584" s="2" t="s">
        <v>1348</v>
      </c>
      <c r="D584" s="2" t="s">
        <v>44</v>
      </c>
      <c r="E584" s="2" t="s">
        <v>19</v>
      </c>
      <c r="F584" s="2" t="s">
        <v>39</v>
      </c>
      <c r="G584" s="2" t="s">
        <v>237</v>
      </c>
      <c r="H584" s="3">
        <v>45447.043055555558</v>
      </c>
      <c r="I584" s="3">
        <v>45447.168749999997</v>
      </c>
      <c r="J584" s="2">
        <v>170</v>
      </c>
      <c r="K584" s="2">
        <v>181</v>
      </c>
      <c r="L584" s="2">
        <v>1</v>
      </c>
      <c r="M584" s="2" t="s">
        <v>41</v>
      </c>
      <c r="N584" s="2">
        <v>8</v>
      </c>
      <c r="O584" s="2">
        <v>330.56</v>
      </c>
      <c r="P584" s="2">
        <f t="shared" si="45"/>
        <v>11</v>
      </c>
      <c r="Q584" s="4">
        <f t="shared" si="46"/>
        <v>0.93922651933701662</v>
      </c>
      <c r="R584" s="2" t="str">
        <f t="shared" si="47"/>
        <v>Inefficient</v>
      </c>
      <c r="S584" s="2" t="str">
        <f t="shared" si="48"/>
        <v>Very Long</v>
      </c>
      <c r="T584" s="2" t="str">
        <f t="shared" si="49"/>
        <v>Minor Delay</v>
      </c>
    </row>
    <row r="585" spans="1:20" x14ac:dyDescent="0.35">
      <c r="A585" s="2" t="s">
        <v>1349</v>
      </c>
      <c r="B585" s="2" t="s">
        <v>16</v>
      </c>
      <c r="C585" s="2" t="s">
        <v>1350</v>
      </c>
      <c r="D585" s="2" t="s">
        <v>26</v>
      </c>
      <c r="E585" s="2" t="s">
        <v>33</v>
      </c>
      <c r="F585" s="2" t="s">
        <v>27</v>
      </c>
      <c r="G585" s="2" t="s">
        <v>152</v>
      </c>
      <c r="H585" s="3">
        <v>45567.864583333336</v>
      </c>
      <c r="I585" s="3">
        <v>45568.015277777777</v>
      </c>
      <c r="J585" s="2">
        <v>161</v>
      </c>
      <c r="K585" s="2">
        <v>217</v>
      </c>
      <c r="L585" s="2">
        <v>1</v>
      </c>
      <c r="M585" s="2" t="s">
        <v>29</v>
      </c>
      <c r="N585" s="2">
        <v>5</v>
      </c>
      <c r="O585" s="2">
        <v>171.15</v>
      </c>
      <c r="P585" s="2">
        <f t="shared" si="45"/>
        <v>56</v>
      </c>
      <c r="Q585" s="4">
        <f t="shared" si="46"/>
        <v>0.74193548387096775</v>
      </c>
      <c r="R585" s="2" t="str">
        <f t="shared" si="47"/>
        <v>Inefficient</v>
      </c>
      <c r="S585" s="2" t="str">
        <f t="shared" si="48"/>
        <v>Very Long</v>
      </c>
      <c r="T585" s="2" t="str">
        <f t="shared" si="49"/>
        <v>Major Delay</v>
      </c>
    </row>
    <row r="586" spans="1:20" x14ac:dyDescent="0.35">
      <c r="A586" s="2" t="s">
        <v>1351</v>
      </c>
      <c r="B586" s="2" t="s">
        <v>63</v>
      </c>
      <c r="C586" s="2" t="s">
        <v>1352</v>
      </c>
      <c r="D586" s="2" t="s">
        <v>48</v>
      </c>
      <c r="E586" s="2" t="s">
        <v>33</v>
      </c>
      <c r="F586" s="2" t="s">
        <v>27</v>
      </c>
      <c r="G586" s="2" t="s">
        <v>1030</v>
      </c>
      <c r="H586" s="3">
        <v>45416.657638888886</v>
      </c>
      <c r="I586" s="3">
        <v>45416.82708333333</v>
      </c>
      <c r="J586" s="2">
        <v>220</v>
      </c>
      <c r="K586" s="2">
        <v>244</v>
      </c>
      <c r="L586" s="2">
        <v>1</v>
      </c>
      <c r="M586" s="2" t="s">
        <v>29</v>
      </c>
      <c r="N586" s="2">
        <v>9</v>
      </c>
      <c r="O586" s="2">
        <v>355.13</v>
      </c>
      <c r="P586" s="2">
        <f t="shared" si="45"/>
        <v>24</v>
      </c>
      <c r="Q586" s="4">
        <f t="shared" si="46"/>
        <v>0.90163934426229508</v>
      </c>
      <c r="R586" s="2" t="str">
        <f t="shared" si="47"/>
        <v>Inefficient</v>
      </c>
      <c r="S586" s="2" t="str">
        <f t="shared" si="48"/>
        <v>Very Long</v>
      </c>
      <c r="T586" s="2" t="str">
        <f t="shared" si="49"/>
        <v>Minor Delay</v>
      </c>
    </row>
    <row r="587" spans="1:20" x14ac:dyDescent="0.35">
      <c r="A587" s="2" t="s">
        <v>1353</v>
      </c>
      <c r="B587" s="2" t="s">
        <v>63</v>
      </c>
      <c r="C587" s="2" t="s">
        <v>1354</v>
      </c>
      <c r="D587" s="2" t="s">
        <v>44</v>
      </c>
      <c r="E587" s="2" t="s">
        <v>33</v>
      </c>
      <c r="F587" s="2" t="s">
        <v>57</v>
      </c>
      <c r="G587" s="2" t="s">
        <v>407</v>
      </c>
      <c r="H587" s="3">
        <v>45428.759027777778</v>
      </c>
      <c r="I587" s="3">
        <v>45428.814583333333</v>
      </c>
      <c r="J587" s="2">
        <v>17</v>
      </c>
      <c r="K587" s="2">
        <v>80</v>
      </c>
      <c r="L587" s="2">
        <v>1</v>
      </c>
      <c r="M587" s="2" t="s">
        <v>41</v>
      </c>
      <c r="N587" s="2">
        <v>7</v>
      </c>
      <c r="O587" s="2">
        <v>362.08</v>
      </c>
      <c r="P587" s="2">
        <f t="shared" si="45"/>
        <v>63</v>
      </c>
      <c r="Q587" s="4">
        <f t="shared" si="46"/>
        <v>0.21249999999999999</v>
      </c>
      <c r="R587" s="2" t="str">
        <f t="shared" si="47"/>
        <v>Inefficient</v>
      </c>
      <c r="S587" s="2" t="str">
        <f t="shared" si="48"/>
        <v>Long</v>
      </c>
      <c r="T587" s="2" t="str">
        <f t="shared" si="49"/>
        <v>Major Delay</v>
      </c>
    </row>
    <row r="588" spans="1:20" x14ac:dyDescent="0.35">
      <c r="A588" s="2" t="s">
        <v>1355</v>
      </c>
      <c r="B588" s="2" t="s">
        <v>16</v>
      </c>
      <c r="C588" s="2" t="s">
        <v>1356</v>
      </c>
      <c r="D588" s="2" t="s">
        <v>44</v>
      </c>
      <c r="E588" s="2" t="s">
        <v>19</v>
      </c>
      <c r="F588" s="2" t="s">
        <v>34</v>
      </c>
      <c r="G588" s="2" t="s">
        <v>170</v>
      </c>
      <c r="H588" s="3">
        <v>45488.746527777781</v>
      </c>
      <c r="I588" s="3">
        <v>45488.932638888888</v>
      </c>
      <c r="J588" s="2">
        <v>156</v>
      </c>
      <c r="K588" s="2">
        <v>268</v>
      </c>
      <c r="L588" s="2">
        <v>1</v>
      </c>
      <c r="M588" s="2" t="s">
        <v>41</v>
      </c>
      <c r="N588" s="2">
        <v>9</v>
      </c>
      <c r="O588" s="2">
        <v>82.4</v>
      </c>
      <c r="P588" s="2">
        <f t="shared" si="45"/>
        <v>112</v>
      </c>
      <c r="Q588" s="4">
        <f t="shared" si="46"/>
        <v>0.58208955223880599</v>
      </c>
      <c r="R588" s="2" t="str">
        <f t="shared" si="47"/>
        <v>Inefficient</v>
      </c>
      <c r="S588" s="2" t="str">
        <f t="shared" si="48"/>
        <v>Very Long</v>
      </c>
      <c r="T588" s="2" t="str">
        <f t="shared" si="49"/>
        <v>Major Delay</v>
      </c>
    </row>
    <row r="589" spans="1:20" x14ac:dyDescent="0.35">
      <c r="A589" s="2" t="s">
        <v>1357</v>
      </c>
      <c r="B589" s="2" t="s">
        <v>16</v>
      </c>
      <c r="C589" s="2" t="s">
        <v>1358</v>
      </c>
      <c r="D589" s="2" t="s">
        <v>18</v>
      </c>
      <c r="E589" s="2" t="s">
        <v>19</v>
      </c>
      <c r="F589" s="2" t="s">
        <v>34</v>
      </c>
      <c r="G589" s="2" t="s">
        <v>397</v>
      </c>
      <c r="H589" s="3">
        <v>45344.808333333334</v>
      </c>
      <c r="I589" s="3">
        <v>45344.904861111114</v>
      </c>
      <c r="J589" s="2">
        <v>34</v>
      </c>
      <c r="K589" s="2">
        <v>139</v>
      </c>
      <c r="L589" s="2">
        <v>1</v>
      </c>
      <c r="M589" s="2" t="s">
        <v>41</v>
      </c>
      <c r="N589" s="2">
        <v>3</v>
      </c>
      <c r="O589" s="2">
        <v>266.87</v>
      </c>
      <c r="P589" s="2">
        <f t="shared" si="45"/>
        <v>105</v>
      </c>
      <c r="Q589" s="4">
        <f t="shared" si="46"/>
        <v>0.2446043165467626</v>
      </c>
      <c r="R589" s="2" t="str">
        <f t="shared" si="47"/>
        <v>Inefficient</v>
      </c>
      <c r="S589" s="2" t="str">
        <f t="shared" si="48"/>
        <v>Very Long</v>
      </c>
      <c r="T589" s="2" t="str">
        <f t="shared" si="49"/>
        <v>Major Delay</v>
      </c>
    </row>
    <row r="590" spans="1:20" x14ac:dyDescent="0.35">
      <c r="A590" s="2" t="s">
        <v>1359</v>
      </c>
      <c r="B590" s="2" t="s">
        <v>16</v>
      </c>
      <c r="C590" s="2" t="s">
        <v>1360</v>
      </c>
      <c r="D590" s="2" t="s">
        <v>48</v>
      </c>
      <c r="E590" s="2" t="s">
        <v>33</v>
      </c>
      <c r="F590" s="2" t="s">
        <v>20</v>
      </c>
      <c r="G590" s="2" t="s">
        <v>785</v>
      </c>
      <c r="H590" s="3">
        <v>45621.643055555556</v>
      </c>
      <c r="I590" s="3">
        <v>45621.737500000003</v>
      </c>
      <c r="J590" s="2">
        <v>135</v>
      </c>
      <c r="K590" s="2">
        <v>136</v>
      </c>
      <c r="L590" s="2">
        <v>1</v>
      </c>
      <c r="M590" s="2" t="s">
        <v>29</v>
      </c>
      <c r="N590" s="2">
        <v>8</v>
      </c>
      <c r="O590" s="2">
        <v>231.55</v>
      </c>
      <c r="P590" s="2">
        <f t="shared" si="45"/>
        <v>1</v>
      </c>
      <c r="Q590" s="4">
        <f t="shared" si="46"/>
        <v>0.99264705882352944</v>
      </c>
      <c r="R590" s="2" t="str">
        <f t="shared" si="47"/>
        <v>Inefficient</v>
      </c>
      <c r="S590" s="2" t="str">
        <f t="shared" si="48"/>
        <v>Very Long</v>
      </c>
      <c r="T590" s="2" t="str">
        <f t="shared" si="49"/>
        <v>Minor Delay</v>
      </c>
    </row>
    <row r="591" spans="1:20" x14ac:dyDescent="0.35">
      <c r="A591" s="2" t="s">
        <v>1361</v>
      </c>
      <c r="B591" s="2" t="s">
        <v>63</v>
      </c>
      <c r="C591" s="2" t="s">
        <v>1362</v>
      </c>
      <c r="D591" s="2" t="s">
        <v>26</v>
      </c>
      <c r="E591" s="2" t="s">
        <v>85</v>
      </c>
      <c r="F591" s="2" t="s">
        <v>27</v>
      </c>
      <c r="G591" s="2" t="s">
        <v>470</v>
      </c>
      <c r="H591" s="3">
        <v>45504.23541666667</v>
      </c>
      <c r="I591" s="3">
        <v>45504.31527777778</v>
      </c>
      <c r="J591" s="2">
        <v>70</v>
      </c>
      <c r="K591" s="2">
        <v>115</v>
      </c>
      <c r="L591" s="2">
        <v>1</v>
      </c>
      <c r="M591" s="2" t="s">
        <v>41</v>
      </c>
      <c r="N591" s="2">
        <v>3</v>
      </c>
      <c r="O591" s="2">
        <v>290.88</v>
      </c>
      <c r="P591" s="2">
        <f t="shared" si="45"/>
        <v>45</v>
      </c>
      <c r="Q591" s="4">
        <f t="shared" si="46"/>
        <v>0.60869565217391308</v>
      </c>
      <c r="R591" s="2" t="str">
        <f t="shared" si="47"/>
        <v>Inefficient</v>
      </c>
      <c r="S591" s="2" t="str">
        <f t="shared" si="48"/>
        <v>Long</v>
      </c>
      <c r="T591" s="2" t="str">
        <f t="shared" si="49"/>
        <v>Major Delay</v>
      </c>
    </row>
    <row r="592" spans="1:20" x14ac:dyDescent="0.35">
      <c r="A592" s="2" t="s">
        <v>1363</v>
      </c>
      <c r="B592" s="2" t="s">
        <v>24</v>
      </c>
      <c r="C592" s="2" t="s">
        <v>1364</v>
      </c>
      <c r="D592" s="2" t="s">
        <v>26</v>
      </c>
      <c r="E592" s="2" t="s">
        <v>38</v>
      </c>
      <c r="F592" s="2" t="s">
        <v>27</v>
      </c>
      <c r="G592" s="2" t="s">
        <v>21</v>
      </c>
      <c r="H592" s="3">
        <v>45593.070833333331</v>
      </c>
      <c r="I592" s="3">
        <v>45593.288194444445</v>
      </c>
      <c r="J592" s="2">
        <v>208</v>
      </c>
      <c r="K592" s="2">
        <v>313</v>
      </c>
      <c r="L592" s="2">
        <v>1</v>
      </c>
      <c r="M592" s="2" t="s">
        <v>29</v>
      </c>
      <c r="N592" s="2">
        <v>2</v>
      </c>
      <c r="O592" s="2">
        <v>497.59</v>
      </c>
      <c r="P592" s="2">
        <f t="shared" si="45"/>
        <v>105</v>
      </c>
      <c r="Q592" s="4">
        <f t="shared" si="46"/>
        <v>0.66453674121405748</v>
      </c>
      <c r="R592" s="2" t="str">
        <f t="shared" si="47"/>
        <v>Inefficient</v>
      </c>
      <c r="S592" s="2" t="str">
        <f t="shared" si="48"/>
        <v>Very Long</v>
      </c>
      <c r="T592" s="2" t="str">
        <f t="shared" si="49"/>
        <v>Major Delay</v>
      </c>
    </row>
    <row r="593" spans="1:20" x14ac:dyDescent="0.35">
      <c r="A593" s="2" t="s">
        <v>1365</v>
      </c>
      <c r="B593" s="2" t="s">
        <v>24</v>
      </c>
      <c r="C593" s="2" t="s">
        <v>1366</v>
      </c>
      <c r="D593" s="2" t="s">
        <v>48</v>
      </c>
      <c r="E593" s="2" t="s">
        <v>19</v>
      </c>
      <c r="F593" s="2" t="s">
        <v>34</v>
      </c>
      <c r="G593" s="2" t="s">
        <v>465</v>
      </c>
      <c r="H593" s="3">
        <v>45548.855555555558</v>
      </c>
      <c r="I593" s="3">
        <v>45548.961805555555</v>
      </c>
      <c r="J593" s="2">
        <v>117</v>
      </c>
      <c r="K593" s="2">
        <v>153</v>
      </c>
      <c r="L593" s="2">
        <v>1</v>
      </c>
      <c r="M593" s="2" t="s">
        <v>29</v>
      </c>
      <c r="N593" s="2">
        <v>6</v>
      </c>
      <c r="O593" s="2">
        <v>375.13</v>
      </c>
      <c r="P593" s="2">
        <f t="shared" si="45"/>
        <v>36</v>
      </c>
      <c r="Q593" s="4">
        <f t="shared" si="46"/>
        <v>0.76470588235294112</v>
      </c>
      <c r="R593" s="2" t="str">
        <f t="shared" si="47"/>
        <v>Inefficient</v>
      </c>
      <c r="S593" s="2" t="str">
        <f t="shared" si="48"/>
        <v>Very Long</v>
      </c>
      <c r="T593" s="2" t="str">
        <f t="shared" si="49"/>
        <v>Major Delay</v>
      </c>
    </row>
    <row r="594" spans="1:20" x14ac:dyDescent="0.35">
      <c r="A594" s="2" t="s">
        <v>1367</v>
      </c>
      <c r="B594" s="2" t="s">
        <v>24</v>
      </c>
      <c r="C594" s="2" t="s">
        <v>1368</v>
      </c>
      <c r="D594" s="2" t="s">
        <v>56</v>
      </c>
      <c r="E594" s="2" t="s">
        <v>19</v>
      </c>
      <c r="F594" s="2" t="s">
        <v>57</v>
      </c>
      <c r="G594" s="2" t="s">
        <v>470</v>
      </c>
      <c r="H594" s="3">
        <v>45323.168749999997</v>
      </c>
      <c r="I594" s="3">
        <v>45323.322916666664</v>
      </c>
      <c r="J594" s="2">
        <v>117</v>
      </c>
      <c r="K594" s="2">
        <v>222</v>
      </c>
      <c r="L594" s="2">
        <v>1</v>
      </c>
      <c r="M594" s="2" t="s">
        <v>29</v>
      </c>
      <c r="N594" s="2">
        <v>7</v>
      </c>
      <c r="O594" s="2">
        <v>290.39</v>
      </c>
      <c r="P594" s="2">
        <f t="shared" si="45"/>
        <v>105</v>
      </c>
      <c r="Q594" s="4">
        <f t="shared" si="46"/>
        <v>0.52702702702702697</v>
      </c>
      <c r="R594" s="2" t="str">
        <f t="shared" si="47"/>
        <v>Inefficient</v>
      </c>
      <c r="S594" s="2" t="str">
        <f t="shared" si="48"/>
        <v>Very Long</v>
      </c>
      <c r="T594" s="2" t="str">
        <f t="shared" si="49"/>
        <v>Major Delay</v>
      </c>
    </row>
    <row r="595" spans="1:20" x14ac:dyDescent="0.35">
      <c r="A595" s="2" t="s">
        <v>1369</v>
      </c>
      <c r="B595" s="2" t="s">
        <v>16</v>
      </c>
      <c r="C595" s="2" t="s">
        <v>1370</v>
      </c>
      <c r="D595" s="2" t="s">
        <v>26</v>
      </c>
      <c r="E595" s="2" t="s">
        <v>19</v>
      </c>
      <c r="F595" s="2" t="s">
        <v>34</v>
      </c>
      <c r="G595" s="2" t="s">
        <v>254</v>
      </c>
      <c r="H595" s="3">
        <v>45341.896527777775</v>
      </c>
      <c r="I595" s="3">
        <v>45342.050694444442</v>
      </c>
      <c r="J595" s="2">
        <v>212</v>
      </c>
      <c r="K595" s="2">
        <v>222</v>
      </c>
      <c r="L595" s="2">
        <v>1</v>
      </c>
      <c r="M595" s="2" t="s">
        <v>29</v>
      </c>
      <c r="N595" s="2">
        <v>8</v>
      </c>
      <c r="O595" s="2">
        <v>461.85</v>
      </c>
      <c r="P595" s="2">
        <f t="shared" si="45"/>
        <v>10</v>
      </c>
      <c r="Q595" s="4">
        <f t="shared" si="46"/>
        <v>0.95495495495495497</v>
      </c>
      <c r="R595" s="2" t="str">
        <f t="shared" si="47"/>
        <v>Inefficient</v>
      </c>
      <c r="S595" s="2" t="str">
        <f t="shared" si="48"/>
        <v>Very Long</v>
      </c>
      <c r="T595" s="2" t="str">
        <f t="shared" si="49"/>
        <v>Minor Delay</v>
      </c>
    </row>
    <row r="596" spans="1:20" x14ac:dyDescent="0.35">
      <c r="A596" s="2" t="s">
        <v>1371</v>
      </c>
      <c r="B596" s="2" t="s">
        <v>16</v>
      </c>
      <c r="C596" s="2" t="s">
        <v>1372</v>
      </c>
      <c r="D596" s="2" t="s">
        <v>18</v>
      </c>
      <c r="E596" s="2" t="s">
        <v>19</v>
      </c>
      <c r="F596" s="2" t="s">
        <v>57</v>
      </c>
      <c r="G596" s="2" t="s">
        <v>777</v>
      </c>
      <c r="H596" s="3">
        <v>45471.484722222223</v>
      </c>
      <c r="I596" s="3">
        <v>45471.572222222225</v>
      </c>
      <c r="J596" s="2">
        <v>59</v>
      </c>
      <c r="K596" s="2">
        <v>126</v>
      </c>
      <c r="L596" s="2">
        <v>1</v>
      </c>
      <c r="M596" s="2" t="s">
        <v>22</v>
      </c>
      <c r="N596" s="2">
        <v>6</v>
      </c>
      <c r="O596" s="2">
        <v>216.76</v>
      </c>
      <c r="P596" s="2">
        <f t="shared" si="45"/>
        <v>67</v>
      </c>
      <c r="Q596" s="4">
        <f t="shared" si="46"/>
        <v>0.46825396825396826</v>
      </c>
      <c r="R596" s="2" t="str">
        <f t="shared" si="47"/>
        <v>Inefficient</v>
      </c>
      <c r="S596" s="2" t="str">
        <f t="shared" si="48"/>
        <v>Very Long</v>
      </c>
      <c r="T596" s="2" t="str">
        <f t="shared" si="49"/>
        <v>Major Delay</v>
      </c>
    </row>
    <row r="597" spans="1:20" x14ac:dyDescent="0.35">
      <c r="A597" s="2" t="s">
        <v>1373</v>
      </c>
      <c r="B597" s="2" t="s">
        <v>31</v>
      </c>
      <c r="C597" s="2" t="s">
        <v>1374</v>
      </c>
      <c r="D597" s="2" t="s">
        <v>56</v>
      </c>
      <c r="E597" s="2" t="s">
        <v>19</v>
      </c>
      <c r="F597" s="2" t="s">
        <v>20</v>
      </c>
      <c r="G597" s="2" t="s">
        <v>254</v>
      </c>
      <c r="H597" s="3">
        <v>45320.573611111111</v>
      </c>
      <c r="I597" s="3">
        <v>45320.595138888886</v>
      </c>
      <c r="J597" s="2">
        <v>21</v>
      </c>
      <c r="K597" s="2">
        <v>31</v>
      </c>
      <c r="L597" s="2">
        <v>1</v>
      </c>
      <c r="M597" s="2" t="s">
        <v>29</v>
      </c>
      <c r="N597" s="2">
        <v>5</v>
      </c>
      <c r="O597" s="2">
        <v>253.72</v>
      </c>
      <c r="P597" s="2">
        <f t="shared" si="45"/>
        <v>10</v>
      </c>
      <c r="Q597" s="4">
        <f t="shared" si="46"/>
        <v>0.67741935483870963</v>
      </c>
      <c r="R597" s="2" t="str">
        <f t="shared" si="47"/>
        <v>Inefficient</v>
      </c>
      <c r="S597" s="2" t="str">
        <f t="shared" si="48"/>
        <v>Medium</v>
      </c>
      <c r="T597" s="2" t="str">
        <f t="shared" si="49"/>
        <v>Minor Delay</v>
      </c>
    </row>
    <row r="598" spans="1:20" x14ac:dyDescent="0.35">
      <c r="A598" s="2" t="s">
        <v>1375</v>
      </c>
      <c r="B598" s="2" t="s">
        <v>63</v>
      </c>
      <c r="C598" s="2" t="s">
        <v>1376</v>
      </c>
      <c r="D598" s="2" t="s">
        <v>26</v>
      </c>
      <c r="E598" s="2" t="s">
        <v>19</v>
      </c>
      <c r="F598" s="2" t="s">
        <v>39</v>
      </c>
      <c r="G598" s="2" t="s">
        <v>785</v>
      </c>
      <c r="H598" s="3">
        <v>45368.681250000001</v>
      </c>
      <c r="I598" s="3">
        <v>45368.81527777778</v>
      </c>
      <c r="J598" s="2">
        <v>132</v>
      </c>
      <c r="K598" s="2">
        <v>193</v>
      </c>
      <c r="L598" s="2">
        <v>1</v>
      </c>
      <c r="M598" s="2" t="s">
        <v>22</v>
      </c>
      <c r="N598" s="2">
        <v>5</v>
      </c>
      <c r="O598" s="2">
        <v>301.41000000000003</v>
      </c>
      <c r="P598" s="2">
        <f t="shared" si="45"/>
        <v>61</v>
      </c>
      <c r="Q598" s="4">
        <f t="shared" si="46"/>
        <v>0.68393782383419688</v>
      </c>
      <c r="R598" s="2" t="str">
        <f t="shared" si="47"/>
        <v>Inefficient</v>
      </c>
      <c r="S598" s="2" t="str">
        <f t="shared" si="48"/>
        <v>Very Long</v>
      </c>
      <c r="T598" s="2" t="str">
        <f t="shared" si="49"/>
        <v>Major Delay</v>
      </c>
    </row>
    <row r="599" spans="1:20" x14ac:dyDescent="0.35">
      <c r="A599" s="2" t="s">
        <v>1377</v>
      </c>
      <c r="B599" s="2" t="s">
        <v>24</v>
      </c>
      <c r="C599" s="2" t="s">
        <v>1378</v>
      </c>
      <c r="D599" s="2" t="s">
        <v>18</v>
      </c>
      <c r="E599" s="2" t="s">
        <v>33</v>
      </c>
      <c r="F599" s="2" t="s">
        <v>20</v>
      </c>
      <c r="G599" s="2" t="s">
        <v>120</v>
      </c>
      <c r="H599" s="3">
        <v>45617.092361111114</v>
      </c>
      <c r="I599" s="3">
        <v>45617.304861111108</v>
      </c>
      <c r="J599" s="2">
        <v>239</v>
      </c>
      <c r="K599" s="2">
        <v>306</v>
      </c>
      <c r="L599" s="2">
        <v>1</v>
      </c>
      <c r="M599" s="2" t="s">
        <v>22</v>
      </c>
      <c r="N599" s="2">
        <v>4</v>
      </c>
      <c r="O599" s="2">
        <v>54.07</v>
      </c>
      <c r="P599" s="2">
        <f t="shared" si="45"/>
        <v>67</v>
      </c>
      <c r="Q599" s="4">
        <f t="shared" si="46"/>
        <v>0.78104575163398693</v>
      </c>
      <c r="R599" s="2" t="str">
        <f t="shared" si="47"/>
        <v>Inefficient</v>
      </c>
      <c r="S599" s="2" t="str">
        <f t="shared" si="48"/>
        <v>Very Long</v>
      </c>
      <c r="T599" s="2" t="str">
        <f t="shared" si="49"/>
        <v>Major Delay</v>
      </c>
    </row>
    <row r="600" spans="1:20" x14ac:dyDescent="0.35">
      <c r="A600" s="2" t="s">
        <v>1379</v>
      </c>
      <c r="B600" s="2" t="s">
        <v>24</v>
      </c>
      <c r="C600" s="2" t="s">
        <v>1380</v>
      </c>
      <c r="D600" s="2" t="s">
        <v>56</v>
      </c>
      <c r="E600" s="2" t="s">
        <v>38</v>
      </c>
      <c r="F600" s="2" t="s">
        <v>34</v>
      </c>
      <c r="G600" s="2" t="s">
        <v>691</v>
      </c>
      <c r="H600" s="3">
        <v>45471.020138888889</v>
      </c>
      <c r="I600" s="3">
        <v>45471.043055555558</v>
      </c>
      <c r="J600" s="2">
        <v>13</v>
      </c>
      <c r="K600" s="2">
        <v>33</v>
      </c>
      <c r="L600" s="2">
        <v>1</v>
      </c>
      <c r="M600" s="2" t="s">
        <v>41</v>
      </c>
      <c r="N600" s="2">
        <v>10</v>
      </c>
      <c r="O600" s="2">
        <v>499.71</v>
      </c>
      <c r="P600" s="2">
        <f t="shared" si="45"/>
        <v>20</v>
      </c>
      <c r="Q600" s="4">
        <f t="shared" si="46"/>
        <v>0.39393939393939392</v>
      </c>
      <c r="R600" s="2" t="str">
        <f t="shared" si="47"/>
        <v>Inefficient</v>
      </c>
      <c r="S600" s="2" t="str">
        <f t="shared" si="48"/>
        <v>Medium</v>
      </c>
      <c r="T600" s="2" t="str">
        <f t="shared" si="49"/>
        <v>Minor Delay</v>
      </c>
    </row>
    <row r="601" spans="1:20" x14ac:dyDescent="0.35">
      <c r="A601" s="2" t="s">
        <v>1381</v>
      </c>
      <c r="B601" s="2" t="s">
        <v>63</v>
      </c>
      <c r="C601" s="2" t="s">
        <v>1382</v>
      </c>
      <c r="D601" s="2" t="s">
        <v>48</v>
      </c>
      <c r="E601" s="2" t="s">
        <v>38</v>
      </c>
      <c r="F601" s="2" t="s">
        <v>34</v>
      </c>
      <c r="G601" s="2" t="s">
        <v>1187</v>
      </c>
      <c r="H601" s="3">
        <v>45609.190972222219</v>
      </c>
      <c r="I601" s="3">
        <v>45609.369444444441</v>
      </c>
      <c r="J601" s="2">
        <v>229</v>
      </c>
      <c r="K601" s="2">
        <v>257</v>
      </c>
      <c r="L601" s="2">
        <v>1</v>
      </c>
      <c r="M601" s="2" t="s">
        <v>22</v>
      </c>
      <c r="N601" s="2">
        <v>8</v>
      </c>
      <c r="O601" s="2">
        <v>405.75</v>
      </c>
      <c r="P601" s="2">
        <f t="shared" si="45"/>
        <v>28</v>
      </c>
      <c r="Q601" s="4">
        <f t="shared" si="46"/>
        <v>0.8910505836575876</v>
      </c>
      <c r="R601" s="2" t="str">
        <f t="shared" si="47"/>
        <v>Inefficient</v>
      </c>
      <c r="S601" s="2" t="str">
        <f t="shared" si="48"/>
        <v>Very Long</v>
      </c>
      <c r="T601" s="2" t="str">
        <f t="shared" si="49"/>
        <v>Minor Delay</v>
      </c>
    </row>
    <row r="602" spans="1:20" x14ac:dyDescent="0.35">
      <c r="A602" s="2" t="s">
        <v>1383</v>
      </c>
      <c r="B602" s="2" t="s">
        <v>24</v>
      </c>
      <c r="C602" s="2" t="s">
        <v>1384</v>
      </c>
      <c r="D602" s="2" t="s">
        <v>26</v>
      </c>
      <c r="E602" s="2" t="s">
        <v>19</v>
      </c>
      <c r="F602" s="2" t="s">
        <v>20</v>
      </c>
      <c r="G602" s="2" t="s">
        <v>388</v>
      </c>
      <c r="H602" s="3">
        <v>45488.606944444444</v>
      </c>
      <c r="I602" s="3">
        <v>45488.774305555555</v>
      </c>
      <c r="J602" s="2">
        <v>136</v>
      </c>
      <c r="K602" s="2">
        <v>241</v>
      </c>
      <c r="L602" s="2">
        <v>1</v>
      </c>
      <c r="M602" s="2" t="s">
        <v>41</v>
      </c>
      <c r="N602" s="2">
        <v>1</v>
      </c>
      <c r="O602" s="2">
        <v>296.29000000000002</v>
      </c>
      <c r="P602" s="2">
        <f t="shared" si="45"/>
        <v>105</v>
      </c>
      <c r="Q602" s="4">
        <f t="shared" si="46"/>
        <v>0.56431535269709543</v>
      </c>
      <c r="R602" s="2" t="str">
        <f t="shared" si="47"/>
        <v>Inefficient</v>
      </c>
      <c r="S602" s="2" t="str">
        <f t="shared" si="48"/>
        <v>Very Long</v>
      </c>
      <c r="T602" s="2" t="str">
        <f t="shared" si="49"/>
        <v>Major Delay</v>
      </c>
    </row>
    <row r="603" spans="1:20" x14ac:dyDescent="0.35">
      <c r="A603" s="2" t="s">
        <v>1385</v>
      </c>
      <c r="B603" s="2" t="s">
        <v>31</v>
      </c>
      <c r="C603" s="2" t="s">
        <v>1386</v>
      </c>
      <c r="D603" s="2" t="s">
        <v>26</v>
      </c>
      <c r="E603" s="2" t="s">
        <v>38</v>
      </c>
      <c r="F603" s="2" t="s">
        <v>57</v>
      </c>
      <c r="G603" s="2" t="s">
        <v>111</v>
      </c>
      <c r="H603" s="3">
        <v>45468.877083333333</v>
      </c>
      <c r="I603" s="3">
        <v>45468.899305555555</v>
      </c>
      <c r="J603" s="2">
        <v>29</v>
      </c>
      <c r="K603" s="2">
        <v>32</v>
      </c>
      <c r="L603" s="2">
        <v>1</v>
      </c>
      <c r="M603" s="2" t="s">
        <v>29</v>
      </c>
      <c r="N603" s="2">
        <v>1</v>
      </c>
      <c r="O603" s="2">
        <v>75.239999999999995</v>
      </c>
      <c r="P603" s="2">
        <f t="shared" si="45"/>
        <v>3</v>
      </c>
      <c r="Q603" s="4">
        <f t="shared" si="46"/>
        <v>0.90625</v>
      </c>
      <c r="R603" s="2" t="str">
        <f t="shared" si="47"/>
        <v>Inefficient</v>
      </c>
      <c r="S603" s="2" t="str">
        <f t="shared" si="48"/>
        <v>Medium</v>
      </c>
      <c r="T603" s="2" t="str">
        <f t="shared" si="49"/>
        <v>Minor Delay</v>
      </c>
    </row>
    <row r="604" spans="1:20" x14ac:dyDescent="0.35">
      <c r="A604" s="2" t="s">
        <v>1387</v>
      </c>
      <c r="B604" s="2" t="s">
        <v>63</v>
      </c>
      <c r="C604" s="2" t="s">
        <v>1388</v>
      </c>
      <c r="D604" s="2" t="s">
        <v>56</v>
      </c>
      <c r="E604" s="2" t="s">
        <v>85</v>
      </c>
      <c r="F604" s="2" t="s">
        <v>34</v>
      </c>
      <c r="G604" s="2" t="s">
        <v>293</v>
      </c>
      <c r="H604" s="3">
        <v>45507.960416666669</v>
      </c>
      <c r="I604" s="3">
        <v>45508.052777777775</v>
      </c>
      <c r="J604" s="2">
        <v>100</v>
      </c>
      <c r="K604" s="2">
        <v>133</v>
      </c>
      <c r="L604" s="2">
        <v>1</v>
      </c>
      <c r="M604" s="2" t="s">
        <v>29</v>
      </c>
      <c r="N604" s="2">
        <v>2</v>
      </c>
      <c r="O604" s="2">
        <v>257.22000000000003</v>
      </c>
      <c r="P604" s="2">
        <f t="shared" si="45"/>
        <v>33</v>
      </c>
      <c r="Q604" s="4">
        <f t="shared" si="46"/>
        <v>0.75187969924812026</v>
      </c>
      <c r="R604" s="2" t="str">
        <f t="shared" si="47"/>
        <v>Inefficient</v>
      </c>
      <c r="S604" s="2" t="str">
        <f t="shared" si="48"/>
        <v>Very Long</v>
      </c>
      <c r="T604" s="2" t="str">
        <f t="shared" si="49"/>
        <v>Major Delay</v>
      </c>
    </row>
    <row r="605" spans="1:20" x14ac:dyDescent="0.35">
      <c r="A605" s="2" t="s">
        <v>1389</v>
      </c>
      <c r="B605" s="2" t="s">
        <v>63</v>
      </c>
      <c r="C605" s="2" t="s">
        <v>1390</v>
      </c>
      <c r="D605" s="2" t="s">
        <v>56</v>
      </c>
      <c r="E605" s="2" t="s">
        <v>33</v>
      </c>
      <c r="F605" s="2" t="s">
        <v>20</v>
      </c>
      <c r="G605" s="2" t="s">
        <v>170</v>
      </c>
      <c r="H605" s="3">
        <v>45467.72152777778</v>
      </c>
      <c r="I605" s="3">
        <v>45467.856249999997</v>
      </c>
      <c r="J605" s="2">
        <v>89</v>
      </c>
      <c r="K605" s="2">
        <v>194</v>
      </c>
      <c r="L605" s="2">
        <v>1</v>
      </c>
      <c r="M605" s="2" t="s">
        <v>22</v>
      </c>
      <c r="N605" s="2">
        <v>8</v>
      </c>
      <c r="O605" s="2">
        <v>224.65</v>
      </c>
      <c r="P605" s="2">
        <f t="shared" si="45"/>
        <v>105</v>
      </c>
      <c r="Q605" s="4">
        <f t="shared" si="46"/>
        <v>0.45876288659793812</v>
      </c>
      <c r="R605" s="2" t="str">
        <f t="shared" si="47"/>
        <v>Inefficient</v>
      </c>
      <c r="S605" s="2" t="str">
        <f t="shared" si="48"/>
        <v>Very Long</v>
      </c>
      <c r="T605" s="2" t="str">
        <f t="shared" si="49"/>
        <v>Major Delay</v>
      </c>
    </row>
    <row r="606" spans="1:20" x14ac:dyDescent="0.35">
      <c r="A606" s="2" t="s">
        <v>1391</v>
      </c>
      <c r="B606" s="2" t="s">
        <v>16</v>
      </c>
      <c r="C606" s="2" t="s">
        <v>1392</v>
      </c>
      <c r="D606" s="2" t="s">
        <v>44</v>
      </c>
      <c r="E606" s="2" t="s">
        <v>38</v>
      </c>
      <c r="F606" s="2" t="s">
        <v>57</v>
      </c>
      <c r="G606" s="2" t="s">
        <v>201</v>
      </c>
      <c r="H606" s="3">
        <v>45427.445833333331</v>
      </c>
      <c r="I606" s="3">
        <v>45427.628472222219</v>
      </c>
      <c r="J606" s="2">
        <v>180</v>
      </c>
      <c r="K606" s="2">
        <v>263</v>
      </c>
      <c r="L606" s="2">
        <v>1</v>
      </c>
      <c r="M606" s="2" t="s">
        <v>22</v>
      </c>
      <c r="N606" s="2">
        <v>10</v>
      </c>
      <c r="O606" s="2">
        <v>373.11</v>
      </c>
      <c r="P606" s="2">
        <f t="shared" si="45"/>
        <v>83</v>
      </c>
      <c r="Q606" s="4">
        <f t="shared" si="46"/>
        <v>0.68441064638783267</v>
      </c>
      <c r="R606" s="2" t="str">
        <f t="shared" si="47"/>
        <v>Inefficient</v>
      </c>
      <c r="S606" s="2" t="str">
        <f t="shared" si="48"/>
        <v>Very Long</v>
      </c>
      <c r="T606" s="2" t="str">
        <f t="shared" si="49"/>
        <v>Major Delay</v>
      </c>
    </row>
    <row r="607" spans="1:20" x14ac:dyDescent="0.35">
      <c r="A607" s="2" t="s">
        <v>1393</v>
      </c>
      <c r="B607" s="2" t="s">
        <v>24</v>
      </c>
      <c r="C607" s="2" t="s">
        <v>1394</v>
      </c>
      <c r="D607" s="2" t="s">
        <v>18</v>
      </c>
      <c r="E607" s="2" t="s">
        <v>33</v>
      </c>
      <c r="F607" s="2" t="s">
        <v>27</v>
      </c>
      <c r="G607" s="2" t="s">
        <v>149</v>
      </c>
      <c r="H607" s="3">
        <v>45566.620138888888</v>
      </c>
      <c r="I607" s="3">
        <v>45566.71597222222</v>
      </c>
      <c r="J607" s="2">
        <v>59</v>
      </c>
      <c r="K607" s="2">
        <v>138</v>
      </c>
      <c r="L607" s="2">
        <v>1</v>
      </c>
      <c r="M607" s="2" t="s">
        <v>29</v>
      </c>
      <c r="N607" s="2">
        <v>4</v>
      </c>
      <c r="O607" s="2">
        <v>285.63</v>
      </c>
      <c r="P607" s="2">
        <f t="shared" si="45"/>
        <v>79</v>
      </c>
      <c r="Q607" s="4">
        <f t="shared" si="46"/>
        <v>0.42753623188405798</v>
      </c>
      <c r="R607" s="2" t="str">
        <f t="shared" si="47"/>
        <v>Inefficient</v>
      </c>
      <c r="S607" s="2" t="str">
        <f t="shared" si="48"/>
        <v>Very Long</v>
      </c>
      <c r="T607" s="2" t="str">
        <f t="shared" si="49"/>
        <v>Major Delay</v>
      </c>
    </row>
    <row r="608" spans="1:20" x14ac:dyDescent="0.35">
      <c r="A608" s="2" t="s">
        <v>1395</v>
      </c>
      <c r="B608" s="2" t="s">
        <v>24</v>
      </c>
      <c r="C608" s="2" t="s">
        <v>1396</v>
      </c>
      <c r="D608" s="2" t="s">
        <v>48</v>
      </c>
      <c r="E608" s="2" t="s">
        <v>85</v>
      </c>
      <c r="F608" s="2" t="s">
        <v>34</v>
      </c>
      <c r="G608" s="2" t="s">
        <v>97</v>
      </c>
      <c r="H608" s="3">
        <v>45599.970138888886</v>
      </c>
      <c r="I608" s="3">
        <v>45600.05972222222</v>
      </c>
      <c r="J608" s="2">
        <v>34</v>
      </c>
      <c r="K608" s="2">
        <v>129</v>
      </c>
      <c r="L608" s="2">
        <v>1</v>
      </c>
      <c r="M608" s="2" t="s">
        <v>29</v>
      </c>
      <c r="N608" s="2">
        <v>6</v>
      </c>
      <c r="O608" s="2">
        <v>481.7</v>
      </c>
      <c r="P608" s="2">
        <f t="shared" si="45"/>
        <v>95</v>
      </c>
      <c r="Q608" s="4">
        <f t="shared" si="46"/>
        <v>0.26356589147286824</v>
      </c>
      <c r="R608" s="2" t="str">
        <f t="shared" si="47"/>
        <v>Inefficient</v>
      </c>
      <c r="S608" s="2" t="str">
        <f t="shared" si="48"/>
        <v>Very Long</v>
      </c>
      <c r="T608" s="2" t="str">
        <f t="shared" si="49"/>
        <v>Major Delay</v>
      </c>
    </row>
    <row r="609" spans="1:20" x14ac:dyDescent="0.35">
      <c r="A609" s="2" t="s">
        <v>1397</v>
      </c>
      <c r="B609" s="2" t="s">
        <v>31</v>
      </c>
      <c r="C609" s="2" t="s">
        <v>1398</v>
      </c>
      <c r="D609" s="2" t="s">
        <v>56</v>
      </c>
      <c r="E609" s="2" t="s">
        <v>19</v>
      </c>
      <c r="F609" s="2" t="s">
        <v>34</v>
      </c>
      <c r="G609" s="2" t="s">
        <v>473</v>
      </c>
      <c r="H609" s="3">
        <v>45373.477083333331</v>
      </c>
      <c r="I609" s="3">
        <v>45373.580555555556</v>
      </c>
      <c r="J609" s="2">
        <v>74</v>
      </c>
      <c r="K609" s="2">
        <v>149</v>
      </c>
      <c r="L609" s="2">
        <v>1</v>
      </c>
      <c r="M609" s="2" t="s">
        <v>22</v>
      </c>
      <c r="N609" s="2">
        <v>10</v>
      </c>
      <c r="O609" s="2">
        <v>345.59</v>
      </c>
      <c r="P609" s="2">
        <f t="shared" si="45"/>
        <v>75</v>
      </c>
      <c r="Q609" s="4">
        <f t="shared" si="46"/>
        <v>0.49664429530201343</v>
      </c>
      <c r="R609" s="2" t="str">
        <f t="shared" si="47"/>
        <v>Inefficient</v>
      </c>
      <c r="S609" s="2" t="str">
        <f t="shared" si="48"/>
        <v>Very Long</v>
      </c>
      <c r="T609" s="2" t="str">
        <f t="shared" si="49"/>
        <v>Major Delay</v>
      </c>
    </row>
    <row r="610" spans="1:20" x14ac:dyDescent="0.35">
      <c r="A610" s="2" t="s">
        <v>1399</v>
      </c>
      <c r="B610" s="2" t="s">
        <v>51</v>
      </c>
      <c r="C610" s="2" t="s">
        <v>1400</v>
      </c>
      <c r="D610" s="2" t="s">
        <v>48</v>
      </c>
      <c r="E610" s="2" t="s">
        <v>85</v>
      </c>
      <c r="F610" s="2" t="s">
        <v>57</v>
      </c>
      <c r="G610" s="2" t="s">
        <v>383</v>
      </c>
      <c r="H610" s="3">
        <v>45591.660416666666</v>
      </c>
      <c r="I610" s="3">
        <v>45591.76458333333</v>
      </c>
      <c r="J610" s="2">
        <v>34</v>
      </c>
      <c r="K610" s="2">
        <v>150</v>
      </c>
      <c r="L610" s="2">
        <v>1</v>
      </c>
      <c r="M610" s="2" t="s">
        <v>29</v>
      </c>
      <c r="N610" s="2">
        <v>3</v>
      </c>
      <c r="O610" s="2">
        <v>149.74</v>
      </c>
      <c r="P610" s="2">
        <f t="shared" si="45"/>
        <v>116</v>
      </c>
      <c r="Q610" s="4">
        <f t="shared" si="46"/>
        <v>0.22666666666666666</v>
      </c>
      <c r="R610" s="2" t="str">
        <f t="shared" si="47"/>
        <v>Inefficient</v>
      </c>
      <c r="S610" s="2" t="str">
        <f t="shared" si="48"/>
        <v>Very Long</v>
      </c>
      <c r="T610" s="2" t="str">
        <f t="shared" si="49"/>
        <v>Major Delay</v>
      </c>
    </row>
    <row r="611" spans="1:20" x14ac:dyDescent="0.35">
      <c r="A611" s="2" t="s">
        <v>1401</v>
      </c>
      <c r="B611" s="2" t="s">
        <v>16</v>
      </c>
      <c r="C611" s="2" t="s">
        <v>1402</v>
      </c>
      <c r="D611" s="2" t="s">
        <v>44</v>
      </c>
      <c r="E611" s="2" t="s">
        <v>85</v>
      </c>
      <c r="F611" s="2" t="s">
        <v>27</v>
      </c>
      <c r="G611" s="2" t="s">
        <v>383</v>
      </c>
      <c r="H611" s="3">
        <v>45649.781944444447</v>
      </c>
      <c r="I611" s="3">
        <v>45649.908333333333</v>
      </c>
      <c r="J611" s="2">
        <v>130</v>
      </c>
      <c r="K611" s="2">
        <v>182</v>
      </c>
      <c r="L611" s="2">
        <v>1</v>
      </c>
      <c r="M611" s="2" t="s">
        <v>22</v>
      </c>
      <c r="N611" s="2">
        <v>5</v>
      </c>
      <c r="O611" s="2">
        <v>234.96</v>
      </c>
      <c r="P611" s="2">
        <f t="shared" si="45"/>
        <v>52</v>
      </c>
      <c r="Q611" s="4">
        <f t="shared" si="46"/>
        <v>0.7142857142857143</v>
      </c>
      <c r="R611" s="2" t="str">
        <f t="shared" si="47"/>
        <v>Inefficient</v>
      </c>
      <c r="S611" s="2" t="str">
        <f t="shared" si="48"/>
        <v>Very Long</v>
      </c>
      <c r="T611" s="2" t="str">
        <f t="shared" si="49"/>
        <v>Major Delay</v>
      </c>
    </row>
    <row r="612" spans="1:20" x14ac:dyDescent="0.35">
      <c r="A612" s="2" t="s">
        <v>1403</v>
      </c>
      <c r="B612" s="2" t="s">
        <v>51</v>
      </c>
      <c r="C612" s="2" t="s">
        <v>1404</v>
      </c>
      <c r="D612" s="2" t="s">
        <v>56</v>
      </c>
      <c r="E612" s="2" t="s">
        <v>19</v>
      </c>
      <c r="F612" s="2" t="s">
        <v>27</v>
      </c>
      <c r="G612" s="2" t="s">
        <v>173</v>
      </c>
      <c r="H612" s="3">
        <v>45572.273611111108</v>
      </c>
      <c r="I612" s="3">
        <v>45572.329861111109</v>
      </c>
      <c r="J612" s="2">
        <v>54</v>
      </c>
      <c r="K612" s="2">
        <v>81</v>
      </c>
      <c r="L612" s="2">
        <v>1</v>
      </c>
      <c r="M612" s="2" t="s">
        <v>22</v>
      </c>
      <c r="N612" s="2">
        <v>3</v>
      </c>
      <c r="O612" s="2">
        <v>256.47000000000003</v>
      </c>
      <c r="P612" s="2">
        <f t="shared" si="45"/>
        <v>27</v>
      </c>
      <c r="Q612" s="4">
        <f t="shared" si="46"/>
        <v>0.66666666666666663</v>
      </c>
      <c r="R612" s="2" t="str">
        <f t="shared" si="47"/>
        <v>Inefficient</v>
      </c>
      <c r="S612" s="2" t="str">
        <f t="shared" si="48"/>
        <v>Long</v>
      </c>
      <c r="T612" s="2" t="str">
        <f t="shared" si="49"/>
        <v>Minor Delay</v>
      </c>
    </row>
    <row r="613" spans="1:20" x14ac:dyDescent="0.35">
      <c r="A613" s="2" t="s">
        <v>1405</v>
      </c>
      <c r="B613" s="2" t="s">
        <v>31</v>
      </c>
      <c r="C613" s="2" t="s">
        <v>1406</v>
      </c>
      <c r="D613" s="2" t="s">
        <v>26</v>
      </c>
      <c r="E613" s="2" t="s">
        <v>38</v>
      </c>
      <c r="F613" s="2" t="s">
        <v>39</v>
      </c>
      <c r="G613" s="2" t="s">
        <v>143</v>
      </c>
      <c r="H613" s="3">
        <v>45526.818055555559</v>
      </c>
      <c r="I613" s="3">
        <v>45526.885416666664</v>
      </c>
      <c r="J613" s="2">
        <v>12</v>
      </c>
      <c r="K613" s="2">
        <v>97</v>
      </c>
      <c r="L613" s="2">
        <v>1</v>
      </c>
      <c r="M613" s="2" t="s">
        <v>41</v>
      </c>
      <c r="N613" s="2">
        <v>7</v>
      </c>
      <c r="O613" s="2">
        <v>301.06</v>
      </c>
      <c r="P613" s="2">
        <f t="shared" si="45"/>
        <v>85</v>
      </c>
      <c r="Q613" s="4">
        <f t="shared" si="46"/>
        <v>0.12371134020618557</v>
      </c>
      <c r="R613" s="2" t="str">
        <f t="shared" si="47"/>
        <v>Inefficient</v>
      </c>
      <c r="S613" s="2" t="str">
        <f t="shared" si="48"/>
        <v>Long</v>
      </c>
      <c r="T613" s="2" t="str">
        <f t="shared" si="49"/>
        <v>Major Delay</v>
      </c>
    </row>
    <row r="614" spans="1:20" x14ac:dyDescent="0.35">
      <c r="A614" s="2" t="s">
        <v>1407</v>
      </c>
      <c r="B614" s="2" t="s">
        <v>63</v>
      </c>
      <c r="C614" s="2" t="s">
        <v>1408</v>
      </c>
      <c r="D614" s="2" t="s">
        <v>26</v>
      </c>
      <c r="E614" s="2" t="s">
        <v>38</v>
      </c>
      <c r="F614" s="2" t="s">
        <v>57</v>
      </c>
      <c r="G614" s="2" t="s">
        <v>415</v>
      </c>
      <c r="H614" s="3">
        <v>45359.95</v>
      </c>
      <c r="I614" s="3">
        <v>45360.137499999997</v>
      </c>
      <c r="J614" s="2">
        <v>181</v>
      </c>
      <c r="K614" s="2">
        <v>270</v>
      </c>
      <c r="L614" s="2">
        <v>1</v>
      </c>
      <c r="M614" s="2" t="s">
        <v>41</v>
      </c>
      <c r="N614" s="2">
        <v>2</v>
      </c>
      <c r="O614" s="2">
        <v>107.09</v>
      </c>
      <c r="P614" s="2">
        <f t="shared" si="45"/>
        <v>89</v>
      </c>
      <c r="Q614" s="4">
        <f t="shared" si="46"/>
        <v>0.67037037037037039</v>
      </c>
      <c r="R614" s="2" t="str">
        <f t="shared" si="47"/>
        <v>Inefficient</v>
      </c>
      <c r="S614" s="2" t="str">
        <f t="shared" si="48"/>
        <v>Very Long</v>
      </c>
      <c r="T614" s="2" t="str">
        <f t="shared" si="49"/>
        <v>Major Delay</v>
      </c>
    </row>
    <row r="615" spans="1:20" x14ac:dyDescent="0.35">
      <c r="A615" s="2" t="s">
        <v>1409</v>
      </c>
      <c r="B615" s="2" t="s">
        <v>24</v>
      </c>
      <c r="C615" s="2" t="s">
        <v>1410</v>
      </c>
      <c r="D615" s="2" t="s">
        <v>18</v>
      </c>
      <c r="E615" s="2" t="s">
        <v>38</v>
      </c>
      <c r="F615" s="2" t="s">
        <v>20</v>
      </c>
      <c r="G615" s="2" t="s">
        <v>430</v>
      </c>
      <c r="H615" s="3">
        <v>45560.743750000001</v>
      </c>
      <c r="I615" s="3">
        <v>45560.923611111109</v>
      </c>
      <c r="J615" s="2">
        <v>187</v>
      </c>
      <c r="K615" s="2">
        <v>259</v>
      </c>
      <c r="L615" s="2">
        <v>1</v>
      </c>
      <c r="M615" s="2" t="s">
        <v>41</v>
      </c>
      <c r="N615" s="2">
        <v>1</v>
      </c>
      <c r="O615" s="2">
        <v>268.55</v>
      </c>
      <c r="P615" s="2">
        <f t="shared" si="45"/>
        <v>72</v>
      </c>
      <c r="Q615" s="4">
        <f t="shared" si="46"/>
        <v>0.72200772200772201</v>
      </c>
      <c r="R615" s="2" t="str">
        <f t="shared" si="47"/>
        <v>Inefficient</v>
      </c>
      <c r="S615" s="2" t="str">
        <f t="shared" si="48"/>
        <v>Very Long</v>
      </c>
      <c r="T615" s="2" t="str">
        <f t="shared" si="49"/>
        <v>Major Delay</v>
      </c>
    </row>
    <row r="616" spans="1:20" x14ac:dyDescent="0.35">
      <c r="A616" s="2" t="s">
        <v>1411</v>
      </c>
      <c r="B616" s="2" t="s">
        <v>16</v>
      </c>
      <c r="C616" s="2" t="s">
        <v>1412</v>
      </c>
      <c r="D616" s="2" t="s">
        <v>56</v>
      </c>
      <c r="E616" s="2" t="s">
        <v>33</v>
      </c>
      <c r="F616" s="2" t="s">
        <v>27</v>
      </c>
      <c r="G616" s="2" t="s">
        <v>1413</v>
      </c>
      <c r="H616" s="3">
        <v>45476.701388888891</v>
      </c>
      <c r="I616" s="3">
        <v>45476.804861111108</v>
      </c>
      <c r="J616" s="2">
        <v>83</v>
      </c>
      <c r="K616" s="2">
        <v>149</v>
      </c>
      <c r="L616" s="2">
        <v>1</v>
      </c>
      <c r="M616" s="2" t="s">
        <v>41</v>
      </c>
      <c r="N616" s="2">
        <v>10</v>
      </c>
      <c r="O616" s="2">
        <v>332.56</v>
      </c>
      <c r="P616" s="2">
        <f t="shared" si="45"/>
        <v>66</v>
      </c>
      <c r="Q616" s="4">
        <f t="shared" si="46"/>
        <v>0.55704697986577179</v>
      </c>
      <c r="R616" s="2" t="str">
        <f t="shared" si="47"/>
        <v>Inefficient</v>
      </c>
      <c r="S616" s="2" t="str">
        <f t="shared" si="48"/>
        <v>Very Long</v>
      </c>
      <c r="T616" s="2" t="str">
        <f t="shared" si="49"/>
        <v>Major Delay</v>
      </c>
    </row>
    <row r="617" spans="1:20" x14ac:dyDescent="0.35">
      <c r="A617" s="2" t="s">
        <v>1414</v>
      </c>
      <c r="B617" s="2" t="s">
        <v>16</v>
      </c>
      <c r="C617" s="2" t="s">
        <v>1415</v>
      </c>
      <c r="D617" s="2" t="s">
        <v>26</v>
      </c>
      <c r="E617" s="2" t="s">
        <v>38</v>
      </c>
      <c r="F617" s="2" t="s">
        <v>27</v>
      </c>
      <c r="G617" s="2" t="s">
        <v>817</v>
      </c>
      <c r="H617" s="3">
        <v>45371.268750000003</v>
      </c>
      <c r="I617" s="3">
        <v>45371.472916666666</v>
      </c>
      <c r="J617" s="2">
        <v>175</v>
      </c>
      <c r="K617" s="2">
        <v>294</v>
      </c>
      <c r="L617" s="2">
        <v>1</v>
      </c>
      <c r="M617" s="2" t="s">
        <v>29</v>
      </c>
      <c r="N617" s="2">
        <v>1</v>
      </c>
      <c r="O617" s="2">
        <v>336</v>
      </c>
      <c r="P617" s="2">
        <f t="shared" si="45"/>
        <v>119</v>
      </c>
      <c r="Q617" s="4">
        <f t="shared" si="46"/>
        <v>0.59523809523809523</v>
      </c>
      <c r="R617" s="2" t="str">
        <f t="shared" si="47"/>
        <v>Inefficient</v>
      </c>
      <c r="S617" s="2" t="str">
        <f t="shared" si="48"/>
        <v>Very Long</v>
      </c>
      <c r="T617" s="2" t="str">
        <f t="shared" si="49"/>
        <v>Major Delay</v>
      </c>
    </row>
    <row r="618" spans="1:20" x14ac:dyDescent="0.35">
      <c r="A618" s="2" t="s">
        <v>1416</v>
      </c>
      <c r="B618" s="2" t="s">
        <v>24</v>
      </c>
      <c r="C618" s="2" t="s">
        <v>1417</v>
      </c>
      <c r="D618" s="2" t="s">
        <v>26</v>
      </c>
      <c r="E618" s="2" t="s">
        <v>19</v>
      </c>
      <c r="F618" s="2" t="s">
        <v>20</v>
      </c>
      <c r="G618" s="2" t="s">
        <v>188</v>
      </c>
      <c r="H618" s="3">
        <v>45547.01666666667</v>
      </c>
      <c r="I618" s="3">
        <v>45547.052083333336</v>
      </c>
      <c r="J618" s="2">
        <v>20</v>
      </c>
      <c r="K618" s="2">
        <v>51</v>
      </c>
      <c r="L618" s="2">
        <v>1</v>
      </c>
      <c r="M618" s="2" t="s">
        <v>22</v>
      </c>
      <c r="N618" s="2">
        <v>3</v>
      </c>
      <c r="O618" s="2">
        <v>436.97</v>
      </c>
      <c r="P618" s="2">
        <f t="shared" si="45"/>
        <v>31</v>
      </c>
      <c r="Q618" s="4">
        <f t="shared" si="46"/>
        <v>0.39215686274509803</v>
      </c>
      <c r="R618" s="2" t="str">
        <f t="shared" si="47"/>
        <v>Inefficient</v>
      </c>
      <c r="S618" s="2" t="str">
        <f t="shared" si="48"/>
        <v>Medium</v>
      </c>
      <c r="T618" s="2" t="str">
        <f t="shared" si="49"/>
        <v>Major Delay</v>
      </c>
    </row>
    <row r="619" spans="1:20" x14ac:dyDescent="0.35">
      <c r="A619" s="2" t="s">
        <v>1418</v>
      </c>
      <c r="B619" s="2" t="s">
        <v>63</v>
      </c>
      <c r="C619" s="2" t="s">
        <v>1419</v>
      </c>
      <c r="D619" s="2" t="s">
        <v>44</v>
      </c>
      <c r="E619" s="2" t="s">
        <v>19</v>
      </c>
      <c r="F619" s="2" t="s">
        <v>34</v>
      </c>
      <c r="G619" s="2" t="s">
        <v>427</v>
      </c>
      <c r="H619" s="3">
        <v>45530.938194444447</v>
      </c>
      <c r="I619" s="3">
        <v>45531.063888888886</v>
      </c>
      <c r="J619" s="2">
        <v>179</v>
      </c>
      <c r="K619" s="2">
        <v>181</v>
      </c>
      <c r="L619" s="2">
        <v>1</v>
      </c>
      <c r="M619" s="2" t="s">
        <v>41</v>
      </c>
      <c r="N619" s="2">
        <v>10</v>
      </c>
      <c r="O619" s="2">
        <v>361.75</v>
      </c>
      <c r="P619" s="2">
        <f t="shared" si="45"/>
        <v>2</v>
      </c>
      <c r="Q619" s="4">
        <f t="shared" si="46"/>
        <v>0.98895027624309395</v>
      </c>
      <c r="R619" s="2" t="str">
        <f t="shared" si="47"/>
        <v>Inefficient</v>
      </c>
      <c r="S619" s="2" t="str">
        <f t="shared" si="48"/>
        <v>Very Long</v>
      </c>
      <c r="T619" s="2" t="str">
        <f t="shared" si="49"/>
        <v>Minor Delay</v>
      </c>
    </row>
    <row r="620" spans="1:20" x14ac:dyDescent="0.35">
      <c r="A620" s="2" t="s">
        <v>1420</v>
      </c>
      <c r="B620" s="2" t="s">
        <v>24</v>
      </c>
      <c r="C620" s="2" t="s">
        <v>1421</v>
      </c>
      <c r="D620" s="2" t="s">
        <v>26</v>
      </c>
      <c r="E620" s="2" t="s">
        <v>19</v>
      </c>
      <c r="F620" s="2" t="s">
        <v>20</v>
      </c>
      <c r="G620" s="2" t="s">
        <v>129</v>
      </c>
      <c r="H620" s="3">
        <v>45303.539583333331</v>
      </c>
      <c r="I620" s="3">
        <v>45303.719444444447</v>
      </c>
      <c r="J620" s="2">
        <v>193</v>
      </c>
      <c r="K620" s="2">
        <v>259</v>
      </c>
      <c r="L620" s="2">
        <v>1</v>
      </c>
      <c r="M620" s="2" t="s">
        <v>41</v>
      </c>
      <c r="N620" s="2">
        <v>4</v>
      </c>
      <c r="O620" s="2">
        <v>314.60000000000002</v>
      </c>
      <c r="P620" s="2">
        <f t="shared" si="45"/>
        <v>66</v>
      </c>
      <c r="Q620" s="4">
        <f t="shared" si="46"/>
        <v>0.74517374517374513</v>
      </c>
      <c r="R620" s="2" t="str">
        <f t="shared" si="47"/>
        <v>Inefficient</v>
      </c>
      <c r="S620" s="2" t="str">
        <f t="shared" si="48"/>
        <v>Very Long</v>
      </c>
      <c r="T620" s="2" t="str">
        <f t="shared" si="49"/>
        <v>Major Delay</v>
      </c>
    </row>
    <row r="621" spans="1:20" x14ac:dyDescent="0.35">
      <c r="A621" s="2" t="s">
        <v>1422</v>
      </c>
      <c r="B621" s="2" t="s">
        <v>31</v>
      </c>
      <c r="C621" s="2" t="s">
        <v>1423</v>
      </c>
      <c r="D621" s="2" t="s">
        <v>56</v>
      </c>
      <c r="E621" s="2" t="s">
        <v>85</v>
      </c>
      <c r="F621" s="2" t="s">
        <v>57</v>
      </c>
      <c r="G621" s="2" t="s">
        <v>188</v>
      </c>
      <c r="H621" s="3">
        <v>45656.963194444441</v>
      </c>
      <c r="I621" s="3">
        <v>45657.086111111108</v>
      </c>
      <c r="J621" s="2">
        <v>169</v>
      </c>
      <c r="K621" s="2">
        <v>177</v>
      </c>
      <c r="L621" s="2">
        <v>1</v>
      </c>
      <c r="M621" s="2" t="s">
        <v>22</v>
      </c>
      <c r="N621" s="2">
        <v>7</v>
      </c>
      <c r="O621" s="2">
        <v>370.21</v>
      </c>
      <c r="P621" s="2">
        <f t="shared" si="45"/>
        <v>8</v>
      </c>
      <c r="Q621" s="4">
        <f t="shared" si="46"/>
        <v>0.95480225988700562</v>
      </c>
      <c r="R621" s="2" t="str">
        <f t="shared" si="47"/>
        <v>Inefficient</v>
      </c>
      <c r="S621" s="2" t="str">
        <f t="shared" si="48"/>
        <v>Very Long</v>
      </c>
      <c r="T621" s="2" t="str">
        <f t="shared" si="49"/>
        <v>Minor Delay</v>
      </c>
    </row>
    <row r="622" spans="1:20" x14ac:dyDescent="0.35">
      <c r="A622" s="2" t="s">
        <v>1424</v>
      </c>
      <c r="B622" s="2" t="s">
        <v>63</v>
      </c>
      <c r="C622" s="2" t="s">
        <v>1425</v>
      </c>
      <c r="D622" s="2" t="s">
        <v>26</v>
      </c>
      <c r="E622" s="2" t="s">
        <v>38</v>
      </c>
      <c r="F622" s="2" t="s">
        <v>34</v>
      </c>
      <c r="G622" s="2" t="s">
        <v>897</v>
      </c>
      <c r="H622" s="3">
        <v>45632.619444444441</v>
      </c>
      <c r="I622" s="3">
        <v>45632.713888888888</v>
      </c>
      <c r="J622" s="2">
        <v>54</v>
      </c>
      <c r="K622" s="2">
        <v>136</v>
      </c>
      <c r="L622" s="2">
        <v>1</v>
      </c>
      <c r="M622" s="2" t="s">
        <v>41</v>
      </c>
      <c r="N622" s="2">
        <v>5</v>
      </c>
      <c r="O622" s="2">
        <v>404.9</v>
      </c>
      <c r="P622" s="2">
        <f t="shared" si="45"/>
        <v>82</v>
      </c>
      <c r="Q622" s="4">
        <f t="shared" si="46"/>
        <v>0.39705882352941174</v>
      </c>
      <c r="R622" s="2" t="str">
        <f t="shared" si="47"/>
        <v>Inefficient</v>
      </c>
      <c r="S622" s="2" t="str">
        <f t="shared" si="48"/>
        <v>Very Long</v>
      </c>
      <c r="T622" s="2" t="str">
        <f t="shared" si="49"/>
        <v>Major Delay</v>
      </c>
    </row>
    <row r="623" spans="1:20" x14ac:dyDescent="0.35">
      <c r="A623" s="2" t="s">
        <v>1426</v>
      </c>
      <c r="B623" s="2" t="s">
        <v>16</v>
      </c>
      <c r="C623" s="2" t="s">
        <v>1427</v>
      </c>
      <c r="D623" s="2" t="s">
        <v>18</v>
      </c>
      <c r="E623" s="2" t="s">
        <v>85</v>
      </c>
      <c r="F623" s="2" t="s">
        <v>34</v>
      </c>
      <c r="G623" s="2" t="s">
        <v>521</v>
      </c>
      <c r="H623" s="3">
        <v>45389.148611111108</v>
      </c>
      <c r="I623" s="3">
        <v>45389.320833333331</v>
      </c>
      <c r="J623" s="2">
        <v>230</v>
      </c>
      <c r="K623" s="2">
        <v>248</v>
      </c>
      <c r="L623" s="2">
        <v>1</v>
      </c>
      <c r="M623" s="2" t="s">
        <v>29</v>
      </c>
      <c r="N623" s="2">
        <v>4</v>
      </c>
      <c r="O623" s="2">
        <v>406.59</v>
      </c>
      <c r="P623" s="2">
        <f t="shared" si="45"/>
        <v>18</v>
      </c>
      <c r="Q623" s="4">
        <f t="shared" si="46"/>
        <v>0.92741935483870963</v>
      </c>
      <c r="R623" s="2" t="str">
        <f t="shared" si="47"/>
        <v>Inefficient</v>
      </c>
      <c r="S623" s="2" t="str">
        <f t="shared" si="48"/>
        <v>Very Long</v>
      </c>
      <c r="T623" s="2" t="str">
        <f t="shared" si="49"/>
        <v>Minor Delay</v>
      </c>
    </row>
    <row r="624" spans="1:20" x14ac:dyDescent="0.35">
      <c r="A624" s="2" t="s">
        <v>1428</v>
      </c>
      <c r="B624" s="2" t="s">
        <v>31</v>
      </c>
      <c r="C624" s="2" t="s">
        <v>1429</v>
      </c>
      <c r="D624" s="2" t="s">
        <v>48</v>
      </c>
      <c r="E624" s="2" t="s">
        <v>38</v>
      </c>
      <c r="F624" s="2" t="s">
        <v>34</v>
      </c>
      <c r="G624" s="2" t="s">
        <v>40</v>
      </c>
      <c r="H624" s="3">
        <v>45309.73333333333</v>
      </c>
      <c r="I624" s="3">
        <v>45309.824305555558</v>
      </c>
      <c r="J624" s="2">
        <v>81</v>
      </c>
      <c r="K624" s="2">
        <v>131</v>
      </c>
      <c r="L624" s="2">
        <v>1</v>
      </c>
      <c r="M624" s="2" t="s">
        <v>22</v>
      </c>
      <c r="N624" s="2">
        <v>6</v>
      </c>
      <c r="O624" s="2">
        <v>161.94</v>
      </c>
      <c r="P624" s="2">
        <f t="shared" si="45"/>
        <v>50</v>
      </c>
      <c r="Q624" s="4">
        <f t="shared" si="46"/>
        <v>0.61832061068702293</v>
      </c>
      <c r="R624" s="2" t="str">
        <f t="shared" si="47"/>
        <v>Inefficient</v>
      </c>
      <c r="S624" s="2" t="str">
        <f t="shared" si="48"/>
        <v>Very Long</v>
      </c>
      <c r="T624" s="2" t="str">
        <f t="shared" si="49"/>
        <v>Major Delay</v>
      </c>
    </row>
    <row r="625" spans="1:20" x14ac:dyDescent="0.35">
      <c r="A625" s="2" t="s">
        <v>1430</v>
      </c>
      <c r="B625" s="2" t="s">
        <v>63</v>
      </c>
      <c r="C625" s="2" t="s">
        <v>1431</v>
      </c>
      <c r="D625" s="2" t="s">
        <v>18</v>
      </c>
      <c r="E625" s="2" t="s">
        <v>19</v>
      </c>
      <c r="F625" s="2" t="s">
        <v>57</v>
      </c>
      <c r="G625" s="2" t="s">
        <v>120</v>
      </c>
      <c r="H625" s="3">
        <v>45611.017361111109</v>
      </c>
      <c r="I625" s="3">
        <v>45611.13958333333</v>
      </c>
      <c r="J625" s="2">
        <v>139</v>
      </c>
      <c r="K625" s="2">
        <v>176</v>
      </c>
      <c r="L625" s="2">
        <v>1</v>
      </c>
      <c r="M625" s="2" t="s">
        <v>29</v>
      </c>
      <c r="N625" s="2">
        <v>5</v>
      </c>
      <c r="O625" s="2">
        <v>498.56</v>
      </c>
      <c r="P625" s="2">
        <f t="shared" si="45"/>
        <v>37</v>
      </c>
      <c r="Q625" s="4">
        <f t="shared" si="46"/>
        <v>0.78977272727272729</v>
      </c>
      <c r="R625" s="2" t="str">
        <f t="shared" si="47"/>
        <v>Inefficient</v>
      </c>
      <c r="S625" s="2" t="str">
        <f t="shared" si="48"/>
        <v>Very Long</v>
      </c>
      <c r="T625" s="2" t="str">
        <f t="shared" si="49"/>
        <v>Major Delay</v>
      </c>
    </row>
    <row r="626" spans="1:20" x14ac:dyDescent="0.35">
      <c r="A626" s="2" t="s">
        <v>1432</v>
      </c>
      <c r="B626" s="2" t="s">
        <v>16</v>
      </c>
      <c r="C626" s="2" t="s">
        <v>1433</v>
      </c>
      <c r="D626" s="2" t="s">
        <v>18</v>
      </c>
      <c r="E626" s="2" t="s">
        <v>38</v>
      </c>
      <c r="F626" s="2" t="s">
        <v>27</v>
      </c>
      <c r="G626" s="2" t="s">
        <v>188</v>
      </c>
      <c r="H626" s="3">
        <v>45470.247916666667</v>
      </c>
      <c r="I626" s="3">
        <v>45470.354861111111</v>
      </c>
      <c r="J626" s="2">
        <v>132</v>
      </c>
      <c r="K626" s="2">
        <v>154</v>
      </c>
      <c r="L626" s="2">
        <v>1</v>
      </c>
      <c r="M626" s="2" t="s">
        <v>29</v>
      </c>
      <c r="N626" s="2">
        <v>6</v>
      </c>
      <c r="O626" s="2">
        <v>482.59</v>
      </c>
      <c r="P626" s="2">
        <f t="shared" si="45"/>
        <v>22</v>
      </c>
      <c r="Q626" s="4">
        <f t="shared" si="46"/>
        <v>0.8571428571428571</v>
      </c>
      <c r="R626" s="2" t="str">
        <f t="shared" si="47"/>
        <v>Inefficient</v>
      </c>
      <c r="S626" s="2" t="str">
        <f t="shared" si="48"/>
        <v>Very Long</v>
      </c>
      <c r="T626" s="2" t="str">
        <f t="shared" si="49"/>
        <v>Minor Delay</v>
      </c>
    </row>
    <row r="627" spans="1:20" x14ac:dyDescent="0.35">
      <c r="A627" s="2" t="s">
        <v>1434</v>
      </c>
      <c r="B627" s="2" t="s">
        <v>24</v>
      </c>
      <c r="C627" s="2" t="s">
        <v>1435</v>
      </c>
      <c r="D627" s="2" t="s">
        <v>26</v>
      </c>
      <c r="E627" s="2" t="s">
        <v>19</v>
      </c>
      <c r="F627" s="2" t="s">
        <v>20</v>
      </c>
      <c r="G627" s="2" t="s">
        <v>354</v>
      </c>
      <c r="H627" s="3">
        <v>45413.885416666664</v>
      </c>
      <c r="I627" s="3">
        <v>45414.056944444441</v>
      </c>
      <c r="J627" s="2">
        <v>183</v>
      </c>
      <c r="K627" s="2">
        <v>247</v>
      </c>
      <c r="L627" s="2">
        <v>1</v>
      </c>
      <c r="M627" s="2" t="s">
        <v>29</v>
      </c>
      <c r="N627" s="2">
        <v>6</v>
      </c>
      <c r="O627" s="2">
        <v>94.13</v>
      </c>
      <c r="P627" s="2">
        <f t="shared" si="45"/>
        <v>64</v>
      </c>
      <c r="Q627" s="4">
        <f t="shared" si="46"/>
        <v>0.74089068825910931</v>
      </c>
      <c r="R627" s="2" t="str">
        <f t="shared" si="47"/>
        <v>Inefficient</v>
      </c>
      <c r="S627" s="2" t="str">
        <f t="shared" si="48"/>
        <v>Very Long</v>
      </c>
      <c r="T627" s="2" t="str">
        <f t="shared" si="49"/>
        <v>Major Delay</v>
      </c>
    </row>
    <row r="628" spans="1:20" x14ac:dyDescent="0.35">
      <c r="A628" s="2" t="s">
        <v>1436</v>
      </c>
      <c r="B628" s="2" t="s">
        <v>16</v>
      </c>
      <c r="C628" s="2" t="s">
        <v>1437</v>
      </c>
      <c r="D628" s="2" t="s">
        <v>56</v>
      </c>
      <c r="E628" s="2" t="s">
        <v>85</v>
      </c>
      <c r="F628" s="2" t="s">
        <v>20</v>
      </c>
      <c r="G628" s="2" t="s">
        <v>594</v>
      </c>
      <c r="H628" s="3">
        <v>45411.629861111112</v>
      </c>
      <c r="I628" s="3">
        <v>45411.821527777778</v>
      </c>
      <c r="J628" s="2">
        <v>157</v>
      </c>
      <c r="K628" s="2">
        <v>276</v>
      </c>
      <c r="L628" s="2">
        <v>1</v>
      </c>
      <c r="M628" s="2" t="s">
        <v>22</v>
      </c>
      <c r="N628" s="2">
        <v>7</v>
      </c>
      <c r="O628" s="2">
        <v>73.06</v>
      </c>
      <c r="P628" s="2">
        <f t="shared" si="45"/>
        <v>119</v>
      </c>
      <c r="Q628" s="4">
        <f t="shared" si="46"/>
        <v>0.5688405797101449</v>
      </c>
      <c r="R628" s="2" t="str">
        <f t="shared" si="47"/>
        <v>Inefficient</v>
      </c>
      <c r="S628" s="2" t="str">
        <f t="shared" si="48"/>
        <v>Very Long</v>
      </c>
      <c r="T628" s="2" t="str">
        <f t="shared" si="49"/>
        <v>Major Delay</v>
      </c>
    </row>
    <row r="629" spans="1:20" x14ac:dyDescent="0.35">
      <c r="A629" s="2" t="s">
        <v>1438</v>
      </c>
      <c r="B629" s="2" t="s">
        <v>31</v>
      </c>
      <c r="C629" s="2" t="s">
        <v>1439</v>
      </c>
      <c r="D629" s="2" t="s">
        <v>56</v>
      </c>
      <c r="E629" s="2" t="s">
        <v>85</v>
      </c>
      <c r="F629" s="2" t="s">
        <v>34</v>
      </c>
      <c r="G629" s="2" t="s">
        <v>1172</v>
      </c>
      <c r="H629" s="3">
        <v>45587.570138888892</v>
      </c>
      <c r="I629" s="3">
        <v>45587.675694444442</v>
      </c>
      <c r="J629" s="2">
        <v>119</v>
      </c>
      <c r="K629" s="2">
        <v>152</v>
      </c>
      <c r="L629" s="2">
        <v>1</v>
      </c>
      <c r="M629" s="2" t="s">
        <v>29</v>
      </c>
      <c r="N629" s="2">
        <v>10</v>
      </c>
      <c r="O629" s="2">
        <v>103.72</v>
      </c>
      <c r="P629" s="2">
        <f t="shared" si="45"/>
        <v>33</v>
      </c>
      <c r="Q629" s="4">
        <f t="shared" si="46"/>
        <v>0.78289473684210531</v>
      </c>
      <c r="R629" s="2" t="str">
        <f t="shared" si="47"/>
        <v>Inefficient</v>
      </c>
      <c r="S629" s="2" t="str">
        <f t="shared" si="48"/>
        <v>Very Long</v>
      </c>
      <c r="T629" s="2" t="str">
        <f t="shared" si="49"/>
        <v>Major Delay</v>
      </c>
    </row>
    <row r="630" spans="1:20" x14ac:dyDescent="0.35">
      <c r="A630" s="2" t="s">
        <v>1440</v>
      </c>
      <c r="B630" s="2" t="s">
        <v>63</v>
      </c>
      <c r="C630" s="2" t="s">
        <v>1441</v>
      </c>
      <c r="D630" s="2" t="s">
        <v>56</v>
      </c>
      <c r="E630" s="2" t="s">
        <v>19</v>
      </c>
      <c r="F630" s="2" t="s">
        <v>39</v>
      </c>
      <c r="G630" s="2" t="s">
        <v>308</v>
      </c>
      <c r="H630" s="3">
        <v>45307.598611111112</v>
      </c>
      <c r="I630" s="3">
        <v>45307.756944444445</v>
      </c>
      <c r="J630" s="2">
        <v>114</v>
      </c>
      <c r="K630" s="2">
        <v>228</v>
      </c>
      <c r="L630" s="2">
        <v>1</v>
      </c>
      <c r="M630" s="2" t="s">
        <v>29</v>
      </c>
      <c r="N630" s="2">
        <v>4</v>
      </c>
      <c r="O630" s="2">
        <v>437.11</v>
      </c>
      <c r="P630" s="2">
        <f t="shared" si="45"/>
        <v>114</v>
      </c>
      <c r="Q630" s="4">
        <f t="shared" si="46"/>
        <v>0.5</v>
      </c>
      <c r="R630" s="2" t="str">
        <f t="shared" si="47"/>
        <v>Inefficient</v>
      </c>
      <c r="S630" s="2" t="str">
        <f t="shared" si="48"/>
        <v>Very Long</v>
      </c>
      <c r="T630" s="2" t="str">
        <f t="shared" si="49"/>
        <v>Major Delay</v>
      </c>
    </row>
    <row r="631" spans="1:20" x14ac:dyDescent="0.35">
      <c r="A631" s="2" t="s">
        <v>1442</v>
      </c>
      <c r="B631" s="2" t="s">
        <v>51</v>
      </c>
      <c r="C631" s="2" t="s">
        <v>1443</v>
      </c>
      <c r="D631" s="2" t="s">
        <v>18</v>
      </c>
      <c r="E631" s="2" t="s">
        <v>85</v>
      </c>
      <c r="F631" s="2" t="s">
        <v>34</v>
      </c>
      <c r="G631" s="2" t="s">
        <v>108</v>
      </c>
      <c r="H631" s="3">
        <v>45307.563194444447</v>
      </c>
      <c r="I631" s="3">
        <v>45307.713194444441</v>
      </c>
      <c r="J631" s="2">
        <v>140</v>
      </c>
      <c r="K631" s="2">
        <v>216</v>
      </c>
      <c r="L631" s="2">
        <v>1</v>
      </c>
      <c r="M631" s="2" t="s">
        <v>29</v>
      </c>
      <c r="N631" s="2">
        <v>2</v>
      </c>
      <c r="O631" s="2">
        <v>418.17</v>
      </c>
      <c r="P631" s="2">
        <f t="shared" si="45"/>
        <v>76</v>
      </c>
      <c r="Q631" s="4">
        <f t="shared" si="46"/>
        <v>0.64814814814814814</v>
      </c>
      <c r="R631" s="2" t="str">
        <f t="shared" si="47"/>
        <v>Inefficient</v>
      </c>
      <c r="S631" s="2" t="str">
        <f t="shared" si="48"/>
        <v>Very Long</v>
      </c>
      <c r="T631" s="2" t="str">
        <f t="shared" si="49"/>
        <v>Major Delay</v>
      </c>
    </row>
    <row r="632" spans="1:20" x14ac:dyDescent="0.35">
      <c r="A632" s="2" t="s">
        <v>1444</v>
      </c>
      <c r="B632" s="2" t="s">
        <v>63</v>
      </c>
      <c r="C632" s="2" t="s">
        <v>1445</v>
      </c>
      <c r="D632" s="2" t="s">
        <v>48</v>
      </c>
      <c r="E632" s="2" t="s">
        <v>38</v>
      </c>
      <c r="F632" s="2" t="s">
        <v>27</v>
      </c>
      <c r="G632" s="2" t="s">
        <v>640</v>
      </c>
      <c r="H632" s="3">
        <v>45500.482638888891</v>
      </c>
      <c r="I632" s="3">
        <v>45500.554166666669</v>
      </c>
      <c r="J632" s="2">
        <v>101</v>
      </c>
      <c r="K632" s="2">
        <v>103</v>
      </c>
      <c r="L632" s="2">
        <v>1</v>
      </c>
      <c r="M632" s="2" t="s">
        <v>29</v>
      </c>
      <c r="N632" s="2">
        <v>6</v>
      </c>
      <c r="O632" s="2">
        <v>278.19</v>
      </c>
      <c r="P632" s="2">
        <f t="shared" si="45"/>
        <v>2</v>
      </c>
      <c r="Q632" s="4">
        <f t="shared" si="46"/>
        <v>0.98058252427184467</v>
      </c>
      <c r="R632" s="2" t="str">
        <f t="shared" si="47"/>
        <v>Inefficient</v>
      </c>
      <c r="S632" s="2" t="str">
        <f t="shared" si="48"/>
        <v>Long</v>
      </c>
      <c r="T632" s="2" t="str">
        <f t="shared" si="49"/>
        <v>Minor Delay</v>
      </c>
    </row>
    <row r="633" spans="1:20" x14ac:dyDescent="0.35">
      <c r="A633" s="2" t="s">
        <v>1446</v>
      </c>
      <c r="B633" s="2" t="s">
        <v>63</v>
      </c>
      <c r="C633" s="2" t="s">
        <v>1447</v>
      </c>
      <c r="D633" s="2" t="s">
        <v>18</v>
      </c>
      <c r="E633" s="2" t="s">
        <v>38</v>
      </c>
      <c r="F633" s="2" t="s">
        <v>34</v>
      </c>
      <c r="G633" s="2" t="s">
        <v>76</v>
      </c>
      <c r="H633" s="3">
        <v>45375.615972222222</v>
      </c>
      <c r="I633" s="3">
        <v>45375.652083333334</v>
      </c>
      <c r="J633" s="2">
        <v>54</v>
      </c>
      <c r="K633" s="2">
        <v>52</v>
      </c>
      <c r="L633" s="2">
        <v>0</v>
      </c>
      <c r="M633" s="2" t="s">
        <v>41</v>
      </c>
      <c r="N633" s="2">
        <v>8</v>
      </c>
      <c r="O633" s="2">
        <v>262.43</v>
      </c>
      <c r="P633" s="2">
        <f t="shared" si="45"/>
        <v>-2</v>
      </c>
      <c r="Q633" s="4">
        <f t="shared" si="46"/>
        <v>1.0384615384615385</v>
      </c>
      <c r="R633" s="2" t="str">
        <f t="shared" si="47"/>
        <v>Efficient</v>
      </c>
      <c r="S633" s="2" t="str">
        <f t="shared" si="48"/>
        <v>Medium</v>
      </c>
      <c r="T633" s="2" t="str">
        <f t="shared" si="49"/>
        <v>On Time</v>
      </c>
    </row>
    <row r="634" spans="1:20" x14ac:dyDescent="0.35">
      <c r="A634" s="2" t="s">
        <v>1448</v>
      </c>
      <c r="B634" s="2" t="s">
        <v>63</v>
      </c>
      <c r="C634" s="2" t="s">
        <v>1449</v>
      </c>
      <c r="D634" s="2" t="s">
        <v>44</v>
      </c>
      <c r="E634" s="2" t="s">
        <v>38</v>
      </c>
      <c r="F634" s="2" t="s">
        <v>39</v>
      </c>
      <c r="G634" s="2" t="s">
        <v>1172</v>
      </c>
      <c r="H634" s="3">
        <v>45294.186111111114</v>
      </c>
      <c r="I634" s="3">
        <v>45294.225694444445</v>
      </c>
      <c r="J634" s="2">
        <v>31</v>
      </c>
      <c r="K634" s="2">
        <v>57</v>
      </c>
      <c r="L634" s="2">
        <v>1</v>
      </c>
      <c r="M634" s="2" t="s">
        <v>29</v>
      </c>
      <c r="N634" s="2">
        <v>5</v>
      </c>
      <c r="O634" s="2">
        <v>448.71</v>
      </c>
      <c r="P634" s="2">
        <f t="shared" si="45"/>
        <v>26</v>
      </c>
      <c r="Q634" s="4">
        <f t="shared" si="46"/>
        <v>0.54385964912280704</v>
      </c>
      <c r="R634" s="2" t="str">
        <f t="shared" si="47"/>
        <v>Inefficient</v>
      </c>
      <c r="S634" s="2" t="str">
        <f t="shared" si="48"/>
        <v>Medium</v>
      </c>
      <c r="T634" s="2" t="str">
        <f t="shared" si="49"/>
        <v>Minor Delay</v>
      </c>
    </row>
    <row r="635" spans="1:20" x14ac:dyDescent="0.35">
      <c r="A635" s="2" t="s">
        <v>1450</v>
      </c>
      <c r="B635" s="2" t="s">
        <v>51</v>
      </c>
      <c r="C635" s="2" t="s">
        <v>1451</v>
      </c>
      <c r="D635" s="2" t="s">
        <v>48</v>
      </c>
      <c r="E635" s="2" t="s">
        <v>19</v>
      </c>
      <c r="F635" s="2" t="s">
        <v>57</v>
      </c>
      <c r="G635" s="2" t="s">
        <v>262</v>
      </c>
      <c r="H635" s="3">
        <v>45460.758333333331</v>
      </c>
      <c r="I635" s="3">
        <v>45460.799305555556</v>
      </c>
      <c r="J635" s="2">
        <v>24</v>
      </c>
      <c r="K635" s="2">
        <v>59</v>
      </c>
      <c r="L635" s="2">
        <v>1</v>
      </c>
      <c r="M635" s="2" t="s">
        <v>41</v>
      </c>
      <c r="N635" s="2">
        <v>5</v>
      </c>
      <c r="O635" s="2">
        <v>442.2</v>
      </c>
      <c r="P635" s="2">
        <f t="shared" si="45"/>
        <v>35</v>
      </c>
      <c r="Q635" s="4">
        <f t="shared" si="46"/>
        <v>0.40677966101694918</v>
      </c>
      <c r="R635" s="2" t="str">
        <f t="shared" si="47"/>
        <v>Inefficient</v>
      </c>
      <c r="S635" s="2" t="str">
        <f t="shared" si="48"/>
        <v>Medium</v>
      </c>
      <c r="T635" s="2" t="str">
        <f t="shared" si="49"/>
        <v>Major Delay</v>
      </c>
    </row>
    <row r="636" spans="1:20" x14ac:dyDescent="0.35">
      <c r="A636" s="2" t="s">
        <v>1452</v>
      </c>
      <c r="B636" s="2" t="s">
        <v>51</v>
      </c>
      <c r="C636" s="2" t="s">
        <v>1453</v>
      </c>
      <c r="D636" s="2" t="s">
        <v>44</v>
      </c>
      <c r="E636" s="2" t="s">
        <v>33</v>
      </c>
      <c r="F636" s="2" t="s">
        <v>39</v>
      </c>
      <c r="G636" s="2" t="s">
        <v>631</v>
      </c>
      <c r="H636" s="3">
        <v>45322.200694444444</v>
      </c>
      <c r="I636" s="3">
        <v>45322.277777777781</v>
      </c>
      <c r="J636" s="2">
        <v>44</v>
      </c>
      <c r="K636" s="2">
        <v>111</v>
      </c>
      <c r="L636" s="2">
        <v>1</v>
      </c>
      <c r="M636" s="2" t="s">
        <v>29</v>
      </c>
      <c r="N636" s="2">
        <v>4</v>
      </c>
      <c r="O636" s="2">
        <v>387.95</v>
      </c>
      <c r="P636" s="2">
        <f t="shared" si="45"/>
        <v>67</v>
      </c>
      <c r="Q636" s="4">
        <f t="shared" si="46"/>
        <v>0.3963963963963964</v>
      </c>
      <c r="R636" s="2" t="str">
        <f t="shared" si="47"/>
        <v>Inefficient</v>
      </c>
      <c r="S636" s="2" t="str">
        <f t="shared" si="48"/>
        <v>Long</v>
      </c>
      <c r="T636" s="2" t="str">
        <f t="shared" si="49"/>
        <v>Major Delay</v>
      </c>
    </row>
    <row r="637" spans="1:20" x14ac:dyDescent="0.35">
      <c r="A637" s="2" t="s">
        <v>1454</v>
      </c>
      <c r="B637" s="2" t="s">
        <v>16</v>
      </c>
      <c r="C637" s="2" t="s">
        <v>1455</v>
      </c>
      <c r="D637" s="2" t="s">
        <v>48</v>
      </c>
      <c r="E637" s="2" t="s">
        <v>85</v>
      </c>
      <c r="F637" s="2" t="s">
        <v>20</v>
      </c>
      <c r="G637" s="2" t="s">
        <v>602</v>
      </c>
      <c r="H637" s="3">
        <v>45644.165972222225</v>
      </c>
      <c r="I637" s="3">
        <v>45644.237500000003</v>
      </c>
      <c r="J637" s="2">
        <v>41</v>
      </c>
      <c r="K637" s="2">
        <v>103</v>
      </c>
      <c r="L637" s="2">
        <v>1</v>
      </c>
      <c r="M637" s="2" t="s">
        <v>22</v>
      </c>
      <c r="N637" s="2">
        <v>5</v>
      </c>
      <c r="O637" s="2">
        <v>494.65</v>
      </c>
      <c r="P637" s="2">
        <f t="shared" si="45"/>
        <v>62</v>
      </c>
      <c r="Q637" s="4">
        <f t="shared" si="46"/>
        <v>0.39805825242718446</v>
      </c>
      <c r="R637" s="2" t="str">
        <f t="shared" si="47"/>
        <v>Inefficient</v>
      </c>
      <c r="S637" s="2" t="str">
        <f t="shared" si="48"/>
        <v>Long</v>
      </c>
      <c r="T637" s="2" t="str">
        <f t="shared" si="49"/>
        <v>Major Delay</v>
      </c>
    </row>
    <row r="638" spans="1:20" x14ac:dyDescent="0.35">
      <c r="A638" s="2" t="s">
        <v>1456</v>
      </c>
      <c r="B638" s="2" t="s">
        <v>16</v>
      </c>
      <c r="C638" s="2" t="s">
        <v>1457</v>
      </c>
      <c r="D638" s="2" t="s">
        <v>48</v>
      </c>
      <c r="E638" s="2" t="s">
        <v>85</v>
      </c>
      <c r="F638" s="2" t="s">
        <v>20</v>
      </c>
      <c r="G638" s="2" t="s">
        <v>111</v>
      </c>
      <c r="H638" s="3">
        <v>45391.003472222219</v>
      </c>
      <c r="I638" s="3">
        <v>45391.094444444447</v>
      </c>
      <c r="J638" s="2">
        <v>99</v>
      </c>
      <c r="K638" s="2">
        <v>131</v>
      </c>
      <c r="L638" s="2">
        <v>1</v>
      </c>
      <c r="M638" s="2" t="s">
        <v>41</v>
      </c>
      <c r="N638" s="2">
        <v>2</v>
      </c>
      <c r="O638" s="2">
        <v>336.02</v>
      </c>
      <c r="P638" s="2">
        <f t="shared" si="45"/>
        <v>32</v>
      </c>
      <c r="Q638" s="4">
        <f t="shared" si="46"/>
        <v>0.75572519083969469</v>
      </c>
      <c r="R638" s="2" t="str">
        <f t="shared" si="47"/>
        <v>Inefficient</v>
      </c>
      <c r="S638" s="2" t="str">
        <f t="shared" si="48"/>
        <v>Very Long</v>
      </c>
      <c r="T638" s="2" t="str">
        <f t="shared" si="49"/>
        <v>Major Delay</v>
      </c>
    </row>
    <row r="639" spans="1:20" x14ac:dyDescent="0.35">
      <c r="A639" s="2" t="s">
        <v>1458</v>
      </c>
      <c r="B639" s="2" t="s">
        <v>24</v>
      </c>
      <c r="C639" s="2" t="s">
        <v>1459</v>
      </c>
      <c r="D639" s="2" t="s">
        <v>48</v>
      </c>
      <c r="E639" s="2" t="s">
        <v>33</v>
      </c>
      <c r="F639" s="2" t="s">
        <v>27</v>
      </c>
      <c r="G639" s="2" t="s">
        <v>1278</v>
      </c>
      <c r="H639" s="3">
        <v>45376.734722222223</v>
      </c>
      <c r="I639" s="3">
        <v>45376.822916666664</v>
      </c>
      <c r="J639" s="2">
        <v>97</v>
      </c>
      <c r="K639" s="2">
        <v>127</v>
      </c>
      <c r="L639" s="2">
        <v>1</v>
      </c>
      <c r="M639" s="2" t="s">
        <v>22</v>
      </c>
      <c r="N639" s="2">
        <v>5</v>
      </c>
      <c r="O639" s="2">
        <v>423.88</v>
      </c>
      <c r="P639" s="2">
        <f t="shared" si="45"/>
        <v>30</v>
      </c>
      <c r="Q639" s="4">
        <f t="shared" si="46"/>
        <v>0.76377952755905509</v>
      </c>
      <c r="R639" s="2" t="str">
        <f t="shared" si="47"/>
        <v>Inefficient</v>
      </c>
      <c r="S639" s="2" t="str">
        <f t="shared" si="48"/>
        <v>Very Long</v>
      </c>
      <c r="T639" s="2" t="str">
        <f t="shared" si="49"/>
        <v>Minor Delay</v>
      </c>
    </row>
    <row r="640" spans="1:20" x14ac:dyDescent="0.35">
      <c r="A640" s="2" t="s">
        <v>1460</v>
      </c>
      <c r="B640" s="2" t="s">
        <v>51</v>
      </c>
      <c r="C640" s="2" t="s">
        <v>1461</v>
      </c>
      <c r="D640" s="2" t="s">
        <v>48</v>
      </c>
      <c r="E640" s="2" t="s">
        <v>33</v>
      </c>
      <c r="F640" s="2" t="s">
        <v>39</v>
      </c>
      <c r="G640" s="2" t="s">
        <v>114</v>
      </c>
      <c r="H640" s="3">
        <v>45452.701388888891</v>
      </c>
      <c r="I640" s="3">
        <v>45452.856944444444</v>
      </c>
      <c r="J640" s="2">
        <v>124</v>
      </c>
      <c r="K640" s="2">
        <v>224</v>
      </c>
      <c r="L640" s="2">
        <v>1</v>
      </c>
      <c r="M640" s="2" t="s">
        <v>22</v>
      </c>
      <c r="N640" s="2">
        <v>2</v>
      </c>
      <c r="O640" s="2">
        <v>187.86</v>
      </c>
      <c r="P640" s="2">
        <f t="shared" si="45"/>
        <v>100</v>
      </c>
      <c r="Q640" s="4">
        <f t="shared" si="46"/>
        <v>0.5535714285714286</v>
      </c>
      <c r="R640" s="2" t="str">
        <f t="shared" si="47"/>
        <v>Inefficient</v>
      </c>
      <c r="S640" s="2" t="str">
        <f t="shared" si="48"/>
        <v>Very Long</v>
      </c>
      <c r="T640" s="2" t="str">
        <f t="shared" si="49"/>
        <v>Major Delay</v>
      </c>
    </row>
    <row r="641" spans="1:20" x14ac:dyDescent="0.35">
      <c r="A641" s="2" t="s">
        <v>1462</v>
      </c>
      <c r="B641" s="2" t="s">
        <v>51</v>
      </c>
      <c r="C641" s="2" t="s">
        <v>1463</v>
      </c>
      <c r="D641" s="2" t="s">
        <v>56</v>
      </c>
      <c r="E641" s="2" t="s">
        <v>19</v>
      </c>
      <c r="F641" s="2" t="s">
        <v>20</v>
      </c>
      <c r="G641" s="2" t="s">
        <v>1278</v>
      </c>
      <c r="H641" s="3">
        <v>45357.311805555553</v>
      </c>
      <c r="I641" s="3">
        <v>45357.487500000003</v>
      </c>
      <c r="J641" s="2">
        <v>191</v>
      </c>
      <c r="K641" s="2">
        <v>253</v>
      </c>
      <c r="L641" s="2">
        <v>1</v>
      </c>
      <c r="M641" s="2" t="s">
        <v>22</v>
      </c>
      <c r="N641" s="2">
        <v>7</v>
      </c>
      <c r="O641" s="2">
        <v>215.96</v>
      </c>
      <c r="P641" s="2">
        <f t="shared" si="45"/>
        <v>62</v>
      </c>
      <c r="Q641" s="4">
        <f t="shared" si="46"/>
        <v>0.75494071146245056</v>
      </c>
      <c r="R641" s="2" t="str">
        <f t="shared" si="47"/>
        <v>Inefficient</v>
      </c>
      <c r="S641" s="2" t="str">
        <f t="shared" si="48"/>
        <v>Very Long</v>
      </c>
      <c r="T641" s="2" t="str">
        <f t="shared" si="49"/>
        <v>Major Delay</v>
      </c>
    </row>
    <row r="642" spans="1:20" x14ac:dyDescent="0.35">
      <c r="A642" s="2" t="s">
        <v>1464</v>
      </c>
      <c r="B642" s="2" t="s">
        <v>31</v>
      </c>
      <c r="C642" s="2" t="s">
        <v>1465</v>
      </c>
      <c r="D642" s="2" t="s">
        <v>26</v>
      </c>
      <c r="E642" s="2" t="s">
        <v>85</v>
      </c>
      <c r="F642" s="2" t="s">
        <v>34</v>
      </c>
      <c r="G642" s="2" t="s">
        <v>456</v>
      </c>
      <c r="H642" s="3">
        <v>45292.499305555553</v>
      </c>
      <c r="I642" s="3">
        <v>45292.640972222223</v>
      </c>
      <c r="J642" s="2">
        <v>160</v>
      </c>
      <c r="K642" s="2">
        <v>204</v>
      </c>
      <c r="L642" s="2">
        <v>1</v>
      </c>
      <c r="M642" s="2" t="s">
        <v>22</v>
      </c>
      <c r="N642" s="2">
        <v>6</v>
      </c>
      <c r="O642" s="2">
        <v>467.96</v>
      </c>
      <c r="P642" s="2">
        <f t="shared" si="45"/>
        <v>44</v>
      </c>
      <c r="Q642" s="4">
        <f t="shared" si="46"/>
        <v>0.78431372549019607</v>
      </c>
      <c r="R642" s="2" t="str">
        <f t="shared" si="47"/>
        <v>Inefficient</v>
      </c>
      <c r="S642" s="2" t="str">
        <f t="shared" si="48"/>
        <v>Very Long</v>
      </c>
      <c r="T642" s="2" t="str">
        <f t="shared" si="49"/>
        <v>Major Delay</v>
      </c>
    </row>
    <row r="643" spans="1:20" x14ac:dyDescent="0.35">
      <c r="A643" s="2" t="s">
        <v>1466</v>
      </c>
      <c r="B643" s="2" t="s">
        <v>63</v>
      </c>
      <c r="C643" s="2" t="s">
        <v>1467</v>
      </c>
      <c r="D643" s="2" t="s">
        <v>48</v>
      </c>
      <c r="E643" s="2" t="s">
        <v>19</v>
      </c>
      <c r="F643" s="2" t="s">
        <v>39</v>
      </c>
      <c r="G643" s="2" t="s">
        <v>170</v>
      </c>
      <c r="H643" s="3">
        <v>45386.44027777778</v>
      </c>
      <c r="I643" s="3">
        <v>45386.657638888886</v>
      </c>
      <c r="J643" s="2">
        <v>228</v>
      </c>
      <c r="K643" s="2">
        <v>313</v>
      </c>
      <c r="L643" s="2">
        <v>1</v>
      </c>
      <c r="M643" s="2" t="s">
        <v>41</v>
      </c>
      <c r="N643" s="2">
        <v>4</v>
      </c>
      <c r="O643" s="2">
        <v>238.15</v>
      </c>
      <c r="P643" s="2">
        <f t="shared" ref="P643:P706" si="50">K643-J643</f>
        <v>85</v>
      </c>
      <c r="Q643" s="4">
        <f t="shared" ref="Q643:Q706" si="51">J643/K643</f>
        <v>0.72843450479233229</v>
      </c>
      <c r="R643" s="2" t="str">
        <f t="shared" ref="R643:R706" si="52">IF(Q643&gt;1,"Efficient",
IF(Q643=1,"On Target","Inefficient"))</f>
        <v>Inefficient</v>
      </c>
      <c r="S643" s="2" t="str">
        <f t="shared" ref="S643:S706" si="53">IF(K643&lt;30,"Short",
IF(K643&lt;60,"Medium",
IF(K643&lt;120,"Long","Very Long")))</f>
        <v>Very Long</v>
      </c>
      <c r="T643" s="2" t="str">
        <f t="shared" ref="T643:T706" si="54">IF(K643&lt;=J643,"On Time",
IF(K643-J643&lt;=30,"Minor Delay","Major Delay"))</f>
        <v>Major Delay</v>
      </c>
    </row>
    <row r="644" spans="1:20" x14ac:dyDescent="0.35">
      <c r="A644" s="2" t="s">
        <v>1468</v>
      </c>
      <c r="B644" s="2" t="s">
        <v>31</v>
      </c>
      <c r="C644" s="2" t="s">
        <v>1469</v>
      </c>
      <c r="D644" s="2" t="s">
        <v>18</v>
      </c>
      <c r="E644" s="2" t="s">
        <v>38</v>
      </c>
      <c r="F644" s="2" t="s">
        <v>20</v>
      </c>
      <c r="G644" s="2" t="s">
        <v>45</v>
      </c>
      <c r="H644" s="3">
        <v>45391.775694444441</v>
      </c>
      <c r="I644" s="3">
        <v>45391.89166666667</v>
      </c>
      <c r="J644" s="2">
        <v>86</v>
      </c>
      <c r="K644" s="2">
        <v>167</v>
      </c>
      <c r="L644" s="2">
        <v>1</v>
      </c>
      <c r="M644" s="2" t="s">
        <v>41</v>
      </c>
      <c r="N644" s="2">
        <v>3</v>
      </c>
      <c r="O644" s="2">
        <v>413.53</v>
      </c>
      <c r="P644" s="2">
        <f t="shared" si="50"/>
        <v>81</v>
      </c>
      <c r="Q644" s="4">
        <f t="shared" si="51"/>
        <v>0.51497005988023947</v>
      </c>
      <c r="R644" s="2" t="str">
        <f t="shared" si="52"/>
        <v>Inefficient</v>
      </c>
      <c r="S644" s="2" t="str">
        <f t="shared" si="53"/>
        <v>Very Long</v>
      </c>
      <c r="T644" s="2" t="str">
        <f t="shared" si="54"/>
        <v>Major Delay</v>
      </c>
    </row>
    <row r="645" spans="1:20" x14ac:dyDescent="0.35">
      <c r="A645" s="2" t="s">
        <v>1470</v>
      </c>
      <c r="B645" s="2" t="s">
        <v>51</v>
      </c>
      <c r="C645" s="2" t="s">
        <v>1471</v>
      </c>
      <c r="D645" s="2" t="s">
        <v>44</v>
      </c>
      <c r="E645" s="2" t="s">
        <v>38</v>
      </c>
      <c r="F645" s="2" t="s">
        <v>34</v>
      </c>
      <c r="G645" s="2" t="s">
        <v>143</v>
      </c>
      <c r="H645" s="3">
        <v>45485.906944444447</v>
      </c>
      <c r="I645" s="3">
        <v>45485.986805555556</v>
      </c>
      <c r="J645" s="2">
        <v>85</v>
      </c>
      <c r="K645" s="2">
        <v>115</v>
      </c>
      <c r="L645" s="2">
        <v>1</v>
      </c>
      <c r="M645" s="2" t="s">
        <v>41</v>
      </c>
      <c r="N645" s="2">
        <v>8</v>
      </c>
      <c r="O645" s="2">
        <v>121.36</v>
      </c>
      <c r="P645" s="2">
        <f t="shared" si="50"/>
        <v>30</v>
      </c>
      <c r="Q645" s="4">
        <f t="shared" si="51"/>
        <v>0.73913043478260865</v>
      </c>
      <c r="R645" s="2" t="str">
        <f t="shared" si="52"/>
        <v>Inefficient</v>
      </c>
      <c r="S645" s="2" t="str">
        <f t="shared" si="53"/>
        <v>Long</v>
      </c>
      <c r="T645" s="2" t="str">
        <f t="shared" si="54"/>
        <v>Minor Delay</v>
      </c>
    </row>
    <row r="646" spans="1:20" x14ac:dyDescent="0.35">
      <c r="A646" s="2" t="s">
        <v>1472</v>
      </c>
      <c r="B646" s="2" t="s">
        <v>24</v>
      </c>
      <c r="C646" s="2" t="s">
        <v>1473</v>
      </c>
      <c r="D646" s="2" t="s">
        <v>26</v>
      </c>
      <c r="E646" s="2" t="s">
        <v>85</v>
      </c>
      <c r="F646" s="2" t="s">
        <v>34</v>
      </c>
      <c r="G646" s="2" t="s">
        <v>602</v>
      </c>
      <c r="H646" s="3">
        <v>45655.114583333336</v>
      </c>
      <c r="I646" s="3">
        <v>45655.162499999999</v>
      </c>
      <c r="J646" s="2">
        <v>63</v>
      </c>
      <c r="K646" s="2">
        <v>69</v>
      </c>
      <c r="L646" s="2">
        <v>1</v>
      </c>
      <c r="M646" s="2" t="s">
        <v>29</v>
      </c>
      <c r="N646" s="2">
        <v>6</v>
      </c>
      <c r="O646" s="2">
        <v>79.069999999999993</v>
      </c>
      <c r="P646" s="2">
        <f t="shared" si="50"/>
        <v>6</v>
      </c>
      <c r="Q646" s="4">
        <f t="shared" si="51"/>
        <v>0.91304347826086951</v>
      </c>
      <c r="R646" s="2" t="str">
        <f t="shared" si="52"/>
        <v>Inefficient</v>
      </c>
      <c r="S646" s="2" t="str">
        <f t="shared" si="53"/>
        <v>Long</v>
      </c>
      <c r="T646" s="2" t="str">
        <f t="shared" si="54"/>
        <v>Minor Delay</v>
      </c>
    </row>
    <row r="647" spans="1:20" x14ac:dyDescent="0.35">
      <c r="A647" s="2" t="s">
        <v>1474</v>
      </c>
      <c r="B647" s="2" t="s">
        <v>51</v>
      </c>
      <c r="C647" s="2" t="s">
        <v>1475</v>
      </c>
      <c r="D647" s="2" t="s">
        <v>44</v>
      </c>
      <c r="E647" s="2" t="s">
        <v>33</v>
      </c>
      <c r="F647" s="2" t="s">
        <v>20</v>
      </c>
      <c r="G647" s="2" t="s">
        <v>210</v>
      </c>
      <c r="H647" s="3">
        <v>45653.910416666666</v>
      </c>
      <c r="I647" s="3">
        <v>45653.954861111109</v>
      </c>
      <c r="J647" s="2">
        <v>43</v>
      </c>
      <c r="K647" s="2">
        <v>64</v>
      </c>
      <c r="L647" s="2">
        <v>1</v>
      </c>
      <c r="M647" s="2" t="s">
        <v>22</v>
      </c>
      <c r="N647" s="2">
        <v>9</v>
      </c>
      <c r="O647" s="2">
        <v>407.64</v>
      </c>
      <c r="P647" s="2">
        <f t="shared" si="50"/>
        <v>21</v>
      </c>
      <c r="Q647" s="4">
        <f t="shared" si="51"/>
        <v>0.671875</v>
      </c>
      <c r="R647" s="2" t="str">
        <f t="shared" si="52"/>
        <v>Inefficient</v>
      </c>
      <c r="S647" s="2" t="str">
        <f t="shared" si="53"/>
        <v>Long</v>
      </c>
      <c r="T647" s="2" t="str">
        <f t="shared" si="54"/>
        <v>Minor Delay</v>
      </c>
    </row>
    <row r="648" spans="1:20" x14ac:dyDescent="0.35">
      <c r="A648" s="2" t="s">
        <v>1476</v>
      </c>
      <c r="B648" s="2" t="s">
        <v>63</v>
      </c>
      <c r="C648" s="2" t="s">
        <v>1477</v>
      </c>
      <c r="D648" s="2" t="s">
        <v>56</v>
      </c>
      <c r="E648" s="2" t="s">
        <v>19</v>
      </c>
      <c r="F648" s="2" t="s">
        <v>34</v>
      </c>
      <c r="G648" s="2" t="s">
        <v>296</v>
      </c>
      <c r="H648" s="3">
        <v>45369.888888888891</v>
      </c>
      <c r="I648" s="3">
        <v>45369.999305555553</v>
      </c>
      <c r="J648" s="2">
        <v>85</v>
      </c>
      <c r="K648" s="2">
        <v>159</v>
      </c>
      <c r="L648" s="2">
        <v>1</v>
      </c>
      <c r="M648" s="2" t="s">
        <v>22</v>
      </c>
      <c r="N648" s="2">
        <v>4</v>
      </c>
      <c r="O648" s="2">
        <v>119.19</v>
      </c>
      <c r="P648" s="2">
        <f t="shared" si="50"/>
        <v>74</v>
      </c>
      <c r="Q648" s="4">
        <f t="shared" si="51"/>
        <v>0.53459119496855345</v>
      </c>
      <c r="R648" s="2" t="str">
        <f t="shared" si="52"/>
        <v>Inefficient</v>
      </c>
      <c r="S648" s="2" t="str">
        <f t="shared" si="53"/>
        <v>Very Long</v>
      </c>
      <c r="T648" s="2" t="str">
        <f t="shared" si="54"/>
        <v>Major Delay</v>
      </c>
    </row>
    <row r="649" spans="1:20" x14ac:dyDescent="0.35">
      <c r="A649" s="2" t="s">
        <v>1478</v>
      </c>
      <c r="B649" s="2" t="s">
        <v>24</v>
      </c>
      <c r="C649" s="2" t="s">
        <v>1479</v>
      </c>
      <c r="D649" s="2" t="s">
        <v>18</v>
      </c>
      <c r="E649" s="2" t="s">
        <v>85</v>
      </c>
      <c r="F649" s="2" t="s">
        <v>39</v>
      </c>
      <c r="G649" s="2" t="s">
        <v>170</v>
      </c>
      <c r="H649" s="3">
        <v>45415.372916666667</v>
      </c>
      <c r="I649" s="3">
        <v>45415.561111111114</v>
      </c>
      <c r="J649" s="2">
        <v>226</v>
      </c>
      <c r="K649" s="2">
        <v>271</v>
      </c>
      <c r="L649" s="2">
        <v>1</v>
      </c>
      <c r="M649" s="2" t="s">
        <v>22</v>
      </c>
      <c r="N649" s="2">
        <v>5</v>
      </c>
      <c r="O649" s="2">
        <v>371.95</v>
      </c>
      <c r="P649" s="2">
        <f t="shared" si="50"/>
        <v>45</v>
      </c>
      <c r="Q649" s="4">
        <f t="shared" si="51"/>
        <v>0.83394833948339486</v>
      </c>
      <c r="R649" s="2" t="str">
        <f t="shared" si="52"/>
        <v>Inefficient</v>
      </c>
      <c r="S649" s="2" t="str">
        <f t="shared" si="53"/>
        <v>Very Long</v>
      </c>
      <c r="T649" s="2" t="str">
        <f t="shared" si="54"/>
        <v>Major Delay</v>
      </c>
    </row>
    <row r="650" spans="1:20" x14ac:dyDescent="0.35">
      <c r="A650" s="2" t="s">
        <v>1480</v>
      </c>
      <c r="B650" s="2" t="s">
        <v>63</v>
      </c>
      <c r="C650" s="2" t="s">
        <v>1481</v>
      </c>
      <c r="D650" s="2" t="s">
        <v>26</v>
      </c>
      <c r="E650" s="2" t="s">
        <v>33</v>
      </c>
      <c r="F650" s="2" t="s">
        <v>39</v>
      </c>
      <c r="G650" s="2" t="s">
        <v>299</v>
      </c>
      <c r="H650" s="3">
        <v>45418.152777777781</v>
      </c>
      <c r="I650" s="3">
        <v>45418.299305555556</v>
      </c>
      <c r="J650" s="2">
        <v>167</v>
      </c>
      <c r="K650" s="2">
        <v>211</v>
      </c>
      <c r="L650" s="2">
        <v>1</v>
      </c>
      <c r="M650" s="2" t="s">
        <v>29</v>
      </c>
      <c r="N650" s="2">
        <v>7</v>
      </c>
      <c r="O650" s="2">
        <v>188.94</v>
      </c>
      <c r="P650" s="2">
        <f t="shared" si="50"/>
        <v>44</v>
      </c>
      <c r="Q650" s="4">
        <f t="shared" si="51"/>
        <v>0.79146919431279616</v>
      </c>
      <c r="R650" s="2" t="str">
        <f t="shared" si="52"/>
        <v>Inefficient</v>
      </c>
      <c r="S650" s="2" t="str">
        <f t="shared" si="53"/>
        <v>Very Long</v>
      </c>
      <c r="T650" s="2" t="str">
        <f t="shared" si="54"/>
        <v>Major Delay</v>
      </c>
    </row>
    <row r="651" spans="1:20" x14ac:dyDescent="0.35">
      <c r="A651" s="2" t="s">
        <v>1482</v>
      </c>
      <c r="B651" s="2" t="s">
        <v>24</v>
      </c>
      <c r="C651" s="2" t="s">
        <v>1483</v>
      </c>
      <c r="D651" s="2" t="s">
        <v>26</v>
      </c>
      <c r="E651" s="2" t="s">
        <v>19</v>
      </c>
      <c r="F651" s="2" t="s">
        <v>39</v>
      </c>
      <c r="G651" s="2" t="s">
        <v>505</v>
      </c>
      <c r="H651" s="3">
        <v>45365.703472222223</v>
      </c>
      <c r="I651" s="3">
        <v>45365.847222222219</v>
      </c>
      <c r="J651" s="2">
        <v>153</v>
      </c>
      <c r="K651" s="2">
        <v>207</v>
      </c>
      <c r="L651" s="2">
        <v>1</v>
      </c>
      <c r="M651" s="2" t="s">
        <v>29</v>
      </c>
      <c r="N651" s="2">
        <v>6</v>
      </c>
      <c r="O651" s="2">
        <v>300.58999999999997</v>
      </c>
      <c r="P651" s="2">
        <f t="shared" si="50"/>
        <v>54</v>
      </c>
      <c r="Q651" s="4">
        <f t="shared" si="51"/>
        <v>0.73913043478260865</v>
      </c>
      <c r="R651" s="2" t="str">
        <f t="shared" si="52"/>
        <v>Inefficient</v>
      </c>
      <c r="S651" s="2" t="str">
        <f t="shared" si="53"/>
        <v>Very Long</v>
      </c>
      <c r="T651" s="2" t="str">
        <f t="shared" si="54"/>
        <v>Major Delay</v>
      </c>
    </row>
    <row r="652" spans="1:20" x14ac:dyDescent="0.35">
      <c r="A652" s="2" t="s">
        <v>1484</v>
      </c>
      <c r="B652" s="2" t="s">
        <v>24</v>
      </c>
      <c r="C652" s="2" t="s">
        <v>1485</v>
      </c>
      <c r="D652" s="2" t="s">
        <v>18</v>
      </c>
      <c r="E652" s="2" t="s">
        <v>33</v>
      </c>
      <c r="F652" s="2" t="s">
        <v>27</v>
      </c>
      <c r="G652" s="2" t="s">
        <v>810</v>
      </c>
      <c r="H652" s="3">
        <v>45369.277777777781</v>
      </c>
      <c r="I652" s="3">
        <v>45369.473611111112</v>
      </c>
      <c r="J652" s="2">
        <v>225</v>
      </c>
      <c r="K652" s="2">
        <v>282</v>
      </c>
      <c r="L652" s="2">
        <v>1</v>
      </c>
      <c r="M652" s="2" t="s">
        <v>22</v>
      </c>
      <c r="N652" s="2">
        <v>3</v>
      </c>
      <c r="O652" s="2">
        <v>233.45</v>
      </c>
      <c r="P652" s="2">
        <f t="shared" si="50"/>
        <v>57</v>
      </c>
      <c r="Q652" s="4">
        <f t="shared" si="51"/>
        <v>0.7978723404255319</v>
      </c>
      <c r="R652" s="2" t="str">
        <f t="shared" si="52"/>
        <v>Inefficient</v>
      </c>
      <c r="S652" s="2" t="str">
        <f t="shared" si="53"/>
        <v>Very Long</v>
      </c>
      <c r="T652" s="2" t="str">
        <f t="shared" si="54"/>
        <v>Major Delay</v>
      </c>
    </row>
    <row r="653" spans="1:20" x14ac:dyDescent="0.35">
      <c r="A653" s="2" t="s">
        <v>1486</v>
      </c>
      <c r="B653" s="2" t="s">
        <v>31</v>
      </c>
      <c r="C653" s="2" t="s">
        <v>1487</v>
      </c>
      <c r="D653" s="2" t="s">
        <v>26</v>
      </c>
      <c r="E653" s="2" t="s">
        <v>19</v>
      </c>
      <c r="F653" s="2" t="s">
        <v>27</v>
      </c>
      <c r="G653" s="2" t="s">
        <v>354</v>
      </c>
      <c r="H653" s="3">
        <v>45415.734722222223</v>
      </c>
      <c r="I653" s="3">
        <v>45415.831250000003</v>
      </c>
      <c r="J653" s="2">
        <v>31</v>
      </c>
      <c r="K653" s="2">
        <v>139</v>
      </c>
      <c r="L653" s="2">
        <v>1</v>
      </c>
      <c r="M653" s="2" t="s">
        <v>22</v>
      </c>
      <c r="N653" s="2">
        <v>6</v>
      </c>
      <c r="O653" s="2">
        <v>210.83</v>
      </c>
      <c r="P653" s="2">
        <f t="shared" si="50"/>
        <v>108</v>
      </c>
      <c r="Q653" s="4">
        <f t="shared" si="51"/>
        <v>0.22302158273381295</v>
      </c>
      <c r="R653" s="2" t="str">
        <f t="shared" si="52"/>
        <v>Inefficient</v>
      </c>
      <c r="S653" s="2" t="str">
        <f t="shared" si="53"/>
        <v>Very Long</v>
      </c>
      <c r="T653" s="2" t="str">
        <f t="shared" si="54"/>
        <v>Major Delay</v>
      </c>
    </row>
    <row r="654" spans="1:20" x14ac:dyDescent="0.35">
      <c r="A654" s="2" t="s">
        <v>1488</v>
      </c>
      <c r="B654" s="2" t="s">
        <v>51</v>
      </c>
      <c r="C654" s="2" t="s">
        <v>1489</v>
      </c>
      <c r="D654" s="2" t="s">
        <v>18</v>
      </c>
      <c r="E654" s="2" t="s">
        <v>19</v>
      </c>
      <c r="F654" s="2" t="s">
        <v>57</v>
      </c>
      <c r="G654" s="2" t="s">
        <v>842</v>
      </c>
      <c r="H654" s="3">
        <v>45371.540277777778</v>
      </c>
      <c r="I654" s="3">
        <v>45371.685416666667</v>
      </c>
      <c r="J654" s="2">
        <v>100</v>
      </c>
      <c r="K654" s="2">
        <v>209</v>
      </c>
      <c r="L654" s="2">
        <v>1</v>
      </c>
      <c r="M654" s="2" t="s">
        <v>29</v>
      </c>
      <c r="N654" s="2">
        <v>10</v>
      </c>
      <c r="O654" s="2">
        <v>337.12</v>
      </c>
      <c r="P654" s="2">
        <f t="shared" si="50"/>
        <v>109</v>
      </c>
      <c r="Q654" s="4">
        <f t="shared" si="51"/>
        <v>0.4784688995215311</v>
      </c>
      <c r="R654" s="2" t="str">
        <f t="shared" si="52"/>
        <v>Inefficient</v>
      </c>
      <c r="S654" s="2" t="str">
        <f t="shared" si="53"/>
        <v>Very Long</v>
      </c>
      <c r="T654" s="2" t="str">
        <f t="shared" si="54"/>
        <v>Major Delay</v>
      </c>
    </row>
    <row r="655" spans="1:20" x14ac:dyDescent="0.35">
      <c r="A655" s="2" t="s">
        <v>1490</v>
      </c>
      <c r="B655" s="2" t="s">
        <v>31</v>
      </c>
      <c r="C655" s="2" t="s">
        <v>1491</v>
      </c>
      <c r="D655" s="2" t="s">
        <v>26</v>
      </c>
      <c r="E655" s="2" t="s">
        <v>38</v>
      </c>
      <c r="F655" s="2" t="s">
        <v>34</v>
      </c>
      <c r="G655" s="2" t="s">
        <v>167</v>
      </c>
      <c r="H655" s="3">
        <v>45579.697916666664</v>
      </c>
      <c r="I655" s="3">
        <v>45579.883333333331</v>
      </c>
      <c r="J655" s="2">
        <v>222</v>
      </c>
      <c r="K655" s="2">
        <v>267</v>
      </c>
      <c r="L655" s="2">
        <v>1</v>
      </c>
      <c r="M655" s="2" t="s">
        <v>41</v>
      </c>
      <c r="N655" s="2">
        <v>2</v>
      </c>
      <c r="O655" s="2">
        <v>73.53</v>
      </c>
      <c r="P655" s="2">
        <f t="shared" si="50"/>
        <v>45</v>
      </c>
      <c r="Q655" s="4">
        <f t="shared" si="51"/>
        <v>0.8314606741573034</v>
      </c>
      <c r="R655" s="2" t="str">
        <f t="shared" si="52"/>
        <v>Inefficient</v>
      </c>
      <c r="S655" s="2" t="str">
        <f t="shared" si="53"/>
        <v>Very Long</v>
      </c>
      <c r="T655" s="2" t="str">
        <f t="shared" si="54"/>
        <v>Major Delay</v>
      </c>
    </row>
    <row r="656" spans="1:20" x14ac:dyDescent="0.35">
      <c r="A656" s="2" t="s">
        <v>1492</v>
      </c>
      <c r="B656" s="2" t="s">
        <v>24</v>
      </c>
      <c r="C656" s="2" t="s">
        <v>1493</v>
      </c>
      <c r="D656" s="2" t="s">
        <v>44</v>
      </c>
      <c r="E656" s="2" t="s">
        <v>33</v>
      </c>
      <c r="F656" s="2" t="s">
        <v>34</v>
      </c>
      <c r="G656" s="2" t="s">
        <v>505</v>
      </c>
      <c r="H656" s="3">
        <v>45345.938888888886</v>
      </c>
      <c r="I656" s="3">
        <v>45346.086805555555</v>
      </c>
      <c r="J656" s="2">
        <v>142</v>
      </c>
      <c r="K656" s="2">
        <v>213</v>
      </c>
      <c r="L656" s="2">
        <v>1</v>
      </c>
      <c r="M656" s="2" t="s">
        <v>29</v>
      </c>
      <c r="N656" s="2">
        <v>7</v>
      </c>
      <c r="O656" s="2">
        <v>397.4</v>
      </c>
      <c r="P656" s="2">
        <f t="shared" si="50"/>
        <v>71</v>
      </c>
      <c r="Q656" s="4">
        <f t="shared" si="51"/>
        <v>0.66666666666666663</v>
      </c>
      <c r="R656" s="2" t="str">
        <f t="shared" si="52"/>
        <v>Inefficient</v>
      </c>
      <c r="S656" s="2" t="str">
        <f t="shared" si="53"/>
        <v>Very Long</v>
      </c>
      <c r="T656" s="2" t="str">
        <f t="shared" si="54"/>
        <v>Major Delay</v>
      </c>
    </row>
    <row r="657" spans="1:20" x14ac:dyDescent="0.35">
      <c r="A657" s="2" t="s">
        <v>1494</v>
      </c>
      <c r="B657" s="2" t="s">
        <v>24</v>
      </c>
      <c r="C657" s="2" t="s">
        <v>1495</v>
      </c>
      <c r="D657" s="2" t="s">
        <v>48</v>
      </c>
      <c r="E657" s="2" t="s">
        <v>38</v>
      </c>
      <c r="F657" s="2" t="s">
        <v>39</v>
      </c>
      <c r="G657" s="2" t="s">
        <v>485</v>
      </c>
      <c r="H657" s="3">
        <v>45334.525000000001</v>
      </c>
      <c r="I657" s="3">
        <v>45334.748611111114</v>
      </c>
      <c r="J657" s="2">
        <v>238</v>
      </c>
      <c r="K657" s="2">
        <v>322</v>
      </c>
      <c r="L657" s="2">
        <v>1</v>
      </c>
      <c r="M657" s="2" t="s">
        <v>41</v>
      </c>
      <c r="N657" s="2">
        <v>3</v>
      </c>
      <c r="O657" s="2">
        <v>286.08</v>
      </c>
      <c r="P657" s="2">
        <f t="shared" si="50"/>
        <v>84</v>
      </c>
      <c r="Q657" s="4">
        <f t="shared" si="51"/>
        <v>0.73913043478260865</v>
      </c>
      <c r="R657" s="2" t="str">
        <f t="shared" si="52"/>
        <v>Inefficient</v>
      </c>
      <c r="S657" s="2" t="str">
        <f t="shared" si="53"/>
        <v>Very Long</v>
      </c>
      <c r="T657" s="2" t="str">
        <f t="shared" si="54"/>
        <v>Major Delay</v>
      </c>
    </row>
    <row r="658" spans="1:20" x14ac:dyDescent="0.35">
      <c r="A658" s="2" t="s">
        <v>1496</v>
      </c>
      <c r="B658" s="2" t="s">
        <v>63</v>
      </c>
      <c r="C658" s="2" t="s">
        <v>1497</v>
      </c>
      <c r="D658" s="2" t="s">
        <v>18</v>
      </c>
      <c r="E658" s="2" t="s">
        <v>33</v>
      </c>
      <c r="F658" s="2" t="s">
        <v>39</v>
      </c>
      <c r="G658" s="2" t="s">
        <v>45</v>
      </c>
      <c r="H658" s="3">
        <v>45344.390277777777</v>
      </c>
      <c r="I658" s="3">
        <v>45344.631249999999</v>
      </c>
      <c r="J658" s="2">
        <v>238</v>
      </c>
      <c r="K658" s="2">
        <v>347</v>
      </c>
      <c r="L658" s="2">
        <v>1</v>
      </c>
      <c r="M658" s="2" t="s">
        <v>41</v>
      </c>
      <c r="N658" s="2">
        <v>4</v>
      </c>
      <c r="O658" s="2">
        <v>358.24</v>
      </c>
      <c r="P658" s="2">
        <f t="shared" si="50"/>
        <v>109</v>
      </c>
      <c r="Q658" s="4">
        <f t="shared" si="51"/>
        <v>0.6858789625360231</v>
      </c>
      <c r="R658" s="2" t="str">
        <f t="shared" si="52"/>
        <v>Inefficient</v>
      </c>
      <c r="S658" s="2" t="str">
        <f t="shared" si="53"/>
        <v>Very Long</v>
      </c>
      <c r="T658" s="2" t="str">
        <f t="shared" si="54"/>
        <v>Major Delay</v>
      </c>
    </row>
    <row r="659" spans="1:20" x14ac:dyDescent="0.35">
      <c r="A659" s="2" t="s">
        <v>1498</v>
      </c>
      <c r="B659" s="2" t="s">
        <v>63</v>
      </c>
      <c r="C659" s="2" t="s">
        <v>1499</v>
      </c>
      <c r="D659" s="2" t="s">
        <v>26</v>
      </c>
      <c r="E659" s="2" t="s">
        <v>33</v>
      </c>
      <c r="F659" s="2" t="s">
        <v>27</v>
      </c>
      <c r="G659" s="2" t="s">
        <v>240</v>
      </c>
      <c r="H659" s="3">
        <v>45536.865277777775</v>
      </c>
      <c r="I659" s="3">
        <v>45536.970833333333</v>
      </c>
      <c r="J659" s="2">
        <v>65</v>
      </c>
      <c r="K659" s="2">
        <v>152</v>
      </c>
      <c r="L659" s="2">
        <v>1</v>
      </c>
      <c r="M659" s="2" t="s">
        <v>41</v>
      </c>
      <c r="N659" s="2">
        <v>10</v>
      </c>
      <c r="O659" s="2">
        <v>130.33000000000001</v>
      </c>
      <c r="P659" s="2">
        <f t="shared" si="50"/>
        <v>87</v>
      </c>
      <c r="Q659" s="4">
        <f t="shared" si="51"/>
        <v>0.42763157894736842</v>
      </c>
      <c r="R659" s="2" t="str">
        <f t="shared" si="52"/>
        <v>Inefficient</v>
      </c>
      <c r="S659" s="2" t="str">
        <f t="shared" si="53"/>
        <v>Very Long</v>
      </c>
      <c r="T659" s="2" t="str">
        <f t="shared" si="54"/>
        <v>Major Delay</v>
      </c>
    </row>
    <row r="660" spans="1:20" x14ac:dyDescent="0.35">
      <c r="A660" s="2" t="s">
        <v>1500</v>
      </c>
      <c r="B660" s="2" t="s">
        <v>63</v>
      </c>
      <c r="C660" s="2" t="s">
        <v>1501</v>
      </c>
      <c r="D660" s="2" t="s">
        <v>26</v>
      </c>
      <c r="E660" s="2" t="s">
        <v>19</v>
      </c>
      <c r="F660" s="2" t="s">
        <v>34</v>
      </c>
      <c r="G660" s="2" t="s">
        <v>316</v>
      </c>
      <c r="H660" s="3">
        <v>45547.152083333334</v>
      </c>
      <c r="I660" s="3">
        <v>45547.258333333331</v>
      </c>
      <c r="J660" s="2">
        <v>56</v>
      </c>
      <c r="K660" s="2">
        <v>153</v>
      </c>
      <c r="L660" s="2">
        <v>1</v>
      </c>
      <c r="M660" s="2" t="s">
        <v>29</v>
      </c>
      <c r="N660" s="2">
        <v>2</v>
      </c>
      <c r="O660" s="2">
        <v>125.86</v>
      </c>
      <c r="P660" s="2">
        <f t="shared" si="50"/>
        <v>97</v>
      </c>
      <c r="Q660" s="4">
        <f t="shared" si="51"/>
        <v>0.36601307189542481</v>
      </c>
      <c r="R660" s="2" t="str">
        <f t="shared" si="52"/>
        <v>Inefficient</v>
      </c>
      <c r="S660" s="2" t="str">
        <f t="shared" si="53"/>
        <v>Very Long</v>
      </c>
      <c r="T660" s="2" t="str">
        <f t="shared" si="54"/>
        <v>Major Delay</v>
      </c>
    </row>
    <row r="661" spans="1:20" x14ac:dyDescent="0.35">
      <c r="A661" s="2" t="s">
        <v>1502</v>
      </c>
      <c r="B661" s="2" t="s">
        <v>31</v>
      </c>
      <c r="C661" s="2" t="s">
        <v>1503</v>
      </c>
      <c r="D661" s="2" t="s">
        <v>26</v>
      </c>
      <c r="E661" s="2" t="s">
        <v>38</v>
      </c>
      <c r="F661" s="2" t="s">
        <v>27</v>
      </c>
      <c r="G661" s="2" t="s">
        <v>288</v>
      </c>
      <c r="H661" s="3">
        <v>45490.976388888892</v>
      </c>
      <c r="I661" s="3">
        <v>45491.081250000003</v>
      </c>
      <c r="J661" s="2">
        <v>111</v>
      </c>
      <c r="K661" s="2">
        <v>151</v>
      </c>
      <c r="L661" s="2">
        <v>1</v>
      </c>
      <c r="M661" s="2" t="s">
        <v>29</v>
      </c>
      <c r="N661" s="2">
        <v>6</v>
      </c>
      <c r="O661" s="2">
        <v>347.12</v>
      </c>
      <c r="P661" s="2">
        <f t="shared" si="50"/>
        <v>40</v>
      </c>
      <c r="Q661" s="4">
        <f t="shared" si="51"/>
        <v>0.73509933774834435</v>
      </c>
      <c r="R661" s="2" t="str">
        <f t="shared" si="52"/>
        <v>Inefficient</v>
      </c>
      <c r="S661" s="2" t="str">
        <f t="shared" si="53"/>
        <v>Very Long</v>
      </c>
      <c r="T661" s="2" t="str">
        <f t="shared" si="54"/>
        <v>Major Delay</v>
      </c>
    </row>
    <row r="662" spans="1:20" x14ac:dyDescent="0.35">
      <c r="A662" s="2" t="s">
        <v>1504</v>
      </c>
      <c r="B662" s="2" t="s">
        <v>31</v>
      </c>
      <c r="C662" s="2" t="s">
        <v>1505</v>
      </c>
      <c r="D662" s="2" t="s">
        <v>48</v>
      </c>
      <c r="E662" s="2" t="s">
        <v>85</v>
      </c>
      <c r="F662" s="2" t="s">
        <v>39</v>
      </c>
      <c r="G662" s="2" t="s">
        <v>114</v>
      </c>
      <c r="H662" s="3">
        <v>45496.615277777775</v>
      </c>
      <c r="I662" s="3">
        <v>45496.679166666669</v>
      </c>
      <c r="J662" s="2">
        <v>40</v>
      </c>
      <c r="K662" s="2">
        <v>92</v>
      </c>
      <c r="L662" s="2">
        <v>1</v>
      </c>
      <c r="M662" s="2" t="s">
        <v>22</v>
      </c>
      <c r="N662" s="2">
        <v>4</v>
      </c>
      <c r="O662" s="2">
        <v>212.27</v>
      </c>
      <c r="P662" s="2">
        <f t="shared" si="50"/>
        <v>52</v>
      </c>
      <c r="Q662" s="4">
        <f t="shared" si="51"/>
        <v>0.43478260869565216</v>
      </c>
      <c r="R662" s="2" t="str">
        <f t="shared" si="52"/>
        <v>Inefficient</v>
      </c>
      <c r="S662" s="2" t="str">
        <f t="shared" si="53"/>
        <v>Long</v>
      </c>
      <c r="T662" s="2" t="str">
        <f t="shared" si="54"/>
        <v>Major Delay</v>
      </c>
    </row>
    <row r="663" spans="1:20" x14ac:dyDescent="0.35">
      <c r="A663" s="2" t="s">
        <v>1506</v>
      </c>
      <c r="B663" s="2" t="s">
        <v>24</v>
      </c>
      <c r="C663" s="2" t="s">
        <v>1507</v>
      </c>
      <c r="D663" s="2" t="s">
        <v>48</v>
      </c>
      <c r="E663" s="2" t="s">
        <v>85</v>
      </c>
      <c r="F663" s="2" t="s">
        <v>57</v>
      </c>
      <c r="G663" s="2" t="s">
        <v>188</v>
      </c>
      <c r="H663" s="3">
        <v>45510.491666666669</v>
      </c>
      <c r="I663" s="3">
        <v>45510.624305555553</v>
      </c>
      <c r="J663" s="2">
        <v>106</v>
      </c>
      <c r="K663" s="2">
        <v>191</v>
      </c>
      <c r="L663" s="2">
        <v>1</v>
      </c>
      <c r="M663" s="2" t="s">
        <v>29</v>
      </c>
      <c r="N663" s="2">
        <v>10</v>
      </c>
      <c r="O663" s="2">
        <v>319.32</v>
      </c>
      <c r="P663" s="2">
        <f t="shared" si="50"/>
        <v>85</v>
      </c>
      <c r="Q663" s="4">
        <f t="shared" si="51"/>
        <v>0.55497382198952883</v>
      </c>
      <c r="R663" s="2" t="str">
        <f t="shared" si="52"/>
        <v>Inefficient</v>
      </c>
      <c r="S663" s="2" t="str">
        <f t="shared" si="53"/>
        <v>Very Long</v>
      </c>
      <c r="T663" s="2" t="str">
        <f t="shared" si="54"/>
        <v>Major Delay</v>
      </c>
    </row>
    <row r="664" spans="1:20" x14ac:dyDescent="0.35">
      <c r="A664" s="2" t="s">
        <v>1508</v>
      </c>
      <c r="B664" s="2" t="s">
        <v>31</v>
      </c>
      <c r="C664" s="2" t="s">
        <v>1509</v>
      </c>
      <c r="D664" s="2" t="s">
        <v>48</v>
      </c>
      <c r="E664" s="2" t="s">
        <v>19</v>
      </c>
      <c r="F664" s="2" t="s">
        <v>27</v>
      </c>
      <c r="G664" s="2" t="s">
        <v>338</v>
      </c>
      <c r="H664" s="3">
        <v>45382.597916666666</v>
      </c>
      <c r="I664" s="3">
        <v>45382.752083333333</v>
      </c>
      <c r="J664" s="2">
        <v>114</v>
      </c>
      <c r="K664" s="2">
        <v>222</v>
      </c>
      <c r="L664" s="2">
        <v>1</v>
      </c>
      <c r="M664" s="2" t="s">
        <v>22</v>
      </c>
      <c r="N664" s="2">
        <v>10</v>
      </c>
      <c r="O664" s="2">
        <v>385.16</v>
      </c>
      <c r="P664" s="2">
        <f t="shared" si="50"/>
        <v>108</v>
      </c>
      <c r="Q664" s="4">
        <f t="shared" si="51"/>
        <v>0.51351351351351349</v>
      </c>
      <c r="R664" s="2" t="str">
        <f t="shared" si="52"/>
        <v>Inefficient</v>
      </c>
      <c r="S664" s="2" t="str">
        <f t="shared" si="53"/>
        <v>Very Long</v>
      </c>
      <c r="T664" s="2" t="str">
        <f t="shared" si="54"/>
        <v>Major Delay</v>
      </c>
    </row>
    <row r="665" spans="1:20" x14ac:dyDescent="0.35">
      <c r="A665" s="2" t="s">
        <v>1510</v>
      </c>
      <c r="B665" s="2" t="s">
        <v>31</v>
      </c>
      <c r="C665" s="2" t="s">
        <v>1511</v>
      </c>
      <c r="D665" s="2" t="s">
        <v>18</v>
      </c>
      <c r="E665" s="2" t="s">
        <v>85</v>
      </c>
      <c r="F665" s="2" t="s">
        <v>39</v>
      </c>
      <c r="G665" s="2" t="s">
        <v>140</v>
      </c>
      <c r="H665" s="3">
        <v>45431.602083333331</v>
      </c>
      <c r="I665" s="3">
        <v>45431.73541666667</v>
      </c>
      <c r="J665" s="2">
        <v>137</v>
      </c>
      <c r="K665" s="2">
        <v>192</v>
      </c>
      <c r="L665" s="2">
        <v>1</v>
      </c>
      <c r="M665" s="2" t="s">
        <v>41</v>
      </c>
      <c r="N665" s="2">
        <v>1</v>
      </c>
      <c r="O665" s="2">
        <v>288.06</v>
      </c>
      <c r="P665" s="2">
        <f t="shared" si="50"/>
        <v>55</v>
      </c>
      <c r="Q665" s="4">
        <f t="shared" si="51"/>
        <v>0.71354166666666663</v>
      </c>
      <c r="R665" s="2" t="str">
        <f t="shared" si="52"/>
        <v>Inefficient</v>
      </c>
      <c r="S665" s="2" t="str">
        <f t="shared" si="53"/>
        <v>Very Long</v>
      </c>
      <c r="T665" s="2" t="str">
        <f t="shared" si="54"/>
        <v>Major Delay</v>
      </c>
    </row>
    <row r="666" spans="1:20" x14ac:dyDescent="0.35">
      <c r="A666" s="2" t="s">
        <v>1512</v>
      </c>
      <c r="B666" s="2" t="s">
        <v>24</v>
      </c>
      <c r="C666" s="2" t="s">
        <v>1513</v>
      </c>
      <c r="D666" s="2" t="s">
        <v>44</v>
      </c>
      <c r="E666" s="2" t="s">
        <v>19</v>
      </c>
      <c r="F666" s="2" t="s">
        <v>27</v>
      </c>
      <c r="G666" s="2" t="s">
        <v>1413</v>
      </c>
      <c r="H666" s="3">
        <v>45353.073611111111</v>
      </c>
      <c r="I666" s="3">
        <v>45353.165972222225</v>
      </c>
      <c r="J666" s="2">
        <v>120</v>
      </c>
      <c r="K666" s="2">
        <v>133</v>
      </c>
      <c r="L666" s="2">
        <v>1</v>
      </c>
      <c r="M666" s="2" t="s">
        <v>41</v>
      </c>
      <c r="N666" s="2">
        <v>6</v>
      </c>
      <c r="O666" s="2">
        <v>326.52</v>
      </c>
      <c r="P666" s="2">
        <f t="shared" si="50"/>
        <v>13</v>
      </c>
      <c r="Q666" s="4">
        <f t="shared" si="51"/>
        <v>0.90225563909774431</v>
      </c>
      <c r="R666" s="2" t="str">
        <f t="shared" si="52"/>
        <v>Inefficient</v>
      </c>
      <c r="S666" s="2" t="str">
        <f t="shared" si="53"/>
        <v>Very Long</v>
      </c>
      <c r="T666" s="2" t="str">
        <f t="shared" si="54"/>
        <v>Minor Delay</v>
      </c>
    </row>
    <row r="667" spans="1:20" x14ac:dyDescent="0.35">
      <c r="A667" s="2" t="s">
        <v>1514</v>
      </c>
      <c r="B667" s="2" t="s">
        <v>51</v>
      </c>
      <c r="C667" s="2" t="s">
        <v>1515</v>
      </c>
      <c r="D667" s="2" t="s">
        <v>56</v>
      </c>
      <c r="E667" s="2" t="s">
        <v>38</v>
      </c>
      <c r="F667" s="2" t="s">
        <v>27</v>
      </c>
      <c r="G667" s="2" t="s">
        <v>388</v>
      </c>
      <c r="H667" s="3">
        <v>45448.019444444442</v>
      </c>
      <c r="I667" s="3">
        <v>45448.069444444445</v>
      </c>
      <c r="J667" s="2">
        <v>75</v>
      </c>
      <c r="K667" s="2">
        <v>72</v>
      </c>
      <c r="L667" s="2">
        <v>0</v>
      </c>
      <c r="M667" s="2" t="s">
        <v>22</v>
      </c>
      <c r="N667" s="2">
        <v>2</v>
      </c>
      <c r="O667" s="2">
        <v>491.62</v>
      </c>
      <c r="P667" s="2">
        <f t="shared" si="50"/>
        <v>-3</v>
      </c>
      <c r="Q667" s="4">
        <f t="shared" si="51"/>
        <v>1.0416666666666667</v>
      </c>
      <c r="R667" s="2" t="str">
        <f t="shared" si="52"/>
        <v>Efficient</v>
      </c>
      <c r="S667" s="2" t="str">
        <f t="shared" si="53"/>
        <v>Long</v>
      </c>
      <c r="T667" s="2" t="str">
        <f t="shared" si="54"/>
        <v>On Time</v>
      </c>
    </row>
    <row r="668" spans="1:20" x14ac:dyDescent="0.35">
      <c r="A668" s="2" t="s">
        <v>1516</v>
      </c>
      <c r="B668" s="2" t="s">
        <v>24</v>
      </c>
      <c r="C668" s="2" t="s">
        <v>1517</v>
      </c>
      <c r="D668" s="2" t="s">
        <v>56</v>
      </c>
      <c r="E668" s="2" t="s">
        <v>38</v>
      </c>
      <c r="F668" s="2" t="s">
        <v>57</v>
      </c>
      <c r="G668" s="2" t="s">
        <v>149</v>
      </c>
      <c r="H668" s="3">
        <v>45305.040277777778</v>
      </c>
      <c r="I668" s="3">
        <v>45305.136805555558</v>
      </c>
      <c r="J668" s="2">
        <v>116</v>
      </c>
      <c r="K668" s="2">
        <v>139</v>
      </c>
      <c r="L668" s="2">
        <v>1</v>
      </c>
      <c r="M668" s="2" t="s">
        <v>29</v>
      </c>
      <c r="N668" s="2">
        <v>9</v>
      </c>
      <c r="O668" s="2">
        <v>280.77999999999997</v>
      </c>
      <c r="P668" s="2">
        <f t="shared" si="50"/>
        <v>23</v>
      </c>
      <c r="Q668" s="4">
        <f t="shared" si="51"/>
        <v>0.83453237410071945</v>
      </c>
      <c r="R668" s="2" t="str">
        <f t="shared" si="52"/>
        <v>Inefficient</v>
      </c>
      <c r="S668" s="2" t="str">
        <f t="shared" si="53"/>
        <v>Very Long</v>
      </c>
      <c r="T668" s="2" t="str">
        <f t="shared" si="54"/>
        <v>Minor Delay</v>
      </c>
    </row>
    <row r="669" spans="1:20" x14ac:dyDescent="0.35">
      <c r="A669" s="2" t="s">
        <v>1518</v>
      </c>
      <c r="B669" s="2" t="s">
        <v>51</v>
      </c>
      <c r="C669" s="2" t="s">
        <v>1519</v>
      </c>
      <c r="D669" s="2" t="s">
        <v>48</v>
      </c>
      <c r="E669" s="2" t="s">
        <v>33</v>
      </c>
      <c r="F669" s="2" t="s">
        <v>20</v>
      </c>
      <c r="G669" s="2" t="s">
        <v>49</v>
      </c>
      <c r="H669" s="3">
        <v>45628.352777777778</v>
      </c>
      <c r="I669" s="3">
        <v>45628.44027777778</v>
      </c>
      <c r="J669" s="2">
        <v>129</v>
      </c>
      <c r="K669" s="2">
        <v>126</v>
      </c>
      <c r="L669" s="2">
        <v>0</v>
      </c>
      <c r="M669" s="2" t="s">
        <v>29</v>
      </c>
      <c r="N669" s="2">
        <v>9</v>
      </c>
      <c r="O669" s="2">
        <v>73.47</v>
      </c>
      <c r="P669" s="2">
        <f t="shared" si="50"/>
        <v>-3</v>
      </c>
      <c r="Q669" s="4">
        <f t="shared" si="51"/>
        <v>1.0238095238095237</v>
      </c>
      <c r="R669" s="2" t="str">
        <f t="shared" si="52"/>
        <v>Efficient</v>
      </c>
      <c r="S669" s="2" t="str">
        <f t="shared" si="53"/>
        <v>Very Long</v>
      </c>
      <c r="T669" s="2" t="str">
        <f t="shared" si="54"/>
        <v>On Time</v>
      </c>
    </row>
    <row r="670" spans="1:20" x14ac:dyDescent="0.35">
      <c r="A670" s="2" t="s">
        <v>1520</v>
      </c>
      <c r="B670" s="2" t="s">
        <v>16</v>
      </c>
      <c r="C670" s="2" t="s">
        <v>1521</v>
      </c>
      <c r="D670" s="2" t="s">
        <v>18</v>
      </c>
      <c r="E670" s="2" t="s">
        <v>85</v>
      </c>
      <c r="F670" s="2" t="s">
        <v>27</v>
      </c>
      <c r="G670" s="2" t="s">
        <v>415</v>
      </c>
      <c r="H670" s="3">
        <v>45384.248611111114</v>
      </c>
      <c r="I670" s="3">
        <v>45384.334027777775</v>
      </c>
      <c r="J670" s="2">
        <v>81</v>
      </c>
      <c r="K670" s="2">
        <v>123</v>
      </c>
      <c r="L670" s="2">
        <v>1</v>
      </c>
      <c r="M670" s="2" t="s">
        <v>22</v>
      </c>
      <c r="N670" s="2">
        <v>6</v>
      </c>
      <c r="O670" s="2">
        <v>399.35</v>
      </c>
      <c r="P670" s="2">
        <f t="shared" si="50"/>
        <v>42</v>
      </c>
      <c r="Q670" s="4">
        <f t="shared" si="51"/>
        <v>0.65853658536585369</v>
      </c>
      <c r="R670" s="2" t="str">
        <f t="shared" si="52"/>
        <v>Inefficient</v>
      </c>
      <c r="S670" s="2" t="str">
        <f t="shared" si="53"/>
        <v>Very Long</v>
      </c>
      <c r="T670" s="2" t="str">
        <f t="shared" si="54"/>
        <v>Major Delay</v>
      </c>
    </row>
    <row r="671" spans="1:20" x14ac:dyDescent="0.35">
      <c r="A671" s="2" t="s">
        <v>1522</v>
      </c>
      <c r="B671" s="2" t="s">
        <v>16</v>
      </c>
      <c r="C671" s="2" t="s">
        <v>1523</v>
      </c>
      <c r="D671" s="2" t="s">
        <v>44</v>
      </c>
      <c r="E671" s="2" t="s">
        <v>85</v>
      </c>
      <c r="F671" s="2" t="s">
        <v>57</v>
      </c>
      <c r="G671" s="2" t="s">
        <v>505</v>
      </c>
      <c r="H671" s="3">
        <v>45501.161111111112</v>
      </c>
      <c r="I671" s="3">
        <v>45501.350694444445</v>
      </c>
      <c r="J671" s="2">
        <v>197</v>
      </c>
      <c r="K671" s="2">
        <v>273</v>
      </c>
      <c r="L671" s="2">
        <v>1</v>
      </c>
      <c r="M671" s="2" t="s">
        <v>41</v>
      </c>
      <c r="N671" s="2">
        <v>4</v>
      </c>
      <c r="O671" s="2">
        <v>310.38</v>
      </c>
      <c r="P671" s="2">
        <f t="shared" si="50"/>
        <v>76</v>
      </c>
      <c r="Q671" s="4">
        <f t="shared" si="51"/>
        <v>0.7216117216117216</v>
      </c>
      <c r="R671" s="2" t="str">
        <f t="shared" si="52"/>
        <v>Inefficient</v>
      </c>
      <c r="S671" s="2" t="str">
        <f t="shared" si="53"/>
        <v>Very Long</v>
      </c>
      <c r="T671" s="2" t="str">
        <f t="shared" si="54"/>
        <v>Major Delay</v>
      </c>
    </row>
    <row r="672" spans="1:20" x14ac:dyDescent="0.35">
      <c r="A672" s="2" t="s">
        <v>1524</v>
      </c>
      <c r="B672" s="2" t="s">
        <v>24</v>
      </c>
      <c r="C672" s="2" t="s">
        <v>1525</v>
      </c>
      <c r="D672" s="2" t="s">
        <v>56</v>
      </c>
      <c r="E672" s="2" t="s">
        <v>38</v>
      </c>
      <c r="F672" s="2" t="s">
        <v>27</v>
      </c>
      <c r="G672" s="2" t="s">
        <v>65</v>
      </c>
      <c r="H672" s="3">
        <v>45604.618750000001</v>
      </c>
      <c r="I672" s="3">
        <v>45604.78125</v>
      </c>
      <c r="J672" s="2">
        <v>167</v>
      </c>
      <c r="K672" s="2">
        <v>234</v>
      </c>
      <c r="L672" s="2">
        <v>1</v>
      </c>
      <c r="M672" s="2" t="s">
        <v>41</v>
      </c>
      <c r="N672" s="2">
        <v>1</v>
      </c>
      <c r="O672" s="2">
        <v>124.89</v>
      </c>
      <c r="P672" s="2">
        <f t="shared" si="50"/>
        <v>67</v>
      </c>
      <c r="Q672" s="4">
        <f t="shared" si="51"/>
        <v>0.71367521367521369</v>
      </c>
      <c r="R672" s="2" t="str">
        <f t="shared" si="52"/>
        <v>Inefficient</v>
      </c>
      <c r="S672" s="2" t="str">
        <f t="shared" si="53"/>
        <v>Very Long</v>
      </c>
      <c r="T672" s="2" t="str">
        <f t="shared" si="54"/>
        <v>Major Delay</v>
      </c>
    </row>
    <row r="673" spans="1:20" x14ac:dyDescent="0.35">
      <c r="A673" s="2" t="s">
        <v>1526</v>
      </c>
      <c r="B673" s="2" t="s">
        <v>51</v>
      </c>
      <c r="C673" s="2" t="s">
        <v>1527</v>
      </c>
      <c r="D673" s="2" t="s">
        <v>18</v>
      </c>
      <c r="E673" s="2" t="s">
        <v>33</v>
      </c>
      <c r="F673" s="2" t="s">
        <v>20</v>
      </c>
      <c r="G673" s="2" t="s">
        <v>88</v>
      </c>
      <c r="H673" s="3">
        <v>45653.541666666664</v>
      </c>
      <c r="I673" s="3">
        <v>45653.644444444442</v>
      </c>
      <c r="J673" s="2">
        <v>71</v>
      </c>
      <c r="K673" s="2">
        <v>148</v>
      </c>
      <c r="L673" s="2">
        <v>1</v>
      </c>
      <c r="M673" s="2" t="s">
        <v>29</v>
      </c>
      <c r="N673" s="2">
        <v>7</v>
      </c>
      <c r="O673" s="2">
        <v>206.84</v>
      </c>
      <c r="P673" s="2">
        <f t="shared" si="50"/>
        <v>77</v>
      </c>
      <c r="Q673" s="4">
        <f t="shared" si="51"/>
        <v>0.47972972972972971</v>
      </c>
      <c r="R673" s="2" t="str">
        <f t="shared" si="52"/>
        <v>Inefficient</v>
      </c>
      <c r="S673" s="2" t="str">
        <f t="shared" si="53"/>
        <v>Very Long</v>
      </c>
      <c r="T673" s="2" t="str">
        <f t="shared" si="54"/>
        <v>Major Delay</v>
      </c>
    </row>
    <row r="674" spans="1:20" x14ac:dyDescent="0.35">
      <c r="A674" s="2" t="s">
        <v>1528</v>
      </c>
      <c r="B674" s="2" t="s">
        <v>31</v>
      </c>
      <c r="C674" s="2" t="s">
        <v>1529</v>
      </c>
      <c r="D674" s="2" t="s">
        <v>56</v>
      </c>
      <c r="E674" s="2" t="s">
        <v>19</v>
      </c>
      <c r="F674" s="2" t="s">
        <v>20</v>
      </c>
      <c r="G674" s="2" t="s">
        <v>117</v>
      </c>
      <c r="H674" s="3">
        <v>45585.083333333336</v>
      </c>
      <c r="I674" s="3">
        <v>45585.170138888891</v>
      </c>
      <c r="J674" s="2">
        <v>113</v>
      </c>
      <c r="K674" s="2">
        <v>125</v>
      </c>
      <c r="L674" s="2">
        <v>1</v>
      </c>
      <c r="M674" s="2" t="s">
        <v>29</v>
      </c>
      <c r="N674" s="2">
        <v>5</v>
      </c>
      <c r="O674" s="2">
        <v>54.97</v>
      </c>
      <c r="P674" s="2">
        <f t="shared" si="50"/>
        <v>12</v>
      </c>
      <c r="Q674" s="4">
        <f t="shared" si="51"/>
        <v>0.90400000000000003</v>
      </c>
      <c r="R674" s="2" t="str">
        <f t="shared" si="52"/>
        <v>Inefficient</v>
      </c>
      <c r="S674" s="2" t="str">
        <f t="shared" si="53"/>
        <v>Very Long</v>
      </c>
      <c r="T674" s="2" t="str">
        <f t="shared" si="54"/>
        <v>Minor Delay</v>
      </c>
    </row>
    <row r="675" spans="1:20" x14ac:dyDescent="0.35">
      <c r="A675" s="2" t="s">
        <v>1530</v>
      </c>
      <c r="B675" s="2" t="s">
        <v>16</v>
      </c>
      <c r="C675" s="2" t="s">
        <v>1531</v>
      </c>
      <c r="D675" s="2" t="s">
        <v>26</v>
      </c>
      <c r="E675" s="2" t="s">
        <v>38</v>
      </c>
      <c r="F675" s="2" t="s">
        <v>57</v>
      </c>
      <c r="G675" s="2" t="s">
        <v>45</v>
      </c>
      <c r="H675" s="3">
        <v>45566.968055555553</v>
      </c>
      <c r="I675" s="3">
        <v>45567.112500000003</v>
      </c>
      <c r="J675" s="2">
        <v>88</v>
      </c>
      <c r="K675" s="2">
        <v>208</v>
      </c>
      <c r="L675" s="2">
        <v>1</v>
      </c>
      <c r="M675" s="2" t="s">
        <v>22</v>
      </c>
      <c r="N675" s="2">
        <v>2</v>
      </c>
      <c r="O675" s="2">
        <v>124.16</v>
      </c>
      <c r="P675" s="2">
        <f t="shared" si="50"/>
        <v>120</v>
      </c>
      <c r="Q675" s="4">
        <f t="shared" si="51"/>
        <v>0.42307692307692307</v>
      </c>
      <c r="R675" s="2" t="str">
        <f t="shared" si="52"/>
        <v>Inefficient</v>
      </c>
      <c r="S675" s="2" t="str">
        <f t="shared" si="53"/>
        <v>Very Long</v>
      </c>
      <c r="T675" s="2" t="str">
        <f t="shared" si="54"/>
        <v>Major Delay</v>
      </c>
    </row>
    <row r="676" spans="1:20" x14ac:dyDescent="0.35">
      <c r="A676" s="2" t="s">
        <v>1532</v>
      </c>
      <c r="B676" s="2" t="s">
        <v>51</v>
      </c>
      <c r="C676" s="2" t="s">
        <v>1533</v>
      </c>
      <c r="D676" s="2" t="s">
        <v>26</v>
      </c>
      <c r="E676" s="2" t="s">
        <v>19</v>
      </c>
      <c r="F676" s="2" t="s">
        <v>20</v>
      </c>
      <c r="G676" s="2" t="s">
        <v>335</v>
      </c>
      <c r="H676" s="3">
        <v>45373.936805555553</v>
      </c>
      <c r="I676" s="3">
        <v>45374.085416666669</v>
      </c>
      <c r="J676" s="2">
        <v>170</v>
      </c>
      <c r="K676" s="2">
        <v>214</v>
      </c>
      <c r="L676" s="2">
        <v>1</v>
      </c>
      <c r="M676" s="2" t="s">
        <v>41</v>
      </c>
      <c r="N676" s="2">
        <v>6</v>
      </c>
      <c r="O676" s="2">
        <v>356.49</v>
      </c>
      <c r="P676" s="2">
        <f t="shared" si="50"/>
        <v>44</v>
      </c>
      <c r="Q676" s="4">
        <f t="shared" si="51"/>
        <v>0.79439252336448596</v>
      </c>
      <c r="R676" s="2" t="str">
        <f t="shared" si="52"/>
        <v>Inefficient</v>
      </c>
      <c r="S676" s="2" t="str">
        <f t="shared" si="53"/>
        <v>Very Long</v>
      </c>
      <c r="T676" s="2" t="str">
        <f t="shared" si="54"/>
        <v>Major Delay</v>
      </c>
    </row>
    <row r="677" spans="1:20" x14ac:dyDescent="0.35">
      <c r="A677" s="2" t="s">
        <v>1534</v>
      </c>
      <c r="B677" s="2" t="s">
        <v>51</v>
      </c>
      <c r="C677" s="2" t="s">
        <v>1535</v>
      </c>
      <c r="D677" s="2" t="s">
        <v>18</v>
      </c>
      <c r="E677" s="2" t="s">
        <v>85</v>
      </c>
      <c r="F677" s="2" t="s">
        <v>39</v>
      </c>
      <c r="G677" s="2" t="s">
        <v>430</v>
      </c>
      <c r="H677" s="3">
        <v>45643.354861111111</v>
      </c>
      <c r="I677" s="3">
        <v>45643.555555555555</v>
      </c>
      <c r="J677" s="2">
        <v>207</v>
      </c>
      <c r="K677" s="2">
        <v>289</v>
      </c>
      <c r="L677" s="2">
        <v>1</v>
      </c>
      <c r="M677" s="2" t="s">
        <v>41</v>
      </c>
      <c r="N677" s="2">
        <v>3</v>
      </c>
      <c r="O677" s="2">
        <v>143.81</v>
      </c>
      <c r="P677" s="2">
        <f t="shared" si="50"/>
        <v>82</v>
      </c>
      <c r="Q677" s="4">
        <f t="shared" si="51"/>
        <v>0.7162629757785467</v>
      </c>
      <c r="R677" s="2" t="str">
        <f t="shared" si="52"/>
        <v>Inefficient</v>
      </c>
      <c r="S677" s="2" t="str">
        <f t="shared" si="53"/>
        <v>Very Long</v>
      </c>
      <c r="T677" s="2" t="str">
        <f t="shared" si="54"/>
        <v>Major Delay</v>
      </c>
    </row>
    <row r="678" spans="1:20" x14ac:dyDescent="0.35">
      <c r="A678" s="2" t="s">
        <v>1536</v>
      </c>
      <c r="B678" s="2" t="s">
        <v>31</v>
      </c>
      <c r="C678" s="2" t="s">
        <v>1537</v>
      </c>
      <c r="D678" s="2" t="s">
        <v>44</v>
      </c>
      <c r="E678" s="2" t="s">
        <v>38</v>
      </c>
      <c r="F678" s="2" t="s">
        <v>34</v>
      </c>
      <c r="G678" s="2" t="s">
        <v>407</v>
      </c>
      <c r="H678" s="3">
        <v>45648.371527777781</v>
      </c>
      <c r="I678" s="3">
        <v>45648.473611111112</v>
      </c>
      <c r="J678" s="2">
        <v>40</v>
      </c>
      <c r="K678" s="2">
        <v>147</v>
      </c>
      <c r="L678" s="2">
        <v>1</v>
      </c>
      <c r="M678" s="2" t="s">
        <v>22</v>
      </c>
      <c r="N678" s="2">
        <v>7</v>
      </c>
      <c r="O678" s="2">
        <v>211.54</v>
      </c>
      <c r="P678" s="2">
        <f t="shared" si="50"/>
        <v>107</v>
      </c>
      <c r="Q678" s="4">
        <f t="shared" si="51"/>
        <v>0.27210884353741499</v>
      </c>
      <c r="R678" s="2" t="str">
        <f t="shared" si="52"/>
        <v>Inefficient</v>
      </c>
      <c r="S678" s="2" t="str">
        <f t="shared" si="53"/>
        <v>Very Long</v>
      </c>
      <c r="T678" s="2" t="str">
        <f t="shared" si="54"/>
        <v>Major Delay</v>
      </c>
    </row>
    <row r="679" spans="1:20" x14ac:dyDescent="0.35">
      <c r="A679" s="2" t="s">
        <v>1538</v>
      </c>
      <c r="B679" s="2" t="s">
        <v>24</v>
      </c>
      <c r="C679" s="2" t="s">
        <v>1539</v>
      </c>
      <c r="D679" s="2" t="s">
        <v>18</v>
      </c>
      <c r="E679" s="2" t="s">
        <v>38</v>
      </c>
      <c r="F679" s="2" t="s">
        <v>57</v>
      </c>
      <c r="G679" s="2" t="s">
        <v>234</v>
      </c>
      <c r="H679" s="3">
        <v>45581.213194444441</v>
      </c>
      <c r="I679" s="3">
        <v>45581.251388888886</v>
      </c>
      <c r="J679" s="2">
        <v>17</v>
      </c>
      <c r="K679" s="2">
        <v>55</v>
      </c>
      <c r="L679" s="2">
        <v>1</v>
      </c>
      <c r="M679" s="2" t="s">
        <v>41</v>
      </c>
      <c r="N679" s="2">
        <v>3</v>
      </c>
      <c r="O679" s="2">
        <v>423.82</v>
      </c>
      <c r="P679" s="2">
        <f t="shared" si="50"/>
        <v>38</v>
      </c>
      <c r="Q679" s="4">
        <f t="shared" si="51"/>
        <v>0.30909090909090908</v>
      </c>
      <c r="R679" s="2" t="str">
        <f t="shared" si="52"/>
        <v>Inefficient</v>
      </c>
      <c r="S679" s="2" t="str">
        <f t="shared" si="53"/>
        <v>Medium</v>
      </c>
      <c r="T679" s="2" t="str">
        <f t="shared" si="54"/>
        <v>Major Delay</v>
      </c>
    </row>
    <row r="680" spans="1:20" x14ac:dyDescent="0.35">
      <c r="A680" s="2" t="s">
        <v>1540</v>
      </c>
      <c r="B680" s="2" t="s">
        <v>51</v>
      </c>
      <c r="C680" s="2" t="s">
        <v>1541</v>
      </c>
      <c r="D680" s="2" t="s">
        <v>56</v>
      </c>
      <c r="E680" s="2" t="s">
        <v>85</v>
      </c>
      <c r="F680" s="2" t="s">
        <v>34</v>
      </c>
      <c r="G680" s="2" t="s">
        <v>254</v>
      </c>
      <c r="H680" s="3">
        <v>45360.09097222222</v>
      </c>
      <c r="I680" s="3">
        <v>45360.165277777778</v>
      </c>
      <c r="J680" s="2">
        <v>57</v>
      </c>
      <c r="K680" s="2">
        <v>107</v>
      </c>
      <c r="L680" s="2">
        <v>1</v>
      </c>
      <c r="M680" s="2" t="s">
        <v>29</v>
      </c>
      <c r="N680" s="2">
        <v>8</v>
      </c>
      <c r="O680" s="2">
        <v>303.29000000000002</v>
      </c>
      <c r="P680" s="2">
        <f t="shared" si="50"/>
        <v>50</v>
      </c>
      <c r="Q680" s="4">
        <f t="shared" si="51"/>
        <v>0.53271028037383172</v>
      </c>
      <c r="R680" s="2" t="str">
        <f t="shared" si="52"/>
        <v>Inefficient</v>
      </c>
      <c r="S680" s="2" t="str">
        <f t="shared" si="53"/>
        <v>Long</v>
      </c>
      <c r="T680" s="2" t="str">
        <f t="shared" si="54"/>
        <v>Major Delay</v>
      </c>
    </row>
    <row r="681" spans="1:20" x14ac:dyDescent="0.35">
      <c r="A681" s="2" t="s">
        <v>1542</v>
      </c>
      <c r="B681" s="2" t="s">
        <v>63</v>
      </c>
      <c r="C681" s="2" t="s">
        <v>1543</v>
      </c>
      <c r="D681" s="2" t="s">
        <v>48</v>
      </c>
      <c r="E681" s="2" t="s">
        <v>85</v>
      </c>
      <c r="F681" s="2" t="s">
        <v>20</v>
      </c>
      <c r="G681" s="2" t="s">
        <v>213</v>
      </c>
      <c r="H681" s="3">
        <v>45544.310416666667</v>
      </c>
      <c r="I681" s="3">
        <v>45544.405555555553</v>
      </c>
      <c r="J681" s="2">
        <v>141</v>
      </c>
      <c r="K681" s="2">
        <v>137</v>
      </c>
      <c r="L681" s="2">
        <v>0</v>
      </c>
      <c r="M681" s="2" t="s">
        <v>22</v>
      </c>
      <c r="N681" s="2">
        <v>6</v>
      </c>
      <c r="O681" s="2">
        <v>470.21</v>
      </c>
      <c r="P681" s="2">
        <f t="shared" si="50"/>
        <v>-4</v>
      </c>
      <c r="Q681" s="4">
        <f t="shared" si="51"/>
        <v>1.0291970802919708</v>
      </c>
      <c r="R681" s="2" t="str">
        <f t="shared" si="52"/>
        <v>Efficient</v>
      </c>
      <c r="S681" s="2" t="str">
        <f t="shared" si="53"/>
        <v>Very Long</v>
      </c>
      <c r="T681" s="2" t="str">
        <f t="shared" si="54"/>
        <v>On Time</v>
      </c>
    </row>
    <row r="682" spans="1:20" x14ac:dyDescent="0.35">
      <c r="A682" s="2" t="s">
        <v>1544</v>
      </c>
      <c r="B682" s="2" t="s">
        <v>16</v>
      </c>
      <c r="C682" s="2" t="s">
        <v>1545</v>
      </c>
      <c r="D682" s="2" t="s">
        <v>26</v>
      </c>
      <c r="E682" s="2" t="s">
        <v>85</v>
      </c>
      <c r="F682" s="2" t="s">
        <v>34</v>
      </c>
      <c r="G682" s="2" t="s">
        <v>254</v>
      </c>
      <c r="H682" s="3">
        <v>45448.011111111111</v>
      </c>
      <c r="I682" s="3">
        <v>45448.146527777775</v>
      </c>
      <c r="J682" s="2">
        <v>175</v>
      </c>
      <c r="K682" s="2">
        <v>195</v>
      </c>
      <c r="L682" s="2">
        <v>1</v>
      </c>
      <c r="M682" s="2" t="s">
        <v>29</v>
      </c>
      <c r="N682" s="2">
        <v>8</v>
      </c>
      <c r="O682" s="2">
        <v>495.62</v>
      </c>
      <c r="P682" s="2">
        <f t="shared" si="50"/>
        <v>20</v>
      </c>
      <c r="Q682" s="4">
        <f t="shared" si="51"/>
        <v>0.89743589743589747</v>
      </c>
      <c r="R682" s="2" t="str">
        <f t="shared" si="52"/>
        <v>Inefficient</v>
      </c>
      <c r="S682" s="2" t="str">
        <f t="shared" si="53"/>
        <v>Very Long</v>
      </c>
      <c r="T682" s="2" t="str">
        <f t="shared" si="54"/>
        <v>Minor Delay</v>
      </c>
    </row>
    <row r="683" spans="1:20" x14ac:dyDescent="0.35">
      <c r="A683" s="2" t="s">
        <v>1546</v>
      </c>
      <c r="B683" s="2" t="s">
        <v>16</v>
      </c>
      <c r="C683" s="2" t="s">
        <v>1547</v>
      </c>
      <c r="D683" s="2" t="s">
        <v>48</v>
      </c>
      <c r="E683" s="2" t="s">
        <v>19</v>
      </c>
      <c r="F683" s="2" t="s">
        <v>20</v>
      </c>
      <c r="G683" s="2" t="s">
        <v>853</v>
      </c>
      <c r="H683" s="3">
        <v>45391.022916666669</v>
      </c>
      <c r="I683" s="3">
        <v>45391.195833333331</v>
      </c>
      <c r="J683" s="2">
        <v>198</v>
      </c>
      <c r="K683" s="2">
        <v>249</v>
      </c>
      <c r="L683" s="2">
        <v>1</v>
      </c>
      <c r="M683" s="2" t="s">
        <v>41</v>
      </c>
      <c r="N683" s="2">
        <v>1</v>
      </c>
      <c r="O683" s="2">
        <v>395.3</v>
      </c>
      <c r="P683" s="2">
        <f t="shared" si="50"/>
        <v>51</v>
      </c>
      <c r="Q683" s="4">
        <f t="shared" si="51"/>
        <v>0.79518072289156627</v>
      </c>
      <c r="R683" s="2" t="str">
        <f t="shared" si="52"/>
        <v>Inefficient</v>
      </c>
      <c r="S683" s="2" t="str">
        <f t="shared" si="53"/>
        <v>Very Long</v>
      </c>
      <c r="T683" s="2" t="str">
        <f t="shared" si="54"/>
        <v>Major Delay</v>
      </c>
    </row>
    <row r="684" spans="1:20" x14ac:dyDescent="0.35">
      <c r="A684" s="2" t="s">
        <v>1548</v>
      </c>
      <c r="B684" s="2" t="s">
        <v>16</v>
      </c>
      <c r="C684" s="2" t="s">
        <v>1549</v>
      </c>
      <c r="D684" s="2" t="s">
        <v>56</v>
      </c>
      <c r="E684" s="2" t="s">
        <v>33</v>
      </c>
      <c r="F684" s="2" t="s">
        <v>57</v>
      </c>
      <c r="G684" s="2" t="s">
        <v>268</v>
      </c>
      <c r="H684" s="3">
        <v>45472.777083333334</v>
      </c>
      <c r="I684" s="3">
        <v>45472.861805555556</v>
      </c>
      <c r="J684" s="2">
        <v>117</v>
      </c>
      <c r="K684" s="2">
        <v>122</v>
      </c>
      <c r="L684" s="2">
        <v>1</v>
      </c>
      <c r="M684" s="2" t="s">
        <v>29</v>
      </c>
      <c r="N684" s="2">
        <v>2</v>
      </c>
      <c r="O684" s="2">
        <v>230.42</v>
      </c>
      <c r="P684" s="2">
        <f t="shared" si="50"/>
        <v>5</v>
      </c>
      <c r="Q684" s="4">
        <f t="shared" si="51"/>
        <v>0.95901639344262291</v>
      </c>
      <c r="R684" s="2" t="str">
        <f t="shared" si="52"/>
        <v>Inefficient</v>
      </c>
      <c r="S684" s="2" t="str">
        <f t="shared" si="53"/>
        <v>Very Long</v>
      </c>
      <c r="T684" s="2" t="str">
        <f t="shared" si="54"/>
        <v>Minor Delay</v>
      </c>
    </row>
    <row r="685" spans="1:20" x14ac:dyDescent="0.35">
      <c r="A685" s="2" t="s">
        <v>1550</v>
      </c>
      <c r="B685" s="2" t="s">
        <v>63</v>
      </c>
      <c r="C685" s="2" t="s">
        <v>1551</v>
      </c>
      <c r="D685" s="2" t="s">
        <v>48</v>
      </c>
      <c r="E685" s="2" t="s">
        <v>19</v>
      </c>
      <c r="F685" s="2" t="s">
        <v>27</v>
      </c>
      <c r="G685" s="2" t="s">
        <v>410</v>
      </c>
      <c r="H685" s="3">
        <v>45330.15347222222</v>
      </c>
      <c r="I685" s="3">
        <v>45330.237500000003</v>
      </c>
      <c r="J685" s="2">
        <v>46</v>
      </c>
      <c r="K685" s="2">
        <v>121</v>
      </c>
      <c r="L685" s="2">
        <v>1</v>
      </c>
      <c r="M685" s="2" t="s">
        <v>29</v>
      </c>
      <c r="N685" s="2">
        <v>9</v>
      </c>
      <c r="O685" s="2">
        <v>188.33</v>
      </c>
      <c r="P685" s="2">
        <f t="shared" si="50"/>
        <v>75</v>
      </c>
      <c r="Q685" s="4">
        <f t="shared" si="51"/>
        <v>0.38016528925619836</v>
      </c>
      <c r="R685" s="2" t="str">
        <f t="shared" si="52"/>
        <v>Inefficient</v>
      </c>
      <c r="S685" s="2" t="str">
        <f t="shared" si="53"/>
        <v>Very Long</v>
      </c>
      <c r="T685" s="2" t="str">
        <f t="shared" si="54"/>
        <v>Major Delay</v>
      </c>
    </row>
    <row r="686" spans="1:20" x14ac:dyDescent="0.35">
      <c r="A686" s="2" t="s">
        <v>1552</v>
      </c>
      <c r="B686" s="2" t="s">
        <v>24</v>
      </c>
      <c r="C686" s="2" t="s">
        <v>1553</v>
      </c>
      <c r="D686" s="2" t="s">
        <v>26</v>
      </c>
      <c r="E686" s="2" t="s">
        <v>33</v>
      </c>
      <c r="F686" s="2" t="s">
        <v>57</v>
      </c>
      <c r="G686" s="2" t="s">
        <v>335</v>
      </c>
      <c r="H686" s="3">
        <v>45593.399305555555</v>
      </c>
      <c r="I686" s="3">
        <v>45593.441666666666</v>
      </c>
      <c r="J686" s="2">
        <v>46</v>
      </c>
      <c r="K686" s="2">
        <v>61</v>
      </c>
      <c r="L686" s="2">
        <v>1</v>
      </c>
      <c r="M686" s="2" t="s">
        <v>41</v>
      </c>
      <c r="N686" s="2">
        <v>2</v>
      </c>
      <c r="O686" s="2">
        <v>153.16999999999999</v>
      </c>
      <c r="P686" s="2">
        <f t="shared" si="50"/>
        <v>15</v>
      </c>
      <c r="Q686" s="4">
        <f t="shared" si="51"/>
        <v>0.75409836065573765</v>
      </c>
      <c r="R686" s="2" t="str">
        <f t="shared" si="52"/>
        <v>Inefficient</v>
      </c>
      <c r="S686" s="2" t="str">
        <f t="shared" si="53"/>
        <v>Long</v>
      </c>
      <c r="T686" s="2" t="str">
        <f t="shared" si="54"/>
        <v>Minor Delay</v>
      </c>
    </row>
    <row r="687" spans="1:20" x14ac:dyDescent="0.35">
      <c r="A687" s="2" t="s">
        <v>1554</v>
      </c>
      <c r="B687" s="2" t="s">
        <v>16</v>
      </c>
      <c r="C687" s="2" t="s">
        <v>1555</v>
      </c>
      <c r="D687" s="2" t="s">
        <v>56</v>
      </c>
      <c r="E687" s="2" t="s">
        <v>85</v>
      </c>
      <c r="F687" s="2" t="s">
        <v>57</v>
      </c>
      <c r="G687" s="2" t="s">
        <v>650</v>
      </c>
      <c r="H687" s="3">
        <v>45473.347916666666</v>
      </c>
      <c r="I687" s="3">
        <v>45473.50277777778</v>
      </c>
      <c r="J687" s="2">
        <v>178</v>
      </c>
      <c r="K687" s="2">
        <v>223</v>
      </c>
      <c r="L687" s="2">
        <v>1</v>
      </c>
      <c r="M687" s="2" t="s">
        <v>22</v>
      </c>
      <c r="N687" s="2">
        <v>1</v>
      </c>
      <c r="O687" s="2">
        <v>275</v>
      </c>
      <c r="P687" s="2">
        <f t="shared" si="50"/>
        <v>45</v>
      </c>
      <c r="Q687" s="4">
        <f t="shared" si="51"/>
        <v>0.7982062780269058</v>
      </c>
      <c r="R687" s="2" t="str">
        <f t="shared" si="52"/>
        <v>Inefficient</v>
      </c>
      <c r="S687" s="2" t="str">
        <f t="shared" si="53"/>
        <v>Very Long</v>
      </c>
      <c r="T687" s="2" t="str">
        <f t="shared" si="54"/>
        <v>Major Delay</v>
      </c>
    </row>
    <row r="688" spans="1:20" x14ac:dyDescent="0.35">
      <c r="A688" s="2" t="s">
        <v>1556</v>
      </c>
      <c r="B688" s="2" t="s">
        <v>51</v>
      </c>
      <c r="C688" s="2" t="s">
        <v>1557</v>
      </c>
      <c r="D688" s="2" t="s">
        <v>44</v>
      </c>
      <c r="E688" s="2" t="s">
        <v>85</v>
      </c>
      <c r="F688" s="2" t="s">
        <v>34</v>
      </c>
      <c r="G688" s="2" t="s">
        <v>691</v>
      </c>
      <c r="H688" s="3">
        <v>45542.440972222219</v>
      </c>
      <c r="I688" s="3">
        <v>45542.618055555555</v>
      </c>
      <c r="J688" s="2">
        <v>196</v>
      </c>
      <c r="K688" s="2">
        <v>255</v>
      </c>
      <c r="L688" s="2">
        <v>1</v>
      </c>
      <c r="M688" s="2" t="s">
        <v>41</v>
      </c>
      <c r="N688" s="2">
        <v>10</v>
      </c>
      <c r="O688" s="2">
        <v>148.05000000000001</v>
      </c>
      <c r="P688" s="2">
        <f t="shared" si="50"/>
        <v>59</v>
      </c>
      <c r="Q688" s="4">
        <f t="shared" si="51"/>
        <v>0.7686274509803922</v>
      </c>
      <c r="R688" s="2" t="str">
        <f t="shared" si="52"/>
        <v>Inefficient</v>
      </c>
      <c r="S688" s="2" t="str">
        <f t="shared" si="53"/>
        <v>Very Long</v>
      </c>
      <c r="T688" s="2" t="str">
        <f t="shared" si="54"/>
        <v>Major Delay</v>
      </c>
    </row>
    <row r="689" spans="1:20" x14ac:dyDescent="0.35">
      <c r="A689" s="2" t="s">
        <v>1558</v>
      </c>
      <c r="B689" s="2" t="s">
        <v>63</v>
      </c>
      <c r="C689" s="2" t="s">
        <v>1559</v>
      </c>
      <c r="D689" s="2" t="s">
        <v>18</v>
      </c>
      <c r="E689" s="2" t="s">
        <v>33</v>
      </c>
      <c r="F689" s="2" t="s">
        <v>27</v>
      </c>
      <c r="G689" s="2" t="s">
        <v>1413</v>
      </c>
      <c r="H689" s="3">
        <v>45581.921527777777</v>
      </c>
      <c r="I689" s="3">
        <v>45582.068055555559</v>
      </c>
      <c r="J689" s="2">
        <v>211</v>
      </c>
      <c r="K689" s="2">
        <v>211</v>
      </c>
      <c r="L689" s="2">
        <v>0</v>
      </c>
      <c r="M689" s="2" t="s">
        <v>22</v>
      </c>
      <c r="N689" s="2">
        <v>9</v>
      </c>
      <c r="O689" s="2">
        <v>484.52</v>
      </c>
      <c r="P689" s="2">
        <f t="shared" si="50"/>
        <v>0</v>
      </c>
      <c r="Q689" s="4">
        <f t="shared" si="51"/>
        <v>1</v>
      </c>
      <c r="R689" s="2" t="str">
        <f t="shared" si="52"/>
        <v>On Target</v>
      </c>
      <c r="S689" s="2" t="str">
        <f t="shared" si="53"/>
        <v>Very Long</v>
      </c>
      <c r="T689" s="2" t="str">
        <f t="shared" si="54"/>
        <v>On Time</v>
      </c>
    </row>
    <row r="690" spans="1:20" x14ac:dyDescent="0.35">
      <c r="A690" s="2" t="s">
        <v>1560</v>
      </c>
      <c r="B690" s="2" t="s">
        <v>16</v>
      </c>
      <c r="C690" s="2" t="s">
        <v>1561</v>
      </c>
      <c r="D690" s="2" t="s">
        <v>44</v>
      </c>
      <c r="E690" s="2" t="s">
        <v>33</v>
      </c>
      <c r="F690" s="2" t="s">
        <v>57</v>
      </c>
      <c r="G690" s="2" t="s">
        <v>647</v>
      </c>
      <c r="H690" s="3">
        <v>45513.10833333333</v>
      </c>
      <c r="I690" s="3">
        <v>45513.217361111114</v>
      </c>
      <c r="J690" s="2">
        <v>59</v>
      </c>
      <c r="K690" s="2">
        <v>157</v>
      </c>
      <c r="L690" s="2">
        <v>1</v>
      </c>
      <c r="M690" s="2" t="s">
        <v>22</v>
      </c>
      <c r="N690" s="2">
        <v>6</v>
      </c>
      <c r="O690" s="2">
        <v>87.43</v>
      </c>
      <c r="P690" s="2">
        <f t="shared" si="50"/>
        <v>98</v>
      </c>
      <c r="Q690" s="4">
        <f t="shared" si="51"/>
        <v>0.37579617834394907</v>
      </c>
      <c r="R690" s="2" t="str">
        <f t="shared" si="52"/>
        <v>Inefficient</v>
      </c>
      <c r="S690" s="2" t="str">
        <f t="shared" si="53"/>
        <v>Very Long</v>
      </c>
      <c r="T690" s="2" t="str">
        <f t="shared" si="54"/>
        <v>Major Delay</v>
      </c>
    </row>
    <row r="691" spans="1:20" x14ac:dyDescent="0.35">
      <c r="A691" s="2" t="s">
        <v>1562</v>
      </c>
      <c r="B691" s="2" t="s">
        <v>16</v>
      </c>
      <c r="C691" s="2" t="s">
        <v>1563</v>
      </c>
      <c r="D691" s="2" t="s">
        <v>26</v>
      </c>
      <c r="E691" s="2" t="s">
        <v>85</v>
      </c>
      <c r="F691" s="2" t="s">
        <v>34</v>
      </c>
      <c r="G691" s="2" t="s">
        <v>983</v>
      </c>
      <c r="H691" s="3">
        <v>45433.627083333333</v>
      </c>
      <c r="I691" s="3">
        <v>45433.772222222222</v>
      </c>
      <c r="J691" s="2">
        <v>197</v>
      </c>
      <c r="K691" s="2">
        <v>209</v>
      </c>
      <c r="L691" s="2">
        <v>1</v>
      </c>
      <c r="M691" s="2" t="s">
        <v>29</v>
      </c>
      <c r="N691" s="2">
        <v>6</v>
      </c>
      <c r="O691" s="2">
        <v>56.42</v>
      </c>
      <c r="P691" s="2">
        <f t="shared" si="50"/>
        <v>12</v>
      </c>
      <c r="Q691" s="4">
        <f t="shared" si="51"/>
        <v>0.9425837320574163</v>
      </c>
      <c r="R691" s="2" t="str">
        <f t="shared" si="52"/>
        <v>Inefficient</v>
      </c>
      <c r="S691" s="2" t="str">
        <f t="shared" si="53"/>
        <v>Very Long</v>
      </c>
      <c r="T691" s="2" t="str">
        <f t="shared" si="54"/>
        <v>Minor Delay</v>
      </c>
    </row>
    <row r="692" spans="1:20" x14ac:dyDescent="0.35">
      <c r="A692" s="2" t="s">
        <v>1564</v>
      </c>
      <c r="B692" s="2" t="s">
        <v>51</v>
      </c>
      <c r="C692" s="2" t="s">
        <v>1565</v>
      </c>
      <c r="D692" s="2" t="s">
        <v>26</v>
      </c>
      <c r="E692" s="2" t="s">
        <v>38</v>
      </c>
      <c r="F692" s="2" t="s">
        <v>27</v>
      </c>
      <c r="G692" s="2" t="s">
        <v>194</v>
      </c>
      <c r="H692" s="3">
        <v>45321.068055555559</v>
      </c>
      <c r="I692" s="3">
        <v>45321.15902777778</v>
      </c>
      <c r="J692" s="2">
        <v>135</v>
      </c>
      <c r="K692" s="2">
        <v>131</v>
      </c>
      <c r="L692" s="2">
        <v>0</v>
      </c>
      <c r="M692" s="2" t="s">
        <v>41</v>
      </c>
      <c r="N692" s="2">
        <v>8</v>
      </c>
      <c r="O692" s="2">
        <v>253.36</v>
      </c>
      <c r="P692" s="2">
        <f t="shared" si="50"/>
        <v>-4</v>
      </c>
      <c r="Q692" s="4">
        <f t="shared" si="51"/>
        <v>1.0305343511450382</v>
      </c>
      <c r="R692" s="2" t="str">
        <f t="shared" si="52"/>
        <v>Efficient</v>
      </c>
      <c r="S692" s="2" t="str">
        <f t="shared" si="53"/>
        <v>Very Long</v>
      </c>
      <c r="T692" s="2" t="str">
        <f t="shared" si="54"/>
        <v>On Time</v>
      </c>
    </row>
    <row r="693" spans="1:20" x14ac:dyDescent="0.35">
      <c r="A693" s="2" t="s">
        <v>1566</v>
      </c>
      <c r="B693" s="2" t="s">
        <v>31</v>
      </c>
      <c r="C693" s="2" t="s">
        <v>1567</v>
      </c>
      <c r="D693" s="2" t="s">
        <v>48</v>
      </c>
      <c r="E693" s="2" t="s">
        <v>19</v>
      </c>
      <c r="F693" s="2" t="s">
        <v>57</v>
      </c>
      <c r="G693" s="2" t="s">
        <v>415</v>
      </c>
      <c r="H693" s="3">
        <v>45466.013194444444</v>
      </c>
      <c r="I693" s="3">
        <v>45466.227777777778</v>
      </c>
      <c r="J693" s="2">
        <v>202</v>
      </c>
      <c r="K693" s="2">
        <v>309</v>
      </c>
      <c r="L693" s="2">
        <v>1</v>
      </c>
      <c r="M693" s="2" t="s">
        <v>41</v>
      </c>
      <c r="N693" s="2">
        <v>1</v>
      </c>
      <c r="O693" s="2">
        <v>164.19</v>
      </c>
      <c r="P693" s="2">
        <f t="shared" si="50"/>
        <v>107</v>
      </c>
      <c r="Q693" s="4">
        <f t="shared" si="51"/>
        <v>0.65372168284789645</v>
      </c>
      <c r="R693" s="2" t="str">
        <f t="shared" si="52"/>
        <v>Inefficient</v>
      </c>
      <c r="S693" s="2" t="str">
        <f t="shared" si="53"/>
        <v>Very Long</v>
      </c>
      <c r="T693" s="2" t="str">
        <f t="shared" si="54"/>
        <v>Major Delay</v>
      </c>
    </row>
    <row r="694" spans="1:20" x14ac:dyDescent="0.35">
      <c r="A694" s="2" t="s">
        <v>1568</v>
      </c>
      <c r="B694" s="2" t="s">
        <v>24</v>
      </c>
      <c r="C694" s="2" t="s">
        <v>1569</v>
      </c>
      <c r="D694" s="2" t="s">
        <v>56</v>
      </c>
      <c r="E694" s="2" t="s">
        <v>38</v>
      </c>
      <c r="F694" s="2" t="s">
        <v>34</v>
      </c>
      <c r="G694" s="2" t="s">
        <v>254</v>
      </c>
      <c r="H694" s="3">
        <v>45428.979166666664</v>
      </c>
      <c r="I694" s="3">
        <v>45429.145138888889</v>
      </c>
      <c r="J694" s="2">
        <v>202</v>
      </c>
      <c r="K694" s="2">
        <v>239</v>
      </c>
      <c r="L694" s="2">
        <v>1</v>
      </c>
      <c r="M694" s="2" t="s">
        <v>41</v>
      </c>
      <c r="N694" s="2">
        <v>4</v>
      </c>
      <c r="O694" s="2">
        <v>382.99</v>
      </c>
      <c r="P694" s="2">
        <f t="shared" si="50"/>
        <v>37</v>
      </c>
      <c r="Q694" s="4">
        <f t="shared" si="51"/>
        <v>0.84518828451882844</v>
      </c>
      <c r="R694" s="2" t="str">
        <f t="shared" si="52"/>
        <v>Inefficient</v>
      </c>
      <c r="S694" s="2" t="str">
        <f t="shared" si="53"/>
        <v>Very Long</v>
      </c>
      <c r="T694" s="2" t="str">
        <f t="shared" si="54"/>
        <v>Major Delay</v>
      </c>
    </row>
    <row r="695" spans="1:20" x14ac:dyDescent="0.35">
      <c r="A695" s="2" t="s">
        <v>1570</v>
      </c>
      <c r="B695" s="2" t="s">
        <v>63</v>
      </c>
      <c r="C695" s="2" t="s">
        <v>1571</v>
      </c>
      <c r="D695" s="2" t="s">
        <v>18</v>
      </c>
      <c r="E695" s="2" t="s">
        <v>19</v>
      </c>
      <c r="F695" s="2" t="s">
        <v>27</v>
      </c>
      <c r="G695" s="2" t="s">
        <v>505</v>
      </c>
      <c r="H695" s="3">
        <v>45369.105555555558</v>
      </c>
      <c r="I695" s="3">
        <v>45369.172222222223</v>
      </c>
      <c r="J695" s="2">
        <v>101</v>
      </c>
      <c r="K695" s="2">
        <v>96</v>
      </c>
      <c r="L695" s="2">
        <v>0</v>
      </c>
      <c r="M695" s="2" t="s">
        <v>22</v>
      </c>
      <c r="N695" s="2">
        <v>1</v>
      </c>
      <c r="O695" s="2">
        <v>478.95</v>
      </c>
      <c r="P695" s="2">
        <f t="shared" si="50"/>
        <v>-5</v>
      </c>
      <c r="Q695" s="4">
        <f t="shared" si="51"/>
        <v>1.0520833333333333</v>
      </c>
      <c r="R695" s="2" t="str">
        <f t="shared" si="52"/>
        <v>Efficient</v>
      </c>
      <c r="S695" s="2" t="str">
        <f t="shared" si="53"/>
        <v>Long</v>
      </c>
      <c r="T695" s="2" t="str">
        <f t="shared" si="54"/>
        <v>On Time</v>
      </c>
    </row>
    <row r="696" spans="1:20" x14ac:dyDescent="0.35">
      <c r="A696" s="2" t="s">
        <v>1572</v>
      </c>
      <c r="B696" s="2" t="s">
        <v>51</v>
      </c>
      <c r="C696" s="2" t="s">
        <v>1573</v>
      </c>
      <c r="D696" s="2" t="s">
        <v>44</v>
      </c>
      <c r="E696" s="2" t="s">
        <v>33</v>
      </c>
      <c r="F696" s="2" t="s">
        <v>57</v>
      </c>
      <c r="G696" s="2" t="s">
        <v>204</v>
      </c>
      <c r="H696" s="3">
        <v>45474.932638888888</v>
      </c>
      <c r="I696" s="3">
        <v>45475.026388888888</v>
      </c>
      <c r="J696" s="2">
        <v>38</v>
      </c>
      <c r="K696" s="2">
        <v>135</v>
      </c>
      <c r="L696" s="2">
        <v>1</v>
      </c>
      <c r="M696" s="2" t="s">
        <v>29</v>
      </c>
      <c r="N696" s="2">
        <v>10</v>
      </c>
      <c r="O696" s="2">
        <v>490.61</v>
      </c>
      <c r="P696" s="2">
        <f t="shared" si="50"/>
        <v>97</v>
      </c>
      <c r="Q696" s="4">
        <f t="shared" si="51"/>
        <v>0.2814814814814815</v>
      </c>
      <c r="R696" s="2" t="str">
        <f t="shared" si="52"/>
        <v>Inefficient</v>
      </c>
      <c r="S696" s="2" t="str">
        <f t="shared" si="53"/>
        <v>Very Long</v>
      </c>
      <c r="T696" s="2" t="str">
        <f t="shared" si="54"/>
        <v>Major Delay</v>
      </c>
    </row>
    <row r="697" spans="1:20" x14ac:dyDescent="0.35">
      <c r="A697" s="2" t="s">
        <v>1574</v>
      </c>
      <c r="B697" s="2" t="s">
        <v>63</v>
      </c>
      <c r="C697" s="2" t="s">
        <v>1575</v>
      </c>
      <c r="D697" s="2" t="s">
        <v>56</v>
      </c>
      <c r="E697" s="2" t="s">
        <v>85</v>
      </c>
      <c r="F697" s="2" t="s">
        <v>39</v>
      </c>
      <c r="G697" s="2" t="s">
        <v>164</v>
      </c>
      <c r="H697" s="3">
        <v>45509.011805555558</v>
      </c>
      <c r="I697" s="3">
        <v>45509.148611111108</v>
      </c>
      <c r="J697" s="2">
        <v>132</v>
      </c>
      <c r="K697" s="2">
        <v>197</v>
      </c>
      <c r="L697" s="2">
        <v>1</v>
      </c>
      <c r="M697" s="2" t="s">
        <v>22</v>
      </c>
      <c r="N697" s="2">
        <v>7</v>
      </c>
      <c r="O697" s="2">
        <v>64.150000000000006</v>
      </c>
      <c r="P697" s="2">
        <f t="shared" si="50"/>
        <v>65</v>
      </c>
      <c r="Q697" s="4">
        <f t="shared" si="51"/>
        <v>0.67005076142131981</v>
      </c>
      <c r="R697" s="2" t="str">
        <f t="shared" si="52"/>
        <v>Inefficient</v>
      </c>
      <c r="S697" s="2" t="str">
        <f t="shared" si="53"/>
        <v>Very Long</v>
      </c>
      <c r="T697" s="2" t="str">
        <f t="shared" si="54"/>
        <v>Major Delay</v>
      </c>
    </row>
    <row r="698" spans="1:20" x14ac:dyDescent="0.35">
      <c r="A698" s="2" t="s">
        <v>1576</v>
      </c>
      <c r="B698" s="2" t="s">
        <v>24</v>
      </c>
      <c r="C698" s="2" t="s">
        <v>1577</v>
      </c>
      <c r="D698" s="2" t="s">
        <v>48</v>
      </c>
      <c r="E698" s="2" t="s">
        <v>85</v>
      </c>
      <c r="F698" s="2" t="s">
        <v>39</v>
      </c>
      <c r="G698" s="2" t="s">
        <v>647</v>
      </c>
      <c r="H698" s="3">
        <v>45428.150694444441</v>
      </c>
      <c r="I698" s="3">
        <v>45428.26666666667</v>
      </c>
      <c r="J698" s="2">
        <v>158</v>
      </c>
      <c r="K698" s="2">
        <v>167</v>
      </c>
      <c r="L698" s="2">
        <v>1</v>
      </c>
      <c r="M698" s="2" t="s">
        <v>41</v>
      </c>
      <c r="N698" s="2">
        <v>6</v>
      </c>
      <c r="O698" s="2">
        <v>410.08</v>
      </c>
      <c r="P698" s="2">
        <f t="shared" si="50"/>
        <v>9</v>
      </c>
      <c r="Q698" s="4">
        <f t="shared" si="51"/>
        <v>0.94610778443113774</v>
      </c>
      <c r="R698" s="2" t="str">
        <f t="shared" si="52"/>
        <v>Inefficient</v>
      </c>
      <c r="S698" s="2" t="str">
        <f t="shared" si="53"/>
        <v>Very Long</v>
      </c>
      <c r="T698" s="2" t="str">
        <f t="shared" si="54"/>
        <v>Minor Delay</v>
      </c>
    </row>
    <row r="699" spans="1:20" x14ac:dyDescent="0.35">
      <c r="A699" s="2" t="s">
        <v>1578</v>
      </c>
      <c r="B699" s="2" t="s">
        <v>31</v>
      </c>
      <c r="C699" s="2" t="s">
        <v>1579</v>
      </c>
      <c r="D699" s="2" t="s">
        <v>26</v>
      </c>
      <c r="E699" s="2" t="s">
        <v>85</v>
      </c>
      <c r="F699" s="2" t="s">
        <v>20</v>
      </c>
      <c r="G699" s="2" t="s">
        <v>21</v>
      </c>
      <c r="H699" s="3">
        <v>45490.898611111108</v>
      </c>
      <c r="I699" s="3">
        <v>45491.093055555553</v>
      </c>
      <c r="J699" s="2">
        <v>207</v>
      </c>
      <c r="K699" s="2">
        <v>280</v>
      </c>
      <c r="L699" s="2">
        <v>1</v>
      </c>
      <c r="M699" s="2" t="s">
        <v>22</v>
      </c>
      <c r="N699" s="2">
        <v>1</v>
      </c>
      <c r="O699" s="2">
        <v>362.76</v>
      </c>
      <c r="P699" s="2">
        <f t="shared" si="50"/>
        <v>73</v>
      </c>
      <c r="Q699" s="4">
        <f t="shared" si="51"/>
        <v>0.73928571428571432</v>
      </c>
      <c r="R699" s="2" t="str">
        <f t="shared" si="52"/>
        <v>Inefficient</v>
      </c>
      <c r="S699" s="2" t="str">
        <f t="shared" si="53"/>
        <v>Very Long</v>
      </c>
      <c r="T699" s="2" t="str">
        <f t="shared" si="54"/>
        <v>Major Delay</v>
      </c>
    </row>
    <row r="700" spans="1:20" x14ac:dyDescent="0.35">
      <c r="A700" s="2" t="s">
        <v>1580</v>
      </c>
      <c r="B700" s="2" t="s">
        <v>16</v>
      </c>
      <c r="C700" s="2" t="s">
        <v>1581</v>
      </c>
      <c r="D700" s="2" t="s">
        <v>56</v>
      </c>
      <c r="E700" s="2" t="s">
        <v>19</v>
      </c>
      <c r="F700" s="2" t="s">
        <v>20</v>
      </c>
      <c r="G700" s="2" t="s">
        <v>88</v>
      </c>
      <c r="H700" s="3">
        <v>45457.833333333336</v>
      </c>
      <c r="I700" s="3">
        <v>45457.975694444445</v>
      </c>
      <c r="J700" s="2">
        <v>177</v>
      </c>
      <c r="K700" s="2">
        <v>205</v>
      </c>
      <c r="L700" s="2">
        <v>1</v>
      </c>
      <c r="M700" s="2" t="s">
        <v>22</v>
      </c>
      <c r="N700" s="2">
        <v>2</v>
      </c>
      <c r="O700" s="2">
        <v>435.28</v>
      </c>
      <c r="P700" s="2">
        <f t="shared" si="50"/>
        <v>28</v>
      </c>
      <c r="Q700" s="4">
        <f t="shared" si="51"/>
        <v>0.86341463414634145</v>
      </c>
      <c r="R700" s="2" t="str">
        <f t="shared" si="52"/>
        <v>Inefficient</v>
      </c>
      <c r="S700" s="2" t="str">
        <f t="shared" si="53"/>
        <v>Very Long</v>
      </c>
      <c r="T700" s="2" t="str">
        <f t="shared" si="54"/>
        <v>Minor Delay</v>
      </c>
    </row>
    <row r="701" spans="1:20" x14ac:dyDescent="0.35">
      <c r="A701" s="2" t="s">
        <v>1582</v>
      </c>
      <c r="B701" s="2" t="s">
        <v>31</v>
      </c>
      <c r="C701" s="2" t="s">
        <v>1583</v>
      </c>
      <c r="D701" s="2" t="s">
        <v>44</v>
      </c>
      <c r="E701" s="2" t="s">
        <v>33</v>
      </c>
      <c r="F701" s="2" t="s">
        <v>27</v>
      </c>
      <c r="G701" s="2" t="s">
        <v>137</v>
      </c>
      <c r="H701" s="3">
        <v>45639.445138888892</v>
      </c>
      <c r="I701" s="3">
        <v>45639.513888888891</v>
      </c>
      <c r="J701" s="2">
        <v>16</v>
      </c>
      <c r="K701" s="2">
        <v>99</v>
      </c>
      <c r="L701" s="2">
        <v>1</v>
      </c>
      <c r="M701" s="2" t="s">
        <v>22</v>
      </c>
      <c r="N701" s="2">
        <v>1</v>
      </c>
      <c r="O701" s="2">
        <v>449.43</v>
      </c>
      <c r="P701" s="2">
        <f t="shared" si="50"/>
        <v>83</v>
      </c>
      <c r="Q701" s="4">
        <f t="shared" si="51"/>
        <v>0.16161616161616163</v>
      </c>
      <c r="R701" s="2" t="str">
        <f t="shared" si="52"/>
        <v>Inefficient</v>
      </c>
      <c r="S701" s="2" t="str">
        <f t="shared" si="53"/>
        <v>Long</v>
      </c>
      <c r="T701" s="2" t="str">
        <f t="shared" si="54"/>
        <v>Major Delay</v>
      </c>
    </row>
    <row r="702" spans="1:20" x14ac:dyDescent="0.35">
      <c r="A702" s="2" t="s">
        <v>1584</v>
      </c>
      <c r="B702" s="2" t="s">
        <v>31</v>
      </c>
      <c r="C702" s="2" t="s">
        <v>1585</v>
      </c>
      <c r="D702" s="2" t="s">
        <v>26</v>
      </c>
      <c r="E702" s="2" t="s">
        <v>19</v>
      </c>
      <c r="F702" s="2" t="s">
        <v>34</v>
      </c>
      <c r="G702" s="2" t="s">
        <v>842</v>
      </c>
      <c r="H702" s="3">
        <v>45323.152083333334</v>
      </c>
      <c r="I702" s="3">
        <v>45323.211805555555</v>
      </c>
      <c r="J702" s="2">
        <v>67</v>
      </c>
      <c r="K702" s="2">
        <v>86</v>
      </c>
      <c r="L702" s="2">
        <v>1</v>
      </c>
      <c r="M702" s="2" t="s">
        <v>22</v>
      </c>
      <c r="N702" s="2">
        <v>3</v>
      </c>
      <c r="O702" s="2">
        <v>87.58</v>
      </c>
      <c r="P702" s="2">
        <f t="shared" si="50"/>
        <v>19</v>
      </c>
      <c r="Q702" s="4">
        <f t="shared" si="51"/>
        <v>0.77906976744186052</v>
      </c>
      <c r="R702" s="2" t="str">
        <f t="shared" si="52"/>
        <v>Inefficient</v>
      </c>
      <c r="S702" s="2" t="str">
        <f t="shared" si="53"/>
        <v>Long</v>
      </c>
      <c r="T702" s="2" t="str">
        <f t="shared" si="54"/>
        <v>Minor Delay</v>
      </c>
    </row>
    <row r="703" spans="1:20" x14ac:dyDescent="0.35">
      <c r="A703" s="2" t="s">
        <v>1586</v>
      </c>
      <c r="B703" s="2" t="s">
        <v>16</v>
      </c>
      <c r="C703" s="2" t="s">
        <v>1587</v>
      </c>
      <c r="D703" s="2" t="s">
        <v>48</v>
      </c>
      <c r="E703" s="2" t="s">
        <v>19</v>
      </c>
      <c r="F703" s="2" t="s">
        <v>27</v>
      </c>
      <c r="G703" s="2" t="s">
        <v>691</v>
      </c>
      <c r="H703" s="3">
        <v>45322.618055555555</v>
      </c>
      <c r="I703" s="3">
        <v>45322.8125</v>
      </c>
      <c r="J703" s="2">
        <v>217</v>
      </c>
      <c r="K703" s="2">
        <v>280</v>
      </c>
      <c r="L703" s="2">
        <v>1</v>
      </c>
      <c r="M703" s="2" t="s">
        <v>41</v>
      </c>
      <c r="N703" s="2">
        <v>1</v>
      </c>
      <c r="O703" s="2">
        <v>230.08</v>
      </c>
      <c r="P703" s="2">
        <f t="shared" si="50"/>
        <v>63</v>
      </c>
      <c r="Q703" s="4">
        <f t="shared" si="51"/>
        <v>0.77500000000000002</v>
      </c>
      <c r="R703" s="2" t="str">
        <f t="shared" si="52"/>
        <v>Inefficient</v>
      </c>
      <c r="S703" s="2" t="str">
        <f t="shared" si="53"/>
        <v>Very Long</v>
      </c>
      <c r="T703" s="2" t="str">
        <f t="shared" si="54"/>
        <v>Major Delay</v>
      </c>
    </row>
    <row r="704" spans="1:20" x14ac:dyDescent="0.35">
      <c r="A704" s="2" t="s">
        <v>1588</v>
      </c>
      <c r="B704" s="2" t="s">
        <v>24</v>
      </c>
      <c r="C704" s="2" t="s">
        <v>1589</v>
      </c>
      <c r="D704" s="2" t="s">
        <v>56</v>
      </c>
      <c r="E704" s="2" t="s">
        <v>38</v>
      </c>
      <c r="F704" s="2" t="s">
        <v>57</v>
      </c>
      <c r="G704" s="2" t="s">
        <v>114</v>
      </c>
      <c r="H704" s="3">
        <v>45368.552777777775</v>
      </c>
      <c r="I704" s="3">
        <v>45368.578472222223</v>
      </c>
      <c r="J704" s="2">
        <v>14</v>
      </c>
      <c r="K704" s="2">
        <v>37</v>
      </c>
      <c r="L704" s="2">
        <v>1</v>
      </c>
      <c r="M704" s="2" t="s">
        <v>29</v>
      </c>
      <c r="N704" s="2">
        <v>7</v>
      </c>
      <c r="O704" s="2">
        <v>114.14</v>
      </c>
      <c r="P704" s="2">
        <f t="shared" si="50"/>
        <v>23</v>
      </c>
      <c r="Q704" s="4">
        <f t="shared" si="51"/>
        <v>0.3783783783783784</v>
      </c>
      <c r="R704" s="2" t="str">
        <f t="shared" si="52"/>
        <v>Inefficient</v>
      </c>
      <c r="S704" s="2" t="str">
        <f t="shared" si="53"/>
        <v>Medium</v>
      </c>
      <c r="T704" s="2" t="str">
        <f t="shared" si="54"/>
        <v>Minor Delay</v>
      </c>
    </row>
    <row r="705" spans="1:20" x14ac:dyDescent="0.35">
      <c r="A705" s="2" t="s">
        <v>1590</v>
      </c>
      <c r="B705" s="2" t="s">
        <v>16</v>
      </c>
      <c r="C705" s="2" t="s">
        <v>1591</v>
      </c>
      <c r="D705" s="2" t="s">
        <v>18</v>
      </c>
      <c r="E705" s="2" t="s">
        <v>19</v>
      </c>
      <c r="F705" s="2" t="s">
        <v>27</v>
      </c>
      <c r="G705" s="2" t="s">
        <v>599</v>
      </c>
      <c r="H705" s="3">
        <v>45438.166666666664</v>
      </c>
      <c r="I705" s="3">
        <v>45438.36041666667</v>
      </c>
      <c r="J705" s="2">
        <v>222</v>
      </c>
      <c r="K705" s="2">
        <v>279</v>
      </c>
      <c r="L705" s="2">
        <v>1</v>
      </c>
      <c r="M705" s="2" t="s">
        <v>29</v>
      </c>
      <c r="N705" s="2">
        <v>5</v>
      </c>
      <c r="O705" s="2">
        <v>178.42</v>
      </c>
      <c r="P705" s="2">
        <f t="shared" si="50"/>
        <v>57</v>
      </c>
      <c r="Q705" s="4">
        <f t="shared" si="51"/>
        <v>0.79569892473118276</v>
      </c>
      <c r="R705" s="2" t="str">
        <f t="shared" si="52"/>
        <v>Inefficient</v>
      </c>
      <c r="S705" s="2" t="str">
        <f t="shared" si="53"/>
        <v>Very Long</v>
      </c>
      <c r="T705" s="2" t="str">
        <f t="shared" si="54"/>
        <v>Major Delay</v>
      </c>
    </row>
    <row r="706" spans="1:20" x14ac:dyDescent="0.35">
      <c r="A706" s="2" t="s">
        <v>1592</v>
      </c>
      <c r="B706" s="2" t="s">
        <v>16</v>
      </c>
      <c r="C706" s="2" t="s">
        <v>1593</v>
      </c>
      <c r="D706" s="2" t="s">
        <v>48</v>
      </c>
      <c r="E706" s="2" t="s">
        <v>19</v>
      </c>
      <c r="F706" s="2" t="s">
        <v>34</v>
      </c>
      <c r="G706" s="2" t="s">
        <v>754</v>
      </c>
      <c r="H706" s="3">
        <v>45515.162499999999</v>
      </c>
      <c r="I706" s="3">
        <v>45515.254166666666</v>
      </c>
      <c r="J706" s="2">
        <v>75</v>
      </c>
      <c r="K706" s="2">
        <v>132</v>
      </c>
      <c r="L706" s="2">
        <v>1</v>
      </c>
      <c r="M706" s="2" t="s">
        <v>22</v>
      </c>
      <c r="N706" s="2">
        <v>9</v>
      </c>
      <c r="O706" s="2">
        <v>375.2</v>
      </c>
      <c r="P706" s="2">
        <f t="shared" si="50"/>
        <v>57</v>
      </c>
      <c r="Q706" s="4">
        <f t="shared" si="51"/>
        <v>0.56818181818181823</v>
      </c>
      <c r="R706" s="2" t="str">
        <f t="shared" si="52"/>
        <v>Inefficient</v>
      </c>
      <c r="S706" s="2" t="str">
        <f t="shared" si="53"/>
        <v>Very Long</v>
      </c>
      <c r="T706" s="2" t="str">
        <f t="shared" si="54"/>
        <v>Major Delay</v>
      </c>
    </row>
    <row r="707" spans="1:20" x14ac:dyDescent="0.35">
      <c r="A707" s="2" t="s">
        <v>1594</v>
      </c>
      <c r="B707" s="2" t="s">
        <v>16</v>
      </c>
      <c r="C707" s="2" t="s">
        <v>1595</v>
      </c>
      <c r="D707" s="2" t="s">
        <v>26</v>
      </c>
      <c r="E707" s="2" t="s">
        <v>85</v>
      </c>
      <c r="F707" s="2" t="s">
        <v>39</v>
      </c>
      <c r="G707" s="2" t="s">
        <v>410</v>
      </c>
      <c r="H707" s="3">
        <v>45430.675694444442</v>
      </c>
      <c r="I707" s="3">
        <v>45430.813194444447</v>
      </c>
      <c r="J707" s="2">
        <v>121</v>
      </c>
      <c r="K707" s="2">
        <v>198</v>
      </c>
      <c r="L707" s="2">
        <v>1</v>
      </c>
      <c r="M707" s="2" t="s">
        <v>22</v>
      </c>
      <c r="N707" s="2">
        <v>8</v>
      </c>
      <c r="O707" s="2">
        <v>254.86</v>
      </c>
      <c r="P707" s="2">
        <f t="shared" ref="P707:P770" si="55">K707-J707</f>
        <v>77</v>
      </c>
      <c r="Q707" s="4">
        <f t="shared" ref="Q707:Q770" si="56">J707/K707</f>
        <v>0.61111111111111116</v>
      </c>
      <c r="R707" s="2" t="str">
        <f t="shared" ref="R707:R770" si="57">IF(Q707&gt;1,"Efficient",
IF(Q707=1,"On Target","Inefficient"))</f>
        <v>Inefficient</v>
      </c>
      <c r="S707" s="2" t="str">
        <f t="shared" ref="S707:S770" si="58">IF(K707&lt;30,"Short",
IF(K707&lt;60,"Medium",
IF(K707&lt;120,"Long","Very Long")))</f>
        <v>Very Long</v>
      </c>
      <c r="T707" s="2" t="str">
        <f t="shared" ref="T707:T770" si="59">IF(K707&lt;=J707,"On Time",
IF(K707-J707&lt;=30,"Minor Delay","Major Delay"))</f>
        <v>Major Delay</v>
      </c>
    </row>
    <row r="708" spans="1:20" x14ac:dyDescent="0.35">
      <c r="A708" s="2" t="s">
        <v>1596</v>
      </c>
      <c r="B708" s="2" t="s">
        <v>63</v>
      </c>
      <c r="C708" s="2" t="s">
        <v>1597</v>
      </c>
      <c r="D708" s="2" t="s">
        <v>26</v>
      </c>
      <c r="E708" s="2" t="s">
        <v>85</v>
      </c>
      <c r="F708" s="2" t="s">
        <v>57</v>
      </c>
      <c r="G708" s="2" t="s">
        <v>100</v>
      </c>
      <c r="H708" s="3">
        <v>45643.051388888889</v>
      </c>
      <c r="I708" s="3">
        <v>45643.163888888892</v>
      </c>
      <c r="J708" s="2">
        <v>162</v>
      </c>
      <c r="K708" s="2">
        <v>162</v>
      </c>
      <c r="L708" s="2">
        <v>0</v>
      </c>
      <c r="M708" s="2" t="s">
        <v>41</v>
      </c>
      <c r="N708" s="2">
        <v>3</v>
      </c>
      <c r="O708" s="2">
        <v>53.94</v>
      </c>
      <c r="P708" s="2">
        <f t="shared" si="55"/>
        <v>0</v>
      </c>
      <c r="Q708" s="4">
        <f t="shared" si="56"/>
        <v>1</v>
      </c>
      <c r="R708" s="2" t="str">
        <f t="shared" si="57"/>
        <v>On Target</v>
      </c>
      <c r="S708" s="2" t="str">
        <f t="shared" si="58"/>
        <v>Very Long</v>
      </c>
      <c r="T708" s="2" t="str">
        <f t="shared" si="59"/>
        <v>On Time</v>
      </c>
    </row>
    <row r="709" spans="1:20" x14ac:dyDescent="0.35">
      <c r="A709" s="2" t="s">
        <v>1598</v>
      </c>
      <c r="B709" s="2" t="s">
        <v>51</v>
      </c>
      <c r="C709" s="2" t="s">
        <v>1599</v>
      </c>
      <c r="D709" s="2" t="s">
        <v>56</v>
      </c>
      <c r="E709" s="2" t="s">
        <v>33</v>
      </c>
      <c r="F709" s="2" t="s">
        <v>20</v>
      </c>
      <c r="G709" s="2" t="s">
        <v>231</v>
      </c>
      <c r="H709" s="3">
        <v>45312.234722222223</v>
      </c>
      <c r="I709" s="3">
        <v>45312.36041666667</v>
      </c>
      <c r="J709" s="2">
        <v>184</v>
      </c>
      <c r="K709" s="2">
        <v>181</v>
      </c>
      <c r="L709" s="2">
        <v>0</v>
      </c>
      <c r="M709" s="2" t="s">
        <v>41</v>
      </c>
      <c r="N709" s="2">
        <v>8</v>
      </c>
      <c r="O709" s="2">
        <v>299.5</v>
      </c>
      <c r="P709" s="2">
        <f t="shared" si="55"/>
        <v>-3</v>
      </c>
      <c r="Q709" s="4">
        <f t="shared" si="56"/>
        <v>1.0165745856353592</v>
      </c>
      <c r="R709" s="2" t="str">
        <f t="shared" si="57"/>
        <v>Efficient</v>
      </c>
      <c r="S709" s="2" t="str">
        <f t="shared" si="58"/>
        <v>Very Long</v>
      </c>
      <c r="T709" s="2" t="str">
        <f t="shared" si="59"/>
        <v>On Time</v>
      </c>
    </row>
    <row r="710" spans="1:20" x14ac:dyDescent="0.35">
      <c r="A710" s="2" t="s">
        <v>1600</v>
      </c>
      <c r="B710" s="2" t="s">
        <v>16</v>
      </c>
      <c r="C710" s="2" t="s">
        <v>1601</v>
      </c>
      <c r="D710" s="2" t="s">
        <v>18</v>
      </c>
      <c r="E710" s="2" t="s">
        <v>38</v>
      </c>
      <c r="F710" s="2" t="s">
        <v>57</v>
      </c>
      <c r="G710" s="2" t="s">
        <v>251</v>
      </c>
      <c r="H710" s="3">
        <v>45296.400694444441</v>
      </c>
      <c r="I710" s="3">
        <v>45296.556944444441</v>
      </c>
      <c r="J710" s="2">
        <v>212</v>
      </c>
      <c r="K710" s="2">
        <v>225</v>
      </c>
      <c r="L710" s="2">
        <v>1</v>
      </c>
      <c r="M710" s="2" t="s">
        <v>41</v>
      </c>
      <c r="N710" s="2">
        <v>7</v>
      </c>
      <c r="O710" s="2">
        <v>329.41</v>
      </c>
      <c r="P710" s="2">
        <f t="shared" si="55"/>
        <v>13</v>
      </c>
      <c r="Q710" s="4">
        <f t="shared" si="56"/>
        <v>0.94222222222222218</v>
      </c>
      <c r="R710" s="2" t="str">
        <f t="shared" si="57"/>
        <v>Inefficient</v>
      </c>
      <c r="S710" s="2" t="str">
        <f t="shared" si="58"/>
        <v>Very Long</v>
      </c>
      <c r="T710" s="2" t="str">
        <f t="shared" si="59"/>
        <v>Minor Delay</v>
      </c>
    </row>
    <row r="711" spans="1:20" x14ac:dyDescent="0.35">
      <c r="A711" s="2" t="s">
        <v>1602</v>
      </c>
      <c r="B711" s="2" t="s">
        <v>24</v>
      </c>
      <c r="C711" s="2" t="s">
        <v>1603</v>
      </c>
      <c r="D711" s="2" t="s">
        <v>26</v>
      </c>
      <c r="E711" s="2" t="s">
        <v>85</v>
      </c>
      <c r="F711" s="2" t="s">
        <v>34</v>
      </c>
      <c r="G711" s="2" t="s">
        <v>388</v>
      </c>
      <c r="H711" s="3">
        <v>45474.138194444444</v>
      </c>
      <c r="I711" s="3">
        <v>45474.303472222222</v>
      </c>
      <c r="J711" s="2">
        <v>195</v>
      </c>
      <c r="K711" s="2">
        <v>238</v>
      </c>
      <c r="L711" s="2">
        <v>1</v>
      </c>
      <c r="M711" s="2" t="s">
        <v>22</v>
      </c>
      <c r="N711" s="2">
        <v>8</v>
      </c>
      <c r="O711" s="2">
        <v>369.91</v>
      </c>
      <c r="P711" s="2">
        <f t="shared" si="55"/>
        <v>43</v>
      </c>
      <c r="Q711" s="4">
        <f t="shared" si="56"/>
        <v>0.81932773109243695</v>
      </c>
      <c r="R711" s="2" t="str">
        <f t="shared" si="57"/>
        <v>Inefficient</v>
      </c>
      <c r="S711" s="2" t="str">
        <f t="shared" si="58"/>
        <v>Very Long</v>
      </c>
      <c r="T711" s="2" t="str">
        <f t="shared" si="59"/>
        <v>Major Delay</v>
      </c>
    </row>
    <row r="712" spans="1:20" x14ac:dyDescent="0.35">
      <c r="A712" s="2" t="s">
        <v>1604</v>
      </c>
      <c r="B712" s="2" t="s">
        <v>31</v>
      </c>
      <c r="C712" s="2" t="s">
        <v>1605</v>
      </c>
      <c r="D712" s="2" t="s">
        <v>48</v>
      </c>
      <c r="E712" s="2" t="s">
        <v>19</v>
      </c>
      <c r="F712" s="2" t="s">
        <v>39</v>
      </c>
      <c r="G712" s="2" t="s">
        <v>470</v>
      </c>
      <c r="H712" s="3">
        <v>45410.620833333334</v>
      </c>
      <c r="I712" s="3">
        <v>45410.686805555553</v>
      </c>
      <c r="J712" s="2">
        <v>17</v>
      </c>
      <c r="K712" s="2">
        <v>95</v>
      </c>
      <c r="L712" s="2">
        <v>1</v>
      </c>
      <c r="M712" s="2" t="s">
        <v>29</v>
      </c>
      <c r="N712" s="2">
        <v>10</v>
      </c>
      <c r="O712" s="2">
        <v>298.86</v>
      </c>
      <c r="P712" s="2">
        <f t="shared" si="55"/>
        <v>78</v>
      </c>
      <c r="Q712" s="4">
        <f t="shared" si="56"/>
        <v>0.17894736842105263</v>
      </c>
      <c r="R712" s="2" t="str">
        <f t="shared" si="57"/>
        <v>Inefficient</v>
      </c>
      <c r="S712" s="2" t="str">
        <f t="shared" si="58"/>
        <v>Long</v>
      </c>
      <c r="T712" s="2" t="str">
        <f t="shared" si="59"/>
        <v>Major Delay</v>
      </c>
    </row>
    <row r="713" spans="1:20" x14ac:dyDescent="0.35">
      <c r="A713" s="2" t="s">
        <v>1606</v>
      </c>
      <c r="B713" s="2" t="s">
        <v>24</v>
      </c>
      <c r="C713" s="2" t="s">
        <v>1607</v>
      </c>
      <c r="D713" s="2" t="s">
        <v>48</v>
      </c>
      <c r="E713" s="2" t="s">
        <v>33</v>
      </c>
      <c r="F713" s="2" t="s">
        <v>34</v>
      </c>
      <c r="G713" s="2" t="s">
        <v>445</v>
      </c>
      <c r="H713" s="3">
        <v>45406.257638888892</v>
      </c>
      <c r="I713" s="3">
        <v>45406.399305555555</v>
      </c>
      <c r="J713" s="2">
        <v>187</v>
      </c>
      <c r="K713" s="2">
        <v>204</v>
      </c>
      <c r="L713" s="2">
        <v>1</v>
      </c>
      <c r="M713" s="2" t="s">
        <v>29</v>
      </c>
      <c r="N713" s="2">
        <v>10</v>
      </c>
      <c r="O713" s="2">
        <v>318.04000000000002</v>
      </c>
      <c r="P713" s="2">
        <f t="shared" si="55"/>
        <v>17</v>
      </c>
      <c r="Q713" s="4">
        <f t="shared" si="56"/>
        <v>0.91666666666666663</v>
      </c>
      <c r="R713" s="2" t="str">
        <f t="shared" si="57"/>
        <v>Inefficient</v>
      </c>
      <c r="S713" s="2" t="str">
        <f t="shared" si="58"/>
        <v>Very Long</v>
      </c>
      <c r="T713" s="2" t="str">
        <f t="shared" si="59"/>
        <v>Minor Delay</v>
      </c>
    </row>
    <row r="714" spans="1:20" x14ac:dyDescent="0.35">
      <c r="A714" s="2" t="s">
        <v>1608</v>
      </c>
      <c r="B714" s="2" t="s">
        <v>31</v>
      </c>
      <c r="C714" s="2" t="s">
        <v>1609</v>
      </c>
      <c r="D714" s="2" t="s">
        <v>48</v>
      </c>
      <c r="E714" s="2" t="s">
        <v>19</v>
      </c>
      <c r="F714" s="2" t="s">
        <v>34</v>
      </c>
      <c r="G714" s="2" t="s">
        <v>28</v>
      </c>
      <c r="H714" s="3">
        <v>45309.158333333333</v>
      </c>
      <c r="I714" s="3">
        <v>45309.372916666667</v>
      </c>
      <c r="J714" s="2">
        <v>202</v>
      </c>
      <c r="K714" s="2">
        <v>309</v>
      </c>
      <c r="L714" s="2">
        <v>1</v>
      </c>
      <c r="M714" s="2" t="s">
        <v>22</v>
      </c>
      <c r="N714" s="2">
        <v>1</v>
      </c>
      <c r="O714" s="2">
        <v>361.75</v>
      </c>
      <c r="P714" s="2">
        <f t="shared" si="55"/>
        <v>107</v>
      </c>
      <c r="Q714" s="4">
        <f t="shared" si="56"/>
        <v>0.65372168284789645</v>
      </c>
      <c r="R714" s="2" t="str">
        <f t="shared" si="57"/>
        <v>Inefficient</v>
      </c>
      <c r="S714" s="2" t="str">
        <f t="shared" si="58"/>
        <v>Very Long</v>
      </c>
      <c r="T714" s="2" t="str">
        <f t="shared" si="59"/>
        <v>Major Delay</v>
      </c>
    </row>
    <row r="715" spans="1:20" x14ac:dyDescent="0.35">
      <c r="A715" s="2" t="s">
        <v>1610</v>
      </c>
      <c r="B715" s="2" t="s">
        <v>63</v>
      </c>
      <c r="C715" s="2" t="s">
        <v>1611</v>
      </c>
      <c r="D715" s="2" t="s">
        <v>26</v>
      </c>
      <c r="E715" s="2" t="s">
        <v>33</v>
      </c>
      <c r="F715" s="2" t="s">
        <v>20</v>
      </c>
      <c r="G715" s="2" t="s">
        <v>204</v>
      </c>
      <c r="H715" s="3">
        <v>45550.634722222225</v>
      </c>
      <c r="I715" s="3">
        <v>45550.780555555553</v>
      </c>
      <c r="J715" s="2">
        <v>101</v>
      </c>
      <c r="K715" s="2">
        <v>210</v>
      </c>
      <c r="L715" s="2">
        <v>1</v>
      </c>
      <c r="M715" s="2" t="s">
        <v>22</v>
      </c>
      <c r="N715" s="2">
        <v>10</v>
      </c>
      <c r="O715" s="2">
        <v>282.02999999999997</v>
      </c>
      <c r="P715" s="2">
        <f t="shared" si="55"/>
        <v>109</v>
      </c>
      <c r="Q715" s="4">
        <f t="shared" si="56"/>
        <v>0.48095238095238096</v>
      </c>
      <c r="R715" s="2" t="str">
        <f t="shared" si="57"/>
        <v>Inefficient</v>
      </c>
      <c r="S715" s="2" t="str">
        <f t="shared" si="58"/>
        <v>Very Long</v>
      </c>
      <c r="T715" s="2" t="str">
        <f t="shared" si="59"/>
        <v>Major Delay</v>
      </c>
    </row>
    <row r="716" spans="1:20" x14ac:dyDescent="0.35">
      <c r="A716" s="2" t="s">
        <v>1612</v>
      </c>
      <c r="B716" s="2" t="s">
        <v>63</v>
      </c>
      <c r="C716" s="2" t="s">
        <v>1613</v>
      </c>
      <c r="D716" s="2" t="s">
        <v>44</v>
      </c>
      <c r="E716" s="2" t="s">
        <v>19</v>
      </c>
      <c r="F716" s="2" t="s">
        <v>20</v>
      </c>
      <c r="G716" s="2" t="s">
        <v>167</v>
      </c>
      <c r="H716" s="3">
        <v>45447.574305555558</v>
      </c>
      <c r="I716" s="3">
        <v>45447.622916666667</v>
      </c>
      <c r="J716" s="2">
        <v>37</v>
      </c>
      <c r="K716" s="2">
        <v>70</v>
      </c>
      <c r="L716" s="2">
        <v>1</v>
      </c>
      <c r="M716" s="2" t="s">
        <v>29</v>
      </c>
      <c r="N716" s="2">
        <v>2</v>
      </c>
      <c r="O716" s="2">
        <v>223.59</v>
      </c>
      <c r="P716" s="2">
        <f t="shared" si="55"/>
        <v>33</v>
      </c>
      <c r="Q716" s="4">
        <f t="shared" si="56"/>
        <v>0.52857142857142858</v>
      </c>
      <c r="R716" s="2" t="str">
        <f t="shared" si="57"/>
        <v>Inefficient</v>
      </c>
      <c r="S716" s="2" t="str">
        <f t="shared" si="58"/>
        <v>Long</v>
      </c>
      <c r="T716" s="2" t="str">
        <f t="shared" si="59"/>
        <v>Major Delay</v>
      </c>
    </row>
    <row r="717" spans="1:20" x14ac:dyDescent="0.35">
      <c r="A717" s="2" t="s">
        <v>1614</v>
      </c>
      <c r="B717" s="2" t="s">
        <v>31</v>
      </c>
      <c r="C717" s="2" t="s">
        <v>1615</v>
      </c>
      <c r="D717" s="2" t="s">
        <v>44</v>
      </c>
      <c r="E717" s="2" t="s">
        <v>38</v>
      </c>
      <c r="F717" s="2" t="s">
        <v>39</v>
      </c>
      <c r="G717" s="2" t="s">
        <v>283</v>
      </c>
      <c r="H717" s="3">
        <v>45453.347916666666</v>
      </c>
      <c r="I717" s="3">
        <v>45453.487500000003</v>
      </c>
      <c r="J717" s="2">
        <v>163</v>
      </c>
      <c r="K717" s="2">
        <v>201</v>
      </c>
      <c r="L717" s="2">
        <v>1</v>
      </c>
      <c r="M717" s="2" t="s">
        <v>41</v>
      </c>
      <c r="N717" s="2">
        <v>10</v>
      </c>
      <c r="O717" s="2">
        <v>199.58</v>
      </c>
      <c r="P717" s="2">
        <f t="shared" si="55"/>
        <v>38</v>
      </c>
      <c r="Q717" s="4">
        <f t="shared" si="56"/>
        <v>0.81094527363184077</v>
      </c>
      <c r="R717" s="2" t="str">
        <f t="shared" si="57"/>
        <v>Inefficient</v>
      </c>
      <c r="S717" s="2" t="str">
        <f t="shared" si="58"/>
        <v>Very Long</v>
      </c>
      <c r="T717" s="2" t="str">
        <f t="shared" si="59"/>
        <v>Major Delay</v>
      </c>
    </row>
    <row r="718" spans="1:20" x14ac:dyDescent="0.35">
      <c r="A718" s="2" t="s">
        <v>1616</v>
      </c>
      <c r="B718" s="2" t="s">
        <v>31</v>
      </c>
      <c r="C718" s="2" t="s">
        <v>1617</v>
      </c>
      <c r="D718" s="2" t="s">
        <v>44</v>
      </c>
      <c r="E718" s="2" t="s">
        <v>33</v>
      </c>
      <c r="F718" s="2" t="s">
        <v>34</v>
      </c>
      <c r="G718" s="2" t="s">
        <v>622</v>
      </c>
      <c r="H718" s="3">
        <v>45597.602777777778</v>
      </c>
      <c r="I718" s="3">
        <v>45597.786805555559</v>
      </c>
      <c r="J718" s="2">
        <v>155</v>
      </c>
      <c r="K718" s="2">
        <v>265</v>
      </c>
      <c r="L718" s="2">
        <v>1</v>
      </c>
      <c r="M718" s="2" t="s">
        <v>22</v>
      </c>
      <c r="N718" s="2">
        <v>3</v>
      </c>
      <c r="O718" s="2">
        <v>317.87</v>
      </c>
      <c r="P718" s="2">
        <f t="shared" si="55"/>
        <v>110</v>
      </c>
      <c r="Q718" s="4">
        <f t="shared" si="56"/>
        <v>0.58490566037735847</v>
      </c>
      <c r="R718" s="2" t="str">
        <f t="shared" si="57"/>
        <v>Inefficient</v>
      </c>
      <c r="S718" s="2" t="str">
        <f t="shared" si="58"/>
        <v>Very Long</v>
      </c>
      <c r="T718" s="2" t="str">
        <f t="shared" si="59"/>
        <v>Major Delay</v>
      </c>
    </row>
    <row r="719" spans="1:20" x14ac:dyDescent="0.35">
      <c r="A719" s="2" t="s">
        <v>1618</v>
      </c>
      <c r="B719" s="2" t="s">
        <v>31</v>
      </c>
      <c r="C719" s="2" t="s">
        <v>1619</v>
      </c>
      <c r="D719" s="2" t="s">
        <v>18</v>
      </c>
      <c r="E719" s="2" t="s">
        <v>33</v>
      </c>
      <c r="F719" s="2" t="s">
        <v>39</v>
      </c>
      <c r="G719" s="2" t="s">
        <v>622</v>
      </c>
      <c r="H719" s="3">
        <v>45399.122916666667</v>
      </c>
      <c r="I719" s="3">
        <v>45399.222916666666</v>
      </c>
      <c r="J719" s="2">
        <v>61</v>
      </c>
      <c r="K719" s="2">
        <v>144</v>
      </c>
      <c r="L719" s="2">
        <v>1</v>
      </c>
      <c r="M719" s="2" t="s">
        <v>41</v>
      </c>
      <c r="N719" s="2">
        <v>3</v>
      </c>
      <c r="O719" s="2">
        <v>321.08</v>
      </c>
      <c r="P719" s="2">
        <f t="shared" si="55"/>
        <v>83</v>
      </c>
      <c r="Q719" s="4">
        <f t="shared" si="56"/>
        <v>0.4236111111111111</v>
      </c>
      <c r="R719" s="2" t="str">
        <f t="shared" si="57"/>
        <v>Inefficient</v>
      </c>
      <c r="S719" s="2" t="str">
        <f t="shared" si="58"/>
        <v>Very Long</v>
      </c>
      <c r="T719" s="2" t="str">
        <f t="shared" si="59"/>
        <v>Major Delay</v>
      </c>
    </row>
    <row r="720" spans="1:20" x14ac:dyDescent="0.35">
      <c r="A720" s="2" t="s">
        <v>1620</v>
      </c>
      <c r="B720" s="2" t="s">
        <v>51</v>
      </c>
      <c r="C720" s="2" t="s">
        <v>1621</v>
      </c>
      <c r="D720" s="2" t="s">
        <v>18</v>
      </c>
      <c r="E720" s="2" t="s">
        <v>19</v>
      </c>
      <c r="F720" s="2" t="s">
        <v>20</v>
      </c>
      <c r="G720" s="2" t="s">
        <v>1622</v>
      </c>
      <c r="H720" s="3">
        <v>45339.640972222223</v>
      </c>
      <c r="I720" s="3">
        <v>45339.835416666669</v>
      </c>
      <c r="J720" s="2">
        <v>187</v>
      </c>
      <c r="K720" s="2">
        <v>280</v>
      </c>
      <c r="L720" s="2">
        <v>1</v>
      </c>
      <c r="M720" s="2" t="s">
        <v>29</v>
      </c>
      <c r="N720" s="2">
        <v>9</v>
      </c>
      <c r="O720" s="2">
        <v>184.46</v>
      </c>
      <c r="P720" s="2">
        <f t="shared" si="55"/>
        <v>93</v>
      </c>
      <c r="Q720" s="4">
        <f t="shared" si="56"/>
        <v>0.66785714285714282</v>
      </c>
      <c r="R720" s="2" t="str">
        <f t="shared" si="57"/>
        <v>Inefficient</v>
      </c>
      <c r="S720" s="2" t="str">
        <f t="shared" si="58"/>
        <v>Very Long</v>
      </c>
      <c r="T720" s="2" t="str">
        <f t="shared" si="59"/>
        <v>Major Delay</v>
      </c>
    </row>
    <row r="721" spans="1:20" x14ac:dyDescent="0.35">
      <c r="A721" s="2" t="s">
        <v>1623</v>
      </c>
      <c r="B721" s="2" t="s">
        <v>24</v>
      </c>
      <c r="C721" s="2" t="s">
        <v>1624</v>
      </c>
      <c r="D721" s="2" t="s">
        <v>18</v>
      </c>
      <c r="E721" s="2" t="s">
        <v>19</v>
      </c>
      <c r="F721" s="2" t="s">
        <v>39</v>
      </c>
      <c r="G721" s="2" t="s">
        <v>817</v>
      </c>
      <c r="H721" s="3">
        <v>45595.418749999997</v>
      </c>
      <c r="I721" s="3">
        <v>45595.509722222225</v>
      </c>
      <c r="J721" s="2">
        <v>69</v>
      </c>
      <c r="K721" s="2">
        <v>131</v>
      </c>
      <c r="L721" s="2">
        <v>1</v>
      </c>
      <c r="M721" s="2" t="s">
        <v>29</v>
      </c>
      <c r="N721" s="2">
        <v>4</v>
      </c>
      <c r="O721" s="2">
        <v>58.81</v>
      </c>
      <c r="P721" s="2">
        <f t="shared" si="55"/>
        <v>62</v>
      </c>
      <c r="Q721" s="4">
        <f t="shared" si="56"/>
        <v>0.52671755725190839</v>
      </c>
      <c r="R721" s="2" t="str">
        <f t="shared" si="57"/>
        <v>Inefficient</v>
      </c>
      <c r="S721" s="2" t="str">
        <f t="shared" si="58"/>
        <v>Very Long</v>
      </c>
      <c r="T721" s="2" t="str">
        <f t="shared" si="59"/>
        <v>Major Delay</v>
      </c>
    </row>
    <row r="722" spans="1:20" x14ac:dyDescent="0.35">
      <c r="A722" s="2" t="s">
        <v>1625</v>
      </c>
      <c r="B722" s="2" t="s">
        <v>51</v>
      </c>
      <c r="C722" s="2" t="s">
        <v>1626</v>
      </c>
      <c r="D722" s="2" t="s">
        <v>18</v>
      </c>
      <c r="E722" s="2" t="s">
        <v>85</v>
      </c>
      <c r="F722" s="2" t="s">
        <v>39</v>
      </c>
      <c r="G722" s="2" t="s">
        <v>82</v>
      </c>
      <c r="H722" s="3">
        <v>45624.413888888892</v>
      </c>
      <c r="I722" s="3">
        <v>45624.541666666664</v>
      </c>
      <c r="J722" s="2">
        <v>149</v>
      </c>
      <c r="K722" s="2">
        <v>184</v>
      </c>
      <c r="L722" s="2">
        <v>1</v>
      </c>
      <c r="M722" s="2" t="s">
        <v>22</v>
      </c>
      <c r="N722" s="2">
        <v>2</v>
      </c>
      <c r="O722" s="2">
        <v>496.44</v>
      </c>
      <c r="P722" s="2">
        <f t="shared" si="55"/>
        <v>35</v>
      </c>
      <c r="Q722" s="4">
        <f t="shared" si="56"/>
        <v>0.80978260869565222</v>
      </c>
      <c r="R722" s="2" t="str">
        <f t="shared" si="57"/>
        <v>Inefficient</v>
      </c>
      <c r="S722" s="2" t="str">
        <f t="shared" si="58"/>
        <v>Very Long</v>
      </c>
      <c r="T722" s="2" t="str">
        <f t="shared" si="59"/>
        <v>Major Delay</v>
      </c>
    </row>
    <row r="723" spans="1:20" x14ac:dyDescent="0.35">
      <c r="A723" s="2" t="s">
        <v>1627</v>
      </c>
      <c r="B723" s="2" t="s">
        <v>16</v>
      </c>
      <c r="C723" s="2" t="s">
        <v>1628</v>
      </c>
      <c r="D723" s="2" t="s">
        <v>56</v>
      </c>
      <c r="E723" s="2" t="s">
        <v>85</v>
      </c>
      <c r="F723" s="2" t="s">
        <v>20</v>
      </c>
      <c r="G723" s="2" t="s">
        <v>371</v>
      </c>
      <c r="H723" s="3">
        <v>45413.936805555553</v>
      </c>
      <c r="I723" s="3">
        <v>45414.082638888889</v>
      </c>
      <c r="J723" s="2">
        <v>145</v>
      </c>
      <c r="K723" s="2">
        <v>210</v>
      </c>
      <c r="L723" s="2">
        <v>1</v>
      </c>
      <c r="M723" s="2" t="s">
        <v>29</v>
      </c>
      <c r="N723" s="2">
        <v>8</v>
      </c>
      <c r="O723" s="2">
        <v>85.59</v>
      </c>
      <c r="P723" s="2">
        <f t="shared" si="55"/>
        <v>65</v>
      </c>
      <c r="Q723" s="4">
        <f t="shared" si="56"/>
        <v>0.69047619047619047</v>
      </c>
      <c r="R723" s="2" t="str">
        <f t="shared" si="57"/>
        <v>Inefficient</v>
      </c>
      <c r="S723" s="2" t="str">
        <f t="shared" si="58"/>
        <v>Very Long</v>
      </c>
      <c r="T723" s="2" t="str">
        <f t="shared" si="59"/>
        <v>Major Delay</v>
      </c>
    </row>
    <row r="724" spans="1:20" x14ac:dyDescent="0.35">
      <c r="A724" s="2" t="s">
        <v>1629</v>
      </c>
      <c r="B724" s="2" t="s">
        <v>31</v>
      </c>
      <c r="C724" s="2" t="s">
        <v>1630</v>
      </c>
      <c r="D724" s="2" t="s">
        <v>48</v>
      </c>
      <c r="E724" s="2" t="s">
        <v>85</v>
      </c>
      <c r="F724" s="2" t="s">
        <v>34</v>
      </c>
      <c r="G724" s="2" t="s">
        <v>194</v>
      </c>
      <c r="H724" s="3">
        <v>45558.697222222225</v>
      </c>
      <c r="I724" s="3">
        <v>45558.804166666669</v>
      </c>
      <c r="J724" s="2">
        <v>63</v>
      </c>
      <c r="K724" s="2">
        <v>154</v>
      </c>
      <c r="L724" s="2">
        <v>1</v>
      </c>
      <c r="M724" s="2" t="s">
        <v>41</v>
      </c>
      <c r="N724" s="2">
        <v>8</v>
      </c>
      <c r="O724" s="2">
        <v>63.18</v>
      </c>
      <c r="P724" s="2">
        <f t="shared" si="55"/>
        <v>91</v>
      </c>
      <c r="Q724" s="4">
        <f t="shared" si="56"/>
        <v>0.40909090909090912</v>
      </c>
      <c r="R724" s="2" t="str">
        <f t="shared" si="57"/>
        <v>Inefficient</v>
      </c>
      <c r="S724" s="2" t="str">
        <f t="shared" si="58"/>
        <v>Very Long</v>
      </c>
      <c r="T724" s="2" t="str">
        <f t="shared" si="59"/>
        <v>Major Delay</v>
      </c>
    </row>
    <row r="725" spans="1:20" x14ac:dyDescent="0.35">
      <c r="A725" s="2" t="s">
        <v>1631</v>
      </c>
      <c r="B725" s="2" t="s">
        <v>63</v>
      </c>
      <c r="C725" s="2" t="s">
        <v>1632</v>
      </c>
      <c r="D725" s="2" t="s">
        <v>26</v>
      </c>
      <c r="E725" s="2" t="s">
        <v>38</v>
      </c>
      <c r="F725" s="2" t="s">
        <v>27</v>
      </c>
      <c r="G725" s="2" t="s">
        <v>185</v>
      </c>
      <c r="H725" s="3">
        <v>45565.3125</v>
      </c>
      <c r="I725" s="3">
        <v>45565.469444444447</v>
      </c>
      <c r="J725" s="2">
        <v>183</v>
      </c>
      <c r="K725" s="2">
        <v>226</v>
      </c>
      <c r="L725" s="2">
        <v>1</v>
      </c>
      <c r="M725" s="2" t="s">
        <v>29</v>
      </c>
      <c r="N725" s="2">
        <v>3</v>
      </c>
      <c r="O725" s="2">
        <v>445.41</v>
      </c>
      <c r="P725" s="2">
        <f t="shared" si="55"/>
        <v>43</v>
      </c>
      <c r="Q725" s="4">
        <f t="shared" si="56"/>
        <v>0.80973451327433632</v>
      </c>
      <c r="R725" s="2" t="str">
        <f t="shared" si="57"/>
        <v>Inefficient</v>
      </c>
      <c r="S725" s="2" t="str">
        <f t="shared" si="58"/>
        <v>Very Long</v>
      </c>
      <c r="T725" s="2" t="str">
        <f t="shared" si="59"/>
        <v>Major Delay</v>
      </c>
    </row>
    <row r="726" spans="1:20" x14ac:dyDescent="0.35">
      <c r="A726" s="2" t="s">
        <v>1633</v>
      </c>
      <c r="B726" s="2" t="s">
        <v>16</v>
      </c>
      <c r="C726" s="2" t="s">
        <v>1634</v>
      </c>
      <c r="D726" s="2" t="s">
        <v>26</v>
      </c>
      <c r="E726" s="2" t="s">
        <v>85</v>
      </c>
      <c r="F726" s="2" t="s">
        <v>27</v>
      </c>
      <c r="G726" s="2" t="s">
        <v>94</v>
      </c>
      <c r="H726" s="3">
        <v>45456.825694444444</v>
      </c>
      <c r="I726" s="3">
        <v>45456.855555555558</v>
      </c>
      <c r="J726" s="2">
        <v>18</v>
      </c>
      <c r="K726" s="2">
        <v>43</v>
      </c>
      <c r="L726" s="2">
        <v>1</v>
      </c>
      <c r="M726" s="2" t="s">
        <v>22</v>
      </c>
      <c r="N726" s="2">
        <v>4</v>
      </c>
      <c r="O726" s="2">
        <v>484.16</v>
      </c>
      <c r="P726" s="2">
        <f t="shared" si="55"/>
        <v>25</v>
      </c>
      <c r="Q726" s="4">
        <f t="shared" si="56"/>
        <v>0.41860465116279072</v>
      </c>
      <c r="R726" s="2" t="str">
        <f t="shared" si="57"/>
        <v>Inefficient</v>
      </c>
      <c r="S726" s="2" t="str">
        <f t="shared" si="58"/>
        <v>Medium</v>
      </c>
      <c r="T726" s="2" t="str">
        <f t="shared" si="59"/>
        <v>Minor Delay</v>
      </c>
    </row>
    <row r="727" spans="1:20" x14ac:dyDescent="0.35">
      <c r="A727" s="2" t="s">
        <v>1635</v>
      </c>
      <c r="B727" s="2" t="s">
        <v>31</v>
      </c>
      <c r="C727" s="2" t="s">
        <v>1636</v>
      </c>
      <c r="D727" s="2" t="s">
        <v>44</v>
      </c>
      <c r="E727" s="2" t="s">
        <v>33</v>
      </c>
      <c r="F727" s="2" t="s">
        <v>27</v>
      </c>
      <c r="G727" s="2" t="s">
        <v>126</v>
      </c>
      <c r="H727" s="3">
        <v>45652.877083333333</v>
      </c>
      <c r="I727" s="3">
        <v>45652.979166666664</v>
      </c>
      <c r="J727" s="2">
        <v>108</v>
      </c>
      <c r="K727" s="2">
        <v>147</v>
      </c>
      <c r="L727" s="2">
        <v>1</v>
      </c>
      <c r="M727" s="2" t="s">
        <v>41</v>
      </c>
      <c r="N727" s="2">
        <v>6</v>
      </c>
      <c r="O727" s="2">
        <v>158.05000000000001</v>
      </c>
      <c r="P727" s="2">
        <f t="shared" si="55"/>
        <v>39</v>
      </c>
      <c r="Q727" s="4">
        <f t="shared" si="56"/>
        <v>0.73469387755102045</v>
      </c>
      <c r="R727" s="2" t="str">
        <f t="shared" si="57"/>
        <v>Inefficient</v>
      </c>
      <c r="S727" s="2" t="str">
        <f t="shared" si="58"/>
        <v>Very Long</v>
      </c>
      <c r="T727" s="2" t="str">
        <f t="shared" si="59"/>
        <v>Major Delay</v>
      </c>
    </row>
    <row r="728" spans="1:20" x14ac:dyDescent="0.35">
      <c r="A728" s="2" t="s">
        <v>1637</v>
      </c>
      <c r="B728" s="2" t="s">
        <v>31</v>
      </c>
      <c r="C728" s="2" t="s">
        <v>1638</v>
      </c>
      <c r="D728" s="2" t="s">
        <v>44</v>
      </c>
      <c r="E728" s="2" t="s">
        <v>33</v>
      </c>
      <c r="F728" s="2" t="s">
        <v>27</v>
      </c>
      <c r="G728" s="2" t="s">
        <v>262</v>
      </c>
      <c r="H728" s="3">
        <v>45570.256944444445</v>
      </c>
      <c r="I728" s="3">
        <v>45570.370833333334</v>
      </c>
      <c r="J728" s="2">
        <v>48</v>
      </c>
      <c r="K728" s="2">
        <v>164</v>
      </c>
      <c r="L728" s="2">
        <v>1</v>
      </c>
      <c r="M728" s="2" t="s">
        <v>41</v>
      </c>
      <c r="N728" s="2">
        <v>3</v>
      </c>
      <c r="O728" s="2">
        <v>371.05</v>
      </c>
      <c r="P728" s="2">
        <f t="shared" si="55"/>
        <v>116</v>
      </c>
      <c r="Q728" s="4">
        <f t="shared" si="56"/>
        <v>0.29268292682926828</v>
      </c>
      <c r="R728" s="2" t="str">
        <f t="shared" si="57"/>
        <v>Inefficient</v>
      </c>
      <c r="S728" s="2" t="str">
        <f t="shared" si="58"/>
        <v>Very Long</v>
      </c>
      <c r="T728" s="2" t="str">
        <f t="shared" si="59"/>
        <v>Major Delay</v>
      </c>
    </row>
    <row r="729" spans="1:20" x14ac:dyDescent="0.35">
      <c r="A729" s="2" t="s">
        <v>1639</v>
      </c>
      <c r="B729" s="2" t="s">
        <v>51</v>
      </c>
      <c r="C729" s="2" t="s">
        <v>1640</v>
      </c>
      <c r="D729" s="2" t="s">
        <v>18</v>
      </c>
      <c r="E729" s="2" t="s">
        <v>33</v>
      </c>
      <c r="F729" s="2" t="s">
        <v>34</v>
      </c>
      <c r="G729" s="2" t="s">
        <v>35</v>
      </c>
      <c r="H729" s="3">
        <v>45354.616666666669</v>
      </c>
      <c r="I729" s="3">
        <v>45354.754166666666</v>
      </c>
      <c r="J729" s="2">
        <v>196</v>
      </c>
      <c r="K729" s="2">
        <v>198</v>
      </c>
      <c r="L729" s="2">
        <v>1</v>
      </c>
      <c r="M729" s="2" t="s">
        <v>29</v>
      </c>
      <c r="N729" s="2">
        <v>4</v>
      </c>
      <c r="O729" s="2">
        <v>125.34</v>
      </c>
      <c r="P729" s="2">
        <f t="shared" si="55"/>
        <v>2</v>
      </c>
      <c r="Q729" s="4">
        <f t="shared" si="56"/>
        <v>0.98989898989898994</v>
      </c>
      <c r="R729" s="2" t="str">
        <f t="shared" si="57"/>
        <v>Inefficient</v>
      </c>
      <c r="S729" s="2" t="str">
        <f t="shared" si="58"/>
        <v>Very Long</v>
      </c>
      <c r="T729" s="2" t="str">
        <f t="shared" si="59"/>
        <v>Minor Delay</v>
      </c>
    </row>
    <row r="730" spans="1:20" x14ac:dyDescent="0.35">
      <c r="A730" s="2" t="s">
        <v>1641</v>
      </c>
      <c r="B730" s="2" t="s">
        <v>63</v>
      </c>
      <c r="C730" s="2" t="s">
        <v>1642</v>
      </c>
      <c r="D730" s="2" t="s">
        <v>56</v>
      </c>
      <c r="E730" s="2" t="s">
        <v>33</v>
      </c>
      <c r="F730" s="2" t="s">
        <v>27</v>
      </c>
      <c r="G730" s="2" t="s">
        <v>1030</v>
      </c>
      <c r="H730" s="3">
        <v>45560.118055555555</v>
      </c>
      <c r="I730" s="3">
        <v>45560.211111111108</v>
      </c>
      <c r="J730" s="2">
        <v>20</v>
      </c>
      <c r="K730" s="2">
        <v>134</v>
      </c>
      <c r="L730" s="2">
        <v>1</v>
      </c>
      <c r="M730" s="2" t="s">
        <v>22</v>
      </c>
      <c r="N730" s="2">
        <v>4</v>
      </c>
      <c r="O730" s="2">
        <v>162.06</v>
      </c>
      <c r="P730" s="2">
        <f t="shared" si="55"/>
        <v>114</v>
      </c>
      <c r="Q730" s="4">
        <f t="shared" si="56"/>
        <v>0.14925373134328357</v>
      </c>
      <c r="R730" s="2" t="str">
        <f t="shared" si="57"/>
        <v>Inefficient</v>
      </c>
      <c r="S730" s="2" t="str">
        <f t="shared" si="58"/>
        <v>Very Long</v>
      </c>
      <c r="T730" s="2" t="str">
        <f t="shared" si="59"/>
        <v>Major Delay</v>
      </c>
    </row>
    <row r="731" spans="1:20" x14ac:dyDescent="0.35">
      <c r="A731" s="2" t="s">
        <v>1643</v>
      </c>
      <c r="B731" s="2" t="s">
        <v>24</v>
      </c>
      <c r="C731" s="2" t="s">
        <v>1644</v>
      </c>
      <c r="D731" s="2" t="s">
        <v>48</v>
      </c>
      <c r="E731" s="2" t="s">
        <v>38</v>
      </c>
      <c r="F731" s="2" t="s">
        <v>57</v>
      </c>
      <c r="G731" s="2" t="s">
        <v>188</v>
      </c>
      <c r="H731" s="3">
        <v>45369.432638888888</v>
      </c>
      <c r="I731" s="3">
        <v>45369.536111111112</v>
      </c>
      <c r="J731" s="2">
        <v>102</v>
      </c>
      <c r="K731" s="2">
        <v>149</v>
      </c>
      <c r="L731" s="2">
        <v>1</v>
      </c>
      <c r="M731" s="2" t="s">
        <v>22</v>
      </c>
      <c r="N731" s="2">
        <v>4</v>
      </c>
      <c r="O731" s="2">
        <v>390.98</v>
      </c>
      <c r="P731" s="2">
        <f t="shared" si="55"/>
        <v>47</v>
      </c>
      <c r="Q731" s="4">
        <f t="shared" si="56"/>
        <v>0.68456375838926176</v>
      </c>
      <c r="R731" s="2" t="str">
        <f t="shared" si="57"/>
        <v>Inefficient</v>
      </c>
      <c r="S731" s="2" t="str">
        <f t="shared" si="58"/>
        <v>Very Long</v>
      </c>
      <c r="T731" s="2" t="str">
        <f t="shared" si="59"/>
        <v>Major Delay</v>
      </c>
    </row>
    <row r="732" spans="1:20" x14ac:dyDescent="0.35">
      <c r="A732" s="2" t="s">
        <v>1645</v>
      </c>
      <c r="B732" s="2" t="s">
        <v>24</v>
      </c>
      <c r="C732" s="2" t="s">
        <v>1646</v>
      </c>
      <c r="D732" s="2" t="s">
        <v>48</v>
      </c>
      <c r="E732" s="2" t="s">
        <v>38</v>
      </c>
      <c r="F732" s="2" t="s">
        <v>34</v>
      </c>
      <c r="G732" s="2" t="s">
        <v>213</v>
      </c>
      <c r="H732" s="3">
        <v>45547.581250000003</v>
      </c>
      <c r="I732" s="3">
        <v>45547.620833333334</v>
      </c>
      <c r="J732" s="2">
        <v>22</v>
      </c>
      <c r="K732" s="2">
        <v>57</v>
      </c>
      <c r="L732" s="2">
        <v>1</v>
      </c>
      <c r="M732" s="2" t="s">
        <v>41</v>
      </c>
      <c r="N732" s="2">
        <v>7</v>
      </c>
      <c r="O732" s="2">
        <v>471.83</v>
      </c>
      <c r="P732" s="2">
        <f t="shared" si="55"/>
        <v>35</v>
      </c>
      <c r="Q732" s="4">
        <f t="shared" si="56"/>
        <v>0.38596491228070173</v>
      </c>
      <c r="R732" s="2" t="str">
        <f t="shared" si="57"/>
        <v>Inefficient</v>
      </c>
      <c r="S732" s="2" t="str">
        <f t="shared" si="58"/>
        <v>Medium</v>
      </c>
      <c r="T732" s="2" t="str">
        <f t="shared" si="59"/>
        <v>Major Delay</v>
      </c>
    </row>
    <row r="733" spans="1:20" x14ac:dyDescent="0.35">
      <c r="A733" s="2" t="s">
        <v>1647</v>
      </c>
      <c r="B733" s="2" t="s">
        <v>51</v>
      </c>
      <c r="C733" s="2" t="s">
        <v>1648</v>
      </c>
      <c r="D733" s="2" t="s">
        <v>26</v>
      </c>
      <c r="E733" s="2" t="s">
        <v>38</v>
      </c>
      <c r="F733" s="2" t="s">
        <v>39</v>
      </c>
      <c r="G733" s="2" t="s">
        <v>158</v>
      </c>
      <c r="H733" s="3">
        <v>45332.939583333333</v>
      </c>
      <c r="I733" s="3">
        <v>45333.01666666667</v>
      </c>
      <c r="J733" s="2">
        <v>34</v>
      </c>
      <c r="K733" s="2">
        <v>111</v>
      </c>
      <c r="L733" s="2">
        <v>1</v>
      </c>
      <c r="M733" s="2" t="s">
        <v>41</v>
      </c>
      <c r="N733" s="2">
        <v>6</v>
      </c>
      <c r="O733" s="2">
        <v>154.53</v>
      </c>
      <c r="P733" s="2">
        <f t="shared" si="55"/>
        <v>77</v>
      </c>
      <c r="Q733" s="4">
        <f t="shared" si="56"/>
        <v>0.30630630630630629</v>
      </c>
      <c r="R733" s="2" t="str">
        <f t="shared" si="57"/>
        <v>Inefficient</v>
      </c>
      <c r="S733" s="2" t="str">
        <f t="shared" si="58"/>
        <v>Long</v>
      </c>
      <c r="T733" s="2" t="str">
        <f t="shared" si="59"/>
        <v>Major Delay</v>
      </c>
    </row>
    <row r="734" spans="1:20" x14ac:dyDescent="0.35">
      <c r="A734" s="2" t="s">
        <v>1649</v>
      </c>
      <c r="B734" s="2" t="s">
        <v>31</v>
      </c>
      <c r="C734" s="2" t="s">
        <v>1650</v>
      </c>
      <c r="D734" s="2" t="s">
        <v>26</v>
      </c>
      <c r="E734" s="2" t="s">
        <v>19</v>
      </c>
      <c r="F734" s="2" t="s">
        <v>20</v>
      </c>
      <c r="G734" s="2" t="s">
        <v>191</v>
      </c>
      <c r="H734" s="3">
        <v>45621.99722222222</v>
      </c>
      <c r="I734" s="3">
        <v>45622.174305555556</v>
      </c>
      <c r="J734" s="2">
        <v>204</v>
      </c>
      <c r="K734" s="2">
        <v>255</v>
      </c>
      <c r="L734" s="2">
        <v>1</v>
      </c>
      <c r="M734" s="2" t="s">
        <v>41</v>
      </c>
      <c r="N734" s="2">
        <v>5</v>
      </c>
      <c r="O734" s="2">
        <v>250.12</v>
      </c>
      <c r="P734" s="2">
        <f t="shared" si="55"/>
        <v>51</v>
      </c>
      <c r="Q734" s="4">
        <f t="shared" si="56"/>
        <v>0.8</v>
      </c>
      <c r="R734" s="2" t="str">
        <f t="shared" si="57"/>
        <v>Inefficient</v>
      </c>
      <c r="S734" s="2" t="str">
        <f t="shared" si="58"/>
        <v>Very Long</v>
      </c>
      <c r="T734" s="2" t="str">
        <f t="shared" si="59"/>
        <v>Major Delay</v>
      </c>
    </row>
    <row r="735" spans="1:20" x14ac:dyDescent="0.35">
      <c r="A735" s="2" t="s">
        <v>1651</v>
      </c>
      <c r="B735" s="2" t="s">
        <v>31</v>
      </c>
      <c r="C735" s="2" t="s">
        <v>1652</v>
      </c>
      <c r="D735" s="2" t="s">
        <v>48</v>
      </c>
      <c r="E735" s="2" t="s">
        <v>38</v>
      </c>
      <c r="F735" s="2" t="s">
        <v>20</v>
      </c>
      <c r="G735" s="2" t="s">
        <v>201</v>
      </c>
      <c r="H735" s="3">
        <v>45395.070833333331</v>
      </c>
      <c r="I735" s="3">
        <v>45395.177083333336</v>
      </c>
      <c r="J735" s="2">
        <v>132</v>
      </c>
      <c r="K735" s="2">
        <v>153</v>
      </c>
      <c r="L735" s="2">
        <v>1</v>
      </c>
      <c r="M735" s="2" t="s">
        <v>22</v>
      </c>
      <c r="N735" s="2">
        <v>10</v>
      </c>
      <c r="O735" s="2">
        <v>414.56</v>
      </c>
      <c r="P735" s="2">
        <f t="shared" si="55"/>
        <v>21</v>
      </c>
      <c r="Q735" s="4">
        <f t="shared" si="56"/>
        <v>0.86274509803921573</v>
      </c>
      <c r="R735" s="2" t="str">
        <f t="shared" si="57"/>
        <v>Inefficient</v>
      </c>
      <c r="S735" s="2" t="str">
        <f t="shared" si="58"/>
        <v>Very Long</v>
      </c>
      <c r="T735" s="2" t="str">
        <f t="shared" si="59"/>
        <v>Minor Delay</v>
      </c>
    </row>
    <row r="736" spans="1:20" x14ac:dyDescent="0.35">
      <c r="A736" s="2" t="s">
        <v>1653</v>
      </c>
      <c r="B736" s="2" t="s">
        <v>24</v>
      </c>
      <c r="C736" s="2" t="s">
        <v>1654</v>
      </c>
      <c r="D736" s="2" t="s">
        <v>56</v>
      </c>
      <c r="E736" s="2" t="s">
        <v>85</v>
      </c>
      <c r="F736" s="2" t="s">
        <v>20</v>
      </c>
      <c r="G736" s="2" t="s">
        <v>853</v>
      </c>
      <c r="H736" s="3">
        <v>45565.784722222219</v>
      </c>
      <c r="I736" s="3">
        <v>45565.811805555553</v>
      </c>
      <c r="J736" s="2">
        <v>32</v>
      </c>
      <c r="K736" s="2">
        <v>39</v>
      </c>
      <c r="L736" s="2">
        <v>1</v>
      </c>
      <c r="M736" s="2" t="s">
        <v>22</v>
      </c>
      <c r="N736" s="2">
        <v>3</v>
      </c>
      <c r="O736" s="2">
        <v>304.83999999999997</v>
      </c>
      <c r="P736" s="2">
        <f t="shared" si="55"/>
        <v>7</v>
      </c>
      <c r="Q736" s="4">
        <f t="shared" si="56"/>
        <v>0.82051282051282048</v>
      </c>
      <c r="R736" s="2" t="str">
        <f t="shared" si="57"/>
        <v>Inefficient</v>
      </c>
      <c r="S736" s="2" t="str">
        <f t="shared" si="58"/>
        <v>Medium</v>
      </c>
      <c r="T736" s="2" t="str">
        <f t="shared" si="59"/>
        <v>Minor Delay</v>
      </c>
    </row>
    <row r="737" spans="1:20" x14ac:dyDescent="0.35">
      <c r="A737" s="2" t="s">
        <v>1655</v>
      </c>
      <c r="B737" s="2" t="s">
        <v>63</v>
      </c>
      <c r="C737" s="2" t="s">
        <v>1656</v>
      </c>
      <c r="D737" s="2" t="s">
        <v>56</v>
      </c>
      <c r="E737" s="2" t="s">
        <v>85</v>
      </c>
      <c r="F737" s="2" t="s">
        <v>57</v>
      </c>
      <c r="G737" s="2" t="s">
        <v>73</v>
      </c>
      <c r="H737" s="3">
        <v>45406.040972222225</v>
      </c>
      <c r="I737" s="3">
        <v>45406.287499999999</v>
      </c>
      <c r="J737" s="2">
        <v>237</v>
      </c>
      <c r="K737" s="2">
        <v>355</v>
      </c>
      <c r="L737" s="2">
        <v>1</v>
      </c>
      <c r="M737" s="2" t="s">
        <v>41</v>
      </c>
      <c r="N737" s="2">
        <v>7</v>
      </c>
      <c r="O737" s="2">
        <v>321.06</v>
      </c>
      <c r="P737" s="2">
        <f t="shared" si="55"/>
        <v>118</v>
      </c>
      <c r="Q737" s="4">
        <f t="shared" si="56"/>
        <v>0.6676056338028169</v>
      </c>
      <c r="R737" s="2" t="str">
        <f t="shared" si="57"/>
        <v>Inefficient</v>
      </c>
      <c r="S737" s="2" t="str">
        <f t="shared" si="58"/>
        <v>Very Long</v>
      </c>
      <c r="T737" s="2" t="str">
        <f t="shared" si="59"/>
        <v>Major Delay</v>
      </c>
    </row>
    <row r="738" spans="1:20" x14ac:dyDescent="0.35">
      <c r="A738" s="2" t="s">
        <v>1657</v>
      </c>
      <c r="B738" s="2" t="s">
        <v>51</v>
      </c>
      <c r="C738" s="2" t="s">
        <v>1658</v>
      </c>
      <c r="D738" s="2" t="s">
        <v>56</v>
      </c>
      <c r="E738" s="2" t="s">
        <v>19</v>
      </c>
      <c r="F738" s="2" t="s">
        <v>34</v>
      </c>
      <c r="G738" s="2" t="s">
        <v>330</v>
      </c>
      <c r="H738" s="3">
        <v>45515.286111111112</v>
      </c>
      <c r="I738" s="3">
        <v>45515.369444444441</v>
      </c>
      <c r="J738" s="2">
        <v>14</v>
      </c>
      <c r="K738" s="2">
        <v>120</v>
      </c>
      <c r="L738" s="2">
        <v>1</v>
      </c>
      <c r="M738" s="2" t="s">
        <v>41</v>
      </c>
      <c r="N738" s="2">
        <v>1</v>
      </c>
      <c r="O738" s="2">
        <v>50.68</v>
      </c>
      <c r="P738" s="2">
        <f t="shared" si="55"/>
        <v>106</v>
      </c>
      <c r="Q738" s="4">
        <f t="shared" si="56"/>
        <v>0.11666666666666667</v>
      </c>
      <c r="R738" s="2" t="str">
        <f t="shared" si="57"/>
        <v>Inefficient</v>
      </c>
      <c r="S738" s="2" t="str">
        <f t="shared" si="58"/>
        <v>Very Long</v>
      </c>
      <c r="T738" s="2" t="str">
        <f t="shared" si="59"/>
        <v>Major Delay</v>
      </c>
    </row>
    <row r="739" spans="1:20" x14ac:dyDescent="0.35">
      <c r="A739" s="2" t="s">
        <v>1659</v>
      </c>
      <c r="B739" s="2" t="s">
        <v>63</v>
      </c>
      <c r="C739" s="2" t="s">
        <v>1660</v>
      </c>
      <c r="D739" s="2" t="s">
        <v>26</v>
      </c>
      <c r="E739" s="2" t="s">
        <v>33</v>
      </c>
      <c r="F739" s="2" t="s">
        <v>57</v>
      </c>
      <c r="G739" s="2" t="s">
        <v>577</v>
      </c>
      <c r="H739" s="3">
        <v>45468.925000000003</v>
      </c>
      <c r="I739" s="3">
        <v>45469.004166666666</v>
      </c>
      <c r="J739" s="2">
        <v>24</v>
      </c>
      <c r="K739" s="2">
        <v>114</v>
      </c>
      <c r="L739" s="2">
        <v>1</v>
      </c>
      <c r="M739" s="2" t="s">
        <v>29</v>
      </c>
      <c r="N739" s="2">
        <v>6</v>
      </c>
      <c r="O739" s="2">
        <v>225.47</v>
      </c>
      <c r="P739" s="2">
        <f t="shared" si="55"/>
        <v>90</v>
      </c>
      <c r="Q739" s="4">
        <f t="shared" si="56"/>
        <v>0.21052631578947367</v>
      </c>
      <c r="R739" s="2" t="str">
        <f t="shared" si="57"/>
        <v>Inefficient</v>
      </c>
      <c r="S739" s="2" t="str">
        <f t="shared" si="58"/>
        <v>Long</v>
      </c>
      <c r="T739" s="2" t="str">
        <f t="shared" si="59"/>
        <v>Major Delay</v>
      </c>
    </row>
    <row r="740" spans="1:20" x14ac:dyDescent="0.35">
      <c r="A740" s="2" t="s">
        <v>1661</v>
      </c>
      <c r="B740" s="2" t="s">
        <v>24</v>
      </c>
      <c r="C740" s="2" t="s">
        <v>1662</v>
      </c>
      <c r="D740" s="2" t="s">
        <v>56</v>
      </c>
      <c r="E740" s="2" t="s">
        <v>38</v>
      </c>
      <c r="F740" s="2" t="s">
        <v>34</v>
      </c>
      <c r="G740" s="2" t="s">
        <v>894</v>
      </c>
      <c r="H740" s="3">
        <v>45437.591666666667</v>
      </c>
      <c r="I740" s="3">
        <v>45437.757638888892</v>
      </c>
      <c r="J740" s="2">
        <v>202</v>
      </c>
      <c r="K740" s="2">
        <v>239</v>
      </c>
      <c r="L740" s="2">
        <v>1</v>
      </c>
      <c r="M740" s="2" t="s">
        <v>29</v>
      </c>
      <c r="N740" s="2">
        <v>6</v>
      </c>
      <c r="O740" s="2">
        <v>236.14</v>
      </c>
      <c r="P740" s="2">
        <f t="shared" si="55"/>
        <v>37</v>
      </c>
      <c r="Q740" s="4">
        <f t="shared" si="56"/>
        <v>0.84518828451882844</v>
      </c>
      <c r="R740" s="2" t="str">
        <f t="shared" si="57"/>
        <v>Inefficient</v>
      </c>
      <c r="S740" s="2" t="str">
        <f t="shared" si="58"/>
        <v>Very Long</v>
      </c>
      <c r="T740" s="2" t="str">
        <f t="shared" si="59"/>
        <v>Major Delay</v>
      </c>
    </row>
    <row r="741" spans="1:20" x14ac:dyDescent="0.35">
      <c r="A741" s="2" t="s">
        <v>1663</v>
      </c>
      <c r="B741" s="2" t="s">
        <v>51</v>
      </c>
      <c r="C741" s="2" t="s">
        <v>1664</v>
      </c>
      <c r="D741" s="2" t="s">
        <v>18</v>
      </c>
      <c r="E741" s="2" t="s">
        <v>19</v>
      </c>
      <c r="F741" s="2" t="s">
        <v>20</v>
      </c>
      <c r="G741" s="2" t="s">
        <v>512</v>
      </c>
      <c r="H741" s="3">
        <v>45362.102777777778</v>
      </c>
      <c r="I741" s="3">
        <v>45362.206250000003</v>
      </c>
      <c r="J741" s="2">
        <v>70</v>
      </c>
      <c r="K741" s="2">
        <v>149</v>
      </c>
      <c r="L741" s="2">
        <v>1</v>
      </c>
      <c r="M741" s="2" t="s">
        <v>29</v>
      </c>
      <c r="N741" s="2">
        <v>5</v>
      </c>
      <c r="O741" s="2">
        <v>287.17</v>
      </c>
      <c r="P741" s="2">
        <f t="shared" si="55"/>
        <v>79</v>
      </c>
      <c r="Q741" s="4">
        <f t="shared" si="56"/>
        <v>0.46979865771812079</v>
      </c>
      <c r="R741" s="2" t="str">
        <f t="shared" si="57"/>
        <v>Inefficient</v>
      </c>
      <c r="S741" s="2" t="str">
        <f t="shared" si="58"/>
        <v>Very Long</v>
      </c>
      <c r="T741" s="2" t="str">
        <f t="shared" si="59"/>
        <v>Major Delay</v>
      </c>
    </row>
    <row r="742" spans="1:20" x14ac:dyDescent="0.35">
      <c r="A742" s="2" t="s">
        <v>1665</v>
      </c>
      <c r="B742" s="2" t="s">
        <v>51</v>
      </c>
      <c r="C742" s="2" t="s">
        <v>1666</v>
      </c>
      <c r="D742" s="2" t="s">
        <v>48</v>
      </c>
      <c r="E742" s="2" t="s">
        <v>19</v>
      </c>
      <c r="F742" s="2" t="s">
        <v>27</v>
      </c>
      <c r="G742" s="2" t="s">
        <v>158</v>
      </c>
      <c r="H742" s="3">
        <v>45350.575694444444</v>
      </c>
      <c r="I742" s="3">
        <v>45350.738194444442</v>
      </c>
      <c r="J742" s="2">
        <v>115</v>
      </c>
      <c r="K742" s="2">
        <v>234</v>
      </c>
      <c r="L742" s="2">
        <v>1</v>
      </c>
      <c r="M742" s="2" t="s">
        <v>29</v>
      </c>
      <c r="N742" s="2">
        <v>1</v>
      </c>
      <c r="O742" s="2">
        <v>385.01</v>
      </c>
      <c r="P742" s="2">
        <f t="shared" si="55"/>
        <v>119</v>
      </c>
      <c r="Q742" s="4">
        <f t="shared" si="56"/>
        <v>0.49145299145299143</v>
      </c>
      <c r="R742" s="2" t="str">
        <f t="shared" si="57"/>
        <v>Inefficient</v>
      </c>
      <c r="S742" s="2" t="str">
        <f t="shared" si="58"/>
        <v>Very Long</v>
      </c>
      <c r="T742" s="2" t="str">
        <f t="shared" si="59"/>
        <v>Major Delay</v>
      </c>
    </row>
    <row r="743" spans="1:20" x14ac:dyDescent="0.35">
      <c r="A743" s="2" t="s">
        <v>1667</v>
      </c>
      <c r="B743" s="2" t="s">
        <v>16</v>
      </c>
      <c r="C743" s="2" t="s">
        <v>1668</v>
      </c>
      <c r="D743" s="2" t="s">
        <v>26</v>
      </c>
      <c r="E743" s="2" t="s">
        <v>19</v>
      </c>
      <c r="F743" s="2" t="s">
        <v>39</v>
      </c>
      <c r="G743" s="2" t="s">
        <v>485</v>
      </c>
      <c r="H743" s="3">
        <v>45634.149305555555</v>
      </c>
      <c r="I743" s="3">
        <v>45634.345138888886</v>
      </c>
      <c r="J743" s="2">
        <v>169</v>
      </c>
      <c r="K743" s="2">
        <v>282</v>
      </c>
      <c r="L743" s="2">
        <v>1</v>
      </c>
      <c r="M743" s="2" t="s">
        <v>22</v>
      </c>
      <c r="N743" s="2">
        <v>9</v>
      </c>
      <c r="O743" s="2">
        <v>302.12</v>
      </c>
      <c r="P743" s="2">
        <f t="shared" si="55"/>
        <v>113</v>
      </c>
      <c r="Q743" s="4">
        <f t="shared" si="56"/>
        <v>0.599290780141844</v>
      </c>
      <c r="R743" s="2" t="str">
        <f t="shared" si="57"/>
        <v>Inefficient</v>
      </c>
      <c r="S743" s="2" t="str">
        <f t="shared" si="58"/>
        <v>Very Long</v>
      </c>
      <c r="T743" s="2" t="str">
        <f t="shared" si="59"/>
        <v>Major Delay</v>
      </c>
    </row>
    <row r="744" spans="1:20" x14ac:dyDescent="0.35">
      <c r="A744" s="2" t="s">
        <v>1669</v>
      </c>
      <c r="B744" s="2" t="s">
        <v>31</v>
      </c>
      <c r="C744" s="2" t="s">
        <v>1670</v>
      </c>
      <c r="D744" s="2" t="s">
        <v>48</v>
      </c>
      <c r="E744" s="2" t="s">
        <v>33</v>
      </c>
      <c r="F744" s="2" t="s">
        <v>57</v>
      </c>
      <c r="G744" s="2" t="s">
        <v>343</v>
      </c>
      <c r="H744" s="3">
        <v>45465.709722222222</v>
      </c>
      <c r="I744" s="3">
        <v>45465.856249999997</v>
      </c>
      <c r="J744" s="2">
        <v>185</v>
      </c>
      <c r="K744" s="2">
        <v>211</v>
      </c>
      <c r="L744" s="2">
        <v>1</v>
      </c>
      <c r="M744" s="2" t="s">
        <v>22</v>
      </c>
      <c r="N744" s="2">
        <v>3</v>
      </c>
      <c r="O744" s="2">
        <v>195.17</v>
      </c>
      <c r="P744" s="2">
        <f t="shared" si="55"/>
        <v>26</v>
      </c>
      <c r="Q744" s="4">
        <f t="shared" si="56"/>
        <v>0.87677725118483407</v>
      </c>
      <c r="R744" s="2" t="str">
        <f t="shared" si="57"/>
        <v>Inefficient</v>
      </c>
      <c r="S744" s="2" t="str">
        <f t="shared" si="58"/>
        <v>Very Long</v>
      </c>
      <c r="T744" s="2" t="str">
        <f t="shared" si="59"/>
        <v>Minor Delay</v>
      </c>
    </row>
    <row r="745" spans="1:20" x14ac:dyDescent="0.35">
      <c r="A745" s="2" t="s">
        <v>1671</v>
      </c>
      <c r="B745" s="2" t="s">
        <v>24</v>
      </c>
      <c r="C745" s="2" t="s">
        <v>1672</v>
      </c>
      <c r="D745" s="2" t="s">
        <v>56</v>
      </c>
      <c r="E745" s="2" t="s">
        <v>33</v>
      </c>
      <c r="F745" s="2" t="s">
        <v>57</v>
      </c>
      <c r="G745" s="2" t="s">
        <v>254</v>
      </c>
      <c r="H745" s="3">
        <v>45605.742361111108</v>
      </c>
      <c r="I745" s="3">
        <v>45605.793055555558</v>
      </c>
      <c r="J745" s="2">
        <v>49</v>
      </c>
      <c r="K745" s="2">
        <v>73</v>
      </c>
      <c r="L745" s="2">
        <v>1</v>
      </c>
      <c r="M745" s="2" t="s">
        <v>22</v>
      </c>
      <c r="N745" s="2">
        <v>1</v>
      </c>
      <c r="O745" s="2">
        <v>453.9</v>
      </c>
      <c r="P745" s="2">
        <f t="shared" si="55"/>
        <v>24</v>
      </c>
      <c r="Q745" s="4">
        <f t="shared" si="56"/>
        <v>0.67123287671232879</v>
      </c>
      <c r="R745" s="2" t="str">
        <f t="shared" si="57"/>
        <v>Inefficient</v>
      </c>
      <c r="S745" s="2" t="str">
        <f t="shared" si="58"/>
        <v>Long</v>
      </c>
      <c r="T745" s="2" t="str">
        <f t="shared" si="59"/>
        <v>Minor Delay</v>
      </c>
    </row>
    <row r="746" spans="1:20" x14ac:dyDescent="0.35">
      <c r="A746" s="2" t="s">
        <v>1673</v>
      </c>
      <c r="B746" s="2" t="s">
        <v>63</v>
      </c>
      <c r="C746" s="2" t="s">
        <v>1674</v>
      </c>
      <c r="D746" s="2" t="s">
        <v>26</v>
      </c>
      <c r="E746" s="2" t="s">
        <v>38</v>
      </c>
      <c r="F746" s="2" t="s">
        <v>20</v>
      </c>
      <c r="G746" s="2" t="s">
        <v>500</v>
      </c>
      <c r="H746" s="3">
        <v>45437.965277777781</v>
      </c>
      <c r="I746" s="3">
        <v>45438.15902777778</v>
      </c>
      <c r="J746" s="2">
        <v>169</v>
      </c>
      <c r="K746" s="2">
        <v>279</v>
      </c>
      <c r="L746" s="2">
        <v>1</v>
      </c>
      <c r="M746" s="2" t="s">
        <v>41</v>
      </c>
      <c r="N746" s="2">
        <v>9</v>
      </c>
      <c r="O746" s="2">
        <v>422.61</v>
      </c>
      <c r="P746" s="2">
        <f t="shared" si="55"/>
        <v>110</v>
      </c>
      <c r="Q746" s="4">
        <f t="shared" si="56"/>
        <v>0.60573476702508966</v>
      </c>
      <c r="R746" s="2" t="str">
        <f t="shared" si="57"/>
        <v>Inefficient</v>
      </c>
      <c r="S746" s="2" t="str">
        <f t="shared" si="58"/>
        <v>Very Long</v>
      </c>
      <c r="T746" s="2" t="str">
        <f t="shared" si="59"/>
        <v>Major Delay</v>
      </c>
    </row>
    <row r="747" spans="1:20" x14ac:dyDescent="0.35">
      <c r="A747" s="2" t="s">
        <v>1675</v>
      </c>
      <c r="B747" s="2" t="s">
        <v>51</v>
      </c>
      <c r="C747" s="2" t="s">
        <v>1676</v>
      </c>
      <c r="D747" s="2" t="s">
        <v>26</v>
      </c>
      <c r="E747" s="2" t="s">
        <v>38</v>
      </c>
      <c r="F747" s="2" t="s">
        <v>39</v>
      </c>
      <c r="G747" s="2" t="s">
        <v>1622</v>
      </c>
      <c r="H747" s="3">
        <v>45413.320833333331</v>
      </c>
      <c r="I747" s="3">
        <v>45413.463194444441</v>
      </c>
      <c r="J747" s="2">
        <v>206</v>
      </c>
      <c r="K747" s="2">
        <v>205</v>
      </c>
      <c r="L747" s="2">
        <v>0</v>
      </c>
      <c r="M747" s="2" t="s">
        <v>41</v>
      </c>
      <c r="N747" s="2">
        <v>9</v>
      </c>
      <c r="O747" s="2">
        <v>205.95</v>
      </c>
      <c r="P747" s="2">
        <f t="shared" si="55"/>
        <v>-1</v>
      </c>
      <c r="Q747" s="4">
        <f t="shared" si="56"/>
        <v>1.0048780487804878</v>
      </c>
      <c r="R747" s="2" t="str">
        <f t="shared" si="57"/>
        <v>Efficient</v>
      </c>
      <c r="S747" s="2" t="str">
        <f t="shared" si="58"/>
        <v>Very Long</v>
      </c>
      <c r="T747" s="2" t="str">
        <f t="shared" si="59"/>
        <v>On Time</v>
      </c>
    </row>
    <row r="748" spans="1:20" x14ac:dyDescent="0.35">
      <c r="A748" s="2" t="s">
        <v>1677</v>
      </c>
      <c r="B748" s="2" t="s">
        <v>51</v>
      </c>
      <c r="C748" s="2" t="s">
        <v>1678</v>
      </c>
      <c r="D748" s="2" t="s">
        <v>56</v>
      </c>
      <c r="E748" s="2" t="s">
        <v>33</v>
      </c>
      <c r="F748" s="2" t="s">
        <v>20</v>
      </c>
      <c r="G748" s="2" t="s">
        <v>207</v>
      </c>
      <c r="H748" s="3">
        <v>45625.70416666667</v>
      </c>
      <c r="I748" s="3">
        <v>45625.777083333334</v>
      </c>
      <c r="J748" s="2">
        <v>19</v>
      </c>
      <c r="K748" s="2">
        <v>105</v>
      </c>
      <c r="L748" s="2">
        <v>1</v>
      </c>
      <c r="M748" s="2" t="s">
        <v>41</v>
      </c>
      <c r="N748" s="2">
        <v>5</v>
      </c>
      <c r="O748" s="2">
        <v>341.21</v>
      </c>
      <c r="P748" s="2">
        <f t="shared" si="55"/>
        <v>86</v>
      </c>
      <c r="Q748" s="4">
        <f t="shared" si="56"/>
        <v>0.18095238095238095</v>
      </c>
      <c r="R748" s="2" t="str">
        <f t="shared" si="57"/>
        <v>Inefficient</v>
      </c>
      <c r="S748" s="2" t="str">
        <f t="shared" si="58"/>
        <v>Long</v>
      </c>
      <c r="T748" s="2" t="str">
        <f t="shared" si="59"/>
        <v>Major Delay</v>
      </c>
    </row>
    <row r="749" spans="1:20" x14ac:dyDescent="0.35">
      <c r="A749" s="2" t="s">
        <v>1679</v>
      </c>
      <c r="B749" s="2" t="s">
        <v>51</v>
      </c>
      <c r="C749" s="2" t="s">
        <v>1680</v>
      </c>
      <c r="D749" s="2" t="s">
        <v>26</v>
      </c>
      <c r="E749" s="2" t="s">
        <v>85</v>
      </c>
      <c r="F749" s="2" t="s">
        <v>20</v>
      </c>
      <c r="G749" s="2" t="s">
        <v>505</v>
      </c>
      <c r="H749" s="3">
        <v>45452.004861111112</v>
      </c>
      <c r="I749" s="3">
        <v>45452.103472222225</v>
      </c>
      <c r="J749" s="2">
        <v>130</v>
      </c>
      <c r="K749" s="2">
        <v>142</v>
      </c>
      <c r="L749" s="2">
        <v>1</v>
      </c>
      <c r="M749" s="2" t="s">
        <v>29</v>
      </c>
      <c r="N749" s="2">
        <v>4</v>
      </c>
      <c r="O749" s="2">
        <v>271.77</v>
      </c>
      <c r="P749" s="2">
        <f t="shared" si="55"/>
        <v>12</v>
      </c>
      <c r="Q749" s="4">
        <f t="shared" si="56"/>
        <v>0.91549295774647887</v>
      </c>
      <c r="R749" s="2" t="str">
        <f t="shared" si="57"/>
        <v>Inefficient</v>
      </c>
      <c r="S749" s="2" t="str">
        <f t="shared" si="58"/>
        <v>Very Long</v>
      </c>
      <c r="T749" s="2" t="str">
        <f t="shared" si="59"/>
        <v>Minor Delay</v>
      </c>
    </row>
    <row r="750" spans="1:20" x14ac:dyDescent="0.35">
      <c r="A750" s="2" t="s">
        <v>1681</v>
      </c>
      <c r="B750" s="2" t="s">
        <v>16</v>
      </c>
      <c r="C750" s="2" t="s">
        <v>1682</v>
      </c>
      <c r="D750" s="2" t="s">
        <v>56</v>
      </c>
      <c r="E750" s="2" t="s">
        <v>85</v>
      </c>
      <c r="F750" s="2" t="s">
        <v>27</v>
      </c>
      <c r="G750" s="2" t="s">
        <v>204</v>
      </c>
      <c r="H750" s="3">
        <v>45610.255555555559</v>
      </c>
      <c r="I750" s="3">
        <v>45610.288888888892</v>
      </c>
      <c r="J750" s="2">
        <v>50</v>
      </c>
      <c r="K750" s="2">
        <v>48</v>
      </c>
      <c r="L750" s="2">
        <v>0</v>
      </c>
      <c r="M750" s="2" t="s">
        <v>29</v>
      </c>
      <c r="N750" s="2">
        <v>10</v>
      </c>
      <c r="O750" s="2">
        <v>311.14999999999998</v>
      </c>
      <c r="P750" s="2">
        <f t="shared" si="55"/>
        <v>-2</v>
      </c>
      <c r="Q750" s="4">
        <f t="shared" si="56"/>
        <v>1.0416666666666667</v>
      </c>
      <c r="R750" s="2" t="str">
        <f t="shared" si="57"/>
        <v>Efficient</v>
      </c>
      <c r="S750" s="2" t="str">
        <f t="shared" si="58"/>
        <v>Medium</v>
      </c>
      <c r="T750" s="2" t="str">
        <f t="shared" si="59"/>
        <v>On Time</v>
      </c>
    </row>
    <row r="751" spans="1:20" x14ac:dyDescent="0.35">
      <c r="A751" s="2" t="s">
        <v>1683</v>
      </c>
      <c r="B751" s="2" t="s">
        <v>63</v>
      </c>
      <c r="C751" s="2" t="s">
        <v>1684</v>
      </c>
      <c r="D751" s="2" t="s">
        <v>44</v>
      </c>
      <c r="E751" s="2" t="s">
        <v>33</v>
      </c>
      <c r="F751" s="2" t="s">
        <v>57</v>
      </c>
      <c r="G751" s="2" t="s">
        <v>691</v>
      </c>
      <c r="H751" s="3">
        <v>45458.345138888886</v>
      </c>
      <c r="I751" s="3">
        <v>45458.447222222225</v>
      </c>
      <c r="J751" s="2">
        <v>91</v>
      </c>
      <c r="K751" s="2">
        <v>147</v>
      </c>
      <c r="L751" s="2">
        <v>1</v>
      </c>
      <c r="M751" s="2" t="s">
        <v>41</v>
      </c>
      <c r="N751" s="2">
        <v>5</v>
      </c>
      <c r="O751" s="2">
        <v>256.27</v>
      </c>
      <c r="P751" s="2">
        <f t="shared" si="55"/>
        <v>56</v>
      </c>
      <c r="Q751" s="4">
        <f t="shared" si="56"/>
        <v>0.61904761904761907</v>
      </c>
      <c r="R751" s="2" t="str">
        <f t="shared" si="57"/>
        <v>Inefficient</v>
      </c>
      <c r="S751" s="2" t="str">
        <f t="shared" si="58"/>
        <v>Very Long</v>
      </c>
      <c r="T751" s="2" t="str">
        <f t="shared" si="59"/>
        <v>Major Delay</v>
      </c>
    </row>
    <row r="752" spans="1:20" x14ac:dyDescent="0.35">
      <c r="A752" s="2" t="s">
        <v>1685</v>
      </c>
      <c r="B752" s="2" t="s">
        <v>16</v>
      </c>
      <c r="C752" s="2" t="s">
        <v>1686</v>
      </c>
      <c r="D752" s="2" t="s">
        <v>44</v>
      </c>
      <c r="E752" s="2" t="s">
        <v>33</v>
      </c>
      <c r="F752" s="2" t="s">
        <v>34</v>
      </c>
      <c r="G752" s="2" t="s">
        <v>161</v>
      </c>
      <c r="H752" s="3">
        <v>45595.384722222225</v>
      </c>
      <c r="I752" s="3">
        <v>45595.511111111111</v>
      </c>
      <c r="J752" s="2">
        <v>106</v>
      </c>
      <c r="K752" s="2">
        <v>182</v>
      </c>
      <c r="L752" s="2">
        <v>1</v>
      </c>
      <c r="M752" s="2" t="s">
        <v>29</v>
      </c>
      <c r="N752" s="2">
        <v>7</v>
      </c>
      <c r="O752" s="2">
        <v>51.04</v>
      </c>
      <c r="P752" s="2">
        <f t="shared" si="55"/>
        <v>76</v>
      </c>
      <c r="Q752" s="4">
        <f t="shared" si="56"/>
        <v>0.58241758241758246</v>
      </c>
      <c r="R752" s="2" t="str">
        <f t="shared" si="57"/>
        <v>Inefficient</v>
      </c>
      <c r="S752" s="2" t="str">
        <f t="shared" si="58"/>
        <v>Very Long</v>
      </c>
      <c r="T752" s="2" t="str">
        <f t="shared" si="59"/>
        <v>Major Delay</v>
      </c>
    </row>
    <row r="753" spans="1:20" x14ac:dyDescent="0.35">
      <c r="A753" s="2" t="s">
        <v>1687</v>
      </c>
      <c r="B753" s="2" t="s">
        <v>51</v>
      </c>
      <c r="C753" s="2" t="s">
        <v>1688</v>
      </c>
      <c r="D753" s="2" t="s">
        <v>26</v>
      </c>
      <c r="E753" s="2" t="s">
        <v>19</v>
      </c>
      <c r="F753" s="2" t="s">
        <v>34</v>
      </c>
      <c r="G753" s="2" t="s">
        <v>462</v>
      </c>
      <c r="H753" s="3">
        <v>45512.542361111111</v>
      </c>
      <c r="I753" s="3">
        <v>45512.732638888891</v>
      </c>
      <c r="J753" s="2">
        <v>215</v>
      </c>
      <c r="K753" s="2">
        <v>274</v>
      </c>
      <c r="L753" s="2">
        <v>1</v>
      </c>
      <c r="M753" s="2" t="s">
        <v>29</v>
      </c>
      <c r="N753" s="2">
        <v>9</v>
      </c>
      <c r="O753" s="2">
        <v>410.84</v>
      </c>
      <c r="P753" s="2">
        <f t="shared" si="55"/>
        <v>59</v>
      </c>
      <c r="Q753" s="4">
        <f t="shared" si="56"/>
        <v>0.78467153284671531</v>
      </c>
      <c r="R753" s="2" t="str">
        <f t="shared" si="57"/>
        <v>Inefficient</v>
      </c>
      <c r="S753" s="2" t="str">
        <f t="shared" si="58"/>
        <v>Very Long</v>
      </c>
      <c r="T753" s="2" t="str">
        <f t="shared" si="59"/>
        <v>Major Delay</v>
      </c>
    </row>
    <row r="754" spans="1:20" x14ac:dyDescent="0.35">
      <c r="A754" s="2" t="s">
        <v>1689</v>
      </c>
      <c r="B754" s="2" t="s">
        <v>63</v>
      </c>
      <c r="C754" s="2" t="s">
        <v>1690</v>
      </c>
      <c r="D754" s="2" t="s">
        <v>18</v>
      </c>
      <c r="E754" s="2" t="s">
        <v>19</v>
      </c>
      <c r="F754" s="2" t="s">
        <v>20</v>
      </c>
      <c r="G754" s="2" t="s">
        <v>343</v>
      </c>
      <c r="H754" s="3">
        <v>45625.936111111114</v>
      </c>
      <c r="I754" s="3">
        <v>45626.048611111109</v>
      </c>
      <c r="J754" s="2">
        <v>83</v>
      </c>
      <c r="K754" s="2">
        <v>162</v>
      </c>
      <c r="L754" s="2">
        <v>1</v>
      </c>
      <c r="M754" s="2" t="s">
        <v>41</v>
      </c>
      <c r="N754" s="2">
        <v>1</v>
      </c>
      <c r="O754" s="2">
        <v>426.6</v>
      </c>
      <c r="P754" s="2">
        <f t="shared" si="55"/>
        <v>79</v>
      </c>
      <c r="Q754" s="4">
        <f t="shared" si="56"/>
        <v>0.51234567901234573</v>
      </c>
      <c r="R754" s="2" t="str">
        <f t="shared" si="57"/>
        <v>Inefficient</v>
      </c>
      <c r="S754" s="2" t="str">
        <f t="shared" si="58"/>
        <v>Very Long</v>
      </c>
      <c r="T754" s="2" t="str">
        <f t="shared" si="59"/>
        <v>Major Delay</v>
      </c>
    </row>
    <row r="755" spans="1:20" x14ac:dyDescent="0.35">
      <c r="A755" s="2" t="s">
        <v>1691</v>
      </c>
      <c r="B755" s="2" t="s">
        <v>31</v>
      </c>
      <c r="C755" s="2" t="s">
        <v>1692</v>
      </c>
      <c r="D755" s="2" t="s">
        <v>44</v>
      </c>
      <c r="E755" s="2" t="s">
        <v>38</v>
      </c>
      <c r="F755" s="2" t="s">
        <v>39</v>
      </c>
      <c r="G755" s="2" t="s">
        <v>251</v>
      </c>
      <c r="H755" s="3">
        <v>45296.338194444441</v>
      </c>
      <c r="I755" s="3">
        <v>45296.515277777777</v>
      </c>
      <c r="J755" s="2">
        <v>153</v>
      </c>
      <c r="K755" s="2">
        <v>255</v>
      </c>
      <c r="L755" s="2">
        <v>1</v>
      </c>
      <c r="M755" s="2" t="s">
        <v>29</v>
      </c>
      <c r="N755" s="2">
        <v>3</v>
      </c>
      <c r="O755" s="2">
        <v>263.2</v>
      </c>
      <c r="P755" s="2">
        <f t="shared" si="55"/>
        <v>102</v>
      </c>
      <c r="Q755" s="4">
        <f t="shared" si="56"/>
        <v>0.6</v>
      </c>
      <c r="R755" s="2" t="str">
        <f t="shared" si="57"/>
        <v>Inefficient</v>
      </c>
      <c r="S755" s="2" t="str">
        <f t="shared" si="58"/>
        <v>Very Long</v>
      </c>
      <c r="T755" s="2" t="str">
        <f t="shared" si="59"/>
        <v>Major Delay</v>
      </c>
    </row>
    <row r="756" spans="1:20" x14ac:dyDescent="0.35">
      <c r="A756" s="2" t="s">
        <v>1693</v>
      </c>
      <c r="B756" s="2" t="s">
        <v>63</v>
      </c>
      <c r="C756" s="2" t="s">
        <v>1694</v>
      </c>
      <c r="D756" s="2" t="s">
        <v>48</v>
      </c>
      <c r="E756" s="2" t="s">
        <v>19</v>
      </c>
      <c r="F756" s="2" t="s">
        <v>34</v>
      </c>
      <c r="G756" s="2" t="s">
        <v>308</v>
      </c>
      <c r="H756" s="3">
        <v>45448.568055555559</v>
      </c>
      <c r="I756" s="3">
        <v>45448.660416666666</v>
      </c>
      <c r="J756" s="2">
        <v>78</v>
      </c>
      <c r="K756" s="2">
        <v>133</v>
      </c>
      <c r="L756" s="2">
        <v>1</v>
      </c>
      <c r="M756" s="2" t="s">
        <v>29</v>
      </c>
      <c r="N756" s="2">
        <v>7</v>
      </c>
      <c r="O756" s="2">
        <v>247.27</v>
      </c>
      <c r="P756" s="2">
        <f t="shared" si="55"/>
        <v>55</v>
      </c>
      <c r="Q756" s="4">
        <f t="shared" si="56"/>
        <v>0.5864661654135338</v>
      </c>
      <c r="R756" s="2" t="str">
        <f t="shared" si="57"/>
        <v>Inefficient</v>
      </c>
      <c r="S756" s="2" t="str">
        <f t="shared" si="58"/>
        <v>Very Long</v>
      </c>
      <c r="T756" s="2" t="str">
        <f t="shared" si="59"/>
        <v>Major Delay</v>
      </c>
    </row>
    <row r="757" spans="1:20" x14ac:dyDescent="0.35">
      <c r="A757" s="2" t="s">
        <v>1695</v>
      </c>
      <c r="B757" s="2" t="s">
        <v>63</v>
      </c>
      <c r="C757" s="2" t="s">
        <v>1696</v>
      </c>
      <c r="D757" s="2" t="s">
        <v>18</v>
      </c>
      <c r="E757" s="2" t="s">
        <v>19</v>
      </c>
      <c r="F757" s="2" t="s">
        <v>39</v>
      </c>
      <c r="G757" s="2" t="s">
        <v>49</v>
      </c>
      <c r="H757" s="3">
        <v>45410.241666666669</v>
      </c>
      <c r="I757" s="3">
        <v>45410.438194444447</v>
      </c>
      <c r="J757" s="2">
        <v>219</v>
      </c>
      <c r="K757" s="2">
        <v>283</v>
      </c>
      <c r="L757" s="2">
        <v>1</v>
      </c>
      <c r="M757" s="2" t="s">
        <v>29</v>
      </c>
      <c r="N757" s="2">
        <v>9</v>
      </c>
      <c r="O757" s="2">
        <v>130.35</v>
      </c>
      <c r="P757" s="2">
        <f t="shared" si="55"/>
        <v>64</v>
      </c>
      <c r="Q757" s="4">
        <f t="shared" si="56"/>
        <v>0.77385159010600701</v>
      </c>
      <c r="R757" s="2" t="str">
        <f t="shared" si="57"/>
        <v>Inefficient</v>
      </c>
      <c r="S757" s="2" t="str">
        <f t="shared" si="58"/>
        <v>Very Long</v>
      </c>
      <c r="T757" s="2" t="str">
        <f t="shared" si="59"/>
        <v>Major Delay</v>
      </c>
    </row>
    <row r="758" spans="1:20" x14ac:dyDescent="0.35">
      <c r="A758" s="2" t="s">
        <v>1697</v>
      </c>
      <c r="B758" s="2" t="s">
        <v>51</v>
      </c>
      <c r="C758" s="2" t="s">
        <v>1698</v>
      </c>
      <c r="D758" s="2" t="s">
        <v>48</v>
      </c>
      <c r="E758" s="2" t="s">
        <v>33</v>
      </c>
      <c r="F758" s="2" t="s">
        <v>57</v>
      </c>
      <c r="G758" s="2" t="s">
        <v>402</v>
      </c>
      <c r="H758" s="3">
        <v>45433.006249999999</v>
      </c>
      <c r="I758" s="3">
        <v>45433.195833333331</v>
      </c>
      <c r="J758" s="2">
        <v>203</v>
      </c>
      <c r="K758" s="2">
        <v>273</v>
      </c>
      <c r="L758" s="2">
        <v>1</v>
      </c>
      <c r="M758" s="2" t="s">
        <v>41</v>
      </c>
      <c r="N758" s="2">
        <v>4</v>
      </c>
      <c r="O758" s="2">
        <v>410.06</v>
      </c>
      <c r="P758" s="2">
        <f t="shared" si="55"/>
        <v>70</v>
      </c>
      <c r="Q758" s="4">
        <f t="shared" si="56"/>
        <v>0.74358974358974361</v>
      </c>
      <c r="R758" s="2" t="str">
        <f t="shared" si="57"/>
        <v>Inefficient</v>
      </c>
      <c r="S758" s="2" t="str">
        <f t="shared" si="58"/>
        <v>Very Long</v>
      </c>
      <c r="T758" s="2" t="str">
        <f t="shared" si="59"/>
        <v>Major Delay</v>
      </c>
    </row>
    <row r="759" spans="1:20" x14ac:dyDescent="0.35">
      <c r="A759" s="2" t="s">
        <v>1699</v>
      </c>
      <c r="B759" s="2" t="s">
        <v>24</v>
      </c>
      <c r="C759" s="2" t="s">
        <v>1700</v>
      </c>
      <c r="D759" s="2" t="s">
        <v>18</v>
      </c>
      <c r="E759" s="2" t="s">
        <v>19</v>
      </c>
      <c r="F759" s="2" t="s">
        <v>39</v>
      </c>
      <c r="G759" s="2" t="s">
        <v>100</v>
      </c>
      <c r="H759" s="3">
        <v>45508.393750000003</v>
      </c>
      <c r="I759" s="3">
        <v>45508.584027777775</v>
      </c>
      <c r="J759" s="2">
        <v>158</v>
      </c>
      <c r="K759" s="2">
        <v>274</v>
      </c>
      <c r="L759" s="2">
        <v>1</v>
      </c>
      <c r="M759" s="2" t="s">
        <v>22</v>
      </c>
      <c r="N759" s="2">
        <v>1</v>
      </c>
      <c r="O759" s="2">
        <v>497.73</v>
      </c>
      <c r="P759" s="2">
        <f t="shared" si="55"/>
        <v>116</v>
      </c>
      <c r="Q759" s="4">
        <f t="shared" si="56"/>
        <v>0.57664233576642332</v>
      </c>
      <c r="R759" s="2" t="str">
        <f t="shared" si="57"/>
        <v>Inefficient</v>
      </c>
      <c r="S759" s="2" t="str">
        <f t="shared" si="58"/>
        <v>Very Long</v>
      </c>
      <c r="T759" s="2" t="str">
        <f t="shared" si="59"/>
        <v>Major Delay</v>
      </c>
    </row>
    <row r="760" spans="1:20" x14ac:dyDescent="0.35">
      <c r="A760" s="2" t="s">
        <v>1701</v>
      </c>
      <c r="B760" s="2" t="s">
        <v>31</v>
      </c>
      <c r="C760" s="2" t="s">
        <v>1702</v>
      </c>
      <c r="D760" s="2" t="s">
        <v>18</v>
      </c>
      <c r="E760" s="2" t="s">
        <v>85</v>
      </c>
      <c r="F760" s="2" t="s">
        <v>27</v>
      </c>
      <c r="G760" s="2" t="s">
        <v>782</v>
      </c>
      <c r="H760" s="3">
        <v>45556.772916666669</v>
      </c>
      <c r="I760" s="3">
        <v>45556.92291666667</v>
      </c>
      <c r="J760" s="2">
        <v>135</v>
      </c>
      <c r="K760" s="2">
        <v>216</v>
      </c>
      <c r="L760" s="2">
        <v>1</v>
      </c>
      <c r="M760" s="2" t="s">
        <v>22</v>
      </c>
      <c r="N760" s="2">
        <v>8</v>
      </c>
      <c r="O760" s="2">
        <v>486.92</v>
      </c>
      <c r="P760" s="2">
        <f t="shared" si="55"/>
        <v>81</v>
      </c>
      <c r="Q760" s="4">
        <f t="shared" si="56"/>
        <v>0.625</v>
      </c>
      <c r="R760" s="2" t="str">
        <f t="shared" si="57"/>
        <v>Inefficient</v>
      </c>
      <c r="S760" s="2" t="str">
        <f t="shared" si="58"/>
        <v>Very Long</v>
      </c>
      <c r="T760" s="2" t="str">
        <f t="shared" si="59"/>
        <v>Major Delay</v>
      </c>
    </row>
    <row r="761" spans="1:20" x14ac:dyDescent="0.35">
      <c r="A761" s="2" t="s">
        <v>1703</v>
      </c>
      <c r="B761" s="2" t="s">
        <v>31</v>
      </c>
      <c r="C761" s="2" t="s">
        <v>1704</v>
      </c>
      <c r="D761" s="2" t="s">
        <v>18</v>
      </c>
      <c r="E761" s="2" t="s">
        <v>85</v>
      </c>
      <c r="F761" s="2" t="s">
        <v>27</v>
      </c>
      <c r="G761" s="2" t="s">
        <v>505</v>
      </c>
      <c r="H761" s="3">
        <v>45630.493055555555</v>
      </c>
      <c r="I761" s="3">
        <v>45630.602083333331</v>
      </c>
      <c r="J761" s="2">
        <v>91</v>
      </c>
      <c r="K761" s="2">
        <v>157</v>
      </c>
      <c r="L761" s="2">
        <v>1</v>
      </c>
      <c r="M761" s="2" t="s">
        <v>29</v>
      </c>
      <c r="N761" s="2">
        <v>8</v>
      </c>
      <c r="O761" s="2">
        <v>207.67</v>
      </c>
      <c r="P761" s="2">
        <f t="shared" si="55"/>
        <v>66</v>
      </c>
      <c r="Q761" s="4">
        <f t="shared" si="56"/>
        <v>0.57961783439490444</v>
      </c>
      <c r="R761" s="2" t="str">
        <f t="shared" si="57"/>
        <v>Inefficient</v>
      </c>
      <c r="S761" s="2" t="str">
        <f t="shared" si="58"/>
        <v>Very Long</v>
      </c>
      <c r="T761" s="2" t="str">
        <f t="shared" si="59"/>
        <v>Major Delay</v>
      </c>
    </row>
    <row r="762" spans="1:20" x14ac:dyDescent="0.35">
      <c r="A762" s="2" t="s">
        <v>1705</v>
      </c>
      <c r="B762" s="2" t="s">
        <v>16</v>
      </c>
      <c r="C762" s="2" t="s">
        <v>1706</v>
      </c>
      <c r="D762" s="2" t="s">
        <v>18</v>
      </c>
      <c r="E762" s="2" t="s">
        <v>19</v>
      </c>
      <c r="F762" s="2" t="s">
        <v>27</v>
      </c>
      <c r="G762" s="2" t="s">
        <v>676</v>
      </c>
      <c r="H762" s="3">
        <v>45320.726388888892</v>
      </c>
      <c r="I762" s="3">
        <v>45320.811111111114</v>
      </c>
      <c r="J762" s="2">
        <v>54</v>
      </c>
      <c r="K762" s="2">
        <v>122</v>
      </c>
      <c r="L762" s="2">
        <v>1</v>
      </c>
      <c r="M762" s="2" t="s">
        <v>29</v>
      </c>
      <c r="N762" s="2">
        <v>5</v>
      </c>
      <c r="O762" s="2">
        <v>387.2</v>
      </c>
      <c r="P762" s="2">
        <f t="shared" si="55"/>
        <v>68</v>
      </c>
      <c r="Q762" s="4">
        <f t="shared" si="56"/>
        <v>0.44262295081967212</v>
      </c>
      <c r="R762" s="2" t="str">
        <f t="shared" si="57"/>
        <v>Inefficient</v>
      </c>
      <c r="S762" s="2" t="str">
        <f t="shared" si="58"/>
        <v>Very Long</v>
      </c>
      <c r="T762" s="2" t="str">
        <f t="shared" si="59"/>
        <v>Major Delay</v>
      </c>
    </row>
    <row r="763" spans="1:20" x14ac:dyDescent="0.35">
      <c r="A763" s="2" t="s">
        <v>1707</v>
      </c>
      <c r="B763" s="2" t="s">
        <v>51</v>
      </c>
      <c r="C763" s="2" t="s">
        <v>1708</v>
      </c>
      <c r="D763" s="2" t="s">
        <v>26</v>
      </c>
      <c r="E763" s="2" t="s">
        <v>85</v>
      </c>
      <c r="F763" s="2" t="s">
        <v>34</v>
      </c>
      <c r="G763" s="2" t="s">
        <v>1413</v>
      </c>
      <c r="H763" s="3">
        <v>45419.378472222219</v>
      </c>
      <c r="I763" s="3">
        <v>45419.597222222219</v>
      </c>
      <c r="J763" s="2">
        <v>196</v>
      </c>
      <c r="K763" s="2">
        <v>315</v>
      </c>
      <c r="L763" s="2">
        <v>1</v>
      </c>
      <c r="M763" s="2" t="s">
        <v>29</v>
      </c>
      <c r="N763" s="2">
        <v>3</v>
      </c>
      <c r="O763" s="2">
        <v>329.82</v>
      </c>
      <c r="P763" s="2">
        <f t="shared" si="55"/>
        <v>119</v>
      </c>
      <c r="Q763" s="4">
        <f t="shared" si="56"/>
        <v>0.62222222222222223</v>
      </c>
      <c r="R763" s="2" t="str">
        <f t="shared" si="57"/>
        <v>Inefficient</v>
      </c>
      <c r="S763" s="2" t="str">
        <f t="shared" si="58"/>
        <v>Very Long</v>
      </c>
      <c r="T763" s="2" t="str">
        <f t="shared" si="59"/>
        <v>Major Delay</v>
      </c>
    </row>
    <row r="764" spans="1:20" x14ac:dyDescent="0.35">
      <c r="A764" s="2" t="s">
        <v>1709</v>
      </c>
      <c r="B764" s="2" t="s">
        <v>16</v>
      </c>
      <c r="C764" s="2" t="s">
        <v>1710</v>
      </c>
      <c r="D764" s="2" t="s">
        <v>48</v>
      </c>
      <c r="E764" s="2" t="s">
        <v>19</v>
      </c>
      <c r="F764" s="2" t="s">
        <v>57</v>
      </c>
      <c r="G764" s="2" t="s">
        <v>364</v>
      </c>
      <c r="H764" s="3">
        <v>45550.561805555553</v>
      </c>
      <c r="I764" s="3">
        <v>45550.647916666669</v>
      </c>
      <c r="J764" s="2">
        <v>48</v>
      </c>
      <c r="K764" s="2">
        <v>124</v>
      </c>
      <c r="L764" s="2">
        <v>1</v>
      </c>
      <c r="M764" s="2" t="s">
        <v>41</v>
      </c>
      <c r="N764" s="2">
        <v>1</v>
      </c>
      <c r="O764" s="2">
        <v>306.83999999999997</v>
      </c>
      <c r="P764" s="2">
        <f t="shared" si="55"/>
        <v>76</v>
      </c>
      <c r="Q764" s="4">
        <f t="shared" si="56"/>
        <v>0.38709677419354838</v>
      </c>
      <c r="R764" s="2" t="str">
        <f t="shared" si="57"/>
        <v>Inefficient</v>
      </c>
      <c r="S764" s="2" t="str">
        <f t="shared" si="58"/>
        <v>Very Long</v>
      </c>
      <c r="T764" s="2" t="str">
        <f t="shared" si="59"/>
        <v>Major Delay</v>
      </c>
    </row>
    <row r="765" spans="1:20" x14ac:dyDescent="0.35">
      <c r="A765" s="2" t="s">
        <v>1711</v>
      </c>
      <c r="B765" s="2" t="s">
        <v>51</v>
      </c>
      <c r="C765" s="2" t="s">
        <v>1712</v>
      </c>
      <c r="D765" s="2" t="s">
        <v>44</v>
      </c>
      <c r="E765" s="2" t="s">
        <v>33</v>
      </c>
      <c r="F765" s="2" t="s">
        <v>34</v>
      </c>
      <c r="G765" s="2" t="s">
        <v>500</v>
      </c>
      <c r="H765" s="3">
        <v>45637.933333333334</v>
      </c>
      <c r="I765" s="3">
        <v>45638.048611111109</v>
      </c>
      <c r="J765" s="2">
        <v>79</v>
      </c>
      <c r="K765" s="2">
        <v>166</v>
      </c>
      <c r="L765" s="2">
        <v>1</v>
      </c>
      <c r="M765" s="2" t="s">
        <v>41</v>
      </c>
      <c r="N765" s="2">
        <v>7</v>
      </c>
      <c r="O765" s="2">
        <v>159.24</v>
      </c>
      <c r="P765" s="2">
        <f t="shared" si="55"/>
        <v>87</v>
      </c>
      <c r="Q765" s="4">
        <f t="shared" si="56"/>
        <v>0.4759036144578313</v>
      </c>
      <c r="R765" s="2" t="str">
        <f t="shared" si="57"/>
        <v>Inefficient</v>
      </c>
      <c r="S765" s="2" t="str">
        <f t="shared" si="58"/>
        <v>Very Long</v>
      </c>
      <c r="T765" s="2" t="str">
        <f t="shared" si="59"/>
        <v>Major Delay</v>
      </c>
    </row>
    <row r="766" spans="1:20" x14ac:dyDescent="0.35">
      <c r="A766" s="2" t="s">
        <v>1713</v>
      </c>
      <c r="B766" s="2" t="s">
        <v>51</v>
      </c>
      <c r="C766" s="2" t="s">
        <v>1714</v>
      </c>
      <c r="D766" s="2" t="s">
        <v>44</v>
      </c>
      <c r="E766" s="2" t="s">
        <v>19</v>
      </c>
      <c r="F766" s="2" t="s">
        <v>27</v>
      </c>
      <c r="G766" s="2" t="s">
        <v>354</v>
      </c>
      <c r="H766" s="3">
        <v>45489.240972222222</v>
      </c>
      <c r="I766" s="3">
        <v>45489.363194444442</v>
      </c>
      <c r="J766" s="2">
        <v>137</v>
      </c>
      <c r="K766" s="2">
        <v>176</v>
      </c>
      <c r="L766" s="2">
        <v>1</v>
      </c>
      <c r="M766" s="2" t="s">
        <v>29</v>
      </c>
      <c r="N766" s="2">
        <v>2</v>
      </c>
      <c r="O766" s="2">
        <v>262.45999999999998</v>
      </c>
      <c r="P766" s="2">
        <f t="shared" si="55"/>
        <v>39</v>
      </c>
      <c r="Q766" s="4">
        <f t="shared" si="56"/>
        <v>0.77840909090909094</v>
      </c>
      <c r="R766" s="2" t="str">
        <f t="shared" si="57"/>
        <v>Inefficient</v>
      </c>
      <c r="S766" s="2" t="str">
        <f t="shared" si="58"/>
        <v>Very Long</v>
      </c>
      <c r="T766" s="2" t="str">
        <f t="shared" si="59"/>
        <v>Major Delay</v>
      </c>
    </row>
    <row r="767" spans="1:20" x14ac:dyDescent="0.35">
      <c r="A767" s="2" t="s">
        <v>1715</v>
      </c>
      <c r="B767" s="2" t="s">
        <v>24</v>
      </c>
      <c r="C767" s="2" t="s">
        <v>1716</v>
      </c>
      <c r="D767" s="2" t="s">
        <v>44</v>
      </c>
      <c r="E767" s="2" t="s">
        <v>19</v>
      </c>
      <c r="F767" s="2" t="s">
        <v>20</v>
      </c>
      <c r="G767" s="2" t="s">
        <v>1172</v>
      </c>
      <c r="H767" s="3">
        <v>45480.429861111108</v>
      </c>
      <c r="I767" s="3">
        <v>45480.542361111111</v>
      </c>
      <c r="J767" s="2">
        <v>47</v>
      </c>
      <c r="K767" s="2">
        <v>162</v>
      </c>
      <c r="L767" s="2">
        <v>1</v>
      </c>
      <c r="M767" s="2" t="s">
        <v>22</v>
      </c>
      <c r="N767" s="2">
        <v>7</v>
      </c>
      <c r="O767" s="2">
        <v>428.51</v>
      </c>
      <c r="P767" s="2">
        <f t="shared" si="55"/>
        <v>115</v>
      </c>
      <c r="Q767" s="4">
        <f t="shared" si="56"/>
        <v>0.29012345679012347</v>
      </c>
      <c r="R767" s="2" t="str">
        <f t="shared" si="57"/>
        <v>Inefficient</v>
      </c>
      <c r="S767" s="2" t="str">
        <f t="shared" si="58"/>
        <v>Very Long</v>
      </c>
      <c r="T767" s="2" t="str">
        <f t="shared" si="59"/>
        <v>Major Delay</v>
      </c>
    </row>
    <row r="768" spans="1:20" x14ac:dyDescent="0.35">
      <c r="A768" s="2" t="s">
        <v>1717</v>
      </c>
      <c r="B768" s="2" t="s">
        <v>63</v>
      </c>
      <c r="C768" s="2" t="s">
        <v>1718</v>
      </c>
      <c r="D768" s="2" t="s">
        <v>26</v>
      </c>
      <c r="E768" s="2" t="s">
        <v>85</v>
      </c>
      <c r="F768" s="2" t="s">
        <v>34</v>
      </c>
      <c r="G768" s="2" t="s">
        <v>1719</v>
      </c>
      <c r="H768" s="3">
        <v>45313.925694444442</v>
      </c>
      <c r="I768" s="3">
        <v>45314.027083333334</v>
      </c>
      <c r="J768" s="2">
        <v>102</v>
      </c>
      <c r="K768" s="2">
        <v>146</v>
      </c>
      <c r="L768" s="2">
        <v>1</v>
      </c>
      <c r="M768" s="2" t="s">
        <v>41</v>
      </c>
      <c r="N768" s="2">
        <v>3</v>
      </c>
      <c r="O768" s="2">
        <v>365.44</v>
      </c>
      <c r="P768" s="2">
        <f t="shared" si="55"/>
        <v>44</v>
      </c>
      <c r="Q768" s="4">
        <f t="shared" si="56"/>
        <v>0.69863013698630139</v>
      </c>
      <c r="R768" s="2" t="str">
        <f t="shared" si="57"/>
        <v>Inefficient</v>
      </c>
      <c r="S768" s="2" t="str">
        <f t="shared" si="58"/>
        <v>Very Long</v>
      </c>
      <c r="T768" s="2" t="str">
        <f t="shared" si="59"/>
        <v>Major Delay</v>
      </c>
    </row>
    <row r="769" spans="1:20" x14ac:dyDescent="0.35">
      <c r="A769" s="2" t="s">
        <v>1720</v>
      </c>
      <c r="B769" s="2" t="s">
        <v>51</v>
      </c>
      <c r="C769" s="2" t="s">
        <v>1721</v>
      </c>
      <c r="D769" s="2" t="s">
        <v>56</v>
      </c>
      <c r="E769" s="2" t="s">
        <v>33</v>
      </c>
      <c r="F769" s="2" t="s">
        <v>57</v>
      </c>
      <c r="G769" s="2" t="s">
        <v>108</v>
      </c>
      <c r="H769" s="3">
        <v>45648.861111111109</v>
      </c>
      <c r="I769" s="3">
        <v>45648.946527777778</v>
      </c>
      <c r="J769" s="2">
        <v>35</v>
      </c>
      <c r="K769" s="2">
        <v>123</v>
      </c>
      <c r="L769" s="2">
        <v>1</v>
      </c>
      <c r="M769" s="2" t="s">
        <v>41</v>
      </c>
      <c r="N769" s="2">
        <v>6</v>
      </c>
      <c r="O769" s="2">
        <v>82.67</v>
      </c>
      <c r="P769" s="2">
        <f t="shared" si="55"/>
        <v>88</v>
      </c>
      <c r="Q769" s="4">
        <f t="shared" si="56"/>
        <v>0.28455284552845528</v>
      </c>
      <c r="R769" s="2" t="str">
        <f t="shared" si="57"/>
        <v>Inefficient</v>
      </c>
      <c r="S769" s="2" t="str">
        <f t="shared" si="58"/>
        <v>Very Long</v>
      </c>
      <c r="T769" s="2" t="str">
        <f t="shared" si="59"/>
        <v>Major Delay</v>
      </c>
    </row>
    <row r="770" spans="1:20" x14ac:dyDescent="0.35">
      <c r="A770" s="2" t="s">
        <v>1722</v>
      </c>
      <c r="B770" s="2" t="s">
        <v>31</v>
      </c>
      <c r="C770" s="2" t="s">
        <v>1723</v>
      </c>
      <c r="D770" s="2" t="s">
        <v>44</v>
      </c>
      <c r="E770" s="2" t="s">
        <v>19</v>
      </c>
      <c r="F770" s="2" t="s">
        <v>34</v>
      </c>
      <c r="G770" s="2" t="s">
        <v>749</v>
      </c>
      <c r="H770" s="3">
        <v>45482.694444444445</v>
      </c>
      <c r="I770" s="3">
        <v>45482.856944444444</v>
      </c>
      <c r="J770" s="2">
        <v>116</v>
      </c>
      <c r="K770" s="2">
        <v>234</v>
      </c>
      <c r="L770" s="2">
        <v>1</v>
      </c>
      <c r="M770" s="2" t="s">
        <v>29</v>
      </c>
      <c r="N770" s="2">
        <v>1</v>
      </c>
      <c r="O770" s="2">
        <v>135.1</v>
      </c>
      <c r="P770" s="2">
        <f t="shared" si="55"/>
        <v>118</v>
      </c>
      <c r="Q770" s="4">
        <f t="shared" si="56"/>
        <v>0.49572649572649574</v>
      </c>
      <c r="R770" s="2" t="str">
        <f t="shared" si="57"/>
        <v>Inefficient</v>
      </c>
      <c r="S770" s="2" t="str">
        <f t="shared" si="58"/>
        <v>Very Long</v>
      </c>
      <c r="T770" s="2" t="str">
        <f t="shared" si="59"/>
        <v>Major Delay</v>
      </c>
    </row>
    <row r="771" spans="1:20" x14ac:dyDescent="0.35">
      <c r="A771" s="2" t="s">
        <v>1724</v>
      </c>
      <c r="B771" s="2" t="s">
        <v>16</v>
      </c>
      <c r="C771" s="2" t="s">
        <v>1725</v>
      </c>
      <c r="D771" s="2" t="s">
        <v>48</v>
      </c>
      <c r="E771" s="2" t="s">
        <v>19</v>
      </c>
      <c r="F771" s="2" t="s">
        <v>20</v>
      </c>
      <c r="G771" s="2" t="s">
        <v>213</v>
      </c>
      <c r="H771" s="3">
        <v>45467.8</v>
      </c>
      <c r="I771" s="3">
        <v>45467.881944444445</v>
      </c>
      <c r="J771" s="2">
        <v>72</v>
      </c>
      <c r="K771" s="2">
        <v>118</v>
      </c>
      <c r="L771" s="2">
        <v>1</v>
      </c>
      <c r="M771" s="2" t="s">
        <v>22</v>
      </c>
      <c r="N771" s="2">
        <v>8</v>
      </c>
      <c r="O771" s="2">
        <v>199.01</v>
      </c>
      <c r="P771" s="2">
        <f t="shared" ref="P771:P834" si="60">K771-J771</f>
        <v>46</v>
      </c>
      <c r="Q771" s="4">
        <f t="shared" ref="Q771:Q834" si="61">J771/K771</f>
        <v>0.61016949152542377</v>
      </c>
      <c r="R771" s="2" t="str">
        <f t="shared" ref="R771:R834" si="62">IF(Q771&gt;1,"Efficient",
IF(Q771=1,"On Target","Inefficient"))</f>
        <v>Inefficient</v>
      </c>
      <c r="S771" s="2" t="str">
        <f t="shared" ref="S771:S834" si="63">IF(K771&lt;30,"Short",
IF(K771&lt;60,"Medium",
IF(K771&lt;120,"Long","Very Long")))</f>
        <v>Long</v>
      </c>
      <c r="T771" s="2" t="str">
        <f t="shared" ref="T771:T834" si="64">IF(K771&lt;=J771,"On Time",
IF(K771-J771&lt;=30,"Minor Delay","Major Delay"))</f>
        <v>Major Delay</v>
      </c>
    </row>
    <row r="772" spans="1:20" x14ac:dyDescent="0.35">
      <c r="A772" s="2" t="s">
        <v>1726</v>
      </c>
      <c r="B772" s="2" t="s">
        <v>16</v>
      </c>
      <c r="C772" s="2" t="s">
        <v>1727</v>
      </c>
      <c r="D772" s="2" t="s">
        <v>18</v>
      </c>
      <c r="E772" s="2" t="s">
        <v>19</v>
      </c>
      <c r="F772" s="2" t="s">
        <v>57</v>
      </c>
      <c r="G772" s="2" t="s">
        <v>254</v>
      </c>
      <c r="H772" s="3">
        <v>45623.548611111109</v>
      </c>
      <c r="I772" s="3">
        <v>45623.661805555559</v>
      </c>
      <c r="J772" s="2">
        <v>127</v>
      </c>
      <c r="K772" s="2">
        <v>163</v>
      </c>
      <c r="L772" s="2">
        <v>1</v>
      </c>
      <c r="M772" s="2" t="s">
        <v>41</v>
      </c>
      <c r="N772" s="2">
        <v>2</v>
      </c>
      <c r="O772" s="2">
        <v>63.64</v>
      </c>
      <c r="P772" s="2">
        <f t="shared" si="60"/>
        <v>36</v>
      </c>
      <c r="Q772" s="4">
        <f t="shared" si="61"/>
        <v>0.77914110429447858</v>
      </c>
      <c r="R772" s="2" t="str">
        <f t="shared" si="62"/>
        <v>Inefficient</v>
      </c>
      <c r="S772" s="2" t="str">
        <f t="shared" si="63"/>
        <v>Very Long</v>
      </c>
      <c r="T772" s="2" t="str">
        <f t="shared" si="64"/>
        <v>Major Delay</v>
      </c>
    </row>
    <row r="773" spans="1:20" x14ac:dyDescent="0.35">
      <c r="A773" s="2" t="s">
        <v>1728</v>
      </c>
      <c r="B773" s="2" t="s">
        <v>63</v>
      </c>
      <c r="C773" s="2" t="s">
        <v>1729</v>
      </c>
      <c r="D773" s="2" t="s">
        <v>44</v>
      </c>
      <c r="E773" s="2" t="s">
        <v>85</v>
      </c>
      <c r="F773" s="2" t="s">
        <v>27</v>
      </c>
      <c r="G773" s="2" t="s">
        <v>1730</v>
      </c>
      <c r="H773" s="3">
        <v>45428.557638888888</v>
      </c>
      <c r="I773" s="3">
        <v>45428.662499999999</v>
      </c>
      <c r="J773" s="2">
        <v>68</v>
      </c>
      <c r="K773" s="2">
        <v>151</v>
      </c>
      <c r="L773" s="2">
        <v>1</v>
      </c>
      <c r="M773" s="2" t="s">
        <v>41</v>
      </c>
      <c r="N773" s="2">
        <v>5</v>
      </c>
      <c r="O773" s="2">
        <v>197.41</v>
      </c>
      <c r="P773" s="2">
        <f t="shared" si="60"/>
        <v>83</v>
      </c>
      <c r="Q773" s="4">
        <f t="shared" si="61"/>
        <v>0.45033112582781459</v>
      </c>
      <c r="R773" s="2" t="str">
        <f t="shared" si="62"/>
        <v>Inefficient</v>
      </c>
      <c r="S773" s="2" t="str">
        <f t="shared" si="63"/>
        <v>Very Long</v>
      </c>
      <c r="T773" s="2" t="str">
        <f t="shared" si="64"/>
        <v>Major Delay</v>
      </c>
    </row>
    <row r="774" spans="1:20" x14ac:dyDescent="0.35">
      <c r="A774" s="2" t="s">
        <v>1731</v>
      </c>
      <c r="B774" s="2" t="s">
        <v>16</v>
      </c>
      <c r="C774" s="2" t="s">
        <v>1732</v>
      </c>
      <c r="D774" s="2" t="s">
        <v>48</v>
      </c>
      <c r="E774" s="2" t="s">
        <v>38</v>
      </c>
      <c r="F774" s="2" t="s">
        <v>20</v>
      </c>
      <c r="G774" s="2" t="s">
        <v>28</v>
      </c>
      <c r="H774" s="3">
        <v>45552.024305555555</v>
      </c>
      <c r="I774" s="3">
        <v>45552.238888888889</v>
      </c>
      <c r="J774" s="2">
        <v>214</v>
      </c>
      <c r="K774" s="2">
        <v>309</v>
      </c>
      <c r="L774" s="2">
        <v>1</v>
      </c>
      <c r="M774" s="2" t="s">
        <v>41</v>
      </c>
      <c r="N774" s="2">
        <v>4</v>
      </c>
      <c r="O774" s="2">
        <v>203.92</v>
      </c>
      <c r="P774" s="2">
        <f t="shared" si="60"/>
        <v>95</v>
      </c>
      <c r="Q774" s="4">
        <f t="shared" si="61"/>
        <v>0.69255663430420711</v>
      </c>
      <c r="R774" s="2" t="str">
        <f t="shared" si="62"/>
        <v>Inefficient</v>
      </c>
      <c r="S774" s="2" t="str">
        <f t="shared" si="63"/>
        <v>Very Long</v>
      </c>
      <c r="T774" s="2" t="str">
        <f t="shared" si="64"/>
        <v>Major Delay</v>
      </c>
    </row>
    <row r="775" spans="1:20" x14ac:dyDescent="0.35">
      <c r="A775" s="2" t="s">
        <v>1733</v>
      </c>
      <c r="B775" s="2" t="s">
        <v>24</v>
      </c>
      <c r="C775" s="2" t="s">
        <v>1734</v>
      </c>
      <c r="D775" s="2" t="s">
        <v>26</v>
      </c>
      <c r="E775" s="2" t="s">
        <v>33</v>
      </c>
      <c r="F775" s="2" t="s">
        <v>27</v>
      </c>
      <c r="G775" s="2" t="s">
        <v>1172</v>
      </c>
      <c r="H775" s="3">
        <v>45300.010416666664</v>
      </c>
      <c r="I775" s="3">
        <v>45300.095833333333</v>
      </c>
      <c r="J775" s="2">
        <v>97</v>
      </c>
      <c r="K775" s="2">
        <v>123</v>
      </c>
      <c r="L775" s="2">
        <v>1</v>
      </c>
      <c r="M775" s="2" t="s">
        <v>22</v>
      </c>
      <c r="N775" s="2">
        <v>4</v>
      </c>
      <c r="O775" s="2">
        <v>206.23</v>
      </c>
      <c r="P775" s="2">
        <f t="shared" si="60"/>
        <v>26</v>
      </c>
      <c r="Q775" s="4">
        <f t="shared" si="61"/>
        <v>0.78861788617886175</v>
      </c>
      <c r="R775" s="2" t="str">
        <f t="shared" si="62"/>
        <v>Inefficient</v>
      </c>
      <c r="S775" s="2" t="str">
        <f t="shared" si="63"/>
        <v>Very Long</v>
      </c>
      <c r="T775" s="2" t="str">
        <f t="shared" si="64"/>
        <v>Minor Delay</v>
      </c>
    </row>
    <row r="776" spans="1:20" x14ac:dyDescent="0.35">
      <c r="A776" s="2" t="s">
        <v>1735</v>
      </c>
      <c r="B776" s="2" t="s">
        <v>24</v>
      </c>
      <c r="C776" s="2" t="s">
        <v>1736</v>
      </c>
      <c r="D776" s="2" t="s">
        <v>56</v>
      </c>
      <c r="E776" s="2" t="s">
        <v>33</v>
      </c>
      <c r="F776" s="2" t="s">
        <v>57</v>
      </c>
      <c r="G776" s="2" t="s">
        <v>207</v>
      </c>
      <c r="H776" s="3">
        <v>45395.310416666667</v>
      </c>
      <c r="I776" s="3">
        <v>45395.5</v>
      </c>
      <c r="J776" s="2">
        <v>200</v>
      </c>
      <c r="K776" s="2">
        <v>273</v>
      </c>
      <c r="L776" s="2">
        <v>1</v>
      </c>
      <c r="M776" s="2" t="s">
        <v>22</v>
      </c>
      <c r="N776" s="2">
        <v>10</v>
      </c>
      <c r="O776" s="2">
        <v>172.93</v>
      </c>
      <c r="P776" s="2">
        <f t="shared" si="60"/>
        <v>73</v>
      </c>
      <c r="Q776" s="4">
        <f t="shared" si="61"/>
        <v>0.73260073260073255</v>
      </c>
      <c r="R776" s="2" t="str">
        <f t="shared" si="62"/>
        <v>Inefficient</v>
      </c>
      <c r="S776" s="2" t="str">
        <f t="shared" si="63"/>
        <v>Very Long</v>
      </c>
      <c r="T776" s="2" t="str">
        <f t="shared" si="64"/>
        <v>Major Delay</v>
      </c>
    </row>
    <row r="777" spans="1:20" x14ac:dyDescent="0.35">
      <c r="A777" s="2" t="s">
        <v>1737</v>
      </c>
      <c r="B777" s="2" t="s">
        <v>51</v>
      </c>
      <c r="C777" s="2" t="s">
        <v>1738</v>
      </c>
      <c r="D777" s="2" t="s">
        <v>18</v>
      </c>
      <c r="E777" s="2" t="s">
        <v>33</v>
      </c>
      <c r="F777" s="2" t="s">
        <v>39</v>
      </c>
      <c r="G777" s="2" t="s">
        <v>210</v>
      </c>
      <c r="H777" s="3">
        <v>45333.1875</v>
      </c>
      <c r="I777" s="3">
        <v>45333.298611111109</v>
      </c>
      <c r="J777" s="2">
        <v>153</v>
      </c>
      <c r="K777" s="2">
        <v>160</v>
      </c>
      <c r="L777" s="2">
        <v>1</v>
      </c>
      <c r="M777" s="2" t="s">
        <v>22</v>
      </c>
      <c r="N777" s="2">
        <v>9</v>
      </c>
      <c r="O777" s="2">
        <v>373.17</v>
      </c>
      <c r="P777" s="2">
        <f t="shared" si="60"/>
        <v>7</v>
      </c>
      <c r="Q777" s="4">
        <f t="shared" si="61"/>
        <v>0.95625000000000004</v>
      </c>
      <c r="R777" s="2" t="str">
        <f t="shared" si="62"/>
        <v>Inefficient</v>
      </c>
      <c r="S777" s="2" t="str">
        <f t="shared" si="63"/>
        <v>Very Long</v>
      </c>
      <c r="T777" s="2" t="str">
        <f t="shared" si="64"/>
        <v>Minor Delay</v>
      </c>
    </row>
    <row r="778" spans="1:20" x14ac:dyDescent="0.35">
      <c r="A778" s="2" t="s">
        <v>1739</v>
      </c>
      <c r="B778" s="2" t="s">
        <v>51</v>
      </c>
      <c r="C778" s="2" t="s">
        <v>1740</v>
      </c>
      <c r="D778" s="2" t="s">
        <v>26</v>
      </c>
      <c r="E778" s="2" t="s">
        <v>19</v>
      </c>
      <c r="F778" s="2" t="s">
        <v>20</v>
      </c>
      <c r="G778" s="2" t="s">
        <v>143</v>
      </c>
      <c r="H778" s="3">
        <v>45625.476388888892</v>
      </c>
      <c r="I778" s="3">
        <v>45625.517361111109</v>
      </c>
      <c r="J778" s="2">
        <v>14</v>
      </c>
      <c r="K778" s="2">
        <v>59</v>
      </c>
      <c r="L778" s="2">
        <v>1</v>
      </c>
      <c r="M778" s="2" t="s">
        <v>41</v>
      </c>
      <c r="N778" s="2">
        <v>8</v>
      </c>
      <c r="O778" s="2">
        <v>361.19</v>
      </c>
      <c r="P778" s="2">
        <f t="shared" si="60"/>
        <v>45</v>
      </c>
      <c r="Q778" s="4">
        <f t="shared" si="61"/>
        <v>0.23728813559322035</v>
      </c>
      <c r="R778" s="2" t="str">
        <f t="shared" si="62"/>
        <v>Inefficient</v>
      </c>
      <c r="S778" s="2" t="str">
        <f t="shared" si="63"/>
        <v>Medium</v>
      </c>
      <c r="T778" s="2" t="str">
        <f t="shared" si="64"/>
        <v>Major Delay</v>
      </c>
    </row>
    <row r="779" spans="1:20" x14ac:dyDescent="0.35">
      <c r="A779" s="2" t="s">
        <v>1741</v>
      </c>
      <c r="B779" s="2" t="s">
        <v>63</v>
      </c>
      <c r="C779" s="2" t="s">
        <v>1742</v>
      </c>
      <c r="D779" s="2" t="s">
        <v>18</v>
      </c>
      <c r="E779" s="2" t="s">
        <v>85</v>
      </c>
      <c r="F779" s="2" t="s">
        <v>34</v>
      </c>
      <c r="G779" s="2" t="s">
        <v>640</v>
      </c>
      <c r="H779" s="3">
        <v>45504.366666666669</v>
      </c>
      <c r="I779" s="3">
        <v>45504.456944444442</v>
      </c>
      <c r="J779" s="2">
        <v>106</v>
      </c>
      <c r="K779" s="2">
        <v>130</v>
      </c>
      <c r="L779" s="2">
        <v>1</v>
      </c>
      <c r="M779" s="2" t="s">
        <v>22</v>
      </c>
      <c r="N779" s="2">
        <v>4</v>
      </c>
      <c r="O779" s="2">
        <v>311.33</v>
      </c>
      <c r="P779" s="2">
        <f t="shared" si="60"/>
        <v>24</v>
      </c>
      <c r="Q779" s="4">
        <f t="shared" si="61"/>
        <v>0.81538461538461537</v>
      </c>
      <c r="R779" s="2" t="str">
        <f t="shared" si="62"/>
        <v>Inefficient</v>
      </c>
      <c r="S779" s="2" t="str">
        <f t="shared" si="63"/>
        <v>Very Long</v>
      </c>
      <c r="T779" s="2" t="str">
        <f t="shared" si="64"/>
        <v>Minor Delay</v>
      </c>
    </row>
    <row r="780" spans="1:20" x14ac:dyDescent="0.35">
      <c r="A780" s="2" t="s">
        <v>1743</v>
      </c>
      <c r="B780" s="2" t="s">
        <v>16</v>
      </c>
      <c r="C780" s="2" t="s">
        <v>1744</v>
      </c>
      <c r="D780" s="2" t="s">
        <v>48</v>
      </c>
      <c r="E780" s="2" t="s">
        <v>33</v>
      </c>
      <c r="F780" s="2" t="s">
        <v>57</v>
      </c>
      <c r="G780" s="2" t="s">
        <v>521</v>
      </c>
      <c r="H780" s="3">
        <v>45438.457638888889</v>
      </c>
      <c r="I780" s="3">
        <v>45438.552083333336</v>
      </c>
      <c r="J780" s="2">
        <v>79</v>
      </c>
      <c r="K780" s="2">
        <v>136</v>
      </c>
      <c r="L780" s="2">
        <v>1</v>
      </c>
      <c r="M780" s="2" t="s">
        <v>41</v>
      </c>
      <c r="N780" s="2">
        <v>7</v>
      </c>
      <c r="O780" s="2">
        <v>426.71</v>
      </c>
      <c r="P780" s="2">
        <f t="shared" si="60"/>
        <v>57</v>
      </c>
      <c r="Q780" s="4">
        <f t="shared" si="61"/>
        <v>0.58088235294117652</v>
      </c>
      <c r="R780" s="2" t="str">
        <f t="shared" si="62"/>
        <v>Inefficient</v>
      </c>
      <c r="S780" s="2" t="str">
        <f t="shared" si="63"/>
        <v>Very Long</v>
      </c>
      <c r="T780" s="2" t="str">
        <f t="shared" si="64"/>
        <v>Major Delay</v>
      </c>
    </row>
    <row r="781" spans="1:20" x14ac:dyDescent="0.35">
      <c r="A781" s="2" t="s">
        <v>1745</v>
      </c>
      <c r="B781" s="2" t="s">
        <v>16</v>
      </c>
      <c r="C781" s="2" t="s">
        <v>1746</v>
      </c>
      <c r="D781" s="2" t="s">
        <v>26</v>
      </c>
      <c r="E781" s="2" t="s">
        <v>85</v>
      </c>
      <c r="F781" s="2" t="s">
        <v>39</v>
      </c>
      <c r="G781" s="2" t="s">
        <v>268</v>
      </c>
      <c r="H781" s="3">
        <v>45489.96875</v>
      </c>
      <c r="I781" s="3">
        <v>45490.015277777777</v>
      </c>
      <c r="J781" s="2">
        <v>53</v>
      </c>
      <c r="K781" s="2">
        <v>67</v>
      </c>
      <c r="L781" s="2">
        <v>1</v>
      </c>
      <c r="M781" s="2" t="s">
        <v>29</v>
      </c>
      <c r="N781" s="2">
        <v>10</v>
      </c>
      <c r="O781" s="2">
        <v>219.74</v>
      </c>
      <c r="P781" s="2">
        <f t="shared" si="60"/>
        <v>14</v>
      </c>
      <c r="Q781" s="4">
        <f t="shared" si="61"/>
        <v>0.79104477611940294</v>
      </c>
      <c r="R781" s="2" t="str">
        <f t="shared" si="62"/>
        <v>Inefficient</v>
      </c>
      <c r="S781" s="2" t="str">
        <f t="shared" si="63"/>
        <v>Long</v>
      </c>
      <c r="T781" s="2" t="str">
        <f t="shared" si="64"/>
        <v>Minor Delay</v>
      </c>
    </row>
    <row r="782" spans="1:20" x14ac:dyDescent="0.35">
      <c r="A782" s="2" t="s">
        <v>1747</v>
      </c>
      <c r="B782" s="2" t="s">
        <v>51</v>
      </c>
      <c r="C782" s="2" t="s">
        <v>1748</v>
      </c>
      <c r="D782" s="2" t="s">
        <v>48</v>
      </c>
      <c r="E782" s="2" t="s">
        <v>33</v>
      </c>
      <c r="F782" s="2" t="s">
        <v>39</v>
      </c>
      <c r="G782" s="2" t="s">
        <v>691</v>
      </c>
      <c r="H782" s="3">
        <v>45463.274305555555</v>
      </c>
      <c r="I782" s="3">
        <v>45463.367361111108</v>
      </c>
      <c r="J782" s="2">
        <v>89</v>
      </c>
      <c r="K782" s="2">
        <v>134</v>
      </c>
      <c r="L782" s="2">
        <v>1</v>
      </c>
      <c r="M782" s="2" t="s">
        <v>22</v>
      </c>
      <c r="N782" s="2">
        <v>10</v>
      </c>
      <c r="O782" s="2">
        <v>268.62</v>
      </c>
      <c r="P782" s="2">
        <f t="shared" si="60"/>
        <v>45</v>
      </c>
      <c r="Q782" s="4">
        <f t="shared" si="61"/>
        <v>0.66417910447761197</v>
      </c>
      <c r="R782" s="2" t="str">
        <f t="shared" si="62"/>
        <v>Inefficient</v>
      </c>
      <c r="S782" s="2" t="str">
        <f t="shared" si="63"/>
        <v>Very Long</v>
      </c>
      <c r="T782" s="2" t="str">
        <f t="shared" si="64"/>
        <v>Major Delay</v>
      </c>
    </row>
    <row r="783" spans="1:20" x14ac:dyDescent="0.35">
      <c r="A783" s="2" t="s">
        <v>1749</v>
      </c>
      <c r="B783" s="2" t="s">
        <v>24</v>
      </c>
      <c r="C783" s="2" t="s">
        <v>1750</v>
      </c>
      <c r="D783" s="2" t="s">
        <v>26</v>
      </c>
      <c r="E783" s="2" t="s">
        <v>19</v>
      </c>
      <c r="F783" s="2" t="s">
        <v>20</v>
      </c>
      <c r="G783" s="2" t="s">
        <v>676</v>
      </c>
      <c r="H783" s="3">
        <v>45382.902083333334</v>
      </c>
      <c r="I783" s="3">
        <v>45383.051388888889</v>
      </c>
      <c r="J783" s="2">
        <v>198</v>
      </c>
      <c r="K783" s="2">
        <v>215</v>
      </c>
      <c r="L783" s="2">
        <v>1</v>
      </c>
      <c r="M783" s="2" t="s">
        <v>41</v>
      </c>
      <c r="N783" s="2">
        <v>9</v>
      </c>
      <c r="O783" s="2">
        <v>218.45</v>
      </c>
      <c r="P783" s="2">
        <f t="shared" si="60"/>
        <v>17</v>
      </c>
      <c r="Q783" s="4">
        <f t="shared" si="61"/>
        <v>0.92093023255813955</v>
      </c>
      <c r="R783" s="2" t="str">
        <f t="shared" si="62"/>
        <v>Inefficient</v>
      </c>
      <c r="S783" s="2" t="str">
        <f t="shared" si="63"/>
        <v>Very Long</v>
      </c>
      <c r="T783" s="2" t="str">
        <f t="shared" si="64"/>
        <v>Minor Delay</v>
      </c>
    </row>
    <row r="784" spans="1:20" x14ac:dyDescent="0.35">
      <c r="A784" s="2" t="s">
        <v>1751</v>
      </c>
      <c r="B784" s="2" t="s">
        <v>51</v>
      </c>
      <c r="C784" s="2" t="s">
        <v>1752</v>
      </c>
      <c r="D784" s="2" t="s">
        <v>44</v>
      </c>
      <c r="E784" s="2" t="s">
        <v>38</v>
      </c>
      <c r="F784" s="2" t="s">
        <v>39</v>
      </c>
      <c r="G784" s="2" t="s">
        <v>777</v>
      </c>
      <c r="H784" s="3">
        <v>45560.669444444444</v>
      </c>
      <c r="I784" s="3">
        <v>45560.853472222225</v>
      </c>
      <c r="J784" s="2">
        <v>174</v>
      </c>
      <c r="K784" s="2">
        <v>265</v>
      </c>
      <c r="L784" s="2">
        <v>1</v>
      </c>
      <c r="M784" s="2" t="s">
        <v>41</v>
      </c>
      <c r="N784" s="2">
        <v>1</v>
      </c>
      <c r="O784" s="2">
        <v>200.36</v>
      </c>
      <c r="P784" s="2">
        <f t="shared" si="60"/>
        <v>91</v>
      </c>
      <c r="Q784" s="4">
        <f t="shared" si="61"/>
        <v>0.65660377358490563</v>
      </c>
      <c r="R784" s="2" t="str">
        <f t="shared" si="62"/>
        <v>Inefficient</v>
      </c>
      <c r="S784" s="2" t="str">
        <f t="shared" si="63"/>
        <v>Very Long</v>
      </c>
      <c r="T784" s="2" t="str">
        <f t="shared" si="64"/>
        <v>Major Delay</v>
      </c>
    </row>
    <row r="785" spans="1:20" x14ac:dyDescent="0.35">
      <c r="A785" s="2" t="s">
        <v>1753</v>
      </c>
      <c r="B785" s="2" t="s">
        <v>16</v>
      </c>
      <c r="C785" s="2" t="s">
        <v>1754</v>
      </c>
      <c r="D785" s="2" t="s">
        <v>44</v>
      </c>
      <c r="E785" s="2" t="s">
        <v>33</v>
      </c>
      <c r="F785" s="2" t="s">
        <v>39</v>
      </c>
      <c r="G785" s="2" t="s">
        <v>418</v>
      </c>
      <c r="H785" s="3">
        <v>45451.292361111111</v>
      </c>
      <c r="I785" s="3">
        <v>45451.395833333336</v>
      </c>
      <c r="J785" s="2">
        <v>46</v>
      </c>
      <c r="K785" s="2">
        <v>149</v>
      </c>
      <c r="L785" s="2">
        <v>1</v>
      </c>
      <c r="M785" s="2" t="s">
        <v>29</v>
      </c>
      <c r="N785" s="2">
        <v>1</v>
      </c>
      <c r="O785" s="2">
        <v>214.12</v>
      </c>
      <c r="P785" s="2">
        <f t="shared" si="60"/>
        <v>103</v>
      </c>
      <c r="Q785" s="4">
        <f t="shared" si="61"/>
        <v>0.3087248322147651</v>
      </c>
      <c r="R785" s="2" t="str">
        <f t="shared" si="62"/>
        <v>Inefficient</v>
      </c>
      <c r="S785" s="2" t="str">
        <f t="shared" si="63"/>
        <v>Very Long</v>
      </c>
      <c r="T785" s="2" t="str">
        <f t="shared" si="64"/>
        <v>Major Delay</v>
      </c>
    </row>
    <row r="786" spans="1:20" x14ac:dyDescent="0.35">
      <c r="A786" s="2" t="s">
        <v>1755</v>
      </c>
      <c r="B786" s="2" t="s">
        <v>51</v>
      </c>
      <c r="C786" s="2" t="s">
        <v>1756</v>
      </c>
      <c r="D786" s="2" t="s">
        <v>26</v>
      </c>
      <c r="E786" s="2" t="s">
        <v>33</v>
      </c>
      <c r="F786" s="2" t="s">
        <v>27</v>
      </c>
      <c r="G786" s="2" t="s">
        <v>129</v>
      </c>
      <c r="H786" s="3">
        <v>45567.279166666667</v>
      </c>
      <c r="I786" s="3">
        <v>45567.436111111114</v>
      </c>
      <c r="J786" s="2">
        <v>217</v>
      </c>
      <c r="K786" s="2">
        <v>226</v>
      </c>
      <c r="L786" s="2">
        <v>1</v>
      </c>
      <c r="M786" s="2" t="s">
        <v>22</v>
      </c>
      <c r="N786" s="2">
        <v>3</v>
      </c>
      <c r="O786" s="2">
        <v>380.15</v>
      </c>
      <c r="P786" s="2">
        <f t="shared" si="60"/>
        <v>9</v>
      </c>
      <c r="Q786" s="4">
        <f t="shared" si="61"/>
        <v>0.96017699115044253</v>
      </c>
      <c r="R786" s="2" t="str">
        <f t="shared" si="62"/>
        <v>Inefficient</v>
      </c>
      <c r="S786" s="2" t="str">
        <f t="shared" si="63"/>
        <v>Very Long</v>
      </c>
      <c r="T786" s="2" t="str">
        <f t="shared" si="64"/>
        <v>Minor Delay</v>
      </c>
    </row>
    <row r="787" spans="1:20" x14ac:dyDescent="0.35">
      <c r="A787" s="2" t="s">
        <v>1757</v>
      </c>
      <c r="B787" s="2" t="s">
        <v>63</v>
      </c>
      <c r="C787" s="2" t="s">
        <v>1758</v>
      </c>
      <c r="D787" s="2" t="s">
        <v>26</v>
      </c>
      <c r="E787" s="2" t="s">
        <v>19</v>
      </c>
      <c r="F787" s="2" t="s">
        <v>57</v>
      </c>
      <c r="G787" s="2" t="s">
        <v>82</v>
      </c>
      <c r="H787" s="3">
        <v>45552.500694444447</v>
      </c>
      <c r="I787" s="3">
        <v>45552.688194444447</v>
      </c>
      <c r="J787" s="2">
        <v>232</v>
      </c>
      <c r="K787" s="2">
        <v>270</v>
      </c>
      <c r="L787" s="2">
        <v>1</v>
      </c>
      <c r="M787" s="2" t="s">
        <v>22</v>
      </c>
      <c r="N787" s="2">
        <v>8</v>
      </c>
      <c r="O787" s="2">
        <v>312.81</v>
      </c>
      <c r="P787" s="2">
        <f t="shared" si="60"/>
        <v>38</v>
      </c>
      <c r="Q787" s="4">
        <f t="shared" si="61"/>
        <v>0.85925925925925928</v>
      </c>
      <c r="R787" s="2" t="str">
        <f t="shared" si="62"/>
        <v>Inefficient</v>
      </c>
      <c r="S787" s="2" t="str">
        <f t="shared" si="63"/>
        <v>Very Long</v>
      </c>
      <c r="T787" s="2" t="str">
        <f t="shared" si="64"/>
        <v>Major Delay</v>
      </c>
    </row>
    <row r="788" spans="1:20" x14ac:dyDescent="0.35">
      <c r="A788" s="2" t="s">
        <v>1759</v>
      </c>
      <c r="B788" s="2" t="s">
        <v>31</v>
      </c>
      <c r="C788" s="2" t="s">
        <v>1760</v>
      </c>
      <c r="D788" s="2" t="s">
        <v>26</v>
      </c>
      <c r="E788" s="2" t="s">
        <v>33</v>
      </c>
      <c r="F788" s="2" t="s">
        <v>20</v>
      </c>
      <c r="G788" s="2" t="s">
        <v>1278</v>
      </c>
      <c r="H788" s="3">
        <v>45483.595833333333</v>
      </c>
      <c r="I788" s="3">
        <v>45483.795138888891</v>
      </c>
      <c r="J788" s="2">
        <v>181</v>
      </c>
      <c r="K788" s="2">
        <v>287</v>
      </c>
      <c r="L788" s="2">
        <v>1</v>
      </c>
      <c r="M788" s="2" t="s">
        <v>22</v>
      </c>
      <c r="N788" s="2">
        <v>1</v>
      </c>
      <c r="O788" s="2">
        <v>79.489999999999995</v>
      </c>
      <c r="P788" s="2">
        <f t="shared" si="60"/>
        <v>106</v>
      </c>
      <c r="Q788" s="4">
        <f t="shared" si="61"/>
        <v>0.63066202090592338</v>
      </c>
      <c r="R788" s="2" t="str">
        <f t="shared" si="62"/>
        <v>Inefficient</v>
      </c>
      <c r="S788" s="2" t="str">
        <f t="shared" si="63"/>
        <v>Very Long</v>
      </c>
      <c r="T788" s="2" t="str">
        <f t="shared" si="64"/>
        <v>Major Delay</v>
      </c>
    </row>
    <row r="789" spans="1:20" x14ac:dyDescent="0.35">
      <c r="A789" s="2" t="s">
        <v>1761</v>
      </c>
      <c r="B789" s="2" t="s">
        <v>63</v>
      </c>
      <c r="C789" s="2" t="s">
        <v>1762</v>
      </c>
      <c r="D789" s="2" t="s">
        <v>44</v>
      </c>
      <c r="E789" s="2" t="s">
        <v>85</v>
      </c>
      <c r="F789" s="2" t="s">
        <v>34</v>
      </c>
      <c r="G789" s="2" t="s">
        <v>45</v>
      </c>
      <c r="H789" s="3">
        <v>45531.936111111114</v>
      </c>
      <c r="I789" s="3">
        <v>45532.057638888888</v>
      </c>
      <c r="J789" s="2">
        <v>160</v>
      </c>
      <c r="K789" s="2">
        <v>175</v>
      </c>
      <c r="L789" s="2">
        <v>1</v>
      </c>
      <c r="M789" s="2" t="s">
        <v>22</v>
      </c>
      <c r="N789" s="2">
        <v>5</v>
      </c>
      <c r="O789" s="2">
        <v>454.35</v>
      </c>
      <c r="P789" s="2">
        <f t="shared" si="60"/>
        <v>15</v>
      </c>
      <c r="Q789" s="4">
        <f t="shared" si="61"/>
        <v>0.91428571428571426</v>
      </c>
      <c r="R789" s="2" t="str">
        <f t="shared" si="62"/>
        <v>Inefficient</v>
      </c>
      <c r="S789" s="2" t="str">
        <f t="shared" si="63"/>
        <v>Very Long</v>
      </c>
      <c r="T789" s="2" t="str">
        <f t="shared" si="64"/>
        <v>Minor Delay</v>
      </c>
    </row>
    <row r="790" spans="1:20" x14ac:dyDescent="0.35">
      <c r="A790" s="2" t="s">
        <v>1763</v>
      </c>
      <c r="B790" s="2" t="s">
        <v>24</v>
      </c>
      <c r="C790" s="2" t="s">
        <v>1764</v>
      </c>
      <c r="D790" s="2" t="s">
        <v>48</v>
      </c>
      <c r="E790" s="2" t="s">
        <v>85</v>
      </c>
      <c r="F790" s="2" t="s">
        <v>57</v>
      </c>
      <c r="G790" s="2" t="s">
        <v>191</v>
      </c>
      <c r="H790" s="3">
        <v>45632.652083333334</v>
      </c>
      <c r="I790" s="3">
        <v>45632.873611111114</v>
      </c>
      <c r="J790" s="2">
        <v>232</v>
      </c>
      <c r="K790" s="2">
        <v>319</v>
      </c>
      <c r="L790" s="2">
        <v>1</v>
      </c>
      <c r="M790" s="2" t="s">
        <v>41</v>
      </c>
      <c r="N790" s="2">
        <v>8</v>
      </c>
      <c r="O790" s="2">
        <v>415.87</v>
      </c>
      <c r="P790" s="2">
        <f t="shared" si="60"/>
        <v>87</v>
      </c>
      <c r="Q790" s="4">
        <f t="shared" si="61"/>
        <v>0.72727272727272729</v>
      </c>
      <c r="R790" s="2" t="str">
        <f t="shared" si="62"/>
        <v>Inefficient</v>
      </c>
      <c r="S790" s="2" t="str">
        <f t="shared" si="63"/>
        <v>Very Long</v>
      </c>
      <c r="T790" s="2" t="str">
        <f t="shared" si="64"/>
        <v>Major Delay</v>
      </c>
    </row>
    <row r="791" spans="1:20" x14ac:dyDescent="0.35">
      <c r="A791" s="2" t="s">
        <v>1765</v>
      </c>
      <c r="B791" s="2" t="s">
        <v>16</v>
      </c>
      <c r="C791" s="2" t="s">
        <v>1766</v>
      </c>
      <c r="D791" s="2" t="s">
        <v>18</v>
      </c>
      <c r="E791" s="2" t="s">
        <v>38</v>
      </c>
      <c r="F791" s="2" t="s">
        <v>57</v>
      </c>
      <c r="G791" s="2" t="s">
        <v>265</v>
      </c>
      <c r="H791" s="3">
        <v>45511.130555555559</v>
      </c>
      <c r="I791" s="3">
        <v>45511.228472222225</v>
      </c>
      <c r="J791" s="2">
        <v>85</v>
      </c>
      <c r="K791" s="2">
        <v>141</v>
      </c>
      <c r="L791" s="2">
        <v>1</v>
      </c>
      <c r="M791" s="2" t="s">
        <v>41</v>
      </c>
      <c r="N791" s="2">
        <v>4</v>
      </c>
      <c r="O791" s="2">
        <v>431.5</v>
      </c>
      <c r="P791" s="2">
        <f t="shared" si="60"/>
        <v>56</v>
      </c>
      <c r="Q791" s="4">
        <f t="shared" si="61"/>
        <v>0.6028368794326241</v>
      </c>
      <c r="R791" s="2" t="str">
        <f t="shared" si="62"/>
        <v>Inefficient</v>
      </c>
      <c r="S791" s="2" t="str">
        <f t="shared" si="63"/>
        <v>Very Long</v>
      </c>
      <c r="T791" s="2" t="str">
        <f t="shared" si="64"/>
        <v>Major Delay</v>
      </c>
    </row>
    <row r="792" spans="1:20" x14ac:dyDescent="0.35">
      <c r="A792" s="2" t="s">
        <v>1767</v>
      </c>
      <c r="B792" s="2" t="s">
        <v>31</v>
      </c>
      <c r="C792" s="2" t="s">
        <v>1768</v>
      </c>
      <c r="D792" s="2" t="s">
        <v>26</v>
      </c>
      <c r="E792" s="2" t="s">
        <v>38</v>
      </c>
      <c r="F792" s="2" t="s">
        <v>39</v>
      </c>
      <c r="G792" s="2" t="s">
        <v>676</v>
      </c>
      <c r="H792" s="3">
        <v>45339.302777777775</v>
      </c>
      <c r="I792" s="3">
        <v>45339.399305555555</v>
      </c>
      <c r="J792" s="2">
        <v>96</v>
      </c>
      <c r="K792" s="2">
        <v>139</v>
      </c>
      <c r="L792" s="2">
        <v>1</v>
      </c>
      <c r="M792" s="2" t="s">
        <v>22</v>
      </c>
      <c r="N792" s="2">
        <v>6</v>
      </c>
      <c r="O792" s="2">
        <v>100.11</v>
      </c>
      <c r="P792" s="2">
        <f t="shared" si="60"/>
        <v>43</v>
      </c>
      <c r="Q792" s="4">
        <f t="shared" si="61"/>
        <v>0.69064748201438853</v>
      </c>
      <c r="R792" s="2" t="str">
        <f t="shared" si="62"/>
        <v>Inefficient</v>
      </c>
      <c r="S792" s="2" t="str">
        <f t="shared" si="63"/>
        <v>Very Long</v>
      </c>
      <c r="T792" s="2" t="str">
        <f t="shared" si="64"/>
        <v>Major Delay</v>
      </c>
    </row>
    <row r="793" spans="1:20" x14ac:dyDescent="0.35">
      <c r="A793" s="2" t="s">
        <v>1769</v>
      </c>
      <c r="B793" s="2" t="s">
        <v>24</v>
      </c>
      <c r="C793" s="2" t="s">
        <v>1770</v>
      </c>
      <c r="D793" s="2" t="s">
        <v>26</v>
      </c>
      <c r="E793" s="2" t="s">
        <v>38</v>
      </c>
      <c r="F793" s="2" t="s">
        <v>57</v>
      </c>
      <c r="G793" s="2" t="s">
        <v>456</v>
      </c>
      <c r="H793" s="3">
        <v>45496.570833333331</v>
      </c>
      <c r="I793" s="3">
        <v>45496.638194444444</v>
      </c>
      <c r="J793" s="2">
        <v>48</v>
      </c>
      <c r="K793" s="2">
        <v>97</v>
      </c>
      <c r="L793" s="2">
        <v>1</v>
      </c>
      <c r="M793" s="2" t="s">
        <v>22</v>
      </c>
      <c r="N793" s="2">
        <v>4</v>
      </c>
      <c r="O793" s="2">
        <v>80.66</v>
      </c>
      <c r="P793" s="2">
        <f t="shared" si="60"/>
        <v>49</v>
      </c>
      <c r="Q793" s="4">
        <f t="shared" si="61"/>
        <v>0.49484536082474229</v>
      </c>
      <c r="R793" s="2" t="str">
        <f t="shared" si="62"/>
        <v>Inefficient</v>
      </c>
      <c r="S793" s="2" t="str">
        <f t="shared" si="63"/>
        <v>Long</v>
      </c>
      <c r="T793" s="2" t="str">
        <f t="shared" si="64"/>
        <v>Major Delay</v>
      </c>
    </row>
    <row r="794" spans="1:20" x14ac:dyDescent="0.35">
      <c r="A794" s="2" t="s">
        <v>1771</v>
      </c>
      <c r="B794" s="2" t="s">
        <v>16</v>
      </c>
      <c r="C794" s="2" t="s">
        <v>1772</v>
      </c>
      <c r="D794" s="2" t="s">
        <v>26</v>
      </c>
      <c r="E794" s="2" t="s">
        <v>33</v>
      </c>
      <c r="F794" s="2" t="s">
        <v>20</v>
      </c>
      <c r="G794" s="2" t="s">
        <v>647</v>
      </c>
      <c r="H794" s="3">
        <v>45306.638888888891</v>
      </c>
      <c r="I794" s="3">
        <v>45306.822222222225</v>
      </c>
      <c r="J794" s="2">
        <v>202</v>
      </c>
      <c r="K794" s="2">
        <v>264</v>
      </c>
      <c r="L794" s="2">
        <v>1</v>
      </c>
      <c r="M794" s="2" t="s">
        <v>22</v>
      </c>
      <c r="N794" s="2">
        <v>5</v>
      </c>
      <c r="O794" s="2">
        <v>392.43</v>
      </c>
      <c r="P794" s="2">
        <f t="shared" si="60"/>
        <v>62</v>
      </c>
      <c r="Q794" s="4">
        <f t="shared" si="61"/>
        <v>0.76515151515151514</v>
      </c>
      <c r="R794" s="2" t="str">
        <f t="shared" si="62"/>
        <v>Inefficient</v>
      </c>
      <c r="S794" s="2" t="str">
        <f t="shared" si="63"/>
        <v>Very Long</v>
      </c>
      <c r="T794" s="2" t="str">
        <f t="shared" si="64"/>
        <v>Major Delay</v>
      </c>
    </row>
    <row r="795" spans="1:20" x14ac:dyDescent="0.35">
      <c r="A795" s="2" t="s">
        <v>1773</v>
      </c>
      <c r="B795" s="2" t="s">
        <v>63</v>
      </c>
      <c r="C795" s="2" t="s">
        <v>1774</v>
      </c>
      <c r="D795" s="2" t="s">
        <v>48</v>
      </c>
      <c r="E795" s="2" t="s">
        <v>19</v>
      </c>
      <c r="F795" s="2" t="s">
        <v>27</v>
      </c>
      <c r="G795" s="2" t="s">
        <v>631</v>
      </c>
      <c r="H795" s="3">
        <v>45623.325694444444</v>
      </c>
      <c r="I795" s="3">
        <v>45623.489583333336</v>
      </c>
      <c r="J795" s="2">
        <v>218</v>
      </c>
      <c r="K795" s="2">
        <v>236</v>
      </c>
      <c r="L795" s="2">
        <v>1</v>
      </c>
      <c r="M795" s="2" t="s">
        <v>29</v>
      </c>
      <c r="N795" s="2">
        <v>4</v>
      </c>
      <c r="O795" s="2">
        <v>186.36</v>
      </c>
      <c r="P795" s="2">
        <f t="shared" si="60"/>
        <v>18</v>
      </c>
      <c r="Q795" s="4">
        <f t="shared" si="61"/>
        <v>0.92372881355932202</v>
      </c>
      <c r="R795" s="2" t="str">
        <f t="shared" si="62"/>
        <v>Inefficient</v>
      </c>
      <c r="S795" s="2" t="str">
        <f t="shared" si="63"/>
        <v>Very Long</v>
      </c>
      <c r="T795" s="2" t="str">
        <f t="shared" si="64"/>
        <v>Minor Delay</v>
      </c>
    </row>
    <row r="796" spans="1:20" x14ac:dyDescent="0.35">
      <c r="A796" s="2" t="s">
        <v>1775</v>
      </c>
      <c r="B796" s="2" t="s">
        <v>63</v>
      </c>
      <c r="C796" s="2" t="s">
        <v>1776</v>
      </c>
      <c r="D796" s="2" t="s">
        <v>18</v>
      </c>
      <c r="E796" s="2" t="s">
        <v>85</v>
      </c>
      <c r="F796" s="2" t="s">
        <v>27</v>
      </c>
      <c r="G796" s="2" t="s">
        <v>88</v>
      </c>
      <c r="H796" s="3">
        <v>45516.076388888891</v>
      </c>
      <c r="I796" s="3">
        <v>45516.261805555558</v>
      </c>
      <c r="J796" s="2">
        <v>182</v>
      </c>
      <c r="K796" s="2">
        <v>267</v>
      </c>
      <c r="L796" s="2">
        <v>1</v>
      </c>
      <c r="M796" s="2" t="s">
        <v>29</v>
      </c>
      <c r="N796" s="2">
        <v>2</v>
      </c>
      <c r="O796" s="2">
        <v>244.55</v>
      </c>
      <c r="P796" s="2">
        <f t="shared" si="60"/>
        <v>85</v>
      </c>
      <c r="Q796" s="4">
        <f t="shared" si="61"/>
        <v>0.68164794007490637</v>
      </c>
      <c r="R796" s="2" t="str">
        <f t="shared" si="62"/>
        <v>Inefficient</v>
      </c>
      <c r="S796" s="2" t="str">
        <f t="shared" si="63"/>
        <v>Very Long</v>
      </c>
      <c r="T796" s="2" t="str">
        <f t="shared" si="64"/>
        <v>Major Delay</v>
      </c>
    </row>
    <row r="797" spans="1:20" x14ac:dyDescent="0.35">
      <c r="A797" s="2" t="s">
        <v>1777</v>
      </c>
      <c r="B797" s="2" t="s">
        <v>16</v>
      </c>
      <c r="C797" s="2" t="s">
        <v>1778</v>
      </c>
      <c r="D797" s="2" t="s">
        <v>48</v>
      </c>
      <c r="E797" s="2" t="s">
        <v>38</v>
      </c>
      <c r="F797" s="2" t="s">
        <v>20</v>
      </c>
      <c r="G797" s="2" t="s">
        <v>237</v>
      </c>
      <c r="H797" s="3">
        <v>45606.693055555559</v>
      </c>
      <c r="I797" s="3">
        <v>45606.913888888892</v>
      </c>
      <c r="J797" s="2">
        <v>201</v>
      </c>
      <c r="K797" s="2">
        <v>318</v>
      </c>
      <c r="L797" s="2">
        <v>1</v>
      </c>
      <c r="M797" s="2" t="s">
        <v>29</v>
      </c>
      <c r="N797" s="2">
        <v>10</v>
      </c>
      <c r="O797" s="2">
        <v>280.13</v>
      </c>
      <c r="P797" s="2">
        <f t="shared" si="60"/>
        <v>117</v>
      </c>
      <c r="Q797" s="4">
        <f t="shared" si="61"/>
        <v>0.63207547169811318</v>
      </c>
      <c r="R797" s="2" t="str">
        <f t="shared" si="62"/>
        <v>Inefficient</v>
      </c>
      <c r="S797" s="2" t="str">
        <f t="shared" si="63"/>
        <v>Very Long</v>
      </c>
      <c r="T797" s="2" t="str">
        <f t="shared" si="64"/>
        <v>Major Delay</v>
      </c>
    </row>
    <row r="798" spans="1:20" x14ac:dyDescent="0.35">
      <c r="A798" s="2" t="s">
        <v>1779</v>
      </c>
      <c r="B798" s="2" t="s">
        <v>24</v>
      </c>
      <c r="C798" s="2" t="s">
        <v>1780</v>
      </c>
      <c r="D798" s="2" t="s">
        <v>48</v>
      </c>
      <c r="E798" s="2" t="s">
        <v>38</v>
      </c>
      <c r="F798" s="2" t="s">
        <v>20</v>
      </c>
      <c r="G798" s="2" t="s">
        <v>288</v>
      </c>
      <c r="H798" s="3">
        <v>45556.517361111109</v>
      </c>
      <c r="I798" s="3">
        <v>45556.676388888889</v>
      </c>
      <c r="J798" s="2">
        <v>169</v>
      </c>
      <c r="K798" s="2">
        <v>229</v>
      </c>
      <c r="L798" s="2">
        <v>1</v>
      </c>
      <c r="M798" s="2" t="s">
        <v>41</v>
      </c>
      <c r="N798" s="2">
        <v>2</v>
      </c>
      <c r="O798" s="2">
        <v>199.78</v>
      </c>
      <c r="P798" s="2">
        <f t="shared" si="60"/>
        <v>60</v>
      </c>
      <c r="Q798" s="4">
        <f t="shared" si="61"/>
        <v>0.73799126637554591</v>
      </c>
      <c r="R798" s="2" t="str">
        <f t="shared" si="62"/>
        <v>Inefficient</v>
      </c>
      <c r="S798" s="2" t="str">
        <f t="shared" si="63"/>
        <v>Very Long</v>
      </c>
      <c r="T798" s="2" t="str">
        <f t="shared" si="64"/>
        <v>Major Delay</v>
      </c>
    </row>
    <row r="799" spans="1:20" x14ac:dyDescent="0.35">
      <c r="A799" s="2" t="s">
        <v>1781</v>
      </c>
      <c r="B799" s="2" t="s">
        <v>24</v>
      </c>
      <c r="C799" s="2" t="s">
        <v>1782</v>
      </c>
      <c r="D799" s="2" t="s">
        <v>18</v>
      </c>
      <c r="E799" s="2" t="s">
        <v>38</v>
      </c>
      <c r="F799" s="2" t="s">
        <v>20</v>
      </c>
      <c r="G799" s="2" t="s">
        <v>988</v>
      </c>
      <c r="H799" s="3">
        <v>45416.554166666669</v>
      </c>
      <c r="I799" s="3">
        <v>45416.63958333333</v>
      </c>
      <c r="J799" s="2">
        <v>85</v>
      </c>
      <c r="K799" s="2">
        <v>123</v>
      </c>
      <c r="L799" s="2">
        <v>1</v>
      </c>
      <c r="M799" s="2" t="s">
        <v>22</v>
      </c>
      <c r="N799" s="2">
        <v>10</v>
      </c>
      <c r="O799" s="2">
        <v>313.49</v>
      </c>
      <c r="P799" s="2">
        <f t="shared" si="60"/>
        <v>38</v>
      </c>
      <c r="Q799" s="4">
        <f t="shared" si="61"/>
        <v>0.69105691056910568</v>
      </c>
      <c r="R799" s="2" t="str">
        <f t="shared" si="62"/>
        <v>Inefficient</v>
      </c>
      <c r="S799" s="2" t="str">
        <f t="shared" si="63"/>
        <v>Very Long</v>
      </c>
      <c r="T799" s="2" t="str">
        <f t="shared" si="64"/>
        <v>Major Delay</v>
      </c>
    </row>
    <row r="800" spans="1:20" x14ac:dyDescent="0.35">
      <c r="A800" s="2" t="s">
        <v>1783</v>
      </c>
      <c r="B800" s="2" t="s">
        <v>63</v>
      </c>
      <c r="C800" s="2" t="s">
        <v>1784</v>
      </c>
      <c r="D800" s="2" t="s">
        <v>56</v>
      </c>
      <c r="E800" s="2" t="s">
        <v>19</v>
      </c>
      <c r="F800" s="2" t="s">
        <v>39</v>
      </c>
      <c r="G800" s="2" t="s">
        <v>546</v>
      </c>
      <c r="H800" s="3">
        <v>45624.978472222225</v>
      </c>
      <c r="I800" s="3">
        <v>45625.053472222222</v>
      </c>
      <c r="J800" s="2">
        <v>15</v>
      </c>
      <c r="K800" s="2">
        <v>108</v>
      </c>
      <c r="L800" s="2">
        <v>1</v>
      </c>
      <c r="M800" s="2" t="s">
        <v>22</v>
      </c>
      <c r="N800" s="2">
        <v>8</v>
      </c>
      <c r="O800" s="2">
        <v>165.33</v>
      </c>
      <c r="P800" s="2">
        <f t="shared" si="60"/>
        <v>93</v>
      </c>
      <c r="Q800" s="4">
        <f t="shared" si="61"/>
        <v>0.1388888888888889</v>
      </c>
      <c r="R800" s="2" t="str">
        <f t="shared" si="62"/>
        <v>Inefficient</v>
      </c>
      <c r="S800" s="2" t="str">
        <f t="shared" si="63"/>
        <v>Long</v>
      </c>
      <c r="T800" s="2" t="str">
        <f t="shared" si="64"/>
        <v>Major Delay</v>
      </c>
    </row>
    <row r="801" spans="1:20" x14ac:dyDescent="0.35">
      <c r="A801" s="2" t="s">
        <v>1785</v>
      </c>
      <c r="B801" s="2" t="s">
        <v>16</v>
      </c>
      <c r="C801" s="2" t="s">
        <v>1786</v>
      </c>
      <c r="D801" s="2" t="s">
        <v>56</v>
      </c>
      <c r="E801" s="2" t="s">
        <v>19</v>
      </c>
      <c r="F801" s="2" t="s">
        <v>57</v>
      </c>
      <c r="G801" s="2" t="s">
        <v>149</v>
      </c>
      <c r="H801" s="3">
        <v>45292.3</v>
      </c>
      <c r="I801" s="3">
        <v>45292.541666666664</v>
      </c>
      <c r="J801" s="2">
        <v>240</v>
      </c>
      <c r="K801" s="2">
        <v>348</v>
      </c>
      <c r="L801" s="2">
        <v>1</v>
      </c>
      <c r="M801" s="2" t="s">
        <v>22</v>
      </c>
      <c r="N801" s="2">
        <v>8</v>
      </c>
      <c r="O801" s="2">
        <v>162.59</v>
      </c>
      <c r="P801" s="2">
        <f t="shared" si="60"/>
        <v>108</v>
      </c>
      <c r="Q801" s="4">
        <f t="shared" si="61"/>
        <v>0.68965517241379315</v>
      </c>
      <c r="R801" s="2" t="str">
        <f t="shared" si="62"/>
        <v>Inefficient</v>
      </c>
      <c r="S801" s="2" t="str">
        <f t="shared" si="63"/>
        <v>Very Long</v>
      </c>
      <c r="T801" s="2" t="str">
        <f t="shared" si="64"/>
        <v>Major Delay</v>
      </c>
    </row>
    <row r="802" spans="1:20" x14ac:dyDescent="0.35">
      <c r="A802" s="2" t="s">
        <v>1787</v>
      </c>
      <c r="B802" s="2" t="s">
        <v>63</v>
      </c>
      <c r="C802" s="2" t="s">
        <v>1788</v>
      </c>
      <c r="D802" s="2" t="s">
        <v>48</v>
      </c>
      <c r="E802" s="2" t="s">
        <v>33</v>
      </c>
      <c r="F802" s="2" t="s">
        <v>57</v>
      </c>
      <c r="G802" s="2" t="s">
        <v>268</v>
      </c>
      <c r="H802" s="3">
        <v>45652.061111111114</v>
      </c>
      <c r="I802" s="3">
        <v>45652.23333333333</v>
      </c>
      <c r="J802" s="2">
        <v>198</v>
      </c>
      <c r="K802" s="2">
        <v>248</v>
      </c>
      <c r="L802" s="2">
        <v>1</v>
      </c>
      <c r="M802" s="2" t="s">
        <v>22</v>
      </c>
      <c r="N802" s="2">
        <v>4</v>
      </c>
      <c r="O802" s="2">
        <v>491.98</v>
      </c>
      <c r="P802" s="2">
        <f t="shared" si="60"/>
        <v>50</v>
      </c>
      <c r="Q802" s="4">
        <f t="shared" si="61"/>
        <v>0.79838709677419351</v>
      </c>
      <c r="R802" s="2" t="str">
        <f t="shared" si="62"/>
        <v>Inefficient</v>
      </c>
      <c r="S802" s="2" t="str">
        <f t="shared" si="63"/>
        <v>Very Long</v>
      </c>
      <c r="T802" s="2" t="str">
        <f t="shared" si="64"/>
        <v>Major Delay</v>
      </c>
    </row>
    <row r="803" spans="1:20" x14ac:dyDescent="0.35">
      <c r="A803" s="2" t="s">
        <v>1789</v>
      </c>
      <c r="B803" s="2" t="s">
        <v>31</v>
      </c>
      <c r="C803" s="2" t="s">
        <v>1790</v>
      </c>
      <c r="D803" s="2" t="s">
        <v>44</v>
      </c>
      <c r="E803" s="2" t="s">
        <v>85</v>
      </c>
      <c r="F803" s="2" t="s">
        <v>39</v>
      </c>
      <c r="G803" s="2" t="s">
        <v>500</v>
      </c>
      <c r="H803" s="3">
        <v>45340.76458333333</v>
      </c>
      <c r="I803" s="3">
        <v>45340.834027777775</v>
      </c>
      <c r="J803" s="2">
        <v>60</v>
      </c>
      <c r="K803" s="2">
        <v>100</v>
      </c>
      <c r="L803" s="2">
        <v>1</v>
      </c>
      <c r="M803" s="2" t="s">
        <v>41</v>
      </c>
      <c r="N803" s="2">
        <v>8</v>
      </c>
      <c r="O803" s="2">
        <v>84.51</v>
      </c>
      <c r="P803" s="2">
        <f t="shared" si="60"/>
        <v>40</v>
      </c>
      <c r="Q803" s="4">
        <f t="shared" si="61"/>
        <v>0.6</v>
      </c>
      <c r="R803" s="2" t="str">
        <f t="shared" si="62"/>
        <v>Inefficient</v>
      </c>
      <c r="S803" s="2" t="str">
        <f t="shared" si="63"/>
        <v>Long</v>
      </c>
      <c r="T803" s="2" t="str">
        <f t="shared" si="64"/>
        <v>Major Delay</v>
      </c>
    </row>
    <row r="804" spans="1:20" x14ac:dyDescent="0.35">
      <c r="A804" s="2" t="s">
        <v>1791</v>
      </c>
      <c r="B804" s="2" t="s">
        <v>24</v>
      </c>
      <c r="C804" s="2" t="s">
        <v>1792</v>
      </c>
      <c r="D804" s="2" t="s">
        <v>56</v>
      </c>
      <c r="E804" s="2" t="s">
        <v>85</v>
      </c>
      <c r="F804" s="2" t="s">
        <v>27</v>
      </c>
      <c r="G804" s="2" t="s">
        <v>222</v>
      </c>
      <c r="H804" s="3">
        <v>45371.237500000003</v>
      </c>
      <c r="I804" s="3">
        <v>45371.368055555555</v>
      </c>
      <c r="J804" s="2">
        <v>166</v>
      </c>
      <c r="K804" s="2">
        <v>188</v>
      </c>
      <c r="L804" s="2">
        <v>1</v>
      </c>
      <c r="M804" s="2" t="s">
        <v>22</v>
      </c>
      <c r="N804" s="2">
        <v>7</v>
      </c>
      <c r="O804" s="2">
        <v>138.13999999999999</v>
      </c>
      <c r="P804" s="2">
        <f t="shared" si="60"/>
        <v>22</v>
      </c>
      <c r="Q804" s="4">
        <f t="shared" si="61"/>
        <v>0.88297872340425532</v>
      </c>
      <c r="R804" s="2" t="str">
        <f t="shared" si="62"/>
        <v>Inefficient</v>
      </c>
      <c r="S804" s="2" t="str">
        <f t="shared" si="63"/>
        <v>Very Long</v>
      </c>
      <c r="T804" s="2" t="str">
        <f t="shared" si="64"/>
        <v>Minor Delay</v>
      </c>
    </row>
    <row r="805" spans="1:20" x14ac:dyDescent="0.35">
      <c r="A805" s="2" t="s">
        <v>1793</v>
      </c>
      <c r="B805" s="2" t="s">
        <v>16</v>
      </c>
      <c r="C805" s="2" t="s">
        <v>1794</v>
      </c>
      <c r="D805" s="2" t="s">
        <v>56</v>
      </c>
      <c r="E805" s="2" t="s">
        <v>38</v>
      </c>
      <c r="F805" s="2" t="s">
        <v>57</v>
      </c>
      <c r="G805" s="2" t="s">
        <v>397</v>
      </c>
      <c r="H805" s="3">
        <v>45510.246527777781</v>
      </c>
      <c r="I805" s="3">
        <v>45510.318749999999</v>
      </c>
      <c r="J805" s="2">
        <v>43</v>
      </c>
      <c r="K805" s="2">
        <v>104</v>
      </c>
      <c r="L805" s="2">
        <v>1</v>
      </c>
      <c r="M805" s="2" t="s">
        <v>29</v>
      </c>
      <c r="N805" s="2">
        <v>1</v>
      </c>
      <c r="O805" s="2">
        <v>194.84</v>
      </c>
      <c r="P805" s="2">
        <f t="shared" si="60"/>
        <v>61</v>
      </c>
      <c r="Q805" s="4">
        <f t="shared" si="61"/>
        <v>0.41346153846153844</v>
      </c>
      <c r="R805" s="2" t="str">
        <f t="shared" si="62"/>
        <v>Inefficient</v>
      </c>
      <c r="S805" s="2" t="str">
        <f t="shared" si="63"/>
        <v>Long</v>
      </c>
      <c r="T805" s="2" t="str">
        <f t="shared" si="64"/>
        <v>Major Delay</v>
      </c>
    </row>
    <row r="806" spans="1:20" x14ac:dyDescent="0.35">
      <c r="A806" s="2" t="s">
        <v>1795</v>
      </c>
      <c r="B806" s="2" t="s">
        <v>51</v>
      </c>
      <c r="C806" s="2" t="s">
        <v>1796</v>
      </c>
      <c r="D806" s="2" t="s">
        <v>18</v>
      </c>
      <c r="E806" s="2" t="s">
        <v>19</v>
      </c>
      <c r="F806" s="2" t="s">
        <v>39</v>
      </c>
      <c r="G806" s="2" t="s">
        <v>364</v>
      </c>
      <c r="H806" s="3">
        <v>45515.076388888891</v>
      </c>
      <c r="I806" s="3">
        <v>45515.218055555553</v>
      </c>
      <c r="J806" s="2">
        <v>95</v>
      </c>
      <c r="K806" s="2">
        <v>204</v>
      </c>
      <c r="L806" s="2">
        <v>1</v>
      </c>
      <c r="M806" s="2" t="s">
        <v>41</v>
      </c>
      <c r="N806" s="2">
        <v>7</v>
      </c>
      <c r="O806" s="2">
        <v>111.77</v>
      </c>
      <c r="P806" s="2">
        <f t="shared" si="60"/>
        <v>109</v>
      </c>
      <c r="Q806" s="4">
        <f t="shared" si="61"/>
        <v>0.46568627450980393</v>
      </c>
      <c r="R806" s="2" t="str">
        <f t="shared" si="62"/>
        <v>Inefficient</v>
      </c>
      <c r="S806" s="2" t="str">
        <f t="shared" si="63"/>
        <v>Very Long</v>
      </c>
      <c r="T806" s="2" t="str">
        <f t="shared" si="64"/>
        <v>Major Delay</v>
      </c>
    </row>
    <row r="807" spans="1:20" x14ac:dyDescent="0.35">
      <c r="A807" s="2" t="s">
        <v>1797</v>
      </c>
      <c r="B807" s="2" t="s">
        <v>51</v>
      </c>
      <c r="C807" s="2" t="s">
        <v>1798</v>
      </c>
      <c r="D807" s="2" t="s">
        <v>48</v>
      </c>
      <c r="E807" s="2" t="s">
        <v>38</v>
      </c>
      <c r="F807" s="2" t="s">
        <v>39</v>
      </c>
      <c r="G807" s="2" t="s">
        <v>691</v>
      </c>
      <c r="H807" s="3">
        <v>45615.324305555558</v>
      </c>
      <c r="I807" s="3">
        <v>45615.507638888892</v>
      </c>
      <c r="J807" s="2">
        <v>152</v>
      </c>
      <c r="K807" s="2">
        <v>264</v>
      </c>
      <c r="L807" s="2">
        <v>1</v>
      </c>
      <c r="M807" s="2" t="s">
        <v>29</v>
      </c>
      <c r="N807" s="2">
        <v>5</v>
      </c>
      <c r="O807" s="2">
        <v>236.89</v>
      </c>
      <c r="P807" s="2">
        <f t="shared" si="60"/>
        <v>112</v>
      </c>
      <c r="Q807" s="4">
        <f t="shared" si="61"/>
        <v>0.5757575757575758</v>
      </c>
      <c r="R807" s="2" t="str">
        <f t="shared" si="62"/>
        <v>Inefficient</v>
      </c>
      <c r="S807" s="2" t="str">
        <f t="shared" si="63"/>
        <v>Very Long</v>
      </c>
      <c r="T807" s="2" t="str">
        <f t="shared" si="64"/>
        <v>Major Delay</v>
      </c>
    </row>
    <row r="808" spans="1:20" x14ac:dyDescent="0.35">
      <c r="A808" s="2" t="s">
        <v>1799</v>
      </c>
      <c r="B808" s="2" t="s">
        <v>24</v>
      </c>
      <c r="C808" s="2" t="s">
        <v>1800</v>
      </c>
      <c r="D808" s="2" t="s">
        <v>18</v>
      </c>
      <c r="E808" s="2" t="s">
        <v>38</v>
      </c>
      <c r="F808" s="2" t="s">
        <v>34</v>
      </c>
      <c r="G808" s="2" t="s">
        <v>894</v>
      </c>
      <c r="H808" s="3">
        <v>45379.224305555559</v>
      </c>
      <c r="I808" s="3">
        <v>45379.34652777778</v>
      </c>
      <c r="J808" s="2">
        <v>63</v>
      </c>
      <c r="K808" s="2">
        <v>176</v>
      </c>
      <c r="L808" s="2">
        <v>1</v>
      </c>
      <c r="M808" s="2" t="s">
        <v>29</v>
      </c>
      <c r="N808" s="2">
        <v>10</v>
      </c>
      <c r="O808" s="2">
        <v>333.15</v>
      </c>
      <c r="P808" s="2">
        <f t="shared" si="60"/>
        <v>113</v>
      </c>
      <c r="Q808" s="4">
        <f t="shared" si="61"/>
        <v>0.35795454545454547</v>
      </c>
      <c r="R808" s="2" t="str">
        <f t="shared" si="62"/>
        <v>Inefficient</v>
      </c>
      <c r="S808" s="2" t="str">
        <f t="shared" si="63"/>
        <v>Very Long</v>
      </c>
      <c r="T808" s="2" t="str">
        <f t="shared" si="64"/>
        <v>Major Delay</v>
      </c>
    </row>
    <row r="809" spans="1:20" x14ac:dyDescent="0.35">
      <c r="A809" s="2" t="s">
        <v>1801</v>
      </c>
      <c r="B809" s="2" t="s">
        <v>31</v>
      </c>
      <c r="C809" s="2" t="s">
        <v>1802</v>
      </c>
      <c r="D809" s="2" t="s">
        <v>48</v>
      </c>
      <c r="E809" s="2" t="s">
        <v>19</v>
      </c>
      <c r="F809" s="2" t="s">
        <v>27</v>
      </c>
      <c r="G809" s="2" t="s">
        <v>155</v>
      </c>
      <c r="H809" s="3">
        <v>45321.45</v>
      </c>
      <c r="I809" s="3">
        <v>45321.584027777775</v>
      </c>
      <c r="J809" s="2">
        <v>165</v>
      </c>
      <c r="K809" s="2">
        <v>193</v>
      </c>
      <c r="L809" s="2">
        <v>1</v>
      </c>
      <c r="M809" s="2" t="s">
        <v>22</v>
      </c>
      <c r="N809" s="2">
        <v>6</v>
      </c>
      <c r="O809" s="2">
        <v>80.3</v>
      </c>
      <c r="P809" s="2">
        <f t="shared" si="60"/>
        <v>28</v>
      </c>
      <c r="Q809" s="4">
        <f t="shared" si="61"/>
        <v>0.85492227979274615</v>
      </c>
      <c r="R809" s="2" t="str">
        <f t="shared" si="62"/>
        <v>Inefficient</v>
      </c>
      <c r="S809" s="2" t="str">
        <f t="shared" si="63"/>
        <v>Very Long</v>
      </c>
      <c r="T809" s="2" t="str">
        <f t="shared" si="64"/>
        <v>Minor Delay</v>
      </c>
    </row>
    <row r="810" spans="1:20" x14ac:dyDescent="0.35">
      <c r="A810" s="2" t="s">
        <v>1803</v>
      </c>
      <c r="B810" s="2" t="s">
        <v>63</v>
      </c>
      <c r="C810" s="2" t="s">
        <v>1804</v>
      </c>
      <c r="D810" s="2" t="s">
        <v>26</v>
      </c>
      <c r="E810" s="2" t="s">
        <v>85</v>
      </c>
      <c r="F810" s="2" t="s">
        <v>39</v>
      </c>
      <c r="G810" s="2" t="s">
        <v>76</v>
      </c>
      <c r="H810" s="3">
        <v>45633.271527777775</v>
      </c>
      <c r="I810" s="3">
        <v>45633.307638888888</v>
      </c>
      <c r="J810" s="2">
        <v>48</v>
      </c>
      <c r="K810" s="2">
        <v>52</v>
      </c>
      <c r="L810" s="2">
        <v>1</v>
      </c>
      <c r="M810" s="2" t="s">
        <v>22</v>
      </c>
      <c r="N810" s="2">
        <v>3</v>
      </c>
      <c r="O810" s="2">
        <v>289.19</v>
      </c>
      <c r="P810" s="2">
        <f t="shared" si="60"/>
        <v>4</v>
      </c>
      <c r="Q810" s="4">
        <f t="shared" si="61"/>
        <v>0.92307692307692313</v>
      </c>
      <c r="R810" s="2" t="str">
        <f t="shared" si="62"/>
        <v>Inefficient</v>
      </c>
      <c r="S810" s="2" t="str">
        <f t="shared" si="63"/>
        <v>Medium</v>
      </c>
      <c r="T810" s="2" t="str">
        <f t="shared" si="64"/>
        <v>Minor Delay</v>
      </c>
    </row>
    <row r="811" spans="1:20" x14ac:dyDescent="0.35">
      <c r="A811" s="2" t="s">
        <v>1805</v>
      </c>
      <c r="B811" s="2" t="s">
        <v>51</v>
      </c>
      <c r="C811" s="2" t="s">
        <v>1806</v>
      </c>
      <c r="D811" s="2" t="s">
        <v>48</v>
      </c>
      <c r="E811" s="2" t="s">
        <v>85</v>
      </c>
      <c r="F811" s="2" t="s">
        <v>57</v>
      </c>
      <c r="G811" s="2" t="s">
        <v>97</v>
      </c>
      <c r="H811" s="3">
        <v>45584.520138888889</v>
      </c>
      <c r="I811" s="3">
        <v>45584.551388888889</v>
      </c>
      <c r="J811" s="2">
        <v>21</v>
      </c>
      <c r="K811" s="2">
        <v>45</v>
      </c>
      <c r="L811" s="2">
        <v>1</v>
      </c>
      <c r="M811" s="2" t="s">
        <v>41</v>
      </c>
      <c r="N811" s="2">
        <v>7</v>
      </c>
      <c r="O811" s="2">
        <v>341.25</v>
      </c>
      <c r="P811" s="2">
        <f t="shared" si="60"/>
        <v>24</v>
      </c>
      <c r="Q811" s="4">
        <f t="shared" si="61"/>
        <v>0.46666666666666667</v>
      </c>
      <c r="R811" s="2" t="str">
        <f t="shared" si="62"/>
        <v>Inefficient</v>
      </c>
      <c r="S811" s="2" t="str">
        <f t="shared" si="63"/>
        <v>Medium</v>
      </c>
      <c r="T811" s="2" t="str">
        <f t="shared" si="64"/>
        <v>Minor Delay</v>
      </c>
    </row>
    <row r="812" spans="1:20" x14ac:dyDescent="0.35">
      <c r="A812" s="2" t="s">
        <v>1807</v>
      </c>
      <c r="B812" s="2" t="s">
        <v>63</v>
      </c>
      <c r="C812" s="2" t="s">
        <v>1808</v>
      </c>
      <c r="D812" s="2" t="s">
        <v>48</v>
      </c>
      <c r="E812" s="2" t="s">
        <v>19</v>
      </c>
      <c r="F812" s="2" t="s">
        <v>39</v>
      </c>
      <c r="G812" s="2" t="s">
        <v>343</v>
      </c>
      <c r="H812" s="3">
        <v>45477.822916666664</v>
      </c>
      <c r="I812" s="3">
        <v>45477.968055555553</v>
      </c>
      <c r="J812" s="2">
        <v>129</v>
      </c>
      <c r="K812" s="2">
        <v>209</v>
      </c>
      <c r="L812" s="2">
        <v>1</v>
      </c>
      <c r="M812" s="2" t="s">
        <v>41</v>
      </c>
      <c r="N812" s="2">
        <v>8</v>
      </c>
      <c r="O812" s="2">
        <v>213.19</v>
      </c>
      <c r="P812" s="2">
        <f t="shared" si="60"/>
        <v>80</v>
      </c>
      <c r="Q812" s="4">
        <f t="shared" si="61"/>
        <v>0.61722488038277512</v>
      </c>
      <c r="R812" s="2" t="str">
        <f t="shared" si="62"/>
        <v>Inefficient</v>
      </c>
      <c r="S812" s="2" t="str">
        <f t="shared" si="63"/>
        <v>Very Long</v>
      </c>
      <c r="T812" s="2" t="str">
        <f t="shared" si="64"/>
        <v>Major Delay</v>
      </c>
    </row>
    <row r="813" spans="1:20" x14ac:dyDescent="0.35">
      <c r="A813" s="2" t="s">
        <v>1809</v>
      </c>
      <c r="B813" s="2" t="s">
        <v>31</v>
      </c>
      <c r="C813" s="2" t="s">
        <v>1810</v>
      </c>
      <c r="D813" s="2" t="s">
        <v>56</v>
      </c>
      <c r="E813" s="2" t="s">
        <v>85</v>
      </c>
      <c r="F813" s="2" t="s">
        <v>39</v>
      </c>
      <c r="G813" s="2" t="s">
        <v>615</v>
      </c>
      <c r="H813" s="3">
        <v>45408.197916666664</v>
      </c>
      <c r="I813" s="3">
        <v>45408.395833333336</v>
      </c>
      <c r="J813" s="2">
        <v>169</v>
      </c>
      <c r="K813" s="2">
        <v>285</v>
      </c>
      <c r="L813" s="2">
        <v>1</v>
      </c>
      <c r="M813" s="2" t="s">
        <v>41</v>
      </c>
      <c r="N813" s="2">
        <v>4</v>
      </c>
      <c r="O813" s="2">
        <v>491.57</v>
      </c>
      <c r="P813" s="2">
        <f t="shared" si="60"/>
        <v>116</v>
      </c>
      <c r="Q813" s="4">
        <f t="shared" si="61"/>
        <v>0.59298245614035083</v>
      </c>
      <c r="R813" s="2" t="str">
        <f t="shared" si="62"/>
        <v>Inefficient</v>
      </c>
      <c r="S813" s="2" t="str">
        <f t="shared" si="63"/>
        <v>Very Long</v>
      </c>
      <c r="T813" s="2" t="str">
        <f t="shared" si="64"/>
        <v>Major Delay</v>
      </c>
    </row>
    <row r="814" spans="1:20" x14ac:dyDescent="0.35">
      <c r="A814" s="2" t="s">
        <v>1811</v>
      </c>
      <c r="B814" s="2" t="s">
        <v>16</v>
      </c>
      <c r="C814" s="2" t="s">
        <v>1812</v>
      </c>
      <c r="D814" s="2" t="s">
        <v>44</v>
      </c>
      <c r="E814" s="2" t="s">
        <v>19</v>
      </c>
      <c r="F814" s="2" t="s">
        <v>27</v>
      </c>
      <c r="G814" s="2" t="s">
        <v>415</v>
      </c>
      <c r="H814" s="3">
        <v>45525.88958333333</v>
      </c>
      <c r="I814" s="3">
        <v>45526.125694444447</v>
      </c>
      <c r="J814" s="2">
        <v>223</v>
      </c>
      <c r="K814" s="2">
        <v>340</v>
      </c>
      <c r="L814" s="2">
        <v>1</v>
      </c>
      <c r="M814" s="2" t="s">
        <v>29</v>
      </c>
      <c r="N814" s="2">
        <v>6</v>
      </c>
      <c r="O814" s="2">
        <v>218.21</v>
      </c>
      <c r="P814" s="2">
        <f t="shared" si="60"/>
        <v>117</v>
      </c>
      <c r="Q814" s="4">
        <f t="shared" si="61"/>
        <v>0.65588235294117647</v>
      </c>
      <c r="R814" s="2" t="str">
        <f t="shared" si="62"/>
        <v>Inefficient</v>
      </c>
      <c r="S814" s="2" t="str">
        <f t="shared" si="63"/>
        <v>Very Long</v>
      </c>
      <c r="T814" s="2" t="str">
        <f t="shared" si="64"/>
        <v>Major Delay</v>
      </c>
    </row>
    <row r="815" spans="1:20" x14ac:dyDescent="0.35">
      <c r="A815" s="2" t="s">
        <v>1813</v>
      </c>
      <c r="B815" s="2" t="s">
        <v>63</v>
      </c>
      <c r="C815" s="2" t="s">
        <v>1814</v>
      </c>
      <c r="D815" s="2" t="s">
        <v>56</v>
      </c>
      <c r="E815" s="2" t="s">
        <v>38</v>
      </c>
      <c r="F815" s="2" t="s">
        <v>27</v>
      </c>
      <c r="G815" s="2" t="s">
        <v>158</v>
      </c>
      <c r="H815" s="3">
        <v>45372.311805555553</v>
      </c>
      <c r="I815" s="3">
        <v>45372.464583333334</v>
      </c>
      <c r="J815" s="2">
        <v>190</v>
      </c>
      <c r="K815" s="2">
        <v>220</v>
      </c>
      <c r="L815" s="2">
        <v>1</v>
      </c>
      <c r="M815" s="2" t="s">
        <v>41</v>
      </c>
      <c r="N815" s="2">
        <v>1</v>
      </c>
      <c r="O815" s="2">
        <v>315.82</v>
      </c>
      <c r="P815" s="2">
        <f t="shared" si="60"/>
        <v>30</v>
      </c>
      <c r="Q815" s="4">
        <f t="shared" si="61"/>
        <v>0.86363636363636365</v>
      </c>
      <c r="R815" s="2" t="str">
        <f t="shared" si="62"/>
        <v>Inefficient</v>
      </c>
      <c r="S815" s="2" t="str">
        <f t="shared" si="63"/>
        <v>Very Long</v>
      </c>
      <c r="T815" s="2" t="str">
        <f t="shared" si="64"/>
        <v>Minor Delay</v>
      </c>
    </row>
    <row r="816" spans="1:20" x14ac:dyDescent="0.35">
      <c r="A816" s="2" t="s">
        <v>1815</v>
      </c>
      <c r="B816" s="2" t="s">
        <v>51</v>
      </c>
      <c r="C816" s="2" t="s">
        <v>1816</v>
      </c>
      <c r="D816" s="2" t="s">
        <v>44</v>
      </c>
      <c r="E816" s="2" t="s">
        <v>19</v>
      </c>
      <c r="F816" s="2" t="s">
        <v>20</v>
      </c>
      <c r="G816" s="2" t="s">
        <v>402</v>
      </c>
      <c r="H816" s="3">
        <v>45610.783333333333</v>
      </c>
      <c r="I816" s="3">
        <v>45610.933333333334</v>
      </c>
      <c r="J816" s="2">
        <v>165</v>
      </c>
      <c r="K816" s="2">
        <v>216</v>
      </c>
      <c r="L816" s="2">
        <v>1</v>
      </c>
      <c r="M816" s="2" t="s">
        <v>29</v>
      </c>
      <c r="N816" s="2">
        <v>4</v>
      </c>
      <c r="O816" s="2">
        <v>130.16999999999999</v>
      </c>
      <c r="P816" s="2">
        <f t="shared" si="60"/>
        <v>51</v>
      </c>
      <c r="Q816" s="4">
        <f t="shared" si="61"/>
        <v>0.76388888888888884</v>
      </c>
      <c r="R816" s="2" t="str">
        <f t="shared" si="62"/>
        <v>Inefficient</v>
      </c>
      <c r="S816" s="2" t="str">
        <f t="shared" si="63"/>
        <v>Very Long</v>
      </c>
      <c r="T816" s="2" t="str">
        <f t="shared" si="64"/>
        <v>Major Delay</v>
      </c>
    </row>
    <row r="817" spans="1:20" x14ac:dyDescent="0.35">
      <c r="A817" s="2" t="s">
        <v>1817</v>
      </c>
      <c r="B817" s="2" t="s">
        <v>31</v>
      </c>
      <c r="C817" s="2" t="s">
        <v>1818</v>
      </c>
      <c r="D817" s="2" t="s">
        <v>56</v>
      </c>
      <c r="E817" s="2" t="s">
        <v>33</v>
      </c>
      <c r="F817" s="2" t="s">
        <v>39</v>
      </c>
      <c r="G817" s="2" t="s">
        <v>262</v>
      </c>
      <c r="H817" s="3">
        <v>45436.98541666667</v>
      </c>
      <c r="I817" s="3">
        <v>45437.10833333333</v>
      </c>
      <c r="J817" s="2">
        <v>143</v>
      </c>
      <c r="K817" s="2">
        <v>177</v>
      </c>
      <c r="L817" s="2">
        <v>1</v>
      </c>
      <c r="M817" s="2" t="s">
        <v>29</v>
      </c>
      <c r="N817" s="2">
        <v>2</v>
      </c>
      <c r="O817" s="2">
        <v>200.3</v>
      </c>
      <c r="P817" s="2">
        <f t="shared" si="60"/>
        <v>34</v>
      </c>
      <c r="Q817" s="4">
        <f t="shared" si="61"/>
        <v>0.80790960451977401</v>
      </c>
      <c r="R817" s="2" t="str">
        <f t="shared" si="62"/>
        <v>Inefficient</v>
      </c>
      <c r="S817" s="2" t="str">
        <f t="shared" si="63"/>
        <v>Very Long</v>
      </c>
      <c r="T817" s="2" t="str">
        <f t="shared" si="64"/>
        <v>Major Delay</v>
      </c>
    </row>
    <row r="818" spans="1:20" x14ac:dyDescent="0.35">
      <c r="A818" s="2" t="s">
        <v>1819</v>
      </c>
      <c r="B818" s="2" t="s">
        <v>16</v>
      </c>
      <c r="C818" s="2" t="s">
        <v>1820</v>
      </c>
      <c r="D818" s="2" t="s">
        <v>18</v>
      </c>
      <c r="E818" s="2" t="s">
        <v>33</v>
      </c>
      <c r="F818" s="2" t="s">
        <v>39</v>
      </c>
      <c r="G818" s="2" t="s">
        <v>129</v>
      </c>
      <c r="H818" s="3">
        <v>45479.875</v>
      </c>
      <c r="I818" s="3">
        <v>45480.022222222222</v>
      </c>
      <c r="J818" s="2">
        <v>158</v>
      </c>
      <c r="K818" s="2">
        <v>212</v>
      </c>
      <c r="L818" s="2">
        <v>1</v>
      </c>
      <c r="M818" s="2" t="s">
        <v>41</v>
      </c>
      <c r="N818" s="2">
        <v>2</v>
      </c>
      <c r="O818" s="2">
        <v>237.15</v>
      </c>
      <c r="P818" s="2">
        <f t="shared" si="60"/>
        <v>54</v>
      </c>
      <c r="Q818" s="4">
        <f t="shared" si="61"/>
        <v>0.74528301886792447</v>
      </c>
      <c r="R818" s="2" t="str">
        <f t="shared" si="62"/>
        <v>Inefficient</v>
      </c>
      <c r="S818" s="2" t="str">
        <f t="shared" si="63"/>
        <v>Very Long</v>
      </c>
      <c r="T818" s="2" t="str">
        <f t="shared" si="64"/>
        <v>Major Delay</v>
      </c>
    </row>
    <row r="819" spans="1:20" x14ac:dyDescent="0.35">
      <c r="A819" s="2" t="s">
        <v>1821</v>
      </c>
      <c r="B819" s="2" t="s">
        <v>51</v>
      </c>
      <c r="C819" s="2" t="s">
        <v>1822</v>
      </c>
      <c r="D819" s="2" t="s">
        <v>48</v>
      </c>
      <c r="E819" s="2" t="s">
        <v>85</v>
      </c>
      <c r="F819" s="2" t="s">
        <v>57</v>
      </c>
      <c r="G819" s="2" t="s">
        <v>182</v>
      </c>
      <c r="H819" s="3">
        <v>45596.064583333333</v>
      </c>
      <c r="I819" s="3">
        <v>45596.159722222219</v>
      </c>
      <c r="J819" s="2">
        <v>65</v>
      </c>
      <c r="K819" s="2">
        <v>137</v>
      </c>
      <c r="L819" s="2">
        <v>1</v>
      </c>
      <c r="M819" s="2" t="s">
        <v>29</v>
      </c>
      <c r="N819" s="2">
        <v>8</v>
      </c>
      <c r="O819" s="2">
        <v>97.3</v>
      </c>
      <c r="P819" s="2">
        <f t="shared" si="60"/>
        <v>72</v>
      </c>
      <c r="Q819" s="4">
        <f t="shared" si="61"/>
        <v>0.47445255474452552</v>
      </c>
      <c r="R819" s="2" t="str">
        <f t="shared" si="62"/>
        <v>Inefficient</v>
      </c>
      <c r="S819" s="2" t="str">
        <f t="shared" si="63"/>
        <v>Very Long</v>
      </c>
      <c r="T819" s="2" t="str">
        <f t="shared" si="64"/>
        <v>Major Delay</v>
      </c>
    </row>
    <row r="820" spans="1:20" x14ac:dyDescent="0.35">
      <c r="A820" s="2" t="s">
        <v>1823</v>
      </c>
      <c r="B820" s="2" t="s">
        <v>31</v>
      </c>
      <c r="C820" s="2" t="s">
        <v>1824</v>
      </c>
      <c r="D820" s="2" t="s">
        <v>48</v>
      </c>
      <c r="E820" s="2" t="s">
        <v>33</v>
      </c>
      <c r="F820" s="2" t="s">
        <v>20</v>
      </c>
      <c r="G820" s="2" t="s">
        <v>68</v>
      </c>
      <c r="H820" s="3">
        <v>45546.618750000001</v>
      </c>
      <c r="I820" s="3">
        <v>45546.79791666667</v>
      </c>
      <c r="J820" s="2">
        <v>204</v>
      </c>
      <c r="K820" s="2">
        <v>258</v>
      </c>
      <c r="L820" s="2">
        <v>1</v>
      </c>
      <c r="M820" s="2" t="s">
        <v>29</v>
      </c>
      <c r="N820" s="2">
        <v>5</v>
      </c>
      <c r="O820" s="2">
        <v>405.99</v>
      </c>
      <c r="P820" s="2">
        <f t="shared" si="60"/>
        <v>54</v>
      </c>
      <c r="Q820" s="4">
        <f t="shared" si="61"/>
        <v>0.79069767441860461</v>
      </c>
      <c r="R820" s="2" t="str">
        <f t="shared" si="62"/>
        <v>Inefficient</v>
      </c>
      <c r="S820" s="2" t="str">
        <f t="shared" si="63"/>
        <v>Very Long</v>
      </c>
      <c r="T820" s="2" t="str">
        <f t="shared" si="64"/>
        <v>Major Delay</v>
      </c>
    </row>
    <row r="821" spans="1:20" x14ac:dyDescent="0.35">
      <c r="A821" s="2" t="s">
        <v>1825</v>
      </c>
      <c r="B821" s="2" t="s">
        <v>31</v>
      </c>
      <c r="C821" s="2" t="s">
        <v>1826</v>
      </c>
      <c r="D821" s="2" t="s">
        <v>48</v>
      </c>
      <c r="E821" s="2" t="s">
        <v>19</v>
      </c>
      <c r="F821" s="2" t="s">
        <v>39</v>
      </c>
      <c r="G821" s="2" t="s">
        <v>225</v>
      </c>
      <c r="H821" s="3">
        <v>45533.708333333336</v>
      </c>
      <c r="I821" s="3">
        <v>45533.893750000003</v>
      </c>
      <c r="J821" s="2">
        <v>168</v>
      </c>
      <c r="K821" s="2">
        <v>267</v>
      </c>
      <c r="L821" s="2">
        <v>1</v>
      </c>
      <c r="M821" s="2" t="s">
        <v>29</v>
      </c>
      <c r="N821" s="2">
        <v>7</v>
      </c>
      <c r="O821" s="2">
        <v>184.5</v>
      </c>
      <c r="P821" s="2">
        <f t="shared" si="60"/>
        <v>99</v>
      </c>
      <c r="Q821" s="4">
        <f t="shared" si="61"/>
        <v>0.6292134831460674</v>
      </c>
      <c r="R821" s="2" t="str">
        <f t="shared" si="62"/>
        <v>Inefficient</v>
      </c>
      <c r="S821" s="2" t="str">
        <f t="shared" si="63"/>
        <v>Very Long</v>
      </c>
      <c r="T821" s="2" t="str">
        <f t="shared" si="64"/>
        <v>Major Delay</v>
      </c>
    </row>
    <row r="822" spans="1:20" x14ac:dyDescent="0.35">
      <c r="A822" s="2" t="s">
        <v>1827</v>
      </c>
      <c r="B822" s="2" t="s">
        <v>16</v>
      </c>
      <c r="C822" s="2" t="s">
        <v>1828</v>
      </c>
      <c r="D822" s="2" t="s">
        <v>18</v>
      </c>
      <c r="E822" s="2" t="s">
        <v>38</v>
      </c>
      <c r="F822" s="2" t="s">
        <v>57</v>
      </c>
      <c r="G822" s="2" t="s">
        <v>388</v>
      </c>
      <c r="H822" s="3">
        <v>45623.888888888891</v>
      </c>
      <c r="I822" s="3">
        <v>45624.075694444444</v>
      </c>
      <c r="J822" s="2">
        <v>170</v>
      </c>
      <c r="K822" s="2">
        <v>269</v>
      </c>
      <c r="L822" s="2">
        <v>1</v>
      </c>
      <c r="M822" s="2" t="s">
        <v>41</v>
      </c>
      <c r="N822" s="2">
        <v>5</v>
      </c>
      <c r="O822" s="2">
        <v>280.02</v>
      </c>
      <c r="P822" s="2">
        <f t="shared" si="60"/>
        <v>99</v>
      </c>
      <c r="Q822" s="4">
        <f t="shared" si="61"/>
        <v>0.63197026022304836</v>
      </c>
      <c r="R822" s="2" t="str">
        <f t="shared" si="62"/>
        <v>Inefficient</v>
      </c>
      <c r="S822" s="2" t="str">
        <f t="shared" si="63"/>
        <v>Very Long</v>
      </c>
      <c r="T822" s="2" t="str">
        <f t="shared" si="64"/>
        <v>Major Delay</v>
      </c>
    </row>
    <row r="823" spans="1:20" x14ac:dyDescent="0.35">
      <c r="A823" s="2" t="s">
        <v>1829</v>
      </c>
      <c r="B823" s="2" t="s">
        <v>63</v>
      </c>
      <c r="C823" s="2" t="s">
        <v>1830</v>
      </c>
      <c r="D823" s="2" t="s">
        <v>18</v>
      </c>
      <c r="E823" s="2" t="s">
        <v>33</v>
      </c>
      <c r="F823" s="2" t="s">
        <v>20</v>
      </c>
      <c r="G823" s="2" t="s">
        <v>76</v>
      </c>
      <c r="H823" s="3">
        <v>45502.295138888891</v>
      </c>
      <c r="I823" s="3">
        <v>45502.493055555555</v>
      </c>
      <c r="J823" s="2">
        <v>179</v>
      </c>
      <c r="K823" s="2">
        <v>285</v>
      </c>
      <c r="L823" s="2">
        <v>1</v>
      </c>
      <c r="M823" s="2" t="s">
        <v>41</v>
      </c>
      <c r="N823" s="2">
        <v>9</v>
      </c>
      <c r="O823" s="2">
        <v>93.87</v>
      </c>
      <c r="P823" s="2">
        <f t="shared" si="60"/>
        <v>106</v>
      </c>
      <c r="Q823" s="4">
        <f t="shared" si="61"/>
        <v>0.62807017543859645</v>
      </c>
      <c r="R823" s="2" t="str">
        <f t="shared" si="62"/>
        <v>Inefficient</v>
      </c>
      <c r="S823" s="2" t="str">
        <f t="shared" si="63"/>
        <v>Very Long</v>
      </c>
      <c r="T823" s="2" t="str">
        <f t="shared" si="64"/>
        <v>Major Delay</v>
      </c>
    </row>
    <row r="824" spans="1:20" x14ac:dyDescent="0.35">
      <c r="A824" s="2" t="s">
        <v>1831</v>
      </c>
      <c r="B824" s="2" t="s">
        <v>31</v>
      </c>
      <c r="C824" s="2" t="s">
        <v>1832</v>
      </c>
      <c r="D824" s="2" t="s">
        <v>44</v>
      </c>
      <c r="E824" s="2" t="s">
        <v>38</v>
      </c>
      <c r="F824" s="2" t="s">
        <v>20</v>
      </c>
      <c r="G824" s="2" t="s">
        <v>418</v>
      </c>
      <c r="H824" s="3">
        <v>45644.043749999997</v>
      </c>
      <c r="I824" s="3">
        <v>45644.207638888889</v>
      </c>
      <c r="J824" s="2">
        <v>140</v>
      </c>
      <c r="K824" s="2">
        <v>236</v>
      </c>
      <c r="L824" s="2">
        <v>1</v>
      </c>
      <c r="M824" s="2" t="s">
        <v>22</v>
      </c>
      <c r="N824" s="2">
        <v>3</v>
      </c>
      <c r="O824" s="2">
        <v>87</v>
      </c>
      <c r="P824" s="2">
        <f t="shared" si="60"/>
        <v>96</v>
      </c>
      <c r="Q824" s="4">
        <f t="shared" si="61"/>
        <v>0.59322033898305082</v>
      </c>
      <c r="R824" s="2" t="str">
        <f t="shared" si="62"/>
        <v>Inefficient</v>
      </c>
      <c r="S824" s="2" t="str">
        <f t="shared" si="63"/>
        <v>Very Long</v>
      </c>
      <c r="T824" s="2" t="str">
        <f t="shared" si="64"/>
        <v>Major Delay</v>
      </c>
    </row>
    <row r="825" spans="1:20" x14ac:dyDescent="0.35">
      <c r="A825" s="2" t="s">
        <v>1833</v>
      </c>
      <c r="B825" s="2" t="s">
        <v>31</v>
      </c>
      <c r="C825" s="2" t="s">
        <v>1834</v>
      </c>
      <c r="D825" s="2" t="s">
        <v>18</v>
      </c>
      <c r="E825" s="2" t="s">
        <v>85</v>
      </c>
      <c r="F825" s="2" t="s">
        <v>39</v>
      </c>
      <c r="G825" s="2" t="s">
        <v>1172</v>
      </c>
      <c r="H825" s="3">
        <v>45450.837500000001</v>
      </c>
      <c r="I825" s="3">
        <v>45450.923611111109</v>
      </c>
      <c r="J825" s="2">
        <v>112</v>
      </c>
      <c r="K825" s="2">
        <v>124</v>
      </c>
      <c r="L825" s="2">
        <v>1</v>
      </c>
      <c r="M825" s="2" t="s">
        <v>29</v>
      </c>
      <c r="N825" s="2">
        <v>8</v>
      </c>
      <c r="O825" s="2">
        <v>281.7</v>
      </c>
      <c r="P825" s="2">
        <f t="shared" si="60"/>
        <v>12</v>
      </c>
      <c r="Q825" s="4">
        <f t="shared" si="61"/>
        <v>0.90322580645161288</v>
      </c>
      <c r="R825" s="2" t="str">
        <f t="shared" si="62"/>
        <v>Inefficient</v>
      </c>
      <c r="S825" s="2" t="str">
        <f t="shared" si="63"/>
        <v>Very Long</v>
      </c>
      <c r="T825" s="2" t="str">
        <f t="shared" si="64"/>
        <v>Minor Delay</v>
      </c>
    </row>
    <row r="826" spans="1:20" x14ac:dyDescent="0.35">
      <c r="A826" s="2" t="s">
        <v>1835</v>
      </c>
      <c r="B826" s="2" t="s">
        <v>24</v>
      </c>
      <c r="C826" s="2" t="s">
        <v>1836</v>
      </c>
      <c r="D826" s="2" t="s">
        <v>56</v>
      </c>
      <c r="E826" s="2" t="s">
        <v>85</v>
      </c>
      <c r="F826" s="2" t="s">
        <v>39</v>
      </c>
      <c r="G826" s="2" t="s">
        <v>194</v>
      </c>
      <c r="H826" s="3">
        <v>45401.416666666664</v>
      </c>
      <c r="I826" s="3">
        <v>45401.538888888892</v>
      </c>
      <c r="J826" s="2">
        <v>155</v>
      </c>
      <c r="K826" s="2">
        <v>176</v>
      </c>
      <c r="L826" s="2">
        <v>1</v>
      </c>
      <c r="M826" s="2" t="s">
        <v>41</v>
      </c>
      <c r="N826" s="2">
        <v>9</v>
      </c>
      <c r="O826" s="2">
        <v>73.66</v>
      </c>
      <c r="P826" s="2">
        <f t="shared" si="60"/>
        <v>21</v>
      </c>
      <c r="Q826" s="4">
        <f t="shared" si="61"/>
        <v>0.88068181818181823</v>
      </c>
      <c r="R826" s="2" t="str">
        <f t="shared" si="62"/>
        <v>Inefficient</v>
      </c>
      <c r="S826" s="2" t="str">
        <f t="shared" si="63"/>
        <v>Very Long</v>
      </c>
      <c r="T826" s="2" t="str">
        <f t="shared" si="64"/>
        <v>Minor Delay</v>
      </c>
    </row>
    <row r="827" spans="1:20" x14ac:dyDescent="0.35">
      <c r="A827" s="2" t="s">
        <v>1837</v>
      </c>
      <c r="B827" s="2" t="s">
        <v>16</v>
      </c>
      <c r="C827" s="2" t="s">
        <v>1838</v>
      </c>
      <c r="D827" s="2" t="s">
        <v>44</v>
      </c>
      <c r="E827" s="2" t="s">
        <v>85</v>
      </c>
      <c r="F827" s="2" t="s">
        <v>34</v>
      </c>
      <c r="G827" s="2" t="s">
        <v>254</v>
      </c>
      <c r="H827" s="3">
        <v>45361.822916666664</v>
      </c>
      <c r="I827" s="3">
        <v>45361.902777777781</v>
      </c>
      <c r="J827" s="2">
        <v>96</v>
      </c>
      <c r="K827" s="2">
        <v>115</v>
      </c>
      <c r="L827" s="2">
        <v>1</v>
      </c>
      <c r="M827" s="2" t="s">
        <v>29</v>
      </c>
      <c r="N827" s="2">
        <v>9</v>
      </c>
      <c r="O827" s="2">
        <v>102.95</v>
      </c>
      <c r="P827" s="2">
        <f t="shared" si="60"/>
        <v>19</v>
      </c>
      <c r="Q827" s="4">
        <f t="shared" si="61"/>
        <v>0.83478260869565213</v>
      </c>
      <c r="R827" s="2" t="str">
        <f t="shared" si="62"/>
        <v>Inefficient</v>
      </c>
      <c r="S827" s="2" t="str">
        <f t="shared" si="63"/>
        <v>Long</v>
      </c>
      <c r="T827" s="2" t="str">
        <f t="shared" si="64"/>
        <v>Minor Delay</v>
      </c>
    </row>
    <row r="828" spans="1:20" x14ac:dyDescent="0.35">
      <c r="A828" s="2" t="s">
        <v>1839</v>
      </c>
      <c r="B828" s="2" t="s">
        <v>51</v>
      </c>
      <c r="C828" s="2" t="s">
        <v>1840</v>
      </c>
      <c r="D828" s="2" t="s">
        <v>44</v>
      </c>
      <c r="E828" s="2" t="s">
        <v>85</v>
      </c>
      <c r="F828" s="2" t="s">
        <v>39</v>
      </c>
      <c r="G828" s="2" t="s">
        <v>691</v>
      </c>
      <c r="H828" s="3">
        <v>45610.494444444441</v>
      </c>
      <c r="I828" s="3">
        <v>45610.565972222219</v>
      </c>
      <c r="J828" s="2">
        <v>21</v>
      </c>
      <c r="K828" s="2">
        <v>103</v>
      </c>
      <c r="L828" s="2">
        <v>1</v>
      </c>
      <c r="M828" s="2" t="s">
        <v>22</v>
      </c>
      <c r="N828" s="2">
        <v>2</v>
      </c>
      <c r="O828" s="2">
        <v>490.35</v>
      </c>
      <c r="P828" s="2">
        <f t="shared" si="60"/>
        <v>82</v>
      </c>
      <c r="Q828" s="4">
        <f t="shared" si="61"/>
        <v>0.20388349514563106</v>
      </c>
      <c r="R828" s="2" t="str">
        <f t="shared" si="62"/>
        <v>Inefficient</v>
      </c>
      <c r="S828" s="2" t="str">
        <f t="shared" si="63"/>
        <v>Long</v>
      </c>
      <c r="T828" s="2" t="str">
        <f t="shared" si="64"/>
        <v>Major Delay</v>
      </c>
    </row>
    <row r="829" spans="1:20" x14ac:dyDescent="0.35">
      <c r="A829" s="2" t="s">
        <v>1841</v>
      </c>
      <c r="B829" s="2" t="s">
        <v>16</v>
      </c>
      <c r="C829" s="2" t="s">
        <v>1842</v>
      </c>
      <c r="D829" s="2" t="s">
        <v>44</v>
      </c>
      <c r="E829" s="2" t="s">
        <v>38</v>
      </c>
      <c r="F829" s="2" t="s">
        <v>20</v>
      </c>
      <c r="G829" s="2" t="s">
        <v>173</v>
      </c>
      <c r="H829" s="3">
        <v>45637.393750000003</v>
      </c>
      <c r="I829" s="3">
        <v>45637.462500000001</v>
      </c>
      <c r="J829" s="2">
        <v>93</v>
      </c>
      <c r="K829" s="2">
        <v>99</v>
      </c>
      <c r="L829" s="2">
        <v>1</v>
      </c>
      <c r="M829" s="2" t="s">
        <v>29</v>
      </c>
      <c r="N829" s="2">
        <v>6</v>
      </c>
      <c r="O829" s="2">
        <v>50.79</v>
      </c>
      <c r="P829" s="2">
        <f t="shared" si="60"/>
        <v>6</v>
      </c>
      <c r="Q829" s="4">
        <f t="shared" si="61"/>
        <v>0.93939393939393945</v>
      </c>
      <c r="R829" s="2" t="str">
        <f t="shared" si="62"/>
        <v>Inefficient</v>
      </c>
      <c r="S829" s="2" t="str">
        <f t="shared" si="63"/>
        <v>Long</v>
      </c>
      <c r="T829" s="2" t="str">
        <f t="shared" si="64"/>
        <v>Minor Delay</v>
      </c>
    </row>
    <row r="830" spans="1:20" x14ac:dyDescent="0.35">
      <c r="A830" s="2" t="s">
        <v>1843</v>
      </c>
      <c r="B830" s="2" t="s">
        <v>31</v>
      </c>
      <c r="C830" s="2" t="s">
        <v>1844</v>
      </c>
      <c r="D830" s="2" t="s">
        <v>56</v>
      </c>
      <c r="E830" s="2" t="s">
        <v>33</v>
      </c>
      <c r="F830" s="2" t="s">
        <v>57</v>
      </c>
      <c r="G830" s="2" t="s">
        <v>21</v>
      </c>
      <c r="H830" s="3">
        <v>45629.722916666666</v>
      </c>
      <c r="I830" s="3">
        <v>45629.876388888886</v>
      </c>
      <c r="J830" s="2">
        <v>185</v>
      </c>
      <c r="K830" s="2">
        <v>221</v>
      </c>
      <c r="L830" s="2">
        <v>1</v>
      </c>
      <c r="M830" s="2" t="s">
        <v>22</v>
      </c>
      <c r="N830" s="2">
        <v>8</v>
      </c>
      <c r="O830" s="2">
        <v>403.34</v>
      </c>
      <c r="P830" s="2">
        <f t="shared" si="60"/>
        <v>36</v>
      </c>
      <c r="Q830" s="4">
        <f t="shared" si="61"/>
        <v>0.83710407239819007</v>
      </c>
      <c r="R830" s="2" t="str">
        <f t="shared" si="62"/>
        <v>Inefficient</v>
      </c>
      <c r="S830" s="2" t="str">
        <f t="shared" si="63"/>
        <v>Very Long</v>
      </c>
      <c r="T830" s="2" t="str">
        <f t="shared" si="64"/>
        <v>Major Delay</v>
      </c>
    </row>
    <row r="831" spans="1:20" x14ac:dyDescent="0.35">
      <c r="A831" s="2" t="s">
        <v>1845</v>
      </c>
      <c r="B831" s="2" t="s">
        <v>24</v>
      </c>
      <c r="C831" s="2" t="s">
        <v>1846</v>
      </c>
      <c r="D831" s="2" t="s">
        <v>44</v>
      </c>
      <c r="E831" s="2" t="s">
        <v>19</v>
      </c>
      <c r="F831" s="2" t="s">
        <v>20</v>
      </c>
      <c r="G831" s="2" t="s">
        <v>251</v>
      </c>
      <c r="H831" s="3">
        <v>45459.734722222223</v>
      </c>
      <c r="I831" s="3">
        <v>45459.818749999999</v>
      </c>
      <c r="J831" s="2">
        <v>75</v>
      </c>
      <c r="K831" s="2">
        <v>121</v>
      </c>
      <c r="L831" s="2">
        <v>1</v>
      </c>
      <c r="M831" s="2" t="s">
        <v>22</v>
      </c>
      <c r="N831" s="2">
        <v>2</v>
      </c>
      <c r="O831" s="2">
        <v>159.58000000000001</v>
      </c>
      <c r="P831" s="2">
        <f t="shared" si="60"/>
        <v>46</v>
      </c>
      <c r="Q831" s="4">
        <f t="shared" si="61"/>
        <v>0.6198347107438017</v>
      </c>
      <c r="R831" s="2" t="str">
        <f t="shared" si="62"/>
        <v>Inefficient</v>
      </c>
      <c r="S831" s="2" t="str">
        <f t="shared" si="63"/>
        <v>Very Long</v>
      </c>
      <c r="T831" s="2" t="str">
        <f t="shared" si="64"/>
        <v>Major Delay</v>
      </c>
    </row>
    <row r="832" spans="1:20" x14ac:dyDescent="0.35">
      <c r="A832" s="2" t="s">
        <v>1847</v>
      </c>
      <c r="B832" s="2" t="s">
        <v>63</v>
      </c>
      <c r="C832" s="2" t="s">
        <v>1848</v>
      </c>
      <c r="D832" s="2" t="s">
        <v>26</v>
      </c>
      <c r="E832" s="2" t="s">
        <v>19</v>
      </c>
      <c r="F832" s="2" t="s">
        <v>34</v>
      </c>
      <c r="G832" s="2" t="s">
        <v>234</v>
      </c>
      <c r="H832" s="3">
        <v>45644.96597222222</v>
      </c>
      <c r="I832" s="3">
        <v>45645.090277777781</v>
      </c>
      <c r="J832" s="2">
        <v>81</v>
      </c>
      <c r="K832" s="2">
        <v>179</v>
      </c>
      <c r="L832" s="2">
        <v>1</v>
      </c>
      <c r="M832" s="2" t="s">
        <v>41</v>
      </c>
      <c r="N832" s="2">
        <v>9</v>
      </c>
      <c r="O832" s="2">
        <v>121.82</v>
      </c>
      <c r="P832" s="2">
        <f t="shared" si="60"/>
        <v>98</v>
      </c>
      <c r="Q832" s="4">
        <f t="shared" si="61"/>
        <v>0.45251396648044695</v>
      </c>
      <c r="R832" s="2" t="str">
        <f t="shared" si="62"/>
        <v>Inefficient</v>
      </c>
      <c r="S832" s="2" t="str">
        <f t="shared" si="63"/>
        <v>Very Long</v>
      </c>
      <c r="T832" s="2" t="str">
        <f t="shared" si="64"/>
        <v>Major Delay</v>
      </c>
    </row>
    <row r="833" spans="1:20" x14ac:dyDescent="0.35">
      <c r="A833" s="2" t="s">
        <v>1849</v>
      </c>
      <c r="B833" s="2" t="s">
        <v>63</v>
      </c>
      <c r="C833" s="2" t="s">
        <v>1850</v>
      </c>
      <c r="D833" s="2" t="s">
        <v>44</v>
      </c>
      <c r="E833" s="2" t="s">
        <v>38</v>
      </c>
      <c r="F833" s="2" t="s">
        <v>34</v>
      </c>
      <c r="G833" s="2" t="s">
        <v>65</v>
      </c>
      <c r="H833" s="3">
        <v>45630.804861111108</v>
      </c>
      <c r="I833" s="3">
        <v>45630.910416666666</v>
      </c>
      <c r="J833" s="2">
        <v>120</v>
      </c>
      <c r="K833" s="2">
        <v>152</v>
      </c>
      <c r="L833" s="2">
        <v>1</v>
      </c>
      <c r="M833" s="2" t="s">
        <v>22</v>
      </c>
      <c r="N833" s="2">
        <v>4</v>
      </c>
      <c r="O833" s="2">
        <v>372.24</v>
      </c>
      <c r="P833" s="2">
        <f t="shared" si="60"/>
        <v>32</v>
      </c>
      <c r="Q833" s="4">
        <f t="shared" si="61"/>
        <v>0.78947368421052633</v>
      </c>
      <c r="R833" s="2" t="str">
        <f t="shared" si="62"/>
        <v>Inefficient</v>
      </c>
      <c r="S833" s="2" t="str">
        <f t="shared" si="63"/>
        <v>Very Long</v>
      </c>
      <c r="T833" s="2" t="str">
        <f t="shared" si="64"/>
        <v>Major Delay</v>
      </c>
    </row>
    <row r="834" spans="1:20" x14ac:dyDescent="0.35">
      <c r="A834" s="2" t="s">
        <v>1851</v>
      </c>
      <c r="B834" s="2" t="s">
        <v>63</v>
      </c>
      <c r="C834" s="2" t="s">
        <v>1852</v>
      </c>
      <c r="D834" s="2" t="s">
        <v>18</v>
      </c>
      <c r="E834" s="2" t="s">
        <v>19</v>
      </c>
      <c r="F834" s="2" t="s">
        <v>27</v>
      </c>
      <c r="G834" s="2" t="s">
        <v>293</v>
      </c>
      <c r="H834" s="3">
        <v>45420.01666666667</v>
      </c>
      <c r="I834" s="3">
        <v>45420.057638888888</v>
      </c>
      <c r="J834" s="2">
        <v>42</v>
      </c>
      <c r="K834" s="2">
        <v>59</v>
      </c>
      <c r="L834" s="2">
        <v>1</v>
      </c>
      <c r="M834" s="2" t="s">
        <v>29</v>
      </c>
      <c r="N834" s="2">
        <v>4</v>
      </c>
      <c r="O834" s="2">
        <v>178.8</v>
      </c>
      <c r="P834" s="2">
        <f t="shared" si="60"/>
        <v>17</v>
      </c>
      <c r="Q834" s="4">
        <f t="shared" si="61"/>
        <v>0.71186440677966101</v>
      </c>
      <c r="R834" s="2" t="str">
        <f t="shared" si="62"/>
        <v>Inefficient</v>
      </c>
      <c r="S834" s="2" t="str">
        <f t="shared" si="63"/>
        <v>Medium</v>
      </c>
      <c r="T834" s="2" t="str">
        <f t="shared" si="64"/>
        <v>Minor Delay</v>
      </c>
    </row>
    <row r="835" spans="1:20" x14ac:dyDescent="0.35">
      <c r="A835" s="2" t="s">
        <v>1853</v>
      </c>
      <c r="B835" s="2" t="s">
        <v>16</v>
      </c>
      <c r="C835" s="2" t="s">
        <v>1854</v>
      </c>
      <c r="D835" s="2" t="s">
        <v>56</v>
      </c>
      <c r="E835" s="2" t="s">
        <v>38</v>
      </c>
      <c r="F835" s="2" t="s">
        <v>27</v>
      </c>
      <c r="G835" s="2" t="s">
        <v>164</v>
      </c>
      <c r="H835" s="3">
        <v>45631.631249999999</v>
      </c>
      <c r="I835" s="3">
        <v>45631.800694444442</v>
      </c>
      <c r="J835" s="2">
        <v>185</v>
      </c>
      <c r="K835" s="2">
        <v>244</v>
      </c>
      <c r="L835" s="2">
        <v>1</v>
      </c>
      <c r="M835" s="2" t="s">
        <v>41</v>
      </c>
      <c r="N835" s="2">
        <v>6</v>
      </c>
      <c r="O835" s="2">
        <v>90.78</v>
      </c>
      <c r="P835" s="2">
        <f t="shared" ref="P835:P898" si="65">K835-J835</f>
        <v>59</v>
      </c>
      <c r="Q835" s="4">
        <f t="shared" ref="Q835:Q898" si="66">J835/K835</f>
        <v>0.75819672131147542</v>
      </c>
      <c r="R835" s="2" t="str">
        <f t="shared" ref="R835:R898" si="67">IF(Q835&gt;1,"Efficient",
IF(Q835=1,"On Target","Inefficient"))</f>
        <v>Inefficient</v>
      </c>
      <c r="S835" s="2" t="str">
        <f t="shared" ref="S835:S898" si="68">IF(K835&lt;30,"Short",
IF(K835&lt;60,"Medium",
IF(K835&lt;120,"Long","Very Long")))</f>
        <v>Very Long</v>
      </c>
      <c r="T835" s="2" t="str">
        <f t="shared" ref="T835:T898" si="69">IF(K835&lt;=J835,"On Time",
IF(K835-J835&lt;=30,"Minor Delay","Major Delay"))</f>
        <v>Major Delay</v>
      </c>
    </row>
    <row r="836" spans="1:20" x14ac:dyDescent="0.35">
      <c r="A836" s="2" t="s">
        <v>1855</v>
      </c>
      <c r="B836" s="2" t="s">
        <v>51</v>
      </c>
      <c r="C836" s="2" t="s">
        <v>1856</v>
      </c>
      <c r="D836" s="2" t="s">
        <v>48</v>
      </c>
      <c r="E836" s="2" t="s">
        <v>19</v>
      </c>
      <c r="F836" s="2" t="s">
        <v>34</v>
      </c>
      <c r="G836" s="2" t="s">
        <v>213</v>
      </c>
      <c r="H836" s="3">
        <v>45388.756249999999</v>
      </c>
      <c r="I836" s="3">
        <v>45388.820138888892</v>
      </c>
      <c r="J836" s="2">
        <v>89</v>
      </c>
      <c r="K836" s="2">
        <v>92</v>
      </c>
      <c r="L836" s="2">
        <v>1</v>
      </c>
      <c r="M836" s="2" t="s">
        <v>29</v>
      </c>
      <c r="N836" s="2">
        <v>3</v>
      </c>
      <c r="O836" s="2">
        <v>223.34</v>
      </c>
      <c r="P836" s="2">
        <f t="shared" si="65"/>
        <v>3</v>
      </c>
      <c r="Q836" s="4">
        <f t="shared" si="66"/>
        <v>0.96739130434782605</v>
      </c>
      <c r="R836" s="2" t="str">
        <f t="shared" si="67"/>
        <v>Inefficient</v>
      </c>
      <c r="S836" s="2" t="str">
        <f t="shared" si="68"/>
        <v>Long</v>
      </c>
      <c r="T836" s="2" t="str">
        <f t="shared" si="69"/>
        <v>Minor Delay</v>
      </c>
    </row>
    <row r="837" spans="1:20" x14ac:dyDescent="0.35">
      <c r="A837" s="2" t="s">
        <v>1857</v>
      </c>
      <c r="B837" s="2" t="s">
        <v>16</v>
      </c>
      <c r="C837" s="2" t="s">
        <v>1858</v>
      </c>
      <c r="D837" s="2" t="s">
        <v>56</v>
      </c>
      <c r="E837" s="2" t="s">
        <v>38</v>
      </c>
      <c r="F837" s="2" t="s">
        <v>27</v>
      </c>
      <c r="G837" s="2" t="s">
        <v>1719</v>
      </c>
      <c r="H837" s="3">
        <v>45534.461111111108</v>
      </c>
      <c r="I837" s="3">
        <v>45534.625</v>
      </c>
      <c r="J837" s="2">
        <v>182</v>
      </c>
      <c r="K837" s="2">
        <v>236</v>
      </c>
      <c r="L837" s="2">
        <v>1</v>
      </c>
      <c r="M837" s="2" t="s">
        <v>41</v>
      </c>
      <c r="N837" s="2">
        <v>4</v>
      </c>
      <c r="O837" s="2">
        <v>360.01</v>
      </c>
      <c r="P837" s="2">
        <f t="shared" si="65"/>
        <v>54</v>
      </c>
      <c r="Q837" s="4">
        <f t="shared" si="66"/>
        <v>0.77118644067796616</v>
      </c>
      <c r="R837" s="2" t="str">
        <f t="shared" si="67"/>
        <v>Inefficient</v>
      </c>
      <c r="S837" s="2" t="str">
        <f t="shared" si="68"/>
        <v>Very Long</v>
      </c>
      <c r="T837" s="2" t="str">
        <f t="shared" si="69"/>
        <v>Major Delay</v>
      </c>
    </row>
    <row r="838" spans="1:20" x14ac:dyDescent="0.35">
      <c r="A838" s="2" t="s">
        <v>1859</v>
      </c>
      <c r="B838" s="2" t="s">
        <v>63</v>
      </c>
      <c r="C838" s="2" t="s">
        <v>1860</v>
      </c>
      <c r="D838" s="2" t="s">
        <v>18</v>
      </c>
      <c r="E838" s="2" t="s">
        <v>85</v>
      </c>
      <c r="F838" s="2" t="s">
        <v>34</v>
      </c>
      <c r="G838" s="2" t="s">
        <v>173</v>
      </c>
      <c r="H838" s="3">
        <v>45549.931944444441</v>
      </c>
      <c r="I838" s="3">
        <v>45550.084722222222</v>
      </c>
      <c r="J838" s="2">
        <v>116</v>
      </c>
      <c r="K838" s="2">
        <v>220</v>
      </c>
      <c r="L838" s="2">
        <v>1</v>
      </c>
      <c r="M838" s="2" t="s">
        <v>29</v>
      </c>
      <c r="N838" s="2">
        <v>6</v>
      </c>
      <c r="O838" s="2">
        <v>343.4</v>
      </c>
      <c r="P838" s="2">
        <f t="shared" si="65"/>
        <v>104</v>
      </c>
      <c r="Q838" s="4">
        <f t="shared" si="66"/>
        <v>0.52727272727272723</v>
      </c>
      <c r="R838" s="2" t="str">
        <f t="shared" si="67"/>
        <v>Inefficient</v>
      </c>
      <c r="S838" s="2" t="str">
        <f t="shared" si="68"/>
        <v>Very Long</v>
      </c>
      <c r="T838" s="2" t="str">
        <f t="shared" si="69"/>
        <v>Major Delay</v>
      </c>
    </row>
    <row r="839" spans="1:20" x14ac:dyDescent="0.35">
      <c r="A839" s="2" t="s">
        <v>1861</v>
      </c>
      <c r="B839" s="2" t="s">
        <v>63</v>
      </c>
      <c r="C839" s="2" t="s">
        <v>1862</v>
      </c>
      <c r="D839" s="2" t="s">
        <v>56</v>
      </c>
      <c r="E839" s="2" t="s">
        <v>33</v>
      </c>
      <c r="F839" s="2" t="s">
        <v>27</v>
      </c>
      <c r="G839" s="2" t="s">
        <v>1413</v>
      </c>
      <c r="H839" s="3">
        <v>45547.209722222222</v>
      </c>
      <c r="I839" s="3">
        <v>45547.388194444444</v>
      </c>
      <c r="J839" s="2">
        <v>156</v>
      </c>
      <c r="K839" s="2">
        <v>257</v>
      </c>
      <c r="L839" s="2">
        <v>1</v>
      </c>
      <c r="M839" s="2" t="s">
        <v>22</v>
      </c>
      <c r="N839" s="2">
        <v>7</v>
      </c>
      <c r="O839" s="2">
        <v>89.39</v>
      </c>
      <c r="P839" s="2">
        <f t="shared" si="65"/>
        <v>101</v>
      </c>
      <c r="Q839" s="4">
        <f t="shared" si="66"/>
        <v>0.60700389105058361</v>
      </c>
      <c r="R839" s="2" t="str">
        <f t="shared" si="67"/>
        <v>Inefficient</v>
      </c>
      <c r="S839" s="2" t="str">
        <f t="shared" si="68"/>
        <v>Very Long</v>
      </c>
      <c r="T839" s="2" t="str">
        <f t="shared" si="69"/>
        <v>Major Delay</v>
      </c>
    </row>
    <row r="840" spans="1:20" x14ac:dyDescent="0.35">
      <c r="A840" s="2" t="s">
        <v>1863</v>
      </c>
      <c r="B840" s="2" t="s">
        <v>31</v>
      </c>
      <c r="C840" s="2" t="s">
        <v>1864</v>
      </c>
      <c r="D840" s="2" t="s">
        <v>44</v>
      </c>
      <c r="E840" s="2" t="s">
        <v>19</v>
      </c>
      <c r="F840" s="2" t="s">
        <v>39</v>
      </c>
      <c r="G840" s="2" t="s">
        <v>265</v>
      </c>
      <c r="H840" s="3">
        <v>45486.824999999997</v>
      </c>
      <c r="I840" s="3">
        <v>45486.863888888889</v>
      </c>
      <c r="J840" s="2">
        <v>32</v>
      </c>
      <c r="K840" s="2">
        <v>56</v>
      </c>
      <c r="L840" s="2">
        <v>1</v>
      </c>
      <c r="M840" s="2" t="s">
        <v>29</v>
      </c>
      <c r="N840" s="2">
        <v>8</v>
      </c>
      <c r="O840" s="2">
        <v>123.36</v>
      </c>
      <c r="P840" s="2">
        <f t="shared" si="65"/>
        <v>24</v>
      </c>
      <c r="Q840" s="4">
        <f t="shared" si="66"/>
        <v>0.5714285714285714</v>
      </c>
      <c r="R840" s="2" t="str">
        <f t="shared" si="67"/>
        <v>Inefficient</v>
      </c>
      <c r="S840" s="2" t="str">
        <f t="shared" si="68"/>
        <v>Medium</v>
      </c>
      <c r="T840" s="2" t="str">
        <f t="shared" si="69"/>
        <v>Minor Delay</v>
      </c>
    </row>
    <row r="841" spans="1:20" x14ac:dyDescent="0.35">
      <c r="A841" s="2" t="s">
        <v>1865</v>
      </c>
      <c r="B841" s="2" t="s">
        <v>24</v>
      </c>
      <c r="C841" s="2" t="s">
        <v>1866</v>
      </c>
      <c r="D841" s="2" t="s">
        <v>56</v>
      </c>
      <c r="E841" s="2" t="s">
        <v>19</v>
      </c>
      <c r="F841" s="2" t="s">
        <v>27</v>
      </c>
      <c r="G841" s="2" t="s">
        <v>234</v>
      </c>
      <c r="H841" s="3">
        <v>45547.029861111114</v>
      </c>
      <c r="I841" s="3">
        <v>45547.175000000003</v>
      </c>
      <c r="J841" s="2">
        <v>152</v>
      </c>
      <c r="K841" s="2">
        <v>209</v>
      </c>
      <c r="L841" s="2">
        <v>1</v>
      </c>
      <c r="M841" s="2" t="s">
        <v>22</v>
      </c>
      <c r="N841" s="2">
        <v>10</v>
      </c>
      <c r="O841" s="2">
        <v>333.07</v>
      </c>
      <c r="P841" s="2">
        <f t="shared" si="65"/>
        <v>57</v>
      </c>
      <c r="Q841" s="4">
        <f t="shared" si="66"/>
        <v>0.72727272727272729</v>
      </c>
      <c r="R841" s="2" t="str">
        <f t="shared" si="67"/>
        <v>Inefficient</v>
      </c>
      <c r="S841" s="2" t="str">
        <f t="shared" si="68"/>
        <v>Very Long</v>
      </c>
      <c r="T841" s="2" t="str">
        <f t="shared" si="69"/>
        <v>Major Delay</v>
      </c>
    </row>
    <row r="842" spans="1:20" x14ac:dyDescent="0.35">
      <c r="A842" s="2" t="s">
        <v>1867</v>
      </c>
      <c r="B842" s="2" t="s">
        <v>63</v>
      </c>
      <c r="C842" s="2" t="s">
        <v>1868</v>
      </c>
      <c r="D842" s="2" t="s">
        <v>18</v>
      </c>
      <c r="E842" s="2" t="s">
        <v>33</v>
      </c>
      <c r="F842" s="2" t="s">
        <v>27</v>
      </c>
      <c r="G842" s="2" t="s">
        <v>430</v>
      </c>
      <c r="H842" s="3">
        <v>45529.219444444447</v>
      </c>
      <c r="I842" s="3">
        <v>45529.380555555559</v>
      </c>
      <c r="J842" s="2">
        <v>172</v>
      </c>
      <c r="K842" s="2">
        <v>232</v>
      </c>
      <c r="L842" s="2">
        <v>1</v>
      </c>
      <c r="M842" s="2" t="s">
        <v>29</v>
      </c>
      <c r="N842" s="2">
        <v>9</v>
      </c>
      <c r="O842" s="2">
        <v>150</v>
      </c>
      <c r="P842" s="2">
        <f t="shared" si="65"/>
        <v>60</v>
      </c>
      <c r="Q842" s="4">
        <f t="shared" si="66"/>
        <v>0.74137931034482762</v>
      </c>
      <c r="R842" s="2" t="str">
        <f t="shared" si="67"/>
        <v>Inefficient</v>
      </c>
      <c r="S842" s="2" t="str">
        <f t="shared" si="68"/>
        <v>Very Long</v>
      </c>
      <c r="T842" s="2" t="str">
        <f t="shared" si="69"/>
        <v>Major Delay</v>
      </c>
    </row>
    <row r="843" spans="1:20" x14ac:dyDescent="0.35">
      <c r="A843" s="2" t="s">
        <v>1869</v>
      </c>
      <c r="B843" s="2" t="s">
        <v>51</v>
      </c>
      <c r="C843" s="2" t="s">
        <v>1870</v>
      </c>
      <c r="D843" s="2" t="s">
        <v>56</v>
      </c>
      <c r="E843" s="2" t="s">
        <v>85</v>
      </c>
      <c r="F843" s="2" t="s">
        <v>34</v>
      </c>
      <c r="G843" s="2" t="s">
        <v>456</v>
      </c>
      <c r="H843" s="3">
        <v>45408.825694444444</v>
      </c>
      <c r="I843" s="3">
        <v>45408.877083333333</v>
      </c>
      <c r="J843" s="2">
        <v>63</v>
      </c>
      <c r="K843" s="2">
        <v>74</v>
      </c>
      <c r="L843" s="2">
        <v>1</v>
      </c>
      <c r="M843" s="2" t="s">
        <v>29</v>
      </c>
      <c r="N843" s="2">
        <v>6</v>
      </c>
      <c r="O843" s="2">
        <v>69.63</v>
      </c>
      <c r="P843" s="2">
        <f t="shared" si="65"/>
        <v>11</v>
      </c>
      <c r="Q843" s="4">
        <f t="shared" si="66"/>
        <v>0.85135135135135132</v>
      </c>
      <c r="R843" s="2" t="str">
        <f t="shared" si="67"/>
        <v>Inefficient</v>
      </c>
      <c r="S843" s="2" t="str">
        <f t="shared" si="68"/>
        <v>Long</v>
      </c>
      <c r="T843" s="2" t="str">
        <f t="shared" si="69"/>
        <v>Minor Delay</v>
      </c>
    </row>
    <row r="844" spans="1:20" x14ac:dyDescent="0.35">
      <c r="A844" s="2" t="s">
        <v>1871</v>
      </c>
      <c r="B844" s="2" t="s">
        <v>24</v>
      </c>
      <c r="C844" s="2" t="s">
        <v>1872</v>
      </c>
      <c r="D844" s="2" t="s">
        <v>26</v>
      </c>
      <c r="E844" s="2" t="s">
        <v>19</v>
      </c>
      <c r="F844" s="2" t="s">
        <v>57</v>
      </c>
      <c r="G844" s="2" t="s">
        <v>100</v>
      </c>
      <c r="H844" s="3">
        <v>45322.238888888889</v>
      </c>
      <c r="I844" s="3">
        <v>45322.32708333333</v>
      </c>
      <c r="J844" s="2">
        <v>99</v>
      </c>
      <c r="K844" s="2">
        <v>127</v>
      </c>
      <c r="L844" s="2">
        <v>1</v>
      </c>
      <c r="M844" s="2" t="s">
        <v>41</v>
      </c>
      <c r="N844" s="2">
        <v>8</v>
      </c>
      <c r="O844" s="2">
        <v>167.28</v>
      </c>
      <c r="P844" s="2">
        <f t="shared" si="65"/>
        <v>28</v>
      </c>
      <c r="Q844" s="4">
        <f t="shared" si="66"/>
        <v>0.77952755905511806</v>
      </c>
      <c r="R844" s="2" t="str">
        <f t="shared" si="67"/>
        <v>Inefficient</v>
      </c>
      <c r="S844" s="2" t="str">
        <f t="shared" si="68"/>
        <v>Very Long</v>
      </c>
      <c r="T844" s="2" t="str">
        <f t="shared" si="69"/>
        <v>Minor Delay</v>
      </c>
    </row>
    <row r="845" spans="1:20" x14ac:dyDescent="0.35">
      <c r="A845" s="2" t="s">
        <v>1873</v>
      </c>
      <c r="B845" s="2" t="s">
        <v>63</v>
      </c>
      <c r="C845" s="2" t="s">
        <v>1874</v>
      </c>
      <c r="D845" s="2" t="s">
        <v>44</v>
      </c>
      <c r="E845" s="2" t="s">
        <v>19</v>
      </c>
      <c r="F845" s="2" t="s">
        <v>57</v>
      </c>
      <c r="G845" s="2" t="s">
        <v>288</v>
      </c>
      <c r="H845" s="3">
        <v>45328.226388888892</v>
      </c>
      <c r="I845" s="3">
        <v>45328.382638888892</v>
      </c>
      <c r="J845" s="2">
        <v>116</v>
      </c>
      <c r="K845" s="2">
        <v>225</v>
      </c>
      <c r="L845" s="2">
        <v>1</v>
      </c>
      <c r="M845" s="2" t="s">
        <v>22</v>
      </c>
      <c r="N845" s="2">
        <v>10</v>
      </c>
      <c r="O845" s="2">
        <v>93.24</v>
      </c>
      <c r="P845" s="2">
        <f t="shared" si="65"/>
        <v>109</v>
      </c>
      <c r="Q845" s="4">
        <f t="shared" si="66"/>
        <v>0.51555555555555554</v>
      </c>
      <c r="R845" s="2" t="str">
        <f t="shared" si="67"/>
        <v>Inefficient</v>
      </c>
      <c r="S845" s="2" t="str">
        <f t="shared" si="68"/>
        <v>Very Long</v>
      </c>
      <c r="T845" s="2" t="str">
        <f t="shared" si="69"/>
        <v>Major Delay</v>
      </c>
    </row>
    <row r="846" spans="1:20" x14ac:dyDescent="0.35">
      <c r="A846" s="2" t="s">
        <v>1875</v>
      </c>
      <c r="B846" s="2" t="s">
        <v>24</v>
      </c>
      <c r="C846" s="2" t="s">
        <v>1876</v>
      </c>
      <c r="D846" s="2" t="s">
        <v>44</v>
      </c>
      <c r="E846" s="2" t="s">
        <v>85</v>
      </c>
      <c r="F846" s="2" t="s">
        <v>20</v>
      </c>
      <c r="G846" s="2" t="s">
        <v>505</v>
      </c>
      <c r="H846" s="3">
        <v>45373.535416666666</v>
      </c>
      <c r="I846" s="3">
        <v>45373.611805555556</v>
      </c>
      <c r="J846" s="2">
        <v>64</v>
      </c>
      <c r="K846" s="2">
        <v>110</v>
      </c>
      <c r="L846" s="2">
        <v>1</v>
      </c>
      <c r="M846" s="2" t="s">
        <v>41</v>
      </c>
      <c r="N846" s="2">
        <v>5</v>
      </c>
      <c r="O846" s="2">
        <v>151.99</v>
      </c>
      <c r="P846" s="2">
        <f t="shared" si="65"/>
        <v>46</v>
      </c>
      <c r="Q846" s="4">
        <f t="shared" si="66"/>
        <v>0.58181818181818179</v>
      </c>
      <c r="R846" s="2" t="str">
        <f t="shared" si="67"/>
        <v>Inefficient</v>
      </c>
      <c r="S846" s="2" t="str">
        <f t="shared" si="68"/>
        <v>Long</v>
      </c>
      <c r="T846" s="2" t="str">
        <f t="shared" si="69"/>
        <v>Major Delay</v>
      </c>
    </row>
    <row r="847" spans="1:20" x14ac:dyDescent="0.35">
      <c r="A847" s="2" t="s">
        <v>1877</v>
      </c>
      <c r="B847" s="2" t="s">
        <v>24</v>
      </c>
      <c r="C847" s="2" t="s">
        <v>1878</v>
      </c>
      <c r="D847" s="2" t="s">
        <v>56</v>
      </c>
      <c r="E847" s="2" t="s">
        <v>33</v>
      </c>
      <c r="F847" s="2" t="s">
        <v>34</v>
      </c>
      <c r="G847" s="2" t="s">
        <v>45</v>
      </c>
      <c r="H847" s="3">
        <v>45568.75277777778</v>
      </c>
      <c r="I847" s="3">
        <v>45568.931944444441</v>
      </c>
      <c r="J847" s="2">
        <v>151</v>
      </c>
      <c r="K847" s="2">
        <v>258</v>
      </c>
      <c r="L847" s="2">
        <v>1</v>
      </c>
      <c r="M847" s="2" t="s">
        <v>41</v>
      </c>
      <c r="N847" s="2">
        <v>3</v>
      </c>
      <c r="O847" s="2">
        <v>403.29</v>
      </c>
      <c r="P847" s="2">
        <f t="shared" si="65"/>
        <v>107</v>
      </c>
      <c r="Q847" s="4">
        <f t="shared" si="66"/>
        <v>0.5852713178294574</v>
      </c>
      <c r="R847" s="2" t="str">
        <f t="shared" si="67"/>
        <v>Inefficient</v>
      </c>
      <c r="S847" s="2" t="str">
        <f t="shared" si="68"/>
        <v>Very Long</v>
      </c>
      <c r="T847" s="2" t="str">
        <f t="shared" si="69"/>
        <v>Major Delay</v>
      </c>
    </row>
    <row r="848" spans="1:20" x14ac:dyDescent="0.35">
      <c r="A848" s="2" t="s">
        <v>1879</v>
      </c>
      <c r="B848" s="2" t="s">
        <v>51</v>
      </c>
      <c r="C848" s="2" t="s">
        <v>1880</v>
      </c>
      <c r="D848" s="2" t="s">
        <v>56</v>
      </c>
      <c r="E848" s="2" t="s">
        <v>38</v>
      </c>
      <c r="F848" s="2" t="s">
        <v>39</v>
      </c>
      <c r="G848" s="2" t="s">
        <v>167</v>
      </c>
      <c r="H848" s="3">
        <v>45553.640277777777</v>
      </c>
      <c r="I848" s="3">
        <v>45553.854861111111</v>
      </c>
      <c r="J848" s="2">
        <v>236</v>
      </c>
      <c r="K848" s="2">
        <v>309</v>
      </c>
      <c r="L848" s="2">
        <v>1</v>
      </c>
      <c r="M848" s="2" t="s">
        <v>41</v>
      </c>
      <c r="N848" s="2">
        <v>2</v>
      </c>
      <c r="O848" s="2">
        <v>299.01</v>
      </c>
      <c r="P848" s="2">
        <f t="shared" si="65"/>
        <v>73</v>
      </c>
      <c r="Q848" s="4">
        <f t="shared" si="66"/>
        <v>0.7637540453074434</v>
      </c>
      <c r="R848" s="2" t="str">
        <f t="shared" si="67"/>
        <v>Inefficient</v>
      </c>
      <c r="S848" s="2" t="str">
        <f t="shared" si="68"/>
        <v>Very Long</v>
      </c>
      <c r="T848" s="2" t="str">
        <f t="shared" si="69"/>
        <v>Major Delay</v>
      </c>
    </row>
    <row r="849" spans="1:20" x14ac:dyDescent="0.35">
      <c r="A849" s="2" t="s">
        <v>1881</v>
      </c>
      <c r="B849" s="2" t="s">
        <v>51</v>
      </c>
      <c r="C849" s="2" t="s">
        <v>1882</v>
      </c>
      <c r="D849" s="2" t="s">
        <v>18</v>
      </c>
      <c r="E849" s="2" t="s">
        <v>85</v>
      </c>
      <c r="F849" s="2" t="s">
        <v>34</v>
      </c>
      <c r="G849" s="2" t="s">
        <v>397</v>
      </c>
      <c r="H849" s="3">
        <v>45599.193749999999</v>
      </c>
      <c r="I849" s="3">
        <v>45599.327777777777</v>
      </c>
      <c r="J849" s="2">
        <v>101</v>
      </c>
      <c r="K849" s="2">
        <v>193</v>
      </c>
      <c r="L849" s="2">
        <v>1</v>
      </c>
      <c r="M849" s="2" t="s">
        <v>22</v>
      </c>
      <c r="N849" s="2">
        <v>6</v>
      </c>
      <c r="O849" s="2">
        <v>399.8</v>
      </c>
      <c r="P849" s="2">
        <f t="shared" si="65"/>
        <v>92</v>
      </c>
      <c r="Q849" s="4">
        <f t="shared" si="66"/>
        <v>0.52331606217616577</v>
      </c>
      <c r="R849" s="2" t="str">
        <f t="shared" si="67"/>
        <v>Inefficient</v>
      </c>
      <c r="S849" s="2" t="str">
        <f t="shared" si="68"/>
        <v>Very Long</v>
      </c>
      <c r="T849" s="2" t="str">
        <f t="shared" si="69"/>
        <v>Major Delay</v>
      </c>
    </row>
    <row r="850" spans="1:20" x14ac:dyDescent="0.35">
      <c r="A850" s="2" t="s">
        <v>1883</v>
      </c>
      <c r="B850" s="2" t="s">
        <v>16</v>
      </c>
      <c r="C850" s="2" t="s">
        <v>1884</v>
      </c>
      <c r="D850" s="2" t="s">
        <v>26</v>
      </c>
      <c r="E850" s="2" t="s">
        <v>33</v>
      </c>
      <c r="F850" s="2" t="s">
        <v>34</v>
      </c>
      <c r="G850" s="2" t="s">
        <v>359</v>
      </c>
      <c r="H850" s="3">
        <v>45573.191666666666</v>
      </c>
      <c r="I850" s="3">
        <v>45573.341666666667</v>
      </c>
      <c r="J850" s="2">
        <v>186</v>
      </c>
      <c r="K850" s="2">
        <v>216</v>
      </c>
      <c r="L850" s="2">
        <v>1</v>
      </c>
      <c r="M850" s="2" t="s">
        <v>22</v>
      </c>
      <c r="N850" s="2">
        <v>3</v>
      </c>
      <c r="O850" s="2">
        <v>90.77</v>
      </c>
      <c r="P850" s="2">
        <f t="shared" si="65"/>
        <v>30</v>
      </c>
      <c r="Q850" s="4">
        <f t="shared" si="66"/>
        <v>0.86111111111111116</v>
      </c>
      <c r="R850" s="2" t="str">
        <f t="shared" si="67"/>
        <v>Inefficient</v>
      </c>
      <c r="S850" s="2" t="str">
        <f t="shared" si="68"/>
        <v>Very Long</v>
      </c>
      <c r="T850" s="2" t="str">
        <f t="shared" si="69"/>
        <v>Minor Delay</v>
      </c>
    </row>
    <row r="851" spans="1:20" x14ac:dyDescent="0.35">
      <c r="A851" s="2" t="s">
        <v>1885</v>
      </c>
      <c r="B851" s="2" t="s">
        <v>63</v>
      </c>
      <c r="C851" s="2" t="s">
        <v>1886</v>
      </c>
      <c r="D851" s="2" t="s">
        <v>56</v>
      </c>
      <c r="E851" s="2" t="s">
        <v>38</v>
      </c>
      <c r="F851" s="2" t="s">
        <v>20</v>
      </c>
      <c r="G851" s="2" t="s">
        <v>817</v>
      </c>
      <c r="H851" s="3">
        <v>45464.788888888892</v>
      </c>
      <c r="I851" s="3">
        <v>45464.909722222219</v>
      </c>
      <c r="J851" s="2">
        <v>114</v>
      </c>
      <c r="K851" s="2">
        <v>174</v>
      </c>
      <c r="L851" s="2">
        <v>1</v>
      </c>
      <c r="M851" s="2" t="s">
        <v>29</v>
      </c>
      <c r="N851" s="2">
        <v>6</v>
      </c>
      <c r="O851" s="2">
        <v>148.62</v>
      </c>
      <c r="P851" s="2">
        <f t="shared" si="65"/>
        <v>60</v>
      </c>
      <c r="Q851" s="4">
        <f t="shared" si="66"/>
        <v>0.65517241379310343</v>
      </c>
      <c r="R851" s="2" t="str">
        <f t="shared" si="67"/>
        <v>Inefficient</v>
      </c>
      <c r="S851" s="2" t="str">
        <f t="shared" si="68"/>
        <v>Very Long</v>
      </c>
      <c r="T851" s="2" t="str">
        <f t="shared" si="69"/>
        <v>Major Delay</v>
      </c>
    </row>
    <row r="852" spans="1:20" x14ac:dyDescent="0.35">
      <c r="A852" s="2" t="s">
        <v>1887</v>
      </c>
      <c r="B852" s="2" t="s">
        <v>51</v>
      </c>
      <c r="C852" s="2" t="s">
        <v>1888</v>
      </c>
      <c r="D852" s="2" t="s">
        <v>26</v>
      </c>
      <c r="E852" s="2" t="s">
        <v>85</v>
      </c>
      <c r="F852" s="2" t="s">
        <v>27</v>
      </c>
      <c r="G852" s="2" t="s">
        <v>308</v>
      </c>
      <c r="H852" s="3">
        <v>45560.729166666664</v>
      </c>
      <c r="I852" s="3">
        <v>45560.883333333331</v>
      </c>
      <c r="J852" s="2">
        <v>126</v>
      </c>
      <c r="K852" s="2">
        <v>222</v>
      </c>
      <c r="L852" s="2">
        <v>1</v>
      </c>
      <c r="M852" s="2" t="s">
        <v>29</v>
      </c>
      <c r="N852" s="2">
        <v>3</v>
      </c>
      <c r="O852" s="2">
        <v>154.78</v>
      </c>
      <c r="P852" s="2">
        <f t="shared" si="65"/>
        <v>96</v>
      </c>
      <c r="Q852" s="4">
        <f t="shared" si="66"/>
        <v>0.56756756756756754</v>
      </c>
      <c r="R852" s="2" t="str">
        <f t="shared" si="67"/>
        <v>Inefficient</v>
      </c>
      <c r="S852" s="2" t="str">
        <f t="shared" si="68"/>
        <v>Very Long</v>
      </c>
      <c r="T852" s="2" t="str">
        <f t="shared" si="69"/>
        <v>Major Delay</v>
      </c>
    </row>
    <row r="853" spans="1:20" x14ac:dyDescent="0.35">
      <c r="A853" s="2" t="s">
        <v>1889</v>
      </c>
      <c r="B853" s="2" t="s">
        <v>51</v>
      </c>
      <c r="C853" s="2" t="s">
        <v>1890</v>
      </c>
      <c r="D853" s="2" t="s">
        <v>26</v>
      </c>
      <c r="E853" s="2" t="s">
        <v>33</v>
      </c>
      <c r="F853" s="2" t="s">
        <v>39</v>
      </c>
      <c r="G853" s="2" t="s">
        <v>137</v>
      </c>
      <c r="H853" s="3">
        <v>45488.929166666669</v>
      </c>
      <c r="I853" s="3">
        <v>45488.992361111108</v>
      </c>
      <c r="J853" s="2">
        <v>77</v>
      </c>
      <c r="K853" s="2">
        <v>91</v>
      </c>
      <c r="L853" s="2">
        <v>1</v>
      </c>
      <c r="M853" s="2" t="s">
        <v>22</v>
      </c>
      <c r="N853" s="2">
        <v>6</v>
      </c>
      <c r="O853" s="2">
        <v>374.51</v>
      </c>
      <c r="P853" s="2">
        <f t="shared" si="65"/>
        <v>14</v>
      </c>
      <c r="Q853" s="4">
        <f t="shared" si="66"/>
        <v>0.84615384615384615</v>
      </c>
      <c r="R853" s="2" t="str">
        <f t="shared" si="67"/>
        <v>Inefficient</v>
      </c>
      <c r="S853" s="2" t="str">
        <f t="shared" si="68"/>
        <v>Long</v>
      </c>
      <c r="T853" s="2" t="str">
        <f t="shared" si="69"/>
        <v>Minor Delay</v>
      </c>
    </row>
    <row r="854" spans="1:20" x14ac:dyDescent="0.35">
      <c r="A854" s="2" t="s">
        <v>1891</v>
      </c>
      <c r="B854" s="2" t="s">
        <v>51</v>
      </c>
      <c r="C854" s="2" t="s">
        <v>1892</v>
      </c>
      <c r="D854" s="2" t="s">
        <v>48</v>
      </c>
      <c r="E854" s="2" t="s">
        <v>19</v>
      </c>
      <c r="F854" s="2" t="s">
        <v>27</v>
      </c>
      <c r="G854" s="2" t="s">
        <v>143</v>
      </c>
      <c r="H854" s="3">
        <v>45517.036805555559</v>
      </c>
      <c r="I854" s="3">
        <v>45517.190972222219</v>
      </c>
      <c r="J854" s="2">
        <v>195</v>
      </c>
      <c r="K854" s="2">
        <v>222</v>
      </c>
      <c r="L854" s="2">
        <v>1</v>
      </c>
      <c r="M854" s="2" t="s">
        <v>29</v>
      </c>
      <c r="N854" s="2">
        <v>4</v>
      </c>
      <c r="O854" s="2">
        <v>342.9</v>
      </c>
      <c r="P854" s="2">
        <f t="shared" si="65"/>
        <v>27</v>
      </c>
      <c r="Q854" s="4">
        <f t="shared" si="66"/>
        <v>0.8783783783783784</v>
      </c>
      <c r="R854" s="2" t="str">
        <f t="shared" si="67"/>
        <v>Inefficient</v>
      </c>
      <c r="S854" s="2" t="str">
        <f t="shared" si="68"/>
        <v>Very Long</v>
      </c>
      <c r="T854" s="2" t="str">
        <f t="shared" si="69"/>
        <v>Minor Delay</v>
      </c>
    </row>
    <row r="855" spans="1:20" x14ac:dyDescent="0.35">
      <c r="A855" s="2" t="s">
        <v>1893</v>
      </c>
      <c r="B855" s="2" t="s">
        <v>24</v>
      </c>
      <c r="C855" s="2" t="s">
        <v>1894</v>
      </c>
      <c r="D855" s="2" t="s">
        <v>48</v>
      </c>
      <c r="E855" s="2" t="s">
        <v>33</v>
      </c>
      <c r="F855" s="2" t="s">
        <v>39</v>
      </c>
      <c r="G855" s="2" t="s">
        <v>465</v>
      </c>
      <c r="H855" s="3">
        <v>45502.634722222225</v>
      </c>
      <c r="I855" s="3">
        <v>45502.760416666664</v>
      </c>
      <c r="J855" s="2">
        <v>180</v>
      </c>
      <c r="K855" s="2">
        <v>181</v>
      </c>
      <c r="L855" s="2">
        <v>1</v>
      </c>
      <c r="M855" s="2" t="s">
        <v>22</v>
      </c>
      <c r="N855" s="2">
        <v>2</v>
      </c>
      <c r="O855" s="2">
        <v>453.15</v>
      </c>
      <c r="P855" s="2">
        <f t="shared" si="65"/>
        <v>1</v>
      </c>
      <c r="Q855" s="4">
        <f t="shared" si="66"/>
        <v>0.99447513812154698</v>
      </c>
      <c r="R855" s="2" t="str">
        <f t="shared" si="67"/>
        <v>Inefficient</v>
      </c>
      <c r="S855" s="2" t="str">
        <f t="shared" si="68"/>
        <v>Very Long</v>
      </c>
      <c r="T855" s="2" t="str">
        <f t="shared" si="69"/>
        <v>Minor Delay</v>
      </c>
    </row>
    <row r="856" spans="1:20" x14ac:dyDescent="0.35">
      <c r="A856" s="2" t="s">
        <v>1895</v>
      </c>
      <c r="B856" s="2" t="s">
        <v>31</v>
      </c>
      <c r="C856" s="2" t="s">
        <v>1896</v>
      </c>
      <c r="D856" s="2" t="s">
        <v>48</v>
      </c>
      <c r="E856" s="2" t="s">
        <v>38</v>
      </c>
      <c r="F856" s="2" t="s">
        <v>20</v>
      </c>
      <c r="G856" s="2" t="s">
        <v>539</v>
      </c>
      <c r="H856" s="3">
        <v>45337.290277777778</v>
      </c>
      <c r="I856" s="3">
        <v>45337.481944444444</v>
      </c>
      <c r="J856" s="2">
        <v>217</v>
      </c>
      <c r="K856" s="2">
        <v>276</v>
      </c>
      <c r="L856" s="2">
        <v>1</v>
      </c>
      <c r="M856" s="2" t="s">
        <v>41</v>
      </c>
      <c r="N856" s="2">
        <v>2</v>
      </c>
      <c r="O856" s="2">
        <v>151.43</v>
      </c>
      <c r="P856" s="2">
        <f t="shared" si="65"/>
        <v>59</v>
      </c>
      <c r="Q856" s="4">
        <f t="shared" si="66"/>
        <v>0.78623188405797106</v>
      </c>
      <c r="R856" s="2" t="str">
        <f t="shared" si="67"/>
        <v>Inefficient</v>
      </c>
      <c r="S856" s="2" t="str">
        <f t="shared" si="68"/>
        <v>Very Long</v>
      </c>
      <c r="T856" s="2" t="str">
        <f t="shared" si="69"/>
        <v>Major Delay</v>
      </c>
    </row>
    <row r="857" spans="1:20" x14ac:dyDescent="0.35">
      <c r="A857" s="2" t="s">
        <v>1897</v>
      </c>
      <c r="B857" s="2" t="s">
        <v>51</v>
      </c>
      <c r="C857" s="2" t="s">
        <v>1898</v>
      </c>
      <c r="D857" s="2" t="s">
        <v>56</v>
      </c>
      <c r="E857" s="2" t="s">
        <v>33</v>
      </c>
      <c r="F857" s="2" t="s">
        <v>27</v>
      </c>
      <c r="G857" s="2" t="s">
        <v>182</v>
      </c>
      <c r="H857" s="3">
        <v>45454.261805555558</v>
      </c>
      <c r="I857" s="3">
        <v>45454.38958333333</v>
      </c>
      <c r="J857" s="2">
        <v>76</v>
      </c>
      <c r="K857" s="2">
        <v>184</v>
      </c>
      <c r="L857" s="2">
        <v>1</v>
      </c>
      <c r="M857" s="2" t="s">
        <v>29</v>
      </c>
      <c r="N857" s="2">
        <v>9</v>
      </c>
      <c r="O857" s="2">
        <v>223.5</v>
      </c>
      <c r="P857" s="2">
        <f t="shared" si="65"/>
        <v>108</v>
      </c>
      <c r="Q857" s="4">
        <f t="shared" si="66"/>
        <v>0.41304347826086957</v>
      </c>
      <c r="R857" s="2" t="str">
        <f t="shared" si="67"/>
        <v>Inefficient</v>
      </c>
      <c r="S857" s="2" t="str">
        <f t="shared" si="68"/>
        <v>Very Long</v>
      </c>
      <c r="T857" s="2" t="str">
        <f t="shared" si="69"/>
        <v>Major Delay</v>
      </c>
    </row>
    <row r="858" spans="1:20" x14ac:dyDescent="0.35">
      <c r="A858" s="2" t="s">
        <v>1899</v>
      </c>
      <c r="B858" s="2" t="s">
        <v>31</v>
      </c>
      <c r="C858" s="2" t="s">
        <v>1900</v>
      </c>
      <c r="D858" s="2" t="s">
        <v>26</v>
      </c>
      <c r="E858" s="2" t="s">
        <v>85</v>
      </c>
      <c r="F858" s="2" t="s">
        <v>20</v>
      </c>
      <c r="G858" s="2" t="s">
        <v>191</v>
      </c>
      <c r="H858" s="3">
        <v>45602.103472222225</v>
      </c>
      <c r="I858" s="3">
        <v>45602.288194444445</v>
      </c>
      <c r="J858" s="2">
        <v>227</v>
      </c>
      <c r="K858" s="2">
        <v>266</v>
      </c>
      <c r="L858" s="2">
        <v>1</v>
      </c>
      <c r="M858" s="2" t="s">
        <v>41</v>
      </c>
      <c r="N858" s="2">
        <v>4</v>
      </c>
      <c r="O858" s="2">
        <v>373.4</v>
      </c>
      <c r="P858" s="2">
        <f t="shared" si="65"/>
        <v>39</v>
      </c>
      <c r="Q858" s="4">
        <f t="shared" si="66"/>
        <v>0.85338345864661658</v>
      </c>
      <c r="R858" s="2" t="str">
        <f t="shared" si="67"/>
        <v>Inefficient</v>
      </c>
      <c r="S858" s="2" t="str">
        <f t="shared" si="68"/>
        <v>Very Long</v>
      </c>
      <c r="T858" s="2" t="str">
        <f t="shared" si="69"/>
        <v>Major Delay</v>
      </c>
    </row>
    <row r="859" spans="1:20" x14ac:dyDescent="0.35">
      <c r="A859" s="2" t="s">
        <v>1901</v>
      </c>
      <c r="B859" s="2" t="s">
        <v>31</v>
      </c>
      <c r="C859" s="2" t="s">
        <v>1902</v>
      </c>
      <c r="D859" s="2" t="s">
        <v>18</v>
      </c>
      <c r="E859" s="2" t="s">
        <v>33</v>
      </c>
      <c r="F859" s="2" t="s">
        <v>20</v>
      </c>
      <c r="G859" s="2" t="s">
        <v>114</v>
      </c>
      <c r="H859" s="3">
        <v>45457.428472222222</v>
      </c>
      <c r="I859" s="3">
        <v>45457.654166666667</v>
      </c>
      <c r="J859" s="2">
        <v>212</v>
      </c>
      <c r="K859" s="2">
        <v>325</v>
      </c>
      <c r="L859" s="2">
        <v>1</v>
      </c>
      <c r="M859" s="2" t="s">
        <v>22</v>
      </c>
      <c r="N859" s="2">
        <v>1</v>
      </c>
      <c r="O859" s="2">
        <v>281.77999999999997</v>
      </c>
      <c r="P859" s="2">
        <f t="shared" si="65"/>
        <v>113</v>
      </c>
      <c r="Q859" s="4">
        <f t="shared" si="66"/>
        <v>0.65230769230769226</v>
      </c>
      <c r="R859" s="2" t="str">
        <f t="shared" si="67"/>
        <v>Inefficient</v>
      </c>
      <c r="S859" s="2" t="str">
        <f t="shared" si="68"/>
        <v>Very Long</v>
      </c>
      <c r="T859" s="2" t="str">
        <f t="shared" si="69"/>
        <v>Major Delay</v>
      </c>
    </row>
    <row r="860" spans="1:20" x14ac:dyDescent="0.35">
      <c r="A860" s="2" t="s">
        <v>1903</v>
      </c>
      <c r="B860" s="2" t="s">
        <v>63</v>
      </c>
      <c r="C860" s="2" t="s">
        <v>1904</v>
      </c>
      <c r="D860" s="2" t="s">
        <v>48</v>
      </c>
      <c r="E860" s="2" t="s">
        <v>85</v>
      </c>
      <c r="F860" s="2" t="s">
        <v>20</v>
      </c>
      <c r="G860" s="2" t="s">
        <v>170</v>
      </c>
      <c r="H860" s="3">
        <v>45618.933333333334</v>
      </c>
      <c r="I860" s="3">
        <v>45619.061805555553</v>
      </c>
      <c r="J860" s="2">
        <v>98</v>
      </c>
      <c r="K860" s="2">
        <v>185</v>
      </c>
      <c r="L860" s="2">
        <v>1</v>
      </c>
      <c r="M860" s="2" t="s">
        <v>22</v>
      </c>
      <c r="N860" s="2">
        <v>10</v>
      </c>
      <c r="O860" s="2">
        <v>192.37</v>
      </c>
      <c r="P860" s="2">
        <f t="shared" si="65"/>
        <v>87</v>
      </c>
      <c r="Q860" s="4">
        <f t="shared" si="66"/>
        <v>0.52972972972972976</v>
      </c>
      <c r="R860" s="2" t="str">
        <f t="shared" si="67"/>
        <v>Inefficient</v>
      </c>
      <c r="S860" s="2" t="str">
        <f t="shared" si="68"/>
        <v>Very Long</v>
      </c>
      <c r="T860" s="2" t="str">
        <f t="shared" si="69"/>
        <v>Major Delay</v>
      </c>
    </row>
    <row r="861" spans="1:20" x14ac:dyDescent="0.35">
      <c r="A861" s="2" t="s">
        <v>1905</v>
      </c>
      <c r="B861" s="2" t="s">
        <v>63</v>
      </c>
      <c r="C861" s="2" t="s">
        <v>1906</v>
      </c>
      <c r="D861" s="2" t="s">
        <v>56</v>
      </c>
      <c r="E861" s="2" t="s">
        <v>33</v>
      </c>
      <c r="F861" s="2" t="s">
        <v>57</v>
      </c>
      <c r="G861" s="2" t="s">
        <v>213</v>
      </c>
      <c r="H861" s="3">
        <v>45596.550694444442</v>
      </c>
      <c r="I861" s="3">
        <v>45596.607638888891</v>
      </c>
      <c r="J861" s="2">
        <v>33</v>
      </c>
      <c r="K861" s="2">
        <v>82</v>
      </c>
      <c r="L861" s="2">
        <v>1</v>
      </c>
      <c r="M861" s="2" t="s">
        <v>22</v>
      </c>
      <c r="N861" s="2">
        <v>4</v>
      </c>
      <c r="O861" s="2">
        <v>338.76</v>
      </c>
      <c r="P861" s="2">
        <f t="shared" si="65"/>
        <v>49</v>
      </c>
      <c r="Q861" s="4">
        <f t="shared" si="66"/>
        <v>0.40243902439024393</v>
      </c>
      <c r="R861" s="2" t="str">
        <f t="shared" si="67"/>
        <v>Inefficient</v>
      </c>
      <c r="S861" s="2" t="str">
        <f t="shared" si="68"/>
        <v>Long</v>
      </c>
      <c r="T861" s="2" t="str">
        <f t="shared" si="69"/>
        <v>Major Delay</v>
      </c>
    </row>
    <row r="862" spans="1:20" x14ac:dyDescent="0.35">
      <c r="A862" s="2" t="s">
        <v>1907</v>
      </c>
      <c r="B862" s="2" t="s">
        <v>51</v>
      </c>
      <c r="C862" s="2" t="s">
        <v>1908</v>
      </c>
      <c r="D862" s="2" t="s">
        <v>56</v>
      </c>
      <c r="E862" s="2" t="s">
        <v>85</v>
      </c>
      <c r="F862" s="2" t="s">
        <v>27</v>
      </c>
      <c r="G862" s="2" t="s">
        <v>143</v>
      </c>
      <c r="H862" s="3">
        <v>45320.623611111114</v>
      </c>
      <c r="I862" s="3">
        <v>45320.793749999997</v>
      </c>
      <c r="J862" s="2">
        <v>184</v>
      </c>
      <c r="K862" s="2">
        <v>245</v>
      </c>
      <c r="L862" s="2">
        <v>1</v>
      </c>
      <c r="M862" s="2" t="s">
        <v>22</v>
      </c>
      <c r="N862" s="2">
        <v>2</v>
      </c>
      <c r="O862" s="2">
        <v>112.13</v>
      </c>
      <c r="P862" s="2">
        <f t="shared" si="65"/>
        <v>61</v>
      </c>
      <c r="Q862" s="4">
        <f t="shared" si="66"/>
        <v>0.75102040816326532</v>
      </c>
      <c r="R862" s="2" t="str">
        <f t="shared" si="67"/>
        <v>Inefficient</v>
      </c>
      <c r="S862" s="2" t="str">
        <f t="shared" si="68"/>
        <v>Very Long</v>
      </c>
      <c r="T862" s="2" t="str">
        <f t="shared" si="69"/>
        <v>Major Delay</v>
      </c>
    </row>
    <row r="863" spans="1:20" x14ac:dyDescent="0.35">
      <c r="A863" s="2" t="s">
        <v>1909</v>
      </c>
      <c r="B863" s="2" t="s">
        <v>16</v>
      </c>
      <c r="C863" s="2" t="s">
        <v>1910</v>
      </c>
      <c r="D863" s="2" t="s">
        <v>48</v>
      </c>
      <c r="E863" s="2" t="s">
        <v>85</v>
      </c>
      <c r="F863" s="2" t="s">
        <v>20</v>
      </c>
      <c r="G863" s="2" t="s">
        <v>810</v>
      </c>
      <c r="H863" s="3">
        <v>45582.474305555559</v>
      </c>
      <c r="I863" s="3">
        <v>45582.617361111108</v>
      </c>
      <c r="J863" s="2">
        <v>115</v>
      </c>
      <c r="K863" s="2">
        <v>206</v>
      </c>
      <c r="L863" s="2">
        <v>1</v>
      </c>
      <c r="M863" s="2" t="s">
        <v>41</v>
      </c>
      <c r="N863" s="2">
        <v>6</v>
      </c>
      <c r="O863" s="2">
        <v>351.96</v>
      </c>
      <c r="P863" s="2">
        <f t="shared" si="65"/>
        <v>91</v>
      </c>
      <c r="Q863" s="4">
        <f t="shared" si="66"/>
        <v>0.55825242718446599</v>
      </c>
      <c r="R863" s="2" t="str">
        <f t="shared" si="67"/>
        <v>Inefficient</v>
      </c>
      <c r="S863" s="2" t="str">
        <f t="shared" si="68"/>
        <v>Very Long</v>
      </c>
      <c r="T863" s="2" t="str">
        <f t="shared" si="69"/>
        <v>Major Delay</v>
      </c>
    </row>
    <row r="864" spans="1:20" x14ac:dyDescent="0.35">
      <c r="A864" s="2" t="s">
        <v>1911</v>
      </c>
      <c r="B864" s="2" t="s">
        <v>31</v>
      </c>
      <c r="C864" s="2" t="s">
        <v>1912</v>
      </c>
      <c r="D864" s="2" t="s">
        <v>18</v>
      </c>
      <c r="E864" s="2" t="s">
        <v>38</v>
      </c>
      <c r="F864" s="2" t="s">
        <v>34</v>
      </c>
      <c r="G864" s="2" t="s">
        <v>402</v>
      </c>
      <c r="H864" s="3">
        <v>45491.782638888886</v>
      </c>
      <c r="I864" s="3">
        <v>45491.829861111109</v>
      </c>
      <c r="J864" s="2">
        <v>53</v>
      </c>
      <c r="K864" s="2">
        <v>68</v>
      </c>
      <c r="L864" s="2">
        <v>1</v>
      </c>
      <c r="M864" s="2" t="s">
        <v>22</v>
      </c>
      <c r="N864" s="2">
        <v>7</v>
      </c>
      <c r="O864" s="2">
        <v>272.62</v>
      </c>
      <c r="P864" s="2">
        <f t="shared" si="65"/>
        <v>15</v>
      </c>
      <c r="Q864" s="4">
        <f t="shared" si="66"/>
        <v>0.77941176470588236</v>
      </c>
      <c r="R864" s="2" t="str">
        <f t="shared" si="67"/>
        <v>Inefficient</v>
      </c>
      <c r="S864" s="2" t="str">
        <f t="shared" si="68"/>
        <v>Long</v>
      </c>
      <c r="T864" s="2" t="str">
        <f t="shared" si="69"/>
        <v>Minor Delay</v>
      </c>
    </row>
    <row r="865" spans="1:20" x14ac:dyDescent="0.35">
      <c r="A865" s="2" t="s">
        <v>1913</v>
      </c>
      <c r="B865" s="2" t="s">
        <v>16</v>
      </c>
      <c r="C865" s="2" t="s">
        <v>1914</v>
      </c>
      <c r="D865" s="2" t="s">
        <v>48</v>
      </c>
      <c r="E865" s="2" t="s">
        <v>85</v>
      </c>
      <c r="F865" s="2" t="s">
        <v>27</v>
      </c>
      <c r="G865" s="2" t="s">
        <v>152</v>
      </c>
      <c r="H865" s="3">
        <v>45381.825694444444</v>
      </c>
      <c r="I865" s="3">
        <v>45381.968055555553</v>
      </c>
      <c r="J865" s="2">
        <v>196</v>
      </c>
      <c r="K865" s="2">
        <v>205</v>
      </c>
      <c r="L865" s="2">
        <v>1</v>
      </c>
      <c r="M865" s="2" t="s">
        <v>29</v>
      </c>
      <c r="N865" s="2">
        <v>5</v>
      </c>
      <c r="O865" s="2">
        <v>90.67</v>
      </c>
      <c r="P865" s="2">
        <f t="shared" si="65"/>
        <v>9</v>
      </c>
      <c r="Q865" s="4">
        <f t="shared" si="66"/>
        <v>0.95609756097560972</v>
      </c>
      <c r="R865" s="2" t="str">
        <f t="shared" si="67"/>
        <v>Inefficient</v>
      </c>
      <c r="S865" s="2" t="str">
        <f t="shared" si="68"/>
        <v>Very Long</v>
      </c>
      <c r="T865" s="2" t="str">
        <f t="shared" si="69"/>
        <v>Minor Delay</v>
      </c>
    </row>
    <row r="866" spans="1:20" x14ac:dyDescent="0.35">
      <c r="A866" s="2" t="s">
        <v>1915</v>
      </c>
      <c r="B866" s="2" t="s">
        <v>24</v>
      </c>
      <c r="C866" s="2" t="s">
        <v>1916</v>
      </c>
      <c r="D866" s="2" t="s">
        <v>56</v>
      </c>
      <c r="E866" s="2" t="s">
        <v>85</v>
      </c>
      <c r="F866" s="2" t="s">
        <v>27</v>
      </c>
      <c r="G866" s="2" t="s">
        <v>265</v>
      </c>
      <c r="H866" s="3">
        <v>45357.592361111114</v>
      </c>
      <c r="I866" s="3">
        <v>45357.646527777775</v>
      </c>
      <c r="J866" s="2">
        <v>36</v>
      </c>
      <c r="K866" s="2">
        <v>78</v>
      </c>
      <c r="L866" s="2">
        <v>1</v>
      </c>
      <c r="M866" s="2" t="s">
        <v>22</v>
      </c>
      <c r="N866" s="2">
        <v>9</v>
      </c>
      <c r="O866" s="2">
        <v>229.17</v>
      </c>
      <c r="P866" s="2">
        <f t="shared" si="65"/>
        <v>42</v>
      </c>
      <c r="Q866" s="4">
        <f t="shared" si="66"/>
        <v>0.46153846153846156</v>
      </c>
      <c r="R866" s="2" t="str">
        <f t="shared" si="67"/>
        <v>Inefficient</v>
      </c>
      <c r="S866" s="2" t="str">
        <f t="shared" si="68"/>
        <v>Long</v>
      </c>
      <c r="T866" s="2" t="str">
        <f t="shared" si="69"/>
        <v>Major Delay</v>
      </c>
    </row>
    <row r="867" spans="1:20" x14ac:dyDescent="0.35">
      <c r="A867" s="2" t="s">
        <v>1917</v>
      </c>
      <c r="B867" s="2" t="s">
        <v>51</v>
      </c>
      <c r="C867" s="2" t="s">
        <v>1918</v>
      </c>
      <c r="D867" s="2" t="s">
        <v>48</v>
      </c>
      <c r="E867" s="2" t="s">
        <v>33</v>
      </c>
      <c r="F867" s="2" t="s">
        <v>20</v>
      </c>
      <c r="G867" s="2" t="s">
        <v>210</v>
      </c>
      <c r="H867" s="3">
        <v>45334.068055555559</v>
      </c>
      <c r="I867" s="3">
        <v>45334.183333333334</v>
      </c>
      <c r="J867" s="2">
        <v>100</v>
      </c>
      <c r="K867" s="2">
        <v>166</v>
      </c>
      <c r="L867" s="2">
        <v>1</v>
      </c>
      <c r="M867" s="2" t="s">
        <v>41</v>
      </c>
      <c r="N867" s="2">
        <v>9</v>
      </c>
      <c r="O867" s="2">
        <v>450.03</v>
      </c>
      <c r="P867" s="2">
        <f t="shared" si="65"/>
        <v>66</v>
      </c>
      <c r="Q867" s="4">
        <f t="shared" si="66"/>
        <v>0.60240963855421692</v>
      </c>
      <c r="R867" s="2" t="str">
        <f t="shared" si="67"/>
        <v>Inefficient</v>
      </c>
      <c r="S867" s="2" t="str">
        <f t="shared" si="68"/>
        <v>Very Long</v>
      </c>
      <c r="T867" s="2" t="str">
        <f t="shared" si="69"/>
        <v>Major Delay</v>
      </c>
    </row>
    <row r="868" spans="1:20" x14ac:dyDescent="0.35">
      <c r="A868" s="2" t="s">
        <v>1919</v>
      </c>
      <c r="B868" s="2" t="s">
        <v>24</v>
      </c>
      <c r="C868" s="2" t="s">
        <v>1920</v>
      </c>
      <c r="D868" s="2" t="s">
        <v>26</v>
      </c>
      <c r="E868" s="2" t="s">
        <v>38</v>
      </c>
      <c r="F868" s="2" t="s">
        <v>20</v>
      </c>
      <c r="G868" s="2" t="s">
        <v>470</v>
      </c>
      <c r="H868" s="3">
        <v>45507.101388888892</v>
      </c>
      <c r="I868" s="3">
        <v>45507.226388888892</v>
      </c>
      <c r="J868" s="2">
        <v>133</v>
      </c>
      <c r="K868" s="2">
        <v>180</v>
      </c>
      <c r="L868" s="2">
        <v>1</v>
      </c>
      <c r="M868" s="2" t="s">
        <v>22</v>
      </c>
      <c r="N868" s="2">
        <v>3</v>
      </c>
      <c r="O868" s="2">
        <v>450.92</v>
      </c>
      <c r="P868" s="2">
        <f t="shared" si="65"/>
        <v>47</v>
      </c>
      <c r="Q868" s="4">
        <f t="shared" si="66"/>
        <v>0.73888888888888893</v>
      </c>
      <c r="R868" s="2" t="str">
        <f t="shared" si="67"/>
        <v>Inefficient</v>
      </c>
      <c r="S868" s="2" t="str">
        <f t="shared" si="68"/>
        <v>Very Long</v>
      </c>
      <c r="T868" s="2" t="str">
        <f t="shared" si="69"/>
        <v>Major Delay</v>
      </c>
    </row>
    <row r="869" spans="1:20" x14ac:dyDescent="0.35">
      <c r="A869" s="2" t="s">
        <v>1921</v>
      </c>
      <c r="B869" s="2" t="s">
        <v>16</v>
      </c>
      <c r="C869" s="2" t="s">
        <v>1922</v>
      </c>
      <c r="D869" s="2" t="s">
        <v>44</v>
      </c>
      <c r="E869" s="2" t="s">
        <v>19</v>
      </c>
      <c r="F869" s="2" t="s">
        <v>27</v>
      </c>
      <c r="G869" s="2" t="s">
        <v>681</v>
      </c>
      <c r="H869" s="3">
        <v>45527.972916666666</v>
      </c>
      <c r="I869" s="3">
        <v>45527.986111111109</v>
      </c>
      <c r="J869" s="2">
        <v>18</v>
      </c>
      <c r="K869" s="2">
        <v>19</v>
      </c>
      <c r="L869" s="2">
        <v>1</v>
      </c>
      <c r="M869" s="2" t="s">
        <v>29</v>
      </c>
      <c r="N869" s="2">
        <v>3</v>
      </c>
      <c r="O869" s="2">
        <v>226.21</v>
      </c>
      <c r="P869" s="2">
        <f t="shared" si="65"/>
        <v>1</v>
      </c>
      <c r="Q869" s="4">
        <f t="shared" si="66"/>
        <v>0.94736842105263153</v>
      </c>
      <c r="R869" s="2" t="str">
        <f t="shared" si="67"/>
        <v>Inefficient</v>
      </c>
      <c r="S869" s="2" t="str">
        <f t="shared" si="68"/>
        <v>Short</v>
      </c>
      <c r="T869" s="2" t="str">
        <f t="shared" si="69"/>
        <v>Minor Delay</v>
      </c>
    </row>
    <row r="870" spans="1:20" x14ac:dyDescent="0.35">
      <c r="A870" s="2" t="s">
        <v>1923</v>
      </c>
      <c r="B870" s="2" t="s">
        <v>51</v>
      </c>
      <c r="C870" s="2" t="s">
        <v>1924</v>
      </c>
      <c r="D870" s="2" t="s">
        <v>18</v>
      </c>
      <c r="E870" s="2" t="s">
        <v>33</v>
      </c>
      <c r="F870" s="2" t="s">
        <v>57</v>
      </c>
      <c r="G870" s="2" t="s">
        <v>473</v>
      </c>
      <c r="H870" s="3">
        <v>45528.760416666664</v>
      </c>
      <c r="I870" s="3">
        <v>45528.910416666666</v>
      </c>
      <c r="J870" s="2">
        <v>200</v>
      </c>
      <c r="K870" s="2">
        <v>216</v>
      </c>
      <c r="L870" s="2">
        <v>1</v>
      </c>
      <c r="M870" s="2" t="s">
        <v>29</v>
      </c>
      <c r="N870" s="2">
        <v>8</v>
      </c>
      <c r="O870" s="2">
        <v>415.42</v>
      </c>
      <c r="P870" s="2">
        <f t="shared" si="65"/>
        <v>16</v>
      </c>
      <c r="Q870" s="4">
        <f t="shared" si="66"/>
        <v>0.92592592592592593</v>
      </c>
      <c r="R870" s="2" t="str">
        <f t="shared" si="67"/>
        <v>Inefficient</v>
      </c>
      <c r="S870" s="2" t="str">
        <f t="shared" si="68"/>
        <v>Very Long</v>
      </c>
      <c r="T870" s="2" t="str">
        <f t="shared" si="69"/>
        <v>Minor Delay</v>
      </c>
    </row>
    <row r="871" spans="1:20" x14ac:dyDescent="0.35">
      <c r="A871" s="2" t="s">
        <v>1925</v>
      </c>
      <c r="B871" s="2" t="s">
        <v>63</v>
      </c>
      <c r="C871" s="2" t="s">
        <v>1926</v>
      </c>
      <c r="D871" s="2" t="s">
        <v>44</v>
      </c>
      <c r="E871" s="2" t="s">
        <v>38</v>
      </c>
      <c r="F871" s="2" t="s">
        <v>20</v>
      </c>
      <c r="G871" s="2" t="s">
        <v>785</v>
      </c>
      <c r="H871" s="3">
        <v>45532.425694444442</v>
      </c>
      <c r="I871" s="3">
        <v>45532.536111111112</v>
      </c>
      <c r="J871" s="2">
        <v>148</v>
      </c>
      <c r="K871" s="2">
        <v>159</v>
      </c>
      <c r="L871" s="2">
        <v>1</v>
      </c>
      <c r="M871" s="2" t="s">
        <v>29</v>
      </c>
      <c r="N871" s="2">
        <v>8</v>
      </c>
      <c r="O871" s="2">
        <v>419.49</v>
      </c>
      <c r="P871" s="2">
        <f t="shared" si="65"/>
        <v>11</v>
      </c>
      <c r="Q871" s="4">
        <f t="shared" si="66"/>
        <v>0.9308176100628931</v>
      </c>
      <c r="R871" s="2" t="str">
        <f t="shared" si="67"/>
        <v>Inefficient</v>
      </c>
      <c r="S871" s="2" t="str">
        <f t="shared" si="68"/>
        <v>Very Long</v>
      </c>
      <c r="T871" s="2" t="str">
        <f t="shared" si="69"/>
        <v>Minor Delay</v>
      </c>
    </row>
    <row r="872" spans="1:20" x14ac:dyDescent="0.35">
      <c r="A872" s="2" t="s">
        <v>1927</v>
      </c>
      <c r="B872" s="2" t="s">
        <v>51</v>
      </c>
      <c r="C872" s="2" t="s">
        <v>1928</v>
      </c>
      <c r="D872" s="2" t="s">
        <v>18</v>
      </c>
      <c r="E872" s="2" t="s">
        <v>85</v>
      </c>
      <c r="F872" s="2" t="s">
        <v>34</v>
      </c>
      <c r="G872" s="2" t="s">
        <v>65</v>
      </c>
      <c r="H872" s="3">
        <v>45609.852083333331</v>
      </c>
      <c r="I872" s="3">
        <v>45610.036805555559</v>
      </c>
      <c r="J872" s="2">
        <v>227</v>
      </c>
      <c r="K872" s="2">
        <v>266</v>
      </c>
      <c r="L872" s="2">
        <v>1</v>
      </c>
      <c r="M872" s="2" t="s">
        <v>29</v>
      </c>
      <c r="N872" s="2">
        <v>8</v>
      </c>
      <c r="O872" s="2">
        <v>88.35</v>
      </c>
      <c r="P872" s="2">
        <f t="shared" si="65"/>
        <v>39</v>
      </c>
      <c r="Q872" s="4">
        <f t="shared" si="66"/>
        <v>0.85338345864661658</v>
      </c>
      <c r="R872" s="2" t="str">
        <f t="shared" si="67"/>
        <v>Inefficient</v>
      </c>
      <c r="S872" s="2" t="str">
        <f t="shared" si="68"/>
        <v>Very Long</v>
      </c>
      <c r="T872" s="2" t="str">
        <f t="shared" si="69"/>
        <v>Major Delay</v>
      </c>
    </row>
    <row r="873" spans="1:20" x14ac:dyDescent="0.35">
      <c r="A873" s="2" t="s">
        <v>1929</v>
      </c>
      <c r="B873" s="2" t="s">
        <v>31</v>
      </c>
      <c r="C873" s="2" t="s">
        <v>1930</v>
      </c>
      <c r="D873" s="2" t="s">
        <v>56</v>
      </c>
      <c r="E873" s="2" t="s">
        <v>38</v>
      </c>
      <c r="F873" s="2" t="s">
        <v>39</v>
      </c>
      <c r="G873" s="2" t="s">
        <v>526</v>
      </c>
      <c r="H873" s="3">
        <v>45623.693055555559</v>
      </c>
      <c r="I873" s="3">
        <v>45623.879166666666</v>
      </c>
      <c r="J873" s="2">
        <v>161</v>
      </c>
      <c r="K873" s="2">
        <v>268</v>
      </c>
      <c r="L873" s="2">
        <v>1</v>
      </c>
      <c r="M873" s="2" t="s">
        <v>22</v>
      </c>
      <c r="N873" s="2">
        <v>8</v>
      </c>
      <c r="O873" s="2">
        <v>490.2</v>
      </c>
      <c r="P873" s="2">
        <f t="shared" si="65"/>
        <v>107</v>
      </c>
      <c r="Q873" s="4">
        <f t="shared" si="66"/>
        <v>0.60074626865671643</v>
      </c>
      <c r="R873" s="2" t="str">
        <f t="shared" si="67"/>
        <v>Inefficient</v>
      </c>
      <c r="S873" s="2" t="str">
        <f t="shared" si="68"/>
        <v>Very Long</v>
      </c>
      <c r="T873" s="2" t="str">
        <f t="shared" si="69"/>
        <v>Major Delay</v>
      </c>
    </row>
    <row r="874" spans="1:20" x14ac:dyDescent="0.35">
      <c r="A874" s="2" t="s">
        <v>1931</v>
      </c>
      <c r="B874" s="2" t="s">
        <v>24</v>
      </c>
      <c r="C874" s="2" t="s">
        <v>1932</v>
      </c>
      <c r="D874" s="2" t="s">
        <v>48</v>
      </c>
      <c r="E874" s="2" t="s">
        <v>33</v>
      </c>
      <c r="F874" s="2" t="s">
        <v>57</v>
      </c>
      <c r="G874" s="2" t="s">
        <v>132</v>
      </c>
      <c r="H874" s="3">
        <v>45438.967361111114</v>
      </c>
      <c r="I874" s="3">
        <v>45439.167361111111</v>
      </c>
      <c r="J874" s="2">
        <v>202</v>
      </c>
      <c r="K874" s="2">
        <v>288</v>
      </c>
      <c r="L874" s="2">
        <v>1</v>
      </c>
      <c r="M874" s="2" t="s">
        <v>22</v>
      </c>
      <c r="N874" s="2">
        <v>5</v>
      </c>
      <c r="O874" s="2">
        <v>306.16000000000003</v>
      </c>
      <c r="P874" s="2">
        <f t="shared" si="65"/>
        <v>86</v>
      </c>
      <c r="Q874" s="4">
        <f t="shared" si="66"/>
        <v>0.70138888888888884</v>
      </c>
      <c r="R874" s="2" t="str">
        <f t="shared" si="67"/>
        <v>Inefficient</v>
      </c>
      <c r="S874" s="2" t="str">
        <f t="shared" si="68"/>
        <v>Very Long</v>
      </c>
      <c r="T874" s="2" t="str">
        <f t="shared" si="69"/>
        <v>Major Delay</v>
      </c>
    </row>
    <row r="875" spans="1:20" x14ac:dyDescent="0.35">
      <c r="A875" s="2" t="s">
        <v>1933</v>
      </c>
      <c r="B875" s="2" t="s">
        <v>31</v>
      </c>
      <c r="C875" s="2" t="s">
        <v>1934</v>
      </c>
      <c r="D875" s="2" t="s">
        <v>48</v>
      </c>
      <c r="E875" s="2" t="s">
        <v>85</v>
      </c>
      <c r="F875" s="2" t="s">
        <v>57</v>
      </c>
      <c r="G875" s="2" t="s">
        <v>647</v>
      </c>
      <c r="H875" s="3">
        <v>45318.580555555556</v>
      </c>
      <c r="I875" s="3">
        <v>45318.652083333334</v>
      </c>
      <c r="J875" s="2">
        <v>103</v>
      </c>
      <c r="K875" s="2">
        <v>103</v>
      </c>
      <c r="L875" s="2">
        <v>0</v>
      </c>
      <c r="M875" s="2" t="s">
        <v>22</v>
      </c>
      <c r="N875" s="2">
        <v>5</v>
      </c>
      <c r="O875" s="2">
        <v>464.27</v>
      </c>
      <c r="P875" s="2">
        <f t="shared" si="65"/>
        <v>0</v>
      </c>
      <c r="Q875" s="4">
        <f t="shared" si="66"/>
        <v>1</v>
      </c>
      <c r="R875" s="2" t="str">
        <f t="shared" si="67"/>
        <v>On Target</v>
      </c>
      <c r="S875" s="2" t="str">
        <f t="shared" si="68"/>
        <v>Long</v>
      </c>
      <c r="T875" s="2" t="str">
        <f t="shared" si="69"/>
        <v>On Time</v>
      </c>
    </row>
    <row r="876" spans="1:20" x14ac:dyDescent="0.35">
      <c r="A876" s="2" t="s">
        <v>1935</v>
      </c>
      <c r="B876" s="2" t="s">
        <v>16</v>
      </c>
      <c r="C876" s="2" t="s">
        <v>1936</v>
      </c>
      <c r="D876" s="2" t="s">
        <v>18</v>
      </c>
      <c r="E876" s="2" t="s">
        <v>85</v>
      </c>
      <c r="F876" s="2" t="s">
        <v>20</v>
      </c>
      <c r="G876" s="2" t="s">
        <v>201</v>
      </c>
      <c r="H876" s="3">
        <v>45630.197916666664</v>
      </c>
      <c r="I876" s="3">
        <v>45630.344444444447</v>
      </c>
      <c r="J876" s="2">
        <v>102</v>
      </c>
      <c r="K876" s="2">
        <v>211</v>
      </c>
      <c r="L876" s="2">
        <v>1</v>
      </c>
      <c r="M876" s="2" t="s">
        <v>41</v>
      </c>
      <c r="N876" s="2">
        <v>5</v>
      </c>
      <c r="O876" s="2">
        <v>397.55</v>
      </c>
      <c r="P876" s="2">
        <f t="shared" si="65"/>
        <v>109</v>
      </c>
      <c r="Q876" s="4">
        <f t="shared" si="66"/>
        <v>0.48341232227488151</v>
      </c>
      <c r="R876" s="2" t="str">
        <f t="shared" si="67"/>
        <v>Inefficient</v>
      </c>
      <c r="S876" s="2" t="str">
        <f t="shared" si="68"/>
        <v>Very Long</v>
      </c>
      <c r="T876" s="2" t="str">
        <f t="shared" si="69"/>
        <v>Major Delay</v>
      </c>
    </row>
    <row r="877" spans="1:20" x14ac:dyDescent="0.35">
      <c r="A877" s="2" t="s">
        <v>1937</v>
      </c>
      <c r="B877" s="2" t="s">
        <v>24</v>
      </c>
      <c r="C877" s="2" t="s">
        <v>1938</v>
      </c>
      <c r="D877" s="2" t="s">
        <v>48</v>
      </c>
      <c r="E877" s="2" t="s">
        <v>38</v>
      </c>
      <c r="F877" s="2" t="s">
        <v>34</v>
      </c>
      <c r="G877" s="2" t="s">
        <v>546</v>
      </c>
      <c r="H877" s="3">
        <v>45439.966666666667</v>
      </c>
      <c r="I877" s="3">
        <v>45440.127083333333</v>
      </c>
      <c r="J877" s="2">
        <v>209</v>
      </c>
      <c r="K877" s="2">
        <v>231</v>
      </c>
      <c r="L877" s="2">
        <v>1</v>
      </c>
      <c r="M877" s="2" t="s">
        <v>29</v>
      </c>
      <c r="N877" s="2">
        <v>10</v>
      </c>
      <c r="O877" s="2">
        <v>187.37</v>
      </c>
      <c r="P877" s="2">
        <f t="shared" si="65"/>
        <v>22</v>
      </c>
      <c r="Q877" s="4">
        <f t="shared" si="66"/>
        <v>0.90476190476190477</v>
      </c>
      <c r="R877" s="2" t="str">
        <f t="shared" si="67"/>
        <v>Inefficient</v>
      </c>
      <c r="S877" s="2" t="str">
        <f t="shared" si="68"/>
        <v>Very Long</v>
      </c>
      <c r="T877" s="2" t="str">
        <f t="shared" si="69"/>
        <v>Minor Delay</v>
      </c>
    </row>
    <row r="878" spans="1:20" x14ac:dyDescent="0.35">
      <c r="A878" s="2" t="s">
        <v>1939</v>
      </c>
      <c r="B878" s="2" t="s">
        <v>24</v>
      </c>
      <c r="C878" s="2" t="s">
        <v>1940</v>
      </c>
      <c r="D878" s="2" t="s">
        <v>56</v>
      </c>
      <c r="E878" s="2" t="s">
        <v>33</v>
      </c>
      <c r="F878" s="2" t="s">
        <v>27</v>
      </c>
      <c r="G878" s="2" t="s">
        <v>254</v>
      </c>
      <c r="H878" s="3">
        <v>45476.757638888892</v>
      </c>
      <c r="I878" s="3">
        <v>45476.993055555555</v>
      </c>
      <c r="J878" s="2">
        <v>230</v>
      </c>
      <c r="K878" s="2">
        <v>339</v>
      </c>
      <c r="L878" s="2">
        <v>1</v>
      </c>
      <c r="M878" s="2" t="s">
        <v>41</v>
      </c>
      <c r="N878" s="2">
        <v>1</v>
      </c>
      <c r="O878" s="2">
        <v>369.61</v>
      </c>
      <c r="P878" s="2">
        <f t="shared" si="65"/>
        <v>109</v>
      </c>
      <c r="Q878" s="4">
        <f t="shared" si="66"/>
        <v>0.67846607669616521</v>
      </c>
      <c r="R878" s="2" t="str">
        <f t="shared" si="67"/>
        <v>Inefficient</v>
      </c>
      <c r="S878" s="2" t="str">
        <f t="shared" si="68"/>
        <v>Very Long</v>
      </c>
      <c r="T878" s="2" t="str">
        <f t="shared" si="69"/>
        <v>Major Delay</v>
      </c>
    </row>
    <row r="879" spans="1:20" x14ac:dyDescent="0.35">
      <c r="A879" s="2" t="s">
        <v>1941</v>
      </c>
      <c r="B879" s="2" t="s">
        <v>24</v>
      </c>
      <c r="C879" s="2" t="s">
        <v>1942</v>
      </c>
      <c r="D879" s="2" t="s">
        <v>48</v>
      </c>
      <c r="E879" s="2" t="s">
        <v>33</v>
      </c>
      <c r="F879" s="2" t="s">
        <v>34</v>
      </c>
      <c r="G879" s="2" t="s">
        <v>897</v>
      </c>
      <c r="H879" s="3">
        <v>45411.670138888891</v>
      </c>
      <c r="I879" s="3">
        <v>45411.79791666667</v>
      </c>
      <c r="J879" s="2">
        <v>118</v>
      </c>
      <c r="K879" s="2">
        <v>184</v>
      </c>
      <c r="L879" s="2">
        <v>1</v>
      </c>
      <c r="M879" s="2" t="s">
        <v>22</v>
      </c>
      <c r="N879" s="2">
        <v>10</v>
      </c>
      <c r="O879" s="2">
        <v>345.47</v>
      </c>
      <c r="P879" s="2">
        <f t="shared" si="65"/>
        <v>66</v>
      </c>
      <c r="Q879" s="4">
        <f t="shared" si="66"/>
        <v>0.64130434782608692</v>
      </c>
      <c r="R879" s="2" t="str">
        <f t="shared" si="67"/>
        <v>Inefficient</v>
      </c>
      <c r="S879" s="2" t="str">
        <f t="shared" si="68"/>
        <v>Very Long</v>
      </c>
      <c r="T879" s="2" t="str">
        <f t="shared" si="69"/>
        <v>Major Delay</v>
      </c>
    </row>
    <row r="880" spans="1:20" x14ac:dyDescent="0.35">
      <c r="A880" s="2" t="s">
        <v>1943</v>
      </c>
      <c r="B880" s="2" t="s">
        <v>16</v>
      </c>
      <c r="C880" s="2" t="s">
        <v>1944</v>
      </c>
      <c r="D880" s="2" t="s">
        <v>26</v>
      </c>
      <c r="E880" s="2" t="s">
        <v>33</v>
      </c>
      <c r="F880" s="2" t="s">
        <v>39</v>
      </c>
      <c r="G880" s="2" t="s">
        <v>456</v>
      </c>
      <c r="H880" s="3">
        <v>45318.177777777775</v>
      </c>
      <c r="I880" s="3">
        <v>45318.307638888888</v>
      </c>
      <c r="J880" s="2">
        <v>179</v>
      </c>
      <c r="K880" s="2">
        <v>187</v>
      </c>
      <c r="L880" s="2">
        <v>1</v>
      </c>
      <c r="M880" s="2" t="s">
        <v>22</v>
      </c>
      <c r="N880" s="2">
        <v>5</v>
      </c>
      <c r="O880" s="2">
        <v>189.82</v>
      </c>
      <c r="P880" s="2">
        <f t="shared" si="65"/>
        <v>8</v>
      </c>
      <c r="Q880" s="4">
        <f t="shared" si="66"/>
        <v>0.95721925133689845</v>
      </c>
      <c r="R880" s="2" t="str">
        <f t="shared" si="67"/>
        <v>Inefficient</v>
      </c>
      <c r="S880" s="2" t="str">
        <f t="shared" si="68"/>
        <v>Very Long</v>
      </c>
      <c r="T880" s="2" t="str">
        <f t="shared" si="69"/>
        <v>Minor Delay</v>
      </c>
    </row>
    <row r="881" spans="1:20" x14ac:dyDescent="0.35">
      <c r="A881" s="2" t="s">
        <v>1945</v>
      </c>
      <c r="B881" s="2" t="s">
        <v>51</v>
      </c>
      <c r="C881" s="2" t="s">
        <v>1946</v>
      </c>
      <c r="D881" s="2" t="s">
        <v>56</v>
      </c>
      <c r="E881" s="2" t="s">
        <v>38</v>
      </c>
      <c r="F881" s="2" t="s">
        <v>20</v>
      </c>
      <c r="G881" s="2" t="s">
        <v>842</v>
      </c>
      <c r="H881" s="3">
        <v>45479.850694444445</v>
      </c>
      <c r="I881" s="3">
        <v>45480.032638888886</v>
      </c>
      <c r="J881" s="2">
        <v>148</v>
      </c>
      <c r="K881" s="2">
        <v>262</v>
      </c>
      <c r="L881" s="2">
        <v>1</v>
      </c>
      <c r="M881" s="2" t="s">
        <v>41</v>
      </c>
      <c r="N881" s="2">
        <v>1</v>
      </c>
      <c r="O881" s="2">
        <v>266.74</v>
      </c>
      <c r="P881" s="2">
        <f t="shared" si="65"/>
        <v>114</v>
      </c>
      <c r="Q881" s="4">
        <f t="shared" si="66"/>
        <v>0.56488549618320616</v>
      </c>
      <c r="R881" s="2" t="str">
        <f t="shared" si="67"/>
        <v>Inefficient</v>
      </c>
      <c r="S881" s="2" t="str">
        <f t="shared" si="68"/>
        <v>Very Long</v>
      </c>
      <c r="T881" s="2" t="str">
        <f t="shared" si="69"/>
        <v>Major Delay</v>
      </c>
    </row>
    <row r="882" spans="1:20" x14ac:dyDescent="0.35">
      <c r="A882" s="2" t="s">
        <v>1947</v>
      </c>
      <c r="B882" s="2" t="s">
        <v>16</v>
      </c>
      <c r="C882" s="2" t="s">
        <v>1948</v>
      </c>
      <c r="D882" s="2" t="s">
        <v>56</v>
      </c>
      <c r="E882" s="2" t="s">
        <v>85</v>
      </c>
      <c r="F882" s="2" t="s">
        <v>39</v>
      </c>
      <c r="G882" s="2" t="s">
        <v>173</v>
      </c>
      <c r="H882" s="3">
        <v>45525.776388888888</v>
      </c>
      <c r="I882" s="3">
        <v>45525.869444444441</v>
      </c>
      <c r="J882" s="2">
        <v>114</v>
      </c>
      <c r="K882" s="2">
        <v>134</v>
      </c>
      <c r="L882" s="2">
        <v>1</v>
      </c>
      <c r="M882" s="2" t="s">
        <v>22</v>
      </c>
      <c r="N882" s="2">
        <v>1</v>
      </c>
      <c r="O882" s="2">
        <v>432.58</v>
      </c>
      <c r="P882" s="2">
        <f t="shared" si="65"/>
        <v>20</v>
      </c>
      <c r="Q882" s="4">
        <f t="shared" si="66"/>
        <v>0.85074626865671643</v>
      </c>
      <c r="R882" s="2" t="str">
        <f t="shared" si="67"/>
        <v>Inefficient</v>
      </c>
      <c r="S882" s="2" t="str">
        <f t="shared" si="68"/>
        <v>Very Long</v>
      </c>
      <c r="T882" s="2" t="str">
        <f t="shared" si="69"/>
        <v>Minor Delay</v>
      </c>
    </row>
    <row r="883" spans="1:20" x14ac:dyDescent="0.35">
      <c r="A883" s="2" t="s">
        <v>1949</v>
      </c>
      <c r="B883" s="2" t="s">
        <v>24</v>
      </c>
      <c r="C883" s="2" t="s">
        <v>1950</v>
      </c>
      <c r="D883" s="2" t="s">
        <v>56</v>
      </c>
      <c r="E883" s="2" t="s">
        <v>38</v>
      </c>
      <c r="F883" s="2" t="s">
        <v>34</v>
      </c>
      <c r="G883" s="2" t="s">
        <v>684</v>
      </c>
      <c r="H883" s="3">
        <v>45353.647916666669</v>
      </c>
      <c r="I883" s="3">
        <v>45353.754861111112</v>
      </c>
      <c r="J883" s="2">
        <v>137</v>
      </c>
      <c r="K883" s="2">
        <v>154</v>
      </c>
      <c r="L883" s="2">
        <v>1</v>
      </c>
      <c r="M883" s="2" t="s">
        <v>29</v>
      </c>
      <c r="N883" s="2">
        <v>4</v>
      </c>
      <c r="O883" s="2">
        <v>208.42</v>
      </c>
      <c r="P883" s="2">
        <f t="shared" si="65"/>
        <v>17</v>
      </c>
      <c r="Q883" s="4">
        <f t="shared" si="66"/>
        <v>0.88961038961038963</v>
      </c>
      <c r="R883" s="2" t="str">
        <f t="shared" si="67"/>
        <v>Inefficient</v>
      </c>
      <c r="S883" s="2" t="str">
        <f t="shared" si="68"/>
        <v>Very Long</v>
      </c>
      <c r="T883" s="2" t="str">
        <f t="shared" si="69"/>
        <v>Minor Delay</v>
      </c>
    </row>
    <row r="884" spans="1:20" x14ac:dyDescent="0.35">
      <c r="A884" s="2" t="s">
        <v>1951</v>
      </c>
      <c r="B884" s="2" t="s">
        <v>63</v>
      </c>
      <c r="C884" s="2" t="s">
        <v>1952</v>
      </c>
      <c r="D884" s="2" t="s">
        <v>18</v>
      </c>
      <c r="E884" s="2" t="s">
        <v>33</v>
      </c>
      <c r="F884" s="2" t="s">
        <v>27</v>
      </c>
      <c r="G884" s="2" t="s">
        <v>49</v>
      </c>
      <c r="H884" s="3">
        <v>45331.713194444441</v>
      </c>
      <c r="I884" s="3">
        <v>45331.752083333333</v>
      </c>
      <c r="J884" s="2">
        <v>22</v>
      </c>
      <c r="K884" s="2">
        <v>56</v>
      </c>
      <c r="L884" s="2">
        <v>1</v>
      </c>
      <c r="M884" s="2" t="s">
        <v>29</v>
      </c>
      <c r="N884" s="2">
        <v>6</v>
      </c>
      <c r="O884" s="2">
        <v>420.7</v>
      </c>
      <c r="P884" s="2">
        <f t="shared" si="65"/>
        <v>34</v>
      </c>
      <c r="Q884" s="4">
        <f t="shared" si="66"/>
        <v>0.39285714285714285</v>
      </c>
      <c r="R884" s="2" t="str">
        <f t="shared" si="67"/>
        <v>Inefficient</v>
      </c>
      <c r="S884" s="2" t="str">
        <f t="shared" si="68"/>
        <v>Medium</v>
      </c>
      <c r="T884" s="2" t="str">
        <f t="shared" si="69"/>
        <v>Major Delay</v>
      </c>
    </row>
    <row r="885" spans="1:20" x14ac:dyDescent="0.35">
      <c r="A885" s="2" t="s">
        <v>1953</v>
      </c>
      <c r="B885" s="2" t="s">
        <v>31</v>
      </c>
      <c r="C885" s="2" t="s">
        <v>1954</v>
      </c>
      <c r="D885" s="2" t="s">
        <v>56</v>
      </c>
      <c r="E885" s="2" t="s">
        <v>38</v>
      </c>
      <c r="F885" s="2" t="s">
        <v>39</v>
      </c>
      <c r="G885" s="2" t="s">
        <v>262</v>
      </c>
      <c r="H885" s="3">
        <v>45550.288194444445</v>
      </c>
      <c r="I885" s="3">
        <v>45550.447916666664</v>
      </c>
      <c r="J885" s="2">
        <v>111</v>
      </c>
      <c r="K885" s="2">
        <v>230</v>
      </c>
      <c r="L885" s="2">
        <v>1</v>
      </c>
      <c r="M885" s="2" t="s">
        <v>41</v>
      </c>
      <c r="N885" s="2">
        <v>4</v>
      </c>
      <c r="O885" s="2">
        <v>466.97</v>
      </c>
      <c r="P885" s="2">
        <f t="shared" si="65"/>
        <v>119</v>
      </c>
      <c r="Q885" s="4">
        <f t="shared" si="66"/>
        <v>0.4826086956521739</v>
      </c>
      <c r="R885" s="2" t="str">
        <f t="shared" si="67"/>
        <v>Inefficient</v>
      </c>
      <c r="S885" s="2" t="str">
        <f t="shared" si="68"/>
        <v>Very Long</v>
      </c>
      <c r="T885" s="2" t="str">
        <f t="shared" si="69"/>
        <v>Major Delay</v>
      </c>
    </row>
    <row r="886" spans="1:20" x14ac:dyDescent="0.35">
      <c r="A886" s="2" t="s">
        <v>1955</v>
      </c>
      <c r="B886" s="2" t="s">
        <v>31</v>
      </c>
      <c r="C886" s="2" t="s">
        <v>1956</v>
      </c>
      <c r="D886" s="2" t="s">
        <v>18</v>
      </c>
      <c r="E886" s="2" t="s">
        <v>85</v>
      </c>
      <c r="F886" s="2" t="s">
        <v>39</v>
      </c>
      <c r="G886" s="2" t="s">
        <v>194</v>
      </c>
      <c r="H886" s="3">
        <v>45495.792361111111</v>
      </c>
      <c r="I886" s="3">
        <v>45495.871527777781</v>
      </c>
      <c r="J886" s="2">
        <v>33</v>
      </c>
      <c r="K886" s="2">
        <v>114</v>
      </c>
      <c r="L886" s="2">
        <v>1</v>
      </c>
      <c r="M886" s="2" t="s">
        <v>29</v>
      </c>
      <c r="N886" s="2">
        <v>2</v>
      </c>
      <c r="O886" s="2">
        <v>160.97</v>
      </c>
      <c r="P886" s="2">
        <f t="shared" si="65"/>
        <v>81</v>
      </c>
      <c r="Q886" s="4">
        <f t="shared" si="66"/>
        <v>0.28947368421052633</v>
      </c>
      <c r="R886" s="2" t="str">
        <f t="shared" si="67"/>
        <v>Inefficient</v>
      </c>
      <c r="S886" s="2" t="str">
        <f t="shared" si="68"/>
        <v>Long</v>
      </c>
      <c r="T886" s="2" t="str">
        <f t="shared" si="69"/>
        <v>Major Delay</v>
      </c>
    </row>
    <row r="887" spans="1:20" x14ac:dyDescent="0.35">
      <c r="A887" s="2" t="s">
        <v>1957</v>
      </c>
      <c r="B887" s="2" t="s">
        <v>63</v>
      </c>
      <c r="C887" s="2" t="s">
        <v>1958</v>
      </c>
      <c r="D887" s="2" t="s">
        <v>56</v>
      </c>
      <c r="E887" s="2" t="s">
        <v>19</v>
      </c>
      <c r="F887" s="2" t="s">
        <v>27</v>
      </c>
      <c r="G887" s="2" t="s">
        <v>265</v>
      </c>
      <c r="H887" s="3">
        <v>45548.848611111112</v>
      </c>
      <c r="I887" s="3">
        <v>45548.931250000001</v>
      </c>
      <c r="J887" s="2">
        <v>26</v>
      </c>
      <c r="K887" s="2">
        <v>119</v>
      </c>
      <c r="L887" s="2">
        <v>1</v>
      </c>
      <c r="M887" s="2" t="s">
        <v>29</v>
      </c>
      <c r="N887" s="2">
        <v>3</v>
      </c>
      <c r="O887" s="2">
        <v>477.42</v>
      </c>
      <c r="P887" s="2">
        <f t="shared" si="65"/>
        <v>93</v>
      </c>
      <c r="Q887" s="4">
        <f t="shared" si="66"/>
        <v>0.21848739495798319</v>
      </c>
      <c r="R887" s="2" t="str">
        <f t="shared" si="67"/>
        <v>Inefficient</v>
      </c>
      <c r="S887" s="2" t="str">
        <f t="shared" si="68"/>
        <v>Long</v>
      </c>
      <c r="T887" s="2" t="str">
        <f t="shared" si="69"/>
        <v>Major Delay</v>
      </c>
    </row>
    <row r="888" spans="1:20" x14ac:dyDescent="0.35">
      <c r="A888" s="2" t="s">
        <v>1959</v>
      </c>
      <c r="B888" s="2" t="s">
        <v>63</v>
      </c>
      <c r="C888" s="2" t="s">
        <v>1960</v>
      </c>
      <c r="D888" s="2" t="s">
        <v>26</v>
      </c>
      <c r="E888" s="2" t="s">
        <v>85</v>
      </c>
      <c r="F888" s="2" t="s">
        <v>39</v>
      </c>
      <c r="G888" s="2" t="s">
        <v>599</v>
      </c>
      <c r="H888" s="3">
        <v>45328.289583333331</v>
      </c>
      <c r="I888" s="3">
        <v>45328.42291666667</v>
      </c>
      <c r="J888" s="2">
        <v>173</v>
      </c>
      <c r="K888" s="2">
        <v>192</v>
      </c>
      <c r="L888" s="2">
        <v>1</v>
      </c>
      <c r="M888" s="2" t="s">
        <v>22</v>
      </c>
      <c r="N888" s="2">
        <v>10</v>
      </c>
      <c r="O888" s="2">
        <v>471.17</v>
      </c>
      <c r="P888" s="2">
        <f t="shared" si="65"/>
        <v>19</v>
      </c>
      <c r="Q888" s="4">
        <f t="shared" si="66"/>
        <v>0.90104166666666663</v>
      </c>
      <c r="R888" s="2" t="str">
        <f t="shared" si="67"/>
        <v>Inefficient</v>
      </c>
      <c r="S888" s="2" t="str">
        <f t="shared" si="68"/>
        <v>Very Long</v>
      </c>
      <c r="T888" s="2" t="str">
        <f t="shared" si="69"/>
        <v>Minor Delay</v>
      </c>
    </row>
    <row r="889" spans="1:20" x14ac:dyDescent="0.35">
      <c r="A889" s="2" t="s">
        <v>1961</v>
      </c>
      <c r="B889" s="2" t="s">
        <v>24</v>
      </c>
      <c r="C889" s="2" t="s">
        <v>1962</v>
      </c>
      <c r="D889" s="2" t="s">
        <v>56</v>
      </c>
      <c r="E889" s="2" t="s">
        <v>33</v>
      </c>
      <c r="F889" s="2" t="s">
        <v>34</v>
      </c>
      <c r="G889" s="2" t="s">
        <v>1622</v>
      </c>
      <c r="H889" s="3">
        <v>45549.681250000001</v>
      </c>
      <c r="I889" s="3">
        <v>45549.929166666669</v>
      </c>
      <c r="J889" s="2">
        <v>240</v>
      </c>
      <c r="K889" s="2">
        <v>357</v>
      </c>
      <c r="L889" s="2">
        <v>1</v>
      </c>
      <c r="M889" s="2" t="s">
        <v>29</v>
      </c>
      <c r="N889" s="2">
        <v>6</v>
      </c>
      <c r="O889" s="2">
        <v>440.1</v>
      </c>
      <c r="P889" s="2">
        <f t="shared" si="65"/>
        <v>117</v>
      </c>
      <c r="Q889" s="4">
        <f t="shared" si="66"/>
        <v>0.67226890756302526</v>
      </c>
      <c r="R889" s="2" t="str">
        <f t="shared" si="67"/>
        <v>Inefficient</v>
      </c>
      <c r="S889" s="2" t="str">
        <f t="shared" si="68"/>
        <v>Very Long</v>
      </c>
      <c r="T889" s="2" t="str">
        <f t="shared" si="69"/>
        <v>Major Delay</v>
      </c>
    </row>
    <row r="890" spans="1:20" x14ac:dyDescent="0.35">
      <c r="A890" s="2" t="s">
        <v>1963</v>
      </c>
      <c r="B890" s="2" t="s">
        <v>24</v>
      </c>
      <c r="C890" s="2" t="s">
        <v>1964</v>
      </c>
      <c r="D890" s="2" t="s">
        <v>56</v>
      </c>
      <c r="E890" s="2" t="s">
        <v>85</v>
      </c>
      <c r="F890" s="2" t="s">
        <v>39</v>
      </c>
      <c r="G890" s="2" t="s">
        <v>61</v>
      </c>
      <c r="H890" s="3">
        <v>45610.326388888891</v>
      </c>
      <c r="I890" s="3">
        <v>45610.506249999999</v>
      </c>
      <c r="J890" s="2">
        <v>199</v>
      </c>
      <c r="K890" s="2">
        <v>259</v>
      </c>
      <c r="L890" s="2">
        <v>1</v>
      </c>
      <c r="M890" s="2" t="s">
        <v>22</v>
      </c>
      <c r="N890" s="2">
        <v>9</v>
      </c>
      <c r="O890" s="2">
        <v>132.24</v>
      </c>
      <c r="P890" s="2">
        <f t="shared" si="65"/>
        <v>60</v>
      </c>
      <c r="Q890" s="4">
        <f t="shared" si="66"/>
        <v>0.76833976833976836</v>
      </c>
      <c r="R890" s="2" t="str">
        <f t="shared" si="67"/>
        <v>Inefficient</v>
      </c>
      <c r="S890" s="2" t="str">
        <f t="shared" si="68"/>
        <v>Very Long</v>
      </c>
      <c r="T890" s="2" t="str">
        <f t="shared" si="69"/>
        <v>Major Delay</v>
      </c>
    </row>
    <row r="891" spans="1:20" x14ac:dyDescent="0.35">
      <c r="A891" s="2" t="s">
        <v>1965</v>
      </c>
      <c r="B891" s="2" t="s">
        <v>51</v>
      </c>
      <c r="C891" s="2" t="s">
        <v>1966</v>
      </c>
      <c r="D891" s="2" t="s">
        <v>44</v>
      </c>
      <c r="E891" s="2" t="s">
        <v>85</v>
      </c>
      <c r="F891" s="2" t="s">
        <v>20</v>
      </c>
      <c r="G891" s="2" t="s">
        <v>316</v>
      </c>
      <c r="H891" s="3">
        <v>45562.910416666666</v>
      </c>
      <c r="I891" s="3">
        <v>45562.988194444442</v>
      </c>
      <c r="J891" s="2">
        <v>40</v>
      </c>
      <c r="K891" s="2">
        <v>112</v>
      </c>
      <c r="L891" s="2">
        <v>1</v>
      </c>
      <c r="M891" s="2" t="s">
        <v>29</v>
      </c>
      <c r="N891" s="2">
        <v>1</v>
      </c>
      <c r="O891" s="2">
        <v>250.39</v>
      </c>
      <c r="P891" s="2">
        <f t="shared" si="65"/>
        <v>72</v>
      </c>
      <c r="Q891" s="4">
        <f t="shared" si="66"/>
        <v>0.35714285714285715</v>
      </c>
      <c r="R891" s="2" t="str">
        <f t="shared" si="67"/>
        <v>Inefficient</v>
      </c>
      <c r="S891" s="2" t="str">
        <f t="shared" si="68"/>
        <v>Long</v>
      </c>
      <c r="T891" s="2" t="str">
        <f t="shared" si="69"/>
        <v>Major Delay</v>
      </c>
    </row>
    <row r="892" spans="1:20" x14ac:dyDescent="0.35">
      <c r="A892" s="2" t="s">
        <v>1967</v>
      </c>
      <c r="B892" s="2" t="s">
        <v>24</v>
      </c>
      <c r="C892" s="2" t="s">
        <v>1968</v>
      </c>
      <c r="D892" s="2" t="s">
        <v>18</v>
      </c>
      <c r="E892" s="2" t="s">
        <v>19</v>
      </c>
      <c r="F892" s="2" t="s">
        <v>39</v>
      </c>
      <c r="G892" s="2" t="s">
        <v>91</v>
      </c>
      <c r="H892" s="3">
        <v>45430.606249999997</v>
      </c>
      <c r="I892" s="3">
        <v>45430.674305555556</v>
      </c>
      <c r="J892" s="2">
        <v>48</v>
      </c>
      <c r="K892" s="2">
        <v>98</v>
      </c>
      <c r="L892" s="2">
        <v>1</v>
      </c>
      <c r="M892" s="2" t="s">
        <v>22</v>
      </c>
      <c r="N892" s="2">
        <v>2</v>
      </c>
      <c r="O892" s="2">
        <v>68.23</v>
      </c>
      <c r="P892" s="2">
        <f t="shared" si="65"/>
        <v>50</v>
      </c>
      <c r="Q892" s="4">
        <f t="shared" si="66"/>
        <v>0.48979591836734693</v>
      </c>
      <c r="R892" s="2" t="str">
        <f t="shared" si="67"/>
        <v>Inefficient</v>
      </c>
      <c r="S892" s="2" t="str">
        <f t="shared" si="68"/>
        <v>Long</v>
      </c>
      <c r="T892" s="2" t="str">
        <f t="shared" si="69"/>
        <v>Major Delay</v>
      </c>
    </row>
    <row r="893" spans="1:20" x14ac:dyDescent="0.35">
      <c r="A893" s="2" t="s">
        <v>1969</v>
      </c>
      <c r="B893" s="2" t="s">
        <v>51</v>
      </c>
      <c r="C893" s="2" t="s">
        <v>1970</v>
      </c>
      <c r="D893" s="2" t="s">
        <v>26</v>
      </c>
      <c r="E893" s="2" t="s">
        <v>38</v>
      </c>
      <c r="F893" s="2" t="s">
        <v>57</v>
      </c>
      <c r="G893" s="2" t="s">
        <v>194</v>
      </c>
      <c r="H893" s="3">
        <v>45562.89166666667</v>
      </c>
      <c r="I893" s="3">
        <v>45563.030555555553</v>
      </c>
      <c r="J893" s="2">
        <v>123</v>
      </c>
      <c r="K893" s="2">
        <v>200</v>
      </c>
      <c r="L893" s="2">
        <v>1</v>
      </c>
      <c r="M893" s="2" t="s">
        <v>29</v>
      </c>
      <c r="N893" s="2">
        <v>3</v>
      </c>
      <c r="O893" s="2">
        <v>388.19</v>
      </c>
      <c r="P893" s="2">
        <f t="shared" si="65"/>
        <v>77</v>
      </c>
      <c r="Q893" s="4">
        <f t="shared" si="66"/>
        <v>0.61499999999999999</v>
      </c>
      <c r="R893" s="2" t="str">
        <f t="shared" si="67"/>
        <v>Inefficient</v>
      </c>
      <c r="S893" s="2" t="str">
        <f t="shared" si="68"/>
        <v>Very Long</v>
      </c>
      <c r="T893" s="2" t="str">
        <f t="shared" si="69"/>
        <v>Major Delay</v>
      </c>
    </row>
    <row r="894" spans="1:20" x14ac:dyDescent="0.35">
      <c r="A894" s="2" t="s">
        <v>1971</v>
      </c>
      <c r="B894" s="2" t="s">
        <v>31</v>
      </c>
      <c r="C894" s="2" t="s">
        <v>1972</v>
      </c>
      <c r="D894" s="2" t="s">
        <v>18</v>
      </c>
      <c r="E894" s="2" t="s">
        <v>38</v>
      </c>
      <c r="F894" s="2" t="s">
        <v>27</v>
      </c>
      <c r="G894" s="2" t="s">
        <v>123</v>
      </c>
      <c r="H894" s="3">
        <v>45470.29583333333</v>
      </c>
      <c r="I894" s="3">
        <v>45470.372916666667</v>
      </c>
      <c r="J894" s="2">
        <v>43</v>
      </c>
      <c r="K894" s="2">
        <v>111</v>
      </c>
      <c r="L894" s="2">
        <v>1</v>
      </c>
      <c r="M894" s="2" t="s">
        <v>22</v>
      </c>
      <c r="N894" s="2">
        <v>8</v>
      </c>
      <c r="O894" s="2">
        <v>134.16</v>
      </c>
      <c r="P894" s="2">
        <f t="shared" si="65"/>
        <v>68</v>
      </c>
      <c r="Q894" s="4">
        <f t="shared" si="66"/>
        <v>0.38738738738738737</v>
      </c>
      <c r="R894" s="2" t="str">
        <f t="shared" si="67"/>
        <v>Inefficient</v>
      </c>
      <c r="S894" s="2" t="str">
        <f t="shared" si="68"/>
        <v>Long</v>
      </c>
      <c r="T894" s="2" t="str">
        <f t="shared" si="69"/>
        <v>Major Delay</v>
      </c>
    </row>
    <row r="895" spans="1:20" x14ac:dyDescent="0.35">
      <c r="A895" s="2" t="s">
        <v>1973</v>
      </c>
      <c r="B895" s="2" t="s">
        <v>51</v>
      </c>
      <c r="C895" s="2" t="s">
        <v>1974</v>
      </c>
      <c r="D895" s="2" t="s">
        <v>26</v>
      </c>
      <c r="E895" s="2" t="s">
        <v>85</v>
      </c>
      <c r="F895" s="2" t="s">
        <v>57</v>
      </c>
      <c r="G895" s="2" t="s">
        <v>114</v>
      </c>
      <c r="H895" s="3">
        <v>45417.104166666664</v>
      </c>
      <c r="I895" s="3">
        <v>45417.180555555555</v>
      </c>
      <c r="J895" s="2">
        <v>109</v>
      </c>
      <c r="K895" s="2">
        <v>110</v>
      </c>
      <c r="L895" s="2">
        <v>1</v>
      </c>
      <c r="M895" s="2" t="s">
        <v>22</v>
      </c>
      <c r="N895" s="2">
        <v>10</v>
      </c>
      <c r="O895" s="2">
        <v>388.59</v>
      </c>
      <c r="P895" s="2">
        <f t="shared" si="65"/>
        <v>1</v>
      </c>
      <c r="Q895" s="4">
        <f t="shared" si="66"/>
        <v>0.99090909090909096</v>
      </c>
      <c r="R895" s="2" t="str">
        <f t="shared" si="67"/>
        <v>Inefficient</v>
      </c>
      <c r="S895" s="2" t="str">
        <f t="shared" si="68"/>
        <v>Long</v>
      </c>
      <c r="T895" s="2" t="str">
        <f t="shared" si="69"/>
        <v>Minor Delay</v>
      </c>
    </row>
    <row r="896" spans="1:20" x14ac:dyDescent="0.35">
      <c r="A896" s="2" t="s">
        <v>1975</v>
      </c>
      <c r="B896" s="2" t="s">
        <v>63</v>
      </c>
      <c r="C896" s="2" t="s">
        <v>1976</v>
      </c>
      <c r="D896" s="2" t="s">
        <v>48</v>
      </c>
      <c r="E896" s="2" t="s">
        <v>19</v>
      </c>
      <c r="F896" s="2" t="s">
        <v>27</v>
      </c>
      <c r="G896" s="2" t="s">
        <v>265</v>
      </c>
      <c r="H896" s="3">
        <v>45496.429166666669</v>
      </c>
      <c r="I896" s="3">
        <v>45496.648611111108</v>
      </c>
      <c r="J896" s="2">
        <v>226</v>
      </c>
      <c r="K896" s="2">
        <v>316</v>
      </c>
      <c r="L896" s="2">
        <v>1</v>
      </c>
      <c r="M896" s="2" t="s">
        <v>41</v>
      </c>
      <c r="N896" s="2">
        <v>4</v>
      </c>
      <c r="O896" s="2">
        <v>174.13</v>
      </c>
      <c r="P896" s="2">
        <f t="shared" si="65"/>
        <v>90</v>
      </c>
      <c r="Q896" s="4">
        <f t="shared" si="66"/>
        <v>0.71518987341772156</v>
      </c>
      <c r="R896" s="2" t="str">
        <f t="shared" si="67"/>
        <v>Inefficient</v>
      </c>
      <c r="S896" s="2" t="str">
        <f t="shared" si="68"/>
        <v>Very Long</v>
      </c>
      <c r="T896" s="2" t="str">
        <f t="shared" si="69"/>
        <v>Major Delay</v>
      </c>
    </row>
    <row r="897" spans="1:20" x14ac:dyDescent="0.35">
      <c r="A897" s="2" t="s">
        <v>1977</v>
      </c>
      <c r="B897" s="2" t="s">
        <v>16</v>
      </c>
      <c r="C897" s="2" t="s">
        <v>1978</v>
      </c>
      <c r="D897" s="2" t="s">
        <v>48</v>
      </c>
      <c r="E897" s="2" t="s">
        <v>19</v>
      </c>
      <c r="F897" s="2" t="s">
        <v>27</v>
      </c>
      <c r="G897" s="2" t="s">
        <v>82</v>
      </c>
      <c r="H897" s="3">
        <v>45494.682638888888</v>
      </c>
      <c r="I897" s="3">
        <v>45494.876388888886</v>
      </c>
      <c r="J897" s="2">
        <v>188</v>
      </c>
      <c r="K897" s="2">
        <v>279</v>
      </c>
      <c r="L897" s="2">
        <v>1</v>
      </c>
      <c r="M897" s="2" t="s">
        <v>29</v>
      </c>
      <c r="N897" s="2">
        <v>2</v>
      </c>
      <c r="O897" s="2">
        <v>467.33</v>
      </c>
      <c r="P897" s="2">
        <f t="shared" si="65"/>
        <v>91</v>
      </c>
      <c r="Q897" s="4">
        <f t="shared" si="66"/>
        <v>0.6738351254480287</v>
      </c>
      <c r="R897" s="2" t="str">
        <f t="shared" si="67"/>
        <v>Inefficient</v>
      </c>
      <c r="S897" s="2" t="str">
        <f t="shared" si="68"/>
        <v>Very Long</v>
      </c>
      <c r="T897" s="2" t="str">
        <f t="shared" si="69"/>
        <v>Major Delay</v>
      </c>
    </row>
    <row r="898" spans="1:20" x14ac:dyDescent="0.35">
      <c r="A898" s="2" t="s">
        <v>1979</v>
      </c>
      <c r="B898" s="2" t="s">
        <v>63</v>
      </c>
      <c r="C898" s="2" t="s">
        <v>1980</v>
      </c>
      <c r="D898" s="2" t="s">
        <v>26</v>
      </c>
      <c r="E898" s="2" t="s">
        <v>85</v>
      </c>
      <c r="F898" s="2" t="s">
        <v>39</v>
      </c>
      <c r="G898" s="2" t="s">
        <v>647</v>
      </c>
      <c r="H898" s="3">
        <v>45346.119444444441</v>
      </c>
      <c r="I898" s="3">
        <v>45346.174305555556</v>
      </c>
      <c r="J898" s="2">
        <v>33</v>
      </c>
      <c r="K898" s="2">
        <v>79</v>
      </c>
      <c r="L898" s="2">
        <v>1</v>
      </c>
      <c r="M898" s="2" t="s">
        <v>41</v>
      </c>
      <c r="N898" s="2">
        <v>8</v>
      </c>
      <c r="O898" s="2">
        <v>460.2</v>
      </c>
      <c r="P898" s="2">
        <f t="shared" si="65"/>
        <v>46</v>
      </c>
      <c r="Q898" s="4">
        <f t="shared" si="66"/>
        <v>0.41772151898734178</v>
      </c>
      <c r="R898" s="2" t="str">
        <f t="shared" si="67"/>
        <v>Inefficient</v>
      </c>
      <c r="S898" s="2" t="str">
        <f t="shared" si="68"/>
        <v>Long</v>
      </c>
      <c r="T898" s="2" t="str">
        <f t="shared" si="69"/>
        <v>Major Delay</v>
      </c>
    </row>
    <row r="899" spans="1:20" x14ac:dyDescent="0.35">
      <c r="A899" s="2" t="s">
        <v>1981</v>
      </c>
      <c r="B899" s="2" t="s">
        <v>16</v>
      </c>
      <c r="C899" s="2" t="s">
        <v>1982</v>
      </c>
      <c r="D899" s="2" t="s">
        <v>56</v>
      </c>
      <c r="E899" s="2" t="s">
        <v>33</v>
      </c>
      <c r="F899" s="2" t="s">
        <v>57</v>
      </c>
      <c r="G899" s="2" t="s">
        <v>231</v>
      </c>
      <c r="H899" s="3">
        <v>45591.571527777778</v>
      </c>
      <c r="I899" s="3">
        <v>45591.75</v>
      </c>
      <c r="J899" s="2">
        <v>233</v>
      </c>
      <c r="K899" s="2">
        <v>257</v>
      </c>
      <c r="L899" s="2">
        <v>1</v>
      </c>
      <c r="M899" s="2" t="s">
        <v>29</v>
      </c>
      <c r="N899" s="2">
        <v>8</v>
      </c>
      <c r="O899" s="2">
        <v>174.92</v>
      </c>
      <c r="P899" s="2">
        <f t="shared" ref="P899:P962" si="70">K899-J899</f>
        <v>24</v>
      </c>
      <c r="Q899" s="4">
        <f t="shared" ref="Q899:Q962" si="71">J899/K899</f>
        <v>0.9066147859922179</v>
      </c>
      <c r="R899" s="2" t="str">
        <f t="shared" ref="R899:R962" si="72">IF(Q899&gt;1,"Efficient",
IF(Q899=1,"On Target","Inefficient"))</f>
        <v>Inefficient</v>
      </c>
      <c r="S899" s="2" t="str">
        <f t="shared" ref="S899:S962" si="73">IF(K899&lt;30,"Short",
IF(K899&lt;60,"Medium",
IF(K899&lt;120,"Long","Very Long")))</f>
        <v>Very Long</v>
      </c>
      <c r="T899" s="2" t="str">
        <f t="shared" ref="T899:T962" si="74">IF(K899&lt;=J899,"On Time",
IF(K899-J899&lt;=30,"Minor Delay","Major Delay"))</f>
        <v>Minor Delay</v>
      </c>
    </row>
    <row r="900" spans="1:20" x14ac:dyDescent="0.35">
      <c r="A900" s="2" t="s">
        <v>1983</v>
      </c>
      <c r="B900" s="2" t="s">
        <v>24</v>
      </c>
      <c r="C900" s="2" t="s">
        <v>1984</v>
      </c>
      <c r="D900" s="2" t="s">
        <v>18</v>
      </c>
      <c r="E900" s="2" t="s">
        <v>85</v>
      </c>
      <c r="F900" s="2" t="s">
        <v>20</v>
      </c>
      <c r="G900" s="2" t="s">
        <v>251</v>
      </c>
      <c r="H900" s="3">
        <v>45623.508333333331</v>
      </c>
      <c r="I900" s="3">
        <v>45623.611805555556</v>
      </c>
      <c r="J900" s="2">
        <v>89</v>
      </c>
      <c r="K900" s="2">
        <v>149</v>
      </c>
      <c r="L900" s="2">
        <v>1</v>
      </c>
      <c r="M900" s="2" t="s">
        <v>41</v>
      </c>
      <c r="N900" s="2">
        <v>1</v>
      </c>
      <c r="O900" s="2">
        <v>340.28</v>
      </c>
      <c r="P900" s="2">
        <f t="shared" si="70"/>
        <v>60</v>
      </c>
      <c r="Q900" s="4">
        <f t="shared" si="71"/>
        <v>0.59731543624161076</v>
      </c>
      <c r="R900" s="2" t="str">
        <f t="shared" si="72"/>
        <v>Inefficient</v>
      </c>
      <c r="S900" s="2" t="str">
        <f t="shared" si="73"/>
        <v>Very Long</v>
      </c>
      <c r="T900" s="2" t="str">
        <f t="shared" si="74"/>
        <v>Major Delay</v>
      </c>
    </row>
    <row r="901" spans="1:20" x14ac:dyDescent="0.35">
      <c r="A901" s="2" t="s">
        <v>1985</v>
      </c>
      <c r="B901" s="2" t="s">
        <v>63</v>
      </c>
      <c r="C901" s="2" t="s">
        <v>1986</v>
      </c>
      <c r="D901" s="2" t="s">
        <v>48</v>
      </c>
      <c r="E901" s="2" t="s">
        <v>85</v>
      </c>
      <c r="F901" s="2" t="s">
        <v>27</v>
      </c>
      <c r="G901" s="2" t="s">
        <v>777</v>
      </c>
      <c r="H901" s="3">
        <v>45548.705555555556</v>
      </c>
      <c r="I901" s="3">
        <v>45548.785416666666</v>
      </c>
      <c r="J901" s="2">
        <v>73</v>
      </c>
      <c r="K901" s="2">
        <v>115</v>
      </c>
      <c r="L901" s="2">
        <v>1</v>
      </c>
      <c r="M901" s="2" t="s">
        <v>22</v>
      </c>
      <c r="N901" s="2">
        <v>7</v>
      </c>
      <c r="O901" s="2">
        <v>423.08</v>
      </c>
      <c r="P901" s="2">
        <f t="shared" si="70"/>
        <v>42</v>
      </c>
      <c r="Q901" s="4">
        <f t="shared" si="71"/>
        <v>0.63478260869565217</v>
      </c>
      <c r="R901" s="2" t="str">
        <f t="shared" si="72"/>
        <v>Inefficient</v>
      </c>
      <c r="S901" s="2" t="str">
        <f t="shared" si="73"/>
        <v>Long</v>
      </c>
      <c r="T901" s="2" t="str">
        <f t="shared" si="74"/>
        <v>Major Delay</v>
      </c>
    </row>
    <row r="902" spans="1:20" x14ac:dyDescent="0.35">
      <c r="A902" s="2" t="s">
        <v>1987</v>
      </c>
      <c r="B902" s="2" t="s">
        <v>31</v>
      </c>
      <c r="C902" s="2" t="s">
        <v>1988</v>
      </c>
      <c r="D902" s="2" t="s">
        <v>18</v>
      </c>
      <c r="E902" s="2" t="s">
        <v>19</v>
      </c>
      <c r="F902" s="2" t="s">
        <v>57</v>
      </c>
      <c r="G902" s="2" t="s">
        <v>152</v>
      </c>
      <c r="H902" s="3">
        <v>45403.843055555553</v>
      </c>
      <c r="I902" s="3">
        <v>45404.038888888892</v>
      </c>
      <c r="J902" s="2">
        <v>239</v>
      </c>
      <c r="K902" s="2">
        <v>282</v>
      </c>
      <c r="L902" s="2">
        <v>1</v>
      </c>
      <c r="M902" s="2" t="s">
        <v>41</v>
      </c>
      <c r="N902" s="2">
        <v>5</v>
      </c>
      <c r="O902" s="2">
        <v>332.2</v>
      </c>
      <c r="P902" s="2">
        <f t="shared" si="70"/>
        <v>43</v>
      </c>
      <c r="Q902" s="4">
        <f t="shared" si="71"/>
        <v>0.84751773049645385</v>
      </c>
      <c r="R902" s="2" t="str">
        <f t="shared" si="72"/>
        <v>Inefficient</v>
      </c>
      <c r="S902" s="2" t="str">
        <f t="shared" si="73"/>
        <v>Very Long</v>
      </c>
      <c r="T902" s="2" t="str">
        <f t="shared" si="74"/>
        <v>Major Delay</v>
      </c>
    </row>
    <row r="903" spans="1:20" x14ac:dyDescent="0.35">
      <c r="A903" s="2" t="s">
        <v>1989</v>
      </c>
      <c r="B903" s="2" t="s">
        <v>51</v>
      </c>
      <c r="C903" s="2" t="s">
        <v>1990</v>
      </c>
      <c r="D903" s="2" t="s">
        <v>48</v>
      </c>
      <c r="E903" s="2" t="s">
        <v>38</v>
      </c>
      <c r="F903" s="2" t="s">
        <v>20</v>
      </c>
      <c r="G903" s="2" t="s">
        <v>500</v>
      </c>
      <c r="H903" s="3">
        <v>45479.45416666667</v>
      </c>
      <c r="I903" s="3">
        <v>45479.661805555559</v>
      </c>
      <c r="J903" s="2">
        <v>192</v>
      </c>
      <c r="K903" s="2">
        <v>299</v>
      </c>
      <c r="L903" s="2">
        <v>1</v>
      </c>
      <c r="M903" s="2" t="s">
        <v>29</v>
      </c>
      <c r="N903" s="2">
        <v>6</v>
      </c>
      <c r="O903" s="2">
        <v>462.38</v>
      </c>
      <c r="P903" s="2">
        <f t="shared" si="70"/>
        <v>107</v>
      </c>
      <c r="Q903" s="4">
        <f t="shared" si="71"/>
        <v>0.64214046822742477</v>
      </c>
      <c r="R903" s="2" t="str">
        <f t="shared" si="72"/>
        <v>Inefficient</v>
      </c>
      <c r="S903" s="2" t="str">
        <f t="shared" si="73"/>
        <v>Very Long</v>
      </c>
      <c r="T903" s="2" t="str">
        <f t="shared" si="74"/>
        <v>Major Delay</v>
      </c>
    </row>
    <row r="904" spans="1:20" x14ac:dyDescent="0.35">
      <c r="A904" s="2" t="s">
        <v>1991</v>
      </c>
      <c r="B904" s="2" t="s">
        <v>24</v>
      </c>
      <c r="C904" s="2" t="s">
        <v>1992</v>
      </c>
      <c r="D904" s="2" t="s">
        <v>26</v>
      </c>
      <c r="E904" s="2" t="s">
        <v>38</v>
      </c>
      <c r="F904" s="2" t="s">
        <v>57</v>
      </c>
      <c r="G904" s="2" t="s">
        <v>430</v>
      </c>
      <c r="H904" s="3">
        <v>45460.805555555555</v>
      </c>
      <c r="I904" s="3">
        <v>45460.897916666669</v>
      </c>
      <c r="J904" s="2">
        <v>51</v>
      </c>
      <c r="K904" s="2">
        <v>133</v>
      </c>
      <c r="L904" s="2">
        <v>1</v>
      </c>
      <c r="M904" s="2" t="s">
        <v>29</v>
      </c>
      <c r="N904" s="2">
        <v>4</v>
      </c>
      <c r="O904" s="2">
        <v>67.86</v>
      </c>
      <c r="P904" s="2">
        <f t="shared" si="70"/>
        <v>82</v>
      </c>
      <c r="Q904" s="4">
        <f t="shared" si="71"/>
        <v>0.38345864661654133</v>
      </c>
      <c r="R904" s="2" t="str">
        <f t="shared" si="72"/>
        <v>Inefficient</v>
      </c>
      <c r="S904" s="2" t="str">
        <f t="shared" si="73"/>
        <v>Very Long</v>
      </c>
      <c r="T904" s="2" t="str">
        <f t="shared" si="74"/>
        <v>Major Delay</v>
      </c>
    </row>
    <row r="905" spans="1:20" x14ac:dyDescent="0.35">
      <c r="A905" s="2" t="s">
        <v>1993</v>
      </c>
      <c r="B905" s="2" t="s">
        <v>51</v>
      </c>
      <c r="C905" s="2" t="s">
        <v>1994</v>
      </c>
      <c r="D905" s="2" t="s">
        <v>44</v>
      </c>
      <c r="E905" s="2" t="s">
        <v>85</v>
      </c>
      <c r="F905" s="2" t="s">
        <v>34</v>
      </c>
      <c r="G905" s="2" t="s">
        <v>259</v>
      </c>
      <c r="H905" s="3">
        <v>45336.046527777777</v>
      </c>
      <c r="I905" s="3">
        <v>45336.120833333334</v>
      </c>
      <c r="J905" s="2">
        <v>59</v>
      </c>
      <c r="K905" s="2">
        <v>107</v>
      </c>
      <c r="L905" s="2">
        <v>1</v>
      </c>
      <c r="M905" s="2" t="s">
        <v>29</v>
      </c>
      <c r="N905" s="2">
        <v>6</v>
      </c>
      <c r="O905" s="2">
        <v>88.9</v>
      </c>
      <c r="P905" s="2">
        <f t="shared" si="70"/>
        <v>48</v>
      </c>
      <c r="Q905" s="4">
        <f t="shared" si="71"/>
        <v>0.55140186915887845</v>
      </c>
      <c r="R905" s="2" t="str">
        <f t="shared" si="72"/>
        <v>Inefficient</v>
      </c>
      <c r="S905" s="2" t="str">
        <f t="shared" si="73"/>
        <v>Long</v>
      </c>
      <c r="T905" s="2" t="str">
        <f t="shared" si="74"/>
        <v>Major Delay</v>
      </c>
    </row>
    <row r="906" spans="1:20" x14ac:dyDescent="0.35">
      <c r="A906" s="2" t="s">
        <v>1995</v>
      </c>
      <c r="B906" s="2" t="s">
        <v>16</v>
      </c>
      <c r="C906" s="2" t="s">
        <v>1996</v>
      </c>
      <c r="D906" s="2" t="s">
        <v>44</v>
      </c>
      <c r="E906" s="2" t="s">
        <v>38</v>
      </c>
      <c r="F906" s="2" t="s">
        <v>20</v>
      </c>
      <c r="G906" s="2" t="s">
        <v>126</v>
      </c>
      <c r="H906" s="3">
        <v>45576.864583333336</v>
      </c>
      <c r="I906" s="3">
        <v>45577.011111111111</v>
      </c>
      <c r="J906" s="2">
        <v>106</v>
      </c>
      <c r="K906" s="2">
        <v>211</v>
      </c>
      <c r="L906" s="2">
        <v>1</v>
      </c>
      <c r="M906" s="2" t="s">
        <v>29</v>
      </c>
      <c r="N906" s="2">
        <v>7</v>
      </c>
      <c r="O906" s="2">
        <v>208.05</v>
      </c>
      <c r="P906" s="2">
        <f t="shared" si="70"/>
        <v>105</v>
      </c>
      <c r="Q906" s="4">
        <f t="shared" si="71"/>
        <v>0.50236966824644547</v>
      </c>
      <c r="R906" s="2" t="str">
        <f t="shared" si="72"/>
        <v>Inefficient</v>
      </c>
      <c r="S906" s="2" t="str">
        <f t="shared" si="73"/>
        <v>Very Long</v>
      </c>
      <c r="T906" s="2" t="str">
        <f t="shared" si="74"/>
        <v>Major Delay</v>
      </c>
    </row>
    <row r="907" spans="1:20" x14ac:dyDescent="0.35">
      <c r="A907" s="2" t="s">
        <v>1997</v>
      </c>
      <c r="B907" s="2" t="s">
        <v>24</v>
      </c>
      <c r="C907" s="2" t="s">
        <v>1998</v>
      </c>
      <c r="D907" s="2" t="s">
        <v>48</v>
      </c>
      <c r="E907" s="2" t="s">
        <v>19</v>
      </c>
      <c r="F907" s="2" t="s">
        <v>27</v>
      </c>
      <c r="G907" s="2" t="s">
        <v>222</v>
      </c>
      <c r="H907" s="3">
        <v>45431.59652777778</v>
      </c>
      <c r="I907" s="3">
        <v>45431.727083333331</v>
      </c>
      <c r="J907" s="2">
        <v>125</v>
      </c>
      <c r="K907" s="2">
        <v>188</v>
      </c>
      <c r="L907" s="2">
        <v>1</v>
      </c>
      <c r="M907" s="2" t="s">
        <v>29</v>
      </c>
      <c r="N907" s="2">
        <v>7</v>
      </c>
      <c r="O907" s="2">
        <v>150.66999999999999</v>
      </c>
      <c r="P907" s="2">
        <f t="shared" si="70"/>
        <v>63</v>
      </c>
      <c r="Q907" s="4">
        <f t="shared" si="71"/>
        <v>0.66489361702127658</v>
      </c>
      <c r="R907" s="2" t="str">
        <f t="shared" si="72"/>
        <v>Inefficient</v>
      </c>
      <c r="S907" s="2" t="str">
        <f t="shared" si="73"/>
        <v>Very Long</v>
      </c>
      <c r="T907" s="2" t="str">
        <f t="shared" si="74"/>
        <v>Major Delay</v>
      </c>
    </row>
    <row r="908" spans="1:20" x14ac:dyDescent="0.35">
      <c r="A908" s="2" t="s">
        <v>1999</v>
      </c>
      <c r="B908" s="2" t="s">
        <v>51</v>
      </c>
      <c r="C908" s="2" t="s">
        <v>2000</v>
      </c>
      <c r="D908" s="2" t="s">
        <v>48</v>
      </c>
      <c r="E908" s="2" t="s">
        <v>19</v>
      </c>
      <c r="F908" s="2" t="s">
        <v>34</v>
      </c>
      <c r="G908" s="2" t="s">
        <v>602</v>
      </c>
      <c r="H908" s="3">
        <v>45366.978472222225</v>
      </c>
      <c r="I908" s="3">
        <v>45367.058333333334</v>
      </c>
      <c r="J908" s="2">
        <v>40</v>
      </c>
      <c r="K908" s="2">
        <v>115</v>
      </c>
      <c r="L908" s="2">
        <v>1</v>
      </c>
      <c r="M908" s="2" t="s">
        <v>41</v>
      </c>
      <c r="N908" s="2">
        <v>4</v>
      </c>
      <c r="O908" s="2">
        <v>99.73</v>
      </c>
      <c r="P908" s="2">
        <f t="shared" si="70"/>
        <v>75</v>
      </c>
      <c r="Q908" s="4">
        <f t="shared" si="71"/>
        <v>0.34782608695652173</v>
      </c>
      <c r="R908" s="2" t="str">
        <f t="shared" si="72"/>
        <v>Inefficient</v>
      </c>
      <c r="S908" s="2" t="str">
        <f t="shared" si="73"/>
        <v>Long</v>
      </c>
      <c r="T908" s="2" t="str">
        <f t="shared" si="74"/>
        <v>Major Delay</v>
      </c>
    </row>
    <row r="909" spans="1:20" x14ac:dyDescent="0.35">
      <c r="A909" s="2" t="s">
        <v>2001</v>
      </c>
      <c r="B909" s="2" t="s">
        <v>51</v>
      </c>
      <c r="C909" s="2" t="s">
        <v>2002</v>
      </c>
      <c r="D909" s="2" t="s">
        <v>48</v>
      </c>
      <c r="E909" s="2" t="s">
        <v>38</v>
      </c>
      <c r="F909" s="2" t="s">
        <v>20</v>
      </c>
      <c r="G909" s="2" t="s">
        <v>222</v>
      </c>
      <c r="H909" s="3">
        <v>45301.179861111108</v>
      </c>
      <c r="I909" s="3">
        <v>45301.334027777775</v>
      </c>
      <c r="J909" s="2">
        <v>118</v>
      </c>
      <c r="K909" s="2">
        <v>222</v>
      </c>
      <c r="L909" s="2">
        <v>1</v>
      </c>
      <c r="M909" s="2" t="s">
        <v>29</v>
      </c>
      <c r="N909" s="2">
        <v>1</v>
      </c>
      <c r="O909" s="2">
        <v>296</v>
      </c>
      <c r="P909" s="2">
        <f t="shared" si="70"/>
        <v>104</v>
      </c>
      <c r="Q909" s="4">
        <f t="shared" si="71"/>
        <v>0.53153153153153154</v>
      </c>
      <c r="R909" s="2" t="str">
        <f t="shared" si="72"/>
        <v>Inefficient</v>
      </c>
      <c r="S909" s="2" t="str">
        <f t="shared" si="73"/>
        <v>Very Long</v>
      </c>
      <c r="T909" s="2" t="str">
        <f t="shared" si="74"/>
        <v>Major Delay</v>
      </c>
    </row>
    <row r="910" spans="1:20" x14ac:dyDescent="0.35">
      <c r="A910" s="2" t="s">
        <v>2003</v>
      </c>
      <c r="B910" s="2" t="s">
        <v>24</v>
      </c>
      <c r="C910" s="2" t="s">
        <v>2004</v>
      </c>
      <c r="D910" s="2" t="s">
        <v>44</v>
      </c>
      <c r="E910" s="2" t="s">
        <v>85</v>
      </c>
      <c r="F910" s="2" t="s">
        <v>39</v>
      </c>
      <c r="G910" s="2" t="s">
        <v>700</v>
      </c>
      <c r="H910" s="3">
        <v>45424.306250000001</v>
      </c>
      <c r="I910" s="3">
        <v>45424.406944444447</v>
      </c>
      <c r="J910" s="2">
        <v>47</v>
      </c>
      <c r="K910" s="2">
        <v>145</v>
      </c>
      <c r="L910" s="2">
        <v>1</v>
      </c>
      <c r="M910" s="2" t="s">
        <v>22</v>
      </c>
      <c r="N910" s="2">
        <v>7</v>
      </c>
      <c r="O910" s="2">
        <v>407.42</v>
      </c>
      <c r="P910" s="2">
        <f t="shared" si="70"/>
        <v>98</v>
      </c>
      <c r="Q910" s="4">
        <f t="shared" si="71"/>
        <v>0.32413793103448274</v>
      </c>
      <c r="R910" s="2" t="str">
        <f t="shared" si="72"/>
        <v>Inefficient</v>
      </c>
      <c r="S910" s="2" t="str">
        <f t="shared" si="73"/>
        <v>Very Long</v>
      </c>
      <c r="T910" s="2" t="str">
        <f t="shared" si="74"/>
        <v>Major Delay</v>
      </c>
    </row>
    <row r="911" spans="1:20" x14ac:dyDescent="0.35">
      <c r="A911" s="2" t="s">
        <v>2005</v>
      </c>
      <c r="B911" s="2" t="s">
        <v>24</v>
      </c>
      <c r="C911" s="2" t="s">
        <v>2006</v>
      </c>
      <c r="D911" s="2" t="s">
        <v>56</v>
      </c>
      <c r="E911" s="2" t="s">
        <v>85</v>
      </c>
      <c r="F911" s="2" t="s">
        <v>39</v>
      </c>
      <c r="G911" s="2" t="s">
        <v>402</v>
      </c>
      <c r="H911" s="3">
        <v>45491.978472222225</v>
      </c>
      <c r="I911" s="3">
        <v>45492.165277777778</v>
      </c>
      <c r="J911" s="2">
        <v>171</v>
      </c>
      <c r="K911" s="2">
        <v>269</v>
      </c>
      <c r="L911" s="2">
        <v>1</v>
      </c>
      <c r="M911" s="2" t="s">
        <v>22</v>
      </c>
      <c r="N911" s="2">
        <v>9</v>
      </c>
      <c r="O911" s="2">
        <v>277.74</v>
      </c>
      <c r="P911" s="2">
        <f t="shared" si="70"/>
        <v>98</v>
      </c>
      <c r="Q911" s="4">
        <f t="shared" si="71"/>
        <v>0.63568773234200748</v>
      </c>
      <c r="R911" s="2" t="str">
        <f t="shared" si="72"/>
        <v>Inefficient</v>
      </c>
      <c r="S911" s="2" t="str">
        <f t="shared" si="73"/>
        <v>Very Long</v>
      </c>
      <c r="T911" s="2" t="str">
        <f t="shared" si="74"/>
        <v>Major Delay</v>
      </c>
    </row>
    <row r="912" spans="1:20" x14ac:dyDescent="0.35">
      <c r="A912" s="2" t="s">
        <v>2007</v>
      </c>
      <c r="B912" s="2" t="s">
        <v>24</v>
      </c>
      <c r="C912" s="2" t="s">
        <v>2008</v>
      </c>
      <c r="D912" s="2" t="s">
        <v>48</v>
      </c>
      <c r="E912" s="2" t="s">
        <v>38</v>
      </c>
      <c r="F912" s="2" t="s">
        <v>39</v>
      </c>
      <c r="G912" s="2" t="s">
        <v>155</v>
      </c>
      <c r="H912" s="3">
        <v>45363.084027777775</v>
      </c>
      <c r="I912" s="3">
        <v>45363.177083333336</v>
      </c>
      <c r="J912" s="2">
        <v>124</v>
      </c>
      <c r="K912" s="2">
        <v>134</v>
      </c>
      <c r="L912" s="2">
        <v>1</v>
      </c>
      <c r="M912" s="2" t="s">
        <v>29</v>
      </c>
      <c r="N912" s="2">
        <v>5</v>
      </c>
      <c r="O912" s="2">
        <v>415.3</v>
      </c>
      <c r="P912" s="2">
        <f t="shared" si="70"/>
        <v>10</v>
      </c>
      <c r="Q912" s="4">
        <f t="shared" si="71"/>
        <v>0.92537313432835822</v>
      </c>
      <c r="R912" s="2" t="str">
        <f t="shared" si="72"/>
        <v>Inefficient</v>
      </c>
      <c r="S912" s="2" t="str">
        <f t="shared" si="73"/>
        <v>Very Long</v>
      </c>
      <c r="T912" s="2" t="str">
        <f t="shared" si="74"/>
        <v>Minor Delay</v>
      </c>
    </row>
    <row r="913" spans="1:20" x14ac:dyDescent="0.35">
      <c r="A913" s="2" t="s">
        <v>2009</v>
      </c>
      <c r="B913" s="2" t="s">
        <v>31</v>
      </c>
      <c r="C913" s="2" t="s">
        <v>2010</v>
      </c>
      <c r="D913" s="2" t="s">
        <v>48</v>
      </c>
      <c r="E913" s="2" t="s">
        <v>85</v>
      </c>
      <c r="F913" s="2" t="s">
        <v>39</v>
      </c>
      <c r="G913" s="2" t="s">
        <v>149</v>
      </c>
      <c r="H913" s="3">
        <v>45300.393750000003</v>
      </c>
      <c r="I913" s="3">
        <v>45300.52847222222</v>
      </c>
      <c r="J913" s="2">
        <v>165</v>
      </c>
      <c r="K913" s="2">
        <v>194</v>
      </c>
      <c r="L913" s="2">
        <v>1</v>
      </c>
      <c r="M913" s="2" t="s">
        <v>41</v>
      </c>
      <c r="N913" s="2">
        <v>3</v>
      </c>
      <c r="O913" s="2">
        <v>140.63999999999999</v>
      </c>
      <c r="P913" s="2">
        <f t="shared" si="70"/>
        <v>29</v>
      </c>
      <c r="Q913" s="4">
        <f t="shared" si="71"/>
        <v>0.85051546391752575</v>
      </c>
      <c r="R913" s="2" t="str">
        <f t="shared" si="72"/>
        <v>Inefficient</v>
      </c>
      <c r="S913" s="2" t="str">
        <f t="shared" si="73"/>
        <v>Very Long</v>
      </c>
      <c r="T913" s="2" t="str">
        <f t="shared" si="74"/>
        <v>Minor Delay</v>
      </c>
    </row>
    <row r="914" spans="1:20" x14ac:dyDescent="0.35">
      <c r="A914" s="2" t="s">
        <v>2011</v>
      </c>
      <c r="B914" s="2" t="s">
        <v>24</v>
      </c>
      <c r="C914" s="2" t="s">
        <v>2012</v>
      </c>
      <c r="D914" s="2" t="s">
        <v>48</v>
      </c>
      <c r="E914" s="2" t="s">
        <v>85</v>
      </c>
      <c r="F914" s="2" t="s">
        <v>57</v>
      </c>
      <c r="G914" s="2" t="s">
        <v>58</v>
      </c>
      <c r="H914" s="3">
        <v>45323.109722222223</v>
      </c>
      <c r="I914" s="3">
        <v>45323.179861111108</v>
      </c>
      <c r="J914" s="2">
        <v>52</v>
      </c>
      <c r="K914" s="2">
        <v>101</v>
      </c>
      <c r="L914" s="2">
        <v>1</v>
      </c>
      <c r="M914" s="2" t="s">
        <v>22</v>
      </c>
      <c r="N914" s="2">
        <v>5</v>
      </c>
      <c r="O914" s="2">
        <v>157.27000000000001</v>
      </c>
      <c r="P914" s="2">
        <f t="shared" si="70"/>
        <v>49</v>
      </c>
      <c r="Q914" s="4">
        <f t="shared" si="71"/>
        <v>0.51485148514851486</v>
      </c>
      <c r="R914" s="2" t="str">
        <f t="shared" si="72"/>
        <v>Inefficient</v>
      </c>
      <c r="S914" s="2" t="str">
        <f t="shared" si="73"/>
        <v>Long</v>
      </c>
      <c r="T914" s="2" t="str">
        <f t="shared" si="74"/>
        <v>Major Delay</v>
      </c>
    </row>
    <row r="915" spans="1:20" x14ac:dyDescent="0.35">
      <c r="A915" s="2" t="s">
        <v>2013</v>
      </c>
      <c r="B915" s="2" t="s">
        <v>63</v>
      </c>
      <c r="C915" s="2" t="s">
        <v>2014</v>
      </c>
      <c r="D915" s="2" t="s">
        <v>26</v>
      </c>
      <c r="E915" s="2" t="s">
        <v>38</v>
      </c>
      <c r="F915" s="2" t="s">
        <v>20</v>
      </c>
      <c r="G915" s="2" t="s">
        <v>61</v>
      </c>
      <c r="H915" s="3">
        <v>45632.51666666667</v>
      </c>
      <c r="I915" s="3">
        <v>45632.584027777775</v>
      </c>
      <c r="J915" s="2">
        <v>20</v>
      </c>
      <c r="K915" s="2">
        <v>97</v>
      </c>
      <c r="L915" s="2">
        <v>1</v>
      </c>
      <c r="M915" s="2" t="s">
        <v>29</v>
      </c>
      <c r="N915" s="2">
        <v>4</v>
      </c>
      <c r="O915" s="2">
        <v>228.37</v>
      </c>
      <c r="P915" s="2">
        <f t="shared" si="70"/>
        <v>77</v>
      </c>
      <c r="Q915" s="4">
        <f t="shared" si="71"/>
        <v>0.20618556701030927</v>
      </c>
      <c r="R915" s="2" t="str">
        <f t="shared" si="72"/>
        <v>Inefficient</v>
      </c>
      <c r="S915" s="2" t="str">
        <f t="shared" si="73"/>
        <v>Long</v>
      </c>
      <c r="T915" s="2" t="str">
        <f t="shared" si="74"/>
        <v>Major Delay</v>
      </c>
    </row>
    <row r="916" spans="1:20" x14ac:dyDescent="0.35">
      <c r="A916" s="2" t="s">
        <v>2015</v>
      </c>
      <c r="B916" s="2" t="s">
        <v>51</v>
      </c>
      <c r="C916" s="2" t="s">
        <v>2016</v>
      </c>
      <c r="D916" s="2" t="s">
        <v>44</v>
      </c>
      <c r="E916" s="2" t="s">
        <v>33</v>
      </c>
      <c r="F916" s="2" t="s">
        <v>57</v>
      </c>
      <c r="G916" s="2" t="s">
        <v>1730</v>
      </c>
      <c r="H916" s="3">
        <v>45437.211111111108</v>
      </c>
      <c r="I916" s="3">
        <v>45437.397222222222</v>
      </c>
      <c r="J916" s="2">
        <v>206</v>
      </c>
      <c r="K916" s="2">
        <v>268</v>
      </c>
      <c r="L916" s="2">
        <v>1</v>
      </c>
      <c r="M916" s="2" t="s">
        <v>29</v>
      </c>
      <c r="N916" s="2">
        <v>1</v>
      </c>
      <c r="O916" s="2">
        <v>123.87</v>
      </c>
      <c r="P916" s="2">
        <f t="shared" si="70"/>
        <v>62</v>
      </c>
      <c r="Q916" s="4">
        <f t="shared" si="71"/>
        <v>0.76865671641791045</v>
      </c>
      <c r="R916" s="2" t="str">
        <f t="shared" si="72"/>
        <v>Inefficient</v>
      </c>
      <c r="S916" s="2" t="str">
        <f t="shared" si="73"/>
        <v>Very Long</v>
      </c>
      <c r="T916" s="2" t="str">
        <f t="shared" si="74"/>
        <v>Major Delay</v>
      </c>
    </row>
    <row r="917" spans="1:20" x14ac:dyDescent="0.35">
      <c r="A917" s="2" t="s">
        <v>2017</v>
      </c>
      <c r="B917" s="2" t="s">
        <v>16</v>
      </c>
      <c r="C917" s="2" t="s">
        <v>2018</v>
      </c>
      <c r="D917" s="2" t="s">
        <v>44</v>
      </c>
      <c r="E917" s="2" t="s">
        <v>19</v>
      </c>
      <c r="F917" s="2" t="s">
        <v>39</v>
      </c>
      <c r="G917" s="2" t="s">
        <v>117</v>
      </c>
      <c r="H917" s="3">
        <v>45488.052083333336</v>
      </c>
      <c r="I917" s="3">
        <v>45488.161805555559</v>
      </c>
      <c r="J917" s="2">
        <v>54</v>
      </c>
      <c r="K917" s="2">
        <v>158</v>
      </c>
      <c r="L917" s="2">
        <v>1</v>
      </c>
      <c r="M917" s="2" t="s">
        <v>41</v>
      </c>
      <c r="N917" s="2">
        <v>2</v>
      </c>
      <c r="O917" s="2">
        <v>204.08</v>
      </c>
      <c r="P917" s="2">
        <f t="shared" si="70"/>
        <v>104</v>
      </c>
      <c r="Q917" s="4">
        <f t="shared" si="71"/>
        <v>0.34177215189873417</v>
      </c>
      <c r="R917" s="2" t="str">
        <f t="shared" si="72"/>
        <v>Inefficient</v>
      </c>
      <c r="S917" s="2" t="str">
        <f t="shared" si="73"/>
        <v>Very Long</v>
      </c>
      <c r="T917" s="2" t="str">
        <f t="shared" si="74"/>
        <v>Major Delay</v>
      </c>
    </row>
    <row r="918" spans="1:20" x14ac:dyDescent="0.35">
      <c r="A918" s="2" t="s">
        <v>2019</v>
      </c>
      <c r="B918" s="2" t="s">
        <v>31</v>
      </c>
      <c r="C918" s="2" t="s">
        <v>2020</v>
      </c>
      <c r="D918" s="2" t="s">
        <v>56</v>
      </c>
      <c r="E918" s="2" t="s">
        <v>33</v>
      </c>
      <c r="F918" s="2" t="s">
        <v>57</v>
      </c>
      <c r="G918" s="2" t="s">
        <v>137</v>
      </c>
      <c r="H918" s="3">
        <v>45543.468055555553</v>
      </c>
      <c r="I918" s="3">
        <v>45543.585416666669</v>
      </c>
      <c r="J918" s="2">
        <v>49</v>
      </c>
      <c r="K918" s="2">
        <v>169</v>
      </c>
      <c r="L918" s="2">
        <v>1</v>
      </c>
      <c r="M918" s="2" t="s">
        <v>22</v>
      </c>
      <c r="N918" s="2">
        <v>1</v>
      </c>
      <c r="O918" s="2">
        <v>472.23</v>
      </c>
      <c r="P918" s="2">
        <f t="shared" si="70"/>
        <v>120</v>
      </c>
      <c r="Q918" s="4">
        <f t="shared" si="71"/>
        <v>0.28994082840236685</v>
      </c>
      <c r="R918" s="2" t="str">
        <f t="shared" si="72"/>
        <v>Inefficient</v>
      </c>
      <c r="S918" s="2" t="str">
        <f t="shared" si="73"/>
        <v>Very Long</v>
      </c>
      <c r="T918" s="2" t="str">
        <f t="shared" si="74"/>
        <v>Major Delay</v>
      </c>
    </row>
    <row r="919" spans="1:20" x14ac:dyDescent="0.35">
      <c r="A919" s="2" t="s">
        <v>2021</v>
      </c>
      <c r="B919" s="2" t="s">
        <v>63</v>
      </c>
      <c r="C919" s="2" t="s">
        <v>2022</v>
      </c>
      <c r="D919" s="2" t="s">
        <v>44</v>
      </c>
      <c r="E919" s="2" t="s">
        <v>85</v>
      </c>
      <c r="F919" s="2" t="s">
        <v>27</v>
      </c>
      <c r="G919" s="2" t="s">
        <v>842</v>
      </c>
      <c r="H919" s="3">
        <v>45579.154166666667</v>
      </c>
      <c r="I919" s="3">
        <v>45579.236805555556</v>
      </c>
      <c r="J919" s="2">
        <v>67</v>
      </c>
      <c r="K919" s="2">
        <v>119</v>
      </c>
      <c r="L919" s="2">
        <v>1</v>
      </c>
      <c r="M919" s="2" t="s">
        <v>41</v>
      </c>
      <c r="N919" s="2">
        <v>4</v>
      </c>
      <c r="O919" s="2">
        <v>244.27</v>
      </c>
      <c r="P919" s="2">
        <f t="shared" si="70"/>
        <v>52</v>
      </c>
      <c r="Q919" s="4">
        <f t="shared" si="71"/>
        <v>0.56302521008403361</v>
      </c>
      <c r="R919" s="2" t="str">
        <f t="shared" si="72"/>
        <v>Inefficient</v>
      </c>
      <c r="S919" s="2" t="str">
        <f t="shared" si="73"/>
        <v>Long</v>
      </c>
      <c r="T919" s="2" t="str">
        <f t="shared" si="74"/>
        <v>Major Delay</v>
      </c>
    </row>
    <row r="920" spans="1:20" x14ac:dyDescent="0.35">
      <c r="A920" s="2" t="s">
        <v>2023</v>
      </c>
      <c r="B920" s="2" t="s">
        <v>51</v>
      </c>
      <c r="C920" s="2" t="s">
        <v>2024</v>
      </c>
      <c r="D920" s="2" t="s">
        <v>26</v>
      </c>
      <c r="E920" s="2" t="s">
        <v>33</v>
      </c>
      <c r="F920" s="2" t="s">
        <v>57</v>
      </c>
      <c r="G920" s="2" t="s">
        <v>293</v>
      </c>
      <c r="H920" s="3">
        <v>45464.868055555555</v>
      </c>
      <c r="I920" s="3">
        <v>45465.029861111114</v>
      </c>
      <c r="J920" s="2">
        <v>182</v>
      </c>
      <c r="K920" s="2">
        <v>233</v>
      </c>
      <c r="L920" s="2">
        <v>1</v>
      </c>
      <c r="M920" s="2" t="s">
        <v>22</v>
      </c>
      <c r="N920" s="2">
        <v>5</v>
      </c>
      <c r="O920" s="2">
        <v>372.23</v>
      </c>
      <c r="P920" s="2">
        <f t="shared" si="70"/>
        <v>51</v>
      </c>
      <c r="Q920" s="4">
        <f t="shared" si="71"/>
        <v>0.7811158798283262</v>
      </c>
      <c r="R920" s="2" t="str">
        <f t="shared" si="72"/>
        <v>Inefficient</v>
      </c>
      <c r="S920" s="2" t="str">
        <f t="shared" si="73"/>
        <v>Very Long</v>
      </c>
      <c r="T920" s="2" t="str">
        <f t="shared" si="74"/>
        <v>Major Delay</v>
      </c>
    </row>
    <row r="921" spans="1:20" x14ac:dyDescent="0.35">
      <c r="A921" s="2" t="s">
        <v>2025</v>
      </c>
      <c r="B921" s="2" t="s">
        <v>51</v>
      </c>
      <c r="C921" s="2" t="s">
        <v>2026</v>
      </c>
      <c r="D921" s="2" t="s">
        <v>26</v>
      </c>
      <c r="E921" s="2" t="s">
        <v>19</v>
      </c>
      <c r="F921" s="2" t="s">
        <v>27</v>
      </c>
      <c r="G921" s="2" t="s">
        <v>91</v>
      </c>
      <c r="H921" s="3">
        <v>45467.297222222223</v>
      </c>
      <c r="I921" s="3">
        <v>45467.484027777777</v>
      </c>
      <c r="J921" s="2">
        <v>185</v>
      </c>
      <c r="K921" s="2">
        <v>269</v>
      </c>
      <c r="L921" s="2">
        <v>1</v>
      </c>
      <c r="M921" s="2" t="s">
        <v>29</v>
      </c>
      <c r="N921" s="2">
        <v>1</v>
      </c>
      <c r="O921" s="2">
        <v>309.68</v>
      </c>
      <c r="P921" s="2">
        <f t="shared" si="70"/>
        <v>84</v>
      </c>
      <c r="Q921" s="4">
        <f t="shared" si="71"/>
        <v>0.68773234200743494</v>
      </c>
      <c r="R921" s="2" t="str">
        <f t="shared" si="72"/>
        <v>Inefficient</v>
      </c>
      <c r="S921" s="2" t="str">
        <f t="shared" si="73"/>
        <v>Very Long</v>
      </c>
      <c r="T921" s="2" t="str">
        <f t="shared" si="74"/>
        <v>Major Delay</v>
      </c>
    </row>
    <row r="922" spans="1:20" x14ac:dyDescent="0.35">
      <c r="A922" s="2" t="s">
        <v>2027</v>
      </c>
      <c r="B922" s="2" t="s">
        <v>31</v>
      </c>
      <c r="C922" s="2" t="s">
        <v>2028</v>
      </c>
      <c r="D922" s="2" t="s">
        <v>18</v>
      </c>
      <c r="E922" s="2" t="s">
        <v>19</v>
      </c>
      <c r="F922" s="2" t="s">
        <v>57</v>
      </c>
      <c r="G922" s="2" t="s">
        <v>155</v>
      </c>
      <c r="H922" s="3">
        <v>45600.755555555559</v>
      </c>
      <c r="I922" s="3">
        <v>45600.887499999997</v>
      </c>
      <c r="J922" s="2">
        <v>157</v>
      </c>
      <c r="K922" s="2">
        <v>190</v>
      </c>
      <c r="L922" s="2">
        <v>1</v>
      </c>
      <c r="M922" s="2" t="s">
        <v>29</v>
      </c>
      <c r="N922" s="2">
        <v>7</v>
      </c>
      <c r="O922" s="2">
        <v>232.17</v>
      </c>
      <c r="P922" s="2">
        <f t="shared" si="70"/>
        <v>33</v>
      </c>
      <c r="Q922" s="4">
        <f t="shared" si="71"/>
        <v>0.82631578947368423</v>
      </c>
      <c r="R922" s="2" t="str">
        <f t="shared" si="72"/>
        <v>Inefficient</v>
      </c>
      <c r="S922" s="2" t="str">
        <f t="shared" si="73"/>
        <v>Very Long</v>
      </c>
      <c r="T922" s="2" t="str">
        <f t="shared" si="74"/>
        <v>Major Delay</v>
      </c>
    </row>
    <row r="923" spans="1:20" x14ac:dyDescent="0.35">
      <c r="A923" s="2" t="s">
        <v>2029</v>
      </c>
      <c r="B923" s="2" t="s">
        <v>16</v>
      </c>
      <c r="C923" s="2" t="s">
        <v>2030</v>
      </c>
      <c r="D923" s="2" t="s">
        <v>56</v>
      </c>
      <c r="E923" s="2" t="s">
        <v>33</v>
      </c>
      <c r="F923" s="2" t="s">
        <v>39</v>
      </c>
      <c r="G923" s="2" t="s">
        <v>240</v>
      </c>
      <c r="H923" s="3">
        <v>45453.363888888889</v>
      </c>
      <c r="I923" s="3">
        <v>45453.490277777775</v>
      </c>
      <c r="J923" s="2">
        <v>106</v>
      </c>
      <c r="K923" s="2">
        <v>182</v>
      </c>
      <c r="L923" s="2">
        <v>1</v>
      </c>
      <c r="M923" s="2" t="s">
        <v>41</v>
      </c>
      <c r="N923" s="2">
        <v>3</v>
      </c>
      <c r="O923" s="2">
        <v>93.65</v>
      </c>
      <c r="P923" s="2">
        <f t="shared" si="70"/>
        <v>76</v>
      </c>
      <c r="Q923" s="4">
        <f t="shared" si="71"/>
        <v>0.58241758241758246</v>
      </c>
      <c r="R923" s="2" t="str">
        <f t="shared" si="72"/>
        <v>Inefficient</v>
      </c>
      <c r="S923" s="2" t="str">
        <f t="shared" si="73"/>
        <v>Very Long</v>
      </c>
      <c r="T923" s="2" t="str">
        <f t="shared" si="74"/>
        <v>Major Delay</v>
      </c>
    </row>
    <row r="924" spans="1:20" x14ac:dyDescent="0.35">
      <c r="A924" s="2" t="s">
        <v>2031</v>
      </c>
      <c r="B924" s="2" t="s">
        <v>24</v>
      </c>
      <c r="C924" s="2" t="s">
        <v>2032</v>
      </c>
      <c r="D924" s="2" t="s">
        <v>18</v>
      </c>
      <c r="E924" s="2" t="s">
        <v>19</v>
      </c>
      <c r="F924" s="2" t="s">
        <v>39</v>
      </c>
      <c r="G924" s="2" t="s">
        <v>785</v>
      </c>
      <c r="H924" s="3">
        <v>45569.509722222225</v>
      </c>
      <c r="I924" s="3">
        <v>45569.615972222222</v>
      </c>
      <c r="J924" s="2">
        <v>67</v>
      </c>
      <c r="K924" s="2">
        <v>153</v>
      </c>
      <c r="L924" s="2">
        <v>1</v>
      </c>
      <c r="M924" s="2" t="s">
        <v>41</v>
      </c>
      <c r="N924" s="2">
        <v>4</v>
      </c>
      <c r="O924" s="2">
        <v>166.62</v>
      </c>
      <c r="P924" s="2">
        <f t="shared" si="70"/>
        <v>86</v>
      </c>
      <c r="Q924" s="4">
        <f t="shared" si="71"/>
        <v>0.43790849673202614</v>
      </c>
      <c r="R924" s="2" t="str">
        <f t="shared" si="72"/>
        <v>Inefficient</v>
      </c>
      <c r="S924" s="2" t="str">
        <f t="shared" si="73"/>
        <v>Very Long</v>
      </c>
      <c r="T924" s="2" t="str">
        <f t="shared" si="74"/>
        <v>Major Delay</v>
      </c>
    </row>
    <row r="925" spans="1:20" x14ac:dyDescent="0.35">
      <c r="A925" s="2" t="s">
        <v>2033</v>
      </c>
      <c r="B925" s="2" t="s">
        <v>31</v>
      </c>
      <c r="C925" s="2" t="s">
        <v>2034</v>
      </c>
      <c r="D925" s="2" t="s">
        <v>18</v>
      </c>
      <c r="E925" s="2" t="s">
        <v>33</v>
      </c>
      <c r="F925" s="2" t="s">
        <v>39</v>
      </c>
      <c r="G925" s="2" t="s">
        <v>397</v>
      </c>
      <c r="H925" s="3">
        <v>45350.529166666667</v>
      </c>
      <c r="I925" s="3">
        <v>45350.651388888888</v>
      </c>
      <c r="J925" s="2">
        <v>169</v>
      </c>
      <c r="K925" s="2">
        <v>176</v>
      </c>
      <c r="L925" s="2">
        <v>1</v>
      </c>
      <c r="M925" s="2" t="s">
        <v>29</v>
      </c>
      <c r="N925" s="2">
        <v>2</v>
      </c>
      <c r="O925" s="2">
        <v>345.45</v>
      </c>
      <c r="P925" s="2">
        <f t="shared" si="70"/>
        <v>7</v>
      </c>
      <c r="Q925" s="4">
        <f t="shared" si="71"/>
        <v>0.96022727272727271</v>
      </c>
      <c r="R925" s="2" t="str">
        <f t="shared" si="72"/>
        <v>Inefficient</v>
      </c>
      <c r="S925" s="2" t="str">
        <f t="shared" si="73"/>
        <v>Very Long</v>
      </c>
      <c r="T925" s="2" t="str">
        <f t="shared" si="74"/>
        <v>Minor Delay</v>
      </c>
    </row>
    <row r="926" spans="1:20" x14ac:dyDescent="0.35">
      <c r="A926" s="2" t="s">
        <v>2035</v>
      </c>
      <c r="B926" s="2" t="s">
        <v>16</v>
      </c>
      <c r="C926" s="2" t="s">
        <v>2036</v>
      </c>
      <c r="D926" s="2" t="s">
        <v>18</v>
      </c>
      <c r="E926" s="2" t="s">
        <v>19</v>
      </c>
      <c r="F926" s="2" t="s">
        <v>34</v>
      </c>
      <c r="G926" s="2" t="s">
        <v>330</v>
      </c>
      <c r="H926" s="3">
        <v>45407.193055555559</v>
      </c>
      <c r="I926" s="3">
        <v>45407.361111111109</v>
      </c>
      <c r="J926" s="2">
        <v>221</v>
      </c>
      <c r="K926" s="2">
        <v>242</v>
      </c>
      <c r="L926" s="2">
        <v>1</v>
      </c>
      <c r="M926" s="2" t="s">
        <v>29</v>
      </c>
      <c r="N926" s="2">
        <v>4</v>
      </c>
      <c r="O926" s="2">
        <v>420.69</v>
      </c>
      <c r="P926" s="2">
        <f t="shared" si="70"/>
        <v>21</v>
      </c>
      <c r="Q926" s="4">
        <f t="shared" si="71"/>
        <v>0.91322314049586772</v>
      </c>
      <c r="R926" s="2" t="str">
        <f t="shared" si="72"/>
        <v>Inefficient</v>
      </c>
      <c r="S926" s="2" t="str">
        <f t="shared" si="73"/>
        <v>Very Long</v>
      </c>
      <c r="T926" s="2" t="str">
        <f t="shared" si="74"/>
        <v>Minor Delay</v>
      </c>
    </row>
    <row r="927" spans="1:20" x14ac:dyDescent="0.35">
      <c r="A927" s="2" t="s">
        <v>2037</v>
      </c>
      <c r="B927" s="2" t="s">
        <v>24</v>
      </c>
      <c r="C927" s="2" t="s">
        <v>2038</v>
      </c>
      <c r="D927" s="2" t="s">
        <v>48</v>
      </c>
      <c r="E927" s="2" t="s">
        <v>85</v>
      </c>
      <c r="F927" s="2" t="s">
        <v>34</v>
      </c>
      <c r="G927" s="2" t="s">
        <v>512</v>
      </c>
      <c r="H927" s="3">
        <v>45386.213194444441</v>
      </c>
      <c r="I927" s="3">
        <v>45386.338888888888</v>
      </c>
      <c r="J927" s="2">
        <v>161</v>
      </c>
      <c r="K927" s="2">
        <v>181</v>
      </c>
      <c r="L927" s="2">
        <v>1</v>
      </c>
      <c r="M927" s="2" t="s">
        <v>22</v>
      </c>
      <c r="N927" s="2">
        <v>5</v>
      </c>
      <c r="O927" s="2">
        <v>387.22</v>
      </c>
      <c r="P927" s="2">
        <f t="shared" si="70"/>
        <v>20</v>
      </c>
      <c r="Q927" s="4">
        <f t="shared" si="71"/>
        <v>0.88950276243093918</v>
      </c>
      <c r="R927" s="2" t="str">
        <f t="shared" si="72"/>
        <v>Inefficient</v>
      </c>
      <c r="S927" s="2" t="str">
        <f t="shared" si="73"/>
        <v>Very Long</v>
      </c>
      <c r="T927" s="2" t="str">
        <f t="shared" si="74"/>
        <v>Minor Delay</v>
      </c>
    </row>
    <row r="928" spans="1:20" x14ac:dyDescent="0.35">
      <c r="A928" s="2" t="s">
        <v>2039</v>
      </c>
      <c r="B928" s="2" t="s">
        <v>31</v>
      </c>
      <c r="C928" s="2" t="s">
        <v>2040</v>
      </c>
      <c r="D928" s="2" t="s">
        <v>56</v>
      </c>
      <c r="E928" s="2" t="s">
        <v>33</v>
      </c>
      <c r="F928" s="2" t="s">
        <v>20</v>
      </c>
      <c r="G928" s="2" t="s">
        <v>676</v>
      </c>
      <c r="H928" s="3">
        <v>45425.323611111111</v>
      </c>
      <c r="I928" s="3">
        <v>45425.45</v>
      </c>
      <c r="J928" s="2">
        <v>136</v>
      </c>
      <c r="K928" s="2">
        <v>182</v>
      </c>
      <c r="L928" s="2">
        <v>1</v>
      </c>
      <c r="M928" s="2" t="s">
        <v>41</v>
      </c>
      <c r="N928" s="2">
        <v>4</v>
      </c>
      <c r="O928" s="2">
        <v>123.99</v>
      </c>
      <c r="P928" s="2">
        <f t="shared" si="70"/>
        <v>46</v>
      </c>
      <c r="Q928" s="4">
        <f t="shared" si="71"/>
        <v>0.74725274725274726</v>
      </c>
      <c r="R928" s="2" t="str">
        <f t="shared" si="72"/>
        <v>Inefficient</v>
      </c>
      <c r="S928" s="2" t="str">
        <f t="shared" si="73"/>
        <v>Very Long</v>
      </c>
      <c r="T928" s="2" t="str">
        <f t="shared" si="74"/>
        <v>Major Delay</v>
      </c>
    </row>
    <row r="929" spans="1:20" x14ac:dyDescent="0.35">
      <c r="A929" s="2" t="s">
        <v>2041</v>
      </c>
      <c r="B929" s="2" t="s">
        <v>51</v>
      </c>
      <c r="C929" s="2" t="s">
        <v>2042</v>
      </c>
      <c r="D929" s="2" t="s">
        <v>26</v>
      </c>
      <c r="E929" s="2" t="s">
        <v>19</v>
      </c>
      <c r="F929" s="2" t="s">
        <v>27</v>
      </c>
      <c r="G929" s="2" t="s">
        <v>45</v>
      </c>
      <c r="H929" s="3">
        <v>45488.990277777775</v>
      </c>
      <c r="I929" s="3">
        <v>45489.206250000003</v>
      </c>
      <c r="J929" s="2">
        <v>221</v>
      </c>
      <c r="K929" s="2">
        <v>311</v>
      </c>
      <c r="L929" s="2">
        <v>1</v>
      </c>
      <c r="M929" s="2" t="s">
        <v>41</v>
      </c>
      <c r="N929" s="2">
        <v>8</v>
      </c>
      <c r="O929" s="2">
        <v>285.54000000000002</v>
      </c>
      <c r="P929" s="2">
        <f t="shared" si="70"/>
        <v>90</v>
      </c>
      <c r="Q929" s="4">
        <f t="shared" si="71"/>
        <v>0.71061093247588425</v>
      </c>
      <c r="R929" s="2" t="str">
        <f t="shared" si="72"/>
        <v>Inefficient</v>
      </c>
      <c r="S929" s="2" t="str">
        <f t="shared" si="73"/>
        <v>Very Long</v>
      </c>
      <c r="T929" s="2" t="str">
        <f t="shared" si="74"/>
        <v>Major Delay</v>
      </c>
    </row>
    <row r="930" spans="1:20" x14ac:dyDescent="0.35">
      <c r="A930" s="2" t="s">
        <v>2043</v>
      </c>
      <c r="B930" s="2" t="s">
        <v>24</v>
      </c>
      <c r="C930" s="2" t="s">
        <v>2044</v>
      </c>
      <c r="D930" s="2" t="s">
        <v>44</v>
      </c>
      <c r="E930" s="2" t="s">
        <v>38</v>
      </c>
      <c r="F930" s="2" t="s">
        <v>57</v>
      </c>
      <c r="G930" s="2" t="s">
        <v>364</v>
      </c>
      <c r="H930" s="3">
        <v>45599.029166666667</v>
      </c>
      <c r="I930" s="3">
        <v>45599.181944444441</v>
      </c>
      <c r="J930" s="2">
        <v>179</v>
      </c>
      <c r="K930" s="2">
        <v>220</v>
      </c>
      <c r="L930" s="2">
        <v>1</v>
      </c>
      <c r="M930" s="2" t="s">
        <v>29</v>
      </c>
      <c r="N930" s="2">
        <v>6</v>
      </c>
      <c r="O930" s="2">
        <v>352.98</v>
      </c>
      <c r="P930" s="2">
        <f t="shared" si="70"/>
        <v>41</v>
      </c>
      <c r="Q930" s="4">
        <f t="shared" si="71"/>
        <v>0.8136363636363636</v>
      </c>
      <c r="R930" s="2" t="str">
        <f t="shared" si="72"/>
        <v>Inefficient</v>
      </c>
      <c r="S930" s="2" t="str">
        <f t="shared" si="73"/>
        <v>Very Long</v>
      </c>
      <c r="T930" s="2" t="str">
        <f t="shared" si="74"/>
        <v>Major Delay</v>
      </c>
    </row>
    <row r="931" spans="1:20" x14ac:dyDescent="0.35">
      <c r="A931" s="2" t="s">
        <v>2045</v>
      </c>
      <c r="B931" s="2" t="s">
        <v>16</v>
      </c>
      <c r="C931" s="2" t="s">
        <v>2046</v>
      </c>
      <c r="D931" s="2" t="s">
        <v>18</v>
      </c>
      <c r="E931" s="2" t="s">
        <v>33</v>
      </c>
      <c r="F931" s="2" t="s">
        <v>39</v>
      </c>
      <c r="G931" s="2" t="s">
        <v>28</v>
      </c>
      <c r="H931" s="3">
        <v>45429.609722222223</v>
      </c>
      <c r="I931" s="3">
        <v>45429.676388888889</v>
      </c>
      <c r="J931" s="2">
        <v>21</v>
      </c>
      <c r="K931" s="2">
        <v>96</v>
      </c>
      <c r="L931" s="2">
        <v>1</v>
      </c>
      <c r="M931" s="2" t="s">
        <v>41</v>
      </c>
      <c r="N931" s="2">
        <v>9</v>
      </c>
      <c r="O931" s="2">
        <v>279.93</v>
      </c>
      <c r="P931" s="2">
        <f t="shared" si="70"/>
        <v>75</v>
      </c>
      <c r="Q931" s="4">
        <f t="shared" si="71"/>
        <v>0.21875</v>
      </c>
      <c r="R931" s="2" t="str">
        <f t="shared" si="72"/>
        <v>Inefficient</v>
      </c>
      <c r="S931" s="2" t="str">
        <f t="shared" si="73"/>
        <v>Long</v>
      </c>
      <c r="T931" s="2" t="str">
        <f t="shared" si="74"/>
        <v>Major Delay</v>
      </c>
    </row>
    <row r="932" spans="1:20" x14ac:dyDescent="0.35">
      <c r="A932" s="2" t="s">
        <v>2047</v>
      </c>
      <c r="B932" s="2" t="s">
        <v>16</v>
      </c>
      <c r="C932" s="2" t="s">
        <v>2048</v>
      </c>
      <c r="D932" s="2" t="s">
        <v>18</v>
      </c>
      <c r="E932" s="2" t="s">
        <v>19</v>
      </c>
      <c r="F932" s="2" t="s">
        <v>27</v>
      </c>
      <c r="G932" s="2" t="s">
        <v>100</v>
      </c>
      <c r="H932" s="3">
        <v>45571.24722222222</v>
      </c>
      <c r="I932" s="3">
        <v>45571.381944444445</v>
      </c>
      <c r="J932" s="2">
        <v>126</v>
      </c>
      <c r="K932" s="2">
        <v>194</v>
      </c>
      <c r="L932" s="2">
        <v>1</v>
      </c>
      <c r="M932" s="2" t="s">
        <v>41</v>
      </c>
      <c r="N932" s="2">
        <v>7</v>
      </c>
      <c r="O932" s="2">
        <v>384.05</v>
      </c>
      <c r="P932" s="2">
        <f t="shared" si="70"/>
        <v>68</v>
      </c>
      <c r="Q932" s="4">
        <f t="shared" si="71"/>
        <v>0.64948453608247425</v>
      </c>
      <c r="R932" s="2" t="str">
        <f t="shared" si="72"/>
        <v>Inefficient</v>
      </c>
      <c r="S932" s="2" t="str">
        <f t="shared" si="73"/>
        <v>Very Long</v>
      </c>
      <c r="T932" s="2" t="str">
        <f t="shared" si="74"/>
        <v>Major Delay</v>
      </c>
    </row>
    <row r="933" spans="1:20" x14ac:dyDescent="0.35">
      <c r="A933" s="2" t="s">
        <v>2049</v>
      </c>
      <c r="B933" s="2" t="s">
        <v>63</v>
      </c>
      <c r="C933" s="2" t="s">
        <v>2050</v>
      </c>
      <c r="D933" s="2" t="s">
        <v>26</v>
      </c>
      <c r="E933" s="2" t="s">
        <v>38</v>
      </c>
      <c r="F933" s="2" t="s">
        <v>57</v>
      </c>
      <c r="G933" s="2" t="s">
        <v>500</v>
      </c>
      <c r="H933" s="3">
        <v>45411.782638888886</v>
      </c>
      <c r="I933" s="3">
        <v>45411.882638888892</v>
      </c>
      <c r="J933" s="2">
        <v>149</v>
      </c>
      <c r="K933" s="2">
        <v>144</v>
      </c>
      <c r="L933" s="2">
        <v>0</v>
      </c>
      <c r="M933" s="2" t="s">
        <v>41</v>
      </c>
      <c r="N933" s="2">
        <v>1</v>
      </c>
      <c r="O933" s="2">
        <v>96.07</v>
      </c>
      <c r="P933" s="2">
        <f t="shared" si="70"/>
        <v>-5</v>
      </c>
      <c r="Q933" s="4">
        <f t="shared" si="71"/>
        <v>1.0347222222222223</v>
      </c>
      <c r="R933" s="2" t="str">
        <f t="shared" si="72"/>
        <v>Efficient</v>
      </c>
      <c r="S933" s="2" t="str">
        <f t="shared" si="73"/>
        <v>Very Long</v>
      </c>
      <c r="T933" s="2" t="str">
        <f t="shared" si="74"/>
        <v>On Time</v>
      </c>
    </row>
    <row r="934" spans="1:20" x14ac:dyDescent="0.35">
      <c r="A934" s="2" t="s">
        <v>2051</v>
      </c>
      <c r="B934" s="2" t="s">
        <v>51</v>
      </c>
      <c r="C934" s="2" t="s">
        <v>2052</v>
      </c>
      <c r="D934" s="2" t="s">
        <v>56</v>
      </c>
      <c r="E934" s="2" t="s">
        <v>85</v>
      </c>
      <c r="F934" s="2" t="s">
        <v>27</v>
      </c>
      <c r="G934" s="2" t="s">
        <v>631</v>
      </c>
      <c r="H934" s="3">
        <v>45633.032638888886</v>
      </c>
      <c r="I934" s="3">
        <v>45633.15347222222</v>
      </c>
      <c r="J934" s="2">
        <v>60</v>
      </c>
      <c r="K934" s="2">
        <v>174</v>
      </c>
      <c r="L934" s="2">
        <v>1</v>
      </c>
      <c r="M934" s="2" t="s">
        <v>29</v>
      </c>
      <c r="N934" s="2">
        <v>8</v>
      </c>
      <c r="O934" s="2">
        <v>497.94</v>
      </c>
      <c r="P934" s="2">
        <f t="shared" si="70"/>
        <v>114</v>
      </c>
      <c r="Q934" s="4">
        <f t="shared" si="71"/>
        <v>0.34482758620689657</v>
      </c>
      <c r="R934" s="2" t="str">
        <f t="shared" si="72"/>
        <v>Inefficient</v>
      </c>
      <c r="S934" s="2" t="str">
        <f t="shared" si="73"/>
        <v>Very Long</v>
      </c>
      <c r="T934" s="2" t="str">
        <f t="shared" si="74"/>
        <v>Major Delay</v>
      </c>
    </row>
    <row r="935" spans="1:20" x14ac:dyDescent="0.35">
      <c r="A935" s="2" t="s">
        <v>2053</v>
      </c>
      <c r="B935" s="2" t="s">
        <v>24</v>
      </c>
      <c r="C935" s="2" t="s">
        <v>2054</v>
      </c>
      <c r="D935" s="2" t="s">
        <v>48</v>
      </c>
      <c r="E935" s="2" t="s">
        <v>19</v>
      </c>
      <c r="F935" s="2" t="s">
        <v>39</v>
      </c>
      <c r="G935" s="2" t="s">
        <v>111</v>
      </c>
      <c r="H935" s="3">
        <v>45515.205555555556</v>
      </c>
      <c r="I935" s="3">
        <v>45515.335416666669</v>
      </c>
      <c r="J935" s="2">
        <v>90</v>
      </c>
      <c r="K935" s="2">
        <v>187</v>
      </c>
      <c r="L935" s="2">
        <v>1</v>
      </c>
      <c r="M935" s="2" t="s">
        <v>41</v>
      </c>
      <c r="N935" s="2">
        <v>6</v>
      </c>
      <c r="O935" s="2">
        <v>149.91999999999999</v>
      </c>
      <c r="P935" s="2">
        <f t="shared" si="70"/>
        <v>97</v>
      </c>
      <c r="Q935" s="4">
        <f t="shared" si="71"/>
        <v>0.48128342245989303</v>
      </c>
      <c r="R935" s="2" t="str">
        <f t="shared" si="72"/>
        <v>Inefficient</v>
      </c>
      <c r="S935" s="2" t="str">
        <f t="shared" si="73"/>
        <v>Very Long</v>
      </c>
      <c r="T935" s="2" t="str">
        <f t="shared" si="74"/>
        <v>Major Delay</v>
      </c>
    </row>
    <row r="936" spans="1:20" x14ac:dyDescent="0.35">
      <c r="A936" s="2" t="s">
        <v>2055</v>
      </c>
      <c r="B936" s="2" t="s">
        <v>31</v>
      </c>
      <c r="C936" s="2" t="s">
        <v>2056</v>
      </c>
      <c r="D936" s="2" t="s">
        <v>44</v>
      </c>
      <c r="E936" s="2" t="s">
        <v>33</v>
      </c>
      <c r="F936" s="2" t="s">
        <v>34</v>
      </c>
      <c r="G936" s="2" t="s">
        <v>1030</v>
      </c>
      <c r="H936" s="3">
        <v>45612.209027777775</v>
      </c>
      <c r="I936" s="3">
        <v>45612.393055555556</v>
      </c>
      <c r="J936" s="2">
        <v>191</v>
      </c>
      <c r="K936" s="2">
        <v>265</v>
      </c>
      <c r="L936" s="2">
        <v>1</v>
      </c>
      <c r="M936" s="2" t="s">
        <v>29</v>
      </c>
      <c r="N936" s="2">
        <v>5</v>
      </c>
      <c r="O936" s="2">
        <v>236.3</v>
      </c>
      <c r="P936" s="2">
        <f t="shared" si="70"/>
        <v>74</v>
      </c>
      <c r="Q936" s="4">
        <f t="shared" si="71"/>
        <v>0.72075471698113203</v>
      </c>
      <c r="R936" s="2" t="str">
        <f t="shared" si="72"/>
        <v>Inefficient</v>
      </c>
      <c r="S936" s="2" t="str">
        <f t="shared" si="73"/>
        <v>Very Long</v>
      </c>
      <c r="T936" s="2" t="str">
        <f t="shared" si="74"/>
        <v>Major Delay</v>
      </c>
    </row>
    <row r="937" spans="1:20" x14ac:dyDescent="0.35">
      <c r="A937" s="2" t="s">
        <v>2057</v>
      </c>
      <c r="B937" s="2" t="s">
        <v>24</v>
      </c>
      <c r="C937" s="2" t="s">
        <v>2058</v>
      </c>
      <c r="D937" s="2" t="s">
        <v>56</v>
      </c>
      <c r="E937" s="2" t="s">
        <v>19</v>
      </c>
      <c r="F937" s="2" t="s">
        <v>34</v>
      </c>
      <c r="G937" s="2" t="s">
        <v>691</v>
      </c>
      <c r="H937" s="3">
        <v>45624.6</v>
      </c>
      <c r="I937" s="3">
        <v>45624.671527777777</v>
      </c>
      <c r="J937" s="2">
        <v>48</v>
      </c>
      <c r="K937" s="2">
        <v>103</v>
      </c>
      <c r="L937" s="2">
        <v>1</v>
      </c>
      <c r="M937" s="2" t="s">
        <v>41</v>
      </c>
      <c r="N937" s="2">
        <v>7</v>
      </c>
      <c r="O937" s="2">
        <v>496.15</v>
      </c>
      <c r="P937" s="2">
        <f t="shared" si="70"/>
        <v>55</v>
      </c>
      <c r="Q937" s="4">
        <f t="shared" si="71"/>
        <v>0.46601941747572817</v>
      </c>
      <c r="R937" s="2" t="str">
        <f t="shared" si="72"/>
        <v>Inefficient</v>
      </c>
      <c r="S937" s="2" t="str">
        <f t="shared" si="73"/>
        <v>Long</v>
      </c>
      <c r="T937" s="2" t="str">
        <f t="shared" si="74"/>
        <v>Major Delay</v>
      </c>
    </row>
    <row r="938" spans="1:20" x14ac:dyDescent="0.35">
      <c r="A938" s="2" t="s">
        <v>2059</v>
      </c>
      <c r="B938" s="2" t="s">
        <v>31</v>
      </c>
      <c r="C938" s="2" t="s">
        <v>2060</v>
      </c>
      <c r="D938" s="2" t="s">
        <v>26</v>
      </c>
      <c r="E938" s="2" t="s">
        <v>38</v>
      </c>
      <c r="F938" s="2" t="s">
        <v>57</v>
      </c>
      <c r="G938" s="2" t="s">
        <v>842</v>
      </c>
      <c r="H938" s="3">
        <v>45529.064583333333</v>
      </c>
      <c r="I938" s="3">
        <v>45529.125</v>
      </c>
      <c r="J938" s="2">
        <v>57</v>
      </c>
      <c r="K938" s="2">
        <v>87</v>
      </c>
      <c r="L938" s="2">
        <v>1</v>
      </c>
      <c r="M938" s="2" t="s">
        <v>29</v>
      </c>
      <c r="N938" s="2">
        <v>10</v>
      </c>
      <c r="O938" s="2">
        <v>302.45</v>
      </c>
      <c r="P938" s="2">
        <f t="shared" si="70"/>
        <v>30</v>
      </c>
      <c r="Q938" s="4">
        <f t="shared" si="71"/>
        <v>0.65517241379310343</v>
      </c>
      <c r="R938" s="2" t="str">
        <f t="shared" si="72"/>
        <v>Inefficient</v>
      </c>
      <c r="S938" s="2" t="str">
        <f t="shared" si="73"/>
        <v>Long</v>
      </c>
      <c r="T938" s="2" t="str">
        <f t="shared" si="74"/>
        <v>Minor Delay</v>
      </c>
    </row>
    <row r="939" spans="1:20" x14ac:dyDescent="0.35">
      <c r="A939" s="2" t="s">
        <v>2061</v>
      </c>
      <c r="B939" s="2" t="s">
        <v>51</v>
      </c>
      <c r="C939" s="2" t="s">
        <v>2062</v>
      </c>
      <c r="D939" s="2" t="s">
        <v>44</v>
      </c>
      <c r="E939" s="2" t="s">
        <v>19</v>
      </c>
      <c r="F939" s="2" t="s">
        <v>34</v>
      </c>
      <c r="G939" s="2" t="s">
        <v>111</v>
      </c>
      <c r="H939" s="3">
        <v>45445.188888888886</v>
      </c>
      <c r="I939" s="3">
        <v>45445.398611111108</v>
      </c>
      <c r="J939" s="2">
        <v>235</v>
      </c>
      <c r="K939" s="2">
        <v>302</v>
      </c>
      <c r="L939" s="2">
        <v>1</v>
      </c>
      <c r="M939" s="2" t="s">
        <v>29</v>
      </c>
      <c r="N939" s="2">
        <v>7</v>
      </c>
      <c r="O939" s="2">
        <v>404.51</v>
      </c>
      <c r="P939" s="2">
        <f t="shared" si="70"/>
        <v>67</v>
      </c>
      <c r="Q939" s="4">
        <f t="shared" si="71"/>
        <v>0.77814569536423839</v>
      </c>
      <c r="R939" s="2" t="str">
        <f t="shared" si="72"/>
        <v>Inefficient</v>
      </c>
      <c r="S939" s="2" t="str">
        <f t="shared" si="73"/>
        <v>Very Long</v>
      </c>
      <c r="T939" s="2" t="str">
        <f t="shared" si="74"/>
        <v>Major Delay</v>
      </c>
    </row>
    <row r="940" spans="1:20" x14ac:dyDescent="0.35">
      <c r="A940" s="2" t="s">
        <v>2063</v>
      </c>
      <c r="B940" s="2" t="s">
        <v>31</v>
      </c>
      <c r="C940" s="2" t="s">
        <v>2064</v>
      </c>
      <c r="D940" s="2" t="s">
        <v>18</v>
      </c>
      <c r="E940" s="2" t="s">
        <v>38</v>
      </c>
      <c r="F940" s="2" t="s">
        <v>39</v>
      </c>
      <c r="G940" s="2" t="s">
        <v>500</v>
      </c>
      <c r="H940" s="3">
        <v>45564.251388888886</v>
      </c>
      <c r="I940" s="3">
        <v>45564.379166666666</v>
      </c>
      <c r="J940" s="2">
        <v>95</v>
      </c>
      <c r="K940" s="2">
        <v>184</v>
      </c>
      <c r="L940" s="2">
        <v>1</v>
      </c>
      <c r="M940" s="2" t="s">
        <v>41</v>
      </c>
      <c r="N940" s="2">
        <v>8</v>
      </c>
      <c r="O940" s="2">
        <v>273.41000000000003</v>
      </c>
      <c r="P940" s="2">
        <f t="shared" si="70"/>
        <v>89</v>
      </c>
      <c r="Q940" s="4">
        <f t="shared" si="71"/>
        <v>0.51630434782608692</v>
      </c>
      <c r="R940" s="2" t="str">
        <f t="shared" si="72"/>
        <v>Inefficient</v>
      </c>
      <c r="S940" s="2" t="str">
        <f t="shared" si="73"/>
        <v>Very Long</v>
      </c>
      <c r="T940" s="2" t="str">
        <f t="shared" si="74"/>
        <v>Major Delay</v>
      </c>
    </row>
    <row r="941" spans="1:20" x14ac:dyDescent="0.35">
      <c r="A941" s="2" t="s">
        <v>2065</v>
      </c>
      <c r="B941" s="2" t="s">
        <v>16</v>
      </c>
      <c r="C941" s="2" t="s">
        <v>2066</v>
      </c>
      <c r="D941" s="2" t="s">
        <v>48</v>
      </c>
      <c r="E941" s="2" t="s">
        <v>85</v>
      </c>
      <c r="F941" s="2" t="s">
        <v>27</v>
      </c>
      <c r="G941" s="2" t="s">
        <v>185</v>
      </c>
      <c r="H941" s="3">
        <v>45316.561805555553</v>
      </c>
      <c r="I941" s="3">
        <v>45316.635416666664</v>
      </c>
      <c r="J941" s="2">
        <v>40</v>
      </c>
      <c r="K941" s="2">
        <v>106</v>
      </c>
      <c r="L941" s="2">
        <v>1</v>
      </c>
      <c r="M941" s="2" t="s">
        <v>41</v>
      </c>
      <c r="N941" s="2">
        <v>4</v>
      </c>
      <c r="O941" s="2">
        <v>114.13</v>
      </c>
      <c r="P941" s="2">
        <f t="shared" si="70"/>
        <v>66</v>
      </c>
      <c r="Q941" s="4">
        <f t="shared" si="71"/>
        <v>0.37735849056603776</v>
      </c>
      <c r="R941" s="2" t="str">
        <f t="shared" si="72"/>
        <v>Inefficient</v>
      </c>
      <c r="S941" s="2" t="str">
        <f t="shared" si="73"/>
        <v>Long</v>
      </c>
      <c r="T941" s="2" t="str">
        <f t="shared" si="74"/>
        <v>Major Delay</v>
      </c>
    </row>
    <row r="942" spans="1:20" x14ac:dyDescent="0.35">
      <c r="A942" s="2" t="s">
        <v>2067</v>
      </c>
      <c r="B942" s="2" t="s">
        <v>51</v>
      </c>
      <c r="C942" s="2" t="s">
        <v>2068</v>
      </c>
      <c r="D942" s="2" t="s">
        <v>44</v>
      </c>
      <c r="E942" s="2" t="s">
        <v>19</v>
      </c>
      <c r="F942" s="2" t="s">
        <v>39</v>
      </c>
      <c r="G942" s="2" t="s">
        <v>485</v>
      </c>
      <c r="H942" s="3">
        <v>45315.748611111114</v>
      </c>
      <c r="I942" s="3">
        <v>45315.907638888886</v>
      </c>
      <c r="J942" s="2">
        <v>226</v>
      </c>
      <c r="K942" s="2">
        <v>229</v>
      </c>
      <c r="L942" s="2">
        <v>1</v>
      </c>
      <c r="M942" s="2" t="s">
        <v>41</v>
      </c>
      <c r="N942" s="2">
        <v>6</v>
      </c>
      <c r="O942" s="2">
        <v>361.35</v>
      </c>
      <c r="P942" s="2">
        <f t="shared" si="70"/>
        <v>3</v>
      </c>
      <c r="Q942" s="4">
        <f t="shared" si="71"/>
        <v>0.98689956331877726</v>
      </c>
      <c r="R942" s="2" t="str">
        <f t="shared" si="72"/>
        <v>Inefficient</v>
      </c>
      <c r="S942" s="2" t="str">
        <f t="shared" si="73"/>
        <v>Very Long</v>
      </c>
      <c r="T942" s="2" t="str">
        <f t="shared" si="74"/>
        <v>Minor Delay</v>
      </c>
    </row>
    <row r="943" spans="1:20" x14ac:dyDescent="0.35">
      <c r="A943" s="2" t="s">
        <v>2069</v>
      </c>
      <c r="B943" s="2" t="s">
        <v>63</v>
      </c>
      <c r="C943" s="2" t="s">
        <v>2070</v>
      </c>
      <c r="D943" s="2" t="s">
        <v>48</v>
      </c>
      <c r="E943" s="2" t="s">
        <v>85</v>
      </c>
      <c r="F943" s="2" t="s">
        <v>39</v>
      </c>
      <c r="G943" s="2" t="s">
        <v>265</v>
      </c>
      <c r="H943" s="3">
        <v>45606.569444444445</v>
      </c>
      <c r="I943" s="3">
        <v>45606.647916666669</v>
      </c>
      <c r="J943" s="2">
        <v>91</v>
      </c>
      <c r="K943" s="2">
        <v>113</v>
      </c>
      <c r="L943" s="2">
        <v>1</v>
      </c>
      <c r="M943" s="2" t="s">
        <v>22</v>
      </c>
      <c r="N943" s="2">
        <v>5</v>
      </c>
      <c r="O943" s="2">
        <v>264.26</v>
      </c>
      <c r="P943" s="2">
        <f t="shared" si="70"/>
        <v>22</v>
      </c>
      <c r="Q943" s="4">
        <f t="shared" si="71"/>
        <v>0.80530973451327437</v>
      </c>
      <c r="R943" s="2" t="str">
        <f t="shared" si="72"/>
        <v>Inefficient</v>
      </c>
      <c r="S943" s="2" t="str">
        <f t="shared" si="73"/>
        <v>Long</v>
      </c>
      <c r="T943" s="2" t="str">
        <f t="shared" si="74"/>
        <v>Minor Delay</v>
      </c>
    </row>
    <row r="944" spans="1:20" x14ac:dyDescent="0.35">
      <c r="A944" s="2" t="s">
        <v>2071</v>
      </c>
      <c r="B944" s="2" t="s">
        <v>63</v>
      </c>
      <c r="C944" s="2" t="s">
        <v>2072</v>
      </c>
      <c r="D944" s="2" t="s">
        <v>18</v>
      </c>
      <c r="E944" s="2" t="s">
        <v>33</v>
      </c>
      <c r="F944" s="2" t="s">
        <v>57</v>
      </c>
      <c r="G944" s="2" t="s">
        <v>152</v>
      </c>
      <c r="H944" s="3">
        <v>45477.720138888886</v>
      </c>
      <c r="I944" s="3">
        <v>45477.852777777778</v>
      </c>
      <c r="J944" s="2">
        <v>172</v>
      </c>
      <c r="K944" s="2">
        <v>191</v>
      </c>
      <c r="L944" s="2">
        <v>1</v>
      </c>
      <c r="M944" s="2" t="s">
        <v>41</v>
      </c>
      <c r="N944" s="2">
        <v>2</v>
      </c>
      <c r="O944" s="2">
        <v>264.81</v>
      </c>
      <c r="P944" s="2">
        <f t="shared" si="70"/>
        <v>19</v>
      </c>
      <c r="Q944" s="4">
        <f t="shared" si="71"/>
        <v>0.90052356020942403</v>
      </c>
      <c r="R944" s="2" t="str">
        <f t="shared" si="72"/>
        <v>Inefficient</v>
      </c>
      <c r="S944" s="2" t="str">
        <f t="shared" si="73"/>
        <v>Very Long</v>
      </c>
      <c r="T944" s="2" t="str">
        <f t="shared" si="74"/>
        <v>Minor Delay</v>
      </c>
    </row>
    <row r="945" spans="1:20" x14ac:dyDescent="0.35">
      <c r="A945" s="2" t="s">
        <v>2073</v>
      </c>
      <c r="B945" s="2" t="s">
        <v>63</v>
      </c>
      <c r="C945" s="2" t="s">
        <v>2074</v>
      </c>
      <c r="D945" s="2" t="s">
        <v>26</v>
      </c>
      <c r="E945" s="2" t="s">
        <v>85</v>
      </c>
      <c r="F945" s="2" t="s">
        <v>34</v>
      </c>
      <c r="G945" s="2" t="s">
        <v>82</v>
      </c>
      <c r="H945" s="3">
        <v>45545.426388888889</v>
      </c>
      <c r="I945" s="3">
        <v>45545.453472222223</v>
      </c>
      <c r="J945" s="2">
        <v>19</v>
      </c>
      <c r="K945" s="2">
        <v>39</v>
      </c>
      <c r="L945" s="2">
        <v>1</v>
      </c>
      <c r="M945" s="2" t="s">
        <v>22</v>
      </c>
      <c r="N945" s="2">
        <v>3</v>
      </c>
      <c r="O945" s="2">
        <v>494.04</v>
      </c>
      <c r="P945" s="2">
        <f t="shared" si="70"/>
        <v>20</v>
      </c>
      <c r="Q945" s="4">
        <f t="shared" si="71"/>
        <v>0.48717948717948717</v>
      </c>
      <c r="R945" s="2" t="str">
        <f t="shared" si="72"/>
        <v>Inefficient</v>
      </c>
      <c r="S945" s="2" t="str">
        <f t="shared" si="73"/>
        <v>Medium</v>
      </c>
      <c r="T945" s="2" t="str">
        <f t="shared" si="74"/>
        <v>Minor Delay</v>
      </c>
    </row>
    <row r="946" spans="1:20" x14ac:dyDescent="0.35">
      <c r="A946" s="2" t="s">
        <v>2075</v>
      </c>
      <c r="B946" s="2" t="s">
        <v>16</v>
      </c>
      <c r="C946" s="2" t="s">
        <v>2076</v>
      </c>
      <c r="D946" s="2" t="s">
        <v>56</v>
      </c>
      <c r="E946" s="2" t="s">
        <v>33</v>
      </c>
      <c r="F946" s="2" t="s">
        <v>20</v>
      </c>
      <c r="G946" s="2" t="s">
        <v>308</v>
      </c>
      <c r="H946" s="3">
        <v>45545.488888888889</v>
      </c>
      <c r="I946" s="3">
        <v>45545.671527777777</v>
      </c>
      <c r="J946" s="2">
        <v>222</v>
      </c>
      <c r="K946" s="2">
        <v>263</v>
      </c>
      <c r="L946" s="2">
        <v>1</v>
      </c>
      <c r="M946" s="2" t="s">
        <v>22</v>
      </c>
      <c r="N946" s="2">
        <v>2</v>
      </c>
      <c r="O946" s="2">
        <v>489.15</v>
      </c>
      <c r="P946" s="2">
        <f t="shared" si="70"/>
        <v>41</v>
      </c>
      <c r="Q946" s="4">
        <f t="shared" si="71"/>
        <v>0.844106463878327</v>
      </c>
      <c r="R946" s="2" t="str">
        <f t="shared" si="72"/>
        <v>Inefficient</v>
      </c>
      <c r="S946" s="2" t="str">
        <f t="shared" si="73"/>
        <v>Very Long</v>
      </c>
      <c r="T946" s="2" t="str">
        <f t="shared" si="74"/>
        <v>Major Delay</v>
      </c>
    </row>
    <row r="947" spans="1:20" x14ac:dyDescent="0.35">
      <c r="A947" s="2" t="s">
        <v>2077</v>
      </c>
      <c r="B947" s="2" t="s">
        <v>24</v>
      </c>
      <c r="C947" s="2" t="s">
        <v>2078</v>
      </c>
      <c r="D947" s="2" t="s">
        <v>26</v>
      </c>
      <c r="E947" s="2" t="s">
        <v>38</v>
      </c>
      <c r="F947" s="2" t="s">
        <v>57</v>
      </c>
      <c r="G947" s="2" t="s">
        <v>622</v>
      </c>
      <c r="H947" s="3">
        <v>45440.963888888888</v>
      </c>
      <c r="I947" s="3">
        <v>45441.102777777778</v>
      </c>
      <c r="J947" s="2">
        <v>117</v>
      </c>
      <c r="K947" s="2">
        <v>200</v>
      </c>
      <c r="L947" s="2">
        <v>1</v>
      </c>
      <c r="M947" s="2" t="s">
        <v>22</v>
      </c>
      <c r="N947" s="2">
        <v>1</v>
      </c>
      <c r="O947" s="2">
        <v>140.9</v>
      </c>
      <c r="P947" s="2">
        <f t="shared" si="70"/>
        <v>83</v>
      </c>
      <c r="Q947" s="4">
        <f t="shared" si="71"/>
        <v>0.58499999999999996</v>
      </c>
      <c r="R947" s="2" t="str">
        <f t="shared" si="72"/>
        <v>Inefficient</v>
      </c>
      <c r="S947" s="2" t="str">
        <f t="shared" si="73"/>
        <v>Very Long</v>
      </c>
      <c r="T947" s="2" t="str">
        <f t="shared" si="74"/>
        <v>Major Delay</v>
      </c>
    </row>
    <row r="948" spans="1:20" x14ac:dyDescent="0.35">
      <c r="A948" s="2" t="s">
        <v>2079</v>
      </c>
      <c r="B948" s="2" t="s">
        <v>24</v>
      </c>
      <c r="C948" s="2" t="s">
        <v>2080</v>
      </c>
      <c r="D948" s="2" t="s">
        <v>18</v>
      </c>
      <c r="E948" s="2" t="s">
        <v>19</v>
      </c>
      <c r="F948" s="2" t="s">
        <v>57</v>
      </c>
      <c r="G948" s="2" t="s">
        <v>61</v>
      </c>
      <c r="H948" s="3">
        <v>45582.525000000001</v>
      </c>
      <c r="I948" s="3">
        <v>45582.651388888888</v>
      </c>
      <c r="J948" s="2">
        <v>99</v>
      </c>
      <c r="K948" s="2">
        <v>182</v>
      </c>
      <c r="L948" s="2">
        <v>1</v>
      </c>
      <c r="M948" s="2" t="s">
        <v>29</v>
      </c>
      <c r="N948" s="2">
        <v>5</v>
      </c>
      <c r="O948" s="2">
        <v>321.27</v>
      </c>
      <c r="P948" s="2">
        <f t="shared" si="70"/>
        <v>83</v>
      </c>
      <c r="Q948" s="4">
        <f t="shared" si="71"/>
        <v>0.54395604395604391</v>
      </c>
      <c r="R948" s="2" t="str">
        <f t="shared" si="72"/>
        <v>Inefficient</v>
      </c>
      <c r="S948" s="2" t="str">
        <f t="shared" si="73"/>
        <v>Very Long</v>
      </c>
      <c r="T948" s="2" t="str">
        <f t="shared" si="74"/>
        <v>Major Delay</v>
      </c>
    </row>
    <row r="949" spans="1:20" x14ac:dyDescent="0.35">
      <c r="A949" s="2" t="s">
        <v>2081</v>
      </c>
      <c r="B949" s="2" t="s">
        <v>51</v>
      </c>
      <c r="C949" s="2" t="s">
        <v>2082</v>
      </c>
      <c r="D949" s="2" t="s">
        <v>44</v>
      </c>
      <c r="E949" s="2" t="s">
        <v>85</v>
      </c>
      <c r="F949" s="2" t="s">
        <v>39</v>
      </c>
      <c r="G949" s="2" t="s">
        <v>669</v>
      </c>
      <c r="H949" s="3">
        <v>45335.595138888886</v>
      </c>
      <c r="I949" s="3">
        <v>45335.697222222225</v>
      </c>
      <c r="J949" s="2">
        <v>46</v>
      </c>
      <c r="K949" s="2">
        <v>147</v>
      </c>
      <c r="L949" s="2">
        <v>1</v>
      </c>
      <c r="M949" s="2" t="s">
        <v>29</v>
      </c>
      <c r="N949" s="2">
        <v>8</v>
      </c>
      <c r="O949" s="2">
        <v>227.78</v>
      </c>
      <c r="P949" s="2">
        <f t="shared" si="70"/>
        <v>101</v>
      </c>
      <c r="Q949" s="4">
        <f t="shared" si="71"/>
        <v>0.31292517006802723</v>
      </c>
      <c r="R949" s="2" t="str">
        <f t="shared" si="72"/>
        <v>Inefficient</v>
      </c>
      <c r="S949" s="2" t="str">
        <f t="shared" si="73"/>
        <v>Very Long</v>
      </c>
      <c r="T949" s="2" t="str">
        <f t="shared" si="74"/>
        <v>Major Delay</v>
      </c>
    </row>
    <row r="950" spans="1:20" x14ac:dyDescent="0.35">
      <c r="A950" s="2" t="s">
        <v>2083</v>
      </c>
      <c r="B950" s="2" t="s">
        <v>16</v>
      </c>
      <c r="C950" s="2" t="s">
        <v>2084</v>
      </c>
      <c r="D950" s="2" t="s">
        <v>26</v>
      </c>
      <c r="E950" s="2" t="s">
        <v>19</v>
      </c>
      <c r="F950" s="2" t="s">
        <v>39</v>
      </c>
      <c r="G950" s="2" t="s">
        <v>512</v>
      </c>
      <c r="H950" s="3">
        <v>45453.452777777777</v>
      </c>
      <c r="I950" s="3">
        <v>45453.655555555553</v>
      </c>
      <c r="J950" s="2">
        <v>235</v>
      </c>
      <c r="K950" s="2">
        <v>292</v>
      </c>
      <c r="L950" s="2">
        <v>1</v>
      </c>
      <c r="M950" s="2" t="s">
        <v>22</v>
      </c>
      <c r="N950" s="2">
        <v>7</v>
      </c>
      <c r="O950" s="2">
        <v>194.71</v>
      </c>
      <c r="P950" s="2">
        <f t="shared" si="70"/>
        <v>57</v>
      </c>
      <c r="Q950" s="4">
        <f t="shared" si="71"/>
        <v>0.8047945205479452</v>
      </c>
      <c r="R950" s="2" t="str">
        <f t="shared" si="72"/>
        <v>Inefficient</v>
      </c>
      <c r="S950" s="2" t="str">
        <f t="shared" si="73"/>
        <v>Very Long</v>
      </c>
      <c r="T950" s="2" t="str">
        <f t="shared" si="74"/>
        <v>Major Delay</v>
      </c>
    </row>
    <row r="951" spans="1:20" x14ac:dyDescent="0.35">
      <c r="A951" s="2" t="s">
        <v>2085</v>
      </c>
      <c r="B951" s="2" t="s">
        <v>31</v>
      </c>
      <c r="C951" s="2" t="s">
        <v>2086</v>
      </c>
      <c r="D951" s="2" t="s">
        <v>48</v>
      </c>
      <c r="E951" s="2" t="s">
        <v>85</v>
      </c>
      <c r="F951" s="2" t="s">
        <v>34</v>
      </c>
      <c r="G951" s="2" t="s">
        <v>427</v>
      </c>
      <c r="H951" s="3">
        <v>45606.771527777775</v>
      </c>
      <c r="I951" s="3">
        <v>45606.894444444442</v>
      </c>
      <c r="J951" s="2">
        <v>148</v>
      </c>
      <c r="K951" s="2">
        <v>177</v>
      </c>
      <c r="L951" s="2">
        <v>1</v>
      </c>
      <c r="M951" s="2" t="s">
        <v>41</v>
      </c>
      <c r="N951" s="2">
        <v>10</v>
      </c>
      <c r="O951" s="2">
        <v>293.39999999999998</v>
      </c>
      <c r="P951" s="2">
        <f t="shared" si="70"/>
        <v>29</v>
      </c>
      <c r="Q951" s="4">
        <f t="shared" si="71"/>
        <v>0.83615819209039544</v>
      </c>
      <c r="R951" s="2" t="str">
        <f t="shared" si="72"/>
        <v>Inefficient</v>
      </c>
      <c r="S951" s="2" t="str">
        <f t="shared" si="73"/>
        <v>Very Long</v>
      </c>
      <c r="T951" s="2" t="str">
        <f t="shared" si="74"/>
        <v>Minor Delay</v>
      </c>
    </row>
    <row r="952" spans="1:20" x14ac:dyDescent="0.35">
      <c r="A952" s="2" t="s">
        <v>2087</v>
      </c>
      <c r="B952" s="2" t="s">
        <v>63</v>
      </c>
      <c r="C952" s="2" t="s">
        <v>2088</v>
      </c>
      <c r="D952" s="2" t="s">
        <v>18</v>
      </c>
      <c r="E952" s="2" t="s">
        <v>38</v>
      </c>
      <c r="F952" s="2" t="s">
        <v>20</v>
      </c>
      <c r="G952" s="2" t="s">
        <v>132</v>
      </c>
      <c r="H952" s="3">
        <v>45501.188194444447</v>
      </c>
      <c r="I952" s="3">
        <v>45501.263194444444</v>
      </c>
      <c r="J952" s="2">
        <v>38</v>
      </c>
      <c r="K952" s="2">
        <v>108</v>
      </c>
      <c r="L952" s="2">
        <v>1</v>
      </c>
      <c r="M952" s="2" t="s">
        <v>22</v>
      </c>
      <c r="N952" s="2">
        <v>8</v>
      </c>
      <c r="O952" s="2">
        <v>129.91999999999999</v>
      </c>
      <c r="P952" s="2">
        <f t="shared" si="70"/>
        <v>70</v>
      </c>
      <c r="Q952" s="4">
        <f t="shared" si="71"/>
        <v>0.35185185185185186</v>
      </c>
      <c r="R952" s="2" t="str">
        <f t="shared" si="72"/>
        <v>Inefficient</v>
      </c>
      <c r="S952" s="2" t="str">
        <f t="shared" si="73"/>
        <v>Long</v>
      </c>
      <c r="T952" s="2" t="str">
        <f t="shared" si="74"/>
        <v>Major Delay</v>
      </c>
    </row>
    <row r="953" spans="1:20" x14ac:dyDescent="0.35">
      <c r="A953" s="2" t="s">
        <v>2089</v>
      </c>
      <c r="B953" s="2" t="s">
        <v>16</v>
      </c>
      <c r="C953" s="2" t="s">
        <v>2090</v>
      </c>
      <c r="D953" s="2" t="s">
        <v>26</v>
      </c>
      <c r="E953" s="2" t="s">
        <v>38</v>
      </c>
      <c r="F953" s="2" t="s">
        <v>20</v>
      </c>
      <c r="G953" s="2" t="s">
        <v>82</v>
      </c>
      <c r="H953" s="3">
        <v>45476.977083333331</v>
      </c>
      <c r="I953" s="3">
        <v>45477.116666666669</v>
      </c>
      <c r="J953" s="2">
        <v>147</v>
      </c>
      <c r="K953" s="2">
        <v>201</v>
      </c>
      <c r="L953" s="2">
        <v>1</v>
      </c>
      <c r="M953" s="2" t="s">
        <v>22</v>
      </c>
      <c r="N953" s="2">
        <v>6</v>
      </c>
      <c r="O953" s="2">
        <v>187.39</v>
      </c>
      <c r="P953" s="2">
        <f t="shared" si="70"/>
        <v>54</v>
      </c>
      <c r="Q953" s="4">
        <f t="shared" si="71"/>
        <v>0.73134328358208955</v>
      </c>
      <c r="R953" s="2" t="str">
        <f t="shared" si="72"/>
        <v>Inefficient</v>
      </c>
      <c r="S953" s="2" t="str">
        <f t="shared" si="73"/>
        <v>Very Long</v>
      </c>
      <c r="T953" s="2" t="str">
        <f t="shared" si="74"/>
        <v>Major Delay</v>
      </c>
    </row>
    <row r="954" spans="1:20" x14ac:dyDescent="0.35">
      <c r="A954" s="2" t="s">
        <v>2091</v>
      </c>
      <c r="B954" s="2" t="s">
        <v>24</v>
      </c>
      <c r="C954" s="2" t="s">
        <v>2092</v>
      </c>
      <c r="D954" s="2" t="s">
        <v>48</v>
      </c>
      <c r="E954" s="2" t="s">
        <v>33</v>
      </c>
      <c r="F954" s="2" t="s">
        <v>27</v>
      </c>
      <c r="G954" s="2" t="s">
        <v>415</v>
      </c>
      <c r="H954" s="3">
        <v>45336.142361111109</v>
      </c>
      <c r="I954" s="3">
        <v>45336.370833333334</v>
      </c>
      <c r="J954" s="2">
        <v>218</v>
      </c>
      <c r="K954" s="2">
        <v>329</v>
      </c>
      <c r="L954" s="2">
        <v>1</v>
      </c>
      <c r="M954" s="2" t="s">
        <v>22</v>
      </c>
      <c r="N954" s="2">
        <v>10</v>
      </c>
      <c r="O954" s="2">
        <v>340.27</v>
      </c>
      <c r="P954" s="2">
        <f t="shared" si="70"/>
        <v>111</v>
      </c>
      <c r="Q954" s="4">
        <f t="shared" si="71"/>
        <v>0.66261398176291797</v>
      </c>
      <c r="R954" s="2" t="str">
        <f t="shared" si="72"/>
        <v>Inefficient</v>
      </c>
      <c r="S954" s="2" t="str">
        <f t="shared" si="73"/>
        <v>Very Long</v>
      </c>
      <c r="T954" s="2" t="str">
        <f t="shared" si="74"/>
        <v>Major Delay</v>
      </c>
    </row>
    <row r="955" spans="1:20" x14ac:dyDescent="0.35">
      <c r="A955" s="2" t="s">
        <v>2093</v>
      </c>
      <c r="B955" s="2" t="s">
        <v>31</v>
      </c>
      <c r="C955" s="2" t="s">
        <v>2094</v>
      </c>
      <c r="D955" s="2" t="s">
        <v>18</v>
      </c>
      <c r="E955" s="2" t="s">
        <v>38</v>
      </c>
      <c r="F955" s="2" t="s">
        <v>57</v>
      </c>
      <c r="G955" s="2" t="s">
        <v>79</v>
      </c>
      <c r="H955" s="3">
        <v>45402.52847222222</v>
      </c>
      <c r="I955" s="3">
        <v>45402.655555555553</v>
      </c>
      <c r="J955" s="2">
        <v>112</v>
      </c>
      <c r="K955" s="2">
        <v>183</v>
      </c>
      <c r="L955" s="2">
        <v>1</v>
      </c>
      <c r="M955" s="2" t="s">
        <v>22</v>
      </c>
      <c r="N955" s="2">
        <v>8</v>
      </c>
      <c r="O955" s="2">
        <v>400.35</v>
      </c>
      <c r="P955" s="2">
        <f t="shared" si="70"/>
        <v>71</v>
      </c>
      <c r="Q955" s="4">
        <f t="shared" si="71"/>
        <v>0.61202185792349728</v>
      </c>
      <c r="R955" s="2" t="str">
        <f t="shared" si="72"/>
        <v>Inefficient</v>
      </c>
      <c r="S955" s="2" t="str">
        <f t="shared" si="73"/>
        <v>Very Long</v>
      </c>
      <c r="T955" s="2" t="str">
        <f t="shared" si="74"/>
        <v>Major Delay</v>
      </c>
    </row>
    <row r="956" spans="1:20" x14ac:dyDescent="0.35">
      <c r="A956" s="2" t="s">
        <v>2095</v>
      </c>
      <c r="B956" s="2" t="s">
        <v>63</v>
      </c>
      <c r="C956" s="2" t="s">
        <v>2096</v>
      </c>
      <c r="D956" s="2" t="s">
        <v>26</v>
      </c>
      <c r="E956" s="2" t="s">
        <v>33</v>
      </c>
      <c r="F956" s="2" t="s">
        <v>27</v>
      </c>
      <c r="G956" s="2" t="s">
        <v>21</v>
      </c>
      <c r="H956" s="3">
        <v>45409.688194444447</v>
      </c>
      <c r="I956" s="3">
        <v>45409.822916666664</v>
      </c>
      <c r="J956" s="2">
        <v>155</v>
      </c>
      <c r="K956" s="2">
        <v>194</v>
      </c>
      <c r="L956" s="2">
        <v>1</v>
      </c>
      <c r="M956" s="2" t="s">
        <v>22</v>
      </c>
      <c r="N956" s="2">
        <v>1</v>
      </c>
      <c r="O956" s="2">
        <v>303.51</v>
      </c>
      <c r="P956" s="2">
        <f t="shared" si="70"/>
        <v>39</v>
      </c>
      <c r="Q956" s="4">
        <f t="shared" si="71"/>
        <v>0.7989690721649485</v>
      </c>
      <c r="R956" s="2" t="str">
        <f t="shared" si="72"/>
        <v>Inefficient</v>
      </c>
      <c r="S956" s="2" t="str">
        <f t="shared" si="73"/>
        <v>Very Long</v>
      </c>
      <c r="T956" s="2" t="str">
        <f t="shared" si="74"/>
        <v>Major Delay</v>
      </c>
    </row>
    <row r="957" spans="1:20" x14ac:dyDescent="0.35">
      <c r="A957" s="2" t="s">
        <v>2097</v>
      </c>
      <c r="B957" s="2" t="s">
        <v>16</v>
      </c>
      <c r="C957" s="2" t="s">
        <v>2098</v>
      </c>
      <c r="D957" s="2" t="s">
        <v>48</v>
      </c>
      <c r="E957" s="2" t="s">
        <v>85</v>
      </c>
      <c r="F957" s="2" t="s">
        <v>27</v>
      </c>
      <c r="G957" s="2" t="s">
        <v>170</v>
      </c>
      <c r="H957" s="3">
        <v>45432.397222222222</v>
      </c>
      <c r="I957" s="3">
        <v>45432.549305555556</v>
      </c>
      <c r="J957" s="2">
        <v>193</v>
      </c>
      <c r="K957" s="2">
        <v>219</v>
      </c>
      <c r="L957" s="2">
        <v>1</v>
      </c>
      <c r="M957" s="2" t="s">
        <v>41</v>
      </c>
      <c r="N957" s="2">
        <v>7</v>
      </c>
      <c r="O957" s="2">
        <v>451.48</v>
      </c>
      <c r="P957" s="2">
        <f t="shared" si="70"/>
        <v>26</v>
      </c>
      <c r="Q957" s="4">
        <f t="shared" si="71"/>
        <v>0.88127853881278539</v>
      </c>
      <c r="R957" s="2" t="str">
        <f t="shared" si="72"/>
        <v>Inefficient</v>
      </c>
      <c r="S957" s="2" t="str">
        <f t="shared" si="73"/>
        <v>Very Long</v>
      </c>
      <c r="T957" s="2" t="str">
        <f t="shared" si="74"/>
        <v>Minor Delay</v>
      </c>
    </row>
    <row r="958" spans="1:20" x14ac:dyDescent="0.35">
      <c r="A958" s="2" t="s">
        <v>2099</v>
      </c>
      <c r="B958" s="2" t="s">
        <v>16</v>
      </c>
      <c r="C958" s="2" t="s">
        <v>2100</v>
      </c>
      <c r="D958" s="2" t="s">
        <v>18</v>
      </c>
      <c r="E958" s="2" t="s">
        <v>38</v>
      </c>
      <c r="F958" s="2" t="s">
        <v>34</v>
      </c>
      <c r="G958" s="2" t="s">
        <v>182</v>
      </c>
      <c r="H958" s="3">
        <v>45324.977777777778</v>
      </c>
      <c r="I958" s="3">
        <v>45325.090277777781</v>
      </c>
      <c r="J958" s="2">
        <v>153</v>
      </c>
      <c r="K958" s="2">
        <v>162</v>
      </c>
      <c r="L958" s="2">
        <v>1</v>
      </c>
      <c r="M958" s="2" t="s">
        <v>29</v>
      </c>
      <c r="N958" s="2">
        <v>2</v>
      </c>
      <c r="O958" s="2">
        <v>173.82</v>
      </c>
      <c r="P958" s="2">
        <f t="shared" si="70"/>
        <v>9</v>
      </c>
      <c r="Q958" s="4">
        <f t="shared" si="71"/>
        <v>0.94444444444444442</v>
      </c>
      <c r="R958" s="2" t="str">
        <f t="shared" si="72"/>
        <v>Inefficient</v>
      </c>
      <c r="S958" s="2" t="str">
        <f t="shared" si="73"/>
        <v>Very Long</v>
      </c>
      <c r="T958" s="2" t="str">
        <f t="shared" si="74"/>
        <v>Minor Delay</v>
      </c>
    </row>
    <row r="959" spans="1:20" x14ac:dyDescent="0.35">
      <c r="A959" s="2" t="s">
        <v>2101</v>
      </c>
      <c r="B959" s="2" t="s">
        <v>24</v>
      </c>
      <c r="C959" s="2" t="s">
        <v>2102</v>
      </c>
      <c r="D959" s="2" t="s">
        <v>48</v>
      </c>
      <c r="E959" s="2" t="s">
        <v>19</v>
      </c>
      <c r="F959" s="2" t="s">
        <v>20</v>
      </c>
      <c r="G959" s="2" t="s">
        <v>615</v>
      </c>
      <c r="H959" s="3">
        <v>45379.127083333333</v>
      </c>
      <c r="I959" s="3">
        <v>45379.309027777781</v>
      </c>
      <c r="J959" s="2">
        <v>162</v>
      </c>
      <c r="K959" s="2">
        <v>262</v>
      </c>
      <c r="L959" s="2">
        <v>1</v>
      </c>
      <c r="M959" s="2" t="s">
        <v>29</v>
      </c>
      <c r="N959" s="2">
        <v>10</v>
      </c>
      <c r="O959" s="2">
        <v>195</v>
      </c>
      <c r="P959" s="2">
        <f t="shared" si="70"/>
        <v>100</v>
      </c>
      <c r="Q959" s="4">
        <f t="shared" si="71"/>
        <v>0.61832061068702293</v>
      </c>
      <c r="R959" s="2" t="str">
        <f t="shared" si="72"/>
        <v>Inefficient</v>
      </c>
      <c r="S959" s="2" t="str">
        <f t="shared" si="73"/>
        <v>Very Long</v>
      </c>
      <c r="T959" s="2" t="str">
        <f t="shared" si="74"/>
        <v>Major Delay</v>
      </c>
    </row>
    <row r="960" spans="1:20" x14ac:dyDescent="0.35">
      <c r="A960" s="2" t="s">
        <v>2103</v>
      </c>
      <c r="B960" s="2" t="s">
        <v>24</v>
      </c>
      <c r="C960" s="2" t="s">
        <v>2104</v>
      </c>
      <c r="D960" s="2" t="s">
        <v>56</v>
      </c>
      <c r="E960" s="2" t="s">
        <v>85</v>
      </c>
      <c r="F960" s="2" t="s">
        <v>27</v>
      </c>
      <c r="G960" s="2" t="s">
        <v>268</v>
      </c>
      <c r="H960" s="3">
        <v>45359.10833333333</v>
      </c>
      <c r="I960" s="3">
        <v>45359.320138888892</v>
      </c>
      <c r="J960" s="2">
        <v>190</v>
      </c>
      <c r="K960" s="2">
        <v>305</v>
      </c>
      <c r="L960" s="2">
        <v>1</v>
      </c>
      <c r="M960" s="2" t="s">
        <v>29</v>
      </c>
      <c r="N960" s="2">
        <v>2</v>
      </c>
      <c r="O960" s="2">
        <v>298.22000000000003</v>
      </c>
      <c r="P960" s="2">
        <f t="shared" si="70"/>
        <v>115</v>
      </c>
      <c r="Q960" s="4">
        <f t="shared" si="71"/>
        <v>0.62295081967213117</v>
      </c>
      <c r="R960" s="2" t="str">
        <f t="shared" si="72"/>
        <v>Inefficient</v>
      </c>
      <c r="S960" s="2" t="str">
        <f t="shared" si="73"/>
        <v>Very Long</v>
      </c>
      <c r="T960" s="2" t="str">
        <f t="shared" si="74"/>
        <v>Major Delay</v>
      </c>
    </row>
    <row r="961" spans="1:20" x14ac:dyDescent="0.35">
      <c r="A961" s="2" t="s">
        <v>2105</v>
      </c>
      <c r="B961" s="2" t="s">
        <v>51</v>
      </c>
      <c r="C961" s="2" t="s">
        <v>2106</v>
      </c>
      <c r="D961" s="2" t="s">
        <v>26</v>
      </c>
      <c r="E961" s="2" t="s">
        <v>85</v>
      </c>
      <c r="F961" s="2" t="s">
        <v>27</v>
      </c>
      <c r="G961" s="2" t="s">
        <v>512</v>
      </c>
      <c r="H961" s="3">
        <v>45455.211805555555</v>
      </c>
      <c r="I961" s="3">
        <v>45455.34652777778</v>
      </c>
      <c r="J961" s="2">
        <v>131</v>
      </c>
      <c r="K961" s="2">
        <v>194</v>
      </c>
      <c r="L961" s="2">
        <v>1</v>
      </c>
      <c r="M961" s="2" t="s">
        <v>22</v>
      </c>
      <c r="N961" s="2">
        <v>5</v>
      </c>
      <c r="O961" s="2">
        <v>222.09</v>
      </c>
      <c r="P961" s="2">
        <f t="shared" si="70"/>
        <v>63</v>
      </c>
      <c r="Q961" s="4">
        <f t="shared" si="71"/>
        <v>0.67525773195876293</v>
      </c>
      <c r="R961" s="2" t="str">
        <f t="shared" si="72"/>
        <v>Inefficient</v>
      </c>
      <c r="S961" s="2" t="str">
        <f t="shared" si="73"/>
        <v>Very Long</v>
      </c>
      <c r="T961" s="2" t="str">
        <f t="shared" si="74"/>
        <v>Major Delay</v>
      </c>
    </row>
    <row r="962" spans="1:20" x14ac:dyDescent="0.35">
      <c r="A962" s="2" t="s">
        <v>2107</v>
      </c>
      <c r="B962" s="2" t="s">
        <v>31</v>
      </c>
      <c r="C962" s="2" t="s">
        <v>2108</v>
      </c>
      <c r="D962" s="2" t="s">
        <v>26</v>
      </c>
      <c r="E962" s="2" t="s">
        <v>85</v>
      </c>
      <c r="F962" s="2" t="s">
        <v>57</v>
      </c>
      <c r="G962" s="2" t="s">
        <v>526</v>
      </c>
      <c r="H962" s="3">
        <v>45384.482638888891</v>
      </c>
      <c r="I962" s="3">
        <v>45384.682638888888</v>
      </c>
      <c r="J962" s="2">
        <v>232</v>
      </c>
      <c r="K962" s="2">
        <v>288</v>
      </c>
      <c r="L962" s="2">
        <v>1</v>
      </c>
      <c r="M962" s="2" t="s">
        <v>29</v>
      </c>
      <c r="N962" s="2">
        <v>10</v>
      </c>
      <c r="O962" s="2">
        <v>72.72</v>
      </c>
      <c r="P962" s="2">
        <f t="shared" si="70"/>
        <v>56</v>
      </c>
      <c r="Q962" s="4">
        <f t="shared" si="71"/>
        <v>0.80555555555555558</v>
      </c>
      <c r="R962" s="2" t="str">
        <f t="shared" si="72"/>
        <v>Inefficient</v>
      </c>
      <c r="S962" s="2" t="str">
        <f t="shared" si="73"/>
        <v>Very Long</v>
      </c>
      <c r="T962" s="2" t="str">
        <f t="shared" si="74"/>
        <v>Major Delay</v>
      </c>
    </row>
    <row r="963" spans="1:20" x14ac:dyDescent="0.35">
      <c r="A963" s="2" t="s">
        <v>2109</v>
      </c>
      <c r="B963" s="2" t="s">
        <v>63</v>
      </c>
      <c r="C963" s="2" t="s">
        <v>2110</v>
      </c>
      <c r="D963" s="2" t="s">
        <v>18</v>
      </c>
      <c r="E963" s="2" t="s">
        <v>33</v>
      </c>
      <c r="F963" s="2" t="s">
        <v>27</v>
      </c>
      <c r="G963" s="2" t="s">
        <v>343</v>
      </c>
      <c r="H963" s="3">
        <v>45399.625</v>
      </c>
      <c r="I963" s="3">
        <v>45399.779166666667</v>
      </c>
      <c r="J963" s="2">
        <v>188</v>
      </c>
      <c r="K963" s="2">
        <v>222</v>
      </c>
      <c r="L963" s="2">
        <v>1</v>
      </c>
      <c r="M963" s="2" t="s">
        <v>29</v>
      </c>
      <c r="N963" s="2">
        <v>1</v>
      </c>
      <c r="O963" s="2">
        <v>371.15</v>
      </c>
      <c r="P963" s="2">
        <f t="shared" ref="P963:P1026" si="75">K963-J963</f>
        <v>34</v>
      </c>
      <c r="Q963" s="4">
        <f t="shared" ref="Q963:Q1026" si="76">J963/K963</f>
        <v>0.84684684684684686</v>
      </c>
      <c r="R963" s="2" t="str">
        <f t="shared" ref="R963:R1026" si="77">IF(Q963&gt;1,"Efficient",
IF(Q963=1,"On Target","Inefficient"))</f>
        <v>Inefficient</v>
      </c>
      <c r="S963" s="2" t="str">
        <f t="shared" ref="S963:S1026" si="78">IF(K963&lt;30,"Short",
IF(K963&lt;60,"Medium",
IF(K963&lt;120,"Long","Very Long")))</f>
        <v>Very Long</v>
      </c>
      <c r="T963" s="2" t="str">
        <f t="shared" ref="T963:T1026" si="79">IF(K963&lt;=J963,"On Time",
IF(K963-J963&lt;=30,"Minor Delay","Major Delay"))</f>
        <v>Major Delay</v>
      </c>
    </row>
    <row r="964" spans="1:20" x14ac:dyDescent="0.35">
      <c r="A964" s="2" t="s">
        <v>2111</v>
      </c>
      <c r="B964" s="2" t="s">
        <v>16</v>
      </c>
      <c r="C964" s="2" t="s">
        <v>2112</v>
      </c>
      <c r="D964" s="2" t="s">
        <v>48</v>
      </c>
      <c r="E964" s="2" t="s">
        <v>33</v>
      </c>
      <c r="F964" s="2" t="s">
        <v>34</v>
      </c>
      <c r="G964" s="2" t="s">
        <v>817</v>
      </c>
      <c r="H964" s="3">
        <v>45608.462500000001</v>
      </c>
      <c r="I964" s="3">
        <v>45608.502083333333</v>
      </c>
      <c r="J964" s="2">
        <v>18</v>
      </c>
      <c r="K964" s="2">
        <v>57</v>
      </c>
      <c r="L964" s="2">
        <v>1</v>
      </c>
      <c r="M964" s="2" t="s">
        <v>41</v>
      </c>
      <c r="N964" s="2">
        <v>6</v>
      </c>
      <c r="O964" s="2">
        <v>373.33</v>
      </c>
      <c r="P964" s="2">
        <f t="shared" si="75"/>
        <v>39</v>
      </c>
      <c r="Q964" s="4">
        <f t="shared" si="76"/>
        <v>0.31578947368421051</v>
      </c>
      <c r="R964" s="2" t="str">
        <f t="shared" si="77"/>
        <v>Inefficient</v>
      </c>
      <c r="S964" s="2" t="str">
        <f t="shared" si="78"/>
        <v>Medium</v>
      </c>
      <c r="T964" s="2" t="str">
        <f t="shared" si="79"/>
        <v>Major Delay</v>
      </c>
    </row>
    <row r="965" spans="1:20" x14ac:dyDescent="0.35">
      <c r="A965" s="2" t="s">
        <v>2113</v>
      </c>
      <c r="B965" s="2" t="s">
        <v>31</v>
      </c>
      <c r="C965" s="2" t="s">
        <v>2114</v>
      </c>
      <c r="D965" s="2" t="s">
        <v>18</v>
      </c>
      <c r="E965" s="2" t="s">
        <v>85</v>
      </c>
      <c r="F965" s="2" t="s">
        <v>57</v>
      </c>
      <c r="G965" s="2" t="s">
        <v>129</v>
      </c>
      <c r="H965" s="3">
        <v>45575.027083333334</v>
      </c>
      <c r="I965" s="3">
        <v>45575.093055555553</v>
      </c>
      <c r="J965" s="2">
        <v>70</v>
      </c>
      <c r="K965" s="2">
        <v>95</v>
      </c>
      <c r="L965" s="2">
        <v>1</v>
      </c>
      <c r="M965" s="2" t="s">
        <v>41</v>
      </c>
      <c r="N965" s="2">
        <v>9</v>
      </c>
      <c r="O965" s="2">
        <v>440.07</v>
      </c>
      <c r="P965" s="2">
        <f t="shared" si="75"/>
        <v>25</v>
      </c>
      <c r="Q965" s="4">
        <f t="shared" si="76"/>
        <v>0.73684210526315785</v>
      </c>
      <c r="R965" s="2" t="str">
        <f t="shared" si="77"/>
        <v>Inefficient</v>
      </c>
      <c r="S965" s="2" t="str">
        <f t="shared" si="78"/>
        <v>Long</v>
      </c>
      <c r="T965" s="2" t="str">
        <f t="shared" si="79"/>
        <v>Minor Delay</v>
      </c>
    </row>
    <row r="966" spans="1:20" x14ac:dyDescent="0.35">
      <c r="A966" s="2" t="s">
        <v>2115</v>
      </c>
      <c r="B966" s="2" t="s">
        <v>51</v>
      </c>
      <c r="C966" s="2" t="s">
        <v>2116</v>
      </c>
      <c r="D966" s="2" t="s">
        <v>56</v>
      </c>
      <c r="E966" s="2" t="s">
        <v>38</v>
      </c>
      <c r="F966" s="2" t="s">
        <v>57</v>
      </c>
      <c r="G966" s="2" t="s">
        <v>45</v>
      </c>
      <c r="H966" s="3">
        <v>45518.209722222222</v>
      </c>
      <c r="I966" s="3">
        <v>45518.40347222222</v>
      </c>
      <c r="J966" s="2">
        <v>169</v>
      </c>
      <c r="K966" s="2">
        <v>279</v>
      </c>
      <c r="L966" s="2">
        <v>1</v>
      </c>
      <c r="M966" s="2" t="s">
        <v>41</v>
      </c>
      <c r="N966" s="2">
        <v>9</v>
      </c>
      <c r="O966" s="2">
        <v>291.18</v>
      </c>
      <c r="P966" s="2">
        <f t="shared" si="75"/>
        <v>110</v>
      </c>
      <c r="Q966" s="4">
        <f t="shared" si="76"/>
        <v>0.60573476702508966</v>
      </c>
      <c r="R966" s="2" t="str">
        <f t="shared" si="77"/>
        <v>Inefficient</v>
      </c>
      <c r="S966" s="2" t="str">
        <f t="shared" si="78"/>
        <v>Very Long</v>
      </c>
      <c r="T966" s="2" t="str">
        <f t="shared" si="79"/>
        <v>Major Delay</v>
      </c>
    </row>
    <row r="967" spans="1:20" x14ac:dyDescent="0.35">
      <c r="A967" s="2" t="s">
        <v>2117</v>
      </c>
      <c r="B967" s="2" t="s">
        <v>51</v>
      </c>
      <c r="C967" s="2" t="s">
        <v>2118</v>
      </c>
      <c r="D967" s="2" t="s">
        <v>26</v>
      </c>
      <c r="E967" s="2" t="s">
        <v>38</v>
      </c>
      <c r="F967" s="2" t="s">
        <v>27</v>
      </c>
      <c r="G967" s="2" t="s">
        <v>61</v>
      </c>
      <c r="H967" s="3">
        <v>45399.979166666664</v>
      </c>
      <c r="I967" s="3">
        <v>45399.986805555556</v>
      </c>
      <c r="J967" s="2">
        <v>16</v>
      </c>
      <c r="K967" s="2">
        <v>11</v>
      </c>
      <c r="L967" s="2">
        <v>0</v>
      </c>
      <c r="M967" s="2" t="s">
        <v>41</v>
      </c>
      <c r="N967" s="2">
        <v>5</v>
      </c>
      <c r="O967" s="2">
        <v>224.63</v>
      </c>
      <c r="P967" s="2">
        <f t="shared" si="75"/>
        <v>-5</v>
      </c>
      <c r="Q967" s="4">
        <f t="shared" si="76"/>
        <v>1.4545454545454546</v>
      </c>
      <c r="R967" s="2" t="str">
        <f t="shared" si="77"/>
        <v>Efficient</v>
      </c>
      <c r="S967" s="2" t="str">
        <f t="shared" si="78"/>
        <v>Short</v>
      </c>
      <c r="T967" s="2" t="str">
        <f t="shared" si="79"/>
        <v>On Time</v>
      </c>
    </row>
    <row r="968" spans="1:20" x14ac:dyDescent="0.35">
      <c r="A968" s="2" t="s">
        <v>2119</v>
      </c>
      <c r="B968" s="2" t="s">
        <v>31</v>
      </c>
      <c r="C968" s="2" t="s">
        <v>2120</v>
      </c>
      <c r="D968" s="2" t="s">
        <v>44</v>
      </c>
      <c r="E968" s="2" t="s">
        <v>85</v>
      </c>
      <c r="F968" s="2" t="s">
        <v>27</v>
      </c>
      <c r="G968" s="2" t="s">
        <v>311</v>
      </c>
      <c r="H968" s="3">
        <v>45378.603472222225</v>
      </c>
      <c r="I968" s="3">
        <v>45378.745833333334</v>
      </c>
      <c r="J968" s="2">
        <v>123</v>
      </c>
      <c r="K968" s="2">
        <v>205</v>
      </c>
      <c r="L968" s="2">
        <v>1</v>
      </c>
      <c r="M968" s="2" t="s">
        <v>41</v>
      </c>
      <c r="N968" s="2">
        <v>10</v>
      </c>
      <c r="O968" s="2">
        <v>228.96</v>
      </c>
      <c r="P968" s="2">
        <f t="shared" si="75"/>
        <v>82</v>
      </c>
      <c r="Q968" s="4">
        <f t="shared" si="76"/>
        <v>0.6</v>
      </c>
      <c r="R968" s="2" t="str">
        <f t="shared" si="77"/>
        <v>Inefficient</v>
      </c>
      <c r="S968" s="2" t="str">
        <f t="shared" si="78"/>
        <v>Very Long</v>
      </c>
      <c r="T968" s="2" t="str">
        <f t="shared" si="79"/>
        <v>Major Delay</v>
      </c>
    </row>
    <row r="969" spans="1:20" x14ac:dyDescent="0.35">
      <c r="A969" s="2" t="s">
        <v>2121</v>
      </c>
      <c r="B969" s="2" t="s">
        <v>63</v>
      </c>
      <c r="C969" s="2" t="s">
        <v>2122</v>
      </c>
      <c r="D969" s="2" t="s">
        <v>48</v>
      </c>
      <c r="E969" s="2" t="s">
        <v>33</v>
      </c>
      <c r="F969" s="2" t="s">
        <v>34</v>
      </c>
      <c r="G969" s="2" t="s">
        <v>650</v>
      </c>
      <c r="H969" s="3">
        <v>45474.707638888889</v>
      </c>
      <c r="I969" s="3">
        <v>45474.836805555555</v>
      </c>
      <c r="J969" s="2">
        <v>92</v>
      </c>
      <c r="K969" s="2">
        <v>186</v>
      </c>
      <c r="L969" s="2">
        <v>1</v>
      </c>
      <c r="M969" s="2" t="s">
        <v>22</v>
      </c>
      <c r="N969" s="2">
        <v>4</v>
      </c>
      <c r="O969" s="2">
        <v>295.74</v>
      </c>
      <c r="P969" s="2">
        <f t="shared" si="75"/>
        <v>94</v>
      </c>
      <c r="Q969" s="4">
        <f t="shared" si="76"/>
        <v>0.4946236559139785</v>
      </c>
      <c r="R969" s="2" t="str">
        <f t="shared" si="77"/>
        <v>Inefficient</v>
      </c>
      <c r="S969" s="2" t="str">
        <f t="shared" si="78"/>
        <v>Very Long</v>
      </c>
      <c r="T969" s="2" t="str">
        <f t="shared" si="79"/>
        <v>Major Delay</v>
      </c>
    </row>
    <row r="970" spans="1:20" x14ac:dyDescent="0.35">
      <c r="A970" s="2" t="s">
        <v>2123</v>
      </c>
      <c r="B970" s="2" t="s">
        <v>51</v>
      </c>
      <c r="C970" s="2" t="s">
        <v>2124</v>
      </c>
      <c r="D970" s="2" t="s">
        <v>48</v>
      </c>
      <c r="E970" s="2" t="s">
        <v>38</v>
      </c>
      <c r="F970" s="2" t="s">
        <v>20</v>
      </c>
      <c r="G970" s="2" t="s">
        <v>311</v>
      </c>
      <c r="H970" s="3">
        <v>45630.433333333334</v>
      </c>
      <c r="I970" s="3">
        <v>45630.652777777781</v>
      </c>
      <c r="J970" s="2">
        <v>239</v>
      </c>
      <c r="K970" s="2">
        <v>316</v>
      </c>
      <c r="L970" s="2">
        <v>1</v>
      </c>
      <c r="M970" s="2" t="s">
        <v>41</v>
      </c>
      <c r="N970" s="2">
        <v>9</v>
      </c>
      <c r="O970" s="2">
        <v>202.37</v>
      </c>
      <c r="P970" s="2">
        <f t="shared" si="75"/>
        <v>77</v>
      </c>
      <c r="Q970" s="4">
        <f t="shared" si="76"/>
        <v>0.75632911392405067</v>
      </c>
      <c r="R970" s="2" t="str">
        <f t="shared" si="77"/>
        <v>Inefficient</v>
      </c>
      <c r="S970" s="2" t="str">
        <f t="shared" si="78"/>
        <v>Very Long</v>
      </c>
      <c r="T970" s="2" t="str">
        <f t="shared" si="79"/>
        <v>Major Delay</v>
      </c>
    </row>
    <row r="971" spans="1:20" x14ac:dyDescent="0.35">
      <c r="A971" s="2" t="s">
        <v>2125</v>
      </c>
      <c r="B971" s="2" t="s">
        <v>63</v>
      </c>
      <c r="C971" s="2" t="s">
        <v>2126</v>
      </c>
      <c r="D971" s="2" t="s">
        <v>26</v>
      </c>
      <c r="E971" s="2" t="s">
        <v>19</v>
      </c>
      <c r="F971" s="2" t="s">
        <v>34</v>
      </c>
      <c r="G971" s="2" t="s">
        <v>376</v>
      </c>
      <c r="H971" s="3">
        <v>45404.256944444445</v>
      </c>
      <c r="I971" s="3">
        <v>45404.375</v>
      </c>
      <c r="J971" s="2">
        <v>74</v>
      </c>
      <c r="K971" s="2">
        <v>170</v>
      </c>
      <c r="L971" s="2">
        <v>1</v>
      </c>
      <c r="M971" s="2" t="s">
        <v>22</v>
      </c>
      <c r="N971" s="2">
        <v>1</v>
      </c>
      <c r="O971" s="2">
        <v>288.27</v>
      </c>
      <c r="P971" s="2">
        <f t="shared" si="75"/>
        <v>96</v>
      </c>
      <c r="Q971" s="4">
        <f t="shared" si="76"/>
        <v>0.43529411764705883</v>
      </c>
      <c r="R971" s="2" t="str">
        <f t="shared" si="77"/>
        <v>Inefficient</v>
      </c>
      <c r="S971" s="2" t="str">
        <f t="shared" si="78"/>
        <v>Very Long</v>
      </c>
      <c r="T971" s="2" t="str">
        <f t="shared" si="79"/>
        <v>Major Delay</v>
      </c>
    </row>
    <row r="972" spans="1:20" x14ac:dyDescent="0.35">
      <c r="A972" s="2" t="s">
        <v>2127</v>
      </c>
      <c r="B972" s="2" t="s">
        <v>24</v>
      </c>
      <c r="C972" s="2" t="s">
        <v>2128</v>
      </c>
      <c r="D972" s="2" t="s">
        <v>56</v>
      </c>
      <c r="E972" s="2" t="s">
        <v>85</v>
      </c>
      <c r="F972" s="2" t="s">
        <v>39</v>
      </c>
      <c r="G972" s="2" t="s">
        <v>1730</v>
      </c>
      <c r="H972" s="3">
        <v>45420.906944444447</v>
      </c>
      <c r="I972" s="3">
        <v>45421.009027777778</v>
      </c>
      <c r="J972" s="2">
        <v>81</v>
      </c>
      <c r="K972" s="2">
        <v>147</v>
      </c>
      <c r="L972" s="2">
        <v>1</v>
      </c>
      <c r="M972" s="2" t="s">
        <v>41</v>
      </c>
      <c r="N972" s="2">
        <v>9</v>
      </c>
      <c r="O972" s="2">
        <v>75.11</v>
      </c>
      <c r="P972" s="2">
        <f t="shared" si="75"/>
        <v>66</v>
      </c>
      <c r="Q972" s="4">
        <f t="shared" si="76"/>
        <v>0.55102040816326525</v>
      </c>
      <c r="R972" s="2" t="str">
        <f t="shared" si="77"/>
        <v>Inefficient</v>
      </c>
      <c r="S972" s="2" t="str">
        <f t="shared" si="78"/>
        <v>Very Long</v>
      </c>
      <c r="T972" s="2" t="str">
        <f t="shared" si="79"/>
        <v>Major Delay</v>
      </c>
    </row>
    <row r="973" spans="1:20" x14ac:dyDescent="0.35">
      <c r="A973" s="2" t="s">
        <v>2129</v>
      </c>
      <c r="B973" s="2" t="s">
        <v>31</v>
      </c>
      <c r="C973" s="2" t="s">
        <v>2130</v>
      </c>
      <c r="D973" s="2" t="s">
        <v>44</v>
      </c>
      <c r="E973" s="2" t="s">
        <v>38</v>
      </c>
      <c r="F973" s="2" t="s">
        <v>39</v>
      </c>
      <c r="G973" s="2" t="s">
        <v>521</v>
      </c>
      <c r="H973" s="3">
        <v>45506.009722222225</v>
      </c>
      <c r="I973" s="3">
        <v>45506.248611111114</v>
      </c>
      <c r="J973" s="2">
        <v>227</v>
      </c>
      <c r="K973" s="2">
        <v>344</v>
      </c>
      <c r="L973" s="2">
        <v>1</v>
      </c>
      <c r="M973" s="2" t="s">
        <v>41</v>
      </c>
      <c r="N973" s="2">
        <v>8</v>
      </c>
      <c r="O973" s="2">
        <v>470.84</v>
      </c>
      <c r="P973" s="2">
        <f t="shared" si="75"/>
        <v>117</v>
      </c>
      <c r="Q973" s="4">
        <f t="shared" si="76"/>
        <v>0.65988372093023251</v>
      </c>
      <c r="R973" s="2" t="str">
        <f t="shared" si="77"/>
        <v>Inefficient</v>
      </c>
      <c r="S973" s="2" t="str">
        <f t="shared" si="78"/>
        <v>Very Long</v>
      </c>
      <c r="T973" s="2" t="str">
        <f t="shared" si="79"/>
        <v>Major Delay</v>
      </c>
    </row>
    <row r="974" spans="1:20" x14ac:dyDescent="0.35">
      <c r="A974" s="2" t="s">
        <v>2131</v>
      </c>
      <c r="B974" s="2" t="s">
        <v>24</v>
      </c>
      <c r="C974" s="2" t="s">
        <v>2132</v>
      </c>
      <c r="D974" s="2" t="s">
        <v>56</v>
      </c>
      <c r="E974" s="2" t="s">
        <v>19</v>
      </c>
      <c r="F974" s="2" t="s">
        <v>27</v>
      </c>
      <c r="G974" s="2" t="s">
        <v>1413</v>
      </c>
      <c r="H974" s="3">
        <v>45649.57708333333</v>
      </c>
      <c r="I974" s="3">
        <v>45649.710416666669</v>
      </c>
      <c r="J974" s="2">
        <v>197</v>
      </c>
      <c r="K974" s="2">
        <v>192</v>
      </c>
      <c r="L974" s="2">
        <v>0</v>
      </c>
      <c r="M974" s="2" t="s">
        <v>22</v>
      </c>
      <c r="N974" s="2">
        <v>1</v>
      </c>
      <c r="O974" s="2">
        <v>129.44999999999999</v>
      </c>
      <c r="P974" s="2">
        <f t="shared" si="75"/>
        <v>-5</v>
      </c>
      <c r="Q974" s="4">
        <f t="shared" si="76"/>
        <v>1.0260416666666667</v>
      </c>
      <c r="R974" s="2" t="str">
        <f t="shared" si="77"/>
        <v>Efficient</v>
      </c>
      <c r="S974" s="2" t="str">
        <f t="shared" si="78"/>
        <v>Very Long</v>
      </c>
      <c r="T974" s="2" t="str">
        <f t="shared" si="79"/>
        <v>On Time</v>
      </c>
    </row>
    <row r="975" spans="1:20" x14ac:dyDescent="0.35">
      <c r="A975" s="2" t="s">
        <v>2133</v>
      </c>
      <c r="B975" s="2" t="s">
        <v>31</v>
      </c>
      <c r="C975" s="2" t="s">
        <v>2134</v>
      </c>
      <c r="D975" s="2" t="s">
        <v>56</v>
      </c>
      <c r="E975" s="2" t="s">
        <v>85</v>
      </c>
      <c r="F975" s="2" t="s">
        <v>20</v>
      </c>
      <c r="G975" s="2" t="s">
        <v>167</v>
      </c>
      <c r="H975" s="3">
        <v>45425.851388888892</v>
      </c>
      <c r="I975" s="3">
        <v>45425.974305555559</v>
      </c>
      <c r="J975" s="2">
        <v>126</v>
      </c>
      <c r="K975" s="2">
        <v>177</v>
      </c>
      <c r="L975" s="2">
        <v>1</v>
      </c>
      <c r="M975" s="2" t="s">
        <v>22</v>
      </c>
      <c r="N975" s="2">
        <v>1</v>
      </c>
      <c r="O975" s="2">
        <v>362.82</v>
      </c>
      <c r="P975" s="2">
        <f t="shared" si="75"/>
        <v>51</v>
      </c>
      <c r="Q975" s="4">
        <f t="shared" si="76"/>
        <v>0.71186440677966101</v>
      </c>
      <c r="R975" s="2" t="str">
        <f t="shared" si="77"/>
        <v>Inefficient</v>
      </c>
      <c r="S975" s="2" t="str">
        <f t="shared" si="78"/>
        <v>Very Long</v>
      </c>
      <c r="T975" s="2" t="str">
        <f t="shared" si="79"/>
        <v>Major Delay</v>
      </c>
    </row>
    <row r="976" spans="1:20" x14ac:dyDescent="0.35">
      <c r="A976" s="2" t="s">
        <v>2135</v>
      </c>
      <c r="B976" s="2" t="s">
        <v>51</v>
      </c>
      <c r="C976" s="2" t="s">
        <v>2136</v>
      </c>
      <c r="D976" s="2" t="s">
        <v>48</v>
      </c>
      <c r="E976" s="2" t="s">
        <v>19</v>
      </c>
      <c r="F976" s="2" t="s">
        <v>27</v>
      </c>
      <c r="G976" s="2" t="s">
        <v>201</v>
      </c>
      <c r="H976" s="3">
        <v>45409.527777777781</v>
      </c>
      <c r="I976" s="3">
        <v>45409.57708333333</v>
      </c>
      <c r="J976" s="2">
        <v>37</v>
      </c>
      <c r="K976" s="2">
        <v>71</v>
      </c>
      <c r="L976" s="2">
        <v>1</v>
      </c>
      <c r="M976" s="2" t="s">
        <v>41</v>
      </c>
      <c r="N976" s="2">
        <v>2</v>
      </c>
      <c r="O976" s="2">
        <v>378.94</v>
      </c>
      <c r="P976" s="2">
        <f t="shared" si="75"/>
        <v>34</v>
      </c>
      <c r="Q976" s="4">
        <f t="shared" si="76"/>
        <v>0.52112676056338025</v>
      </c>
      <c r="R976" s="2" t="str">
        <f t="shared" si="77"/>
        <v>Inefficient</v>
      </c>
      <c r="S976" s="2" t="str">
        <f t="shared" si="78"/>
        <v>Long</v>
      </c>
      <c r="T976" s="2" t="str">
        <f t="shared" si="79"/>
        <v>Major Delay</v>
      </c>
    </row>
    <row r="977" spans="1:20" x14ac:dyDescent="0.35">
      <c r="A977" s="2" t="s">
        <v>2137</v>
      </c>
      <c r="B977" s="2" t="s">
        <v>16</v>
      </c>
      <c r="C977" s="2" t="s">
        <v>2138</v>
      </c>
      <c r="D977" s="2" t="s">
        <v>48</v>
      </c>
      <c r="E977" s="2" t="s">
        <v>33</v>
      </c>
      <c r="F977" s="2" t="s">
        <v>57</v>
      </c>
      <c r="G977" s="2" t="s">
        <v>526</v>
      </c>
      <c r="H977" s="3">
        <v>45564.695138888892</v>
      </c>
      <c r="I977" s="3">
        <v>45564.873611111114</v>
      </c>
      <c r="J977" s="2">
        <v>189</v>
      </c>
      <c r="K977" s="2">
        <v>257</v>
      </c>
      <c r="L977" s="2">
        <v>1</v>
      </c>
      <c r="M977" s="2" t="s">
        <v>29</v>
      </c>
      <c r="N977" s="2">
        <v>10</v>
      </c>
      <c r="O977" s="2">
        <v>150.4</v>
      </c>
      <c r="P977" s="2">
        <f t="shared" si="75"/>
        <v>68</v>
      </c>
      <c r="Q977" s="4">
        <f t="shared" si="76"/>
        <v>0.7354085603112841</v>
      </c>
      <c r="R977" s="2" t="str">
        <f t="shared" si="77"/>
        <v>Inefficient</v>
      </c>
      <c r="S977" s="2" t="str">
        <f t="shared" si="78"/>
        <v>Very Long</v>
      </c>
      <c r="T977" s="2" t="str">
        <f t="shared" si="79"/>
        <v>Major Delay</v>
      </c>
    </row>
    <row r="978" spans="1:20" x14ac:dyDescent="0.35">
      <c r="A978" s="2" t="s">
        <v>2139</v>
      </c>
      <c r="B978" s="2" t="s">
        <v>16</v>
      </c>
      <c r="C978" s="2" t="s">
        <v>2140</v>
      </c>
      <c r="D978" s="2" t="s">
        <v>44</v>
      </c>
      <c r="E978" s="2" t="s">
        <v>19</v>
      </c>
      <c r="F978" s="2" t="s">
        <v>27</v>
      </c>
      <c r="G978" s="2" t="s">
        <v>293</v>
      </c>
      <c r="H978" s="3">
        <v>45554.974999999999</v>
      </c>
      <c r="I978" s="3">
        <v>45555.081944444442</v>
      </c>
      <c r="J978" s="2">
        <v>129</v>
      </c>
      <c r="K978" s="2">
        <v>154</v>
      </c>
      <c r="L978" s="2">
        <v>1</v>
      </c>
      <c r="M978" s="2" t="s">
        <v>22</v>
      </c>
      <c r="N978" s="2">
        <v>2</v>
      </c>
      <c r="O978" s="2">
        <v>165.72</v>
      </c>
      <c r="P978" s="2">
        <f t="shared" si="75"/>
        <v>25</v>
      </c>
      <c r="Q978" s="4">
        <f t="shared" si="76"/>
        <v>0.83766233766233766</v>
      </c>
      <c r="R978" s="2" t="str">
        <f t="shared" si="77"/>
        <v>Inefficient</v>
      </c>
      <c r="S978" s="2" t="str">
        <f t="shared" si="78"/>
        <v>Very Long</v>
      </c>
      <c r="T978" s="2" t="str">
        <f t="shared" si="79"/>
        <v>Minor Delay</v>
      </c>
    </row>
    <row r="979" spans="1:20" x14ac:dyDescent="0.35">
      <c r="A979" s="2" t="s">
        <v>2141</v>
      </c>
      <c r="B979" s="2" t="s">
        <v>16</v>
      </c>
      <c r="C979" s="2" t="s">
        <v>2142</v>
      </c>
      <c r="D979" s="2" t="s">
        <v>26</v>
      </c>
      <c r="E979" s="2" t="s">
        <v>19</v>
      </c>
      <c r="F979" s="2" t="s">
        <v>27</v>
      </c>
      <c r="G979" s="2" t="s">
        <v>45</v>
      </c>
      <c r="H979" s="3">
        <v>45414.29791666667</v>
      </c>
      <c r="I979" s="3">
        <v>45414.406944444447</v>
      </c>
      <c r="J979" s="2">
        <v>45</v>
      </c>
      <c r="K979" s="2">
        <v>157</v>
      </c>
      <c r="L979" s="2">
        <v>1</v>
      </c>
      <c r="M979" s="2" t="s">
        <v>22</v>
      </c>
      <c r="N979" s="2">
        <v>3</v>
      </c>
      <c r="O979" s="2">
        <v>105.09</v>
      </c>
      <c r="P979" s="2">
        <f t="shared" si="75"/>
        <v>112</v>
      </c>
      <c r="Q979" s="4">
        <f t="shared" si="76"/>
        <v>0.28662420382165604</v>
      </c>
      <c r="R979" s="2" t="str">
        <f t="shared" si="77"/>
        <v>Inefficient</v>
      </c>
      <c r="S979" s="2" t="str">
        <f t="shared" si="78"/>
        <v>Very Long</v>
      </c>
      <c r="T979" s="2" t="str">
        <f t="shared" si="79"/>
        <v>Major Delay</v>
      </c>
    </row>
    <row r="980" spans="1:20" x14ac:dyDescent="0.35">
      <c r="A980" s="2" t="s">
        <v>2143</v>
      </c>
      <c r="B980" s="2" t="s">
        <v>31</v>
      </c>
      <c r="C980" s="2" t="s">
        <v>2144</v>
      </c>
      <c r="D980" s="2" t="s">
        <v>18</v>
      </c>
      <c r="E980" s="2" t="s">
        <v>19</v>
      </c>
      <c r="F980" s="2" t="s">
        <v>20</v>
      </c>
      <c r="G980" s="2" t="s">
        <v>476</v>
      </c>
      <c r="H980" s="3">
        <v>45389.94027777778</v>
      </c>
      <c r="I980" s="3">
        <v>45390.004166666666</v>
      </c>
      <c r="J980" s="2">
        <v>68</v>
      </c>
      <c r="K980" s="2">
        <v>92</v>
      </c>
      <c r="L980" s="2">
        <v>1</v>
      </c>
      <c r="M980" s="2" t="s">
        <v>22</v>
      </c>
      <c r="N980" s="2">
        <v>8</v>
      </c>
      <c r="O980" s="2">
        <v>323.13</v>
      </c>
      <c r="P980" s="2">
        <f t="shared" si="75"/>
        <v>24</v>
      </c>
      <c r="Q980" s="4">
        <f t="shared" si="76"/>
        <v>0.73913043478260865</v>
      </c>
      <c r="R980" s="2" t="str">
        <f t="shared" si="77"/>
        <v>Inefficient</v>
      </c>
      <c r="S980" s="2" t="str">
        <f t="shared" si="78"/>
        <v>Long</v>
      </c>
      <c r="T980" s="2" t="str">
        <f t="shared" si="79"/>
        <v>Minor Delay</v>
      </c>
    </row>
    <row r="981" spans="1:20" x14ac:dyDescent="0.35">
      <c r="A981" s="2" t="s">
        <v>2145</v>
      </c>
      <c r="B981" s="2" t="s">
        <v>24</v>
      </c>
      <c r="C981" s="2" t="s">
        <v>2146</v>
      </c>
      <c r="D981" s="2" t="s">
        <v>56</v>
      </c>
      <c r="E981" s="2" t="s">
        <v>38</v>
      </c>
      <c r="F981" s="2" t="s">
        <v>27</v>
      </c>
      <c r="G981" s="2" t="s">
        <v>140</v>
      </c>
      <c r="H981" s="3">
        <v>45432.155555555553</v>
      </c>
      <c r="I981" s="3">
        <v>45432.239583333336</v>
      </c>
      <c r="J981" s="2">
        <v>108</v>
      </c>
      <c r="K981" s="2">
        <v>121</v>
      </c>
      <c r="L981" s="2">
        <v>1</v>
      </c>
      <c r="M981" s="2" t="s">
        <v>41</v>
      </c>
      <c r="N981" s="2">
        <v>6</v>
      </c>
      <c r="O981" s="2">
        <v>404.62</v>
      </c>
      <c r="P981" s="2">
        <f t="shared" si="75"/>
        <v>13</v>
      </c>
      <c r="Q981" s="4">
        <f t="shared" si="76"/>
        <v>0.8925619834710744</v>
      </c>
      <c r="R981" s="2" t="str">
        <f t="shared" si="77"/>
        <v>Inefficient</v>
      </c>
      <c r="S981" s="2" t="str">
        <f t="shared" si="78"/>
        <v>Very Long</v>
      </c>
      <c r="T981" s="2" t="str">
        <f t="shared" si="79"/>
        <v>Minor Delay</v>
      </c>
    </row>
    <row r="982" spans="1:20" x14ac:dyDescent="0.35">
      <c r="A982" s="2" t="s">
        <v>2147</v>
      </c>
      <c r="B982" s="2" t="s">
        <v>31</v>
      </c>
      <c r="C982" s="2" t="s">
        <v>2148</v>
      </c>
      <c r="D982" s="2" t="s">
        <v>18</v>
      </c>
      <c r="E982" s="2" t="s">
        <v>38</v>
      </c>
      <c r="F982" s="2" t="s">
        <v>27</v>
      </c>
      <c r="G982" s="2" t="s">
        <v>853</v>
      </c>
      <c r="H982" s="3">
        <v>45502.511805555558</v>
      </c>
      <c r="I982" s="3">
        <v>45502.675000000003</v>
      </c>
      <c r="J982" s="2">
        <v>187</v>
      </c>
      <c r="K982" s="2">
        <v>235</v>
      </c>
      <c r="L982" s="2">
        <v>1</v>
      </c>
      <c r="M982" s="2" t="s">
        <v>41</v>
      </c>
      <c r="N982" s="2">
        <v>6</v>
      </c>
      <c r="O982" s="2">
        <v>80.900000000000006</v>
      </c>
      <c r="P982" s="2">
        <f t="shared" si="75"/>
        <v>48</v>
      </c>
      <c r="Q982" s="4">
        <f t="shared" si="76"/>
        <v>0.79574468085106387</v>
      </c>
      <c r="R982" s="2" t="str">
        <f t="shared" si="77"/>
        <v>Inefficient</v>
      </c>
      <c r="S982" s="2" t="str">
        <f t="shared" si="78"/>
        <v>Very Long</v>
      </c>
      <c r="T982" s="2" t="str">
        <f t="shared" si="79"/>
        <v>Major Delay</v>
      </c>
    </row>
    <row r="983" spans="1:20" x14ac:dyDescent="0.35">
      <c r="A983" s="2" t="s">
        <v>2149</v>
      </c>
      <c r="B983" s="2" t="s">
        <v>16</v>
      </c>
      <c r="C983" s="2" t="s">
        <v>2150</v>
      </c>
      <c r="D983" s="2" t="s">
        <v>56</v>
      </c>
      <c r="E983" s="2" t="s">
        <v>85</v>
      </c>
      <c r="F983" s="2" t="s">
        <v>20</v>
      </c>
      <c r="G983" s="2" t="s">
        <v>117</v>
      </c>
      <c r="H983" s="3">
        <v>45539.186111111114</v>
      </c>
      <c r="I983" s="3">
        <v>45539.306944444441</v>
      </c>
      <c r="J983" s="2">
        <v>160</v>
      </c>
      <c r="K983" s="2">
        <v>174</v>
      </c>
      <c r="L983" s="2">
        <v>1</v>
      </c>
      <c r="M983" s="2" t="s">
        <v>22</v>
      </c>
      <c r="N983" s="2">
        <v>8</v>
      </c>
      <c r="O983" s="2">
        <v>402.5</v>
      </c>
      <c r="P983" s="2">
        <f t="shared" si="75"/>
        <v>14</v>
      </c>
      <c r="Q983" s="4">
        <f t="shared" si="76"/>
        <v>0.91954022988505746</v>
      </c>
      <c r="R983" s="2" t="str">
        <f t="shared" si="77"/>
        <v>Inefficient</v>
      </c>
      <c r="S983" s="2" t="str">
        <f t="shared" si="78"/>
        <v>Very Long</v>
      </c>
      <c r="T983" s="2" t="str">
        <f t="shared" si="79"/>
        <v>Minor Delay</v>
      </c>
    </row>
    <row r="984" spans="1:20" x14ac:dyDescent="0.35">
      <c r="A984" s="2" t="s">
        <v>2151</v>
      </c>
      <c r="B984" s="2" t="s">
        <v>51</v>
      </c>
      <c r="C984" s="2" t="s">
        <v>2152</v>
      </c>
      <c r="D984" s="2" t="s">
        <v>48</v>
      </c>
      <c r="E984" s="2" t="s">
        <v>33</v>
      </c>
      <c r="F984" s="2" t="s">
        <v>39</v>
      </c>
      <c r="G984" s="2" t="s">
        <v>691</v>
      </c>
      <c r="H984" s="3">
        <v>45415.385416666664</v>
      </c>
      <c r="I984" s="3">
        <v>45415.518750000003</v>
      </c>
      <c r="J984" s="2">
        <v>103</v>
      </c>
      <c r="K984" s="2">
        <v>192</v>
      </c>
      <c r="L984" s="2">
        <v>1</v>
      </c>
      <c r="M984" s="2" t="s">
        <v>41</v>
      </c>
      <c r="N984" s="2">
        <v>9</v>
      </c>
      <c r="O984" s="2">
        <v>58.93</v>
      </c>
      <c r="P984" s="2">
        <f t="shared" si="75"/>
        <v>89</v>
      </c>
      <c r="Q984" s="4">
        <f t="shared" si="76"/>
        <v>0.53645833333333337</v>
      </c>
      <c r="R984" s="2" t="str">
        <f t="shared" si="77"/>
        <v>Inefficient</v>
      </c>
      <c r="S984" s="2" t="str">
        <f t="shared" si="78"/>
        <v>Very Long</v>
      </c>
      <c r="T984" s="2" t="str">
        <f t="shared" si="79"/>
        <v>Major Delay</v>
      </c>
    </row>
    <row r="985" spans="1:20" x14ac:dyDescent="0.35">
      <c r="A985" s="2" t="s">
        <v>2153</v>
      </c>
      <c r="B985" s="2" t="s">
        <v>24</v>
      </c>
      <c r="C985" s="2" t="s">
        <v>2154</v>
      </c>
      <c r="D985" s="2" t="s">
        <v>48</v>
      </c>
      <c r="E985" s="2" t="s">
        <v>33</v>
      </c>
      <c r="F985" s="2" t="s">
        <v>39</v>
      </c>
      <c r="G985" s="2" t="s">
        <v>316</v>
      </c>
      <c r="H985" s="3">
        <v>45325.622916666667</v>
      </c>
      <c r="I985" s="3">
        <v>45325.773611111108</v>
      </c>
      <c r="J985" s="2">
        <v>153</v>
      </c>
      <c r="K985" s="2">
        <v>217</v>
      </c>
      <c r="L985" s="2">
        <v>1</v>
      </c>
      <c r="M985" s="2" t="s">
        <v>29</v>
      </c>
      <c r="N985" s="2">
        <v>9</v>
      </c>
      <c r="O985" s="2">
        <v>246.79</v>
      </c>
      <c r="P985" s="2">
        <f t="shared" si="75"/>
        <v>64</v>
      </c>
      <c r="Q985" s="4">
        <f t="shared" si="76"/>
        <v>0.70506912442396308</v>
      </c>
      <c r="R985" s="2" t="str">
        <f t="shared" si="77"/>
        <v>Inefficient</v>
      </c>
      <c r="S985" s="2" t="str">
        <f t="shared" si="78"/>
        <v>Very Long</v>
      </c>
      <c r="T985" s="2" t="str">
        <f t="shared" si="79"/>
        <v>Major Delay</v>
      </c>
    </row>
    <row r="986" spans="1:20" x14ac:dyDescent="0.35">
      <c r="A986" s="2" t="s">
        <v>2155</v>
      </c>
      <c r="B986" s="2" t="s">
        <v>31</v>
      </c>
      <c r="C986" s="2" t="s">
        <v>2156</v>
      </c>
      <c r="D986" s="2" t="s">
        <v>18</v>
      </c>
      <c r="E986" s="2" t="s">
        <v>38</v>
      </c>
      <c r="F986" s="2" t="s">
        <v>39</v>
      </c>
      <c r="G986" s="2" t="s">
        <v>669</v>
      </c>
      <c r="H986" s="3">
        <v>45531.490972222222</v>
      </c>
      <c r="I986" s="3">
        <v>45531.618750000001</v>
      </c>
      <c r="J986" s="2">
        <v>76</v>
      </c>
      <c r="K986" s="2">
        <v>184</v>
      </c>
      <c r="L986" s="2">
        <v>1</v>
      </c>
      <c r="M986" s="2" t="s">
        <v>22</v>
      </c>
      <c r="N986" s="2">
        <v>6</v>
      </c>
      <c r="O986" s="2">
        <v>245.62</v>
      </c>
      <c r="P986" s="2">
        <f t="shared" si="75"/>
        <v>108</v>
      </c>
      <c r="Q986" s="4">
        <f t="shared" si="76"/>
        <v>0.41304347826086957</v>
      </c>
      <c r="R986" s="2" t="str">
        <f t="shared" si="77"/>
        <v>Inefficient</v>
      </c>
      <c r="S986" s="2" t="str">
        <f t="shared" si="78"/>
        <v>Very Long</v>
      </c>
      <c r="T986" s="2" t="str">
        <f t="shared" si="79"/>
        <v>Major Delay</v>
      </c>
    </row>
    <row r="987" spans="1:20" x14ac:dyDescent="0.35">
      <c r="A987" s="2" t="s">
        <v>2157</v>
      </c>
      <c r="B987" s="2" t="s">
        <v>31</v>
      </c>
      <c r="C987" s="2" t="s">
        <v>2158</v>
      </c>
      <c r="D987" s="2" t="s">
        <v>48</v>
      </c>
      <c r="E987" s="2" t="s">
        <v>38</v>
      </c>
      <c r="F987" s="2" t="s">
        <v>27</v>
      </c>
      <c r="G987" s="2" t="s">
        <v>684</v>
      </c>
      <c r="H987" s="3">
        <v>45367.786111111112</v>
      </c>
      <c r="I987" s="3">
        <v>45367.95208333333</v>
      </c>
      <c r="J987" s="2">
        <v>205</v>
      </c>
      <c r="K987" s="2">
        <v>239</v>
      </c>
      <c r="L987" s="2">
        <v>1</v>
      </c>
      <c r="M987" s="2" t="s">
        <v>41</v>
      </c>
      <c r="N987" s="2">
        <v>1</v>
      </c>
      <c r="O987" s="2">
        <v>212.99</v>
      </c>
      <c r="P987" s="2">
        <f t="shared" si="75"/>
        <v>34</v>
      </c>
      <c r="Q987" s="4">
        <f t="shared" si="76"/>
        <v>0.85774058577405854</v>
      </c>
      <c r="R987" s="2" t="str">
        <f t="shared" si="77"/>
        <v>Inefficient</v>
      </c>
      <c r="S987" s="2" t="str">
        <f t="shared" si="78"/>
        <v>Very Long</v>
      </c>
      <c r="T987" s="2" t="str">
        <f t="shared" si="79"/>
        <v>Major Delay</v>
      </c>
    </row>
    <row r="988" spans="1:20" x14ac:dyDescent="0.35">
      <c r="A988" s="2" t="s">
        <v>2159</v>
      </c>
      <c r="B988" s="2" t="s">
        <v>24</v>
      </c>
      <c r="C988" s="2" t="s">
        <v>2160</v>
      </c>
      <c r="D988" s="2" t="s">
        <v>18</v>
      </c>
      <c r="E988" s="2" t="s">
        <v>33</v>
      </c>
      <c r="F988" s="2" t="s">
        <v>34</v>
      </c>
      <c r="G988" s="2" t="s">
        <v>470</v>
      </c>
      <c r="H988" s="3">
        <v>45330.536111111112</v>
      </c>
      <c r="I988" s="3">
        <v>45330.585416666669</v>
      </c>
      <c r="J988" s="2">
        <v>40</v>
      </c>
      <c r="K988" s="2">
        <v>71</v>
      </c>
      <c r="L988" s="2">
        <v>1</v>
      </c>
      <c r="M988" s="2" t="s">
        <v>22</v>
      </c>
      <c r="N988" s="2">
        <v>5</v>
      </c>
      <c r="O988" s="2">
        <v>187.49</v>
      </c>
      <c r="P988" s="2">
        <f t="shared" si="75"/>
        <v>31</v>
      </c>
      <c r="Q988" s="4">
        <f t="shared" si="76"/>
        <v>0.56338028169014087</v>
      </c>
      <c r="R988" s="2" t="str">
        <f t="shared" si="77"/>
        <v>Inefficient</v>
      </c>
      <c r="S988" s="2" t="str">
        <f t="shared" si="78"/>
        <v>Long</v>
      </c>
      <c r="T988" s="2" t="str">
        <f t="shared" si="79"/>
        <v>Major Delay</v>
      </c>
    </row>
    <row r="989" spans="1:20" x14ac:dyDescent="0.35">
      <c r="A989" s="2" t="s">
        <v>2161</v>
      </c>
      <c r="B989" s="2" t="s">
        <v>63</v>
      </c>
      <c r="C989" s="2" t="s">
        <v>2162</v>
      </c>
      <c r="D989" s="2" t="s">
        <v>56</v>
      </c>
      <c r="E989" s="2" t="s">
        <v>19</v>
      </c>
      <c r="F989" s="2" t="s">
        <v>27</v>
      </c>
      <c r="G989" s="2" t="s">
        <v>170</v>
      </c>
      <c r="H989" s="3">
        <v>45624.629861111112</v>
      </c>
      <c r="I989" s="3">
        <v>45624.649305555555</v>
      </c>
      <c r="J989" s="2">
        <v>15</v>
      </c>
      <c r="K989" s="2">
        <v>28</v>
      </c>
      <c r="L989" s="2">
        <v>1</v>
      </c>
      <c r="M989" s="2" t="s">
        <v>29</v>
      </c>
      <c r="N989" s="2">
        <v>7</v>
      </c>
      <c r="O989" s="2">
        <v>116.99</v>
      </c>
      <c r="P989" s="2">
        <f t="shared" si="75"/>
        <v>13</v>
      </c>
      <c r="Q989" s="4">
        <f t="shared" si="76"/>
        <v>0.5357142857142857</v>
      </c>
      <c r="R989" s="2" t="str">
        <f t="shared" si="77"/>
        <v>Inefficient</v>
      </c>
      <c r="S989" s="2" t="str">
        <f t="shared" si="78"/>
        <v>Short</v>
      </c>
      <c r="T989" s="2" t="str">
        <f t="shared" si="79"/>
        <v>Minor Delay</v>
      </c>
    </row>
    <row r="990" spans="1:20" x14ac:dyDescent="0.35">
      <c r="A990" s="2" t="s">
        <v>2163</v>
      </c>
      <c r="B990" s="2" t="s">
        <v>31</v>
      </c>
      <c r="C990" s="2" t="s">
        <v>2164</v>
      </c>
      <c r="D990" s="2" t="s">
        <v>18</v>
      </c>
      <c r="E990" s="2" t="s">
        <v>19</v>
      </c>
      <c r="F990" s="2" t="s">
        <v>27</v>
      </c>
      <c r="G990" s="2" t="s">
        <v>505</v>
      </c>
      <c r="H990" s="3">
        <v>45521.286111111112</v>
      </c>
      <c r="I990" s="3">
        <v>45521.404166666667</v>
      </c>
      <c r="J990" s="2">
        <v>57</v>
      </c>
      <c r="K990" s="2">
        <v>170</v>
      </c>
      <c r="L990" s="2">
        <v>1</v>
      </c>
      <c r="M990" s="2" t="s">
        <v>29</v>
      </c>
      <c r="N990" s="2">
        <v>3</v>
      </c>
      <c r="O990" s="2">
        <v>356.54</v>
      </c>
      <c r="P990" s="2">
        <f t="shared" si="75"/>
        <v>113</v>
      </c>
      <c r="Q990" s="4">
        <f t="shared" si="76"/>
        <v>0.3352941176470588</v>
      </c>
      <c r="R990" s="2" t="str">
        <f t="shared" si="77"/>
        <v>Inefficient</v>
      </c>
      <c r="S990" s="2" t="str">
        <f t="shared" si="78"/>
        <v>Very Long</v>
      </c>
      <c r="T990" s="2" t="str">
        <f t="shared" si="79"/>
        <v>Major Delay</v>
      </c>
    </row>
    <row r="991" spans="1:20" x14ac:dyDescent="0.35">
      <c r="A991" s="2" t="s">
        <v>2165</v>
      </c>
      <c r="B991" s="2" t="s">
        <v>24</v>
      </c>
      <c r="C991" s="2" t="s">
        <v>2166</v>
      </c>
      <c r="D991" s="2" t="s">
        <v>48</v>
      </c>
      <c r="E991" s="2" t="s">
        <v>33</v>
      </c>
      <c r="F991" s="2" t="s">
        <v>34</v>
      </c>
      <c r="G991" s="2" t="s">
        <v>1719</v>
      </c>
      <c r="H991" s="3">
        <v>45621.832638888889</v>
      </c>
      <c r="I991" s="3">
        <v>45621.895833333336</v>
      </c>
      <c r="J991" s="2">
        <v>31</v>
      </c>
      <c r="K991" s="2">
        <v>91</v>
      </c>
      <c r="L991" s="2">
        <v>1</v>
      </c>
      <c r="M991" s="2" t="s">
        <v>41</v>
      </c>
      <c r="N991" s="2">
        <v>10</v>
      </c>
      <c r="O991" s="2">
        <v>409.02</v>
      </c>
      <c r="P991" s="2">
        <f t="shared" si="75"/>
        <v>60</v>
      </c>
      <c r="Q991" s="4">
        <f t="shared" si="76"/>
        <v>0.34065934065934067</v>
      </c>
      <c r="R991" s="2" t="str">
        <f t="shared" si="77"/>
        <v>Inefficient</v>
      </c>
      <c r="S991" s="2" t="str">
        <f t="shared" si="78"/>
        <v>Long</v>
      </c>
      <c r="T991" s="2" t="str">
        <f t="shared" si="79"/>
        <v>Major Delay</v>
      </c>
    </row>
    <row r="992" spans="1:20" x14ac:dyDescent="0.35">
      <c r="A992" s="2" t="s">
        <v>2167</v>
      </c>
      <c r="B992" s="2" t="s">
        <v>63</v>
      </c>
      <c r="C992" s="2" t="s">
        <v>2168</v>
      </c>
      <c r="D992" s="2" t="s">
        <v>26</v>
      </c>
      <c r="E992" s="2" t="s">
        <v>85</v>
      </c>
      <c r="F992" s="2" t="s">
        <v>34</v>
      </c>
      <c r="G992" s="2" t="s">
        <v>91</v>
      </c>
      <c r="H992" s="3">
        <v>45576.964583333334</v>
      </c>
      <c r="I992" s="3">
        <v>45577.035416666666</v>
      </c>
      <c r="J992" s="2">
        <v>104</v>
      </c>
      <c r="K992" s="2">
        <v>102</v>
      </c>
      <c r="L992" s="2">
        <v>0</v>
      </c>
      <c r="M992" s="2" t="s">
        <v>29</v>
      </c>
      <c r="N992" s="2">
        <v>5</v>
      </c>
      <c r="O992" s="2">
        <v>382.08</v>
      </c>
      <c r="P992" s="2">
        <f t="shared" si="75"/>
        <v>-2</v>
      </c>
      <c r="Q992" s="4">
        <f t="shared" si="76"/>
        <v>1.0196078431372548</v>
      </c>
      <c r="R992" s="2" t="str">
        <f t="shared" si="77"/>
        <v>Efficient</v>
      </c>
      <c r="S992" s="2" t="str">
        <f t="shared" si="78"/>
        <v>Long</v>
      </c>
      <c r="T992" s="2" t="str">
        <f t="shared" si="79"/>
        <v>On Time</v>
      </c>
    </row>
    <row r="993" spans="1:20" x14ac:dyDescent="0.35">
      <c r="A993" s="2" t="s">
        <v>2169</v>
      </c>
      <c r="B993" s="2" t="s">
        <v>51</v>
      </c>
      <c r="C993" s="2" t="s">
        <v>2170</v>
      </c>
      <c r="D993" s="2" t="s">
        <v>18</v>
      </c>
      <c r="E993" s="2" t="s">
        <v>33</v>
      </c>
      <c r="F993" s="2" t="s">
        <v>20</v>
      </c>
      <c r="G993" s="2" t="s">
        <v>700</v>
      </c>
      <c r="H993" s="3">
        <v>45484.949305555558</v>
      </c>
      <c r="I993" s="3">
        <v>45485.1</v>
      </c>
      <c r="J993" s="2">
        <v>121</v>
      </c>
      <c r="K993" s="2">
        <v>217</v>
      </c>
      <c r="L993" s="2">
        <v>1</v>
      </c>
      <c r="M993" s="2" t="s">
        <v>41</v>
      </c>
      <c r="N993" s="2">
        <v>6</v>
      </c>
      <c r="O993" s="2">
        <v>443.37</v>
      </c>
      <c r="P993" s="2">
        <f t="shared" si="75"/>
        <v>96</v>
      </c>
      <c r="Q993" s="4">
        <f t="shared" si="76"/>
        <v>0.55760368663594473</v>
      </c>
      <c r="R993" s="2" t="str">
        <f t="shared" si="77"/>
        <v>Inefficient</v>
      </c>
      <c r="S993" s="2" t="str">
        <f t="shared" si="78"/>
        <v>Very Long</v>
      </c>
      <c r="T993" s="2" t="str">
        <f t="shared" si="79"/>
        <v>Major Delay</v>
      </c>
    </row>
    <row r="994" spans="1:20" x14ac:dyDescent="0.35">
      <c r="A994" s="2" t="s">
        <v>2171</v>
      </c>
      <c r="B994" s="2" t="s">
        <v>16</v>
      </c>
      <c r="C994" s="2" t="s">
        <v>2172</v>
      </c>
      <c r="D994" s="2" t="s">
        <v>56</v>
      </c>
      <c r="E994" s="2" t="s">
        <v>85</v>
      </c>
      <c r="F994" s="2" t="s">
        <v>27</v>
      </c>
      <c r="G994" s="2" t="s">
        <v>191</v>
      </c>
      <c r="H994" s="3">
        <v>45415.372916666667</v>
      </c>
      <c r="I994" s="3">
        <v>45415.574305555558</v>
      </c>
      <c r="J994" s="2">
        <v>198</v>
      </c>
      <c r="K994" s="2">
        <v>290</v>
      </c>
      <c r="L994" s="2">
        <v>1</v>
      </c>
      <c r="M994" s="2" t="s">
        <v>22</v>
      </c>
      <c r="N994" s="2">
        <v>6</v>
      </c>
      <c r="O994" s="2">
        <v>142.84</v>
      </c>
      <c r="P994" s="2">
        <f t="shared" si="75"/>
        <v>92</v>
      </c>
      <c r="Q994" s="4">
        <f t="shared" si="76"/>
        <v>0.6827586206896552</v>
      </c>
      <c r="R994" s="2" t="str">
        <f t="shared" si="77"/>
        <v>Inefficient</v>
      </c>
      <c r="S994" s="2" t="str">
        <f t="shared" si="78"/>
        <v>Very Long</v>
      </c>
      <c r="T994" s="2" t="str">
        <f t="shared" si="79"/>
        <v>Major Delay</v>
      </c>
    </row>
    <row r="995" spans="1:20" x14ac:dyDescent="0.35">
      <c r="A995" s="2" t="s">
        <v>2173</v>
      </c>
      <c r="B995" s="2" t="s">
        <v>31</v>
      </c>
      <c r="C995" s="2" t="s">
        <v>2174</v>
      </c>
      <c r="D995" s="2" t="s">
        <v>18</v>
      </c>
      <c r="E995" s="2" t="s">
        <v>19</v>
      </c>
      <c r="F995" s="2" t="s">
        <v>57</v>
      </c>
      <c r="G995" s="2" t="s">
        <v>188</v>
      </c>
      <c r="H995" s="3">
        <v>45513.602083333331</v>
      </c>
      <c r="I995" s="3">
        <v>45513.72152777778</v>
      </c>
      <c r="J995" s="2">
        <v>73</v>
      </c>
      <c r="K995" s="2">
        <v>172</v>
      </c>
      <c r="L995" s="2">
        <v>1</v>
      </c>
      <c r="M995" s="2" t="s">
        <v>41</v>
      </c>
      <c r="N995" s="2">
        <v>4</v>
      </c>
      <c r="O995" s="2">
        <v>334.72</v>
      </c>
      <c r="P995" s="2">
        <f t="shared" si="75"/>
        <v>99</v>
      </c>
      <c r="Q995" s="4">
        <f t="shared" si="76"/>
        <v>0.42441860465116277</v>
      </c>
      <c r="R995" s="2" t="str">
        <f t="shared" si="77"/>
        <v>Inefficient</v>
      </c>
      <c r="S995" s="2" t="str">
        <f t="shared" si="78"/>
        <v>Very Long</v>
      </c>
      <c r="T995" s="2" t="str">
        <f t="shared" si="79"/>
        <v>Major Delay</v>
      </c>
    </row>
    <row r="996" spans="1:20" x14ac:dyDescent="0.35">
      <c r="A996" s="2" t="s">
        <v>2175</v>
      </c>
      <c r="B996" s="2" t="s">
        <v>16</v>
      </c>
      <c r="C996" s="2" t="s">
        <v>2176</v>
      </c>
      <c r="D996" s="2" t="s">
        <v>44</v>
      </c>
      <c r="E996" s="2" t="s">
        <v>19</v>
      </c>
      <c r="F996" s="2" t="s">
        <v>27</v>
      </c>
      <c r="G996" s="2" t="s">
        <v>164</v>
      </c>
      <c r="H996" s="3">
        <v>45611.498611111114</v>
      </c>
      <c r="I996" s="3">
        <v>45611.621527777781</v>
      </c>
      <c r="J996" s="2">
        <v>61</v>
      </c>
      <c r="K996" s="2">
        <v>177</v>
      </c>
      <c r="L996" s="2">
        <v>1</v>
      </c>
      <c r="M996" s="2" t="s">
        <v>41</v>
      </c>
      <c r="N996" s="2">
        <v>5</v>
      </c>
      <c r="O996" s="2">
        <v>111.26</v>
      </c>
      <c r="P996" s="2">
        <f t="shared" si="75"/>
        <v>116</v>
      </c>
      <c r="Q996" s="4">
        <f t="shared" si="76"/>
        <v>0.34463276836158191</v>
      </c>
      <c r="R996" s="2" t="str">
        <f t="shared" si="77"/>
        <v>Inefficient</v>
      </c>
      <c r="S996" s="2" t="str">
        <f t="shared" si="78"/>
        <v>Very Long</v>
      </c>
      <c r="T996" s="2" t="str">
        <f t="shared" si="79"/>
        <v>Major Delay</v>
      </c>
    </row>
    <row r="997" spans="1:20" x14ac:dyDescent="0.35">
      <c r="A997" s="2" t="s">
        <v>2177</v>
      </c>
      <c r="B997" s="2" t="s">
        <v>24</v>
      </c>
      <c r="C997" s="2" t="s">
        <v>2178</v>
      </c>
      <c r="D997" s="2" t="s">
        <v>44</v>
      </c>
      <c r="E997" s="2" t="s">
        <v>19</v>
      </c>
      <c r="F997" s="2" t="s">
        <v>20</v>
      </c>
      <c r="G997" s="2" t="s">
        <v>754</v>
      </c>
      <c r="H997" s="3">
        <v>45360.436805555553</v>
      </c>
      <c r="I997" s="3">
        <v>45360.652777777781</v>
      </c>
      <c r="J997" s="2">
        <v>216</v>
      </c>
      <c r="K997" s="2">
        <v>311</v>
      </c>
      <c r="L997" s="2">
        <v>1</v>
      </c>
      <c r="M997" s="2" t="s">
        <v>29</v>
      </c>
      <c r="N997" s="2">
        <v>3</v>
      </c>
      <c r="O997" s="2">
        <v>323.11</v>
      </c>
      <c r="P997" s="2">
        <f t="shared" si="75"/>
        <v>95</v>
      </c>
      <c r="Q997" s="4">
        <f t="shared" si="76"/>
        <v>0.69453376205787787</v>
      </c>
      <c r="R997" s="2" t="str">
        <f t="shared" si="77"/>
        <v>Inefficient</v>
      </c>
      <c r="S997" s="2" t="str">
        <f t="shared" si="78"/>
        <v>Very Long</v>
      </c>
      <c r="T997" s="2" t="str">
        <f t="shared" si="79"/>
        <v>Major Delay</v>
      </c>
    </row>
    <row r="998" spans="1:20" x14ac:dyDescent="0.35">
      <c r="A998" s="2" t="s">
        <v>2179</v>
      </c>
      <c r="B998" s="2" t="s">
        <v>63</v>
      </c>
      <c r="C998" s="2" t="s">
        <v>2180</v>
      </c>
      <c r="D998" s="2" t="s">
        <v>48</v>
      </c>
      <c r="E998" s="2" t="s">
        <v>38</v>
      </c>
      <c r="F998" s="2" t="s">
        <v>27</v>
      </c>
      <c r="G998" s="2" t="s">
        <v>505</v>
      </c>
      <c r="H998" s="3">
        <v>45530.213194444441</v>
      </c>
      <c r="I998" s="3">
        <v>45530.279861111114</v>
      </c>
      <c r="J998" s="2">
        <v>49</v>
      </c>
      <c r="K998" s="2">
        <v>96</v>
      </c>
      <c r="L998" s="2">
        <v>1</v>
      </c>
      <c r="M998" s="2" t="s">
        <v>22</v>
      </c>
      <c r="N998" s="2">
        <v>3</v>
      </c>
      <c r="O998" s="2">
        <v>394.59</v>
      </c>
      <c r="P998" s="2">
        <f t="shared" si="75"/>
        <v>47</v>
      </c>
      <c r="Q998" s="4">
        <f t="shared" si="76"/>
        <v>0.51041666666666663</v>
      </c>
      <c r="R998" s="2" t="str">
        <f t="shared" si="77"/>
        <v>Inefficient</v>
      </c>
      <c r="S998" s="2" t="str">
        <f t="shared" si="78"/>
        <v>Long</v>
      </c>
      <c r="T998" s="2" t="str">
        <f t="shared" si="79"/>
        <v>Major Delay</v>
      </c>
    </row>
    <row r="999" spans="1:20" x14ac:dyDescent="0.35">
      <c r="A999" s="2" t="s">
        <v>2181</v>
      </c>
      <c r="B999" s="2" t="s">
        <v>51</v>
      </c>
      <c r="C999" s="2" t="s">
        <v>2182</v>
      </c>
      <c r="D999" s="2" t="s">
        <v>44</v>
      </c>
      <c r="E999" s="2" t="s">
        <v>38</v>
      </c>
      <c r="F999" s="2" t="s">
        <v>27</v>
      </c>
      <c r="G999" s="2" t="s">
        <v>259</v>
      </c>
      <c r="H999" s="3">
        <v>45581.865972222222</v>
      </c>
      <c r="I999" s="3">
        <v>45581.925694444442</v>
      </c>
      <c r="J999" s="2">
        <v>32</v>
      </c>
      <c r="K999" s="2">
        <v>86</v>
      </c>
      <c r="L999" s="2">
        <v>1</v>
      </c>
      <c r="M999" s="2" t="s">
        <v>29</v>
      </c>
      <c r="N999" s="2">
        <v>10</v>
      </c>
      <c r="O999" s="2">
        <v>469.51</v>
      </c>
      <c r="P999" s="2">
        <f t="shared" si="75"/>
        <v>54</v>
      </c>
      <c r="Q999" s="4">
        <f t="shared" si="76"/>
        <v>0.37209302325581395</v>
      </c>
      <c r="R999" s="2" t="str">
        <f t="shared" si="77"/>
        <v>Inefficient</v>
      </c>
      <c r="S999" s="2" t="str">
        <f t="shared" si="78"/>
        <v>Long</v>
      </c>
      <c r="T999" s="2" t="str">
        <f t="shared" si="79"/>
        <v>Major Delay</v>
      </c>
    </row>
    <row r="1000" spans="1:20" x14ac:dyDescent="0.35">
      <c r="A1000" s="2" t="s">
        <v>2183</v>
      </c>
      <c r="B1000" s="2" t="s">
        <v>63</v>
      </c>
      <c r="C1000" s="2" t="s">
        <v>2184</v>
      </c>
      <c r="D1000" s="2" t="s">
        <v>26</v>
      </c>
      <c r="E1000" s="2" t="s">
        <v>19</v>
      </c>
      <c r="F1000" s="2" t="s">
        <v>39</v>
      </c>
      <c r="G1000" s="2" t="s">
        <v>308</v>
      </c>
      <c r="H1000" s="3">
        <v>45416.401388888888</v>
      </c>
      <c r="I1000" s="3">
        <v>45416.484722222223</v>
      </c>
      <c r="J1000" s="2">
        <v>10</v>
      </c>
      <c r="K1000" s="2">
        <v>120</v>
      </c>
      <c r="L1000" s="2">
        <v>1</v>
      </c>
      <c r="M1000" s="2" t="s">
        <v>22</v>
      </c>
      <c r="N1000" s="2">
        <v>5</v>
      </c>
      <c r="O1000" s="2">
        <v>184.59</v>
      </c>
      <c r="P1000" s="2">
        <f t="shared" si="75"/>
        <v>110</v>
      </c>
      <c r="Q1000" s="4">
        <f t="shared" si="76"/>
        <v>8.3333333333333329E-2</v>
      </c>
      <c r="R1000" s="2" t="str">
        <f t="shared" si="77"/>
        <v>Inefficient</v>
      </c>
      <c r="S1000" s="2" t="str">
        <f t="shared" si="78"/>
        <v>Very Long</v>
      </c>
      <c r="T1000" s="2" t="str">
        <f t="shared" si="79"/>
        <v>Major Delay</v>
      </c>
    </row>
    <row r="1001" spans="1:20" x14ac:dyDescent="0.35">
      <c r="A1001" s="2" t="s">
        <v>2185</v>
      </c>
      <c r="B1001" s="2" t="s">
        <v>16</v>
      </c>
      <c r="C1001" s="2" t="s">
        <v>2186</v>
      </c>
      <c r="D1001" s="2" t="s">
        <v>48</v>
      </c>
      <c r="E1001" s="2" t="s">
        <v>38</v>
      </c>
      <c r="F1001" s="2" t="s">
        <v>39</v>
      </c>
      <c r="G1001" s="2" t="s">
        <v>167</v>
      </c>
      <c r="H1001" s="3">
        <v>45575.695833333331</v>
      </c>
      <c r="I1001" s="3">
        <v>45575.757638888892</v>
      </c>
      <c r="J1001" s="2">
        <v>16</v>
      </c>
      <c r="K1001" s="2">
        <v>89</v>
      </c>
      <c r="L1001" s="2">
        <v>1</v>
      </c>
      <c r="M1001" s="2" t="s">
        <v>22</v>
      </c>
      <c r="N1001" s="2">
        <v>6</v>
      </c>
      <c r="O1001" s="2">
        <v>499.94</v>
      </c>
      <c r="P1001" s="2">
        <f t="shared" si="75"/>
        <v>73</v>
      </c>
      <c r="Q1001" s="4">
        <f t="shared" si="76"/>
        <v>0.1797752808988764</v>
      </c>
      <c r="R1001" s="2" t="str">
        <f t="shared" si="77"/>
        <v>Inefficient</v>
      </c>
      <c r="S1001" s="2" t="str">
        <f t="shared" si="78"/>
        <v>Long</v>
      </c>
      <c r="T1001" s="2" t="str">
        <f t="shared" si="79"/>
        <v>Major Delay</v>
      </c>
    </row>
    <row r="1002" spans="1:20" x14ac:dyDescent="0.35">
      <c r="A1002" s="2" t="s">
        <v>2187</v>
      </c>
      <c r="B1002" s="2" t="s">
        <v>16</v>
      </c>
      <c r="C1002" s="2" t="s">
        <v>2188</v>
      </c>
      <c r="D1002" s="2" t="s">
        <v>48</v>
      </c>
      <c r="E1002" s="2" t="s">
        <v>38</v>
      </c>
      <c r="F1002" s="2" t="s">
        <v>20</v>
      </c>
      <c r="G1002" s="2" t="s">
        <v>321</v>
      </c>
      <c r="H1002" s="3">
        <v>45442.572222222225</v>
      </c>
      <c r="I1002" s="3">
        <v>45442.636111111111</v>
      </c>
      <c r="J1002" s="2">
        <v>60</v>
      </c>
      <c r="K1002" s="2">
        <v>92</v>
      </c>
      <c r="L1002" s="2">
        <v>1</v>
      </c>
      <c r="M1002" s="2" t="s">
        <v>22</v>
      </c>
      <c r="N1002" s="2">
        <v>3</v>
      </c>
      <c r="O1002" s="2">
        <v>239.71</v>
      </c>
      <c r="P1002" s="2">
        <f t="shared" si="75"/>
        <v>32</v>
      </c>
      <c r="Q1002" s="4">
        <f t="shared" si="76"/>
        <v>0.65217391304347827</v>
      </c>
      <c r="R1002" s="2" t="str">
        <f t="shared" si="77"/>
        <v>Inefficient</v>
      </c>
      <c r="S1002" s="2" t="str">
        <f t="shared" si="78"/>
        <v>Long</v>
      </c>
      <c r="T1002" s="2" t="str">
        <f t="shared" si="79"/>
        <v>Major Delay</v>
      </c>
    </row>
    <row r="1003" spans="1:20" x14ac:dyDescent="0.35">
      <c r="A1003" s="2" t="s">
        <v>2189</v>
      </c>
      <c r="B1003" s="2" t="s">
        <v>51</v>
      </c>
      <c r="C1003" s="2" t="s">
        <v>2190</v>
      </c>
      <c r="D1003" s="2" t="s">
        <v>56</v>
      </c>
      <c r="E1003" s="2" t="s">
        <v>33</v>
      </c>
      <c r="F1003" s="2" t="s">
        <v>57</v>
      </c>
      <c r="G1003" s="2" t="s">
        <v>817</v>
      </c>
      <c r="H1003" s="3">
        <v>45464.490972222222</v>
      </c>
      <c r="I1003" s="3">
        <v>45464.566666666666</v>
      </c>
      <c r="J1003" s="2">
        <v>113</v>
      </c>
      <c r="K1003" s="2">
        <v>109</v>
      </c>
      <c r="L1003" s="2">
        <v>0</v>
      </c>
      <c r="M1003" s="2" t="s">
        <v>22</v>
      </c>
      <c r="N1003" s="2">
        <v>9</v>
      </c>
      <c r="O1003" s="2">
        <v>366.58</v>
      </c>
      <c r="P1003" s="2">
        <f t="shared" si="75"/>
        <v>-4</v>
      </c>
      <c r="Q1003" s="4">
        <f t="shared" si="76"/>
        <v>1.036697247706422</v>
      </c>
      <c r="R1003" s="2" t="str">
        <f t="shared" si="77"/>
        <v>Efficient</v>
      </c>
      <c r="S1003" s="2" t="str">
        <f t="shared" si="78"/>
        <v>Long</v>
      </c>
      <c r="T1003" s="2" t="str">
        <f t="shared" si="79"/>
        <v>On Time</v>
      </c>
    </row>
    <row r="1004" spans="1:20" x14ac:dyDescent="0.35">
      <c r="A1004" s="2" t="s">
        <v>2191</v>
      </c>
      <c r="B1004" s="2" t="s">
        <v>63</v>
      </c>
      <c r="C1004" s="2" t="s">
        <v>2192</v>
      </c>
      <c r="D1004" s="2" t="s">
        <v>26</v>
      </c>
      <c r="E1004" s="2" t="s">
        <v>85</v>
      </c>
      <c r="F1004" s="2" t="s">
        <v>20</v>
      </c>
      <c r="G1004" s="2" t="s">
        <v>1030</v>
      </c>
      <c r="H1004" s="3">
        <v>45553.802777777775</v>
      </c>
      <c r="I1004" s="3">
        <v>45553.9375</v>
      </c>
      <c r="J1004" s="2">
        <v>93</v>
      </c>
      <c r="K1004" s="2">
        <v>194</v>
      </c>
      <c r="L1004" s="2">
        <v>1</v>
      </c>
      <c r="M1004" s="2" t="s">
        <v>22</v>
      </c>
      <c r="N1004" s="2">
        <v>2</v>
      </c>
      <c r="O1004" s="2">
        <v>279.14</v>
      </c>
      <c r="P1004" s="2">
        <f t="shared" si="75"/>
        <v>101</v>
      </c>
      <c r="Q1004" s="4">
        <f t="shared" si="76"/>
        <v>0.47938144329896909</v>
      </c>
      <c r="R1004" s="2" t="str">
        <f t="shared" si="77"/>
        <v>Inefficient</v>
      </c>
      <c r="S1004" s="2" t="str">
        <f t="shared" si="78"/>
        <v>Very Long</v>
      </c>
      <c r="T1004" s="2" t="str">
        <f t="shared" si="79"/>
        <v>Major Delay</v>
      </c>
    </row>
    <row r="1005" spans="1:20" x14ac:dyDescent="0.35">
      <c r="A1005" s="2" t="s">
        <v>2193</v>
      </c>
      <c r="B1005" s="2" t="s">
        <v>16</v>
      </c>
      <c r="C1005" s="2" t="s">
        <v>2194</v>
      </c>
      <c r="D1005" s="2" t="s">
        <v>44</v>
      </c>
      <c r="E1005" s="2" t="s">
        <v>19</v>
      </c>
      <c r="F1005" s="2" t="s">
        <v>39</v>
      </c>
      <c r="G1005" s="2" t="s">
        <v>167</v>
      </c>
      <c r="H1005" s="3">
        <v>45348.986111111109</v>
      </c>
      <c r="I1005" s="3">
        <v>45349.093055555553</v>
      </c>
      <c r="J1005" s="2">
        <v>119</v>
      </c>
      <c r="K1005" s="2">
        <v>154</v>
      </c>
      <c r="L1005" s="2">
        <v>1</v>
      </c>
      <c r="M1005" s="2" t="s">
        <v>29</v>
      </c>
      <c r="N1005" s="2">
        <v>8</v>
      </c>
      <c r="O1005" s="2">
        <v>237.58</v>
      </c>
      <c r="P1005" s="2">
        <f t="shared" si="75"/>
        <v>35</v>
      </c>
      <c r="Q1005" s="4">
        <f t="shared" si="76"/>
        <v>0.77272727272727271</v>
      </c>
      <c r="R1005" s="2" t="str">
        <f t="shared" si="77"/>
        <v>Inefficient</v>
      </c>
      <c r="S1005" s="2" t="str">
        <f t="shared" si="78"/>
        <v>Very Long</v>
      </c>
      <c r="T1005" s="2" t="str">
        <f t="shared" si="79"/>
        <v>Major Delay</v>
      </c>
    </row>
    <row r="1006" spans="1:20" x14ac:dyDescent="0.35">
      <c r="A1006" s="2" t="s">
        <v>2195</v>
      </c>
      <c r="B1006" s="2" t="s">
        <v>24</v>
      </c>
      <c r="C1006" s="2" t="s">
        <v>2196</v>
      </c>
      <c r="D1006" s="2" t="s">
        <v>44</v>
      </c>
      <c r="E1006" s="2" t="s">
        <v>33</v>
      </c>
      <c r="F1006" s="2" t="s">
        <v>20</v>
      </c>
      <c r="G1006" s="2" t="s">
        <v>76</v>
      </c>
      <c r="H1006" s="3">
        <v>45428.918055555558</v>
      </c>
      <c r="I1006" s="3">
        <v>45428.993055555555</v>
      </c>
      <c r="J1006" s="2">
        <v>88</v>
      </c>
      <c r="K1006" s="2">
        <v>108</v>
      </c>
      <c r="L1006" s="2">
        <v>1</v>
      </c>
      <c r="M1006" s="2" t="s">
        <v>22</v>
      </c>
      <c r="N1006" s="2">
        <v>2</v>
      </c>
      <c r="O1006" s="2">
        <v>224.19</v>
      </c>
      <c r="P1006" s="2">
        <f t="shared" si="75"/>
        <v>20</v>
      </c>
      <c r="Q1006" s="4">
        <f t="shared" si="76"/>
        <v>0.81481481481481477</v>
      </c>
      <c r="R1006" s="2" t="str">
        <f t="shared" si="77"/>
        <v>Inefficient</v>
      </c>
      <c r="S1006" s="2" t="str">
        <f t="shared" si="78"/>
        <v>Long</v>
      </c>
      <c r="T1006" s="2" t="str">
        <f t="shared" si="79"/>
        <v>Minor Delay</v>
      </c>
    </row>
    <row r="1007" spans="1:20" x14ac:dyDescent="0.35">
      <c r="A1007" s="2" t="s">
        <v>2197</v>
      </c>
      <c r="B1007" s="2" t="s">
        <v>16</v>
      </c>
      <c r="C1007" s="2" t="s">
        <v>2198</v>
      </c>
      <c r="D1007" s="2" t="s">
        <v>18</v>
      </c>
      <c r="E1007" s="2" t="s">
        <v>19</v>
      </c>
      <c r="F1007" s="2" t="s">
        <v>34</v>
      </c>
      <c r="G1007" s="2" t="s">
        <v>916</v>
      </c>
      <c r="H1007" s="3">
        <v>45407.402777777781</v>
      </c>
      <c r="I1007" s="3">
        <v>45407.511805555558</v>
      </c>
      <c r="J1007" s="2">
        <v>132</v>
      </c>
      <c r="K1007" s="2">
        <v>157</v>
      </c>
      <c r="L1007" s="2">
        <v>1</v>
      </c>
      <c r="M1007" s="2" t="s">
        <v>22</v>
      </c>
      <c r="N1007" s="2">
        <v>1</v>
      </c>
      <c r="O1007" s="2">
        <v>480.96</v>
      </c>
      <c r="P1007" s="2">
        <f t="shared" si="75"/>
        <v>25</v>
      </c>
      <c r="Q1007" s="4">
        <f t="shared" si="76"/>
        <v>0.84076433121019112</v>
      </c>
      <c r="R1007" s="2" t="str">
        <f t="shared" si="77"/>
        <v>Inefficient</v>
      </c>
      <c r="S1007" s="2" t="str">
        <f t="shared" si="78"/>
        <v>Very Long</v>
      </c>
      <c r="T1007" s="2" t="str">
        <f t="shared" si="79"/>
        <v>Minor Delay</v>
      </c>
    </row>
    <row r="1008" spans="1:20" x14ac:dyDescent="0.35">
      <c r="A1008" s="2" t="s">
        <v>2199</v>
      </c>
      <c r="B1008" s="2" t="s">
        <v>24</v>
      </c>
      <c r="C1008" s="2" t="s">
        <v>2200</v>
      </c>
      <c r="D1008" s="2" t="s">
        <v>48</v>
      </c>
      <c r="E1008" s="2" t="s">
        <v>85</v>
      </c>
      <c r="F1008" s="2" t="s">
        <v>34</v>
      </c>
      <c r="G1008" s="2" t="s">
        <v>335</v>
      </c>
      <c r="H1008" s="3">
        <v>45458.201388888891</v>
      </c>
      <c r="I1008" s="3">
        <v>45458.206250000003</v>
      </c>
      <c r="J1008" s="2">
        <v>12</v>
      </c>
      <c r="K1008" s="2">
        <v>7</v>
      </c>
      <c r="L1008" s="2">
        <v>0</v>
      </c>
      <c r="M1008" s="2" t="s">
        <v>41</v>
      </c>
      <c r="N1008" s="2">
        <v>4</v>
      </c>
      <c r="O1008" s="2">
        <v>306.25</v>
      </c>
      <c r="P1008" s="2">
        <f t="shared" si="75"/>
        <v>-5</v>
      </c>
      <c r="Q1008" s="4">
        <f t="shared" si="76"/>
        <v>1.7142857142857142</v>
      </c>
      <c r="R1008" s="2" t="str">
        <f t="shared" si="77"/>
        <v>Efficient</v>
      </c>
      <c r="S1008" s="2" t="str">
        <f t="shared" si="78"/>
        <v>Short</v>
      </c>
      <c r="T1008" s="2" t="str">
        <f t="shared" si="79"/>
        <v>On Time</v>
      </c>
    </row>
    <row r="1009" spans="1:20" x14ac:dyDescent="0.35">
      <c r="A1009" s="2" t="s">
        <v>2201</v>
      </c>
      <c r="B1009" s="2" t="s">
        <v>31</v>
      </c>
      <c r="C1009" s="2" t="s">
        <v>2202</v>
      </c>
      <c r="D1009" s="2" t="s">
        <v>18</v>
      </c>
      <c r="E1009" s="2" t="s">
        <v>38</v>
      </c>
      <c r="F1009" s="2" t="s">
        <v>34</v>
      </c>
      <c r="G1009" s="2" t="s">
        <v>842</v>
      </c>
      <c r="H1009" s="3">
        <v>45586.740277777775</v>
      </c>
      <c r="I1009" s="3">
        <v>45586.902777777781</v>
      </c>
      <c r="J1009" s="2">
        <v>196</v>
      </c>
      <c r="K1009" s="2">
        <v>234</v>
      </c>
      <c r="L1009" s="2">
        <v>1</v>
      </c>
      <c r="M1009" s="2" t="s">
        <v>41</v>
      </c>
      <c r="N1009" s="2">
        <v>8</v>
      </c>
      <c r="O1009" s="2">
        <v>234.22</v>
      </c>
      <c r="P1009" s="2">
        <f t="shared" si="75"/>
        <v>38</v>
      </c>
      <c r="Q1009" s="4">
        <f t="shared" si="76"/>
        <v>0.83760683760683763</v>
      </c>
      <c r="R1009" s="2" t="str">
        <f t="shared" si="77"/>
        <v>Inefficient</v>
      </c>
      <c r="S1009" s="2" t="str">
        <f t="shared" si="78"/>
        <v>Very Long</v>
      </c>
      <c r="T1009" s="2" t="str">
        <f t="shared" si="79"/>
        <v>Major Delay</v>
      </c>
    </row>
    <row r="1010" spans="1:20" x14ac:dyDescent="0.35">
      <c r="A1010" s="2" t="s">
        <v>2203</v>
      </c>
      <c r="B1010" s="2" t="s">
        <v>63</v>
      </c>
      <c r="C1010" s="2" t="s">
        <v>2204</v>
      </c>
      <c r="D1010" s="2" t="s">
        <v>26</v>
      </c>
      <c r="E1010" s="2" t="s">
        <v>85</v>
      </c>
      <c r="F1010" s="2" t="s">
        <v>34</v>
      </c>
      <c r="G1010" s="2" t="s">
        <v>462</v>
      </c>
      <c r="H1010" s="3">
        <v>45342.520833333336</v>
      </c>
      <c r="I1010" s="3">
        <v>45342.60833333333</v>
      </c>
      <c r="J1010" s="2">
        <v>64</v>
      </c>
      <c r="K1010" s="2">
        <v>126</v>
      </c>
      <c r="L1010" s="2">
        <v>1</v>
      </c>
      <c r="M1010" s="2" t="s">
        <v>41</v>
      </c>
      <c r="N1010" s="2">
        <v>2</v>
      </c>
      <c r="O1010" s="2">
        <v>440.42</v>
      </c>
      <c r="P1010" s="2">
        <f t="shared" si="75"/>
        <v>62</v>
      </c>
      <c r="Q1010" s="4">
        <f t="shared" si="76"/>
        <v>0.50793650793650791</v>
      </c>
      <c r="R1010" s="2" t="str">
        <f t="shared" si="77"/>
        <v>Inefficient</v>
      </c>
      <c r="S1010" s="2" t="str">
        <f t="shared" si="78"/>
        <v>Very Long</v>
      </c>
      <c r="T1010" s="2" t="str">
        <f t="shared" si="79"/>
        <v>Major Delay</v>
      </c>
    </row>
    <row r="1011" spans="1:20" x14ac:dyDescent="0.35">
      <c r="A1011" s="2" t="s">
        <v>2205</v>
      </c>
      <c r="B1011" s="2" t="s">
        <v>31</v>
      </c>
      <c r="C1011" s="2" t="s">
        <v>2206</v>
      </c>
      <c r="D1011" s="2" t="s">
        <v>18</v>
      </c>
      <c r="E1011" s="2" t="s">
        <v>85</v>
      </c>
      <c r="F1011" s="2" t="s">
        <v>27</v>
      </c>
      <c r="G1011" s="2" t="s">
        <v>650</v>
      </c>
      <c r="H1011" s="3">
        <v>45537.054166666669</v>
      </c>
      <c r="I1011" s="3">
        <v>45537.243055555555</v>
      </c>
      <c r="J1011" s="2">
        <v>225</v>
      </c>
      <c r="K1011" s="2">
        <v>272</v>
      </c>
      <c r="L1011" s="2">
        <v>1</v>
      </c>
      <c r="M1011" s="2" t="s">
        <v>22</v>
      </c>
      <c r="N1011" s="2">
        <v>5</v>
      </c>
      <c r="O1011" s="2">
        <v>494</v>
      </c>
      <c r="P1011" s="2">
        <f t="shared" si="75"/>
        <v>47</v>
      </c>
      <c r="Q1011" s="4">
        <f t="shared" si="76"/>
        <v>0.82720588235294112</v>
      </c>
      <c r="R1011" s="2" t="str">
        <f t="shared" si="77"/>
        <v>Inefficient</v>
      </c>
      <c r="S1011" s="2" t="str">
        <f t="shared" si="78"/>
        <v>Very Long</v>
      </c>
      <c r="T1011" s="2" t="str">
        <f t="shared" si="79"/>
        <v>Major Delay</v>
      </c>
    </row>
    <row r="1012" spans="1:20" x14ac:dyDescent="0.35">
      <c r="A1012" s="2" t="s">
        <v>2207</v>
      </c>
      <c r="B1012" s="2" t="s">
        <v>31</v>
      </c>
      <c r="C1012" s="2" t="s">
        <v>2208</v>
      </c>
      <c r="D1012" s="2" t="s">
        <v>26</v>
      </c>
      <c r="E1012" s="2" t="s">
        <v>38</v>
      </c>
      <c r="F1012" s="2" t="s">
        <v>27</v>
      </c>
      <c r="G1012" s="2" t="s">
        <v>397</v>
      </c>
      <c r="H1012" s="3">
        <v>45306.786111111112</v>
      </c>
      <c r="I1012" s="3">
        <v>45306.883333333331</v>
      </c>
      <c r="J1012" s="2">
        <v>85</v>
      </c>
      <c r="K1012" s="2">
        <v>140</v>
      </c>
      <c r="L1012" s="2">
        <v>1</v>
      </c>
      <c r="M1012" s="2" t="s">
        <v>41</v>
      </c>
      <c r="N1012" s="2">
        <v>9</v>
      </c>
      <c r="O1012" s="2">
        <v>191.9</v>
      </c>
      <c r="P1012" s="2">
        <f t="shared" si="75"/>
        <v>55</v>
      </c>
      <c r="Q1012" s="4">
        <f t="shared" si="76"/>
        <v>0.6071428571428571</v>
      </c>
      <c r="R1012" s="2" t="str">
        <f t="shared" si="77"/>
        <v>Inefficient</v>
      </c>
      <c r="S1012" s="2" t="str">
        <f t="shared" si="78"/>
        <v>Very Long</v>
      </c>
      <c r="T1012" s="2" t="str">
        <f t="shared" si="79"/>
        <v>Major Delay</v>
      </c>
    </row>
    <row r="1013" spans="1:20" x14ac:dyDescent="0.35">
      <c r="A1013" s="2" t="s">
        <v>2209</v>
      </c>
      <c r="B1013" s="2" t="s">
        <v>51</v>
      </c>
      <c r="C1013" s="2" t="s">
        <v>2210</v>
      </c>
      <c r="D1013" s="2" t="s">
        <v>48</v>
      </c>
      <c r="E1013" s="2" t="s">
        <v>38</v>
      </c>
      <c r="F1013" s="2" t="s">
        <v>57</v>
      </c>
      <c r="G1013" s="2" t="s">
        <v>445</v>
      </c>
      <c r="H1013" s="3">
        <v>45399.436111111114</v>
      </c>
      <c r="I1013" s="3">
        <v>45399.470138888886</v>
      </c>
      <c r="J1013" s="2">
        <v>39</v>
      </c>
      <c r="K1013" s="2">
        <v>49</v>
      </c>
      <c r="L1013" s="2">
        <v>1</v>
      </c>
      <c r="M1013" s="2" t="s">
        <v>29</v>
      </c>
      <c r="N1013" s="2">
        <v>8</v>
      </c>
      <c r="O1013" s="2">
        <v>397.62</v>
      </c>
      <c r="P1013" s="2">
        <f t="shared" si="75"/>
        <v>10</v>
      </c>
      <c r="Q1013" s="4">
        <f t="shared" si="76"/>
        <v>0.79591836734693877</v>
      </c>
      <c r="R1013" s="2" t="str">
        <f t="shared" si="77"/>
        <v>Inefficient</v>
      </c>
      <c r="S1013" s="2" t="str">
        <f t="shared" si="78"/>
        <v>Medium</v>
      </c>
      <c r="T1013" s="2" t="str">
        <f t="shared" si="79"/>
        <v>Minor Delay</v>
      </c>
    </row>
    <row r="1014" spans="1:20" x14ac:dyDescent="0.35">
      <c r="A1014" s="2" t="s">
        <v>2211</v>
      </c>
      <c r="B1014" s="2" t="s">
        <v>63</v>
      </c>
      <c r="C1014" s="2" t="s">
        <v>2212</v>
      </c>
      <c r="D1014" s="2" t="s">
        <v>18</v>
      </c>
      <c r="E1014" s="2" t="s">
        <v>19</v>
      </c>
      <c r="F1014" s="2" t="s">
        <v>34</v>
      </c>
      <c r="G1014" s="2" t="s">
        <v>231</v>
      </c>
      <c r="H1014" s="3">
        <v>45380.824305555558</v>
      </c>
      <c r="I1014" s="3">
        <v>45380.933333333334</v>
      </c>
      <c r="J1014" s="2">
        <v>139</v>
      </c>
      <c r="K1014" s="2">
        <v>157</v>
      </c>
      <c r="L1014" s="2">
        <v>1</v>
      </c>
      <c r="M1014" s="2" t="s">
        <v>29</v>
      </c>
      <c r="N1014" s="2">
        <v>1</v>
      </c>
      <c r="O1014" s="2">
        <v>465.73</v>
      </c>
      <c r="P1014" s="2">
        <f t="shared" si="75"/>
        <v>18</v>
      </c>
      <c r="Q1014" s="4">
        <f t="shared" si="76"/>
        <v>0.88535031847133761</v>
      </c>
      <c r="R1014" s="2" t="str">
        <f t="shared" si="77"/>
        <v>Inefficient</v>
      </c>
      <c r="S1014" s="2" t="str">
        <f t="shared" si="78"/>
        <v>Very Long</v>
      </c>
      <c r="T1014" s="2" t="str">
        <f t="shared" si="79"/>
        <v>Minor Delay</v>
      </c>
    </row>
    <row r="1015" spans="1:20" x14ac:dyDescent="0.35">
      <c r="A1015" s="2" t="s">
        <v>2213</v>
      </c>
      <c r="B1015" s="2" t="s">
        <v>16</v>
      </c>
      <c r="C1015" s="2" t="s">
        <v>2214</v>
      </c>
      <c r="D1015" s="2" t="s">
        <v>18</v>
      </c>
      <c r="E1015" s="2" t="s">
        <v>85</v>
      </c>
      <c r="F1015" s="2" t="s">
        <v>34</v>
      </c>
      <c r="G1015" s="2" t="s">
        <v>140</v>
      </c>
      <c r="H1015" s="3">
        <v>45430.019444444442</v>
      </c>
      <c r="I1015" s="3">
        <v>45430.142361111109</v>
      </c>
      <c r="J1015" s="2">
        <v>101</v>
      </c>
      <c r="K1015" s="2">
        <v>177</v>
      </c>
      <c r="L1015" s="2">
        <v>1</v>
      </c>
      <c r="M1015" s="2" t="s">
        <v>22</v>
      </c>
      <c r="N1015" s="2">
        <v>10</v>
      </c>
      <c r="O1015" s="2">
        <v>161.16</v>
      </c>
      <c r="P1015" s="2">
        <f t="shared" si="75"/>
        <v>76</v>
      </c>
      <c r="Q1015" s="4">
        <f t="shared" si="76"/>
        <v>0.57062146892655363</v>
      </c>
      <c r="R1015" s="2" t="str">
        <f t="shared" si="77"/>
        <v>Inefficient</v>
      </c>
      <c r="S1015" s="2" t="str">
        <f t="shared" si="78"/>
        <v>Very Long</v>
      </c>
      <c r="T1015" s="2" t="str">
        <f t="shared" si="79"/>
        <v>Major Delay</v>
      </c>
    </row>
    <row r="1016" spans="1:20" x14ac:dyDescent="0.35">
      <c r="A1016" s="2" t="s">
        <v>2215</v>
      </c>
      <c r="B1016" s="2" t="s">
        <v>31</v>
      </c>
      <c r="C1016" s="2" t="s">
        <v>2216</v>
      </c>
      <c r="D1016" s="2" t="s">
        <v>18</v>
      </c>
      <c r="E1016" s="2" t="s">
        <v>19</v>
      </c>
      <c r="F1016" s="2" t="s">
        <v>20</v>
      </c>
      <c r="G1016" s="2" t="s">
        <v>152</v>
      </c>
      <c r="H1016" s="3">
        <v>45415.761805555558</v>
      </c>
      <c r="I1016" s="3">
        <v>45415.825694444444</v>
      </c>
      <c r="J1016" s="2">
        <v>67</v>
      </c>
      <c r="K1016" s="2">
        <v>92</v>
      </c>
      <c r="L1016" s="2">
        <v>1</v>
      </c>
      <c r="M1016" s="2" t="s">
        <v>41</v>
      </c>
      <c r="N1016" s="2">
        <v>2</v>
      </c>
      <c r="O1016" s="2">
        <v>403.87</v>
      </c>
      <c r="P1016" s="2">
        <f t="shared" si="75"/>
        <v>25</v>
      </c>
      <c r="Q1016" s="4">
        <f t="shared" si="76"/>
        <v>0.72826086956521741</v>
      </c>
      <c r="R1016" s="2" t="str">
        <f t="shared" si="77"/>
        <v>Inefficient</v>
      </c>
      <c r="S1016" s="2" t="str">
        <f t="shared" si="78"/>
        <v>Long</v>
      </c>
      <c r="T1016" s="2" t="str">
        <f t="shared" si="79"/>
        <v>Minor Delay</v>
      </c>
    </row>
    <row r="1017" spans="1:20" x14ac:dyDescent="0.35">
      <c r="A1017" s="2" t="s">
        <v>2217</v>
      </c>
      <c r="B1017" s="2" t="s">
        <v>51</v>
      </c>
      <c r="C1017" s="2" t="s">
        <v>2218</v>
      </c>
      <c r="D1017" s="2" t="s">
        <v>44</v>
      </c>
      <c r="E1017" s="2" t="s">
        <v>33</v>
      </c>
      <c r="F1017" s="2" t="s">
        <v>34</v>
      </c>
      <c r="G1017" s="2" t="s">
        <v>143</v>
      </c>
      <c r="H1017" s="3">
        <v>45655.556944444441</v>
      </c>
      <c r="I1017" s="3">
        <v>45655.720833333333</v>
      </c>
      <c r="J1017" s="2">
        <v>133</v>
      </c>
      <c r="K1017" s="2">
        <v>236</v>
      </c>
      <c r="L1017" s="2">
        <v>1</v>
      </c>
      <c r="M1017" s="2" t="s">
        <v>22</v>
      </c>
      <c r="N1017" s="2">
        <v>1</v>
      </c>
      <c r="O1017" s="2">
        <v>384.72</v>
      </c>
      <c r="P1017" s="2">
        <f t="shared" si="75"/>
        <v>103</v>
      </c>
      <c r="Q1017" s="4">
        <f t="shared" si="76"/>
        <v>0.56355932203389836</v>
      </c>
      <c r="R1017" s="2" t="str">
        <f t="shared" si="77"/>
        <v>Inefficient</v>
      </c>
      <c r="S1017" s="2" t="str">
        <f t="shared" si="78"/>
        <v>Very Long</v>
      </c>
      <c r="T1017" s="2" t="str">
        <f t="shared" si="79"/>
        <v>Major Delay</v>
      </c>
    </row>
    <row r="1018" spans="1:20" x14ac:dyDescent="0.35">
      <c r="A1018" s="2" t="s">
        <v>2219</v>
      </c>
      <c r="B1018" s="2" t="s">
        <v>24</v>
      </c>
      <c r="C1018" s="2" t="s">
        <v>2220</v>
      </c>
      <c r="D1018" s="2" t="s">
        <v>44</v>
      </c>
      <c r="E1018" s="2" t="s">
        <v>19</v>
      </c>
      <c r="F1018" s="2" t="s">
        <v>57</v>
      </c>
      <c r="G1018" s="2" t="s">
        <v>79</v>
      </c>
      <c r="H1018" s="3">
        <v>45534.615277777775</v>
      </c>
      <c r="I1018" s="3">
        <v>45534.786805555559</v>
      </c>
      <c r="J1018" s="2">
        <v>196</v>
      </c>
      <c r="K1018" s="2">
        <v>247</v>
      </c>
      <c r="L1018" s="2">
        <v>1</v>
      </c>
      <c r="M1018" s="2" t="s">
        <v>41</v>
      </c>
      <c r="N1018" s="2">
        <v>3</v>
      </c>
      <c r="O1018" s="2">
        <v>148.99</v>
      </c>
      <c r="P1018" s="2">
        <f t="shared" si="75"/>
        <v>51</v>
      </c>
      <c r="Q1018" s="4">
        <f t="shared" si="76"/>
        <v>0.79352226720647778</v>
      </c>
      <c r="R1018" s="2" t="str">
        <f t="shared" si="77"/>
        <v>Inefficient</v>
      </c>
      <c r="S1018" s="2" t="str">
        <f t="shared" si="78"/>
        <v>Very Long</v>
      </c>
      <c r="T1018" s="2" t="str">
        <f t="shared" si="79"/>
        <v>Major Delay</v>
      </c>
    </row>
    <row r="1019" spans="1:20" x14ac:dyDescent="0.35">
      <c r="A1019" s="2" t="s">
        <v>2221</v>
      </c>
      <c r="B1019" s="2" t="s">
        <v>16</v>
      </c>
      <c r="C1019" s="2" t="s">
        <v>2222</v>
      </c>
      <c r="D1019" s="2" t="s">
        <v>56</v>
      </c>
      <c r="E1019" s="2" t="s">
        <v>85</v>
      </c>
      <c r="F1019" s="2" t="s">
        <v>39</v>
      </c>
      <c r="G1019" s="2" t="s">
        <v>82</v>
      </c>
      <c r="H1019" s="3">
        <v>45354.379166666666</v>
      </c>
      <c r="I1019" s="3">
        <v>45354.468055555553</v>
      </c>
      <c r="J1019" s="2">
        <v>84</v>
      </c>
      <c r="K1019" s="2">
        <v>128</v>
      </c>
      <c r="L1019" s="2">
        <v>1</v>
      </c>
      <c r="M1019" s="2" t="s">
        <v>22</v>
      </c>
      <c r="N1019" s="2">
        <v>9</v>
      </c>
      <c r="O1019" s="2">
        <v>480.76</v>
      </c>
      <c r="P1019" s="2">
        <f t="shared" si="75"/>
        <v>44</v>
      </c>
      <c r="Q1019" s="4">
        <f t="shared" si="76"/>
        <v>0.65625</v>
      </c>
      <c r="R1019" s="2" t="str">
        <f t="shared" si="77"/>
        <v>Inefficient</v>
      </c>
      <c r="S1019" s="2" t="str">
        <f t="shared" si="78"/>
        <v>Very Long</v>
      </c>
      <c r="T1019" s="2" t="str">
        <f t="shared" si="79"/>
        <v>Major Delay</v>
      </c>
    </row>
    <row r="1020" spans="1:20" x14ac:dyDescent="0.35">
      <c r="A1020" s="2" t="s">
        <v>2223</v>
      </c>
      <c r="B1020" s="2" t="s">
        <v>16</v>
      </c>
      <c r="C1020" s="2" t="s">
        <v>2224</v>
      </c>
      <c r="D1020" s="2" t="s">
        <v>44</v>
      </c>
      <c r="E1020" s="2" t="s">
        <v>19</v>
      </c>
      <c r="F1020" s="2" t="s">
        <v>34</v>
      </c>
      <c r="G1020" s="2" t="s">
        <v>700</v>
      </c>
      <c r="H1020" s="3">
        <v>45365.15902777778</v>
      </c>
      <c r="I1020" s="3">
        <v>45365.208333333336</v>
      </c>
      <c r="J1020" s="2">
        <v>62</v>
      </c>
      <c r="K1020" s="2">
        <v>71</v>
      </c>
      <c r="L1020" s="2">
        <v>1</v>
      </c>
      <c r="M1020" s="2" t="s">
        <v>22</v>
      </c>
      <c r="N1020" s="2">
        <v>2</v>
      </c>
      <c r="O1020" s="2">
        <v>343.32</v>
      </c>
      <c r="P1020" s="2">
        <f t="shared" si="75"/>
        <v>9</v>
      </c>
      <c r="Q1020" s="4">
        <f t="shared" si="76"/>
        <v>0.87323943661971826</v>
      </c>
      <c r="R1020" s="2" t="str">
        <f t="shared" si="77"/>
        <v>Inefficient</v>
      </c>
      <c r="S1020" s="2" t="str">
        <f t="shared" si="78"/>
        <v>Long</v>
      </c>
      <c r="T1020" s="2" t="str">
        <f t="shared" si="79"/>
        <v>Minor Delay</v>
      </c>
    </row>
    <row r="1021" spans="1:20" x14ac:dyDescent="0.35">
      <c r="A1021" s="2" t="s">
        <v>2225</v>
      </c>
      <c r="B1021" s="2" t="s">
        <v>63</v>
      </c>
      <c r="C1021" s="2" t="s">
        <v>2226</v>
      </c>
      <c r="D1021" s="2" t="s">
        <v>56</v>
      </c>
      <c r="E1021" s="2" t="s">
        <v>38</v>
      </c>
      <c r="F1021" s="2" t="s">
        <v>20</v>
      </c>
      <c r="G1021" s="2" t="s">
        <v>222</v>
      </c>
      <c r="H1021" s="3">
        <v>45499.428472222222</v>
      </c>
      <c r="I1021" s="3">
        <v>45499.582638888889</v>
      </c>
      <c r="J1021" s="2">
        <v>217</v>
      </c>
      <c r="K1021" s="2">
        <v>222</v>
      </c>
      <c r="L1021" s="2">
        <v>1</v>
      </c>
      <c r="M1021" s="2" t="s">
        <v>22</v>
      </c>
      <c r="N1021" s="2">
        <v>6</v>
      </c>
      <c r="O1021" s="2">
        <v>278.19</v>
      </c>
      <c r="P1021" s="2">
        <f t="shared" si="75"/>
        <v>5</v>
      </c>
      <c r="Q1021" s="4">
        <f t="shared" si="76"/>
        <v>0.97747747747747749</v>
      </c>
      <c r="R1021" s="2" t="str">
        <f t="shared" si="77"/>
        <v>Inefficient</v>
      </c>
      <c r="S1021" s="2" t="str">
        <f t="shared" si="78"/>
        <v>Very Long</v>
      </c>
      <c r="T1021" s="2" t="str">
        <f t="shared" si="79"/>
        <v>Minor Delay</v>
      </c>
    </row>
    <row r="1022" spans="1:20" x14ac:dyDescent="0.35">
      <c r="A1022" s="2" t="s">
        <v>2227</v>
      </c>
      <c r="B1022" s="2" t="s">
        <v>31</v>
      </c>
      <c r="C1022" s="2" t="s">
        <v>2228</v>
      </c>
      <c r="D1022" s="2" t="s">
        <v>56</v>
      </c>
      <c r="E1022" s="2" t="s">
        <v>33</v>
      </c>
      <c r="F1022" s="2" t="s">
        <v>57</v>
      </c>
      <c r="G1022" s="2" t="s">
        <v>265</v>
      </c>
      <c r="H1022" s="3">
        <v>45293.013888888891</v>
      </c>
      <c r="I1022" s="3">
        <v>45293.125</v>
      </c>
      <c r="J1022" s="2">
        <v>83</v>
      </c>
      <c r="K1022" s="2">
        <v>160</v>
      </c>
      <c r="L1022" s="2">
        <v>1</v>
      </c>
      <c r="M1022" s="2" t="s">
        <v>41</v>
      </c>
      <c r="N1022" s="2">
        <v>8</v>
      </c>
      <c r="O1022" s="2">
        <v>158.96</v>
      </c>
      <c r="P1022" s="2">
        <f t="shared" si="75"/>
        <v>77</v>
      </c>
      <c r="Q1022" s="4">
        <f t="shared" si="76"/>
        <v>0.51875000000000004</v>
      </c>
      <c r="R1022" s="2" t="str">
        <f t="shared" si="77"/>
        <v>Inefficient</v>
      </c>
      <c r="S1022" s="2" t="str">
        <f t="shared" si="78"/>
        <v>Very Long</v>
      </c>
      <c r="T1022" s="2" t="str">
        <f t="shared" si="79"/>
        <v>Major Delay</v>
      </c>
    </row>
    <row r="1023" spans="1:20" x14ac:dyDescent="0.35">
      <c r="A1023" s="2" t="s">
        <v>2229</v>
      </c>
      <c r="B1023" s="2" t="s">
        <v>24</v>
      </c>
      <c r="C1023" s="2" t="s">
        <v>2230</v>
      </c>
      <c r="D1023" s="2" t="s">
        <v>18</v>
      </c>
      <c r="E1023" s="2" t="s">
        <v>33</v>
      </c>
      <c r="F1023" s="2" t="s">
        <v>34</v>
      </c>
      <c r="G1023" s="2" t="s">
        <v>231</v>
      </c>
      <c r="H1023" s="3">
        <v>45490.225694444445</v>
      </c>
      <c r="I1023" s="3">
        <v>45490.297222222223</v>
      </c>
      <c r="J1023" s="2">
        <v>15</v>
      </c>
      <c r="K1023" s="2">
        <v>103</v>
      </c>
      <c r="L1023" s="2">
        <v>1</v>
      </c>
      <c r="M1023" s="2" t="s">
        <v>29</v>
      </c>
      <c r="N1023" s="2">
        <v>3</v>
      </c>
      <c r="O1023" s="2">
        <v>412.72</v>
      </c>
      <c r="P1023" s="2">
        <f t="shared" si="75"/>
        <v>88</v>
      </c>
      <c r="Q1023" s="4">
        <f t="shared" si="76"/>
        <v>0.14563106796116504</v>
      </c>
      <c r="R1023" s="2" t="str">
        <f t="shared" si="77"/>
        <v>Inefficient</v>
      </c>
      <c r="S1023" s="2" t="str">
        <f t="shared" si="78"/>
        <v>Long</v>
      </c>
      <c r="T1023" s="2" t="str">
        <f t="shared" si="79"/>
        <v>Major Delay</v>
      </c>
    </row>
    <row r="1024" spans="1:20" x14ac:dyDescent="0.35">
      <c r="A1024" s="2" t="s">
        <v>2231</v>
      </c>
      <c r="B1024" s="2" t="s">
        <v>51</v>
      </c>
      <c r="C1024" s="2" t="s">
        <v>2232</v>
      </c>
      <c r="D1024" s="2" t="s">
        <v>56</v>
      </c>
      <c r="E1024" s="2" t="s">
        <v>85</v>
      </c>
      <c r="F1024" s="2" t="s">
        <v>57</v>
      </c>
      <c r="G1024" s="2" t="s">
        <v>222</v>
      </c>
      <c r="H1024" s="3">
        <v>45620.086805555555</v>
      </c>
      <c r="I1024" s="3">
        <v>45620.252083333333</v>
      </c>
      <c r="J1024" s="2">
        <v>124</v>
      </c>
      <c r="K1024" s="2">
        <v>238</v>
      </c>
      <c r="L1024" s="2">
        <v>1</v>
      </c>
      <c r="M1024" s="2" t="s">
        <v>41</v>
      </c>
      <c r="N1024" s="2">
        <v>7</v>
      </c>
      <c r="O1024" s="2">
        <v>193.92</v>
      </c>
      <c r="P1024" s="2">
        <f t="shared" si="75"/>
        <v>114</v>
      </c>
      <c r="Q1024" s="4">
        <f t="shared" si="76"/>
        <v>0.52100840336134457</v>
      </c>
      <c r="R1024" s="2" t="str">
        <f t="shared" si="77"/>
        <v>Inefficient</v>
      </c>
      <c r="S1024" s="2" t="str">
        <f t="shared" si="78"/>
        <v>Very Long</v>
      </c>
      <c r="T1024" s="2" t="str">
        <f t="shared" si="79"/>
        <v>Major Delay</v>
      </c>
    </row>
    <row r="1025" spans="1:20" x14ac:dyDescent="0.35">
      <c r="A1025" s="2" t="s">
        <v>2233</v>
      </c>
      <c r="B1025" s="2" t="s">
        <v>31</v>
      </c>
      <c r="C1025" s="2" t="s">
        <v>2234</v>
      </c>
      <c r="D1025" s="2" t="s">
        <v>48</v>
      </c>
      <c r="E1025" s="2" t="s">
        <v>33</v>
      </c>
      <c r="F1025" s="2" t="s">
        <v>57</v>
      </c>
      <c r="G1025" s="2" t="s">
        <v>897</v>
      </c>
      <c r="H1025" s="3">
        <v>45554.731944444444</v>
      </c>
      <c r="I1025" s="3">
        <v>45554.806250000001</v>
      </c>
      <c r="J1025" s="2">
        <v>46</v>
      </c>
      <c r="K1025" s="2">
        <v>107</v>
      </c>
      <c r="L1025" s="2">
        <v>1</v>
      </c>
      <c r="M1025" s="2" t="s">
        <v>41</v>
      </c>
      <c r="N1025" s="2">
        <v>6</v>
      </c>
      <c r="O1025" s="2">
        <v>391.9</v>
      </c>
      <c r="P1025" s="2">
        <f t="shared" si="75"/>
        <v>61</v>
      </c>
      <c r="Q1025" s="4">
        <f t="shared" si="76"/>
        <v>0.42990654205607476</v>
      </c>
      <c r="R1025" s="2" t="str">
        <f t="shared" si="77"/>
        <v>Inefficient</v>
      </c>
      <c r="S1025" s="2" t="str">
        <f t="shared" si="78"/>
        <v>Long</v>
      </c>
      <c r="T1025" s="2" t="str">
        <f t="shared" si="79"/>
        <v>Major Delay</v>
      </c>
    </row>
    <row r="1026" spans="1:20" x14ac:dyDescent="0.35">
      <c r="A1026" s="2" t="s">
        <v>2235</v>
      </c>
      <c r="B1026" s="2" t="s">
        <v>24</v>
      </c>
      <c r="C1026" s="2" t="s">
        <v>2236</v>
      </c>
      <c r="D1026" s="2" t="s">
        <v>56</v>
      </c>
      <c r="E1026" s="2" t="s">
        <v>38</v>
      </c>
      <c r="F1026" s="2" t="s">
        <v>57</v>
      </c>
      <c r="G1026" s="2" t="s">
        <v>82</v>
      </c>
      <c r="H1026" s="3">
        <v>45305.129861111112</v>
      </c>
      <c r="I1026" s="3">
        <v>45305.277777777781</v>
      </c>
      <c r="J1026" s="2">
        <v>154</v>
      </c>
      <c r="K1026" s="2">
        <v>213</v>
      </c>
      <c r="L1026" s="2">
        <v>1</v>
      </c>
      <c r="M1026" s="2" t="s">
        <v>41</v>
      </c>
      <c r="N1026" s="2">
        <v>10</v>
      </c>
      <c r="O1026" s="2">
        <v>359.48</v>
      </c>
      <c r="P1026" s="2">
        <f t="shared" si="75"/>
        <v>59</v>
      </c>
      <c r="Q1026" s="4">
        <f t="shared" si="76"/>
        <v>0.72300469483568075</v>
      </c>
      <c r="R1026" s="2" t="str">
        <f t="shared" si="77"/>
        <v>Inefficient</v>
      </c>
      <c r="S1026" s="2" t="str">
        <f t="shared" si="78"/>
        <v>Very Long</v>
      </c>
      <c r="T1026" s="2" t="str">
        <f t="shared" si="79"/>
        <v>Major Delay</v>
      </c>
    </row>
    <row r="1027" spans="1:20" x14ac:dyDescent="0.35">
      <c r="A1027" s="2" t="s">
        <v>2237</v>
      </c>
      <c r="B1027" s="2" t="s">
        <v>16</v>
      </c>
      <c r="C1027" s="2" t="s">
        <v>2238</v>
      </c>
      <c r="D1027" s="2" t="s">
        <v>44</v>
      </c>
      <c r="E1027" s="2" t="s">
        <v>33</v>
      </c>
      <c r="F1027" s="2" t="s">
        <v>27</v>
      </c>
      <c r="G1027" s="2" t="s">
        <v>167</v>
      </c>
      <c r="H1027" s="3">
        <v>45522.088194444441</v>
      </c>
      <c r="I1027" s="3">
        <v>45522.206250000003</v>
      </c>
      <c r="J1027" s="2">
        <v>117</v>
      </c>
      <c r="K1027" s="2">
        <v>170</v>
      </c>
      <c r="L1027" s="2">
        <v>1</v>
      </c>
      <c r="M1027" s="2" t="s">
        <v>22</v>
      </c>
      <c r="N1027" s="2">
        <v>1</v>
      </c>
      <c r="O1027" s="2">
        <v>289.2</v>
      </c>
      <c r="P1027" s="2">
        <f t="shared" ref="P1027:P1090" si="80">K1027-J1027</f>
        <v>53</v>
      </c>
      <c r="Q1027" s="4">
        <f t="shared" ref="Q1027:Q1090" si="81">J1027/K1027</f>
        <v>0.68823529411764706</v>
      </c>
      <c r="R1027" s="2" t="str">
        <f t="shared" ref="R1027:R1090" si="82">IF(Q1027&gt;1,"Efficient",
IF(Q1027=1,"On Target","Inefficient"))</f>
        <v>Inefficient</v>
      </c>
      <c r="S1027" s="2" t="str">
        <f t="shared" ref="S1027:S1090" si="83">IF(K1027&lt;30,"Short",
IF(K1027&lt;60,"Medium",
IF(K1027&lt;120,"Long","Very Long")))</f>
        <v>Very Long</v>
      </c>
      <c r="T1027" s="2" t="str">
        <f t="shared" ref="T1027:T1090" si="84">IF(K1027&lt;=J1027,"On Time",
IF(K1027-J1027&lt;=30,"Minor Delay","Major Delay"))</f>
        <v>Major Delay</v>
      </c>
    </row>
    <row r="1028" spans="1:20" x14ac:dyDescent="0.35">
      <c r="A1028" s="2" t="s">
        <v>2239</v>
      </c>
      <c r="B1028" s="2" t="s">
        <v>16</v>
      </c>
      <c r="C1028" s="2" t="s">
        <v>2240</v>
      </c>
      <c r="D1028" s="2" t="s">
        <v>26</v>
      </c>
      <c r="E1028" s="2" t="s">
        <v>19</v>
      </c>
      <c r="F1028" s="2" t="s">
        <v>20</v>
      </c>
      <c r="G1028" s="2" t="s">
        <v>288</v>
      </c>
      <c r="H1028" s="3">
        <v>45328.113194444442</v>
      </c>
      <c r="I1028" s="3">
        <v>45328.230555555558</v>
      </c>
      <c r="J1028" s="2">
        <v>75</v>
      </c>
      <c r="K1028" s="2">
        <v>169</v>
      </c>
      <c r="L1028" s="2">
        <v>1</v>
      </c>
      <c r="M1028" s="2" t="s">
        <v>29</v>
      </c>
      <c r="N1028" s="2">
        <v>7</v>
      </c>
      <c r="O1028" s="2">
        <v>399.76</v>
      </c>
      <c r="P1028" s="2">
        <f t="shared" si="80"/>
        <v>94</v>
      </c>
      <c r="Q1028" s="4">
        <f t="shared" si="81"/>
        <v>0.4437869822485207</v>
      </c>
      <c r="R1028" s="2" t="str">
        <f t="shared" si="82"/>
        <v>Inefficient</v>
      </c>
      <c r="S1028" s="2" t="str">
        <f t="shared" si="83"/>
        <v>Very Long</v>
      </c>
      <c r="T1028" s="2" t="str">
        <f t="shared" si="84"/>
        <v>Major Delay</v>
      </c>
    </row>
    <row r="1029" spans="1:20" x14ac:dyDescent="0.35">
      <c r="A1029" s="2" t="s">
        <v>2241</v>
      </c>
      <c r="B1029" s="2" t="s">
        <v>16</v>
      </c>
      <c r="C1029" s="2" t="s">
        <v>2242</v>
      </c>
      <c r="D1029" s="2" t="s">
        <v>56</v>
      </c>
      <c r="E1029" s="2" t="s">
        <v>38</v>
      </c>
      <c r="F1029" s="2" t="s">
        <v>20</v>
      </c>
      <c r="G1029" s="2" t="s">
        <v>132</v>
      </c>
      <c r="H1029" s="3">
        <v>45520.694444444445</v>
      </c>
      <c r="I1029" s="3">
        <v>45520.791666666664</v>
      </c>
      <c r="J1029" s="2">
        <v>141</v>
      </c>
      <c r="K1029" s="2">
        <v>140</v>
      </c>
      <c r="L1029" s="2">
        <v>0</v>
      </c>
      <c r="M1029" s="2" t="s">
        <v>29</v>
      </c>
      <c r="N1029" s="2">
        <v>4</v>
      </c>
      <c r="O1029" s="2">
        <v>323.69</v>
      </c>
      <c r="P1029" s="2">
        <f t="shared" si="80"/>
        <v>-1</v>
      </c>
      <c r="Q1029" s="4">
        <f t="shared" si="81"/>
        <v>1.0071428571428571</v>
      </c>
      <c r="R1029" s="2" t="str">
        <f t="shared" si="82"/>
        <v>Efficient</v>
      </c>
      <c r="S1029" s="2" t="str">
        <f t="shared" si="83"/>
        <v>Very Long</v>
      </c>
      <c r="T1029" s="2" t="str">
        <f t="shared" si="84"/>
        <v>On Time</v>
      </c>
    </row>
    <row r="1030" spans="1:20" x14ac:dyDescent="0.35">
      <c r="A1030" s="2" t="s">
        <v>2243</v>
      </c>
      <c r="B1030" s="2" t="s">
        <v>24</v>
      </c>
      <c r="C1030" s="2" t="s">
        <v>2244</v>
      </c>
      <c r="D1030" s="2" t="s">
        <v>44</v>
      </c>
      <c r="E1030" s="2" t="s">
        <v>85</v>
      </c>
      <c r="F1030" s="2" t="s">
        <v>39</v>
      </c>
      <c r="G1030" s="2" t="s">
        <v>123</v>
      </c>
      <c r="H1030" s="3">
        <v>45351.802777777775</v>
      </c>
      <c r="I1030" s="3">
        <v>45351.913888888892</v>
      </c>
      <c r="J1030" s="2">
        <v>145</v>
      </c>
      <c r="K1030" s="2">
        <v>160</v>
      </c>
      <c r="L1030" s="2">
        <v>1</v>
      </c>
      <c r="M1030" s="2" t="s">
        <v>41</v>
      </c>
      <c r="N1030" s="2">
        <v>3</v>
      </c>
      <c r="O1030" s="2">
        <v>271.73</v>
      </c>
      <c r="P1030" s="2">
        <f t="shared" si="80"/>
        <v>15</v>
      </c>
      <c r="Q1030" s="4">
        <f t="shared" si="81"/>
        <v>0.90625</v>
      </c>
      <c r="R1030" s="2" t="str">
        <f t="shared" si="82"/>
        <v>Inefficient</v>
      </c>
      <c r="S1030" s="2" t="str">
        <f t="shared" si="83"/>
        <v>Very Long</v>
      </c>
      <c r="T1030" s="2" t="str">
        <f t="shared" si="84"/>
        <v>Minor Delay</v>
      </c>
    </row>
    <row r="1031" spans="1:20" x14ac:dyDescent="0.35">
      <c r="A1031" s="2" t="s">
        <v>2245</v>
      </c>
      <c r="B1031" s="2" t="s">
        <v>31</v>
      </c>
      <c r="C1031" s="2" t="s">
        <v>2246</v>
      </c>
      <c r="D1031" s="2" t="s">
        <v>26</v>
      </c>
      <c r="E1031" s="2" t="s">
        <v>33</v>
      </c>
      <c r="F1031" s="2" t="s">
        <v>57</v>
      </c>
      <c r="G1031" s="2" t="s">
        <v>691</v>
      </c>
      <c r="H1031" s="3">
        <v>45576.709027777775</v>
      </c>
      <c r="I1031" s="3">
        <v>45576.852083333331</v>
      </c>
      <c r="J1031" s="2">
        <v>165</v>
      </c>
      <c r="K1031" s="2">
        <v>206</v>
      </c>
      <c r="L1031" s="2">
        <v>1</v>
      </c>
      <c r="M1031" s="2" t="s">
        <v>41</v>
      </c>
      <c r="N1031" s="2">
        <v>6</v>
      </c>
      <c r="O1031" s="2">
        <v>197.93</v>
      </c>
      <c r="P1031" s="2">
        <f t="shared" si="80"/>
        <v>41</v>
      </c>
      <c r="Q1031" s="4">
        <f t="shared" si="81"/>
        <v>0.80097087378640774</v>
      </c>
      <c r="R1031" s="2" t="str">
        <f t="shared" si="82"/>
        <v>Inefficient</v>
      </c>
      <c r="S1031" s="2" t="str">
        <f t="shared" si="83"/>
        <v>Very Long</v>
      </c>
      <c r="T1031" s="2" t="str">
        <f t="shared" si="84"/>
        <v>Major Delay</v>
      </c>
    </row>
    <row r="1032" spans="1:20" x14ac:dyDescent="0.35">
      <c r="A1032" s="2" t="s">
        <v>2247</v>
      </c>
      <c r="B1032" s="2" t="s">
        <v>51</v>
      </c>
      <c r="C1032" s="2" t="s">
        <v>2248</v>
      </c>
      <c r="D1032" s="2" t="s">
        <v>18</v>
      </c>
      <c r="E1032" s="2" t="s">
        <v>33</v>
      </c>
      <c r="F1032" s="2" t="s">
        <v>34</v>
      </c>
      <c r="G1032" s="2" t="s">
        <v>749</v>
      </c>
      <c r="H1032" s="3">
        <v>45293.467361111114</v>
      </c>
      <c r="I1032" s="3">
        <v>45293.70208333333</v>
      </c>
      <c r="J1032" s="2">
        <v>232</v>
      </c>
      <c r="K1032" s="2">
        <v>338</v>
      </c>
      <c r="L1032" s="2">
        <v>1</v>
      </c>
      <c r="M1032" s="2" t="s">
        <v>22</v>
      </c>
      <c r="N1032" s="2">
        <v>10</v>
      </c>
      <c r="O1032" s="2">
        <v>104.74</v>
      </c>
      <c r="P1032" s="2">
        <f t="shared" si="80"/>
        <v>106</v>
      </c>
      <c r="Q1032" s="4">
        <f t="shared" si="81"/>
        <v>0.68639053254437865</v>
      </c>
      <c r="R1032" s="2" t="str">
        <f t="shared" si="82"/>
        <v>Inefficient</v>
      </c>
      <c r="S1032" s="2" t="str">
        <f t="shared" si="83"/>
        <v>Very Long</v>
      </c>
      <c r="T1032" s="2" t="str">
        <f t="shared" si="84"/>
        <v>Major Delay</v>
      </c>
    </row>
    <row r="1033" spans="1:20" x14ac:dyDescent="0.35">
      <c r="A1033" s="2" t="s">
        <v>2249</v>
      </c>
      <c r="B1033" s="2" t="s">
        <v>51</v>
      </c>
      <c r="C1033" s="2" t="s">
        <v>2250</v>
      </c>
      <c r="D1033" s="2" t="s">
        <v>48</v>
      </c>
      <c r="E1033" s="2" t="s">
        <v>85</v>
      </c>
      <c r="F1033" s="2" t="s">
        <v>27</v>
      </c>
      <c r="G1033" s="2" t="s">
        <v>173</v>
      </c>
      <c r="H1033" s="3">
        <v>45328.602777777778</v>
      </c>
      <c r="I1033" s="3">
        <v>45328.768750000003</v>
      </c>
      <c r="J1033" s="2">
        <v>186</v>
      </c>
      <c r="K1033" s="2">
        <v>239</v>
      </c>
      <c r="L1033" s="2">
        <v>1</v>
      </c>
      <c r="M1033" s="2" t="s">
        <v>41</v>
      </c>
      <c r="N1033" s="2">
        <v>4</v>
      </c>
      <c r="O1033" s="2">
        <v>127.46</v>
      </c>
      <c r="P1033" s="2">
        <f t="shared" si="80"/>
        <v>53</v>
      </c>
      <c r="Q1033" s="4">
        <f t="shared" si="81"/>
        <v>0.77824267782426781</v>
      </c>
      <c r="R1033" s="2" t="str">
        <f t="shared" si="82"/>
        <v>Inefficient</v>
      </c>
      <c r="S1033" s="2" t="str">
        <f t="shared" si="83"/>
        <v>Very Long</v>
      </c>
      <c r="T1033" s="2" t="str">
        <f t="shared" si="84"/>
        <v>Major Delay</v>
      </c>
    </row>
    <row r="1034" spans="1:20" x14ac:dyDescent="0.35">
      <c r="A1034" s="2" t="s">
        <v>2251</v>
      </c>
      <c r="B1034" s="2" t="s">
        <v>31</v>
      </c>
      <c r="C1034" s="2" t="s">
        <v>2252</v>
      </c>
      <c r="D1034" s="2" t="s">
        <v>26</v>
      </c>
      <c r="E1034" s="2" t="s">
        <v>85</v>
      </c>
      <c r="F1034" s="2" t="s">
        <v>27</v>
      </c>
      <c r="G1034" s="2" t="s">
        <v>129</v>
      </c>
      <c r="H1034" s="3">
        <v>45637.297222222223</v>
      </c>
      <c r="I1034" s="3">
        <v>45637.337500000001</v>
      </c>
      <c r="J1034" s="2">
        <v>55</v>
      </c>
      <c r="K1034" s="2">
        <v>58</v>
      </c>
      <c r="L1034" s="2">
        <v>1</v>
      </c>
      <c r="M1034" s="2" t="s">
        <v>29</v>
      </c>
      <c r="N1034" s="2">
        <v>9</v>
      </c>
      <c r="O1034" s="2">
        <v>151.28</v>
      </c>
      <c r="P1034" s="2">
        <f t="shared" si="80"/>
        <v>3</v>
      </c>
      <c r="Q1034" s="4">
        <f t="shared" si="81"/>
        <v>0.94827586206896552</v>
      </c>
      <c r="R1034" s="2" t="str">
        <f t="shared" si="82"/>
        <v>Inefficient</v>
      </c>
      <c r="S1034" s="2" t="str">
        <f t="shared" si="83"/>
        <v>Medium</v>
      </c>
      <c r="T1034" s="2" t="str">
        <f t="shared" si="84"/>
        <v>Minor Delay</v>
      </c>
    </row>
    <row r="1035" spans="1:20" x14ac:dyDescent="0.35">
      <c r="A1035" s="2" t="s">
        <v>2253</v>
      </c>
      <c r="B1035" s="2" t="s">
        <v>24</v>
      </c>
      <c r="C1035" s="2" t="s">
        <v>2254</v>
      </c>
      <c r="D1035" s="2" t="s">
        <v>56</v>
      </c>
      <c r="E1035" s="2" t="s">
        <v>38</v>
      </c>
      <c r="F1035" s="2" t="s">
        <v>20</v>
      </c>
      <c r="G1035" s="2" t="s">
        <v>594</v>
      </c>
      <c r="H1035" s="3">
        <v>45620.979861111111</v>
      </c>
      <c r="I1035" s="3">
        <v>45621.088194444441</v>
      </c>
      <c r="J1035" s="2">
        <v>156</v>
      </c>
      <c r="K1035" s="2">
        <v>156</v>
      </c>
      <c r="L1035" s="2">
        <v>0</v>
      </c>
      <c r="M1035" s="2" t="s">
        <v>41</v>
      </c>
      <c r="N1035" s="2">
        <v>8</v>
      </c>
      <c r="O1035" s="2">
        <v>216.85</v>
      </c>
      <c r="P1035" s="2">
        <f t="shared" si="80"/>
        <v>0</v>
      </c>
      <c r="Q1035" s="4">
        <f t="shared" si="81"/>
        <v>1</v>
      </c>
      <c r="R1035" s="2" t="str">
        <f t="shared" si="82"/>
        <v>On Target</v>
      </c>
      <c r="S1035" s="2" t="str">
        <f t="shared" si="83"/>
        <v>Very Long</v>
      </c>
      <c r="T1035" s="2" t="str">
        <f t="shared" si="84"/>
        <v>On Time</v>
      </c>
    </row>
    <row r="1036" spans="1:20" x14ac:dyDescent="0.35">
      <c r="A1036" s="2" t="s">
        <v>2255</v>
      </c>
      <c r="B1036" s="2" t="s">
        <v>31</v>
      </c>
      <c r="C1036" s="2" t="s">
        <v>2256</v>
      </c>
      <c r="D1036" s="2" t="s">
        <v>56</v>
      </c>
      <c r="E1036" s="2" t="s">
        <v>33</v>
      </c>
      <c r="F1036" s="2" t="s">
        <v>39</v>
      </c>
      <c r="G1036" s="2" t="s">
        <v>681</v>
      </c>
      <c r="H1036" s="3">
        <v>45490.890277777777</v>
      </c>
      <c r="I1036" s="3">
        <v>45490.906944444447</v>
      </c>
      <c r="J1036" s="2">
        <v>13</v>
      </c>
      <c r="K1036" s="2">
        <v>24</v>
      </c>
      <c r="L1036" s="2">
        <v>1</v>
      </c>
      <c r="M1036" s="2" t="s">
        <v>29</v>
      </c>
      <c r="N1036" s="2">
        <v>9</v>
      </c>
      <c r="O1036" s="2">
        <v>323.92</v>
      </c>
      <c r="P1036" s="2">
        <f t="shared" si="80"/>
        <v>11</v>
      </c>
      <c r="Q1036" s="4">
        <f t="shared" si="81"/>
        <v>0.54166666666666663</v>
      </c>
      <c r="R1036" s="2" t="str">
        <f t="shared" si="82"/>
        <v>Inefficient</v>
      </c>
      <c r="S1036" s="2" t="str">
        <f t="shared" si="83"/>
        <v>Short</v>
      </c>
      <c r="T1036" s="2" t="str">
        <f t="shared" si="84"/>
        <v>Minor Delay</v>
      </c>
    </row>
    <row r="1037" spans="1:20" x14ac:dyDescent="0.35">
      <c r="A1037" s="2" t="s">
        <v>2257</v>
      </c>
      <c r="B1037" s="2" t="s">
        <v>51</v>
      </c>
      <c r="C1037" s="2" t="s">
        <v>2258</v>
      </c>
      <c r="D1037" s="2" t="s">
        <v>26</v>
      </c>
      <c r="E1037" s="2" t="s">
        <v>85</v>
      </c>
      <c r="F1037" s="2" t="s">
        <v>27</v>
      </c>
      <c r="G1037" s="2" t="s">
        <v>170</v>
      </c>
      <c r="H1037" s="3">
        <v>45382.127083333333</v>
      </c>
      <c r="I1037" s="3">
        <v>45382.163888888892</v>
      </c>
      <c r="J1037" s="2">
        <v>13</v>
      </c>
      <c r="K1037" s="2">
        <v>53</v>
      </c>
      <c r="L1037" s="2">
        <v>1</v>
      </c>
      <c r="M1037" s="2" t="s">
        <v>29</v>
      </c>
      <c r="N1037" s="2">
        <v>5</v>
      </c>
      <c r="O1037" s="2">
        <v>296.62</v>
      </c>
      <c r="P1037" s="2">
        <f t="shared" si="80"/>
        <v>40</v>
      </c>
      <c r="Q1037" s="4">
        <f t="shared" si="81"/>
        <v>0.24528301886792453</v>
      </c>
      <c r="R1037" s="2" t="str">
        <f t="shared" si="82"/>
        <v>Inefficient</v>
      </c>
      <c r="S1037" s="2" t="str">
        <f t="shared" si="83"/>
        <v>Medium</v>
      </c>
      <c r="T1037" s="2" t="str">
        <f t="shared" si="84"/>
        <v>Major Delay</v>
      </c>
    </row>
    <row r="1038" spans="1:20" x14ac:dyDescent="0.35">
      <c r="A1038" s="2" t="s">
        <v>2259</v>
      </c>
      <c r="B1038" s="2" t="s">
        <v>31</v>
      </c>
      <c r="C1038" s="2" t="s">
        <v>2260</v>
      </c>
      <c r="D1038" s="2" t="s">
        <v>26</v>
      </c>
      <c r="E1038" s="2" t="s">
        <v>33</v>
      </c>
      <c r="F1038" s="2" t="s">
        <v>27</v>
      </c>
      <c r="G1038" s="2" t="s">
        <v>225</v>
      </c>
      <c r="H1038" s="3">
        <v>45630.294444444444</v>
      </c>
      <c r="I1038" s="3">
        <v>45630.457638888889</v>
      </c>
      <c r="J1038" s="2">
        <v>191</v>
      </c>
      <c r="K1038" s="2">
        <v>235</v>
      </c>
      <c r="L1038" s="2">
        <v>1</v>
      </c>
      <c r="M1038" s="2" t="s">
        <v>29</v>
      </c>
      <c r="N1038" s="2">
        <v>4</v>
      </c>
      <c r="O1038" s="2">
        <v>461.07</v>
      </c>
      <c r="P1038" s="2">
        <f t="shared" si="80"/>
        <v>44</v>
      </c>
      <c r="Q1038" s="4">
        <f t="shared" si="81"/>
        <v>0.81276595744680846</v>
      </c>
      <c r="R1038" s="2" t="str">
        <f t="shared" si="82"/>
        <v>Inefficient</v>
      </c>
      <c r="S1038" s="2" t="str">
        <f t="shared" si="83"/>
        <v>Very Long</v>
      </c>
      <c r="T1038" s="2" t="str">
        <f t="shared" si="84"/>
        <v>Major Delay</v>
      </c>
    </row>
    <row r="1039" spans="1:20" x14ac:dyDescent="0.35">
      <c r="A1039" s="2" t="s">
        <v>2261</v>
      </c>
      <c r="B1039" s="2" t="s">
        <v>31</v>
      </c>
      <c r="C1039" s="2" t="s">
        <v>2262</v>
      </c>
      <c r="D1039" s="2" t="s">
        <v>48</v>
      </c>
      <c r="E1039" s="2" t="s">
        <v>85</v>
      </c>
      <c r="F1039" s="2" t="s">
        <v>27</v>
      </c>
      <c r="G1039" s="2" t="s">
        <v>456</v>
      </c>
      <c r="H1039" s="3">
        <v>45357.038194444445</v>
      </c>
      <c r="I1039" s="3">
        <v>45357.117361111108</v>
      </c>
      <c r="J1039" s="2">
        <v>100</v>
      </c>
      <c r="K1039" s="2">
        <v>114</v>
      </c>
      <c r="L1039" s="2">
        <v>1</v>
      </c>
      <c r="M1039" s="2" t="s">
        <v>41</v>
      </c>
      <c r="N1039" s="2">
        <v>4</v>
      </c>
      <c r="O1039" s="2">
        <v>364.6</v>
      </c>
      <c r="P1039" s="2">
        <f t="shared" si="80"/>
        <v>14</v>
      </c>
      <c r="Q1039" s="4">
        <f t="shared" si="81"/>
        <v>0.8771929824561403</v>
      </c>
      <c r="R1039" s="2" t="str">
        <f t="shared" si="82"/>
        <v>Inefficient</v>
      </c>
      <c r="S1039" s="2" t="str">
        <f t="shared" si="83"/>
        <v>Long</v>
      </c>
      <c r="T1039" s="2" t="str">
        <f t="shared" si="84"/>
        <v>Minor Delay</v>
      </c>
    </row>
    <row r="1040" spans="1:20" x14ac:dyDescent="0.35">
      <c r="A1040" s="2" t="s">
        <v>2263</v>
      </c>
      <c r="B1040" s="2" t="s">
        <v>16</v>
      </c>
      <c r="C1040" s="2" t="s">
        <v>2264</v>
      </c>
      <c r="D1040" s="2" t="s">
        <v>44</v>
      </c>
      <c r="E1040" s="2" t="s">
        <v>38</v>
      </c>
      <c r="F1040" s="2" t="s">
        <v>39</v>
      </c>
      <c r="G1040" s="2" t="s">
        <v>185</v>
      </c>
      <c r="H1040" s="3">
        <v>45648.160416666666</v>
      </c>
      <c r="I1040" s="3">
        <v>45648.288194444445</v>
      </c>
      <c r="J1040" s="2">
        <v>72</v>
      </c>
      <c r="K1040" s="2">
        <v>184</v>
      </c>
      <c r="L1040" s="2">
        <v>1</v>
      </c>
      <c r="M1040" s="2" t="s">
        <v>22</v>
      </c>
      <c r="N1040" s="2">
        <v>10</v>
      </c>
      <c r="O1040" s="2">
        <v>121.18</v>
      </c>
      <c r="P1040" s="2">
        <f t="shared" si="80"/>
        <v>112</v>
      </c>
      <c r="Q1040" s="4">
        <f t="shared" si="81"/>
        <v>0.39130434782608697</v>
      </c>
      <c r="R1040" s="2" t="str">
        <f t="shared" si="82"/>
        <v>Inefficient</v>
      </c>
      <c r="S1040" s="2" t="str">
        <f t="shared" si="83"/>
        <v>Very Long</v>
      </c>
      <c r="T1040" s="2" t="str">
        <f t="shared" si="84"/>
        <v>Major Delay</v>
      </c>
    </row>
    <row r="1041" spans="1:20" x14ac:dyDescent="0.35">
      <c r="A1041" s="2" t="s">
        <v>2265</v>
      </c>
      <c r="B1041" s="2" t="s">
        <v>16</v>
      </c>
      <c r="C1041" s="2" t="s">
        <v>2266</v>
      </c>
      <c r="D1041" s="2" t="s">
        <v>18</v>
      </c>
      <c r="E1041" s="2" t="s">
        <v>19</v>
      </c>
      <c r="F1041" s="2" t="s">
        <v>39</v>
      </c>
      <c r="G1041" s="2" t="s">
        <v>700</v>
      </c>
      <c r="H1041" s="3">
        <v>45480.798611111109</v>
      </c>
      <c r="I1041" s="3">
        <v>45480.839583333334</v>
      </c>
      <c r="J1041" s="2">
        <v>56</v>
      </c>
      <c r="K1041" s="2">
        <v>59</v>
      </c>
      <c r="L1041" s="2">
        <v>1</v>
      </c>
      <c r="M1041" s="2" t="s">
        <v>41</v>
      </c>
      <c r="N1041" s="2">
        <v>6</v>
      </c>
      <c r="O1041" s="2">
        <v>435.98</v>
      </c>
      <c r="P1041" s="2">
        <f t="shared" si="80"/>
        <v>3</v>
      </c>
      <c r="Q1041" s="4">
        <f t="shared" si="81"/>
        <v>0.94915254237288138</v>
      </c>
      <c r="R1041" s="2" t="str">
        <f t="shared" si="82"/>
        <v>Inefficient</v>
      </c>
      <c r="S1041" s="2" t="str">
        <f t="shared" si="83"/>
        <v>Medium</v>
      </c>
      <c r="T1041" s="2" t="str">
        <f t="shared" si="84"/>
        <v>Minor Delay</v>
      </c>
    </row>
    <row r="1042" spans="1:20" x14ac:dyDescent="0.35">
      <c r="A1042" s="2" t="s">
        <v>2267</v>
      </c>
      <c r="B1042" s="2" t="s">
        <v>51</v>
      </c>
      <c r="C1042" s="2" t="s">
        <v>2268</v>
      </c>
      <c r="D1042" s="2" t="s">
        <v>18</v>
      </c>
      <c r="E1042" s="2" t="s">
        <v>33</v>
      </c>
      <c r="F1042" s="2" t="s">
        <v>27</v>
      </c>
      <c r="G1042" s="2" t="s">
        <v>376</v>
      </c>
      <c r="H1042" s="3">
        <v>45635.631944444445</v>
      </c>
      <c r="I1042" s="3">
        <v>45635.837500000001</v>
      </c>
      <c r="J1042" s="2">
        <v>201</v>
      </c>
      <c r="K1042" s="2">
        <v>296</v>
      </c>
      <c r="L1042" s="2">
        <v>1</v>
      </c>
      <c r="M1042" s="2" t="s">
        <v>41</v>
      </c>
      <c r="N1042" s="2">
        <v>8</v>
      </c>
      <c r="O1042" s="2">
        <v>219.34</v>
      </c>
      <c r="P1042" s="2">
        <f t="shared" si="80"/>
        <v>95</v>
      </c>
      <c r="Q1042" s="4">
        <f t="shared" si="81"/>
        <v>0.67905405405405406</v>
      </c>
      <c r="R1042" s="2" t="str">
        <f t="shared" si="82"/>
        <v>Inefficient</v>
      </c>
      <c r="S1042" s="2" t="str">
        <f t="shared" si="83"/>
        <v>Very Long</v>
      </c>
      <c r="T1042" s="2" t="str">
        <f t="shared" si="84"/>
        <v>Major Delay</v>
      </c>
    </row>
    <row r="1043" spans="1:20" x14ac:dyDescent="0.35">
      <c r="A1043" s="2" t="s">
        <v>2269</v>
      </c>
      <c r="B1043" s="2" t="s">
        <v>16</v>
      </c>
      <c r="C1043" s="2" t="s">
        <v>2270</v>
      </c>
      <c r="D1043" s="2" t="s">
        <v>44</v>
      </c>
      <c r="E1043" s="2" t="s">
        <v>19</v>
      </c>
      <c r="F1043" s="2" t="s">
        <v>34</v>
      </c>
      <c r="G1043" s="2" t="s">
        <v>1730</v>
      </c>
      <c r="H1043" s="3">
        <v>45334.913888888892</v>
      </c>
      <c r="I1043" s="3">
        <v>45335.006944444445</v>
      </c>
      <c r="J1043" s="2">
        <v>39</v>
      </c>
      <c r="K1043" s="2">
        <v>134</v>
      </c>
      <c r="L1043" s="2">
        <v>1</v>
      </c>
      <c r="M1043" s="2" t="s">
        <v>29</v>
      </c>
      <c r="N1043" s="2">
        <v>7</v>
      </c>
      <c r="O1043" s="2">
        <v>455.48</v>
      </c>
      <c r="P1043" s="2">
        <f t="shared" si="80"/>
        <v>95</v>
      </c>
      <c r="Q1043" s="4">
        <f t="shared" si="81"/>
        <v>0.29104477611940299</v>
      </c>
      <c r="R1043" s="2" t="str">
        <f t="shared" si="82"/>
        <v>Inefficient</v>
      </c>
      <c r="S1043" s="2" t="str">
        <f t="shared" si="83"/>
        <v>Very Long</v>
      </c>
      <c r="T1043" s="2" t="str">
        <f t="shared" si="84"/>
        <v>Major Delay</v>
      </c>
    </row>
    <row r="1044" spans="1:20" x14ac:dyDescent="0.35">
      <c r="A1044" s="2" t="s">
        <v>2271</v>
      </c>
      <c r="B1044" s="2" t="s">
        <v>16</v>
      </c>
      <c r="C1044" s="2" t="s">
        <v>2272</v>
      </c>
      <c r="D1044" s="2" t="s">
        <v>44</v>
      </c>
      <c r="E1044" s="2" t="s">
        <v>38</v>
      </c>
      <c r="F1044" s="2" t="s">
        <v>27</v>
      </c>
      <c r="G1044" s="2" t="s">
        <v>371</v>
      </c>
      <c r="H1044" s="3">
        <v>45553.522916666669</v>
      </c>
      <c r="I1044" s="3">
        <v>45553.693055555559</v>
      </c>
      <c r="J1044" s="2">
        <v>230</v>
      </c>
      <c r="K1044" s="2">
        <v>245</v>
      </c>
      <c r="L1044" s="2">
        <v>1</v>
      </c>
      <c r="M1044" s="2" t="s">
        <v>22</v>
      </c>
      <c r="N1044" s="2">
        <v>8</v>
      </c>
      <c r="O1044" s="2">
        <v>116.81</v>
      </c>
      <c r="P1044" s="2">
        <f t="shared" si="80"/>
        <v>15</v>
      </c>
      <c r="Q1044" s="4">
        <f t="shared" si="81"/>
        <v>0.93877551020408168</v>
      </c>
      <c r="R1044" s="2" t="str">
        <f t="shared" si="82"/>
        <v>Inefficient</v>
      </c>
      <c r="S1044" s="2" t="str">
        <f t="shared" si="83"/>
        <v>Very Long</v>
      </c>
      <c r="T1044" s="2" t="str">
        <f t="shared" si="84"/>
        <v>Minor Delay</v>
      </c>
    </row>
    <row r="1045" spans="1:20" x14ac:dyDescent="0.35">
      <c r="A1045" s="2" t="s">
        <v>2273</v>
      </c>
      <c r="B1045" s="2" t="s">
        <v>51</v>
      </c>
      <c r="C1045" s="2" t="s">
        <v>2274</v>
      </c>
      <c r="D1045" s="2" t="s">
        <v>56</v>
      </c>
      <c r="E1045" s="2" t="s">
        <v>19</v>
      </c>
      <c r="F1045" s="2" t="s">
        <v>27</v>
      </c>
      <c r="G1045" s="2" t="s">
        <v>259</v>
      </c>
      <c r="H1045" s="3">
        <v>45505.678472222222</v>
      </c>
      <c r="I1045" s="3">
        <v>45505.711805555555</v>
      </c>
      <c r="J1045" s="2">
        <v>47</v>
      </c>
      <c r="K1045" s="2">
        <v>48</v>
      </c>
      <c r="L1045" s="2">
        <v>1</v>
      </c>
      <c r="M1045" s="2" t="s">
        <v>22</v>
      </c>
      <c r="N1045" s="2">
        <v>2</v>
      </c>
      <c r="O1045" s="2">
        <v>468.49</v>
      </c>
      <c r="P1045" s="2">
        <f t="shared" si="80"/>
        <v>1</v>
      </c>
      <c r="Q1045" s="4">
        <f t="shared" si="81"/>
        <v>0.97916666666666663</v>
      </c>
      <c r="R1045" s="2" t="str">
        <f t="shared" si="82"/>
        <v>Inefficient</v>
      </c>
      <c r="S1045" s="2" t="str">
        <f t="shared" si="83"/>
        <v>Medium</v>
      </c>
      <c r="T1045" s="2" t="str">
        <f t="shared" si="84"/>
        <v>Minor Delay</v>
      </c>
    </row>
    <row r="1046" spans="1:20" x14ac:dyDescent="0.35">
      <c r="A1046" s="2" t="s">
        <v>2275</v>
      </c>
      <c r="B1046" s="2" t="s">
        <v>51</v>
      </c>
      <c r="C1046" s="2" t="s">
        <v>2276</v>
      </c>
      <c r="D1046" s="2" t="s">
        <v>48</v>
      </c>
      <c r="E1046" s="2" t="s">
        <v>85</v>
      </c>
      <c r="F1046" s="2" t="s">
        <v>20</v>
      </c>
      <c r="G1046" s="2" t="s">
        <v>817</v>
      </c>
      <c r="H1046" s="3">
        <v>45421.259027777778</v>
      </c>
      <c r="I1046" s="3">
        <v>45421.344444444447</v>
      </c>
      <c r="J1046" s="2">
        <v>19</v>
      </c>
      <c r="K1046" s="2">
        <v>123</v>
      </c>
      <c r="L1046" s="2">
        <v>1</v>
      </c>
      <c r="M1046" s="2" t="s">
        <v>41</v>
      </c>
      <c r="N1046" s="2">
        <v>8</v>
      </c>
      <c r="O1046" s="2">
        <v>55.55</v>
      </c>
      <c r="P1046" s="2">
        <f t="shared" si="80"/>
        <v>104</v>
      </c>
      <c r="Q1046" s="4">
        <f t="shared" si="81"/>
        <v>0.15447154471544716</v>
      </c>
      <c r="R1046" s="2" t="str">
        <f t="shared" si="82"/>
        <v>Inefficient</v>
      </c>
      <c r="S1046" s="2" t="str">
        <f t="shared" si="83"/>
        <v>Very Long</v>
      </c>
      <c r="T1046" s="2" t="str">
        <f t="shared" si="84"/>
        <v>Major Delay</v>
      </c>
    </row>
    <row r="1047" spans="1:20" x14ac:dyDescent="0.35">
      <c r="A1047" s="2" t="s">
        <v>2277</v>
      </c>
      <c r="B1047" s="2" t="s">
        <v>63</v>
      </c>
      <c r="C1047" s="2" t="s">
        <v>2278</v>
      </c>
      <c r="D1047" s="2" t="s">
        <v>26</v>
      </c>
      <c r="E1047" s="2" t="s">
        <v>33</v>
      </c>
      <c r="F1047" s="2" t="s">
        <v>27</v>
      </c>
      <c r="G1047" s="2" t="s">
        <v>1622</v>
      </c>
      <c r="H1047" s="3">
        <v>45303.395833333336</v>
      </c>
      <c r="I1047" s="3">
        <v>45303.511111111111</v>
      </c>
      <c r="J1047" s="2">
        <v>93</v>
      </c>
      <c r="K1047" s="2">
        <v>166</v>
      </c>
      <c r="L1047" s="2">
        <v>1</v>
      </c>
      <c r="M1047" s="2" t="s">
        <v>29</v>
      </c>
      <c r="N1047" s="2">
        <v>9</v>
      </c>
      <c r="O1047" s="2">
        <v>436.25</v>
      </c>
      <c r="P1047" s="2">
        <f t="shared" si="80"/>
        <v>73</v>
      </c>
      <c r="Q1047" s="4">
        <f t="shared" si="81"/>
        <v>0.56024096385542166</v>
      </c>
      <c r="R1047" s="2" t="str">
        <f t="shared" si="82"/>
        <v>Inefficient</v>
      </c>
      <c r="S1047" s="2" t="str">
        <f t="shared" si="83"/>
        <v>Very Long</v>
      </c>
      <c r="T1047" s="2" t="str">
        <f t="shared" si="84"/>
        <v>Major Delay</v>
      </c>
    </row>
    <row r="1048" spans="1:20" x14ac:dyDescent="0.35">
      <c r="A1048" s="2" t="s">
        <v>2279</v>
      </c>
      <c r="B1048" s="2" t="s">
        <v>63</v>
      </c>
      <c r="C1048" s="2" t="s">
        <v>2280</v>
      </c>
      <c r="D1048" s="2" t="s">
        <v>26</v>
      </c>
      <c r="E1048" s="2" t="s">
        <v>33</v>
      </c>
      <c r="F1048" s="2" t="s">
        <v>57</v>
      </c>
      <c r="G1048" s="2" t="s">
        <v>456</v>
      </c>
      <c r="H1048" s="3">
        <v>45318.058333333334</v>
      </c>
      <c r="I1048" s="3">
        <v>45318.147222222222</v>
      </c>
      <c r="J1048" s="2">
        <v>83</v>
      </c>
      <c r="K1048" s="2">
        <v>128</v>
      </c>
      <c r="L1048" s="2">
        <v>1</v>
      </c>
      <c r="M1048" s="2" t="s">
        <v>41</v>
      </c>
      <c r="N1048" s="2">
        <v>8</v>
      </c>
      <c r="O1048" s="2">
        <v>445.17</v>
      </c>
      <c r="P1048" s="2">
        <f t="shared" si="80"/>
        <v>45</v>
      </c>
      <c r="Q1048" s="4">
        <f t="shared" si="81"/>
        <v>0.6484375</v>
      </c>
      <c r="R1048" s="2" t="str">
        <f t="shared" si="82"/>
        <v>Inefficient</v>
      </c>
      <c r="S1048" s="2" t="str">
        <f t="shared" si="83"/>
        <v>Very Long</v>
      </c>
      <c r="T1048" s="2" t="str">
        <f t="shared" si="84"/>
        <v>Major Delay</v>
      </c>
    </row>
    <row r="1049" spans="1:20" x14ac:dyDescent="0.35">
      <c r="A1049" s="2" t="s">
        <v>2281</v>
      </c>
      <c r="B1049" s="2" t="s">
        <v>16</v>
      </c>
      <c r="C1049" s="2" t="s">
        <v>2282</v>
      </c>
      <c r="D1049" s="2" t="s">
        <v>44</v>
      </c>
      <c r="E1049" s="2" t="s">
        <v>19</v>
      </c>
      <c r="F1049" s="2" t="s">
        <v>57</v>
      </c>
      <c r="G1049" s="2" t="s">
        <v>427</v>
      </c>
      <c r="H1049" s="3">
        <v>45337.90347222222</v>
      </c>
      <c r="I1049" s="3">
        <v>45338.068055555559</v>
      </c>
      <c r="J1049" s="2">
        <v>192</v>
      </c>
      <c r="K1049" s="2">
        <v>237</v>
      </c>
      <c r="L1049" s="2">
        <v>1</v>
      </c>
      <c r="M1049" s="2" t="s">
        <v>29</v>
      </c>
      <c r="N1049" s="2">
        <v>2</v>
      </c>
      <c r="O1049" s="2">
        <v>228.82</v>
      </c>
      <c r="P1049" s="2">
        <f t="shared" si="80"/>
        <v>45</v>
      </c>
      <c r="Q1049" s="4">
        <f t="shared" si="81"/>
        <v>0.810126582278481</v>
      </c>
      <c r="R1049" s="2" t="str">
        <f t="shared" si="82"/>
        <v>Inefficient</v>
      </c>
      <c r="S1049" s="2" t="str">
        <f t="shared" si="83"/>
        <v>Very Long</v>
      </c>
      <c r="T1049" s="2" t="str">
        <f t="shared" si="84"/>
        <v>Major Delay</v>
      </c>
    </row>
    <row r="1050" spans="1:20" x14ac:dyDescent="0.35">
      <c r="A1050" s="2" t="s">
        <v>2283</v>
      </c>
      <c r="B1050" s="2" t="s">
        <v>63</v>
      </c>
      <c r="C1050" s="2" t="s">
        <v>2284</v>
      </c>
      <c r="D1050" s="2" t="s">
        <v>56</v>
      </c>
      <c r="E1050" s="2" t="s">
        <v>38</v>
      </c>
      <c r="F1050" s="2" t="s">
        <v>57</v>
      </c>
      <c r="G1050" s="2" t="s">
        <v>897</v>
      </c>
      <c r="H1050" s="3">
        <v>45380.936111111114</v>
      </c>
      <c r="I1050" s="3">
        <v>45381.01458333333</v>
      </c>
      <c r="J1050" s="2">
        <v>57</v>
      </c>
      <c r="K1050" s="2">
        <v>113</v>
      </c>
      <c r="L1050" s="2">
        <v>1</v>
      </c>
      <c r="M1050" s="2" t="s">
        <v>29</v>
      </c>
      <c r="N1050" s="2">
        <v>6</v>
      </c>
      <c r="O1050" s="2">
        <v>65.489999999999995</v>
      </c>
      <c r="P1050" s="2">
        <f t="shared" si="80"/>
        <v>56</v>
      </c>
      <c r="Q1050" s="4">
        <f t="shared" si="81"/>
        <v>0.50442477876106195</v>
      </c>
      <c r="R1050" s="2" t="str">
        <f t="shared" si="82"/>
        <v>Inefficient</v>
      </c>
      <c r="S1050" s="2" t="str">
        <f t="shared" si="83"/>
        <v>Long</v>
      </c>
      <c r="T1050" s="2" t="str">
        <f t="shared" si="84"/>
        <v>Major Delay</v>
      </c>
    </row>
    <row r="1051" spans="1:20" x14ac:dyDescent="0.35">
      <c r="A1051" s="2" t="s">
        <v>2285</v>
      </c>
      <c r="B1051" s="2" t="s">
        <v>63</v>
      </c>
      <c r="C1051" s="2" t="s">
        <v>2286</v>
      </c>
      <c r="D1051" s="2" t="s">
        <v>26</v>
      </c>
      <c r="E1051" s="2" t="s">
        <v>33</v>
      </c>
      <c r="F1051" s="2" t="s">
        <v>34</v>
      </c>
      <c r="G1051" s="2" t="s">
        <v>343</v>
      </c>
      <c r="H1051" s="3">
        <v>45427.904861111114</v>
      </c>
      <c r="I1051" s="3">
        <v>45428.004166666666</v>
      </c>
      <c r="J1051" s="2">
        <v>66</v>
      </c>
      <c r="K1051" s="2">
        <v>143</v>
      </c>
      <c r="L1051" s="2">
        <v>1</v>
      </c>
      <c r="M1051" s="2" t="s">
        <v>41</v>
      </c>
      <c r="N1051" s="2">
        <v>7</v>
      </c>
      <c r="O1051" s="2">
        <v>410.6</v>
      </c>
      <c r="P1051" s="2">
        <f t="shared" si="80"/>
        <v>77</v>
      </c>
      <c r="Q1051" s="4">
        <f t="shared" si="81"/>
        <v>0.46153846153846156</v>
      </c>
      <c r="R1051" s="2" t="str">
        <f t="shared" si="82"/>
        <v>Inefficient</v>
      </c>
      <c r="S1051" s="2" t="str">
        <f t="shared" si="83"/>
        <v>Very Long</v>
      </c>
      <c r="T1051" s="2" t="str">
        <f t="shared" si="84"/>
        <v>Major Delay</v>
      </c>
    </row>
    <row r="1052" spans="1:20" x14ac:dyDescent="0.35">
      <c r="A1052" s="2" t="s">
        <v>2287</v>
      </c>
      <c r="B1052" s="2" t="s">
        <v>24</v>
      </c>
      <c r="C1052" s="2" t="s">
        <v>2288</v>
      </c>
      <c r="D1052" s="2" t="s">
        <v>48</v>
      </c>
      <c r="E1052" s="2" t="s">
        <v>85</v>
      </c>
      <c r="F1052" s="2" t="s">
        <v>39</v>
      </c>
      <c r="G1052" s="2" t="s">
        <v>155</v>
      </c>
      <c r="H1052" s="3">
        <v>45645.96597222222</v>
      </c>
      <c r="I1052" s="3">
        <v>45646.051388888889</v>
      </c>
      <c r="J1052" s="2">
        <v>13</v>
      </c>
      <c r="K1052" s="2">
        <v>123</v>
      </c>
      <c r="L1052" s="2">
        <v>1</v>
      </c>
      <c r="M1052" s="2" t="s">
        <v>22</v>
      </c>
      <c r="N1052" s="2">
        <v>10</v>
      </c>
      <c r="O1052" s="2">
        <v>97.78</v>
      </c>
      <c r="P1052" s="2">
        <f t="shared" si="80"/>
        <v>110</v>
      </c>
      <c r="Q1052" s="4">
        <f t="shared" si="81"/>
        <v>0.10569105691056911</v>
      </c>
      <c r="R1052" s="2" t="str">
        <f t="shared" si="82"/>
        <v>Inefficient</v>
      </c>
      <c r="S1052" s="2" t="str">
        <f t="shared" si="83"/>
        <v>Very Long</v>
      </c>
      <c r="T1052" s="2" t="str">
        <f t="shared" si="84"/>
        <v>Major Delay</v>
      </c>
    </row>
    <row r="1053" spans="1:20" x14ac:dyDescent="0.35">
      <c r="A1053" s="2" t="s">
        <v>2289</v>
      </c>
      <c r="B1053" s="2" t="s">
        <v>31</v>
      </c>
      <c r="C1053" s="2" t="s">
        <v>2290</v>
      </c>
      <c r="D1053" s="2" t="s">
        <v>26</v>
      </c>
      <c r="E1053" s="2" t="s">
        <v>38</v>
      </c>
      <c r="F1053" s="2" t="s">
        <v>27</v>
      </c>
      <c r="G1053" s="2" t="s">
        <v>853</v>
      </c>
      <c r="H1053" s="3">
        <v>45511.693749999999</v>
      </c>
      <c r="I1053" s="3">
        <v>45511.830555555556</v>
      </c>
      <c r="J1053" s="2">
        <v>196</v>
      </c>
      <c r="K1053" s="2">
        <v>197</v>
      </c>
      <c r="L1053" s="2">
        <v>1</v>
      </c>
      <c r="M1053" s="2" t="s">
        <v>29</v>
      </c>
      <c r="N1053" s="2">
        <v>2</v>
      </c>
      <c r="O1053" s="2">
        <v>474.94</v>
      </c>
      <c r="P1053" s="2">
        <f t="shared" si="80"/>
        <v>1</v>
      </c>
      <c r="Q1053" s="4">
        <f t="shared" si="81"/>
        <v>0.99492385786802029</v>
      </c>
      <c r="R1053" s="2" t="str">
        <f t="shared" si="82"/>
        <v>Inefficient</v>
      </c>
      <c r="S1053" s="2" t="str">
        <f t="shared" si="83"/>
        <v>Very Long</v>
      </c>
      <c r="T1053" s="2" t="str">
        <f t="shared" si="84"/>
        <v>Minor Delay</v>
      </c>
    </row>
    <row r="1054" spans="1:20" x14ac:dyDescent="0.35">
      <c r="A1054" s="2" t="s">
        <v>2291</v>
      </c>
      <c r="B1054" s="2" t="s">
        <v>31</v>
      </c>
      <c r="C1054" s="2" t="s">
        <v>2292</v>
      </c>
      <c r="D1054" s="2" t="s">
        <v>26</v>
      </c>
      <c r="E1054" s="2" t="s">
        <v>85</v>
      </c>
      <c r="F1054" s="2" t="s">
        <v>34</v>
      </c>
      <c r="G1054" s="2" t="s">
        <v>445</v>
      </c>
      <c r="H1054" s="3">
        <v>45437.970138888886</v>
      </c>
      <c r="I1054" s="3">
        <v>45438.064583333333</v>
      </c>
      <c r="J1054" s="2">
        <v>58</v>
      </c>
      <c r="K1054" s="2">
        <v>136</v>
      </c>
      <c r="L1054" s="2">
        <v>1</v>
      </c>
      <c r="M1054" s="2" t="s">
        <v>22</v>
      </c>
      <c r="N1054" s="2">
        <v>3</v>
      </c>
      <c r="O1054" s="2">
        <v>103.53</v>
      </c>
      <c r="P1054" s="2">
        <f t="shared" si="80"/>
        <v>78</v>
      </c>
      <c r="Q1054" s="4">
        <f t="shared" si="81"/>
        <v>0.4264705882352941</v>
      </c>
      <c r="R1054" s="2" t="str">
        <f t="shared" si="82"/>
        <v>Inefficient</v>
      </c>
      <c r="S1054" s="2" t="str">
        <f t="shared" si="83"/>
        <v>Very Long</v>
      </c>
      <c r="T1054" s="2" t="str">
        <f t="shared" si="84"/>
        <v>Major Delay</v>
      </c>
    </row>
    <row r="1055" spans="1:20" x14ac:dyDescent="0.35">
      <c r="A1055" s="2" t="s">
        <v>2293</v>
      </c>
      <c r="B1055" s="2" t="s">
        <v>51</v>
      </c>
      <c r="C1055" s="2" t="s">
        <v>2294</v>
      </c>
      <c r="D1055" s="2" t="s">
        <v>18</v>
      </c>
      <c r="E1055" s="2" t="s">
        <v>38</v>
      </c>
      <c r="F1055" s="2" t="s">
        <v>57</v>
      </c>
      <c r="G1055" s="2" t="s">
        <v>108</v>
      </c>
      <c r="H1055" s="3">
        <v>45637.106944444444</v>
      </c>
      <c r="I1055" s="3">
        <v>45637.238888888889</v>
      </c>
      <c r="J1055" s="2">
        <v>165</v>
      </c>
      <c r="K1055" s="2">
        <v>190</v>
      </c>
      <c r="L1055" s="2">
        <v>1</v>
      </c>
      <c r="M1055" s="2" t="s">
        <v>22</v>
      </c>
      <c r="N1055" s="2">
        <v>5</v>
      </c>
      <c r="O1055" s="2">
        <v>343.79</v>
      </c>
      <c r="P1055" s="2">
        <f t="shared" si="80"/>
        <v>25</v>
      </c>
      <c r="Q1055" s="4">
        <f t="shared" si="81"/>
        <v>0.86842105263157898</v>
      </c>
      <c r="R1055" s="2" t="str">
        <f t="shared" si="82"/>
        <v>Inefficient</v>
      </c>
      <c r="S1055" s="2" t="str">
        <f t="shared" si="83"/>
        <v>Very Long</v>
      </c>
      <c r="T1055" s="2" t="str">
        <f t="shared" si="84"/>
        <v>Minor Delay</v>
      </c>
    </row>
    <row r="1056" spans="1:20" x14ac:dyDescent="0.35">
      <c r="A1056" s="2" t="s">
        <v>2295</v>
      </c>
      <c r="B1056" s="2" t="s">
        <v>24</v>
      </c>
      <c r="C1056" s="2" t="s">
        <v>2296</v>
      </c>
      <c r="D1056" s="2" t="s">
        <v>56</v>
      </c>
      <c r="E1056" s="2" t="s">
        <v>38</v>
      </c>
      <c r="F1056" s="2" t="s">
        <v>39</v>
      </c>
      <c r="G1056" s="2" t="s">
        <v>1187</v>
      </c>
      <c r="H1056" s="3">
        <v>45395.956250000003</v>
      </c>
      <c r="I1056" s="3">
        <v>45396.043749999997</v>
      </c>
      <c r="J1056" s="2">
        <v>107</v>
      </c>
      <c r="K1056" s="2">
        <v>126</v>
      </c>
      <c r="L1056" s="2">
        <v>1</v>
      </c>
      <c r="M1056" s="2" t="s">
        <v>41</v>
      </c>
      <c r="N1056" s="2">
        <v>1</v>
      </c>
      <c r="O1056" s="2">
        <v>263.98</v>
      </c>
      <c r="P1056" s="2">
        <f t="shared" si="80"/>
        <v>19</v>
      </c>
      <c r="Q1056" s="4">
        <f t="shared" si="81"/>
        <v>0.84920634920634919</v>
      </c>
      <c r="R1056" s="2" t="str">
        <f t="shared" si="82"/>
        <v>Inefficient</v>
      </c>
      <c r="S1056" s="2" t="str">
        <f t="shared" si="83"/>
        <v>Very Long</v>
      </c>
      <c r="T1056" s="2" t="str">
        <f t="shared" si="84"/>
        <v>Minor Delay</v>
      </c>
    </row>
    <row r="1057" spans="1:20" x14ac:dyDescent="0.35">
      <c r="A1057" s="2" t="s">
        <v>2297</v>
      </c>
      <c r="B1057" s="2" t="s">
        <v>24</v>
      </c>
      <c r="C1057" s="2" t="s">
        <v>2298</v>
      </c>
      <c r="D1057" s="2" t="s">
        <v>26</v>
      </c>
      <c r="E1057" s="2" t="s">
        <v>19</v>
      </c>
      <c r="F1057" s="2" t="s">
        <v>34</v>
      </c>
      <c r="G1057" s="2" t="s">
        <v>1172</v>
      </c>
      <c r="H1057" s="3">
        <v>45436.64166666667</v>
      </c>
      <c r="I1057" s="3">
        <v>45436.823611111111</v>
      </c>
      <c r="J1057" s="2">
        <v>169</v>
      </c>
      <c r="K1057" s="2">
        <v>262</v>
      </c>
      <c r="L1057" s="2">
        <v>1</v>
      </c>
      <c r="M1057" s="2" t="s">
        <v>41</v>
      </c>
      <c r="N1057" s="2">
        <v>3</v>
      </c>
      <c r="O1057" s="2">
        <v>372.77</v>
      </c>
      <c r="P1057" s="2">
        <f t="shared" si="80"/>
        <v>93</v>
      </c>
      <c r="Q1057" s="4">
        <f t="shared" si="81"/>
        <v>0.64503816793893132</v>
      </c>
      <c r="R1057" s="2" t="str">
        <f t="shared" si="82"/>
        <v>Inefficient</v>
      </c>
      <c r="S1057" s="2" t="str">
        <f t="shared" si="83"/>
        <v>Very Long</v>
      </c>
      <c r="T1057" s="2" t="str">
        <f t="shared" si="84"/>
        <v>Major Delay</v>
      </c>
    </row>
    <row r="1058" spans="1:20" x14ac:dyDescent="0.35">
      <c r="A1058" s="2" t="s">
        <v>2299</v>
      </c>
      <c r="B1058" s="2" t="s">
        <v>51</v>
      </c>
      <c r="C1058" s="2" t="s">
        <v>2300</v>
      </c>
      <c r="D1058" s="2" t="s">
        <v>56</v>
      </c>
      <c r="E1058" s="2" t="s">
        <v>33</v>
      </c>
      <c r="F1058" s="2" t="s">
        <v>20</v>
      </c>
      <c r="G1058" s="2" t="s">
        <v>691</v>
      </c>
      <c r="H1058" s="3">
        <v>45479.77847222222</v>
      </c>
      <c r="I1058" s="3">
        <v>45479.856944444444</v>
      </c>
      <c r="J1058" s="2">
        <v>40</v>
      </c>
      <c r="K1058" s="2">
        <v>113</v>
      </c>
      <c r="L1058" s="2">
        <v>1</v>
      </c>
      <c r="M1058" s="2" t="s">
        <v>22</v>
      </c>
      <c r="N1058" s="2">
        <v>8</v>
      </c>
      <c r="O1058" s="2">
        <v>328.19</v>
      </c>
      <c r="P1058" s="2">
        <f t="shared" si="80"/>
        <v>73</v>
      </c>
      <c r="Q1058" s="4">
        <f t="shared" si="81"/>
        <v>0.35398230088495575</v>
      </c>
      <c r="R1058" s="2" t="str">
        <f t="shared" si="82"/>
        <v>Inefficient</v>
      </c>
      <c r="S1058" s="2" t="str">
        <f t="shared" si="83"/>
        <v>Long</v>
      </c>
      <c r="T1058" s="2" t="str">
        <f t="shared" si="84"/>
        <v>Major Delay</v>
      </c>
    </row>
    <row r="1059" spans="1:20" x14ac:dyDescent="0.35">
      <c r="A1059" s="2" t="s">
        <v>2301</v>
      </c>
      <c r="B1059" s="2" t="s">
        <v>16</v>
      </c>
      <c r="C1059" s="2" t="s">
        <v>2302</v>
      </c>
      <c r="D1059" s="2" t="s">
        <v>26</v>
      </c>
      <c r="E1059" s="2" t="s">
        <v>19</v>
      </c>
      <c r="F1059" s="2" t="s">
        <v>34</v>
      </c>
      <c r="G1059" s="2" t="s">
        <v>82</v>
      </c>
      <c r="H1059" s="3">
        <v>45419.521527777775</v>
      </c>
      <c r="I1059" s="3">
        <v>45419.712500000001</v>
      </c>
      <c r="J1059" s="2">
        <v>220</v>
      </c>
      <c r="K1059" s="2">
        <v>275</v>
      </c>
      <c r="L1059" s="2">
        <v>1</v>
      </c>
      <c r="M1059" s="2" t="s">
        <v>22</v>
      </c>
      <c r="N1059" s="2">
        <v>3</v>
      </c>
      <c r="O1059" s="2">
        <v>379.7</v>
      </c>
      <c r="P1059" s="2">
        <f t="shared" si="80"/>
        <v>55</v>
      </c>
      <c r="Q1059" s="4">
        <f t="shared" si="81"/>
        <v>0.8</v>
      </c>
      <c r="R1059" s="2" t="str">
        <f t="shared" si="82"/>
        <v>Inefficient</v>
      </c>
      <c r="S1059" s="2" t="str">
        <f t="shared" si="83"/>
        <v>Very Long</v>
      </c>
      <c r="T1059" s="2" t="str">
        <f t="shared" si="84"/>
        <v>Major Delay</v>
      </c>
    </row>
    <row r="1060" spans="1:20" x14ac:dyDescent="0.35">
      <c r="A1060" s="2" t="s">
        <v>2303</v>
      </c>
      <c r="B1060" s="2" t="s">
        <v>63</v>
      </c>
      <c r="C1060" s="2" t="s">
        <v>2304</v>
      </c>
      <c r="D1060" s="2" t="s">
        <v>48</v>
      </c>
      <c r="E1060" s="2" t="s">
        <v>38</v>
      </c>
      <c r="F1060" s="2" t="s">
        <v>39</v>
      </c>
      <c r="G1060" s="2" t="s">
        <v>94</v>
      </c>
      <c r="H1060" s="3">
        <v>45552.427083333336</v>
      </c>
      <c r="I1060" s="3">
        <v>45552.64166666667</v>
      </c>
      <c r="J1060" s="2">
        <v>226</v>
      </c>
      <c r="K1060" s="2">
        <v>309</v>
      </c>
      <c r="L1060" s="2">
        <v>1</v>
      </c>
      <c r="M1060" s="2" t="s">
        <v>29</v>
      </c>
      <c r="N1060" s="2">
        <v>3</v>
      </c>
      <c r="O1060" s="2">
        <v>127.26</v>
      </c>
      <c r="P1060" s="2">
        <f t="shared" si="80"/>
        <v>83</v>
      </c>
      <c r="Q1060" s="4">
        <f t="shared" si="81"/>
        <v>0.73139158576051777</v>
      </c>
      <c r="R1060" s="2" t="str">
        <f t="shared" si="82"/>
        <v>Inefficient</v>
      </c>
      <c r="S1060" s="2" t="str">
        <f t="shared" si="83"/>
        <v>Very Long</v>
      </c>
      <c r="T1060" s="2" t="str">
        <f t="shared" si="84"/>
        <v>Major Delay</v>
      </c>
    </row>
    <row r="1061" spans="1:20" x14ac:dyDescent="0.35">
      <c r="A1061" s="2" t="s">
        <v>2305</v>
      </c>
      <c r="B1061" s="2" t="s">
        <v>63</v>
      </c>
      <c r="C1061" s="2" t="s">
        <v>2306</v>
      </c>
      <c r="D1061" s="2" t="s">
        <v>18</v>
      </c>
      <c r="E1061" s="2" t="s">
        <v>19</v>
      </c>
      <c r="F1061" s="2" t="s">
        <v>39</v>
      </c>
      <c r="G1061" s="2" t="s">
        <v>49</v>
      </c>
      <c r="H1061" s="3">
        <v>45520.793055555558</v>
      </c>
      <c r="I1061" s="3">
        <v>45520.875694444447</v>
      </c>
      <c r="J1061" s="2">
        <v>44</v>
      </c>
      <c r="K1061" s="2">
        <v>119</v>
      </c>
      <c r="L1061" s="2">
        <v>1</v>
      </c>
      <c r="M1061" s="2" t="s">
        <v>41</v>
      </c>
      <c r="N1061" s="2">
        <v>2</v>
      </c>
      <c r="O1061" s="2">
        <v>59.85</v>
      </c>
      <c r="P1061" s="2">
        <f t="shared" si="80"/>
        <v>75</v>
      </c>
      <c r="Q1061" s="4">
        <f t="shared" si="81"/>
        <v>0.36974789915966388</v>
      </c>
      <c r="R1061" s="2" t="str">
        <f t="shared" si="82"/>
        <v>Inefficient</v>
      </c>
      <c r="S1061" s="2" t="str">
        <f t="shared" si="83"/>
        <v>Long</v>
      </c>
      <c r="T1061" s="2" t="str">
        <f t="shared" si="84"/>
        <v>Major Delay</v>
      </c>
    </row>
    <row r="1062" spans="1:20" x14ac:dyDescent="0.35">
      <c r="A1062" s="2" t="s">
        <v>2307</v>
      </c>
      <c r="B1062" s="2" t="s">
        <v>24</v>
      </c>
      <c r="C1062" s="2" t="s">
        <v>2308</v>
      </c>
      <c r="D1062" s="2" t="s">
        <v>26</v>
      </c>
      <c r="E1062" s="2" t="s">
        <v>19</v>
      </c>
      <c r="F1062" s="2" t="s">
        <v>34</v>
      </c>
      <c r="G1062" s="2" t="s">
        <v>65</v>
      </c>
      <c r="H1062" s="3">
        <v>45330.819444444445</v>
      </c>
      <c r="I1062" s="3">
        <v>45330.946527777778</v>
      </c>
      <c r="J1062" s="2">
        <v>103</v>
      </c>
      <c r="K1062" s="2">
        <v>183</v>
      </c>
      <c r="L1062" s="2">
        <v>1</v>
      </c>
      <c r="M1062" s="2" t="s">
        <v>29</v>
      </c>
      <c r="N1062" s="2">
        <v>7</v>
      </c>
      <c r="O1062" s="2">
        <v>342.76</v>
      </c>
      <c r="P1062" s="2">
        <f t="shared" si="80"/>
        <v>80</v>
      </c>
      <c r="Q1062" s="4">
        <f t="shared" si="81"/>
        <v>0.56284153005464477</v>
      </c>
      <c r="R1062" s="2" t="str">
        <f t="shared" si="82"/>
        <v>Inefficient</v>
      </c>
      <c r="S1062" s="2" t="str">
        <f t="shared" si="83"/>
        <v>Very Long</v>
      </c>
      <c r="T1062" s="2" t="str">
        <f t="shared" si="84"/>
        <v>Major Delay</v>
      </c>
    </row>
    <row r="1063" spans="1:20" x14ac:dyDescent="0.35">
      <c r="A1063" s="2" t="s">
        <v>2309</v>
      </c>
      <c r="B1063" s="2" t="s">
        <v>24</v>
      </c>
      <c r="C1063" s="2" t="s">
        <v>2310</v>
      </c>
      <c r="D1063" s="2" t="s">
        <v>26</v>
      </c>
      <c r="E1063" s="2" t="s">
        <v>38</v>
      </c>
      <c r="F1063" s="2" t="s">
        <v>20</v>
      </c>
      <c r="G1063" s="2" t="s">
        <v>526</v>
      </c>
      <c r="H1063" s="3">
        <v>45293.40902777778</v>
      </c>
      <c r="I1063" s="3">
        <v>45293.59375</v>
      </c>
      <c r="J1063" s="2">
        <v>215</v>
      </c>
      <c r="K1063" s="2">
        <v>266</v>
      </c>
      <c r="L1063" s="2">
        <v>1</v>
      </c>
      <c r="M1063" s="2" t="s">
        <v>22</v>
      </c>
      <c r="N1063" s="2">
        <v>10</v>
      </c>
      <c r="O1063" s="2">
        <v>131.49</v>
      </c>
      <c r="P1063" s="2">
        <f t="shared" si="80"/>
        <v>51</v>
      </c>
      <c r="Q1063" s="4">
        <f t="shared" si="81"/>
        <v>0.80827067669172936</v>
      </c>
      <c r="R1063" s="2" t="str">
        <f t="shared" si="82"/>
        <v>Inefficient</v>
      </c>
      <c r="S1063" s="2" t="str">
        <f t="shared" si="83"/>
        <v>Very Long</v>
      </c>
      <c r="T1063" s="2" t="str">
        <f t="shared" si="84"/>
        <v>Major Delay</v>
      </c>
    </row>
    <row r="1064" spans="1:20" x14ac:dyDescent="0.35">
      <c r="A1064" s="2" t="s">
        <v>2311</v>
      </c>
      <c r="B1064" s="2" t="s">
        <v>51</v>
      </c>
      <c r="C1064" s="2" t="s">
        <v>2312</v>
      </c>
      <c r="D1064" s="2" t="s">
        <v>26</v>
      </c>
      <c r="E1064" s="2" t="s">
        <v>38</v>
      </c>
      <c r="F1064" s="2" t="s">
        <v>34</v>
      </c>
      <c r="G1064" s="2" t="s">
        <v>615</v>
      </c>
      <c r="H1064" s="3">
        <v>45526.350694444445</v>
      </c>
      <c r="I1064" s="3">
        <v>45526.454861111109</v>
      </c>
      <c r="J1064" s="2">
        <v>59</v>
      </c>
      <c r="K1064" s="2">
        <v>150</v>
      </c>
      <c r="L1064" s="2">
        <v>1</v>
      </c>
      <c r="M1064" s="2" t="s">
        <v>22</v>
      </c>
      <c r="N1064" s="2">
        <v>6</v>
      </c>
      <c r="O1064" s="2">
        <v>339.99</v>
      </c>
      <c r="P1064" s="2">
        <f t="shared" si="80"/>
        <v>91</v>
      </c>
      <c r="Q1064" s="4">
        <f t="shared" si="81"/>
        <v>0.39333333333333331</v>
      </c>
      <c r="R1064" s="2" t="str">
        <f t="shared" si="82"/>
        <v>Inefficient</v>
      </c>
      <c r="S1064" s="2" t="str">
        <f t="shared" si="83"/>
        <v>Very Long</v>
      </c>
      <c r="T1064" s="2" t="str">
        <f t="shared" si="84"/>
        <v>Major Delay</v>
      </c>
    </row>
    <row r="1065" spans="1:20" x14ac:dyDescent="0.35">
      <c r="A1065" s="2" t="s">
        <v>2313</v>
      </c>
      <c r="B1065" s="2" t="s">
        <v>16</v>
      </c>
      <c r="C1065" s="2" t="s">
        <v>2314</v>
      </c>
      <c r="D1065" s="2" t="s">
        <v>56</v>
      </c>
      <c r="E1065" s="2" t="s">
        <v>38</v>
      </c>
      <c r="F1065" s="2" t="s">
        <v>20</v>
      </c>
      <c r="G1065" s="2" t="s">
        <v>191</v>
      </c>
      <c r="H1065" s="3">
        <v>45380.637499999997</v>
      </c>
      <c r="I1065" s="3">
        <v>45380.811805555553</v>
      </c>
      <c r="J1065" s="2">
        <v>134</v>
      </c>
      <c r="K1065" s="2">
        <v>251</v>
      </c>
      <c r="L1065" s="2">
        <v>1</v>
      </c>
      <c r="M1065" s="2" t="s">
        <v>22</v>
      </c>
      <c r="N1065" s="2">
        <v>7</v>
      </c>
      <c r="O1065" s="2">
        <v>139.75</v>
      </c>
      <c r="P1065" s="2">
        <f t="shared" si="80"/>
        <v>117</v>
      </c>
      <c r="Q1065" s="4">
        <f t="shared" si="81"/>
        <v>0.53386454183266929</v>
      </c>
      <c r="R1065" s="2" t="str">
        <f t="shared" si="82"/>
        <v>Inefficient</v>
      </c>
      <c r="S1065" s="2" t="str">
        <f t="shared" si="83"/>
        <v>Very Long</v>
      </c>
      <c r="T1065" s="2" t="str">
        <f t="shared" si="84"/>
        <v>Major Delay</v>
      </c>
    </row>
    <row r="1066" spans="1:20" x14ac:dyDescent="0.35">
      <c r="A1066" s="2" t="s">
        <v>2315</v>
      </c>
      <c r="B1066" s="2" t="s">
        <v>63</v>
      </c>
      <c r="C1066" s="2" t="s">
        <v>2316</v>
      </c>
      <c r="D1066" s="2" t="s">
        <v>56</v>
      </c>
      <c r="E1066" s="2" t="s">
        <v>19</v>
      </c>
      <c r="F1066" s="2" t="s">
        <v>57</v>
      </c>
      <c r="G1066" s="2" t="s">
        <v>485</v>
      </c>
      <c r="H1066" s="3">
        <v>45353.394444444442</v>
      </c>
      <c r="I1066" s="3">
        <v>45353.544444444444</v>
      </c>
      <c r="J1066" s="2">
        <v>172</v>
      </c>
      <c r="K1066" s="2">
        <v>216</v>
      </c>
      <c r="L1066" s="2">
        <v>1</v>
      </c>
      <c r="M1066" s="2" t="s">
        <v>41</v>
      </c>
      <c r="N1066" s="2">
        <v>2</v>
      </c>
      <c r="O1066" s="2">
        <v>271.5</v>
      </c>
      <c r="P1066" s="2">
        <f t="shared" si="80"/>
        <v>44</v>
      </c>
      <c r="Q1066" s="4">
        <f t="shared" si="81"/>
        <v>0.79629629629629628</v>
      </c>
      <c r="R1066" s="2" t="str">
        <f t="shared" si="82"/>
        <v>Inefficient</v>
      </c>
      <c r="S1066" s="2" t="str">
        <f t="shared" si="83"/>
        <v>Very Long</v>
      </c>
      <c r="T1066" s="2" t="str">
        <f t="shared" si="84"/>
        <v>Major Delay</v>
      </c>
    </row>
    <row r="1067" spans="1:20" x14ac:dyDescent="0.35">
      <c r="A1067" s="2" t="s">
        <v>2317</v>
      </c>
      <c r="B1067" s="2" t="s">
        <v>63</v>
      </c>
      <c r="C1067" s="2" t="s">
        <v>2318</v>
      </c>
      <c r="D1067" s="2" t="s">
        <v>26</v>
      </c>
      <c r="E1067" s="2" t="s">
        <v>38</v>
      </c>
      <c r="F1067" s="2" t="s">
        <v>57</v>
      </c>
      <c r="G1067" s="2" t="s">
        <v>330</v>
      </c>
      <c r="H1067" s="3">
        <v>45325.15347222222</v>
      </c>
      <c r="I1067" s="3">
        <v>45325.32916666667</v>
      </c>
      <c r="J1067" s="2">
        <v>158</v>
      </c>
      <c r="K1067" s="2">
        <v>253</v>
      </c>
      <c r="L1067" s="2">
        <v>1</v>
      </c>
      <c r="M1067" s="2" t="s">
        <v>41</v>
      </c>
      <c r="N1067" s="2">
        <v>3</v>
      </c>
      <c r="O1067" s="2">
        <v>416.25</v>
      </c>
      <c r="P1067" s="2">
        <f t="shared" si="80"/>
        <v>95</v>
      </c>
      <c r="Q1067" s="4">
        <f t="shared" si="81"/>
        <v>0.62450592885375489</v>
      </c>
      <c r="R1067" s="2" t="str">
        <f t="shared" si="82"/>
        <v>Inefficient</v>
      </c>
      <c r="S1067" s="2" t="str">
        <f t="shared" si="83"/>
        <v>Very Long</v>
      </c>
      <c r="T1067" s="2" t="str">
        <f t="shared" si="84"/>
        <v>Major Delay</v>
      </c>
    </row>
    <row r="1068" spans="1:20" x14ac:dyDescent="0.35">
      <c r="A1068" s="2" t="s">
        <v>2319</v>
      </c>
      <c r="B1068" s="2" t="s">
        <v>24</v>
      </c>
      <c r="C1068" s="2" t="s">
        <v>2320</v>
      </c>
      <c r="D1068" s="2" t="s">
        <v>18</v>
      </c>
      <c r="E1068" s="2" t="s">
        <v>33</v>
      </c>
      <c r="F1068" s="2" t="s">
        <v>57</v>
      </c>
      <c r="G1068" s="2" t="s">
        <v>388</v>
      </c>
      <c r="H1068" s="3">
        <v>45464.870138888888</v>
      </c>
      <c r="I1068" s="3">
        <v>45464.929166666669</v>
      </c>
      <c r="J1068" s="2">
        <v>13</v>
      </c>
      <c r="K1068" s="2">
        <v>85</v>
      </c>
      <c r="L1068" s="2">
        <v>1</v>
      </c>
      <c r="M1068" s="2" t="s">
        <v>29</v>
      </c>
      <c r="N1068" s="2">
        <v>3</v>
      </c>
      <c r="O1068" s="2">
        <v>198.93</v>
      </c>
      <c r="P1068" s="2">
        <f t="shared" si="80"/>
        <v>72</v>
      </c>
      <c r="Q1068" s="4">
        <f t="shared" si="81"/>
        <v>0.15294117647058825</v>
      </c>
      <c r="R1068" s="2" t="str">
        <f t="shared" si="82"/>
        <v>Inefficient</v>
      </c>
      <c r="S1068" s="2" t="str">
        <f t="shared" si="83"/>
        <v>Long</v>
      </c>
      <c r="T1068" s="2" t="str">
        <f t="shared" si="84"/>
        <v>Major Delay</v>
      </c>
    </row>
    <row r="1069" spans="1:20" x14ac:dyDescent="0.35">
      <c r="A1069" s="2" t="s">
        <v>2321</v>
      </c>
      <c r="B1069" s="2" t="s">
        <v>24</v>
      </c>
      <c r="C1069" s="2" t="s">
        <v>2322</v>
      </c>
      <c r="D1069" s="2" t="s">
        <v>26</v>
      </c>
      <c r="E1069" s="2" t="s">
        <v>19</v>
      </c>
      <c r="F1069" s="2" t="s">
        <v>27</v>
      </c>
      <c r="G1069" s="2" t="s">
        <v>459</v>
      </c>
      <c r="H1069" s="3">
        <v>45378.561805555553</v>
      </c>
      <c r="I1069" s="3">
        <v>45378.660416666666</v>
      </c>
      <c r="J1069" s="2">
        <v>44</v>
      </c>
      <c r="K1069" s="2">
        <v>142</v>
      </c>
      <c r="L1069" s="2">
        <v>1</v>
      </c>
      <c r="M1069" s="2" t="s">
        <v>29</v>
      </c>
      <c r="N1069" s="2">
        <v>6</v>
      </c>
      <c r="O1069" s="2">
        <v>69.819999999999993</v>
      </c>
      <c r="P1069" s="2">
        <f t="shared" si="80"/>
        <v>98</v>
      </c>
      <c r="Q1069" s="4">
        <f t="shared" si="81"/>
        <v>0.30985915492957744</v>
      </c>
      <c r="R1069" s="2" t="str">
        <f t="shared" si="82"/>
        <v>Inefficient</v>
      </c>
      <c r="S1069" s="2" t="str">
        <f t="shared" si="83"/>
        <v>Very Long</v>
      </c>
      <c r="T1069" s="2" t="str">
        <f t="shared" si="84"/>
        <v>Major Delay</v>
      </c>
    </row>
    <row r="1070" spans="1:20" x14ac:dyDescent="0.35">
      <c r="A1070" s="2" t="s">
        <v>2323</v>
      </c>
      <c r="B1070" s="2" t="s">
        <v>63</v>
      </c>
      <c r="C1070" s="2" t="s">
        <v>2324</v>
      </c>
      <c r="D1070" s="2" t="s">
        <v>56</v>
      </c>
      <c r="E1070" s="2" t="s">
        <v>38</v>
      </c>
      <c r="F1070" s="2" t="s">
        <v>57</v>
      </c>
      <c r="G1070" s="2" t="s">
        <v>140</v>
      </c>
      <c r="H1070" s="3">
        <v>45326.713194444441</v>
      </c>
      <c r="I1070" s="3">
        <v>45326.850694444445</v>
      </c>
      <c r="J1070" s="2">
        <v>154</v>
      </c>
      <c r="K1070" s="2">
        <v>198</v>
      </c>
      <c r="L1070" s="2">
        <v>1</v>
      </c>
      <c r="M1070" s="2" t="s">
        <v>41</v>
      </c>
      <c r="N1070" s="2">
        <v>1</v>
      </c>
      <c r="O1070" s="2">
        <v>456.94</v>
      </c>
      <c r="P1070" s="2">
        <f t="shared" si="80"/>
        <v>44</v>
      </c>
      <c r="Q1070" s="4">
        <f t="shared" si="81"/>
        <v>0.77777777777777779</v>
      </c>
      <c r="R1070" s="2" t="str">
        <f t="shared" si="82"/>
        <v>Inefficient</v>
      </c>
      <c r="S1070" s="2" t="str">
        <f t="shared" si="83"/>
        <v>Very Long</v>
      </c>
      <c r="T1070" s="2" t="str">
        <f t="shared" si="84"/>
        <v>Major Delay</v>
      </c>
    </row>
    <row r="1071" spans="1:20" x14ac:dyDescent="0.35">
      <c r="A1071" s="2" t="s">
        <v>2325</v>
      </c>
      <c r="B1071" s="2" t="s">
        <v>63</v>
      </c>
      <c r="C1071" s="2" t="s">
        <v>2326</v>
      </c>
      <c r="D1071" s="2" t="s">
        <v>26</v>
      </c>
      <c r="E1071" s="2" t="s">
        <v>85</v>
      </c>
      <c r="F1071" s="2" t="s">
        <v>27</v>
      </c>
      <c r="G1071" s="2" t="s">
        <v>65</v>
      </c>
      <c r="H1071" s="3">
        <v>45542.532638888886</v>
      </c>
      <c r="I1071" s="3">
        <v>45542.743750000001</v>
      </c>
      <c r="J1071" s="2">
        <v>221</v>
      </c>
      <c r="K1071" s="2">
        <v>304</v>
      </c>
      <c r="L1071" s="2">
        <v>1</v>
      </c>
      <c r="M1071" s="2" t="s">
        <v>22</v>
      </c>
      <c r="N1071" s="2">
        <v>1</v>
      </c>
      <c r="O1071" s="2">
        <v>237.29</v>
      </c>
      <c r="P1071" s="2">
        <f t="shared" si="80"/>
        <v>83</v>
      </c>
      <c r="Q1071" s="4">
        <f t="shared" si="81"/>
        <v>0.72697368421052633</v>
      </c>
      <c r="R1071" s="2" t="str">
        <f t="shared" si="82"/>
        <v>Inefficient</v>
      </c>
      <c r="S1071" s="2" t="str">
        <f t="shared" si="83"/>
        <v>Very Long</v>
      </c>
      <c r="T1071" s="2" t="str">
        <f t="shared" si="84"/>
        <v>Major Delay</v>
      </c>
    </row>
    <row r="1072" spans="1:20" x14ac:dyDescent="0.35">
      <c r="A1072" s="2" t="s">
        <v>2327</v>
      </c>
      <c r="B1072" s="2" t="s">
        <v>16</v>
      </c>
      <c r="C1072" s="2" t="s">
        <v>2328</v>
      </c>
      <c r="D1072" s="2" t="s">
        <v>48</v>
      </c>
      <c r="E1072" s="2" t="s">
        <v>33</v>
      </c>
      <c r="F1072" s="2" t="s">
        <v>20</v>
      </c>
      <c r="G1072" s="2" t="s">
        <v>546</v>
      </c>
      <c r="H1072" s="3">
        <v>45623.62222222222</v>
      </c>
      <c r="I1072" s="3">
        <v>45623.798611111109</v>
      </c>
      <c r="J1072" s="2">
        <v>205</v>
      </c>
      <c r="K1072" s="2">
        <v>254</v>
      </c>
      <c r="L1072" s="2">
        <v>1</v>
      </c>
      <c r="M1072" s="2" t="s">
        <v>29</v>
      </c>
      <c r="N1072" s="2">
        <v>7</v>
      </c>
      <c r="O1072" s="2">
        <v>415.2</v>
      </c>
      <c r="P1072" s="2">
        <f t="shared" si="80"/>
        <v>49</v>
      </c>
      <c r="Q1072" s="4">
        <f t="shared" si="81"/>
        <v>0.80708661417322836</v>
      </c>
      <c r="R1072" s="2" t="str">
        <f t="shared" si="82"/>
        <v>Inefficient</v>
      </c>
      <c r="S1072" s="2" t="str">
        <f t="shared" si="83"/>
        <v>Very Long</v>
      </c>
      <c r="T1072" s="2" t="str">
        <f t="shared" si="84"/>
        <v>Major Delay</v>
      </c>
    </row>
    <row r="1073" spans="1:20" x14ac:dyDescent="0.35">
      <c r="A1073" s="2" t="s">
        <v>2329</v>
      </c>
      <c r="B1073" s="2" t="s">
        <v>16</v>
      </c>
      <c r="C1073" s="2" t="s">
        <v>2330</v>
      </c>
      <c r="D1073" s="2" t="s">
        <v>26</v>
      </c>
      <c r="E1073" s="2" t="s">
        <v>85</v>
      </c>
      <c r="F1073" s="2" t="s">
        <v>34</v>
      </c>
      <c r="G1073" s="2" t="s">
        <v>316</v>
      </c>
      <c r="H1073" s="3">
        <v>45411.543749999997</v>
      </c>
      <c r="I1073" s="3">
        <v>45411.728472222225</v>
      </c>
      <c r="J1073" s="2">
        <v>161</v>
      </c>
      <c r="K1073" s="2">
        <v>266</v>
      </c>
      <c r="L1073" s="2">
        <v>1</v>
      </c>
      <c r="M1073" s="2" t="s">
        <v>41</v>
      </c>
      <c r="N1073" s="2">
        <v>2</v>
      </c>
      <c r="O1073" s="2">
        <v>89.67</v>
      </c>
      <c r="P1073" s="2">
        <f t="shared" si="80"/>
        <v>105</v>
      </c>
      <c r="Q1073" s="4">
        <f t="shared" si="81"/>
        <v>0.60526315789473684</v>
      </c>
      <c r="R1073" s="2" t="str">
        <f t="shared" si="82"/>
        <v>Inefficient</v>
      </c>
      <c r="S1073" s="2" t="str">
        <f t="shared" si="83"/>
        <v>Very Long</v>
      </c>
      <c r="T1073" s="2" t="str">
        <f t="shared" si="84"/>
        <v>Major Delay</v>
      </c>
    </row>
    <row r="1074" spans="1:20" x14ac:dyDescent="0.35">
      <c r="A1074" s="2" t="s">
        <v>2331</v>
      </c>
      <c r="B1074" s="2" t="s">
        <v>24</v>
      </c>
      <c r="C1074" s="2" t="s">
        <v>2332</v>
      </c>
      <c r="D1074" s="2" t="s">
        <v>26</v>
      </c>
      <c r="E1074" s="2" t="s">
        <v>33</v>
      </c>
      <c r="F1074" s="2" t="s">
        <v>57</v>
      </c>
      <c r="G1074" s="2" t="s">
        <v>402</v>
      </c>
      <c r="H1074" s="3">
        <v>45366.684027777781</v>
      </c>
      <c r="I1074" s="3">
        <v>45366.79791666667</v>
      </c>
      <c r="J1074" s="2">
        <v>130</v>
      </c>
      <c r="K1074" s="2">
        <v>164</v>
      </c>
      <c r="L1074" s="2">
        <v>1</v>
      </c>
      <c r="M1074" s="2" t="s">
        <v>22</v>
      </c>
      <c r="N1074" s="2">
        <v>8</v>
      </c>
      <c r="O1074" s="2">
        <v>129.58000000000001</v>
      </c>
      <c r="P1074" s="2">
        <f t="shared" si="80"/>
        <v>34</v>
      </c>
      <c r="Q1074" s="4">
        <f t="shared" si="81"/>
        <v>0.79268292682926833</v>
      </c>
      <c r="R1074" s="2" t="str">
        <f t="shared" si="82"/>
        <v>Inefficient</v>
      </c>
      <c r="S1074" s="2" t="str">
        <f t="shared" si="83"/>
        <v>Very Long</v>
      </c>
      <c r="T1074" s="2" t="str">
        <f t="shared" si="84"/>
        <v>Major Delay</v>
      </c>
    </row>
    <row r="1075" spans="1:20" x14ac:dyDescent="0.35">
      <c r="A1075" s="2" t="s">
        <v>2333</v>
      </c>
      <c r="B1075" s="2" t="s">
        <v>16</v>
      </c>
      <c r="C1075" s="2" t="s">
        <v>2334</v>
      </c>
      <c r="D1075" s="2" t="s">
        <v>56</v>
      </c>
      <c r="E1075" s="2" t="s">
        <v>19</v>
      </c>
      <c r="F1075" s="2" t="s">
        <v>39</v>
      </c>
      <c r="G1075" s="2" t="s">
        <v>1172</v>
      </c>
      <c r="H1075" s="3">
        <v>45373.525000000001</v>
      </c>
      <c r="I1075" s="3">
        <v>45373.597222222219</v>
      </c>
      <c r="J1075" s="2">
        <v>90</v>
      </c>
      <c r="K1075" s="2">
        <v>104</v>
      </c>
      <c r="L1075" s="2">
        <v>1</v>
      </c>
      <c r="M1075" s="2" t="s">
        <v>29</v>
      </c>
      <c r="N1075" s="2">
        <v>9</v>
      </c>
      <c r="O1075" s="2">
        <v>182.5</v>
      </c>
      <c r="P1075" s="2">
        <f t="shared" si="80"/>
        <v>14</v>
      </c>
      <c r="Q1075" s="4">
        <f t="shared" si="81"/>
        <v>0.86538461538461542</v>
      </c>
      <c r="R1075" s="2" t="str">
        <f t="shared" si="82"/>
        <v>Inefficient</v>
      </c>
      <c r="S1075" s="2" t="str">
        <f t="shared" si="83"/>
        <v>Long</v>
      </c>
      <c r="T1075" s="2" t="str">
        <f t="shared" si="84"/>
        <v>Minor Delay</v>
      </c>
    </row>
    <row r="1076" spans="1:20" x14ac:dyDescent="0.35">
      <c r="A1076" s="2" t="s">
        <v>2335</v>
      </c>
      <c r="B1076" s="2" t="s">
        <v>63</v>
      </c>
      <c r="C1076" s="2" t="s">
        <v>2336</v>
      </c>
      <c r="D1076" s="2" t="s">
        <v>18</v>
      </c>
      <c r="E1076" s="2" t="s">
        <v>38</v>
      </c>
      <c r="F1076" s="2" t="s">
        <v>34</v>
      </c>
      <c r="G1076" s="2" t="s">
        <v>265</v>
      </c>
      <c r="H1076" s="3">
        <v>45491.413888888892</v>
      </c>
      <c r="I1076" s="3">
        <v>45491.613194444442</v>
      </c>
      <c r="J1076" s="2">
        <v>180</v>
      </c>
      <c r="K1076" s="2">
        <v>287</v>
      </c>
      <c r="L1076" s="2">
        <v>1</v>
      </c>
      <c r="M1076" s="2" t="s">
        <v>29</v>
      </c>
      <c r="N1076" s="2">
        <v>8</v>
      </c>
      <c r="O1076" s="2">
        <v>312.08</v>
      </c>
      <c r="P1076" s="2">
        <f t="shared" si="80"/>
        <v>107</v>
      </c>
      <c r="Q1076" s="4">
        <f t="shared" si="81"/>
        <v>0.62717770034843201</v>
      </c>
      <c r="R1076" s="2" t="str">
        <f t="shared" si="82"/>
        <v>Inefficient</v>
      </c>
      <c r="S1076" s="2" t="str">
        <f t="shared" si="83"/>
        <v>Very Long</v>
      </c>
      <c r="T1076" s="2" t="str">
        <f t="shared" si="84"/>
        <v>Major Delay</v>
      </c>
    </row>
    <row r="1077" spans="1:20" x14ac:dyDescent="0.35">
      <c r="A1077" s="2" t="s">
        <v>2337</v>
      </c>
      <c r="B1077" s="2" t="s">
        <v>63</v>
      </c>
      <c r="C1077" s="2" t="s">
        <v>2338</v>
      </c>
      <c r="D1077" s="2" t="s">
        <v>44</v>
      </c>
      <c r="E1077" s="2" t="s">
        <v>38</v>
      </c>
      <c r="F1077" s="2" t="s">
        <v>27</v>
      </c>
      <c r="G1077" s="2" t="s">
        <v>231</v>
      </c>
      <c r="H1077" s="3">
        <v>45507.734722222223</v>
      </c>
      <c r="I1077" s="3">
        <v>45507.90902777778</v>
      </c>
      <c r="J1077" s="2">
        <v>144</v>
      </c>
      <c r="K1077" s="2">
        <v>251</v>
      </c>
      <c r="L1077" s="2">
        <v>1</v>
      </c>
      <c r="M1077" s="2" t="s">
        <v>41</v>
      </c>
      <c r="N1077" s="2">
        <v>3</v>
      </c>
      <c r="O1077" s="2">
        <v>190.98</v>
      </c>
      <c r="P1077" s="2">
        <f t="shared" si="80"/>
        <v>107</v>
      </c>
      <c r="Q1077" s="4">
        <f t="shared" si="81"/>
        <v>0.57370517928286857</v>
      </c>
      <c r="R1077" s="2" t="str">
        <f t="shared" si="82"/>
        <v>Inefficient</v>
      </c>
      <c r="S1077" s="2" t="str">
        <f t="shared" si="83"/>
        <v>Very Long</v>
      </c>
      <c r="T1077" s="2" t="str">
        <f t="shared" si="84"/>
        <v>Major Delay</v>
      </c>
    </row>
    <row r="1078" spans="1:20" x14ac:dyDescent="0.35">
      <c r="A1078" s="2" t="s">
        <v>2339</v>
      </c>
      <c r="B1078" s="2" t="s">
        <v>51</v>
      </c>
      <c r="C1078" s="2" t="s">
        <v>2340</v>
      </c>
      <c r="D1078" s="2" t="s">
        <v>48</v>
      </c>
      <c r="E1078" s="2" t="s">
        <v>85</v>
      </c>
      <c r="F1078" s="2" t="s">
        <v>57</v>
      </c>
      <c r="G1078" s="2" t="s">
        <v>316</v>
      </c>
      <c r="H1078" s="3">
        <v>45354.00277777778</v>
      </c>
      <c r="I1078" s="3">
        <v>45354.213888888888</v>
      </c>
      <c r="J1078" s="2">
        <v>219</v>
      </c>
      <c r="K1078" s="2">
        <v>304</v>
      </c>
      <c r="L1078" s="2">
        <v>1</v>
      </c>
      <c r="M1078" s="2" t="s">
        <v>41</v>
      </c>
      <c r="N1078" s="2">
        <v>6</v>
      </c>
      <c r="O1078" s="2">
        <v>448.47</v>
      </c>
      <c r="P1078" s="2">
        <f t="shared" si="80"/>
        <v>85</v>
      </c>
      <c r="Q1078" s="4">
        <f t="shared" si="81"/>
        <v>0.72039473684210531</v>
      </c>
      <c r="R1078" s="2" t="str">
        <f t="shared" si="82"/>
        <v>Inefficient</v>
      </c>
      <c r="S1078" s="2" t="str">
        <f t="shared" si="83"/>
        <v>Very Long</v>
      </c>
      <c r="T1078" s="2" t="str">
        <f t="shared" si="84"/>
        <v>Major Delay</v>
      </c>
    </row>
    <row r="1079" spans="1:20" x14ac:dyDescent="0.35">
      <c r="A1079" s="2" t="s">
        <v>2341</v>
      </c>
      <c r="B1079" s="2" t="s">
        <v>24</v>
      </c>
      <c r="C1079" s="2" t="s">
        <v>2342</v>
      </c>
      <c r="D1079" s="2" t="s">
        <v>44</v>
      </c>
      <c r="E1079" s="2" t="s">
        <v>33</v>
      </c>
      <c r="F1079" s="2" t="s">
        <v>34</v>
      </c>
      <c r="G1079" s="2" t="s">
        <v>691</v>
      </c>
      <c r="H1079" s="3">
        <v>45461.250694444447</v>
      </c>
      <c r="I1079" s="3">
        <v>45461.376388888886</v>
      </c>
      <c r="J1079" s="2">
        <v>139</v>
      </c>
      <c r="K1079" s="2">
        <v>181</v>
      </c>
      <c r="L1079" s="2">
        <v>1</v>
      </c>
      <c r="M1079" s="2" t="s">
        <v>29</v>
      </c>
      <c r="N1079" s="2">
        <v>2</v>
      </c>
      <c r="O1079" s="2">
        <v>139.28</v>
      </c>
      <c r="P1079" s="2">
        <f t="shared" si="80"/>
        <v>42</v>
      </c>
      <c r="Q1079" s="4">
        <f t="shared" si="81"/>
        <v>0.76795580110497241</v>
      </c>
      <c r="R1079" s="2" t="str">
        <f t="shared" si="82"/>
        <v>Inefficient</v>
      </c>
      <c r="S1079" s="2" t="str">
        <f t="shared" si="83"/>
        <v>Very Long</v>
      </c>
      <c r="T1079" s="2" t="str">
        <f t="shared" si="84"/>
        <v>Major Delay</v>
      </c>
    </row>
    <row r="1080" spans="1:20" x14ac:dyDescent="0.35">
      <c r="A1080" s="2" t="s">
        <v>2343</v>
      </c>
      <c r="B1080" s="2" t="s">
        <v>63</v>
      </c>
      <c r="C1080" s="2" t="s">
        <v>2344</v>
      </c>
      <c r="D1080" s="2" t="s">
        <v>44</v>
      </c>
      <c r="E1080" s="2" t="s">
        <v>85</v>
      </c>
      <c r="F1080" s="2" t="s">
        <v>39</v>
      </c>
      <c r="G1080" s="2" t="s">
        <v>254</v>
      </c>
      <c r="H1080" s="3">
        <v>45492.617361111108</v>
      </c>
      <c r="I1080" s="3">
        <v>45492.781944444447</v>
      </c>
      <c r="J1080" s="2">
        <v>135</v>
      </c>
      <c r="K1080" s="2">
        <v>237</v>
      </c>
      <c r="L1080" s="2">
        <v>1</v>
      </c>
      <c r="M1080" s="2" t="s">
        <v>41</v>
      </c>
      <c r="N1080" s="2">
        <v>2</v>
      </c>
      <c r="O1080" s="2">
        <v>208.25</v>
      </c>
      <c r="P1080" s="2">
        <f t="shared" si="80"/>
        <v>102</v>
      </c>
      <c r="Q1080" s="4">
        <f t="shared" si="81"/>
        <v>0.569620253164557</v>
      </c>
      <c r="R1080" s="2" t="str">
        <f t="shared" si="82"/>
        <v>Inefficient</v>
      </c>
      <c r="S1080" s="2" t="str">
        <f t="shared" si="83"/>
        <v>Very Long</v>
      </c>
      <c r="T1080" s="2" t="str">
        <f t="shared" si="84"/>
        <v>Major Delay</v>
      </c>
    </row>
    <row r="1081" spans="1:20" x14ac:dyDescent="0.35">
      <c r="A1081" s="2" t="s">
        <v>2345</v>
      </c>
      <c r="B1081" s="2" t="s">
        <v>63</v>
      </c>
      <c r="C1081" s="2" t="s">
        <v>2346</v>
      </c>
      <c r="D1081" s="2" t="s">
        <v>26</v>
      </c>
      <c r="E1081" s="2" t="s">
        <v>19</v>
      </c>
      <c r="F1081" s="2" t="s">
        <v>39</v>
      </c>
      <c r="G1081" s="2" t="s">
        <v>1125</v>
      </c>
      <c r="H1081" s="3">
        <v>45656.240277777775</v>
      </c>
      <c r="I1081" s="3">
        <v>45656.359027777777</v>
      </c>
      <c r="J1081" s="2">
        <v>61</v>
      </c>
      <c r="K1081" s="2">
        <v>171</v>
      </c>
      <c r="L1081" s="2">
        <v>1</v>
      </c>
      <c r="M1081" s="2" t="s">
        <v>22</v>
      </c>
      <c r="N1081" s="2">
        <v>2</v>
      </c>
      <c r="O1081" s="2">
        <v>488.68</v>
      </c>
      <c r="P1081" s="2">
        <f t="shared" si="80"/>
        <v>110</v>
      </c>
      <c r="Q1081" s="4">
        <f t="shared" si="81"/>
        <v>0.35672514619883039</v>
      </c>
      <c r="R1081" s="2" t="str">
        <f t="shared" si="82"/>
        <v>Inefficient</v>
      </c>
      <c r="S1081" s="2" t="str">
        <f t="shared" si="83"/>
        <v>Very Long</v>
      </c>
      <c r="T1081" s="2" t="str">
        <f t="shared" si="84"/>
        <v>Major Delay</v>
      </c>
    </row>
    <row r="1082" spans="1:20" x14ac:dyDescent="0.35">
      <c r="A1082" s="2" t="s">
        <v>2347</v>
      </c>
      <c r="B1082" s="2" t="s">
        <v>24</v>
      </c>
      <c r="C1082" s="2" t="s">
        <v>2348</v>
      </c>
      <c r="D1082" s="2" t="s">
        <v>48</v>
      </c>
      <c r="E1082" s="2" t="s">
        <v>19</v>
      </c>
      <c r="F1082" s="2" t="s">
        <v>20</v>
      </c>
      <c r="G1082" s="2" t="s">
        <v>237</v>
      </c>
      <c r="H1082" s="3">
        <v>45416.065972222219</v>
      </c>
      <c r="I1082" s="3">
        <v>45416.195833333331</v>
      </c>
      <c r="J1082" s="2">
        <v>84</v>
      </c>
      <c r="K1082" s="2">
        <v>187</v>
      </c>
      <c r="L1082" s="2">
        <v>1</v>
      </c>
      <c r="M1082" s="2" t="s">
        <v>41</v>
      </c>
      <c r="N1082" s="2">
        <v>1</v>
      </c>
      <c r="O1082" s="2">
        <v>182.23</v>
      </c>
      <c r="P1082" s="2">
        <f t="shared" si="80"/>
        <v>103</v>
      </c>
      <c r="Q1082" s="4">
        <f t="shared" si="81"/>
        <v>0.44919786096256686</v>
      </c>
      <c r="R1082" s="2" t="str">
        <f t="shared" si="82"/>
        <v>Inefficient</v>
      </c>
      <c r="S1082" s="2" t="str">
        <f t="shared" si="83"/>
        <v>Very Long</v>
      </c>
      <c r="T1082" s="2" t="str">
        <f t="shared" si="84"/>
        <v>Major Delay</v>
      </c>
    </row>
    <row r="1083" spans="1:20" x14ac:dyDescent="0.35">
      <c r="A1083" s="2" t="s">
        <v>2349</v>
      </c>
      <c r="B1083" s="2" t="s">
        <v>24</v>
      </c>
      <c r="C1083" s="2" t="s">
        <v>2350</v>
      </c>
      <c r="D1083" s="2" t="s">
        <v>44</v>
      </c>
      <c r="E1083" s="2" t="s">
        <v>38</v>
      </c>
      <c r="F1083" s="2" t="s">
        <v>20</v>
      </c>
      <c r="G1083" s="2" t="s">
        <v>111</v>
      </c>
      <c r="H1083" s="3">
        <v>45386.456944444442</v>
      </c>
      <c r="I1083" s="3">
        <v>45386.556944444441</v>
      </c>
      <c r="J1083" s="2">
        <v>24</v>
      </c>
      <c r="K1083" s="2">
        <v>144</v>
      </c>
      <c r="L1083" s="2">
        <v>1</v>
      </c>
      <c r="M1083" s="2" t="s">
        <v>29</v>
      </c>
      <c r="N1083" s="2">
        <v>1</v>
      </c>
      <c r="O1083" s="2">
        <v>321.33</v>
      </c>
      <c r="P1083" s="2">
        <f t="shared" si="80"/>
        <v>120</v>
      </c>
      <c r="Q1083" s="4">
        <f t="shared" si="81"/>
        <v>0.16666666666666666</v>
      </c>
      <c r="R1083" s="2" t="str">
        <f t="shared" si="82"/>
        <v>Inefficient</v>
      </c>
      <c r="S1083" s="2" t="str">
        <f t="shared" si="83"/>
        <v>Very Long</v>
      </c>
      <c r="T1083" s="2" t="str">
        <f t="shared" si="84"/>
        <v>Major Delay</v>
      </c>
    </row>
    <row r="1084" spans="1:20" x14ac:dyDescent="0.35">
      <c r="A1084" s="2" t="s">
        <v>2351</v>
      </c>
      <c r="B1084" s="2" t="s">
        <v>24</v>
      </c>
      <c r="C1084" s="2" t="s">
        <v>2352</v>
      </c>
      <c r="D1084" s="2" t="s">
        <v>44</v>
      </c>
      <c r="E1084" s="2" t="s">
        <v>33</v>
      </c>
      <c r="F1084" s="2" t="s">
        <v>34</v>
      </c>
      <c r="G1084" s="2" t="s">
        <v>402</v>
      </c>
      <c r="H1084" s="3">
        <v>45493.120138888888</v>
      </c>
      <c r="I1084" s="3">
        <v>45493.183333333334</v>
      </c>
      <c r="J1084" s="2">
        <v>71</v>
      </c>
      <c r="K1084" s="2">
        <v>91</v>
      </c>
      <c r="L1084" s="2">
        <v>1</v>
      </c>
      <c r="M1084" s="2" t="s">
        <v>41</v>
      </c>
      <c r="N1084" s="2">
        <v>5</v>
      </c>
      <c r="O1084" s="2">
        <v>55.91</v>
      </c>
      <c r="P1084" s="2">
        <f t="shared" si="80"/>
        <v>20</v>
      </c>
      <c r="Q1084" s="4">
        <f t="shared" si="81"/>
        <v>0.78021978021978022</v>
      </c>
      <c r="R1084" s="2" t="str">
        <f t="shared" si="82"/>
        <v>Inefficient</v>
      </c>
      <c r="S1084" s="2" t="str">
        <f t="shared" si="83"/>
        <v>Long</v>
      </c>
      <c r="T1084" s="2" t="str">
        <f t="shared" si="84"/>
        <v>Minor Delay</v>
      </c>
    </row>
    <row r="1085" spans="1:20" x14ac:dyDescent="0.35">
      <c r="A1085" s="2" t="s">
        <v>2353</v>
      </c>
      <c r="B1085" s="2" t="s">
        <v>51</v>
      </c>
      <c r="C1085" s="2" t="s">
        <v>2354</v>
      </c>
      <c r="D1085" s="2" t="s">
        <v>26</v>
      </c>
      <c r="E1085" s="2" t="s">
        <v>33</v>
      </c>
      <c r="F1085" s="2" t="s">
        <v>57</v>
      </c>
      <c r="G1085" s="2" t="s">
        <v>259</v>
      </c>
      <c r="H1085" s="3">
        <v>45585.426388888889</v>
      </c>
      <c r="I1085" s="3">
        <v>45585.565972222219</v>
      </c>
      <c r="J1085" s="2">
        <v>172</v>
      </c>
      <c r="K1085" s="2">
        <v>201</v>
      </c>
      <c r="L1085" s="2">
        <v>1</v>
      </c>
      <c r="M1085" s="2" t="s">
        <v>41</v>
      </c>
      <c r="N1085" s="2">
        <v>4</v>
      </c>
      <c r="O1085" s="2">
        <v>462.59</v>
      </c>
      <c r="P1085" s="2">
        <f t="shared" si="80"/>
        <v>29</v>
      </c>
      <c r="Q1085" s="4">
        <f t="shared" si="81"/>
        <v>0.85572139303482586</v>
      </c>
      <c r="R1085" s="2" t="str">
        <f t="shared" si="82"/>
        <v>Inefficient</v>
      </c>
      <c r="S1085" s="2" t="str">
        <f t="shared" si="83"/>
        <v>Very Long</v>
      </c>
      <c r="T1085" s="2" t="str">
        <f t="shared" si="84"/>
        <v>Minor Delay</v>
      </c>
    </row>
    <row r="1086" spans="1:20" x14ac:dyDescent="0.35">
      <c r="A1086" s="2" t="s">
        <v>2355</v>
      </c>
      <c r="B1086" s="2" t="s">
        <v>51</v>
      </c>
      <c r="C1086" s="2" t="s">
        <v>2356</v>
      </c>
      <c r="D1086" s="2" t="s">
        <v>26</v>
      </c>
      <c r="E1086" s="2" t="s">
        <v>33</v>
      </c>
      <c r="F1086" s="2" t="s">
        <v>57</v>
      </c>
      <c r="G1086" s="2" t="s">
        <v>1413</v>
      </c>
      <c r="H1086" s="3">
        <v>45361.510416666664</v>
      </c>
      <c r="I1086" s="3">
        <v>45361.616666666669</v>
      </c>
      <c r="J1086" s="2">
        <v>119</v>
      </c>
      <c r="K1086" s="2">
        <v>153</v>
      </c>
      <c r="L1086" s="2">
        <v>1</v>
      </c>
      <c r="M1086" s="2" t="s">
        <v>22</v>
      </c>
      <c r="N1086" s="2">
        <v>10</v>
      </c>
      <c r="O1086" s="2">
        <v>492.7</v>
      </c>
      <c r="P1086" s="2">
        <f t="shared" si="80"/>
        <v>34</v>
      </c>
      <c r="Q1086" s="4">
        <f t="shared" si="81"/>
        <v>0.77777777777777779</v>
      </c>
      <c r="R1086" s="2" t="str">
        <f t="shared" si="82"/>
        <v>Inefficient</v>
      </c>
      <c r="S1086" s="2" t="str">
        <f t="shared" si="83"/>
        <v>Very Long</v>
      </c>
      <c r="T1086" s="2" t="str">
        <f t="shared" si="84"/>
        <v>Major Delay</v>
      </c>
    </row>
    <row r="1087" spans="1:20" x14ac:dyDescent="0.35">
      <c r="A1087" s="2" t="s">
        <v>2357</v>
      </c>
      <c r="B1087" s="2" t="s">
        <v>51</v>
      </c>
      <c r="C1087" s="2" t="s">
        <v>2358</v>
      </c>
      <c r="D1087" s="2" t="s">
        <v>26</v>
      </c>
      <c r="E1087" s="2" t="s">
        <v>19</v>
      </c>
      <c r="F1087" s="2" t="s">
        <v>20</v>
      </c>
      <c r="G1087" s="2" t="s">
        <v>191</v>
      </c>
      <c r="H1087" s="3">
        <v>45408.59097222222</v>
      </c>
      <c r="I1087" s="3">
        <v>45408.634027777778</v>
      </c>
      <c r="J1087" s="2">
        <v>65</v>
      </c>
      <c r="K1087" s="2">
        <v>62</v>
      </c>
      <c r="L1087" s="2">
        <v>0</v>
      </c>
      <c r="M1087" s="2" t="s">
        <v>29</v>
      </c>
      <c r="N1087" s="2">
        <v>5</v>
      </c>
      <c r="O1087" s="2">
        <v>461.97</v>
      </c>
      <c r="P1087" s="2">
        <f t="shared" si="80"/>
        <v>-3</v>
      </c>
      <c r="Q1087" s="4">
        <f t="shared" si="81"/>
        <v>1.0483870967741935</v>
      </c>
      <c r="R1087" s="2" t="str">
        <f t="shared" si="82"/>
        <v>Efficient</v>
      </c>
      <c r="S1087" s="2" t="str">
        <f t="shared" si="83"/>
        <v>Long</v>
      </c>
      <c r="T1087" s="2" t="str">
        <f t="shared" si="84"/>
        <v>On Time</v>
      </c>
    </row>
    <row r="1088" spans="1:20" x14ac:dyDescent="0.35">
      <c r="A1088" s="2" t="s">
        <v>2359</v>
      </c>
      <c r="B1088" s="2" t="s">
        <v>51</v>
      </c>
      <c r="C1088" s="2" t="s">
        <v>2360</v>
      </c>
      <c r="D1088" s="2" t="s">
        <v>44</v>
      </c>
      <c r="E1088" s="2" t="s">
        <v>33</v>
      </c>
      <c r="F1088" s="2" t="s">
        <v>57</v>
      </c>
      <c r="G1088" s="2" t="s">
        <v>296</v>
      </c>
      <c r="H1088" s="3">
        <v>45377.303472222222</v>
      </c>
      <c r="I1088" s="3">
        <v>45377.418055555558</v>
      </c>
      <c r="J1088" s="2">
        <v>151</v>
      </c>
      <c r="K1088" s="2">
        <v>165</v>
      </c>
      <c r="L1088" s="2">
        <v>1</v>
      </c>
      <c r="M1088" s="2" t="s">
        <v>41</v>
      </c>
      <c r="N1088" s="2">
        <v>3</v>
      </c>
      <c r="O1088" s="2">
        <v>465.7</v>
      </c>
      <c r="P1088" s="2">
        <f t="shared" si="80"/>
        <v>14</v>
      </c>
      <c r="Q1088" s="4">
        <f t="shared" si="81"/>
        <v>0.91515151515151516</v>
      </c>
      <c r="R1088" s="2" t="str">
        <f t="shared" si="82"/>
        <v>Inefficient</v>
      </c>
      <c r="S1088" s="2" t="str">
        <f t="shared" si="83"/>
        <v>Very Long</v>
      </c>
      <c r="T1088" s="2" t="str">
        <f t="shared" si="84"/>
        <v>Minor Delay</v>
      </c>
    </row>
    <row r="1089" spans="1:20" x14ac:dyDescent="0.35">
      <c r="A1089" s="2" t="s">
        <v>2361</v>
      </c>
      <c r="B1089" s="2" t="s">
        <v>16</v>
      </c>
      <c r="C1089" s="2" t="s">
        <v>2362</v>
      </c>
      <c r="D1089" s="2" t="s">
        <v>44</v>
      </c>
      <c r="E1089" s="2" t="s">
        <v>85</v>
      </c>
      <c r="F1089" s="2" t="s">
        <v>57</v>
      </c>
      <c r="G1089" s="2" t="s">
        <v>418</v>
      </c>
      <c r="H1089" s="3">
        <v>45626.679861111108</v>
      </c>
      <c r="I1089" s="3">
        <v>45626.70208333333</v>
      </c>
      <c r="J1089" s="2">
        <v>33</v>
      </c>
      <c r="K1089" s="2">
        <v>32</v>
      </c>
      <c r="L1089" s="2">
        <v>0</v>
      </c>
      <c r="M1089" s="2" t="s">
        <v>29</v>
      </c>
      <c r="N1089" s="2">
        <v>6</v>
      </c>
      <c r="O1089" s="2">
        <v>368.58</v>
      </c>
      <c r="P1089" s="2">
        <f t="shared" si="80"/>
        <v>-1</v>
      </c>
      <c r="Q1089" s="4">
        <f t="shared" si="81"/>
        <v>1.03125</v>
      </c>
      <c r="R1089" s="2" t="str">
        <f t="shared" si="82"/>
        <v>Efficient</v>
      </c>
      <c r="S1089" s="2" t="str">
        <f t="shared" si="83"/>
        <v>Medium</v>
      </c>
      <c r="T1089" s="2" t="str">
        <f t="shared" si="84"/>
        <v>On Time</v>
      </c>
    </row>
    <row r="1090" spans="1:20" x14ac:dyDescent="0.35">
      <c r="A1090" s="2" t="s">
        <v>2363</v>
      </c>
      <c r="B1090" s="2" t="s">
        <v>63</v>
      </c>
      <c r="C1090" s="2" t="s">
        <v>2364</v>
      </c>
      <c r="D1090" s="2" t="s">
        <v>44</v>
      </c>
      <c r="E1090" s="2" t="s">
        <v>19</v>
      </c>
      <c r="F1090" s="2" t="s">
        <v>27</v>
      </c>
      <c r="G1090" s="2" t="s">
        <v>296</v>
      </c>
      <c r="H1090" s="3">
        <v>45502.638194444444</v>
      </c>
      <c r="I1090" s="3">
        <v>45502.731944444444</v>
      </c>
      <c r="J1090" s="2">
        <v>119</v>
      </c>
      <c r="K1090" s="2">
        <v>135</v>
      </c>
      <c r="L1090" s="2">
        <v>1</v>
      </c>
      <c r="M1090" s="2" t="s">
        <v>29</v>
      </c>
      <c r="N1090" s="2">
        <v>5</v>
      </c>
      <c r="O1090" s="2">
        <v>378.48</v>
      </c>
      <c r="P1090" s="2">
        <f t="shared" si="80"/>
        <v>16</v>
      </c>
      <c r="Q1090" s="4">
        <f t="shared" si="81"/>
        <v>0.88148148148148153</v>
      </c>
      <c r="R1090" s="2" t="str">
        <f t="shared" si="82"/>
        <v>Inefficient</v>
      </c>
      <c r="S1090" s="2" t="str">
        <f t="shared" si="83"/>
        <v>Very Long</v>
      </c>
      <c r="T1090" s="2" t="str">
        <f t="shared" si="84"/>
        <v>Minor Delay</v>
      </c>
    </row>
    <row r="1091" spans="1:20" x14ac:dyDescent="0.35">
      <c r="A1091" s="2" t="s">
        <v>2365</v>
      </c>
      <c r="B1091" s="2" t="s">
        <v>24</v>
      </c>
      <c r="C1091" s="2" t="s">
        <v>2366</v>
      </c>
      <c r="D1091" s="2" t="s">
        <v>18</v>
      </c>
      <c r="E1091" s="2" t="s">
        <v>38</v>
      </c>
      <c r="F1091" s="2" t="s">
        <v>20</v>
      </c>
      <c r="G1091" s="2" t="s">
        <v>158</v>
      </c>
      <c r="H1091" s="3">
        <v>45650.881249999999</v>
      </c>
      <c r="I1091" s="3">
        <v>45650.939583333333</v>
      </c>
      <c r="J1091" s="2">
        <v>86</v>
      </c>
      <c r="K1091" s="2">
        <v>84</v>
      </c>
      <c r="L1091" s="2">
        <v>0</v>
      </c>
      <c r="M1091" s="2" t="s">
        <v>22</v>
      </c>
      <c r="N1091" s="2">
        <v>8</v>
      </c>
      <c r="O1091" s="2">
        <v>185.47</v>
      </c>
      <c r="P1091" s="2">
        <f t="shared" ref="P1091:P1154" si="85">K1091-J1091</f>
        <v>-2</v>
      </c>
      <c r="Q1091" s="4">
        <f t="shared" ref="Q1091:Q1154" si="86">J1091/K1091</f>
        <v>1.0238095238095237</v>
      </c>
      <c r="R1091" s="2" t="str">
        <f t="shared" ref="R1091:R1154" si="87">IF(Q1091&gt;1,"Efficient",
IF(Q1091=1,"On Target","Inefficient"))</f>
        <v>Efficient</v>
      </c>
      <c r="S1091" s="2" t="str">
        <f t="shared" ref="S1091:S1154" si="88">IF(K1091&lt;30,"Short",
IF(K1091&lt;60,"Medium",
IF(K1091&lt;120,"Long","Very Long")))</f>
        <v>Long</v>
      </c>
      <c r="T1091" s="2" t="str">
        <f t="shared" ref="T1091:T1154" si="89">IF(K1091&lt;=J1091,"On Time",
IF(K1091-J1091&lt;=30,"Minor Delay","Major Delay"))</f>
        <v>On Time</v>
      </c>
    </row>
    <row r="1092" spans="1:20" x14ac:dyDescent="0.35">
      <c r="A1092" s="2" t="s">
        <v>2367</v>
      </c>
      <c r="B1092" s="2" t="s">
        <v>63</v>
      </c>
      <c r="C1092" s="2" t="s">
        <v>2368</v>
      </c>
      <c r="D1092" s="2" t="s">
        <v>18</v>
      </c>
      <c r="E1092" s="2" t="s">
        <v>85</v>
      </c>
      <c r="F1092" s="2" t="s">
        <v>39</v>
      </c>
      <c r="G1092" s="2" t="s">
        <v>143</v>
      </c>
      <c r="H1092" s="3">
        <v>45435.518055555556</v>
      </c>
      <c r="I1092" s="3">
        <v>45435.675000000003</v>
      </c>
      <c r="J1092" s="2">
        <v>128</v>
      </c>
      <c r="K1092" s="2">
        <v>226</v>
      </c>
      <c r="L1092" s="2">
        <v>1</v>
      </c>
      <c r="M1092" s="2" t="s">
        <v>22</v>
      </c>
      <c r="N1092" s="2">
        <v>10</v>
      </c>
      <c r="O1092" s="2">
        <v>285.83999999999997</v>
      </c>
      <c r="P1092" s="2">
        <f t="shared" si="85"/>
        <v>98</v>
      </c>
      <c r="Q1092" s="4">
        <f t="shared" si="86"/>
        <v>0.5663716814159292</v>
      </c>
      <c r="R1092" s="2" t="str">
        <f t="shared" si="87"/>
        <v>Inefficient</v>
      </c>
      <c r="S1092" s="2" t="str">
        <f t="shared" si="88"/>
        <v>Very Long</v>
      </c>
      <c r="T1092" s="2" t="str">
        <f t="shared" si="89"/>
        <v>Major Delay</v>
      </c>
    </row>
    <row r="1093" spans="1:20" x14ac:dyDescent="0.35">
      <c r="A1093" s="2" t="s">
        <v>2369</v>
      </c>
      <c r="B1093" s="2" t="s">
        <v>16</v>
      </c>
      <c r="C1093" s="2" t="s">
        <v>2370</v>
      </c>
      <c r="D1093" s="2" t="s">
        <v>56</v>
      </c>
      <c r="E1093" s="2" t="s">
        <v>85</v>
      </c>
      <c r="F1093" s="2" t="s">
        <v>39</v>
      </c>
      <c r="G1093" s="2" t="s">
        <v>465</v>
      </c>
      <c r="H1093" s="3">
        <v>45515.394444444442</v>
      </c>
      <c r="I1093" s="3">
        <v>45515.504861111112</v>
      </c>
      <c r="J1093" s="2">
        <v>114</v>
      </c>
      <c r="K1093" s="2">
        <v>159</v>
      </c>
      <c r="L1093" s="2">
        <v>1</v>
      </c>
      <c r="M1093" s="2" t="s">
        <v>29</v>
      </c>
      <c r="N1093" s="2">
        <v>9</v>
      </c>
      <c r="O1093" s="2">
        <v>226.85</v>
      </c>
      <c r="P1093" s="2">
        <f t="shared" si="85"/>
        <v>45</v>
      </c>
      <c r="Q1093" s="4">
        <f t="shared" si="86"/>
        <v>0.71698113207547165</v>
      </c>
      <c r="R1093" s="2" t="str">
        <f t="shared" si="87"/>
        <v>Inefficient</v>
      </c>
      <c r="S1093" s="2" t="str">
        <f t="shared" si="88"/>
        <v>Very Long</v>
      </c>
      <c r="T1093" s="2" t="str">
        <f t="shared" si="89"/>
        <v>Major Delay</v>
      </c>
    </row>
    <row r="1094" spans="1:20" x14ac:dyDescent="0.35">
      <c r="A1094" s="2" t="s">
        <v>2371</v>
      </c>
      <c r="B1094" s="2" t="s">
        <v>31</v>
      </c>
      <c r="C1094" s="2" t="s">
        <v>2372</v>
      </c>
      <c r="D1094" s="2" t="s">
        <v>26</v>
      </c>
      <c r="E1094" s="2" t="s">
        <v>38</v>
      </c>
      <c r="F1094" s="2" t="s">
        <v>27</v>
      </c>
      <c r="G1094" s="2" t="s">
        <v>161</v>
      </c>
      <c r="H1094" s="3">
        <v>45401.59652777778</v>
      </c>
      <c r="I1094" s="3">
        <v>45401.71875</v>
      </c>
      <c r="J1094" s="2">
        <v>135</v>
      </c>
      <c r="K1094" s="2">
        <v>176</v>
      </c>
      <c r="L1094" s="2">
        <v>1</v>
      </c>
      <c r="M1094" s="2" t="s">
        <v>29</v>
      </c>
      <c r="N1094" s="2">
        <v>3</v>
      </c>
      <c r="O1094" s="2">
        <v>491.12</v>
      </c>
      <c r="P1094" s="2">
        <f t="shared" si="85"/>
        <v>41</v>
      </c>
      <c r="Q1094" s="4">
        <f t="shared" si="86"/>
        <v>0.76704545454545459</v>
      </c>
      <c r="R1094" s="2" t="str">
        <f t="shared" si="87"/>
        <v>Inefficient</v>
      </c>
      <c r="S1094" s="2" t="str">
        <f t="shared" si="88"/>
        <v>Very Long</v>
      </c>
      <c r="T1094" s="2" t="str">
        <f t="shared" si="89"/>
        <v>Major Delay</v>
      </c>
    </row>
    <row r="1095" spans="1:20" x14ac:dyDescent="0.35">
      <c r="A1095" s="2" t="s">
        <v>2373</v>
      </c>
      <c r="B1095" s="2" t="s">
        <v>31</v>
      </c>
      <c r="C1095" s="2" t="s">
        <v>2374</v>
      </c>
      <c r="D1095" s="2" t="s">
        <v>48</v>
      </c>
      <c r="E1095" s="2" t="s">
        <v>85</v>
      </c>
      <c r="F1095" s="2" t="s">
        <v>39</v>
      </c>
      <c r="G1095" s="2" t="s">
        <v>188</v>
      </c>
      <c r="H1095" s="3">
        <v>45486.510416666664</v>
      </c>
      <c r="I1095" s="3">
        <v>45486.699305555558</v>
      </c>
      <c r="J1095" s="2">
        <v>158</v>
      </c>
      <c r="K1095" s="2">
        <v>272</v>
      </c>
      <c r="L1095" s="2">
        <v>1</v>
      </c>
      <c r="M1095" s="2" t="s">
        <v>22</v>
      </c>
      <c r="N1095" s="2">
        <v>5</v>
      </c>
      <c r="O1095" s="2">
        <v>397.15</v>
      </c>
      <c r="P1095" s="2">
        <f t="shared" si="85"/>
        <v>114</v>
      </c>
      <c r="Q1095" s="4">
        <f t="shared" si="86"/>
        <v>0.58088235294117652</v>
      </c>
      <c r="R1095" s="2" t="str">
        <f t="shared" si="87"/>
        <v>Inefficient</v>
      </c>
      <c r="S1095" s="2" t="str">
        <f t="shared" si="88"/>
        <v>Very Long</v>
      </c>
      <c r="T1095" s="2" t="str">
        <f t="shared" si="89"/>
        <v>Major Delay</v>
      </c>
    </row>
    <row r="1096" spans="1:20" x14ac:dyDescent="0.35">
      <c r="A1096" s="2" t="s">
        <v>2375</v>
      </c>
      <c r="B1096" s="2" t="s">
        <v>51</v>
      </c>
      <c r="C1096" s="2" t="s">
        <v>2376</v>
      </c>
      <c r="D1096" s="2" t="s">
        <v>26</v>
      </c>
      <c r="E1096" s="2" t="s">
        <v>85</v>
      </c>
      <c r="F1096" s="2" t="s">
        <v>39</v>
      </c>
      <c r="G1096" s="2" t="s">
        <v>526</v>
      </c>
      <c r="H1096" s="3">
        <v>45498.253472222219</v>
      </c>
      <c r="I1096" s="3">
        <v>45498.302083333336</v>
      </c>
      <c r="J1096" s="2">
        <v>18</v>
      </c>
      <c r="K1096" s="2">
        <v>70</v>
      </c>
      <c r="L1096" s="2">
        <v>1</v>
      </c>
      <c r="M1096" s="2" t="s">
        <v>22</v>
      </c>
      <c r="N1096" s="2">
        <v>5</v>
      </c>
      <c r="O1096" s="2">
        <v>438.61</v>
      </c>
      <c r="P1096" s="2">
        <f t="shared" si="85"/>
        <v>52</v>
      </c>
      <c r="Q1096" s="4">
        <f t="shared" si="86"/>
        <v>0.25714285714285712</v>
      </c>
      <c r="R1096" s="2" t="str">
        <f t="shared" si="87"/>
        <v>Inefficient</v>
      </c>
      <c r="S1096" s="2" t="str">
        <f t="shared" si="88"/>
        <v>Long</v>
      </c>
      <c r="T1096" s="2" t="str">
        <f t="shared" si="89"/>
        <v>Major Delay</v>
      </c>
    </row>
    <row r="1097" spans="1:20" x14ac:dyDescent="0.35">
      <c r="A1097" s="2" t="s">
        <v>2377</v>
      </c>
      <c r="B1097" s="2" t="s">
        <v>31</v>
      </c>
      <c r="C1097" s="2" t="s">
        <v>2378</v>
      </c>
      <c r="D1097" s="2" t="s">
        <v>18</v>
      </c>
      <c r="E1097" s="2" t="s">
        <v>38</v>
      </c>
      <c r="F1097" s="2" t="s">
        <v>20</v>
      </c>
      <c r="G1097" s="2" t="s">
        <v>65</v>
      </c>
      <c r="H1097" s="3">
        <v>45535.172222222223</v>
      </c>
      <c r="I1097" s="3">
        <v>45535.376388888886</v>
      </c>
      <c r="J1097" s="2">
        <v>177</v>
      </c>
      <c r="K1097" s="2">
        <v>294</v>
      </c>
      <c r="L1097" s="2">
        <v>1</v>
      </c>
      <c r="M1097" s="2" t="s">
        <v>22</v>
      </c>
      <c r="N1097" s="2">
        <v>10</v>
      </c>
      <c r="O1097" s="2">
        <v>210.6</v>
      </c>
      <c r="P1097" s="2">
        <f t="shared" si="85"/>
        <v>117</v>
      </c>
      <c r="Q1097" s="4">
        <f t="shared" si="86"/>
        <v>0.60204081632653061</v>
      </c>
      <c r="R1097" s="2" t="str">
        <f t="shared" si="87"/>
        <v>Inefficient</v>
      </c>
      <c r="S1097" s="2" t="str">
        <f t="shared" si="88"/>
        <v>Very Long</v>
      </c>
      <c r="T1097" s="2" t="str">
        <f t="shared" si="89"/>
        <v>Major Delay</v>
      </c>
    </row>
    <row r="1098" spans="1:20" x14ac:dyDescent="0.35">
      <c r="A1098" s="2" t="s">
        <v>2379</v>
      </c>
      <c r="B1098" s="2" t="s">
        <v>24</v>
      </c>
      <c r="C1098" s="2" t="s">
        <v>2380</v>
      </c>
      <c r="D1098" s="2" t="s">
        <v>26</v>
      </c>
      <c r="E1098" s="2" t="s">
        <v>85</v>
      </c>
      <c r="F1098" s="2" t="s">
        <v>20</v>
      </c>
      <c r="G1098" s="2" t="s">
        <v>473</v>
      </c>
      <c r="H1098" s="3">
        <v>45416.270138888889</v>
      </c>
      <c r="I1098" s="3">
        <v>45416.394444444442</v>
      </c>
      <c r="J1098" s="2">
        <v>126</v>
      </c>
      <c r="K1098" s="2">
        <v>179</v>
      </c>
      <c r="L1098" s="2">
        <v>1</v>
      </c>
      <c r="M1098" s="2" t="s">
        <v>22</v>
      </c>
      <c r="N1098" s="2">
        <v>10</v>
      </c>
      <c r="O1098" s="2">
        <v>451.73</v>
      </c>
      <c r="P1098" s="2">
        <f t="shared" si="85"/>
        <v>53</v>
      </c>
      <c r="Q1098" s="4">
        <f t="shared" si="86"/>
        <v>0.7039106145251397</v>
      </c>
      <c r="R1098" s="2" t="str">
        <f t="shared" si="87"/>
        <v>Inefficient</v>
      </c>
      <c r="S1098" s="2" t="str">
        <f t="shared" si="88"/>
        <v>Very Long</v>
      </c>
      <c r="T1098" s="2" t="str">
        <f t="shared" si="89"/>
        <v>Major Delay</v>
      </c>
    </row>
    <row r="1099" spans="1:20" x14ac:dyDescent="0.35">
      <c r="A1099" s="2" t="s">
        <v>2381</v>
      </c>
      <c r="B1099" s="2" t="s">
        <v>24</v>
      </c>
      <c r="C1099" s="2" t="s">
        <v>2382</v>
      </c>
      <c r="D1099" s="2" t="s">
        <v>44</v>
      </c>
      <c r="E1099" s="2" t="s">
        <v>19</v>
      </c>
      <c r="F1099" s="2" t="s">
        <v>39</v>
      </c>
      <c r="G1099" s="2" t="s">
        <v>853</v>
      </c>
      <c r="H1099" s="3">
        <v>45591.157638888886</v>
      </c>
      <c r="I1099" s="3">
        <v>45591.32708333333</v>
      </c>
      <c r="J1099" s="2">
        <v>169</v>
      </c>
      <c r="K1099" s="2">
        <v>244</v>
      </c>
      <c r="L1099" s="2">
        <v>1</v>
      </c>
      <c r="M1099" s="2" t="s">
        <v>41</v>
      </c>
      <c r="N1099" s="2">
        <v>6</v>
      </c>
      <c r="O1099" s="2">
        <v>283.55</v>
      </c>
      <c r="P1099" s="2">
        <f t="shared" si="85"/>
        <v>75</v>
      </c>
      <c r="Q1099" s="4">
        <f t="shared" si="86"/>
        <v>0.69262295081967218</v>
      </c>
      <c r="R1099" s="2" t="str">
        <f t="shared" si="87"/>
        <v>Inefficient</v>
      </c>
      <c r="S1099" s="2" t="str">
        <f t="shared" si="88"/>
        <v>Very Long</v>
      </c>
      <c r="T1099" s="2" t="str">
        <f t="shared" si="89"/>
        <v>Major Delay</v>
      </c>
    </row>
    <row r="1100" spans="1:20" x14ac:dyDescent="0.35">
      <c r="A1100" s="2" t="s">
        <v>2383</v>
      </c>
      <c r="B1100" s="2" t="s">
        <v>24</v>
      </c>
      <c r="C1100" s="2" t="s">
        <v>2384</v>
      </c>
      <c r="D1100" s="2" t="s">
        <v>48</v>
      </c>
      <c r="E1100" s="2" t="s">
        <v>33</v>
      </c>
      <c r="F1100" s="2" t="s">
        <v>57</v>
      </c>
      <c r="G1100" s="2" t="s">
        <v>111</v>
      </c>
      <c r="H1100" s="3">
        <v>45313.509027777778</v>
      </c>
      <c r="I1100" s="3">
        <v>45313.573611111111</v>
      </c>
      <c r="J1100" s="2">
        <v>36</v>
      </c>
      <c r="K1100" s="2">
        <v>93</v>
      </c>
      <c r="L1100" s="2">
        <v>1</v>
      </c>
      <c r="M1100" s="2" t="s">
        <v>29</v>
      </c>
      <c r="N1100" s="2">
        <v>6</v>
      </c>
      <c r="O1100" s="2">
        <v>59.79</v>
      </c>
      <c r="P1100" s="2">
        <f t="shared" si="85"/>
        <v>57</v>
      </c>
      <c r="Q1100" s="4">
        <f t="shared" si="86"/>
        <v>0.38709677419354838</v>
      </c>
      <c r="R1100" s="2" t="str">
        <f t="shared" si="87"/>
        <v>Inefficient</v>
      </c>
      <c r="S1100" s="2" t="str">
        <f t="shared" si="88"/>
        <v>Long</v>
      </c>
      <c r="T1100" s="2" t="str">
        <f t="shared" si="89"/>
        <v>Major Delay</v>
      </c>
    </row>
    <row r="1101" spans="1:20" x14ac:dyDescent="0.35">
      <c r="A1101" s="2" t="s">
        <v>2385</v>
      </c>
      <c r="B1101" s="2" t="s">
        <v>63</v>
      </c>
      <c r="C1101" s="2" t="s">
        <v>2386</v>
      </c>
      <c r="D1101" s="2" t="s">
        <v>26</v>
      </c>
      <c r="E1101" s="2" t="s">
        <v>38</v>
      </c>
      <c r="F1101" s="2" t="s">
        <v>27</v>
      </c>
      <c r="G1101" s="2" t="s">
        <v>526</v>
      </c>
      <c r="H1101" s="3">
        <v>45405.059027777781</v>
      </c>
      <c r="I1101" s="3">
        <v>45405.181250000001</v>
      </c>
      <c r="J1101" s="2">
        <v>116</v>
      </c>
      <c r="K1101" s="2">
        <v>176</v>
      </c>
      <c r="L1101" s="2">
        <v>1</v>
      </c>
      <c r="M1101" s="2" t="s">
        <v>29</v>
      </c>
      <c r="N1101" s="2">
        <v>7</v>
      </c>
      <c r="O1101" s="2">
        <v>235.33</v>
      </c>
      <c r="P1101" s="2">
        <f t="shared" si="85"/>
        <v>60</v>
      </c>
      <c r="Q1101" s="4">
        <f t="shared" si="86"/>
        <v>0.65909090909090906</v>
      </c>
      <c r="R1101" s="2" t="str">
        <f t="shared" si="87"/>
        <v>Inefficient</v>
      </c>
      <c r="S1101" s="2" t="str">
        <f t="shared" si="88"/>
        <v>Very Long</v>
      </c>
      <c r="T1101" s="2" t="str">
        <f t="shared" si="89"/>
        <v>Major Delay</v>
      </c>
    </row>
    <row r="1102" spans="1:20" x14ac:dyDescent="0.35">
      <c r="A1102" s="2" t="s">
        <v>2387</v>
      </c>
      <c r="B1102" s="2" t="s">
        <v>24</v>
      </c>
      <c r="C1102" s="2" t="s">
        <v>2388</v>
      </c>
      <c r="D1102" s="2" t="s">
        <v>44</v>
      </c>
      <c r="E1102" s="2" t="s">
        <v>38</v>
      </c>
      <c r="F1102" s="2" t="s">
        <v>34</v>
      </c>
      <c r="G1102" s="2" t="s">
        <v>354</v>
      </c>
      <c r="H1102" s="3">
        <v>45591.47152777778</v>
      </c>
      <c r="I1102" s="3">
        <v>45591.60833333333</v>
      </c>
      <c r="J1102" s="2">
        <v>178</v>
      </c>
      <c r="K1102" s="2">
        <v>197</v>
      </c>
      <c r="L1102" s="2">
        <v>1</v>
      </c>
      <c r="M1102" s="2" t="s">
        <v>29</v>
      </c>
      <c r="N1102" s="2">
        <v>3</v>
      </c>
      <c r="O1102" s="2">
        <v>116.66</v>
      </c>
      <c r="P1102" s="2">
        <f t="shared" si="85"/>
        <v>19</v>
      </c>
      <c r="Q1102" s="4">
        <f t="shared" si="86"/>
        <v>0.90355329949238583</v>
      </c>
      <c r="R1102" s="2" t="str">
        <f t="shared" si="87"/>
        <v>Inefficient</v>
      </c>
      <c r="S1102" s="2" t="str">
        <f t="shared" si="88"/>
        <v>Very Long</v>
      </c>
      <c r="T1102" s="2" t="str">
        <f t="shared" si="89"/>
        <v>Minor Delay</v>
      </c>
    </row>
    <row r="1103" spans="1:20" x14ac:dyDescent="0.35">
      <c r="A1103" s="2" t="s">
        <v>2389</v>
      </c>
      <c r="B1103" s="2" t="s">
        <v>16</v>
      </c>
      <c r="C1103" s="2" t="s">
        <v>2390</v>
      </c>
      <c r="D1103" s="2" t="s">
        <v>26</v>
      </c>
      <c r="E1103" s="2" t="s">
        <v>38</v>
      </c>
      <c r="F1103" s="2" t="s">
        <v>39</v>
      </c>
      <c r="G1103" s="2" t="s">
        <v>916</v>
      </c>
      <c r="H1103" s="3">
        <v>45372.5625</v>
      </c>
      <c r="I1103" s="3">
        <v>45372.64166666667</v>
      </c>
      <c r="J1103" s="2">
        <v>103</v>
      </c>
      <c r="K1103" s="2">
        <v>114</v>
      </c>
      <c r="L1103" s="2">
        <v>1</v>
      </c>
      <c r="M1103" s="2" t="s">
        <v>41</v>
      </c>
      <c r="N1103" s="2">
        <v>7</v>
      </c>
      <c r="O1103" s="2">
        <v>355.64</v>
      </c>
      <c r="P1103" s="2">
        <f t="shared" si="85"/>
        <v>11</v>
      </c>
      <c r="Q1103" s="4">
        <f t="shared" si="86"/>
        <v>0.90350877192982459</v>
      </c>
      <c r="R1103" s="2" t="str">
        <f t="shared" si="87"/>
        <v>Inefficient</v>
      </c>
      <c r="S1103" s="2" t="str">
        <f t="shared" si="88"/>
        <v>Long</v>
      </c>
      <c r="T1103" s="2" t="str">
        <f t="shared" si="89"/>
        <v>Minor Delay</v>
      </c>
    </row>
    <row r="1104" spans="1:20" x14ac:dyDescent="0.35">
      <c r="A1104" s="2" t="s">
        <v>2391</v>
      </c>
      <c r="B1104" s="2" t="s">
        <v>63</v>
      </c>
      <c r="C1104" s="2" t="s">
        <v>2392</v>
      </c>
      <c r="D1104" s="2" t="s">
        <v>18</v>
      </c>
      <c r="E1104" s="2" t="s">
        <v>85</v>
      </c>
      <c r="F1104" s="2" t="s">
        <v>57</v>
      </c>
      <c r="G1104" s="2" t="s">
        <v>137</v>
      </c>
      <c r="H1104" s="3">
        <v>45648.302777777775</v>
      </c>
      <c r="I1104" s="3">
        <v>45648.390972222223</v>
      </c>
      <c r="J1104" s="2">
        <v>98</v>
      </c>
      <c r="K1104" s="2">
        <v>127</v>
      </c>
      <c r="L1104" s="2">
        <v>1</v>
      </c>
      <c r="M1104" s="2" t="s">
        <v>41</v>
      </c>
      <c r="N1104" s="2">
        <v>6</v>
      </c>
      <c r="O1104" s="2">
        <v>103.43</v>
      </c>
      <c r="P1104" s="2">
        <f t="shared" si="85"/>
        <v>29</v>
      </c>
      <c r="Q1104" s="4">
        <f t="shared" si="86"/>
        <v>0.77165354330708658</v>
      </c>
      <c r="R1104" s="2" t="str">
        <f t="shared" si="87"/>
        <v>Inefficient</v>
      </c>
      <c r="S1104" s="2" t="str">
        <f t="shared" si="88"/>
        <v>Very Long</v>
      </c>
      <c r="T1104" s="2" t="str">
        <f t="shared" si="89"/>
        <v>Minor Delay</v>
      </c>
    </row>
    <row r="1105" spans="1:20" x14ac:dyDescent="0.35">
      <c r="A1105" s="2" t="s">
        <v>2393</v>
      </c>
      <c r="B1105" s="2" t="s">
        <v>51</v>
      </c>
      <c r="C1105" s="2" t="s">
        <v>2394</v>
      </c>
      <c r="D1105" s="2" t="s">
        <v>44</v>
      </c>
      <c r="E1105" s="2" t="s">
        <v>85</v>
      </c>
      <c r="F1105" s="2" t="s">
        <v>20</v>
      </c>
      <c r="G1105" s="2" t="s">
        <v>521</v>
      </c>
      <c r="H1105" s="3">
        <v>45601.113888888889</v>
      </c>
      <c r="I1105" s="3">
        <v>45601.146527777775</v>
      </c>
      <c r="J1105" s="2">
        <v>39</v>
      </c>
      <c r="K1105" s="2">
        <v>47</v>
      </c>
      <c r="L1105" s="2">
        <v>1</v>
      </c>
      <c r="M1105" s="2" t="s">
        <v>41</v>
      </c>
      <c r="N1105" s="2">
        <v>8</v>
      </c>
      <c r="O1105" s="2">
        <v>162.79</v>
      </c>
      <c r="P1105" s="2">
        <f t="shared" si="85"/>
        <v>8</v>
      </c>
      <c r="Q1105" s="4">
        <f t="shared" si="86"/>
        <v>0.82978723404255317</v>
      </c>
      <c r="R1105" s="2" t="str">
        <f t="shared" si="87"/>
        <v>Inefficient</v>
      </c>
      <c r="S1105" s="2" t="str">
        <f t="shared" si="88"/>
        <v>Medium</v>
      </c>
      <c r="T1105" s="2" t="str">
        <f t="shared" si="89"/>
        <v>Minor Delay</v>
      </c>
    </row>
    <row r="1106" spans="1:20" x14ac:dyDescent="0.35">
      <c r="A1106" s="2" t="s">
        <v>2395</v>
      </c>
      <c r="B1106" s="2" t="s">
        <v>63</v>
      </c>
      <c r="C1106" s="2" t="s">
        <v>2396</v>
      </c>
      <c r="D1106" s="2" t="s">
        <v>18</v>
      </c>
      <c r="E1106" s="2" t="s">
        <v>85</v>
      </c>
      <c r="F1106" s="2" t="s">
        <v>34</v>
      </c>
      <c r="G1106" s="2" t="s">
        <v>65</v>
      </c>
      <c r="H1106" s="3">
        <v>45364.460416666669</v>
      </c>
      <c r="I1106" s="3">
        <v>45364.623611111114</v>
      </c>
      <c r="J1106" s="2">
        <v>224</v>
      </c>
      <c r="K1106" s="2">
        <v>235</v>
      </c>
      <c r="L1106" s="2">
        <v>1</v>
      </c>
      <c r="M1106" s="2" t="s">
        <v>22</v>
      </c>
      <c r="N1106" s="2">
        <v>3</v>
      </c>
      <c r="O1106" s="2">
        <v>187.91</v>
      </c>
      <c r="P1106" s="2">
        <f t="shared" si="85"/>
        <v>11</v>
      </c>
      <c r="Q1106" s="4">
        <f t="shared" si="86"/>
        <v>0.95319148936170217</v>
      </c>
      <c r="R1106" s="2" t="str">
        <f t="shared" si="87"/>
        <v>Inefficient</v>
      </c>
      <c r="S1106" s="2" t="str">
        <f t="shared" si="88"/>
        <v>Very Long</v>
      </c>
      <c r="T1106" s="2" t="str">
        <f t="shared" si="89"/>
        <v>Minor Delay</v>
      </c>
    </row>
    <row r="1107" spans="1:20" x14ac:dyDescent="0.35">
      <c r="A1107" s="2" t="s">
        <v>2397</v>
      </c>
      <c r="B1107" s="2" t="s">
        <v>31</v>
      </c>
      <c r="C1107" s="2" t="s">
        <v>2398</v>
      </c>
      <c r="D1107" s="2" t="s">
        <v>56</v>
      </c>
      <c r="E1107" s="2" t="s">
        <v>38</v>
      </c>
      <c r="F1107" s="2" t="s">
        <v>20</v>
      </c>
      <c r="G1107" s="2" t="s">
        <v>810</v>
      </c>
      <c r="H1107" s="3">
        <v>45528.302083333336</v>
      </c>
      <c r="I1107" s="3">
        <v>45528.429861111108</v>
      </c>
      <c r="J1107" s="2">
        <v>166</v>
      </c>
      <c r="K1107" s="2">
        <v>184</v>
      </c>
      <c r="L1107" s="2">
        <v>1</v>
      </c>
      <c r="M1107" s="2" t="s">
        <v>22</v>
      </c>
      <c r="N1107" s="2">
        <v>3</v>
      </c>
      <c r="O1107" s="2">
        <v>336.79</v>
      </c>
      <c r="P1107" s="2">
        <f t="shared" si="85"/>
        <v>18</v>
      </c>
      <c r="Q1107" s="4">
        <f t="shared" si="86"/>
        <v>0.90217391304347827</v>
      </c>
      <c r="R1107" s="2" t="str">
        <f t="shared" si="87"/>
        <v>Inefficient</v>
      </c>
      <c r="S1107" s="2" t="str">
        <f t="shared" si="88"/>
        <v>Very Long</v>
      </c>
      <c r="T1107" s="2" t="str">
        <f t="shared" si="89"/>
        <v>Minor Delay</v>
      </c>
    </row>
    <row r="1108" spans="1:20" x14ac:dyDescent="0.35">
      <c r="A1108" s="2" t="s">
        <v>2399</v>
      </c>
      <c r="B1108" s="2" t="s">
        <v>24</v>
      </c>
      <c r="C1108" s="2" t="s">
        <v>2400</v>
      </c>
      <c r="D1108" s="2" t="s">
        <v>26</v>
      </c>
      <c r="E1108" s="2" t="s">
        <v>38</v>
      </c>
      <c r="F1108" s="2" t="s">
        <v>34</v>
      </c>
      <c r="G1108" s="2" t="s">
        <v>754</v>
      </c>
      <c r="H1108" s="3">
        <v>45574.091666666667</v>
      </c>
      <c r="I1108" s="3">
        <v>45574.253472222219</v>
      </c>
      <c r="J1108" s="2">
        <v>136</v>
      </c>
      <c r="K1108" s="2">
        <v>233</v>
      </c>
      <c r="L1108" s="2">
        <v>1</v>
      </c>
      <c r="M1108" s="2" t="s">
        <v>22</v>
      </c>
      <c r="N1108" s="2">
        <v>10</v>
      </c>
      <c r="O1108" s="2">
        <v>175.93</v>
      </c>
      <c r="P1108" s="2">
        <f t="shared" si="85"/>
        <v>97</v>
      </c>
      <c r="Q1108" s="4">
        <f t="shared" si="86"/>
        <v>0.58369098712446355</v>
      </c>
      <c r="R1108" s="2" t="str">
        <f t="shared" si="87"/>
        <v>Inefficient</v>
      </c>
      <c r="S1108" s="2" t="str">
        <f t="shared" si="88"/>
        <v>Very Long</v>
      </c>
      <c r="T1108" s="2" t="str">
        <f t="shared" si="89"/>
        <v>Major Delay</v>
      </c>
    </row>
    <row r="1109" spans="1:20" x14ac:dyDescent="0.35">
      <c r="A1109" s="2" t="s">
        <v>2401</v>
      </c>
      <c r="B1109" s="2" t="s">
        <v>24</v>
      </c>
      <c r="C1109" s="2" t="s">
        <v>2402</v>
      </c>
      <c r="D1109" s="2" t="s">
        <v>18</v>
      </c>
      <c r="E1109" s="2" t="s">
        <v>19</v>
      </c>
      <c r="F1109" s="2" t="s">
        <v>39</v>
      </c>
      <c r="G1109" s="2" t="s">
        <v>108</v>
      </c>
      <c r="H1109" s="3">
        <v>45402.720833333333</v>
      </c>
      <c r="I1109" s="3">
        <v>45402.794444444444</v>
      </c>
      <c r="J1109" s="2">
        <v>106</v>
      </c>
      <c r="K1109" s="2">
        <v>106</v>
      </c>
      <c r="L1109" s="2">
        <v>0</v>
      </c>
      <c r="M1109" s="2" t="s">
        <v>22</v>
      </c>
      <c r="N1109" s="2">
        <v>9</v>
      </c>
      <c r="O1109" s="2">
        <v>383.64</v>
      </c>
      <c r="P1109" s="2">
        <f t="shared" si="85"/>
        <v>0</v>
      </c>
      <c r="Q1109" s="4">
        <f t="shared" si="86"/>
        <v>1</v>
      </c>
      <c r="R1109" s="2" t="str">
        <f t="shared" si="87"/>
        <v>On Target</v>
      </c>
      <c r="S1109" s="2" t="str">
        <f t="shared" si="88"/>
        <v>Long</v>
      </c>
      <c r="T1109" s="2" t="str">
        <f t="shared" si="89"/>
        <v>On Time</v>
      </c>
    </row>
    <row r="1110" spans="1:20" x14ac:dyDescent="0.35">
      <c r="A1110" s="2" t="s">
        <v>2403</v>
      </c>
      <c r="B1110" s="2" t="s">
        <v>16</v>
      </c>
      <c r="C1110" s="2" t="s">
        <v>2404</v>
      </c>
      <c r="D1110" s="2" t="s">
        <v>44</v>
      </c>
      <c r="E1110" s="2" t="s">
        <v>85</v>
      </c>
      <c r="F1110" s="2" t="s">
        <v>57</v>
      </c>
      <c r="G1110" s="2" t="s">
        <v>308</v>
      </c>
      <c r="H1110" s="3">
        <v>45530.786805555559</v>
      </c>
      <c r="I1110" s="3">
        <v>45530.875694444447</v>
      </c>
      <c r="J1110" s="2">
        <v>121</v>
      </c>
      <c r="K1110" s="2">
        <v>128</v>
      </c>
      <c r="L1110" s="2">
        <v>1</v>
      </c>
      <c r="M1110" s="2" t="s">
        <v>22</v>
      </c>
      <c r="N1110" s="2">
        <v>1</v>
      </c>
      <c r="O1110" s="2">
        <v>483.09</v>
      </c>
      <c r="P1110" s="2">
        <f t="shared" si="85"/>
        <v>7</v>
      </c>
      <c r="Q1110" s="4">
        <f t="shared" si="86"/>
        <v>0.9453125</v>
      </c>
      <c r="R1110" s="2" t="str">
        <f t="shared" si="87"/>
        <v>Inefficient</v>
      </c>
      <c r="S1110" s="2" t="str">
        <f t="shared" si="88"/>
        <v>Very Long</v>
      </c>
      <c r="T1110" s="2" t="str">
        <f t="shared" si="89"/>
        <v>Minor Delay</v>
      </c>
    </row>
    <row r="1111" spans="1:20" x14ac:dyDescent="0.35">
      <c r="A1111" s="2" t="s">
        <v>2405</v>
      </c>
      <c r="B1111" s="2" t="s">
        <v>63</v>
      </c>
      <c r="C1111" s="2" t="s">
        <v>2406</v>
      </c>
      <c r="D1111" s="2" t="s">
        <v>56</v>
      </c>
      <c r="E1111" s="2" t="s">
        <v>33</v>
      </c>
      <c r="F1111" s="2" t="s">
        <v>27</v>
      </c>
      <c r="G1111" s="2" t="s">
        <v>817</v>
      </c>
      <c r="H1111" s="3">
        <v>45425.113194444442</v>
      </c>
      <c r="I1111" s="3">
        <v>45425.296527777777</v>
      </c>
      <c r="J1111" s="2">
        <v>237</v>
      </c>
      <c r="K1111" s="2">
        <v>264</v>
      </c>
      <c r="L1111" s="2">
        <v>1</v>
      </c>
      <c r="M1111" s="2" t="s">
        <v>41</v>
      </c>
      <c r="N1111" s="2">
        <v>3</v>
      </c>
      <c r="O1111" s="2">
        <v>375.68</v>
      </c>
      <c r="P1111" s="2">
        <f t="shared" si="85"/>
        <v>27</v>
      </c>
      <c r="Q1111" s="4">
        <f t="shared" si="86"/>
        <v>0.89772727272727271</v>
      </c>
      <c r="R1111" s="2" t="str">
        <f t="shared" si="87"/>
        <v>Inefficient</v>
      </c>
      <c r="S1111" s="2" t="str">
        <f t="shared" si="88"/>
        <v>Very Long</v>
      </c>
      <c r="T1111" s="2" t="str">
        <f t="shared" si="89"/>
        <v>Minor Delay</v>
      </c>
    </row>
    <row r="1112" spans="1:20" x14ac:dyDescent="0.35">
      <c r="A1112" s="2" t="s">
        <v>2407</v>
      </c>
      <c r="B1112" s="2" t="s">
        <v>51</v>
      </c>
      <c r="C1112" s="2" t="s">
        <v>2408</v>
      </c>
      <c r="D1112" s="2" t="s">
        <v>48</v>
      </c>
      <c r="E1112" s="2" t="s">
        <v>33</v>
      </c>
      <c r="F1112" s="2" t="s">
        <v>27</v>
      </c>
      <c r="G1112" s="2" t="s">
        <v>916</v>
      </c>
      <c r="H1112" s="3">
        <v>45439.432638888888</v>
      </c>
      <c r="I1112" s="3">
        <v>45439.559027777781</v>
      </c>
      <c r="J1112" s="2">
        <v>122</v>
      </c>
      <c r="K1112" s="2">
        <v>182</v>
      </c>
      <c r="L1112" s="2">
        <v>1</v>
      </c>
      <c r="M1112" s="2" t="s">
        <v>41</v>
      </c>
      <c r="N1112" s="2">
        <v>1</v>
      </c>
      <c r="O1112" s="2">
        <v>424.61</v>
      </c>
      <c r="P1112" s="2">
        <f t="shared" si="85"/>
        <v>60</v>
      </c>
      <c r="Q1112" s="4">
        <f t="shared" si="86"/>
        <v>0.67032967032967028</v>
      </c>
      <c r="R1112" s="2" t="str">
        <f t="shared" si="87"/>
        <v>Inefficient</v>
      </c>
      <c r="S1112" s="2" t="str">
        <f t="shared" si="88"/>
        <v>Very Long</v>
      </c>
      <c r="T1112" s="2" t="str">
        <f t="shared" si="89"/>
        <v>Major Delay</v>
      </c>
    </row>
    <row r="1113" spans="1:20" x14ac:dyDescent="0.35">
      <c r="A1113" s="2" t="s">
        <v>2409</v>
      </c>
      <c r="B1113" s="2" t="s">
        <v>51</v>
      </c>
      <c r="C1113" s="2" t="s">
        <v>2410</v>
      </c>
      <c r="D1113" s="2" t="s">
        <v>48</v>
      </c>
      <c r="E1113" s="2" t="s">
        <v>85</v>
      </c>
      <c r="F1113" s="2" t="s">
        <v>27</v>
      </c>
      <c r="G1113" s="2" t="s">
        <v>470</v>
      </c>
      <c r="H1113" s="3">
        <v>45556.359027777777</v>
      </c>
      <c r="I1113" s="3">
        <v>45556.504861111112</v>
      </c>
      <c r="J1113" s="2">
        <v>109</v>
      </c>
      <c r="K1113" s="2">
        <v>210</v>
      </c>
      <c r="L1113" s="2">
        <v>1</v>
      </c>
      <c r="M1113" s="2" t="s">
        <v>22</v>
      </c>
      <c r="N1113" s="2">
        <v>7</v>
      </c>
      <c r="O1113" s="2">
        <v>145.66</v>
      </c>
      <c r="P1113" s="2">
        <f t="shared" si="85"/>
        <v>101</v>
      </c>
      <c r="Q1113" s="4">
        <f t="shared" si="86"/>
        <v>0.51904761904761909</v>
      </c>
      <c r="R1113" s="2" t="str">
        <f t="shared" si="87"/>
        <v>Inefficient</v>
      </c>
      <c r="S1113" s="2" t="str">
        <f t="shared" si="88"/>
        <v>Very Long</v>
      </c>
      <c r="T1113" s="2" t="str">
        <f t="shared" si="89"/>
        <v>Major Delay</v>
      </c>
    </row>
    <row r="1114" spans="1:20" x14ac:dyDescent="0.35">
      <c r="A1114" s="2" t="s">
        <v>2411</v>
      </c>
      <c r="B1114" s="2" t="s">
        <v>63</v>
      </c>
      <c r="C1114" s="2" t="s">
        <v>2412</v>
      </c>
      <c r="D1114" s="2" t="s">
        <v>18</v>
      </c>
      <c r="E1114" s="2" t="s">
        <v>19</v>
      </c>
      <c r="F1114" s="2" t="s">
        <v>20</v>
      </c>
      <c r="G1114" s="2" t="s">
        <v>188</v>
      </c>
      <c r="H1114" s="3">
        <v>45322.205555555556</v>
      </c>
      <c r="I1114" s="3">
        <v>45322.424305555556</v>
      </c>
      <c r="J1114" s="2">
        <v>221</v>
      </c>
      <c r="K1114" s="2">
        <v>315</v>
      </c>
      <c r="L1114" s="2">
        <v>1</v>
      </c>
      <c r="M1114" s="2" t="s">
        <v>41</v>
      </c>
      <c r="N1114" s="2">
        <v>4</v>
      </c>
      <c r="O1114" s="2">
        <v>93.2</v>
      </c>
      <c r="P1114" s="2">
        <f t="shared" si="85"/>
        <v>94</v>
      </c>
      <c r="Q1114" s="4">
        <f t="shared" si="86"/>
        <v>0.70158730158730154</v>
      </c>
      <c r="R1114" s="2" t="str">
        <f t="shared" si="87"/>
        <v>Inefficient</v>
      </c>
      <c r="S1114" s="2" t="str">
        <f t="shared" si="88"/>
        <v>Very Long</v>
      </c>
      <c r="T1114" s="2" t="str">
        <f t="shared" si="89"/>
        <v>Major Delay</v>
      </c>
    </row>
    <row r="1115" spans="1:20" x14ac:dyDescent="0.35">
      <c r="A1115" s="2" t="s">
        <v>2413</v>
      </c>
      <c r="B1115" s="2" t="s">
        <v>16</v>
      </c>
      <c r="C1115" s="2" t="s">
        <v>2414</v>
      </c>
      <c r="D1115" s="2" t="s">
        <v>48</v>
      </c>
      <c r="E1115" s="2" t="s">
        <v>38</v>
      </c>
      <c r="F1115" s="2" t="s">
        <v>34</v>
      </c>
      <c r="G1115" s="2" t="s">
        <v>594</v>
      </c>
      <c r="H1115" s="3">
        <v>45433.850694444445</v>
      </c>
      <c r="I1115" s="3">
        <v>45434.006249999999</v>
      </c>
      <c r="J1115" s="2">
        <v>219</v>
      </c>
      <c r="K1115" s="2">
        <v>224</v>
      </c>
      <c r="L1115" s="2">
        <v>1</v>
      </c>
      <c r="M1115" s="2" t="s">
        <v>29</v>
      </c>
      <c r="N1115" s="2">
        <v>4</v>
      </c>
      <c r="O1115" s="2">
        <v>397.19</v>
      </c>
      <c r="P1115" s="2">
        <f t="shared" si="85"/>
        <v>5</v>
      </c>
      <c r="Q1115" s="4">
        <f t="shared" si="86"/>
        <v>0.9776785714285714</v>
      </c>
      <c r="R1115" s="2" t="str">
        <f t="shared" si="87"/>
        <v>Inefficient</v>
      </c>
      <c r="S1115" s="2" t="str">
        <f t="shared" si="88"/>
        <v>Very Long</v>
      </c>
      <c r="T1115" s="2" t="str">
        <f t="shared" si="89"/>
        <v>Minor Delay</v>
      </c>
    </row>
    <row r="1116" spans="1:20" x14ac:dyDescent="0.35">
      <c r="A1116" s="2" t="s">
        <v>2415</v>
      </c>
      <c r="B1116" s="2" t="s">
        <v>63</v>
      </c>
      <c r="C1116" s="2" t="s">
        <v>2416</v>
      </c>
      <c r="D1116" s="2" t="s">
        <v>48</v>
      </c>
      <c r="E1116" s="2" t="s">
        <v>19</v>
      </c>
      <c r="F1116" s="2" t="s">
        <v>27</v>
      </c>
      <c r="G1116" s="2" t="s">
        <v>91</v>
      </c>
      <c r="H1116" s="3">
        <v>45604.243055555555</v>
      </c>
      <c r="I1116" s="3">
        <v>45604.335416666669</v>
      </c>
      <c r="J1116" s="2">
        <v>123</v>
      </c>
      <c r="K1116" s="2">
        <v>133</v>
      </c>
      <c r="L1116" s="2">
        <v>1</v>
      </c>
      <c r="M1116" s="2" t="s">
        <v>22</v>
      </c>
      <c r="N1116" s="2">
        <v>7</v>
      </c>
      <c r="O1116" s="2">
        <v>112.83</v>
      </c>
      <c r="P1116" s="2">
        <f t="shared" si="85"/>
        <v>10</v>
      </c>
      <c r="Q1116" s="4">
        <f t="shared" si="86"/>
        <v>0.92481203007518797</v>
      </c>
      <c r="R1116" s="2" t="str">
        <f t="shared" si="87"/>
        <v>Inefficient</v>
      </c>
      <c r="S1116" s="2" t="str">
        <f t="shared" si="88"/>
        <v>Very Long</v>
      </c>
      <c r="T1116" s="2" t="str">
        <f t="shared" si="89"/>
        <v>Minor Delay</v>
      </c>
    </row>
    <row r="1117" spans="1:20" x14ac:dyDescent="0.35">
      <c r="A1117" s="2" t="s">
        <v>2417</v>
      </c>
      <c r="B1117" s="2" t="s">
        <v>24</v>
      </c>
      <c r="C1117" s="2" t="s">
        <v>2418</v>
      </c>
      <c r="D1117" s="2" t="s">
        <v>26</v>
      </c>
      <c r="E1117" s="2" t="s">
        <v>85</v>
      </c>
      <c r="F1117" s="2" t="s">
        <v>27</v>
      </c>
      <c r="G1117" s="2" t="s">
        <v>140</v>
      </c>
      <c r="H1117" s="3">
        <v>45517.558333333334</v>
      </c>
      <c r="I1117" s="3">
        <v>45517.602083333331</v>
      </c>
      <c r="J1117" s="2">
        <v>10</v>
      </c>
      <c r="K1117" s="2">
        <v>63</v>
      </c>
      <c r="L1117" s="2">
        <v>1</v>
      </c>
      <c r="M1117" s="2" t="s">
        <v>22</v>
      </c>
      <c r="N1117" s="2">
        <v>8</v>
      </c>
      <c r="O1117" s="2">
        <v>486.52</v>
      </c>
      <c r="P1117" s="2">
        <f t="shared" si="85"/>
        <v>53</v>
      </c>
      <c r="Q1117" s="4">
        <f t="shared" si="86"/>
        <v>0.15873015873015872</v>
      </c>
      <c r="R1117" s="2" t="str">
        <f t="shared" si="87"/>
        <v>Inefficient</v>
      </c>
      <c r="S1117" s="2" t="str">
        <f t="shared" si="88"/>
        <v>Long</v>
      </c>
      <c r="T1117" s="2" t="str">
        <f t="shared" si="89"/>
        <v>Major Delay</v>
      </c>
    </row>
    <row r="1118" spans="1:20" x14ac:dyDescent="0.35">
      <c r="A1118" s="2" t="s">
        <v>2419</v>
      </c>
      <c r="B1118" s="2" t="s">
        <v>16</v>
      </c>
      <c r="C1118" s="2" t="s">
        <v>2420</v>
      </c>
      <c r="D1118" s="2" t="s">
        <v>48</v>
      </c>
      <c r="E1118" s="2" t="s">
        <v>19</v>
      </c>
      <c r="F1118" s="2" t="s">
        <v>27</v>
      </c>
      <c r="G1118" s="2" t="s">
        <v>476</v>
      </c>
      <c r="H1118" s="3">
        <v>45437.353472222225</v>
      </c>
      <c r="I1118" s="3">
        <v>45437.558333333334</v>
      </c>
      <c r="J1118" s="2">
        <v>177</v>
      </c>
      <c r="K1118" s="2">
        <v>295</v>
      </c>
      <c r="L1118" s="2">
        <v>1</v>
      </c>
      <c r="M1118" s="2" t="s">
        <v>41</v>
      </c>
      <c r="N1118" s="2">
        <v>6</v>
      </c>
      <c r="O1118" s="2">
        <v>362.89</v>
      </c>
      <c r="P1118" s="2">
        <f t="shared" si="85"/>
        <v>118</v>
      </c>
      <c r="Q1118" s="4">
        <f t="shared" si="86"/>
        <v>0.6</v>
      </c>
      <c r="R1118" s="2" t="str">
        <f t="shared" si="87"/>
        <v>Inefficient</v>
      </c>
      <c r="S1118" s="2" t="str">
        <f t="shared" si="88"/>
        <v>Very Long</v>
      </c>
      <c r="T1118" s="2" t="str">
        <f t="shared" si="89"/>
        <v>Major Delay</v>
      </c>
    </row>
    <row r="1119" spans="1:20" x14ac:dyDescent="0.35">
      <c r="A1119" s="2" t="s">
        <v>2421</v>
      </c>
      <c r="B1119" s="2" t="s">
        <v>63</v>
      </c>
      <c r="C1119" s="2" t="s">
        <v>2422</v>
      </c>
      <c r="D1119" s="2" t="s">
        <v>18</v>
      </c>
      <c r="E1119" s="2" t="s">
        <v>38</v>
      </c>
      <c r="F1119" s="2" t="s">
        <v>34</v>
      </c>
      <c r="G1119" s="2" t="s">
        <v>354</v>
      </c>
      <c r="H1119" s="3">
        <v>45655.782638888886</v>
      </c>
      <c r="I1119" s="3">
        <v>45655.834027777775</v>
      </c>
      <c r="J1119" s="2">
        <v>23</v>
      </c>
      <c r="K1119" s="2">
        <v>74</v>
      </c>
      <c r="L1119" s="2">
        <v>1</v>
      </c>
      <c r="M1119" s="2" t="s">
        <v>29</v>
      </c>
      <c r="N1119" s="2">
        <v>7</v>
      </c>
      <c r="O1119" s="2">
        <v>383.11</v>
      </c>
      <c r="P1119" s="2">
        <f t="shared" si="85"/>
        <v>51</v>
      </c>
      <c r="Q1119" s="4">
        <f t="shared" si="86"/>
        <v>0.3108108108108108</v>
      </c>
      <c r="R1119" s="2" t="str">
        <f t="shared" si="87"/>
        <v>Inefficient</v>
      </c>
      <c r="S1119" s="2" t="str">
        <f t="shared" si="88"/>
        <v>Long</v>
      </c>
      <c r="T1119" s="2" t="str">
        <f t="shared" si="89"/>
        <v>Major Delay</v>
      </c>
    </row>
    <row r="1120" spans="1:20" x14ac:dyDescent="0.35">
      <c r="A1120" s="2" t="s">
        <v>2423</v>
      </c>
      <c r="B1120" s="2" t="s">
        <v>63</v>
      </c>
      <c r="C1120" s="2" t="s">
        <v>2424</v>
      </c>
      <c r="D1120" s="2" t="s">
        <v>26</v>
      </c>
      <c r="E1120" s="2" t="s">
        <v>19</v>
      </c>
      <c r="F1120" s="2" t="s">
        <v>27</v>
      </c>
      <c r="G1120" s="2" t="s">
        <v>462</v>
      </c>
      <c r="H1120" s="3">
        <v>45648.051388888889</v>
      </c>
      <c r="I1120" s="3">
        <v>45648.243055555555</v>
      </c>
      <c r="J1120" s="2">
        <v>224</v>
      </c>
      <c r="K1120" s="2">
        <v>276</v>
      </c>
      <c r="L1120" s="2">
        <v>1</v>
      </c>
      <c r="M1120" s="2" t="s">
        <v>41</v>
      </c>
      <c r="N1120" s="2">
        <v>7</v>
      </c>
      <c r="O1120" s="2">
        <v>140.07</v>
      </c>
      <c r="P1120" s="2">
        <f t="shared" si="85"/>
        <v>52</v>
      </c>
      <c r="Q1120" s="4">
        <f t="shared" si="86"/>
        <v>0.81159420289855078</v>
      </c>
      <c r="R1120" s="2" t="str">
        <f t="shared" si="87"/>
        <v>Inefficient</v>
      </c>
      <c r="S1120" s="2" t="str">
        <f t="shared" si="88"/>
        <v>Very Long</v>
      </c>
      <c r="T1120" s="2" t="str">
        <f t="shared" si="89"/>
        <v>Major Delay</v>
      </c>
    </row>
    <row r="1121" spans="1:20" x14ac:dyDescent="0.35">
      <c r="A1121" s="2" t="s">
        <v>2425</v>
      </c>
      <c r="B1121" s="2" t="s">
        <v>31</v>
      </c>
      <c r="C1121" s="2" t="s">
        <v>2426</v>
      </c>
      <c r="D1121" s="2" t="s">
        <v>26</v>
      </c>
      <c r="E1121" s="2" t="s">
        <v>19</v>
      </c>
      <c r="F1121" s="2" t="s">
        <v>57</v>
      </c>
      <c r="G1121" s="2" t="s">
        <v>213</v>
      </c>
      <c r="H1121" s="3">
        <v>45384.265972222223</v>
      </c>
      <c r="I1121" s="3">
        <v>45384.338194444441</v>
      </c>
      <c r="J1121" s="2">
        <v>30</v>
      </c>
      <c r="K1121" s="2">
        <v>104</v>
      </c>
      <c r="L1121" s="2">
        <v>1</v>
      </c>
      <c r="M1121" s="2" t="s">
        <v>29</v>
      </c>
      <c r="N1121" s="2">
        <v>10</v>
      </c>
      <c r="O1121" s="2">
        <v>203.61</v>
      </c>
      <c r="P1121" s="2">
        <f t="shared" si="85"/>
        <v>74</v>
      </c>
      <c r="Q1121" s="4">
        <f t="shared" si="86"/>
        <v>0.28846153846153844</v>
      </c>
      <c r="R1121" s="2" t="str">
        <f t="shared" si="87"/>
        <v>Inefficient</v>
      </c>
      <c r="S1121" s="2" t="str">
        <f t="shared" si="88"/>
        <v>Long</v>
      </c>
      <c r="T1121" s="2" t="str">
        <f t="shared" si="89"/>
        <v>Major Delay</v>
      </c>
    </row>
    <row r="1122" spans="1:20" x14ac:dyDescent="0.35">
      <c r="A1122" s="2" t="s">
        <v>2427</v>
      </c>
      <c r="B1122" s="2" t="s">
        <v>51</v>
      </c>
      <c r="C1122" s="2" t="s">
        <v>2428</v>
      </c>
      <c r="D1122" s="2" t="s">
        <v>26</v>
      </c>
      <c r="E1122" s="2" t="s">
        <v>85</v>
      </c>
      <c r="F1122" s="2" t="s">
        <v>57</v>
      </c>
      <c r="G1122" s="2" t="s">
        <v>359</v>
      </c>
      <c r="H1122" s="3">
        <v>45632.34652777778</v>
      </c>
      <c r="I1122" s="3">
        <v>45632.563194444447</v>
      </c>
      <c r="J1122" s="2">
        <v>222</v>
      </c>
      <c r="K1122" s="2">
        <v>312</v>
      </c>
      <c r="L1122" s="2">
        <v>1</v>
      </c>
      <c r="M1122" s="2" t="s">
        <v>41</v>
      </c>
      <c r="N1122" s="2">
        <v>9</v>
      </c>
      <c r="O1122" s="2">
        <v>150.84</v>
      </c>
      <c r="P1122" s="2">
        <f t="shared" si="85"/>
        <v>90</v>
      </c>
      <c r="Q1122" s="4">
        <f t="shared" si="86"/>
        <v>0.71153846153846156</v>
      </c>
      <c r="R1122" s="2" t="str">
        <f t="shared" si="87"/>
        <v>Inefficient</v>
      </c>
      <c r="S1122" s="2" t="str">
        <f t="shared" si="88"/>
        <v>Very Long</v>
      </c>
      <c r="T1122" s="2" t="str">
        <f t="shared" si="89"/>
        <v>Major Delay</v>
      </c>
    </row>
    <row r="1123" spans="1:20" x14ac:dyDescent="0.35">
      <c r="A1123" s="2" t="s">
        <v>2429</v>
      </c>
      <c r="B1123" s="2" t="s">
        <v>51</v>
      </c>
      <c r="C1123" s="2" t="s">
        <v>2430</v>
      </c>
      <c r="D1123" s="2" t="s">
        <v>44</v>
      </c>
      <c r="E1123" s="2" t="s">
        <v>85</v>
      </c>
      <c r="F1123" s="2" t="s">
        <v>20</v>
      </c>
      <c r="G1123" s="2" t="s">
        <v>146</v>
      </c>
      <c r="H1123" s="3">
        <v>45533.904861111114</v>
      </c>
      <c r="I1123" s="3">
        <v>45533.995833333334</v>
      </c>
      <c r="J1123" s="2">
        <v>95</v>
      </c>
      <c r="K1123" s="2">
        <v>131</v>
      </c>
      <c r="L1123" s="2">
        <v>1</v>
      </c>
      <c r="M1123" s="2" t="s">
        <v>29</v>
      </c>
      <c r="N1123" s="2">
        <v>4</v>
      </c>
      <c r="O1123" s="2">
        <v>194.11</v>
      </c>
      <c r="P1123" s="2">
        <f t="shared" si="85"/>
        <v>36</v>
      </c>
      <c r="Q1123" s="4">
        <f t="shared" si="86"/>
        <v>0.72519083969465647</v>
      </c>
      <c r="R1123" s="2" t="str">
        <f t="shared" si="87"/>
        <v>Inefficient</v>
      </c>
      <c r="S1123" s="2" t="str">
        <f t="shared" si="88"/>
        <v>Very Long</v>
      </c>
      <c r="T1123" s="2" t="str">
        <f t="shared" si="89"/>
        <v>Major Delay</v>
      </c>
    </row>
    <row r="1124" spans="1:20" x14ac:dyDescent="0.35">
      <c r="A1124" s="2" t="s">
        <v>2431</v>
      </c>
      <c r="B1124" s="2" t="s">
        <v>51</v>
      </c>
      <c r="C1124" s="2" t="s">
        <v>2432</v>
      </c>
      <c r="D1124" s="2" t="s">
        <v>56</v>
      </c>
      <c r="E1124" s="2" t="s">
        <v>85</v>
      </c>
      <c r="F1124" s="2" t="s">
        <v>39</v>
      </c>
      <c r="G1124" s="2" t="s">
        <v>21</v>
      </c>
      <c r="H1124" s="3">
        <v>45612.526388888888</v>
      </c>
      <c r="I1124" s="3">
        <v>45612.673611111109</v>
      </c>
      <c r="J1124" s="2">
        <v>113</v>
      </c>
      <c r="K1124" s="2">
        <v>212</v>
      </c>
      <c r="L1124" s="2">
        <v>1</v>
      </c>
      <c r="M1124" s="2" t="s">
        <v>29</v>
      </c>
      <c r="N1124" s="2">
        <v>1</v>
      </c>
      <c r="O1124" s="2">
        <v>200.75</v>
      </c>
      <c r="P1124" s="2">
        <f t="shared" si="85"/>
        <v>99</v>
      </c>
      <c r="Q1124" s="4">
        <f t="shared" si="86"/>
        <v>0.53301886792452835</v>
      </c>
      <c r="R1124" s="2" t="str">
        <f t="shared" si="87"/>
        <v>Inefficient</v>
      </c>
      <c r="S1124" s="2" t="str">
        <f t="shared" si="88"/>
        <v>Very Long</v>
      </c>
      <c r="T1124" s="2" t="str">
        <f t="shared" si="89"/>
        <v>Major Delay</v>
      </c>
    </row>
    <row r="1125" spans="1:20" x14ac:dyDescent="0.35">
      <c r="A1125" s="2" t="s">
        <v>2433</v>
      </c>
      <c r="B1125" s="2" t="s">
        <v>24</v>
      </c>
      <c r="C1125" s="2" t="s">
        <v>2434</v>
      </c>
      <c r="D1125" s="2" t="s">
        <v>44</v>
      </c>
      <c r="E1125" s="2" t="s">
        <v>19</v>
      </c>
      <c r="F1125" s="2" t="s">
        <v>57</v>
      </c>
      <c r="G1125" s="2" t="s">
        <v>1125</v>
      </c>
      <c r="H1125" s="3">
        <v>45467.986805555556</v>
      </c>
      <c r="I1125" s="3">
        <v>45468.034722222219</v>
      </c>
      <c r="J1125" s="2">
        <v>58</v>
      </c>
      <c r="K1125" s="2">
        <v>69</v>
      </c>
      <c r="L1125" s="2">
        <v>1</v>
      </c>
      <c r="M1125" s="2" t="s">
        <v>22</v>
      </c>
      <c r="N1125" s="2">
        <v>7</v>
      </c>
      <c r="O1125" s="2">
        <v>253.48</v>
      </c>
      <c r="P1125" s="2">
        <f t="shared" si="85"/>
        <v>11</v>
      </c>
      <c r="Q1125" s="4">
        <f t="shared" si="86"/>
        <v>0.84057971014492749</v>
      </c>
      <c r="R1125" s="2" t="str">
        <f t="shared" si="87"/>
        <v>Inefficient</v>
      </c>
      <c r="S1125" s="2" t="str">
        <f t="shared" si="88"/>
        <v>Long</v>
      </c>
      <c r="T1125" s="2" t="str">
        <f t="shared" si="89"/>
        <v>Minor Delay</v>
      </c>
    </row>
    <row r="1126" spans="1:20" x14ac:dyDescent="0.35">
      <c r="A1126" s="2" t="s">
        <v>2435</v>
      </c>
      <c r="B1126" s="2" t="s">
        <v>16</v>
      </c>
      <c r="C1126" s="2" t="s">
        <v>2436</v>
      </c>
      <c r="D1126" s="2" t="s">
        <v>48</v>
      </c>
      <c r="E1126" s="2" t="s">
        <v>85</v>
      </c>
      <c r="F1126" s="2" t="s">
        <v>20</v>
      </c>
      <c r="G1126" s="2" t="s">
        <v>853</v>
      </c>
      <c r="H1126" s="3">
        <v>45524.15902777778</v>
      </c>
      <c r="I1126" s="3">
        <v>45524.334722222222</v>
      </c>
      <c r="J1126" s="2">
        <v>143</v>
      </c>
      <c r="K1126" s="2">
        <v>253</v>
      </c>
      <c r="L1126" s="2">
        <v>1</v>
      </c>
      <c r="M1126" s="2" t="s">
        <v>22</v>
      </c>
      <c r="N1126" s="2">
        <v>8</v>
      </c>
      <c r="O1126" s="2">
        <v>137.71</v>
      </c>
      <c r="P1126" s="2">
        <f t="shared" si="85"/>
        <v>110</v>
      </c>
      <c r="Q1126" s="4">
        <f t="shared" si="86"/>
        <v>0.56521739130434778</v>
      </c>
      <c r="R1126" s="2" t="str">
        <f t="shared" si="87"/>
        <v>Inefficient</v>
      </c>
      <c r="S1126" s="2" t="str">
        <f t="shared" si="88"/>
        <v>Very Long</v>
      </c>
      <c r="T1126" s="2" t="str">
        <f t="shared" si="89"/>
        <v>Major Delay</v>
      </c>
    </row>
    <row r="1127" spans="1:20" x14ac:dyDescent="0.35">
      <c r="A1127" s="2" t="s">
        <v>2437</v>
      </c>
      <c r="B1127" s="2" t="s">
        <v>63</v>
      </c>
      <c r="C1127" s="2" t="s">
        <v>2438</v>
      </c>
      <c r="D1127" s="2" t="s">
        <v>56</v>
      </c>
      <c r="E1127" s="2" t="s">
        <v>85</v>
      </c>
      <c r="F1127" s="2" t="s">
        <v>27</v>
      </c>
      <c r="G1127" s="2" t="s">
        <v>388</v>
      </c>
      <c r="H1127" s="3">
        <v>45531.368055555555</v>
      </c>
      <c r="I1127" s="3">
        <v>45531.451388888891</v>
      </c>
      <c r="J1127" s="2">
        <v>65</v>
      </c>
      <c r="K1127" s="2">
        <v>120</v>
      </c>
      <c r="L1127" s="2">
        <v>1</v>
      </c>
      <c r="M1127" s="2" t="s">
        <v>22</v>
      </c>
      <c r="N1127" s="2">
        <v>5</v>
      </c>
      <c r="O1127" s="2">
        <v>463.34</v>
      </c>
      <c r="P1127" s="2">
        <f t="shared" si="85"/>
        <v>55</v>
      </c>
      <c r="Q1127" s="4">
        <f t="shared" si="86"/>
        <v>0.54166666666666663</v>
      </c>
      <c r="R1127" s="2" t="str">
        <f t="shared" si="87"/>
        <v>Inefficient</v>
      </c>
      <c r="S1127" s="2" t="str">
        <f t="shared" si="88"/>
        <v>Very Long</v>
      </c>
      <c r="T1127" s="2" t="str">
        <f t="shared" si="89"/>
        <v>Major Delay</v>
      </c>
    </row>
    <row r="1128" spans="1:20" x14ac:dyDescent="0.35">
      <c r="A1128" s="2" t="s">
        <v>2439</v>
      </c>
      <c r="B1128" s="2" t="s">
        <v>63</v>
      </c>
      <c r="C1128" s="2" t="s">
        <v>2440</v>
      </c>
      <c r="D1128" s="2" t="s">
        <v>44</v>
      </c>
      <c r="E1128" s="2" t="s">
        <v>85</v>
      </c>
      <c r="F1128" s="2" t="s">
        <v>27</v>
      </c>
      <c r="G1128" s="2" t="s">
        <v>1125</v>
      </c>
      <c r="H1128" s="3">
        <v>45457.835416666669</v>
      </c>
      <c r="I1128" s="3">
        <v>45458.000694444447</v>
      </c>
      <c r="J1128" s="2">
        <v>129</v>
      </c>
      <c r="K1128" s="2">
        <v>238</v>
      </c>
      <c r="L1128" s="2">
        <v>1</v>
      </c>
      <c r="M1128" s="2" t="s">
        <v>22</v>
      </c>
      <c r="N1128" s="2">
        <v>10</v>
      </c>
      <c r="O1128" s="2">
        <v>469.56</v>
      </c>
      <c r="P1128" s="2">
        <f t="shared" si="85"/>
        <v>109</v>
      </c>
      <c r="Q1128" s="4">
        <f t="shared" si="86"/>
        <v>0.54201680672268904</v>
      </c>
      <c r="R1128" s="2" t="str">
        <f t="shared" si="87"/>
        <v>Inefficient</v>
      </c>
      <c r="S1128" s="2" t="str">
        <f t="shared" si="88"/>
        <v>Very Long</v>
      </c>
      <c r="T1128" s="2" t="str">
        <f t="shared" si="89"/>
        <v>Major Delay</v>
      </c>
    </row>
    <row r="1129" spans="1:20" x14ac:dyDescent="0.35">
      <c r="A1129" s="2" t="s">
        <v>2441</v>
      </c>
      <c r="B1129" s="2" t="s">
        <v>63</v>
      </c>
      <c r="C1129" s="2" t="s">
        <v>2442</v>
      </c>
      <c r="D1129" s="2" t="s">
        <v>44</v>
      </c>
      <c r="E1129" s="2" t="s">
        <v>33</v>
      </c>
      <c r="F1129" s="2" t="s">
        <v>34</v>
      </c>
      <c r="G1129" s="2" t="s">
        <v>364</v>
      </c>
      <c r="H1129" s="3">
        <v>45465.179861111108</v>
      </c>
      <c r="I1129" s="3">
        <v>45465.401388888888</v>
      </c>
      <c r="J1129" s="2">
        <v>199</v>
      </c>
      <c r="K1129" s="2">
        <v>319</v>
      </c>
      <c r="L1129" s="2">
        <v>1</v>
      </c>
      <c r="M1129" s="2" t="s">
        <v>29</v>
      </c>
      <c r="N1129" s="2">
        <v>8</v>
      </c>
      <c r="O1129" s="2">
        <v>452.85</v>
      </c>
      <c r="P1129" s="2">
        <f t="shared" si="85"/>
        <v>120</v>
      </c>
      <c r="Q1129" s="4">
        <f t="shared" si="86"/>
        <v>0.62382445141065834</v>
      </c>
      <c r="R1129" s="2" t="str">
        <f t="shared" si="87"/>
        <v>Inefficient</v>
      </c>
      <c r="S1129" s="2" t="str">
        <f t="shared" si="88"/>
        <v>Very Long</v>
      </c>
      <c r="T1129" s="2" t="str">
        <f t="shared" si="89"/>
        <v>Major Delay</v>
      </c>
    </row>
    <row r="1130" spans="1:20" x14ac:dyDescent="0.35">
      <c r="A1130" s="2" t="s">
        <v>2443</v>
      </c>
      <c r="B1130" s="2" t="s">
        <v>63</v>
      </c>
      <c r="C1130" s="2" t="s">
        <v>2444</v>
      </c>
      <c r="D1130" s="2" t="s">
        <v>48</v>
      </c>
      <c r="E1130" s="2" t="s">
        <v>19</v>
      </c>
      <c r="F1130" s="2" t="s">
        <v>20</v>
      </c>
      <c r="G1130" s="2" t="s">
        <v>182</v>
      </c>
      <c r="H1130" s="3">
        <v>45343.039583333331</v>
      </c>
      <c r="I1130" s="3">
        <v>45343.129166666666</v>
      </c>
      <c r="J1130" s="2">
        <v>109</v>
      </c>
      <c r="K1130" s="2">
        <v>129</v>
      </c>
      <c r="L1130" s="2">
        <v>1</v>
      </c>
      <c r="M1130" s="2" t="s">
        <v>41</v>
      </c>
      <c r="N1130" s="2">
        <v>7</v>
      </c>
      <c r="O1130" s="2">
        <v>278.35000000000002</v>
      </c>
      <c r="P1130" s="2">
        <f t="shared" si="85"/>
        <v>20</v>
      </c>
      <c r="Q1130" s="4">
        <f t="shared" si="86"/>
        <v>0.84496124031007747</v>
      </c>
      <c r="R1130" s="2" t="str">
        <f t="shared" si="87"/>
        <v>Inefficient</v>
      </c>
      <c r="S1130" s="2" t="str">
        <f t="shared" si="88"/>
        <v>Very Long</v>
      </c>
      <c r="T1130" s="2" t="str">
        <f t="shared" si="89"/>
        <v>Minor Delay</v>
      </c>
    </row>
    <row r="1131" spans="1:20" x14ac:dyDescent="0.35">
      <c r="A1131" s="2" t="s">
        <v>2445</v>
      </c>
      <c r="B1131" s="2" t="s">
        <v>16</v>
      </c>
      <c r="C1131" s="2" t="s">
        <v>2446</v>
      </c>
      <c r="D1131" s="2" t="s">
        <v>44</v>
      </c>
      <c r="E1131" s="2" t="s">
        <v>85</v>
      </c>
      <c r="F1131" s="2" t="s">
        <v>20</v>
      </c>
      <c r="G1131" s="2" t="s">
        <v>782</v>
      </c>
      <c r="H1131" s="3">
        <v>45345.748611111114</v>
      </c>
      <c r="I1131" s="3">
        <v>45345.89166666667</v>
      </c>
      <c r="J1131" s="2">
        <v>97</v>
      </c>
      <c r="K1131" s="2">
        <v>206</v>
      </c>
      <c r="L1131" s="2">
        <v>1</v>
      </c>
      <c r="M1131" s="2" t="s">
        <v>41</v>
      </c>
      <c r="N1131" s="2">
        <v>2</v>
      </c>
      <c r="O1131" s="2">
        <v>57.48</v>
      </c>
      <c r="P1131" s="2">
        <f t="shared" si="85"/>
        <v>109</v>
      </c>
      <c r="Q1131" s="4">
        <f t="shared" si="86"/>
        <v>0.470873786407767</v>
      </c>
      <c r="R1131" s="2" t="str">
        <f t="shared" si="87"/>
        <v>Inefficient</v>
      </c>
      <c r="S1131" s="2" t="str">
        <f t="shared" si="88"/>
        <v>Very Long</v>
      </c>
      <c r="T1131" s="2" t="str">
        <f t="shared" si="89"/>
        <v>Major Delay</v>
      </c>
    </row>
    <row r="1132" spans="1:20" x14ac:dyDescent="0.35">
      <c r="A1132" s="2" t="s">
        <v>2447</v>
      </c>
      <c r="B1132" s="2" t="s">
        <v>63</v>
      </c>
      <c r="C1132" s="2" t="s">
        <v>2448</v>
      </c>
      <c r="D1132" s="2" t="s">
        <v>56</v>
      </c>
      <c r="E1132" s="2" t="s">
        <v>38</v>
      </c>
      <c r="F1132" s="2" t="s">
        <v>39</v>
      </c>
      <c r="G1132" s="2" t="s">
        <v>283</v>
      </c>
      <c r="H1132" s="3">
        <v>45548.347222222219</v>
      </c>
      <c r="I1132" s="3">
        <v>45548.501388888886</v>
      </c>
      <c r="J1132" s="2">
        <v>226</v>
      </c>
      <c r="K1132" s="2">
        <v>222</v>
      </c>
      <c r="L1132" s="2">
        <v>0</v>
      </c>
      <c r="M1132" s="2" t="s">
        <v>41</v>
      </c>
      <c r="N1132" s="2">
        <v>2</v>
      </c>
      <c r="O1132" s="2">
        <v>210.47</v>
      </c>
      <c r="P1132" s="2">
        <f t="shared" si="85"/>
        <v>-4</v>
      </c>
      <c r="Q1132" s="4">
        <f t="shared" si="86"/>
        <v>1.0180180180180181</v>
      </c>
      <c r="R1132" s="2" t="str">
        <f t="shared" si="87"/>
        <v>Efficient</v>
      </c>
      <c r="S1132" s="2" t="str">
        <f t="shared" si="88"/>
        <v>Very Long</v>
      </c>
      <c r="T1132" s="2" t="str">
        <f t="shared" si="89"/>
        <v>On Time</v>
      </c>
    </row>
    <row r="1133" spans="1:20" x14ac:dyDescent="0.35">
      <c r="A1133" s="2" t="s">
        <v>2449</v>
      </c>
      <c r="B1133" s="2" t="s">
        <v>16</v>
      </c>
      <c r="C1133" s="2" t="s">
        <v>2450</v>
      </c>
      <c r="D1133" s="2" t="s">
        <v>26</v>
      </c>
      <c r="E1133" s="2" t="s">
        <v>33</v>
      </c>
      <c r="F1133" s="2" t="s">
        <v>57</v>
      </c>
      <c r="G1133" s="2" t="s">
        <v>237</v>
      </c>
      <c r="H1133" s="3">
        <v>45340.677777777775</v>
      </c>
      <c r="I1133" s="3">
        <v>45340.743055555555</v>
      </c>
      <c r="J1133" s="2">
        <v>74</v>
      </c>
      <c r="K1133" s="2">
        <v>94</v>
      </c>
      <c r="L1133" s="2">
        <v>1</v>
      </c>
      <c r="M1133" s="2" t="s">
        <v>41</v>
      </c>
      <c r="N1133" s="2">
        <v>6</v>
      </c>
      <c r="O1133" s="2">
        <v>86.77</v>
      </c>
      <c r="P1133" s="2">
        <f t="shared" si="85"/>
        <v>20</v>
      </c>
      <c r="Q1133" s="4">
        <f t="shared" si="86"/>
        <v>0.78723404255319152</v>
      </c>
      <c r="R1133" s="2" t="str">
        <f t="shared" si="87"/>
        <v>Inefficient</v>
      </c>
      <c r="S1133" s="2" t="str">
        <f t="shared" si="88"/>
        <v>Long</v>
      </c>
      <c r="T1133" s="2" t="str">
        <f t="shared" si="89"/>
        <v>Minor Delay</v>
      </c>
    </row>
    <row r="1134" spans="1:20" x14ac:dyDescent="0.35">
      <c r="A1134" s="2" t="s">
        <v>2451</v>
      </c>
      <c r="B1134" s="2" t="s">
        <v>16</v>
      </c>
      <c r="C1134" s="2" t="s">
        <v>2452</v>
      </c>
      <c r="D1134" s="2" t="s">
        <v>26</v>
      </c>
      <c r="E1134" s="2" t="s">
        <v>33</v>
      </c>
      <c r="F1134" s="2" t="s">
        <v>20</v>
      </c>
      <c r="G1134" s="2" t="s">
        <v>505</v>
      </c>
      <c r="H1134" s="3">
        <v>45523.289583333331</v>
      </c>
      <c r="I1134" s="3">
        <v>45523.45416666667</v>
      </c>
      <c r="J1134" s="2">
        <v>198</v>
      </c>
      <c r="K1134" s="2">
        <v>237</v>
      </c>
      <c r="L1134" s="2">
        <v>1</v>
      </c>
      <c r="M1134" s="2" t="s">
        <v>22</v>
      </c>
      <c r="N1134" s="2">
        <v>3</v>
      </c>
      <c r="O1134" s="2">
        <v>167.58</v>
      </c>
      <c r="P1134" s="2">
        <f t="shared" si="85"/>
        <v>39</v>
      </c>
      <c r="Q1134" s="4">
        <f t="shared" si="86"/>
        <v>0.83544303797468356</v>
      </c>
      <c r="R1134" s="2" t="str">
        <f t="shared" si="87"/>
        <v>Inefficient</v>
      </c>
      <c r="S1134" s="2" t="str">
        <f t="shared" si="88"/>
        <v>Very Long</v>
      </c>
      <c r="T1134" s="2" t="str">
        <f t="shared" si="89"/>
        <v>Major Delay</v>
      </c>
    </row>
    <row r="1135" spans="1:20" x14ac:dyDescent="0.35">
      <c r="A1135" s="2" t="s">
        <v>2453</v>
      </c>
      <c r="B1135" s="2" t="s">
        <v>24</v>
      </c>
      <c r="C1135" s="2" t="s">
        <v>2454</v>
      </c>
      <c r="D1135" s="2" t="s">
        <v>26</v>
      </c>
      <c r="E1135" s="2" t="s">
        <v>38</v>
      </c>
      <c r="F1135" s="2" t="s">
        <v>39</v>
      </c>
      <c r="G1135" s="2" t="s">
        <v>182</v>
      </c>
      <c r="H1135" s="3">
        <v>45649.21597222222</v>
      </c>
      <c r="I1135" s="3">
        <v>45649.443055555559</v>
      </c>
      <c r="J1135" s="2">
        <v>207</v>
      </c>
      <c r="K1135" s="2">
        <v>327</v>
      </c>
      <c r="L1135" s="2">
        <v>1</v>
      </c>
      <c r="M1135" s="2" t="s">
        <v>22</v>
      </c>
      <c r="N1135" s="2">
        <v>1</v>
      </c>
      <c r="O1135" s="2">
        <v>356.92</v>
      </c>
      <c r="P1135" s="2">
        <f t="shared" si="85"/>
        <v>120</v>
      </c>
      <c r="Q1135" s="4">
        <f t="shared" si="86"/>
        <v>0.6330275229357798</v>
      </c>
      <c r="R1135" s="2" t="str">
        <f t="shared" si="87"/>
        <v>Inefficient</v>
      </c>
      <c r="S1135" s="2" t="str">
        <f t="shared" si="88"/>
        <v>Very Long</v>
      </c>
      <c r="T1135" s="2" t="str">
        <f t="shared" si="89"/>
        <v>Major Delay</v>
      </c>
    </row>
    <row r="1136" spans="1:20" x14ac:dyDescent="0.35">
      <c r="A1136" s="2" t="s">
        <v>2455</v>
      </c>
      <c r="B1136" s="2" t="s">
        <v>24</v>
      </c>
      <c r="C1136" s="2" t="s">
        <v>2456</v>
      </c>
      <c r="D1136" s="2" t="s">
        <v>56</v>
      </c>
      <c r="E1136" s="2" t="s">
        <v>38</v>
      </c>
      <c r="F1136" s="2" t="s">
        <v>20</v>
      </c>
      <c r="G1136" s="2" t="s">
        <v>640</v>
      </c>
      <c r="H1136" s="3">
        <v>45482.529861111114</v>
      </c>
      <c r="I1136" s="3">
        <v>45482.583333333336</v>
      </c>
      <c r="J1136" s="2">
        <v>37</v>
      </c>
      <c r="K1136" s="2">
        <v>77</v>
      </c>
      <c r="L1136" s="2">
        <v>1</v>
      </c>
      <c r="M1136" s="2" t="s">
        <v>22</v>
      </c>
      <c r="N1136" s="2">
        <v>3</v>
      </c>
      <c r="O1136" s="2">
        <v>290.66000000000003</v>
      </c>
      <c r="P1136" s="2">
        <f t="shared" si="85"/>
        <v>40</v>
      </c>
      <c r="Q1136" s="4">
        <f t="shared" si="86"/>
        <v>0.48051948051948051</v>
      </c>
      <c r="R1136" s="2" t="str">
        <f t="shared" si="87"/>
        <v>Inefficient</v>
      </c>
      <c r="S1136" s="2" t="str">
        <f t="shared" si="88"/>
        <v>Long</v>
      </c>
      <c r="T1136" s="2" t="str">
        <f t="shared" si="89"/>
        <v>Major Delay</v>
      </c>
    </row>
    <row r="1137" spans="1:20" x14ac:dyDescent="0.35">
      <c r="A1137" s="2" t="s">
        <v>2457</v>
      </c>
      <c r="B1137" s="2" t="s">
        <v>24</v>
      </c>
      <c r="C1137" s="2" t="s">
        <v>2458</v>
      </c>
      <c r="D1137" s="2" t="s">
        <v>56</v>
      </c>
      <c r="E1137" s="2" t="s">
        <v>33</v>
      </c>
      <c r="F1137" s="2" t="s">
        <v>27</v>
      </c>
      <c r="G1137" s="2" t="s">
        <v>91</v>
      </c>
      <c r="H1137" s="3">
        <v>45542.461805555555</v>
      </c>
      <c r="I1137" s="3">
        <v>45542.538194444445</v>
      </c>
      <c r="J1137" s="2">
        <v>48</v>
      </c>
      <c r="K1137" s="2">
        <v>110</v>
      </c>
      <c r="L1137" s="2">
        <v>1</v>
      </c>
      <c r="M1137" s="2" t="s">
        <v>29</v>
      </c>
      <c r="N1137" s="2">
        <v>7</v>
      </c>
      <c r="O1137" s="2">
        <v>409.01</v>
      </c>
      <c r="P1137" s="2">
        <f t="shared" si="85"/>
        <v>62</v>
      </c>
      <c r="Q1137" s="4">
        <f t="shared" si="86"/>
        <v>0.43636363636363634</v>
      </c>
      <c r="R1137" s="2" t="str">
        <f t="shared" si="87"/>
        <v>Inefficient</v>
      </c>
      <c r="S1137" s="2" t="str">
        <f t="shared" si="88"/>
        <v>Long</v>
      </c>
      <c r="T1137" s="2" t="str">
        <f t="shared" si="89"/>
        <v>Major Delay</v>
      </c>
    </row>
    <row r="1138" spans="1:20" x14ac:dyDescent="0.35">
      <c r="A1138" s="2" t="s">
        <v>2459</v>
      </c>
      <c r="B1138" s="2" t="s">
        <v>63</v>
      </c>
      <c r="C1138" s="2" t="s">
        <v>2460</v>
      </c>
      <c r="D1138" s="2" t="s">
        <v>18</v>
      </c>
      <c r="E1138" s="2" t="s">
        <v>33</v>
      </c>
      <c r="F1138" s="2" t="s">
        <v>57</v>
      </c>
      <c r="G1138" s="2" t="s">
        <v>123</v>
      </c>
      <c r="H1138" s="3">
        <v>45423.810416666667</v>
      </c>
      <c r="I1138" s="3">
        <v>45423.95</v>
      </c>
      <c r="J1138" s="2">
        <v>87</v>
      </c>
      <c r="K1138" s="2">
        <v>201</v>
      </c>
      <c r="L1138" s="2">
        <v>1</v>
      </c>
      <c r="M1138" s="2" t="s">
        <v>29</v>
      </c>
      <c r="N1138" s="2">
        <v>6</v>
      </c>
      <c r="O1138" s="2">
        <v>194.79</v>
      </c>
      <c r="P1138" s="2">
        <f t="shared" si="85"/>
        <v>114</v>
      </c>
      <c r="Q1138" s="4">
        <f t="shared" si="86"/>
        <v>0.43283582089552236</v>
      </c>
      <c r="R1138" s="2" t="str">
        <f t="shared" si="87"/>
        <v>Inefficient</v>
      </c>
      <c r="S1138" s="2" t="str">
        <f t="shared" si="88"/>
        <v>Very Long</v>
      </c>
      <c r="T1138" s="2" t="str">
        <f t="shared" si="89"/>
        <v>Major Delay</v>
      </c>
    </row>
    <row r="1139" spans="1:20" x14ac:dyDescent="0.35">
      <c r="A1139" s="2" t="s">
        <v>2461</v>
      </c>
      <c r="B1139" s="2" t="s">
        <v>63</v>
      </c>
      <c r="C1139" s="2" t="s">
        <v>2462</v>
      </c>
      <c r="D1139" s="2" t="s">
        <v>56</v>
      </c>
      <c r="E1139" s="2" t="s">
        <v>19</v>
      </c>
      <c r="F1139" s="2" t="s">
        <v>34</v>
      </c>
      <c r="G1139" s="2" t="s">
        <v>308</v>
      </c>
      <c r="H1139" s="3">
        <v>45322.451388888891</v>
      </c>
      <c r="I1139" s="3">
        <v>45322.545138888891</v>
      </c>
      <c r="J1139" s="2">
        <v>32</v>
      </c>
      <c r="K1139" s="2">
        <v>135</v>
      </c>
      <c r="L1139" s="2">
        <v>1</v>
      </c>
      <c r="M1139" s="2" t="s">
        <v>41</v>
      </c>
      <c r="N1139" s="2">
        <v>2</v>
      </c>
      <c r="O1139" s="2">
        <v>232.37</v>
      </c>
      <c r="P1139" s="2">
        <f t="shared" si="85"/>
        <v>103</v>
      </c>
      <c r="Q1139" s="4">
        <f t="shared" si="86"/>
        <v>0.23703703703703705</v>
      </c>
      <c r="R1139" s="2" t="str">
        <f t="shared" si="87"/>
        <v>Inefficient</v>
      </c>
      <c r="S1139" s="2" t="str">
        <f t="shared" si="88"/>
        <v>Very Long</v>
      </c>
      <c r="T1139" s="2" t="str">
        <f t="shared" si="89"/>
        <v>Major Delay</v>
      </c>
    </row>
    <row r="1140" spans="1:20" x14ac:dyDescent="0.35">
      <c r="A1140" s="2" t="s">
        <v>2463</v>
      </c>
      <c r="B1140" s="2" t="s">
        <v>51</v>
      </c>
      <c r="C1140" s="2" t="s">
        <v>2464</v>
      </c>
      <c r="D1140" s="2" t="s">
        <v>48</v>
      </c>
      <c r="E1140" s="2" t="s">
        <v>19</v>
      </c>
      <c r="F1140" s="2" t="s">
        <v>34</v>
      </c>
      <c r="G1140" s="2" t="s">
        <v>817</v>
      </c>
      <c r="H1140" s="3">
        <v>45292.548611111109</v>
      </c>
      <c r="I1140" s="3">
        <v>45292.620138888888</v>
      </c>
      <c r="J1140" s="2">
        <v>67</v>
      </c>
      <c r="K1140" s="2">
        <v>103</v>
      </c>
      <c r="L1140" s="2">
        <v>1</v>
      </c>
      <c r="M1140" s="2" t="s">
        <v>22</v>
      </c>
      <c r="N1140" s="2">
        <v>4</v>
      </c>
      <c r="O1140" s="2">
        <v>289.87</v>
      </c>
      <c r="P1140" s="2">
        <f t="shared" si="85"/>
        <v>36</v>
      </c>
      <c r="Q1140" s="4">
        <f t="shared" si="86"/>
        <v>0.65048543689320393</v>
      </c>
      <c r="R1140" s="2" t="str">
        <f t="shared" si="87"/>
        <v>Inefficient</v>
      </c>
      <c r="S1140" s="2" t="str">
        <f t="shared" si="88"/>
        <v>Long</v>
      </c>
      <c r="T1140" s="2" t="str">
        <f t="shared" si="89"/>
        <v>Major Delay</v>
      </c>
    </row>
    <row r="1141" spans="1:20" x14ac:dyDescent="0.35">
      <c r="A1141" s="2" t="s">
        <v>2465</v>
      </c>
      <c r="B1141" s="2" t="s">
        <v>16</v>
      </c>
      <c r="C1141" s="2" t="s">
        <v>2466</v>
      </c>
      <c r="D1141" s="2" t="s">
        <v>48</v>
      </c>
      <c r="E1141" s="2" t="s">
        <v>19</v>
      </c>
      <c r="F1141" s="2" t="s">
        <v>39</v>
      </c>
      <c r="G1141" s="2" t="s">
        <v>338</v>
      </c>
      <c r="H1141" s="3">
        <v>45437.413194444445</v>
      </c>
      <c r="I1141" s="3">
        <v>45437.498611111114</v>
      </c>
      <c r="J1141" s="2">
        <v>125</v>
      </c>
      <c r="K1141" s="2">
        <v>123</v>
      </c>
      <c r="L1141" s="2">
        <v>0</v>
      </c>
      <c r="M1141" s="2" t="s">
        <v>41</v>
      </c>
      <c r="N1141" s="2">
        <v>9</v>
      </c>
      <c r="O1141" s="2">
        <v>187.15</v>
      </c>
      <c r="P1141" s="2">
        <f t="shared" si="85"/>
        <v>-2</v>
      </c>
      <c r="Q1141" s="4">
        <f t="shared" si="86"/>
        <v>1.0162601626016261</v>
      </c>
      <c r="R1141" s="2" t="str">
        <f t="shared" si="87"/>
        <v>Efficient</v>
      </c>
      <c r="S1141" s="2" t="str">
        <f t="shared" si="88"/>
        <v>Very Long</v>
      </c>
      <c r="T1141" s="2" t="str">
        <f t="shared" si="89"/>
        <v>On Time</v>
      </c>
    </row>
    <row r="1142" spans="1:20" x14ac:dyDescent="0.35">
      <c r="A1142" s="2" t="s">
        <v>2467</v>
      </c>
      <c r="B1142" s="2" t="s">
        <v>51</v>
      </c>
      <c r="C1142" s="2" t="s">
        <v>2468</v>
      </c>
      <c r="D1142" s="2" t="s">
        <v>44</v>
      </c>
      <c r="E1142" s="2" t="s">
        <v>38</v>
      </c>
      <c r="F1142" s="2" t="s">
        <v>39</v>
      </c>
      <c r="G1142" s="2" t="s">
        <v>343</v>
      </c>
      <c r="H1142" s="3">
        <v>45530.406944444447</v>
      </c>
      <c r="I1142" s="3">
        <v>45530.48541666667</v>
      </c>
      <c r="J1142" s="2">
        <v>100</v>
      </c>
      <c r="K1142" s="2">
        <v>113</v>
      </c>
      <c r="L1142" s="2">
        <v>1</v>
      </c>
      <c r="M1142" s="2" t="s">
        <v>22</v>
      </c>
      <c r="N1142" s="2">
        <v>9</v>
      </c>
      <c r="O1142" s="2">
        <v>130.12</v>
      </c>
      <c r="P1142" s="2">
        <f t="shared" si="85"/>
        <v>13</v>
      </c>
      <c r="Q1142" s="4">
        <f t="shared" si="86"/>
        <v>0.88495575221238942</v>
      </c>
      <c r="R1142" s="2" t="str">
        <f t="shared" si="87"/>
        <v>Inefficient</v>
      </c>
      <c r="S1142" s="2" t="str">
        <f t="shared" si="88"/>
        <v>Long</v>
      </c>
      <c r="T1142" s="2" t="str">
        <f t="shared" si="89"/>
        <v>Minor Delay</v>
      </c>
    </row>
    <row r="1143" spans="1:20" x14ac:dyDescent="0.35">
      <c r="A1143" s="2" t="s">
        <v>2469</v>
      </c>
      <c r="B1143" s="2" t="s">
        <v>16</v>
      </c>
      <c r="C1143" s="2" t="s">
        <v>2470</v>
      </c>
      <c r="D1143" s="2" t="s">
        <v>48</v>
      </c>
      <c r="E1143" s="2" t="s">
        <v>38</v>
      </c>
      <c r="F1143" s="2" t="s">
        <v>39</v>
      </c>
      <c r="G1143" s="2" t="s">
        <v>161</v>
      </c>
      <c r="H1143" s="3">
        <v>45343.035416666666</v>
      </c>
      <c r="I1143" s="3">
        <v>45343.06527777778</v>
      </c>
      <c r="J1143" s="2">
        <v>41</v>
      </c>
      <c r="K1143" s="2">
        <v>43</v>
      </c>
      <c r="L1143" s="2">
        <v>1</v>
      </c>
      <c r="M1143" s="2" t="s">
        <v>41</v>
      </c>
      <c r="N1143" s="2">
        <v>9</v>
      </c>
      <c r="O1143" s="2">
        <v>363.67</v>
      </c>
      <c r="P1143" s="2">
        <f t="shared" si="85"/>
        <v>2</v>
      </c>
      <c r="Q1143" s="4">
        <f t="shared" si="86"/>
        <v>0.95348837209302328</v>
      </c>
      <c r="R1143" s="2" t="str">
        <f t="shared" si="87"/>
        <v>Inefficient</v>
      </c>
      <c r="S1143" s="2" t="str">
        <f t="shared" si="88"/>
        <v>Medium</v>
      </c>
      <c r="T1143" s="2" t="str">
        <f t="shared" si="89"/>
        <v>Minor Delay</v>
      </c>
    </row>
    <row r="1144" spans="1:20" x14ac:dyDescent="0.35">
      <c r="A1144" s="2" t="s">
        <v>2471</v>
      </c>
      <c r="B1144" s="2" t="s">
        <v>24</v>
      </c>
      <c r="C1144" s="2" t="s">
        <v>2472</v>
      </c>
      <c r="D1144" s="2" t="s">
        <v>44</v>
      </c>
      <c r="E1144" s="2" t="s">
        <v>19</v>
      </c>
      <c r="F1144" s="2" t="s">
        <v>20</v>
      </c>
      <c r="G1144" s="2" t="s">
        <v>173</v>
      </c>
      <c r="H1144" s="3">
        <v>45489.681944444441</v>
      </c>
      <c r="I1144" s="3">
        <v>45489.887499999997</v>
      </c>
      <c r="J1144" s="2">
        <v>212</v>
      </c>
      <c r="K1144" s="2">
        <v>296</v>
      </c>
      <c r="L1144" s="2">
        <v>1</v>
      </c>
      <c r="M1144" s="2" t="s">
        <v>41</v>
      </c>
      <c r="N1144" s="2">
        <v>8</v>
      </c>
      <c r="O1144" s="2">
        <v>414.97</v>
      </c>
      <c r="P1144" s="2">
        <f t="shared" si="85"/>
        <v>84</v>
      </c>
      <c r="Q1144" s="4">
        <f t="shared" si="86"/>
        <v>0.71621621621621623</v>
      </c>
      <c r="R1144" s="2" t="str">
        <f t="shared" si="87"/>
        <v>Inefficient</v>
      </c>
      <c r="S1144" s="2" t="str">
        <f t="shared" si="88"/>
        <v>Very Long</v>
      </c>
      <c r="T1144" s="2" t="str">
        <f t="shared" si="89"/>
        <v>Major Delay</v>
      </c>
    </row>
    <row r="1145" spans="1:20" x14ac:dyDescent="0.35">
      <c r="A1145" s="2" t="s">
        <v>2473</v>
      </c>
      <c r="B1145" s="2" t="s">
        <v>31</v>
      </c>
      <c r="C1145" s="2" t="s">
        <v>2474</v>
      </c>
      <c r="D1145" s="2" t="s">
        <v>18</v>
      </c>
      <c r="E1145" s="2" t="s">
        <v>33</v>
      </c>
      <c r="F1145" s="2" t="s">
        <v>20</v>
      </c>
      <c r="G1145" s="2" t="s">
        <v>82</v>
      </c>
      <c r="H1145" s="3">
        <v>45300.02847222222</v>
      </c>
      <c r="I1145" s="3">
        <v>45300.210416666669</v>
      </c>
      <c r="J1145" s="2">
        <v>232</v>
      </c>
      <c r="K1145" s="2">
        <v>262</v>
      </c>
      <c r="L1145" s="2">
        <v>1</v>
      </c>
      <c r="M1145" s="2" t="s">
        <v>41</v>
      </c>
      <c r="N1145" s="2">
        <v>7</v>
      </c>
      <c r="O1145" s="2">
        <v>372.14</v>
      </c>
      <c r="P1145" s="2">
        <f t="shared" si="85"/>
        <v>30</v>
      </c>
      <c r="Q1145" s="4">
        <f t="shared" si="86"/>
        <v>0.8854961832061069</v>
      </c>
      <c r="R1145" s="2" t="str">
        <f t="shared" si="87"/>
        <v>Inefficient</v>
      </c>
      <c r="S1145" s="2" t="str">
        <f t="shared" si="88"/>
        <v>Very Long</v>
      </c>
      <c r="T1145" s="2" t="str">
        <f t="shared" si="89"/>
        <v>Minor Delay</v>
      </c>
    </row>
    <row r="1146" spans="1:20" x14ac:dyDescent="0.35">
      <c r="A1146" s="2" t="s">
        <v>2475</v>
      </c>
      <c r="B1146" s="2" t="s">
        <v>24</v>
      </c>
      <c r="C1146" s="2" t="s">
        <v>2476</v>
      </c>
      <c r="D1146" s="2" t="s">
        <v>56</v>
      </c>
      <c r="E1146" s="2" t="s">
        <v>19</v>
      </c>
      <c r="F1146" s="2" t="s">
        <v>20</v>
      </c>
      <c r="G1146" s="2" t="s">
        <v>916</v>
      </c>
      <c r="H1146" s="3">
        <v>45361.578472222223</v>
      </c>
      <c r="I1146" s="3">
        <v>45361.720138888886</v>
      </c>
      <c r="J1146" s="2">
        <v>179</v>
      </c>
      <c r="K1146" s="2">
        <v>204</v>
      </c>
      <c r="L1146" s="2">
        <v>1</v>
      </c>
      <c r="M1146" s="2" t="s">
        <v>22</v>
      </c>
      <c r="N1146" s="2">
        <v>8</v>
      </c>
      <c r="O1146" s="2">
        <v>169.41</v>
      </c>
      <c r="P1146" s="2">
        <f t="shared" si="85"/>
        <v>25</v>
      </c>
      <c r="Q1146" s="4">
        <f t="shared" si="86"/>
        <v>0.87745098039215685</v>
      </c>
      <c r="R1146" s="2" t="str">
        <f t="shared" si="87"/>
        <v>Inefficient</v>
      </c>
      <c r="S1146" s="2" t="str">
        <f t="shared" si="88"/>
        <v>Very Long</v>
      </c>
      <c r="T1146" s="2" t="str">
        <f t="shared" si="89"/>
        <v>Minor Delay</v>
      </c>
    </row>
    <row r="1147" spans="1:20" x14ac:dyDescent="0.35">
      <c r="A1147" s="2" t="s">
        <v>2477</v>
      </c>
      <c r="B1147" s="2" t="s">
        <v>24</v>
      </c>
      <c r="C1147" s="2" t="s">
        <v>2478</v>
      </c>
      <c r="D1147" s="2" t="s">
        <v>48</v>
      </c>
      <c r="E1147" s="2" t="s">
        <v>38</v>
      </c>
      <c r="F1147" s="2" t="s">
        <v>27</v>
      </c>
      <c r="G1147" s="2" t="s">
        <v>777</v>
      </c>
      <c r="H1147" s="3">
        <v>45542.344444444447</v>
      </c>
      <c r="I1147" s="3">
        <v>45542.511111111111</v>
      </c>
      <c r="J1147" s="2">
        <v>198</v>
      </c>
      <c r="K1147" s="2">
        <v>240</v>
      </c>
      <c r="L1147" s="2">
        <v>1</v>
      </c>
      <c r="M1147" s="2" t="s">
        <v>22</v>
      </c>
      <c r="N1147" s="2">
        <v>8</v>
      </c>
      <c r="O1147" s="2">
        <v>347.43</v>
      </c>
      <c r="P1147" s="2">
        <f t="shared" si="85"/>
        <v>42</v>
      </c>
      <c r="Q1147" s="4">
        <f t="shared" si="86"/>
        <v>0.82499999999999996</v>
      </c>
      <c r="R1147" s="2" t="str">
        <f t="shared" si="87"/>
        <v>Inefficient</v>
      </c>
      <c r="S1147" s="2" t="str">
        <f t="shared" si="88"/>
        <v>Very Long</v>
      </c>
      <c r="T1147" s="2" t="str">
        <f t="shared" si="89"/>
        <v>Major Delay</v>
      </c>
    </row>
    <row r="1148" spans="1:20" x14ac:dyDescent="0.35">
      <c r="A1148" s="2" t="s">
        <v>2479</v>
      </c>
      <c r="B1148" s="2" t="s">
        <v>31</v>
      </c>
      <c r="C1148" s="2" t="s">
        <v>2480</v>
      </c>
      <c r="D1148" s="2" t="s">
        <v>56</v>
      </c>
      <c r="E1148" s="2" t="s">
        <v>85</v>
      </c>
      <c r="F1148" s="2" t="s">
        <v>57</v>
      </c>
      <c r="G1148" s="2" t="s">
        <v>108</v>
      </c>
      <c r="H1148" s="3">
        <v>45550.309027777781</v>
      </c>
      <c r="I1148" s="3">
        <v>45550.51458333333</v>
      </c>
      <c r="J1148" s="2">
        <v>233</v>
      </c>
      <c r="K1148" s="2">
        <v>296</v>
      </c>
      <c r="L1148" s="2">
        <v>1</v>
      </c>
      <c r="M1148" s="2" t="s">
        <v>41</v>
      </c>
      <c r="N1148" s="2">
        <v>6</v>
      </c>
      <c r="O1148" s="2">
        <v>254.9</v>
      </c>
      <c r="P1148" s="2">
        <f t="shared" si="85"/>
        <v>63</v>
      </c>
      <c r="Q1148" s="4">
        <f t="shared" si="86"/>
        <v>0.78716216216216217</v>
      </c>
      <c r="R1148" s="2" t="str">
        <f t="shared" si="87"/>
        <v>Inefficient</v>
      </c>
      <c r="S1148" s="2" t="str">
        <f t="shared" si="88"/>
        <v>Very Long</v>
      </c>
      <c r="T1148" s="2" t="str">
        <f t="shared" si="89"/>
        <v>Major Delay</v>
      </c>
    </row>
    <row r="1149" spans="1:20" x14ac:dyDescent="0.35">
      <c r="A1149" s="2" t="s">
        <v>2481</v>
      </c>
      <c r="B1149" s="2" t="s">
        <v>16</v>
      </c>
      <c r="C1149" s="2" t="s">
        <v>2482</v>
      </c>
      <c r="D1149" s="2" t="s">
        <v>26</v>
      </c>
      <c r="E1149" s="2" t="s">
        <v>33</v>
      </c>
      <c r="F1149" s="2" t="s">
        <v>34</v>
      </c>
      <c r="G1149" s="2" t="s">
        <v>79</v>
      </c>
      <c r="H1149" s="3">
        <v>45351.493750000001</v>
      </c>
      <c r="I1149" s="3">
        <v>45351.551388888889</v>
      </c>
      <c r="J1149" s="2">
        <v>17</v>
      </c>
      <c r="K1149" s="2">
        <v>83</v>
      </c>
      <c r="L1149" s="2">
        <v>1</v>
      </c>
      <c r="M1149" s="2" t="s">
        <v>22</v>
      </c>
      <c r="N1149" s="2">
        <v>5</v>
      </c>
      <c r="O1149" s="2">
        <v>452.75</v>
      </c>
      <c r="P1149" s="2">
        <f t="shared" si="85"/>
        <v>66</v>
      </c>
      <c r="Q1149" s="4">
        <f t="shared" si="86"/>
        <v>0.20481927710843373</v>
      </c>
      <c r="R1149" s="2" t="str">
        <f t="shared" si="87"/>
        <v>Inefficient</v>
      </c>
      <c r="S1149" s="2" t="str">
        <f t="shared" si="88"/>
        <v>Long</v>
      </c>
      <c r="T1149" s="2" t="str">
        <f t="shared" si="89"/>
        <v>Major Delay</v>
      </c>
    </row>
    <row r="1150" spans="1:20" x14ac:dyDescent="0.35">
      <c r="A1150" s="2" t="s">
        <v>2483</v>
      </c>
      <c r="B1150" s="2" t="s">
        <v>31</v>
      </c>
      <c r="C1150" s="2" t="s">
        <v>2484</v>
      </c>
      <c r="D1150" s="2" t="s">
        <v>26</v>
      </c>
      <c r="E1150" s="2" t="s">
        <v>19</v>
      </c>
      <c r="F1150" s="2" t="s">
        <v>57</v>
      </c>
      <c r="G1150" s="2" t="s">
        <v>114</v>
      </c>
      <c r="H1150" s="3">
        <v>45646.816666666666</v>
      </c>
      <c r="I1150" s="3">
        <v>45646.947222222225</v>
      </c>
      <c r="J1150" s="2">
        <v>84</v>
      </c>
      <c r="K1150" s="2">
        <v>188</v>
      </c>
      <c r="L1150" s="2">
        <v>1</v>
      </c>
      <c r="M1150" s="2" t="s">
        <v>41</v>
      </c>
      <c r="N1150" s="2">
        <v>1</v>
      </c>
      <c r="O1150" s="2">
        <v>327.52</v>
      </c>
      <c r="P1150" s="2">
        <f t="shared" si="85"/>
        <v>104</v>
      </c>
      <c r="Q1150" s="4">
        <f t="shared" si="86"/>
        <v>0.44680851063829785</v>
      </c>
      <c r="R1150" s="2" t="str">
        <f t="shared" si="87"/>
        <v>Inefficient</v>
      </c>
      <c r="S1150" s="2" t="str">
        <f t="shared" si="88"/>
        <v>Very Long</v>
      </c>
      <c r="T1150" s="2" t="str">
        <f t="shared" si="89"/>
        <v>Major Delay</v>
      </c>
    </row>
    <row r="1151" spans="1:20" x14ac:dyDescent="0.35">
      <c r="A1151" s="2" t="s">
        <v>2485</v>
      </c>
      <c r="B1151" s="2" t="s">
        <v>31</v>
      </c>
      <c r="C1151" s="2" t="s">
        <v>2486</v>
      </c>
      <c r="D1151" s="2" t="s">
        <v>44</v>
      </c>
      <c r="E1151" s="2" t="s">
        <v>85</v>
      </c>
      <c r="F1151" s="2" t="s">
        <v>57</v>
      </c>
      <c r="G1151" s="2" t="s">
        <v>785</v>
      </c>
      <c r="H1151" s="3">
        <v>45531.675694444442</v>
      </c>
      <c r="I1151" s="3">
        <v>45531.713888888888</v>
      </c>
      <c r="J1151" s="2">
        <v>15</v>
      </c>
      <c r="K1151" s="2">
        <v>55</v>
      </c>
      <c r="L1151" s="2">
        <v>1</v>
      </c>
      <c r="M1151" s="2" t="s">
        <v>29</v>
      </c>
      <c r="N1151" s="2">
        <v>8</v>
      </c>
      <c r="O1151" s="2">
        <v>150.94</v>
      </c>
      <c r="P1151" s="2">
        <f t="shared" si="85"/>
        <v>40</v>
      </c>
      <c r="Q1151" s="4">
        <f t="shared" si="86"/>
        <v>0.27272727272727271</v>
      </c>
      <c r="R1151" s="2" t="str">
        <f t="shared" si="87"/>
        <v>Inefficient</v>
      </c>
      <c r="S1151" s="2" t="str">
        <f t="shared" si="88"/>
        <v>Medium</v>
      </c>
      <c r="T1151" s="2" t="str">
        <f t="shared" si="89"/>
        <v>Major Delay</v>
      </c>
    </row>
    <row r="1152" spans="1:20" x14ac:dyDescent="0.35">
      <c r="A1152" s="2" t="s">
        <v>2487</v>
      </c>
      <c r="B1152" s="2" t="s">
        <v>31</v>
      </c>
      <c r="C1152" s="2" t="s">
        <v>2488</v>
      </c>
      <c r="D1152" s="2" t="s">
        <v>18</v>
      </c>
      <c r="E1152" s="2" t="s">
        <v>38</v>
      </c>
      <c r="F1152" s="2" t="s">
        <v>20</v>
      </c>
      <c r="G1152" s="2" t="s">
        <v>897</v>
      </c>
      <c r="H1152" s="3">
        <v>45319.20416666667</v>
      </c>
      <c r="I1152" s="3">
        <v>45319.35833333333</v>
      </c>
      <c r="J1152" s="2">
        <v>212</v>
      </c>
      <c r="K1152" s="2">
        <v>222</v>
      </c>
      <c r="L1152" s="2">
        <v>1</v>
      </c>
      <c r="M1152" s="2" t="s">
        <v>41</v>
      </c>
      <c r="N1152" s="2">
        <v>3</v>
      </c>
      <c r="O1152" s="2">
        <v>87.35</v>
      </c>
      <c r="P1152" s="2">
        <f t="shared" si="85"/>
        <v>10</v>
      </c>
      <c r="Q1152" s="4">
        <f t="shared" si="86"/>
        <v>0.95495495495495497</v>
      </c>
      <c r="R1152" s="2" t="str">
        <f t="shared" si="87"/>
        <v>Inefficient</v>
      </c>
      <c r="S1152" s="2" t="str">
        <f t="shared" si="88"/>
        <v>Very Long</v>
      </c>
      <c r="T1152" s="2" t="str">
        <f t="shared" si="89"/>
        <v>Minor Delay</v>
      </c>
    </row>
    <row r="1153" spans="1:20" x14ac:dyDescent="0.35">
      <c r="A1153" s="2" t="s">
        <v>2489</v>
      </c>
      <c r="B1153" s="2" t="s">
        <v>51</v>
      </c>
      <c r="C1153" s="2" t="s">
        <v>2490</v>
      </c>
      <c r="D1153" s="2" t="s">
        <v>44</v>
      </c>
      <c r="E1153" s="2" t="s">
        <v>33</v>
      </c>
      <c r="F1153" s="2" t="s">
        <v>39</v>
      </c>
      <c r="G1153" s="2" t="s">
        <v>1278</v>
      </c>
      <c r="H1153" s="3">
        <v>45309.680555555555</v>
      </c>
      <c r="I1153" s="3">
        <v>45309.885416666664</v>
      </c>
      <c r="J1153" s="2">
        <v>192</v>
      </c>
      <c r="K1153" s="2">
        <v>295</v>
      </c>
      <c r="L1153" s="2">
        <v>1</v>
      </c>
      <c r="M1153" s="2" t="s">
        <v>22</v>
      </c>
      <c r="N1153" s="2">
        <v>5</v>
      </c>
      <c r="O1153" s="2">
        <v>436.34</v>
      </c>
      <c r="P1153" s="2">
        <f t="shared" si="85"/>
        <v>103</v>
      </c>
      <c r="Q1153" s="4">
        <f t="shared" si="86"/>
        <v>0.6508474576271186</v>
      </c>
      <c r="R1153" s="2" t="str">
        <f t="shared" si="87"/>
        <v>Inefficient</v>
      </c>
      <c r="S1153" s="2" t="str">
        <f t="shared" si="88"/>
        <v>Very Long</v>
      </c>
      <c r="T1153" s="2" t="str">
        <f t="shared" si="89"/>
        <v>Major Delay</v>
      </c>
    </row>
    <row r="1154" spans="1:20" x14ac:dyDescent="0.35">
      <c r="A1154" s="2" t="s">
        <v>2491</v>
      </c>
      <c r="B1154" s="2" t="s">
        <v>24</v>
      </c>
      <c r="C1154" s="2" t="s">
        <v>2492</v>
      </c>
      <c r="D1154" s="2" t="s">
        <v>18</v>
      </c>
      <c r="E1154" s="2" t="s">
        <v>33</v>
      </c>
      <c r="F1154" s="2" t="s">
        <v>39</v>
      </c>
      <c r="G1154" s="2" t="s">
        <v>647</v>
      </c>
      <c r="H1154" s="3">
        <v>45433.651388888888</v>
      </c>
      <c r="I1154" s="3">
        <v>45433.788888888892</v>
      </c>
      <c r="J1154" s="2">
        <v>166</v>
      </c>
      <c r="K1154" s="2">
        <v>198</v>
      </c>
      <c r="L1154" s="2">
        <v>1</v>
      </c>
      <c r="M1154" s="2" t="s">
        <v>22</v>
      </c>
      <c r="N1154" s="2">
        <v>9</v>
      </c>
      <c r="O1154" s="2">
        <v>346.5</v>
      </c>
      <c r="P1154" s="2">
        <f t="shared" si="85"/>
        <v>32</v>
      </c>
      <c r="Q1154" s="4">
        <f t="shared" si="86"/>
        <v>0.83838383838383834</v>
      </c>
      <c r="R1154" s="2" t="str">
        <f t="shared" si="87"/>
        <v>Inefficient</v>
      </c>
      <c r="S1154" s="2" t="str">
        <f t="shared" si="88"/>
        <v>Very Long</v>
      </c>
      <c r="T1154" s="2" t="str">
        <f t="shared" si="89"/>
        <v>Major Delay</v>
      </c>
    </row>
    <row r="1155" spans="1:20" x14ac:dyDescent="0.35">
      <c r="A1155" s="2" t="s">
        <v>2493</v>
      </c>
      <c r="B1155" s="2" t="s">
        <v>51</v>
      </c>
      <c r="C1155" s="2" t="s">
        <v>2494</v>
      </c>
      <c r="D1155" s="2" t="s">
        <v>26</v>
      </c>
      <c r="E1155" s="2" t="s">
        <v>33</v>
      </c>
      <c r="F1155" s="2" t="s">
        <v>57</v>
      </c>
      <c r="G1155" s="2" t="s">
        <v>97</v>
      </c>
      <c r="H1155" s="3">
        <v>45417.313194444447</v>
      </c>
      <c r="I1155" s="3">
        <v>45417.45</v>
      </c>
      <c r="J1155" s="2">
        <v>80</v>
      </c>
      <c r="K1155" s="2">
        <v>197</v>
      </c>
      <c r="L1155" s="2">
        <v>1</v>
      </c>
      <c r="M1155" s="2" t="s">
        <v>22</v>
      </c>
      <c r="N1155" s="2">
        <v>8</v>
      </c>
      <c r="O1155" s="2">
        <v>84.75</v>
      </c>
      <c r="P1155" s="2">
        <f t="shared" ref="P1155:P1218" si="90">K1155-J1155</f>
        <v>117</v>
      </c>
      <c r="Q1155" s="4">
        <f t="shared" ref="Q1155:Q1218" si="91">J1155/K1155</f>
        <v>0.40609137055837563</v>
      </c>
      <c r="R1155" s="2" t="str">
        <f t="shared" ref="R1155:R1218" si="92">IF(Q1155&gt;1,"Efficient",
IF(Q1155=1,"On Target","Inefficient"))</f>
        <v>Inefficient</v>
      </c>
      <c r="S1155" s="2" t="str">
        <f t="shared" ref="S1155:S1218" si="93">IF(K1155&lt;30,"Short",
IF(K1155&lt;60,"Medium",
IF(K1155&lt;120,"Long","Very Long")))</f>
        <v>Very Long</v>
      </c>
      <c r="T1155" s="2" t="str">
        <f t="shared" ref="T1155:T1218" si="94">IF(K1155&lt;=J1155,"On Time",
IF(K1155-J1155&lt;=30,"Minor Delay","Major Delay"))</f>
        <v>Major Delay</v>
      </c>
    </row>
    <row r="1156" spans="1:20" x14ac:dyDescent="0.35">
      <c r="A1156" s="2" t="s">
        <v>2495</v>
      </c>
      <c r="B1156" s="2" t="s">
        <v>24</v>
      </c>
      <c r="C1156" s="2" t="s">
        <v>2496</v>
      </c>
      <c r="D1156" s="2" t="s">
        <v>18</v>
      </c>
      <c r="E1156" s="2" t="s">
        <v>19</v>
      </c>
      <c r="F1156" s="2" t="s">
        <v>39</v>
      </c>
      <c r="G1156" s="2" t="s">
        <v>602</v>
      </c>
      <c r="H1156" s="3">
        <v>45593.454861111109</v>
      </c>
      <c r="I1156" s="3">
        <v>45593.532638888886</v>
      </c>
      <c r="J1156" s="2">
        <v>104</v>
      </c>
      <c r="K1156" s="2">
        <v>112</v>
      </c>
      <c r="L1156" s="2">
        <v>1</v>
      </c>
      <c r="M1156" s="2" t="s">
        <v>22</v>
      </c>
      <c r="N1156" s="2">
        <v>3</v>
      </c>
      <c r="O1156" s="2">
        <v>178.78</v>
      </c>
      <c r="P1156" s="2">
        <f t="shared" si="90"/>
        <v>8</v>
      </c>
      <c r="Q1156" s="4">
        <f t="shared" si="91"/>
        <v>0.9285714285714286</v>
      </c>
      <c r="R1156" s="2" t="str">
        <f t="shared" si="92"/>
        <v>Inefficient</v>
      </c>
      <c r="S1156" s="2" t="str">
        <f t="shared" si="93"/>
        <v>Long</v>
      </c>
      <c r="T1156" s="2" t="str">
        <f t="shared" si="94"/>
        <v>Minor Delay</v>
      </c>
    </row>
    <row r="1157" spans="1:20" x14ac:dyDescent="0.35">
      <c r="A1157" s="2" t="s">
        <v>2497</v>
      </c>
      <c r="B1157" s="2" t="s">
        <v>16</v>
      </c>
      <c r="C1157" s="2" t="s">
        <v>2498</v>
      </c>
      <c r="D1157" s="2" t="s">
        <v>18</v>
      </c>
      <c r="E1157" s="2" t="s">
        <v>33</v>
      </c>
      <c r="F1157" s="2" t="s">
        <v>57</v>
      </c>
      <c r="G1157" s="2" t="s">
        <v>114</v>
      </c>
      <c r="H1157" s="3">
        <v>45339.319444444445</v>
      </c>
      <c r="I1157" s="3">
        <v>45339.441666666666</v>
      </c>
      <c r="J1157" s="2">
        <v>92</v>
      </c>
      <c r="K1157" s="2">
        <v>176</v>
      </c>
      <c r="L1157" s="2">
        <v>1</v>
      </c>
      <c r="M1157" s="2" t="s">
        <v>22</v>
      </c>
      <c r="N1157" s="2">
        <v>9</v>
      </c>
      <c r="O1157" s="2">
        <v>408.99</v>
      </c>
      <c r="P1157" s="2">
        <f t="shared" si="90"/>
        <v>84</v>
      </c>
      <c r="Q1157" s="4">
        <f t="shared" si="91"/>
        <v>0.52272727272727271</v>
      </c>
      <c r="R1157" s="2" t="str">
        <f t="shared" si="92"/>
        <v>Inefficient</v>
      </c>
      <c r="S1157" s="2" t="str">
        <f t="shared" si="93"/>
        <v>Very Long</v>
      </c>
      <c r="T1157" s="2" t="str">
        <f t="shared" si="94"/>
        <v>Major Delay</v>
      </c>
    </row>
    <row r="1158" spans="1:20" x14ac:dyDescent="0.35">
      <c r="A1158" s="2" t="s">
        <v>2499</v>
      </c>
      <c r="B1158" s="2" t="s">
        <v>31</v>
      </c>
      <c r="C1158" s="2" t="s">
        <v>2500</v>
      </c>
      <c r="D1158" s="2" t="s">
        <v>48</v>
      </c>
      <c r="E1158" s="2" t="s">
        <v>19</v>
      </c>
      <c r="F1158" s="2" t="s">
        <v>27</v>
      </c>
      <c r="G1158" s="2" t="s">
        <v>500</v>
      </c>
      <c r="H1158" s="3">
        <v>45467.490972222222</v>
      </c>
      <c r="I1158" s="3">
        <v>45467.607638888891</v>
      </c>
      <c r="J1158" s="2">
        <v>91</v>
      </c>
      <c r="K1158" s="2">
        <v>168</v>
      </c>
      <c r="L1158" s="2">
        <v>1</v>
      </c>
      <c r="M1158" s="2" t="s">
        <v>41</v>
      </c>
      <c r="N1158" s="2">
        <v>3</v>
      </c>
      <c r="O1158" s="2">
        <v>159.74</v>
      </c>
      <c r="P1158" s="2">
        <f t="shared" si="90"/>
        <v>77</v>
      </c>
      <c r="Q1158" s="4">
        <f t="shared" si="91"/>
        <v>0.54166666666666663</v>
      </c>
      <c r="R1158" s="2" t="str">
        <f t="shared" si="92"/>
        <v>Inefficient</v>
      </c>
      <c r="S1158" s="2" t="str">
        <f t="shared" si="93"/>
        <v>Very Long</v>
      </c>
      <c r="T1158" s="2" t="str">
        <f t="shared" si="94"/>
        <v>Major Delay</v>
      </c>
    </row>
    <row r="1159" spans="1:20" x14ac:dyDescent="0.35">
      <c r="A1159" s="2" t="s">
        <v>2501</v>
      </c>
      <c r="B1159" s="2" t="s">
        <v>24</v>
      </c>
      <c r="C1159" s="2" t="s">
        <v>2502</v>
      </c>
      <c r="D1159" s="2" t="s">
        <v>48</v>
      </c>
      <c r="E1159" s="2" t="s">
        <v>19</v>
      </c>
      <c r="F1159" s="2" t="s">
        <v>20</v>
      </c>
      <c r="G1159" s="2" t="s">
        <v>1187</v>
      </c>
      <c r="H1159" s="3">
        <v>45499.697916666664</v>
      </c>
      <c r="I1159" s="3">
        <v>45499.768055555556</v>
      </c>
      <c r="J1159" s="2">
        <v>65</v>
      </c>
      <c r="K1159" s="2">
        <v>101</v>
      </c>
      <c r="L1159" s="2">
        <v>1</v>
      </c>
      <c r="M1159" s="2" t="s">
        <v>29</v>
      </c>
      <c r="N1159" s="2">
        <v>10</v>
      </c>
      <c r="O1159" s="2">
        <v>130.47999999999999</v>
      </c>
      <c r="P1159" s="2">
        <f t="shared" si="90"/>
        <v>36</v>
      </c>
      <c r="Q1159" s="4">
        <f t="shared" si="91"/>
        <v>0.64356435643564358</v>
      </c>
      <c r="R1159" s="2" t="str">
        <f t="shared" si="92"/>
        <v>Inefficient</v>
      </c>
      <c r="S1159" s="2" t="str">
        <f t="shared" si="93"/>
        <v>Long</v>
      </c>
      <c r="T1159" s="2" t="str">
        <f t="shared" si="94"/>
        <v>Major Delay</v>
      </c>
    </row>
    <row r="1160" spans="1:20" x14ac:dyDescent="0.35">
      <c r="A1160" s="2" t="s">
        <v>2503</v>
      </c>
      <c r="B1160" s="2" t="s">
        <v>51</v>
      </c>
      <c r="C1160" s="2" t="s">
        <v>2504</v>
      </c>
      <c r="D1160" s="2" t="s">
        <v>56</v>
      </c>
      <c r="E1160" s="2" t="s">
        <v>19</v>
      </c>
      <c r="F1160" s="2" t="s">
        <v>27</v>
      </c>
      <c r="G1160" s="2" t="s">
        <v>53</v>
      </c>
      <c r="H1160" s="3">
        <v>45363.44027777778</v>
      </c>
      <c r="I1160" s="3">
        <v>45363.616666666669</v>
      </c>
      <c r="J1160" s="2">
        <v>196</v>
      </c>
      <c r="K1160" s="2">
        <v>254</v>
      </c>
      <c r="L1160" s="2">
        <v>1</v>
      </c>
      <c r="M1160" s="2" t="s">
        <v>22</v>
      </c>
      <c r="N1160" s="2">
        <v>4</v>
      </c>
      <c r="O1160" s="2">
        <v>150.34</v>
      </c>
      <c r="P1160" s="2">
        <f t="shared" si="90"/>
        <v>58</v>
      </c>
      <c r="Q1160" s="4">
        <f t="shared" si="91"/>
        <v>0.77165354330708658</v>
      </c>
      <c r="R1160" s="2" t="str">
        <f t="shared" si="92"/>
        <v>Inefficient</v>
      </c>
      <c r="S1160" s="2" t="str">
        <f t="shared" si="93"/>
        <v>Very Long</v>
      </c>
      <c r="T1160" s="2" t="str">
        <f t="shared" si="94"/>
        <v>Major Delay</v>
      </c>
    </row>
    <row r="1161" spans="1:20" x14ac:dyDescent="0.35">
      <c r="A1161" s="2" t="s">
        <v>2505</v>
      </c>
      <c r="B1161" s="2" t="s">
        <v>63</v>
      </c>
      <c r="C1161" s="2" t="s">
        <v>2506</v>
      </c>
      <c r="D1161" s="2" t="s">
        <v>26</v>
      </c>
      <c r="E1161" s="2" t="s">
        <v>19</v>
      </c>
      <c r="F1161" s="2" t="s">
        <v>57</v>
      </c>
      <c r="G1161" s="2" t="s">
        <v>470</v>
      </c>
      <c r="H1161" s="3">
        <v>45312.908333333333</v>
      </c>
      <c r="I1161" s="3">
        <v>45313.12777777778</v>
      </c>
      <c r="J1161" s="2">
        <v>206</v>
      </c>
      <c r="K1161" s="2">
        <v>316</v>
      </c>
      <c r="L1161" s="2">
        <v>1</v>
      </c>
      <c r="M1161" s="2" t="s">
        <v>41</v>
      </c>
      <c r="N1161" s="2">
        <v>5</v>
      </c>
      <c r="O1161" s="2">
        <v>99.05</v>
      </c>
      <c r="P1161" s="2">
        <f t="shared" si="90"/>
        <v>110</v>
      </c>
      <c r="Q1161" s="4">
        <f t="shared" si="91"/>
        <v>0.65189873417721522</v>
      </c>
      <c r="R1161" s="2" t="str">
        <f t="shared" si="92"/>
        <v>Inefficient</v>
      </c>
      <c r="S1161" s="2" t="str">
        <f t="shared" si="93"/>
        <v>Very Long</v>
      </c>
      <c r="T1161" s="2" t="str">
        <f t="shared" si="94"/>
        <v>Major Delay</v>
      </c>
    </row>
    <row r="1162" spans="1:20" x14ac:dyDescent="0.35">
      <c r="A1162" s="2" t="s">
        <v>2507</v>
      </c>
      <c r="B1162" s="2" t="s">
        <v>24</v>
      </c>
      <c r="C1162" s="2" t="s">
        <v>2508</v>
      </c>
      <c r="D1162" s="2" t="s">
        <v>48</v>
      </c>
      <c r="E1162" s="2" t="s">
        <v>85</v>
      </c>
      <c r="F1162" s="2" t="s">
        <v>39</v>
      </c>
      <c r="G1162" s="2" t="s">
        <v>1413</v>
      </c>
      <c r="H1162" s="3">
        <v>45638.609722222223</v>
      </c>
      <c r="I1162" s="3">
        <v>45638.761111111111</v>
      </c>
      <c r="J1162" s="2">
        <v>102</v>
      </c>
      <c r="K1162" s="2">
        <v>218</v>
      </c>
      <c r="L1162" s="2">
        <v>1</v>
      </c>
      <c r="M1162" s="2" t="s">
        <v>29</v>
      </c>
      <c r="N1162" s="2">
        <v>6</v>
      </c>
      <c r="O1162" s="2">
        <v>64.55</v>
      </c>
      <c r="P1162" s="2">
        <f t="shared" si="90"/>
        <v>116</v>
      </c>
      <c r="Q1162" s="4">
        <f t="shared" si="91"/>
        <v>0.46788990825688076</v>
      </c>
      <c r="R1162" s="2" t="str">
        <f t="shared" si="92"/>
        <v>Inefficient</v>
      </c>
      <c r="S1162" s="2" t="str">
        <f t="shared" si="93"/>
        <v>Very Long</v>
      </c>
      <c r="T1162" s="2" t="str">
        <f t="shared" si="94"/>
        <v>Major Delay</v>
      </c>
    </row>
    <row r="1163" spans="1:20" x14ac:dyDescent="0.35">
      <c r="A1163" s="2" t="s">
        <v>2509</v>
      </c>
      <c r="B1163" s="2" t="s">
        <v>51</v>
      </c>
      <c r="C1163" s="2" t="s">
        <v>2510</v>
      </c>
      <c r="D1163" s="2" t="s">
        <v>48</v>
      </c>
      <c r="E1163" s="2" t="s">
        <v>19</v>
      </c>
      <c r="F1163" s="2" t="s">
        <v>20</v>
      </c>
      <c r="G1163" s="2" t="s">
        <v>114</v>
      </c>
      <c r="H1163" s="3">
        <v>45478.455555555556</v>
      </c>
      <c r="I1163" s="3">
        <v>45478.584722222222</v>
      </c>
      <c r="J1163" s="2">
        <v>159</v>
      </c>
      <c r="K1163" s="2">
        <v>186</v>
      </c>
      <c r="L1163" s="2">
        <v>1</v>
      </c>
      <c r="M1163" s="2" t="s">
        <v>22</v>
      </c>
      <c r="N1163" s="2">
        <v>6</v>
      </c>
      <c r="O1163" s="2">
        <v>155.16</v>
      </c>
      <c r="P1163" s="2">
        <f t="shared" si="90"/>
        <v>27</v>
      </c>
      <c r="Q1163" s="4">
        <f t="shared" si="91"/>
        <v>0.85483870967741937</v>
      </c>
      <c r="R1163" s="2" t="str">
        <f t="shared" si="92"/>
        <v>Inefficient</v>
      </c>
      <c r="S1163" s="2" t="str">
        <f t="shared" si="93"/>
        <v>Very Long</v>
      </c>
      <c r="T1163" s="2" t="str">
        <f t="shared" si="94"/>
        <v>Minor Delay</v>
      </c>
    </row>
    <row r="1164" spans="1:20" x14ac:dyDescent="0.35">
      <c r="A1164" s="2" t="s">
        <v>2511</v>
      </c>
      <c r="B1164" s="2" t="s">
        <v>31</v>
      </c>
      <c r="C1164" s="2" t="s">
        <v>2512</v>
      </c>
      <c r="D1164" s="2" t="s">
        <v>44</v>
      </c>
      <c r="E1164" s="2" t="s">
        <v>38</v>
      </c>
      <c r="F1164" s="2" t="s">
        <v>34</v>
      </c>
      <c r="G1164" s="2" t="s">
        <v>669</v>
      </c>
      <c r="H1164" s="3">
        <v>45434.159722222219</v>
      </c>
      <c r="I1164" s="3">
        <v>45434.231249999997</v>
      </c>
      <c r="J1164" s="2">
        <v>45</v>
      </c>
      <c r="K1164" s="2">
        <v>103</v>
      </c>
      <c r="L1164" s="2">
        <v>1</v>
      </c>
      <c r="M1164" s="2" t="s">
        <v>22</v>
      </c>
      <c r="N1164" s="2">
        <v>7</v>
      </c>
      <c r="O1164" s="2">
        <v>100.24</v>
      </c>
      <c r="P1164" s="2">
        <f t="shared" si="90"/>
        <v>58</v>
      </c>
      <c r="Q1164" s="4">
        <f t="shared" si="91"/>
        <v>0.43689320388349512</v>
      </c>
      <c r="R1164" s="2" t="str">
        <f t="shared" si="92"/>
        <v>Inefficient</v>
      </c>
      <c r="S1164" s="2" t="str">
        <f t="shared" si="93"/>
        <v>Long</v>
      </c>
      <c r="T1164" s="2" t="str">
        <f t="shared" si="94"/>
        <v>Major Delay</v>
      </c>
    </row>
    <row r="1165" spans="1:20" x14ac:dyDescent="0.35">
      <c r="A1165" s="2" t="s">
        <v>2513</v>
      </c>
      <c r="B1165" s="2" t="s">
        <v>63</v>
      </c>
      <c r="C1165" s="2" t="s">
        <v>2514</v>
      </c>
      <c r="D1165" s="2" t="s">
        <v>44</v>
      </c>
      <c r="E1165" s="2" t="s">
        <v>85</v>
      </c>
      <c r="F1165" s="2" t="s">
        <v>27</v>
      </c>
      <c r="G1165" s="2" t="s">
        <v>647</v>
      </c>
      <c r="H1165" s="3">
        <v>45325.521527777775</v>
      </c>
      <c r="I1165" s="3">
        <v>45325.67291666667</v>
      </c>
      <c r="J1165" s="2">
        <v>222</v>
      </c>
      <c r="K1165" s="2">
        <v>218</v>
      </c>
      <c r="L1165" s="2">
        <v>0</v>
      </c>
      <c r="M1165" s="2" t="s">
        <v>22</v>
      </c>
      <c r="N1165" s="2">
        <v>3</v>
      </c>
      <c r="O1165" s="2">
        <v>362.55</v>
      </c>
      <c r="P1165" s="2">
        <f t="shared" si="90"/>
        <v>-4</v>
      </c>
      <c r="Q1165" s="4">
        <f t="shared" si="91"/>
        <v>1.0183486238532109</v>
      </c>
      <c r="R1165" s="2" t="str">
        <f t="shared" si="92"/>
        <v>Efficient</v>
      </c>
      <c r="S1165" s="2" t="str">
        <f t="shared" si="93"/>
        <v>Very Long</v>
      </c>
      <c r="T1165" s="2" t="str">
        <f t="shared" si="94"/>
        <v>On Time</v>
      </c>
    </row>
    <row r="1166" spans="1:20" x14ac:dyDescent="0.35">
      <c r="A1166" s="2" t="s">
        <v>2515</v>
      </c>
      <c r="B1166" s="2" t="s">
        <v>51</v>
      </c>
      <c r="C1166" s="2" t="s">
        <v>2516</v>
      </c>
      <c r="D1166" s="2" t="s">
        <v>44</v>
      </c>
      <c r="E1166" s="2" t="s">
        <v>38</v>
      </c>
      <c r="F1166" s="2" t="s">
        <v>27</v>
      </c>
      <c r="G1166" s="2" t="s">
        <v>817</v>
      </c>
      <c r="H1166" s="3">
        <v>45599.925694444442</v>
      </c>
      <c r="I1166" s="3">
        <v>45600.013194444444</v>
      </c>
      <c r="J1166" s="2">
        <v>31</v>
      </c>
      <c r="K1166" s="2">
        <v>126</v>
      </c>
      <c r="L1166" s="2">
        <v>1</v>
      </c>
      <c r="M1166" s="2" t="s">
        <v>29</v>
      </c>
      <c r="N1166" s="2">
        <v>4</v>
      </c>
      <c r="O1166" s="2">
        <v>162.93</v>
      </c>
      <c r="P1166" s="2">
        <f t="shared" si="90"/>
        <v>95</v>
      </c>
      <c r="Q1166" s="4">
        <f t="shared" si="91"/>
        <v>0.24603174603174602</v>
      </c>
      <c r="R1166" s="2" t="str">
        <f t="shared" si="92"/>
        <v>Inefficient</v>
      </c>
      <c r="S1166" s="2" t="str">
        <f t="shared" si="93"/>
        <v>Very Long</v>
      </c>
      <c r="T1166" s="2" t="str">
        <f t="shared" si="94"/>
        <v>Major Delay</v>
      </c>
    </row>
    <row r="1167" spans="1:20" x14ac:dyDescent="0.35">
      <c r="A1167" s="2" t="s">
        <v>2517</v>
      </c>
      <c r="B1167" s="2" t="s">
        <v>16</v>
      </c>
      <c r="C1167" s="2" t="s">
        <v>2518</v>
      </c>
      <c r="D1167" s="2" t="s">
        <v>18</v>
      </c>
      <c r="E1167" s="2" t="s">
        <v>33</v>
      </c>
      <c r="F1167" s="2" t="s">
        <v>27</v>
      </c>
      <c r="G1167" s="2" t="s">
        <v>754</v>
      </c>
      <c r="H1167" s="3">
        <v>45416.603472222225</v>
      </c>
      <c r="I1167" s="3">
        <v>45416.744444444441</v>
      </c>
      <c r="J1167" s="2">
        <v>180</v>
      </c>
      <c r="K1167" s="2">
        <v>203</v>
      </c>
      <c r="L1167" s="2">
        <v>1</v>
      </c>
      <c r="M1167" s="2" t="s">
        <v>29</v>
      </c>
      <c r="N1167" s="2">
        <v>3</v>
      </c>
      <c r="O1167" s="2">
        <v>112.9</v>
      </c>
      <c r="P1167" s="2">
        <f t="shared" si="90"/>
        <v>23</v>
      </c>
      <c r="Q1167" s="4">
        <f t="shared" si="91"/>
        <v>0.88669950738916259</v>
      </c>
      <c r="R1167" s="2" t="str">
        <f t="shared" si="92"/>
        <v>Inefficient</v>
      </c>
      <c r="S1167" s="2" t="str">
        <f t="shared" si="93"/>
        <v>Very Long</v>
      </c>
      <c r="T1167" s="2" t="str">
        <f t="shared" si="94"/>
        <v>Minor Delay</v>
      </c>
    </row>
    <row r="1168" spans="1:20" x14ac:dyDescent="0.35">
      <c r="A1168" s="2" t="s">
        <v>2519</v>
      </c>
      <c r="B1168" s="2" t="s">
        <v>16</v>
      </c>
      <c r="C1168" s="2" t="s">
        <v>2520</v>
      </c>
      <c r="D1168" s="2" t="s">
        <v>26</v>
      </c>
      <c r="E1168" s="2" t="s">
        <v>38</v>
      </c>
      <c r="F1168" s="2" t="s">
        <v>27</v>
      </c>
      <c r="G1168" s="2" t="s">
        <v>343</v>
      </c>
      <c r="H1168" s="3">
        <v>45407.107638888891</v>
      </c>
      <c r="I1168" s="3">
        <v>45407.267361111109</v>
      </c>
      <c r="J1168" s="2">
        <v>145</v>
      </c>
      <c r="K1168" s="2">
        <v>230</v>
      </c>
      <c r="L1168" s="2">
        <v>1</v>
      </c>
      <c r="M1168" s="2" t="s">
        <v>29</v>
      </c>
      <c r="N1168" s="2">
        <v>4</v>
      </c>
      <c r="O1168" s="2">
        <v>216.46</v>
      </c>
      <c r="P1168" s="2">
        <f t="shared" si="90"/>
        <v>85</v>
      </c>
      <c r="Q1168" s="4">
        <f t="shared" si="91"/>
        <v>0.63043478260869568</v>
      </c>
      <c r="R1168" s="2" t="str">
        <f t="shared" si="92"/>
        <v>Inefficient</v>
      </c>
      <c r="S1168" s="2" t="str">
        <f t="shared" si="93"/>
        <v>Very Long</v>
      </c>
      <c r="T1168" s="2" t="str">
        <f t="shared" si="94"/>
        <v>Major Delay</v>
      </c>
    </row>
    <row r="1169" spans="1:20" x14ac:dyDescent="0.35">
      <c r="A1169" s="2" t="s">
        <v>2521</v>
      </c>
      <c r="B1169" s="2" t="s">
        <v>24</v>
      </c>
      <c r="C1169" s="2" t="s">
        <v>2522</v>
      </c>
      <c r="D1169" s="2" t="s">
        <v>48</v>
      </c>
      <c r="E1169" s="2" t="s">
        <v>19</v>
      </c>
      <c r="F1169" s="2" t="s">
        <v>57</v>
      </c>
      <c r="G1169" s="2" t="s">
        <v>577</v>
      </c>
      <c r="H1169" s="3">
        <v>45407.208333333336</v>
      </c>
      <c r="I1169" s="3">
        <v>45407.238194444442</v>
      </c>
      <c r="J1169" s="2">
        <v>13</v>
      </c>
      <c r="K1169" s="2">
        <v>43</v>
      </c>
      <c r="L1169" s="2">
        <v>1</v>
      </c>
      <c r="M1169" s="2" t="s">
        <v>22</v>
      </c>
      <c r="N1169" s="2">
        <v>9</v>
      </c>
      <c r="O1169" s="2">
        <v>200.84</v>
      </c>
      <c r="P1169" s="2">
        <f t="shared" si="90"/>
        <v>30</v>
      </c>
      <c r="Q1169" s="4">
        <f t="shared" si="91"/>
        <v>0.30232558139534882</v>
      </c>
      <c r="R1169" s="2" t="str">
        <f t="shared" si="92"/>
        <v>Inefficient</v>
      </c>
      <c r="S1169" s="2" t="str">
        <f t="shared" si="93"/>
        <v>Medium</v>
      </c>
      <c r="T1169" s="2" t="str">
        <f t="shared" si="94"/>
        <v>Minor Delay</v>
      </c>
    </row>
    <row r="1170" spans="1:20" x14ac:dyDescent="0.35">
      <c r="A1170" s="2" t="s">
        <v>2523</v>
      </c>
      <c r="B1170" s="2" t="s">
        <v>31</v>
      </c>
      <c r="C1170" s="2" t="s">
        <v>2524</v>
      </c>
      <c r="D1170" s="2" t="s">
        <v>56</v>
      </c>
      <c r="E1170" s="2" t="s">
        <v>38</v>
      </c>
      <c r="F1170" s="2" t="s">
        <v>39</v>
      </c>
      <c r="G1170" s="2" t="s">
        <v>100</v>
      </c>
      <c r="H1170" s="3">
        <v>45378.760416666664</v>
      </c>
      <c r="I1170" s="3">
        <v>45378.925000000003</v>
      </c>
      <c r="J1170" s="2">
        <v>185</v>
      </c>
      <c r="K1170" s="2">
        <v>237</v>
      </c>
      <c r="L1170" s="2">
        <v>1</v>
      </c>
      <c r="M1170" s="2" t="s">
        <v>22</v>
      </c>
      <c r="N1170" s="2">
        <v>5</v>
      </c>
      <c r="O1170" s="2">
        <v>241.23</v>
      </c>
      <c r="P1170" s="2">
        <f t="shared" si="90"/>
        <v>52</v>
      </c>
      <c r="Q1170" s="4">
        <f t="shared" si="91"/>
        <v>0.78059071729957807</v>
      </c>
      <c r="R1170" s="2" t="str">
        <f t="shared" si="92"/>
        <v>Inefficient</v>
      </c>
      <c r="S1170" s="2" t="str">
        <f t="shared" si="93"/>
        <v>Very Long</v>
      </c>
      <c r="T1170" s="2" t="str">
        <f t="shared" si="94"/>
        <v>Major Delay</v>
      </c>
    </row>
    <row r="1171" spans="1:20" x14ac:dyDescent="0.35">
      <c r="A1171" s="2" t="s">
        <v>2525</v>
      </c>
      <c r="B1171" s="2" t="s">
        <v>16</v>
      </c>
      <c r="C1171" s="2" t="s">
        <v>2526</v>
      </c>
      <c r="D1171" s="2" t="s">
        <v>44</v>
      </c>
      <c r="E1171" s="2" t="s">
        <v>19</v>
      </c>
      <c r="F1171" s="2" t="s">
        <v>34</v>
      </c>
      <c r="G1171" s="2" t="s">
        <v>364</v>
      </c>
      <c r="H1171" s="3">
        <v>45302.401388888888</v>
      </c>
      <c r="I1171" s="3">
        <v>45302.506249999999</v>
      </c>
      <c r="J1171" s="2">
        <v>40</v>
      </c>
      <c r="K1171" s="2">
        <v>151</v>
      </c>
      <c r="L1171" s="2">
        <v>1</v>
      </c>
      <c r="M1171" s="2" t="s">
        <v>22</v>
      </c>
      <c r="N1171" s="2">
        <v>2</v>
      </c>
      <c r="O1171" s="2">
        <v>478.18</v>
      </c>
      <c r="P1171" s="2">
        <f t="shared" si="90"/>
        <v>111</v>
      </c>
      <c r="Q1171" s="4">
        <f t="shared" si="91"/>
        <v>0.26490066225165565</v>
      </c>
      <c r="R1171" s="2" t="str">
        <f t="shared" si="92"/>
        <v>Inefficient</v>
      </c>
      <c r="S1171" s="2" t="str">
        <f t="shared" si="93"/>
        <v>Very Long</v>
      </c>
      <c r="T1171" s="2" t="str">
        <f t="shared" si="94"/>
        <v>Major Delay</v>
      </c>
    </row>
    <row r="1172" spans="1:20" x14ac:dyDescent="0.35">
      <c r="A1172" s="2" t="s">
        <v>2527</v>
      </c>
      <c r="B1172" s="2" t="s">
        <v>31</v>
      </c>
      <c r="C1172" s="2" t="s">
        <v>2528</v>
      </c>
      <c r="D1172" s="2" t="s">
        <v>18</v>
      </c>
      <c r="E1172" s="2" t="s">
        <v>85</v>
      </c>
      <c r="F1172" s="2" t="s">
        <v>39</v>
      </c>
      <c r="G1172" s="2" t="s">
        <v>364</v>
      </c>
      <c r="H1172" s="3">
        <v>45500.293055555558</v>
      </c>
      <c r="I1172" s="3">
        <v>45500.380555555559</v>
      </c>
      <c r="J1172" s="2">
        <v>10</v>
      </c>
      <c r="K1172" s="2">
        <v>126</v>
      </c>
      <c r="L1172" s="2">
        <v>1</v>
      </c>
      <c r="M1172" s="2" t="s">
        <v>22</v>
      </c>
      <c r="N1172" s="2">
        <v>3</v>
      </c>
      <c r="O1172" s="2">
        <v>498.81</v>
      </c>
      <c r="P1172" s="2">
        <f t="shared" si="90"/>
        <v>116</v>
      </c>
      <c r="Q1172" s="4">
        <f t="shared" si="91"/>
        <v>7.9365079365079361E-2</v>
      </c>
      <c r="R1172" s="2" t="str">
        <f t="shared" si="92"/>
        <v>Inefficient</v>
      </c>
      <c r="S1172" s="2" t="str">
        <f t="shared" si="93"/>
        <v>Very Long</v>
      </c>
      <c r="T1172" s="2" t="str">
        <f t="shared" si="94"/>
        <v>Major Delay</v>
      </c>
    </row>
    <row r="1173" spans="1:20" x14ac:dyDescent="0.35">
      <c r="A1173" s="2" t="s">
        <v>2529</v>
      </c>
      <c r="B1173" s="2" t="s">
        <v>51</v>
      </c>
      <c r="C1173" s="2" t="s">
        <v>2530</v>
      </c>
      <c r="D1173" s="2" t="s">
        <v>56</v>
      </c>
      <c r="E1173" s="2" t="s">
        <v>38</v>
      </c>
      <c r="F1173" s="2" t="s">
        <v>34</v>
      </c>
      <c r="G1173" s="2" t="s">
        <v>354</v>
      </c>
      <c r="H1173" s="3">
        <v>45313.20416666667</v>
      </c>
      <c r="I1173" s="3">
        <v>45313.3125</v>
      </c>
      <c r="J1173" s="2">
        <v>79</v>
      </c>
      <c r="K1173" s="2">
        <v>156</v>
      </c>
      <c r="L1173" s="2">
        <v>1</v>
      </c>
      <c r="M1173" s="2" t="s">
        <v>29</v>
      </c>
      <c r="N1173" s="2">
        <v>5</v>
      </c>
      <c r="O1173" s="2">
        <v>101.2</v>
      </c>
      <c r="P1173" s="2">
        <f t="shared" si="90"/>
        <v>77</v>
      </c>
      <c r="Q1173" s="4">
        <f t="shared" si="91"/>
        <v>0.50641025641025639</v>
      </c>
      <c r="R1173" s="2" t="str">
        <f t="shared" si="92"/>
        <v>Inefficient</v>
      </c>
      <c r="S1173" s="2" t="str">
        <f t="shared" si="93"/>
        <v>Very Long</v>
      </c>
      <c r="T1173" s="2" t="str">
        <f t="shared" si="94"/>
        <v>Major Delay</v>
      </c>
    </row>
    <row r="1174" spans="1:20" x14ac:dyDescent="0.35">
      <c r="A1174" s="2" t="s">
        <v>2531</v>
      </c>
      <c r="B1174" s="2" t="s">
        <v>63</v>
      </c>
      <c r="C1174" s="2" t="s">
        <v>2532</v>
      </c>
      <c r="D1174" s="2" t="s">
        <v>44</v>
      </c>
      <c r="E1174" s="2" t="s">
        <v>19</v>
      </c>
      <c r="F1174" s="2" t="s">
        <v>27</v>
      </c>
      <c r="G1174" s="2" t="s">
        <v>308</v>
      </c>
      <c r="H1174" s="3">
        <v>45378.765277777777</v>
      </c>
      <c r="I1174" s="3">
        <v>45378.814583333333</v>
      </c>
      <c r="J1174" s="2">
        <v>31</v>
      </c>
      <c r="K1174" s="2">
        <v>71</v>
      </c>
      <c r="L1174" s="2">
        <v>1</v>
      </c>
      <c r="M1174" s="2" t="s">
        <v>41</v>
      </c>
      <c r="N1174" s="2">
        <v>5</v>
      </c>
      <c r="O1174" s="2">
        <v>295.06</v>
      </c>
      <c r="P1174" s="2">
        <f t="shared" si="90"/>
        <v>40</v>
      </c>
      <c r="Q1174" s="4">
        <f t="shared" si="91"/>
        <v>0.43661971830985913</v>
      </c>
      <c r="R1174" s="2" t="str">
        <f t="shared" si="92"/>
        <v>Inefficient</v>
      </c>
      <c r="S1174" s="2" t="str">
        <f t="shared" si="93"/>
        <v>Long</v>
      </c>
      <c r="T1174" s="2" t="str">
        <f t="shared" si="94"/>
        <v>Major Delay</v>
      </c>
    </row>
    <row r="1175" spans="1:20" x14ac:dyDescent="0.35">
      <c r="A1175" s="2" t="s">
        <v>2533</v>
      </c>
      <c r="B1175" s="2" t="s">
        <v>24</v>
      </c>
      <c r="C1175" s="2" t="s">
        <v>2534</v>
      </c>
      <c r="D1175" s="2" t="s">
        <v>26</v>
      </c>
      <c r="E1175" s="2" t="s">
        <v>19</v>
      </c>
      <c r="F1175" s="2" t="s">
        <v>57</v>
      </c>
      <c r="G1175" s="2" t="s">
        <v>388</v>
      </c>
      <c r="H1175" s="3">
        <v>45628.132638888892</v>
      </c>
      <c r="I1175" s="3">
        <v>45628.283333333333</v>
      </c>
      <c r="J1175" s="2">
        <v>189</v>
      </c>
      <c r="K1175" s="2">
        <v>217</v>
      </c>
      <c r="L1175" s="2">
        <v>1</v>
      </c>
      <c r="M1175" s="2" t="s">
        <v>22</v>
      </c>
      <c r="N1175" s="2">
        <v>7</v>
      </c>
      <c r="O1175" s="2">
        <v>114.9</v>
      </c>
      <c r="P1175" s="2">
        <f t="shared" si="90"/>
        <v>28</v>
      </c>
      <c r="Q1175" s="4">
        <f t="shared" si="91"/>
        <v>0.87096774193548387</v>
      </c>
      <c r="R1175" s="2" t="str">
        <f t="shared" si="92"/>
        <v>Inefficient</v>
      </c>
      <c r="S1175" s="2" t="str">
        <f t="shared" si="93"/>
        <v>Very Long</v>
      </c>
      <c r="T1175" s="2" t="str">
        <f t="shared" si="94"/>
        <v>Minor Delay</v>
      </c>
    </row>
    <row r="1176" spans="1:20" x14ac:dyDescent="0.35">
      <c r="A1176" s="2" t="s">
        <v>2535</v>
      </c>
      <c r="B1176" s="2" t="s">
        <v>24</v>
      </c>
      <c r="C1176" s="2" t="s">
        <v>2536</v>
      </c>
      <c r="D1176" s="2" t="s">
        <v>26</v>
      </c>
      <c r="E1176" s="2" t="s">
        <v>33</v>
      </c>
      <c r="F1176" s="2" t="s">
        <v>20</v>
      </c>
      <c r="G1176" s="2" t="s">
        <v>462</v>
      </c>
      <c r="H1176" s="3">
        <v>45359.982638888891</v>
      </c>
      <c r="I1176" s="3">
        <v>45360.052777777775</v>
      </c>
      <c r="J1176" s="2">
        <v>28</v>
      </c>
      <c r="K1176" s="2">
        <v>101</v>
      </c>
      <c r="L1176" s="2">
        <v>1</v>
      </c>
      <c r="M1176" s="2" t="s">
        <v>41</v>
      </c>
      <c r="N1176" s="2">
        <v>5</v>
      </c>
      <c r="O1176" s="2">
        <v>235.03</v>
      </c>
      <c r="P1176" s="2">
        <f t="shared" si="90"/>
        <v>73</v>
      </c>
      <c r="Q1176" s="4">
        <f t="shared" si="91"/>
        <v>0.27722772277227725</v>
      </c>
      <c r="R1176" s="2" t="str">
        <f t="shared" si="92"/>
        <v>Inefficient</v>
      </c>
      <c r="S1176" s="2" t="str">
        <f t="shared" si="93"/>
        <v>Long</v>
      </c>
      <c r="T1176" s="2" t="str">
        <f t="shared" si="94"/>
        <v>Major Delay</v>
      </c>
    </row>
    <row r="1177" spans="1:20" x14ac:dyDescent="0.35">
      <c r="A1177" s="2" t="s">
        <v>2537</v>
      </c>
      <c r="B1177" s="2" t="s">
        <v>31</v>
      </c>
      <c r="C1177" s="2" t="s">
        <v>2538</v>
      </c>
      <c r="D1177" s="2" t="s">
        <v>48</v>
      </c>
      <c r="E1177" s="2" t="s">
        <v>33</v>
      </c>
      <c r="F1177" s="2" t="s">
        <v>57</v>
      </c>
      <c r="G1177" s="2" t="s">
        <v>21</v>
      </c>
      <c r="H1177" s="3">
        <v>45496.821527777778</v>
      </c>
      <c r="I1177" s="3">
        <v>45496.990972222222</v>
      </c>
      <c r="J1177" s="2">
        <v>209</v>
      </c>
      <c r="K1177" s="2">
        <v>244</v>
      </c>
      <c r="L1177" s="2">
        <v>1</v>
      </c>
      <c r="M1177" s="2" t="s">
        <v>41</v>
      </c>
      <c r="N1177" s="2">
        <v>2</v>
      </c>
      <c r="O1177" s="2">
        <v>159.91</v>
      </c>
      <c r="P1177" s="2">
        <f t="shared" si="90"/>
        <v>35</v>
      </c>
      <c r="Q1177" s="4">
        <f t="shared" si="91"/>
        <v>0.85655737704918034</v>
      </c>
      <c r="R1177" s="2" t="str">
        <f t="shared" si="92"/>
        <v>Inefficient</v>
      </c>
      <c r="S1177" s="2" t="str">
        <f t="shared" si="93"/>
        <v>Very Long</v>
      </c>
      <c r="T1177" s="2" t="str">
        <f t="shared" si="94"/>
        <v>Major Delay</v>
      </c>
    </row>
    <row r="1178" spans="1:20" x14ac:dyDescent="0.35">
      <c r="A1178" s="2" t="s">
        <v>2539</v>
      </c>
      <c r="B1178" s="2" t="s">
        <v>16</v>
      </c>
      <c r="C1178" s="2" t="s">
        <v>2540</v>
      </c>
      <c r="D1178" s="2" t="s">
        <v>18</v>
      </c>
      <c r="E1178" s="2" t="s">
        <v>33</v>
      </c>
      <c r="F1178" s="2" t="s">
        <v>27</v>
      </c>
      <c r="G1178" s="2" t="s">
        <v>521</v>
      </c>
      <c r="H1178" s="3">
        <v>45293.419444444444</v>
      </c>
      <c r="I1178" s="3">
        <v>45293.529861111114</v>
      </c>
      <c r="J1178" s="2">
        <v>45</v>
      </c>
      <c r="K1178" s="2">
        <v>159</v>
      </c>
      <c r="L1178" s="2">
        <v>1</v>
      </c>
      <c r="M1178" s="2" t="s">
        <v>41</v>
      </c>
      <c r="N1178" s="2">
        <v>7</v>
      </c>
      <c r="O1178" s="2">
        <v>379.65</v>
      </c>
      <c r="P1178" s="2">
        <f t="shared" si="90"/>
        <v>114</v>
      </c>
      <c r="Q1178" s="4">
        <f t="shared" si="91"/>
        <v>0.28301886792452829</v>
      </c>
      <c r="R1178" s="2" t="str">
        <f t="shared" si="92"/>
        <v>Inefficient</v>
      </c>
      <c r="S1178" s="2" t="str">
        <f t="shared" si="93"/>
        <v>Very Long</v>
      </c>
      <c r="T1178" s="2" t="str">
        <f t="shared" si="94"/>
        <v>Major Delay</v>
      </c>
    </row>
    <row r="1179" spans="1:20" x14ac:dyDescent="0.35">
      <c r="A1179" s="2" t="s">
        <v>2541</v>
      </c>
      <c r="B1179" s="2" t="s">
        <v>31</v>
      </c>
      <c r="C1179" s="2" t="s">
        <v>2542</v>
      </c>
      <c r="D1179" s="2" t="s">
        <v>44</v>
      </c>
      <c r="E1179" s="2" t="s">
        <v>33</v>
      </c>
      <c r="F1179" s="2" t="s">
        <v>34</v>
      </c>
      <c r="G1179" s="2" t="s">
        <v>88</v>
      </c>
      <c r="H1179" s="3">
        <v>45463.543749999997</v>
      </c>
      <c r="I1179" s="3">
        <v>45463.633333333331</v>
      </c>
      <c r="J1179" s="2">
        <v>85</v>
      </c>
      <c r="K1179" s="2">
        <v>129</v>
      </c>
      <c r="L1179" s="2">
        <v>1</v>
      </c>
      <c r="M1179" s="2" t="s">
        <v>29</v>
      </c>
      <c r="N1179" s="2">
        <v>2</v>
      </c>
      <c r="O1179" s="2">
        <v>117.81</v>
      </c>
      <c r="P1179" s="2">
        <f t="shared" si="90"/>
        <v>44</v>
      </c>
      <c r="Q1179" s="4">
        <f t="shared" si="91"/>
        <v>0.65891472868217049</v>
      </c>
      <c r="R1179" s="2" t="str">
        <f t="shared" si="92"/>
        <v>Inefficient</v>
      </c>
      <c r="S1179" s="2" t="str">
        <f t="shared" si="93"/>
        <v>Very Long</v>
      </c>
      <c r="T1179" s="2" t="str">
        <f t="shared" si="94"/>
        <v>Major Delay</v>
      </c>
    </row>
    <row r="1180" spans="1:20" x14ac:dyDescent="0.35">
      <c r="A1180" s="2" t="s">
        <v>2543</v>
      </c>
      <c r="B1180" s="2" t="s">
        <v>24</v>
      </c>
      <c r="C1180" s="2" t="s">
        <v>2544</v>
      </c>
      <c r="D1180" s="2" t="s">
        <v>48</v>
      </c>
      <c r="E1180" s="2" t="s">
        <v>19</v>
      </c>
      <c r="F1180" s="2" t="s">
        <v>57</v>
      </c>
      <c r="G1180" s="2" t="s">
        <v>117</v>
      </c>
      <c r="H1180" s="3">
        <v>45602.334722222222</v>
      </c>
      <c r="I1180" s="3">
        <v>45602.519444444442</v>
      </c>
      <c r="J1180" s="2">
        <v>225</v>
      </c>
      <c r="K1180" s="2">
        <v>266</v>
      </c>
      <c r="L1180" s="2">
        <v>1</v>
      </c>
      <c r="M1180" s="2" t="s">
        <v>29</v>
      </c>
      <c r="N1180" s="2">
        <v>10</v>
      </c>
      <c r="O1180" s="2">
        <v>89.46</v>
      </c>
      <c r="P1180" s="2">
        <f t="shared" si="90"/>
        <v>41</v>
      </c>
      <c r="Q1180" s="4">
        <f t="shared" si="91"/>
        <v>0.84586466165413532</v>
      </c>
      <c r="R1180" s="2" t="str">
        <f t="shared" si="92"/>
        <v>Inefficient</v>
      </c>
      <c r="S1180" s="2" t="str">
        <f t="shared" si="93"/>
        <v>Very Long</v>
      </c>
      <c r="T1180" s="2" t="str">
        <f t="shared" si="94"/>
        <v>Major Delay</v>
      </c>
    </row>
    <row r="1181" spans="1:20" x14ac:dyDescent="0.35">
      <c r="A1181" s="2" t="s">
        <v>2545</v>
      </c>
      <c r="B1181" s="2" t="s">
        <v>31</v>
      </c>
      <c r="C1181" s="2" t="s">
        <v>2546</v>
      </c>
      <c r="D1181" s="2" t="s">
        <v>48</v>
      </c>
      <c r="E1181" s="2" t="s">
        <v>19</v>
      </c>
      <c r="F1181" s="2" t="s">
        <v>39</v>
      </c>
      <c r="G1181" s="2" t="s">
        <v>321</v>
      </c>
      <c r="H1181" s="3">
        <v>45326.290972222225</v>
      </c>
      <c r="I1181" s="3">
        <v>45326.489583333336</v>
      </c>
      <c r="J1181" s="2">
        <v>239</v>
      </c>
      <c r="K1181" s="2">
        <v>286</v>
      </c>
      <c r="L1181" s="2">
        <v>1</v>
      </c>
      <c r="M1181" s="2" t="s">
        <v>41</v>
      </c>
      <c r="N1181" s="2">
        <v>4</v>
      </c>
      <c r="O1181" s="2">
        <v>471.15</v>
      </c>
      <c r="P1181" s="2">
        <f t="shared" si="90"/>
        <v>47</v>
      </c>
      <c r="Q1181" s="4">
        <f t="shared" si="91"/>
        <v>0.83566433566433562</v>
      </c>
      <c r="R1181" s="2" t="str">
        <f t="shared" si="92"/>
        <v>Inefficient</v>
      </c>
      <c r="S1181" s="2" t="str">
        <f t="shared" si="93"/>
        <v>Very Long</v>
      </c>
      <c r="T1181" s="2" t="str">
        <f t="shared" si="94"/>
        <v>Major Delay</v>
      </c>
    </row>
    <row r="1182" spans="1:20" x14ac:dyDescent="0.35">
      <c r="A1182" s="2" t="s">
        <v>2547</v>
      </c>
      <c r="B1182" s="2" t="s">
        <v>63</v>
      </c>
      <c r="C1182" s="2" t="s">
        <v>2548</v>
      </c>
      <c r="D1182" s="2" t="s">
        <v>18</v>
      </c>
      <c r="E1182" s="2" t="s">
        <v>85</v>
      </c>
      <c r="F1182" s="2" t="s">
        <v>27</v>
      </c>
      <c r="G1182" s="2" t="s">
        <v>397</v>
      </c>
      <c r="H1182" s="3">
        <v>45438.850694444445</v>
      </c>
      <c r="I1182" s="3">
        <v>45438.96597222222</v>
      </c>
      <c r="J1182" s="2">
        <v>116</v>
      </c>
      <c r="K1182" s="2">
        <v>166</v>
      </c>
      <c r="L1182" s="2">
        <v>1</v>
      </c>
      <c r="M1182" s="2" t="s">
        <v>41</v>
      </c>
      <c r="N1182" s="2">
        <v>8</v>
      </c>
      <c r="O1182" s="2">
        <v>219.55</v>
      </c>
      <c r="P1182" s="2">
        <f t="shared" si="90"/>
        <v>50</v>
      </c>
      <c r="Q1182" s="4">
        <f t="shared" si="91"/>
        <v>0.6987951807228916</v>
      </c>
      <c r="R1182" s="2" t="str">
        <f t="shared" si="92"/>
        <v>Inefficient</v>
      </c>
      <c r="S1182" s="2" t="str">
        <f t="shared" si="93"/>
        <v>Very Long</v>
      </c>
      <c r="T1182" s="2" t="str">
        <f t="shared" si="94"/>
        <v>Major Delay</v>
      </c>
    </row>
    <row r="1183" spans="1:20" x14ac:dyDescent="0.35">
      <c r="A1183" s="2" t="s">
        <v>2549</v>
      </c>
      <c r="B1183" s="2" t="s">
        <v>16</v>
      </c>
      <c r="C1183" s="2" t="s">
        <v>2550</v>
      </c>
      <c r="D1183" s="2" t="s">
        <v>26</v>
      </c>
      <c r="E1183" s="2" t="s">
        <v>19</v>
      </c>
      <c r="F1183" s="2" t="s">
        <v>39</v>
      </c>
      <c r="G1183" s="2" t="s">
        <v>207</v>
      </c>
      <c r="H1183" s="3">
        <v>45311.052777777775</v>
      </c>
      <c r="I1183" s="3">
        <v>45311.177083333336</v>
      </c>
      <c r="J1183" s="2">
        <v>113</v>
      </c>
      <c r="K1183" s="2">
        <v>179</v>
      </c>
      <c r="L1183" s="2">
        <v>1</v>
      </c>
      <c r="M1183" s="2" t="s">
        <v>41</v>
      </c>
      <c r="N1183" s="2">
        <v>2</v>
      </c>
      <c r="O1183" s="2">
        <v>358.46</v>
      </c>
      <c r="P1183" s="2">
        <f t="shared" si="90"/>
        <v>66</v>
      </c>
      <c r="Q1183" s="4">
        <f t="shared" si="91"/>
        <v>0.63128491620111726</v>
      </c>
      <c r="R1183" s="2" t="str">
        <f t="shared" si="92"/>
        <v>Inefficient</v>
      </c>
      <c r="S1183" s="2" t="str">
        <f t="shared" si="93"/>
        <v>Very Long</v>
      </c>
      <c r="T1183" s="2" t="str">
        <f t="shared" si="94"/>
        <v>Major Delay</v>
      </c>
    </row>
    <row r="1184" spans="1:20" x14ac:dyDescent="0.35">
      <c r="A1184" s="2" t="s">
        <v>2551</v>
      </c>
      <c r="B1184" s="2" t="s">
        <v>24</v>
      </c>
      <c r="C1184" s="2" t="s">
        <v>2552</v>
      </c>
      <c r="D1184" s="2" t="s">
        <v>18</v>
      </c>
      <c r="E1184" s="2" t="s">
        <v>33</v>
      </c>
      <c r="F1184" s="2" t="s">
        <v>27</v>
      </c>
      <c r="G1184" s="2" t="s">
        <v>259</v>
      </c>
      <c r="H1184" s="3">
        <v>45478.040972222225</v>
      </c>
      <c r="I1184" s="3">
        <v>45478.138888888891</v>
      </c>
      <c r="J1184" s="2">
        <v>58</v>
      </c>
      <c r="K1184" s="2">
        <v>141</v>
      </c>
      <c r="L1184" s="2">
        <v>1</v>
      </c>
      <c r="M1184" s="2" t="s">
        <v>22</v>
      </c>
      <c r="N1184" s="2">
        <v>5</v>
      </c>
      <c r="O1184" s="2">
        <v>381.1</v>
      </c>
      <c r="P1184" s="2">
        <f t="shared" si="90"/>
        <v>83</v>
      </c>
      <c r="Q1184" s="4">
        <f t="shared" si="91"/>
        <v>0.41134751773049644</v>
      </c>
      <c r="R1184" s="2" t="str">
        <f t="shared" si="92"/>
        <v>Inefficient</v>
      </c>
      <c r="S1184" s="2" t="str">
        <f t="shared" si="93"/>
        <v>Very Long</v>
      </c>
      <c r="T1184" s="2" t="str">
        <f t="shared" si="94"/>
        <v>Major Delay</v>
      </c>
    </row>
    <row r="1185" spans="1:20" x14ac:dyDescent="0.35">
      <c r="A1185" s="2" t="s">
        <v>2553</v>
      </c>
      <c r="B1185" s="2" t="s">
        <v>24</v>
      </c>
      <c r="C1185" s="2" t="s">
        <v>2554</v>
      </c>
      <c r="D1185" s="2" t="s">
        <v>56</v>
      </c>
      <c r="E1185" s="2" t="s">
        <v>85</v>
      </c>
      <c r="F1185" s="2" t="s">
        <v>20</v>
      </c>
      <c r="G1185" s="2" t="s">
        <v>410</v>
      </c>
      <c r="H1185" s="3">
        <v>45613.227777777778</v>
      </c>
      <c r="I1185" s="3">
        <v>45613.257638888892</v>
      </c>
      <c r="J1185" s="2">
        <v>36</v>
      </c>
      <c r="K1185" s="2">
        <v>43</v>
      </c>
      <c r="L1185" s="2">
        <v>1</v>
      </c>
      <c r="M1185" s="2" t="s">
        <v>41</v>
      </c>
      <c r="N1185" s="2">
        <v>8</v>
      </c>
      <c r="O1185" s="2">
        <v>287.66000000000003</v>
      </c>
      <c r="P1185" s="2">
        <f t="shared" si="90"/>
        <v>7</v>
      </c>
      <c r="Q1185" s="4">
        <f t="shared" si="91"/>
        <v>0.83720930232558144</v>
      </c>
      <c r="R1185" s="2" t="str">
        <f t="shared" si="92"/>
        <v>Inefficient</v>
      </c>
      <c r="S1185" s="2" t="str">
        <f t="shared" si="93"/>
        <v>Medium</v>
      </c>
      <c r="T1185" s="2" t="str">
        <f t="shared" si="94"/>
        <v>Minor Delay</v>
      </c>
    </row>
    <row r="1186" spans="1:20" x14ac:dyDescent="0.35">
      <c r="A1186" s="2" t="s">
        <v>2555</v>
      </c>
      <c r="B1186" s="2" t="s">
        <v>31</v>
      </c>
      <c r="C1186" s="2" t="s">
        <v>2556</v>
      </c>
      <c r="D1186" s="2" t="s">
        <v>44</v>
      </c>
      <c r="E1186" s="2" t="s">
        <v>33</v>
      </c>
      <c r="F1186" s="2" t="s">
        <v>27</v>
      </c>
      <c r="G1186" s="2" t="s">
        <v>505</v>
      </c>
      <c r="H1186" s="3">
        <v>45373.529861111114</v>
      </c>
      <c r="I1186" s="3">
        <v>45373.606944444444</v>
      </c>
      <c r="J1186" s="2">
        <v>94</v>
      </c>
      <c r="K1186" s="2">
        <v>111</v>
      </c>
      <c r="L1186" s="2">
        <v>1</v>
      </c>
      <c r="M1186" s="2" t="s">
        <v>29</v>
      </c>
      <c r="N1186" s="2">
        <v>9</v>
      </c>
      <c r="O1186" s="2">
        <v>298.76</v>
      </c>
      <c r="P1186" s="2">
        <f t="shared" si="90"/>
        <v>17</v>
      </c>
      <c r="Q1186" s="4">
        <f t="shared" si="91"/>
        <v>0.84684684684684686</v>
      </c>
      <c r="R1186" s="2" t="str">
        <f t="shared" si="92"/>
        <v>Inefficient</v>
      </c>
      <c r="S1186" s="2" t="str">
        <f t="shared" si="93"/>
        <v>Long</v>
      </c>
      <c r="T1186" s="2" t="str">
        <f t="shared" si="94"/>
        <v>Minor Delay</v>
      </c>
    </row>
    <row r="1187" spans="1:20" x14ac:dyDescent="0.35">
      <c r="A1187" s="2" t="s">
        <v>2557</v>
      </c>
      <c r="B1187" s="2" t="s">
        <v>24</v>
      </c>
      <c r="C1187" s="2" t="s">
        <v>2558</v>
      </c>
      <c r="D1187" s="2" t="s">
        <v>18</v>
      </c>
      <c r="E1187" s="2" t="s">
        <v>85</v>
      </c>
      <c r="F1187" s="2" t="s">
        <v>20</v>
      </c>
      <c r="G1187" s="2" t="s">
        <v>594</v>
      </c>
      <c r="H1187" s="3">
        <v>45318.010416666664</v>
      </c>
      <c r="I1187" s="3">
        <v>45318.134722222225</v>
      </c>
      <c r="J1187" s="2">
        <v>180</v>
      </c>
      <c r="K1187" s="2">
        <v>179</v>
      </c>
      <c r="L1187" s="2">
        <v>0</v>
      </c>
      <c r="M1187" s="2" t="s">
        <v>41</v>
      </c>
      <c r="N1187" s="2">
        <v>3</v>
      </c>
      <c r="O1187" s="2">
        <v>71.930000000000007</v>
      </c>
      <c r="P1187" s="2">
        <f t="shared" si="90"/>
        <v>-1</v>
      </c>
      <c r="Q1187" s="4">
        <f t="shared" si="91"/>
        <v>1.005586592178771</v>
      </c>
      <c r="R1187" s="2" t="str">
        <f t="shared" si="92"/>
        <v>Efficient</v>
      </c>
      <c r="S1187" s="2" t="str">
        <f t="shared" si="93"/>
        <v>Very Long</v>
      </c>
      <c r="T1187" s="2" t="str">
        <f t="shared" si="94"/>
        <v>On Time</v>
      </c>
    </row>
    <row r="1188" spans="1:20" x14ac:dyDescent="0.35">
      <c r="A1188" s="2" t="s">
        <v>2559</v>
      </c>
      <c r="B1188" s="2" t="s">
        <v>31</v>
      </c>
      <c r="C1188" s="2" t="s">
        <v>2560</v>
      </c>
      <c r="D1188" s="2" t="s">
        <v>26</v>
      </c>
      <c r="E1188" s="2" t="s">
        <v>38</v>
      </c>
      <c r="F1188" s="2" t="s">
        <v>27</v>
      </c>
      <c r="G1188" s="2" t="s">
        <v>402</v>
      </c>
      <c r="H1188" s="3">
        <v>45379.419444444444</v>
      </c>
      <c r="I1188" s="3">
        <v>45379.504166666666</v>
      </c>
      <c r="J1188" s="2">
        <v>84</v>
      </c>
      <c r="K1188" s="2">
        <v>122</v>
      </c>
      <c r="L1188" s="2">
        <v>1</v>
      </c>
      <c r="M1188" s="2" t="s">
        <v>41</v>
      </c>
      <c r="N1188" s="2">
        <v>7</v>
      </c>
      <c r="O1188" s="2">
        <v>497.5</v>
      </c>
      <c r="P1188" s="2">
        <f t="shared" si="90"/>
        <v>38</v>
      </c>
      <c r="Q1188" s="4">
        <f t="shared" si="91"/>
        <v>0.68852459016393441</v>
      </c>
      <c r="R1188" s="2" t="str">
        <f t="shared" si="92"/>
        <v>Inefficient</v>
      </c>
      <c r="S1188" s="2" t="str">
        <f t="shared" si="93"/>
        <v>Very Long</v>
      </c>
      <c r="T1188" s="2" t="str">
        <f t="shared" si="94"/>
        <v>Major Delay</v>
      </c>
    </row>
    <row r="1189" spans="1:20" x14ac:dyDescent="0.35">
      <c r="A1189" s="2" t="s">
        <v>2561</v>
      </c>
      <c r="B1189" s="2" t="s">
        <v>24</v>
      </c>
      <c r="C1189" s="2" t="s">
        <v>2562</v>
      </c>
      <c r="D1189" s="2" t="s">
        <v>48</v>
      </c>
      <c r="E1189" s="2" t="s">
        <v>85</v>
      </c>
      <c r="F1189" s="2" t="s">
        <v>27</v>
      </c>
      <c r="G1189" s="2" t="s">
        <v>173</v>
      </c>
      <c r="H1189" s="3">
        <v>45371.502083333333</v>
      </c>
      <c r="I1189" s="3">
        <v>45371.727083333331</v>
      </c>
      <c r="J1189" s="2">
        <v>218</v>
      </c>
      <c r="K1189" s="2">
        <v>324</v>
      </c>
      <c r="L1189" s="2">
        <v>1</v>
      </c>
      <c r="M1189" s="2" t="s">
        <v>29</v>
      </c>
      <c r="N1189" s="2">
        <v>6</v>
      </c>
      <c r="O1189" s="2">
        <v>214.44</v>
      </c>
      <c r="P1189" s="2">
        <f t="shared" si="90"/>
        <v>106</v>
      </c>
      <c r="Q1189" s="4">
        <f t="shared" si="91"/>
        <v>0.6728395061728395</v>
      </c>
      <c r="R1189" s="2" t="str">
        <f t="shared" si="92"/>
        <v>Inefficient</v>
      </c>
      <c r="S1189" s="2" t="str">
        <f t="shared" si="93"/>
        <v>Very Long</v>
      </c>
      <c r="T1189" s="2" t="str">
        <f t="shared" si="94"/>
        <v>Major Delay</v>
      </c>
    </row>
    <row r="1190" spans="1:20" x14ac:dyDescent="0.35">
      <c r="A1190" s="2" t="s">
        <v>2563</v>
      </c>
      <c r="B1190" s="2" t="s">
        <v>16</v>
      </c>
      <c r="C1190" s="2" t="s">
        <v>2564</v>
      </c>
      <c r="D1190" s="2" t="s">
        <v>48</v>
      </c>
      <c r="E1190" s="2" t="s">
        <v>19</v>
      </c>
      <c r="F1190" s="2" t="s">
        <v>20</v>
      </c>
      <c r="G1190" s="2" t="s">
        <v>897</v>
      </c>
      <c r="H1190" s="3">
        <v>45352.484027777777</v>
      </c>
      <c r="I1190" s="3">
        <v>45352.675694444442</v>
      </c>
      <c r="J1190" s="2">
        <v>159</v>
      </c>
      <c r="K1190" s="2">
        <v>276</v>
      </c>
      <c r="L1190" s="2">
        <v>1</v>
      </c>
      <c r="M1190" s="2" t="s">
        <v>22</v>
      </c>
      <c r="N1190" s="2">
        <v>9</v>
      </c>
      <c r="O1190" s="2">
        <v>75.08</v>
      </c>
      <c r="P1190" s="2">
        <f t="shared" si="90"/>
        <v>117</v>
      </c>
      <c r="Q1190" s="4">
        <f t="shared" si="91"/>
        <v>0.57608695652173914</v>
      </c>
      <c r="R1190" s="2" t="str">
        <f t="shared" si="92"/>
        <v>Inefficient</v>
      </c>
      <c r="S1190" s="2" t="str">
        <f t="shared" si="93"/>
        <v>Very Long</v>
      </c>
      <c r="T1190" s="2" t="str">
        <f t="shared" si="94"/>
        <v>Major Delay</v>
      </c>
    </row>
    <row r="1191" spans="1:20" x14ac:dyDescent="0.35">
      <c r="A1191" s="2" t="s">
        <v>2565</v>
      </c>
      <c r="B1191" s="2" t="s">
        <v>63</v>
      </c>
      <c r="C1191" s="2" t="s">
        <v>2566</v>
      </c>
      <c r="D1191" s="2" t="s">
        <v>56</v>
      </c>
      <c r="E1191" s="2" t="s">
        <v>19</v>
      </c>
      <c r="F1191" s="2" t="s">
        <v>57</v>
      </c>
      <c r="G1191" s="2" t="s">
        <v>111</v>
      </c>
      <c r="H1191" s="3">
        <v>45585.586805555555</v>
      </c>
      <c r="I1191" s="3">
        <v>45585.732638888891</v>
      </c>
      <c r="J1191" s="2">
        <v>106</v>
      </c>
      <c r="K1191" s="2">
        <v>210</v>
      </c>
      <c r="L1191" s="2">
        <v>1</v>
      </c>
      <c r="M1191" s="2" t="s">
        <v>22</v>
      </c>
      <c r="N1191" s="2">
        <v>8</v>
      </c>
      <c r="O1191" s="2">
        <v>332.71</v>
      </c>
      <c r="P1191" s="2">
        <f t="shared" si="90"/>
        <v>104</v>
      </c>
      <c r="Q1191" s="4">
        <f t="shared" si="91"/>
        <v>0.50476190476190474</v>
      </c>
      <c r="R1191" s="2" t="str">
        <f t="shared" si="92"/>
        <v>Inefficient</v>
      </c>
      <c r="S1191" s="2" t="str">
        <f t="shared" si="93"/>
        <v>Very Long</v>
      </c>
      <c r="T1191" s="2" t="str">
        <f t="shared" si="94"/>
        <v>Major Delay</v>
      </c>
    </row>
    <row r="1192" spans="1:20" x14ac:dyDescent="0.35">
      <c r="A1192" s="2" t="s">
        <v>2567</v>
      </c>
      <c r="B1192" s="2" t="s">
        <v>51</v>
      </c>
      <c r="C1192" s="2" t="s">
        <v>2568</v>
      </c>
      <c r="D1192" s="2" t="s">
        <v>44</v>
      </c>
      <c r="E1192" s="2" t="s">
        <v>85</v>
      </c>
      <c r="F1192" s="2" t="s">
        <v>57</v>
      </c>
      <c r="G1192" s="2" t="s">
        <v>383</v>
      </c>
      <c r="H1192" s="3">
        <v>45322.15</v>
      </c>
      <c r="I1192" s="3">
        <v>45322.23333333333</v>
      </c>
      <c r="J1192" s="2">
        <v>93</v>
      </c>
      <c r="K1192" s="2">
        <v>120</v>
      </c>
      <c r="L1192" s="2">
        <v>1</v>
      </c>
      <c r="M1192" s="2" t="s">
        <v>29</v>
      </c>
      <c r="N1192" s="2">
        <v>10</v>
      </c>
      <c r="O1192" s="2">
        <v>362.84</v>
      </c>
      <c r="P1192" s="2">
        <f t="shared" si="90"/>
        <v>27</v>
      </c>
      <c r="Q1192" s="4">
        <f t="shared" si="91"/>
        <v>0.77500000000000002</v>
      </c>
      <c r="R1192" s="2" t="str">
        <f t="shared" si="92"/>
        <v>Inefficient</v>
      </c>
      <c r="S1192" s="2" t="str">
        <f t="shared" si="93"/>
        <v>Very Long</v>
      </c>
      <c r="T1192" s="2" t="str">
        <f t="shared" si="94"/>
        <v>Minor Delay</v>
      </c>
    </row>
    <row r="1193" spans="1:20" x14ac:dyDescent="0.35">
      <c r="A1193" s="2" t="s">
        <v>2569</v>
      </c>
      <c r="B1193" s="2" t="s">
        <v>24</v>
      </c>
      <c r="C1193" s="2" t="s">
        <v>2570</v>
      </c>
      <c r="D1193" s="2" t="s">
        <v>48</v>
      </c>
      <c r="E1193" s="2" t="s">
        <v>19</v>
      </c>
      <c r="F1193" s="2" t="s">
        <v>34</v>
      </c>
      <c r="G1193" s="2" t="s">
        <v>182</v>
      </c>
      <c r="H1193" s="3">
        <v>45552.455555555556</v>
      </c>
      <c r="I1193" s="3">
        <v>45552.511111111111</v>
      </c>
      <c r="J1193" s="2">
        <v>67</v>
      </c>
      <c r="K1193" s="2">
        <v>80</v>
      </c>
      <c r="L1193" s="2">
        <v>1</v>
      </c>
      <c r="M1193" s="2" t="s">
        <v>29</v>
      </c>
      <c r="N1193" s="2">
        <v>6</v>
      </c>
      <c r="O1193" s="2">
        <v>195.84</v>
      </c>
      <c r="P1193" s="2">
        <f t="shared" si="90"/>
        <v>13</v>
      </c>
      <c r="Q1193" s="4">
        <f t="shared" si="91"/>
        <v>0.83750000000000002</v>
      </c>
      <c r="R1193" s="2" t="str">
        <f t="shared" si="92"/>
        <v>Inefficient</v>
      </c>
      <c r="S1193" s="2" t="str">
        <f t="shared" si="93"/>
        <v>Long</v>
      </c>
      <c r="T1193" s="2" t="str">
        <f t="shared" si="94"/>
        <v>Minor Delay</v>
      </c>
    </row>
    <row r="1194" spans="1:20" x14ac:dyDescent="0.35">
      <c r="A1194" s="2" t="s">
        <v>2571</v>
      </c>
      <c r="B1194" s="2" t="s">
        <v>51</v>
      </c>
      <c r="C1194" s="2" t="s">
        <v>2572</v>
      </c>
      <c r="D1194" s="2" t="s">
        <v>18</v>
      </c>
      <c r="E1194" s="2" t="s">
        <v>38</v>
      </c>
      <c r="F1194" s="2" t="s">
        <v>34</v>
      </c>
      <c r="G1194" s="2" t="s">
        <v>185</v>
      </c>
      <c r="H1194" s="3">
        <v>45653.097222222219</v>
      </c>
      <c r="I1194" s="3">
        <v>45653.240277777775</v>
      </c>
      <c r="J1194" s="2">
        <v>121</v>
      </c>
      <c r="K1194" s="2">
        <v>206</v>
      </c>
      <c r="L1194" s="2">
        <v>1</v>
      </c>
      <c r="M1194" s="2" t="s">
        <v>22</v>
      </c>
      <c r="N1194" s="2">
        <v>7</v>
      </c>
      <c r="O1194" s="2">
        <v>340.67</v>
      </c>
      <c r="P1194" s="2">
        <f t="shared" si="90"/>
        <v>85</v>
      </c>
      <c r="Q1194" s="4">
        <f t="shared" si="91"/>
        <v>0.58737864077669899</v>
      </c>
      <c r="R1194" s="2" t="str">
        <f t="shared" si="92"/>
        <v>Inefficient</v>
      </c>
      <c r="S1194" s="2" t="str">
        <f t="shared" si="93"/>
        <v>Very Long</v>
      </c>
      <c r="T1194" s="2" t="str">
        <f t="shared" si="94"/>
        <v>Major Delay</v>
      </c>
    </row>
    <row r="1195" spans="1:20" x14ac:dyDescent="0.35">
      <c r="A1195" s="2" t="s">
        <v>2573</v>
      </c>
      <c r="B1195" s="2" t="s">
        <v>31</v>
      </c>
      <c r="C1195" s="2" t="s">
        <v>2574</v>
      </c>
      <c r="D1195" s="2" t="s">
        <v>26</v>
      </c>
      <c r="E1195" s="2" t="s">
        <v>33</v>
      </c>
      <c r="F1195" s="2" t="s">
        <v>27</v>
      </c>
      <c r="G1195" s="2" t="s">
        <v>58</v>
      </c>
      <c r="H1195" s="3">
        <v>45304.082638888889</v>
      </c>
      <c r="I1195" s="3">
        <v>45304.28402777778</v>
      </c>
      <c r="J1195" s="2">
        <v>226</v>
      </c>
      <c r="K1195" s="2">
        <v>290</v>
      </c>
      <c r="L1195" s="2">
        <v>1</v>
      </c>
      <c r="M1195" s="2" t="s">
        <v>29</v>
      </c>
      <c r="N1195" s="2">
        <v>9</v>
      </c>
      <c r="O1195" s="2">
        <v>322.26</v>
      </c>
      <c r="P1195" s="2">
        <f t="shared" si="90"/>
        <v>64</v>
      </c>
      <c r="Q1195" s="4">
        <f t="shared" si="91"/>
        <v>0.77931034482758621</v>
      </c>
      <c r="R1195" s="2" t="str">
        <f t="shared" si="92"/>
        <v>Inefficient</v>
      </c>
      <c r="S1195" s="2" t="str">
        <f t="shared" si="93"/>
        <v>Very Long</v>
      </c>
      <c r="T1195" s="2" t="str">
        <f t="shared" si="94"/>
        <v>Major Delay</v>
      </c>
    </row>
    <row r="1196" spans="1:20" x14ac:dyDescent="0.35">
      <c r="A1196" s="2" t="s">
        <v>2575</v>
      </c>
      <c r="B1196" s="2" t="s">
        <v>51</v>
      </c>
      <c r="C1196" s="2" t="s">
        <v>2576</v>
      </c>
      <c r="D1196" s="2" t="s">
        <v>44</v>
      </c>
      <c r="E1196" s="2" t="s">
        <v>19</v>
      </c>
      <c r="F1196" s="2" t="s">
        <v>39</v>
      </c>
      <c r="G1196" s="2" t="s">
        <v>916</v>
      </c>
      <c r="H1196" s="3">
        <v>45632.633333333331</v>
      </c>
      <c r="I1196" s="3">
        <v>45632.79791666667</v>
      </c>
      <c r="J1196" s="2">
        <v>118</v>
      </c>
      <c r="K1196" s="2">
        <v>237</v>
      </c>
      <c r="L1196" s="2">
        <v>1</v>
      </c>
      <c r="M1196" s="2" t="s">
        <v>41</v>
      </c>
      <c r="N1196" s="2">
        <v>5</v>
      </c>
      <c r="O1196" s="2">
        <v>481.28</v>
      </c>
      <c r="P1196" s="2">
        <f t="shared" si="90"/>
        <v>119</v>
      </c>
      <c r="Q1196" s="4">
        <f t="shared" si="91"/>
        <v>0.49789029535864981</v>
      </c>
      <c r="R1196" s="2" t="str">
        <f t="shared" si="92"/>
        <v>Inefficient</v>
      </c>
      <c r="S1196" s="2" t="str">
        <f t="shared" si="93"/>
        <v>Very Long</v>
      </c>
      <c r="T1196" s="2" t="str">
        <f t="shared" si="94"/>
        <v>Major Delay</v>
      </c>
    </row>
    <row r="1197" spans="1:20" x14ac:dyDescent="0.35">
      <c r="A1197" s="2" t="s">
        <v>2577</v>
      </c>
      <c r="B1197" s="2" t="s">
        <v>24</v>
      </c>
      <c r="C1197" s="2" t="s">
        <v>2578</v>
      </c>
      <c r="D1197" s="2" t="s">
        <v>56</v>
      </c>
      <c r="E1197" s="2" t="s">
        <v>19</v>
      </c>
      <c r="F1197" s="2" t="s">
        <v>27</v>
      </c>
      <c r="G1197" s="2" t="s">
        <v>330</v>
      </c>
      <c r="H1197" s="3">
        <v>45512.612500000003</v>
      </c>
      <c r="I1197" s="3">
        <v>45512.679861111108</v>
      </c>
      <c r="J1197" s="2">
        <v>40</v>
      </c>
      <c r="K1197" s="2">
        <v>97</v>
      </c>
      <c r="L1197" s="2">
        <v>1</v>
      </c>
      <c r="M1197" s="2" t="s">
        <v>29</v>
      </c>
      <c r="N1197" s="2">
        <v>3</v>
      </c>
      <c r="O1197" s="2">
        <v>96</v>
      </c>
      <c r="P1197" s="2">
        <f t="shared" si="90"/>
        <v>57</v>
      </c>
      <c r="Q1197" s="4">
        <f t="shared" si="91"/>
        <v>0.41237113402061853</v>
      </c>
      <c r="R1197" s="2" t="str">
        <f t="shared" si="92"/>
        <v>Inefficient</v>
      </c>
      <c r="S1197" s="2" t="str">
        <f t="shared" si="93"/>
        <v>Long</v>
      </c>
      <c r="T1197" s="2" t="str">
        <f t="shared" si="94"/>
        <v>Major Delay</v>
      </c>
    </row>
    <row r="1198" spans="1:20" x14ac:dyDescent="0.35">
      <c r="A1198" s="2" t="s">
        <v>2579</v>
      </c>
      <c r="B1198" s="2" t="s">
        <v>51</v>
      </c>
      <c r="C1198" s="2" t="s">
        <v>2580</v>
      </c>
      <c r="D1198" s="2" t="s">
        <v>56</v>
      </c>
      <c r="E1198" s="2" t="s">
        <v>19</v>
      </c>
      <c r="F1198" s="2" t="s">
        <v>20</v>
      </c>
      <c r="G1198" s="2" t="s">
        <v>1125</v>
      </c>
      <c r="H1198" s="3">
        <v>45394.570833333331</v>
      </c>
      <c r="I1198" s="3">
        <v>45394.747916666667</v>
      </c>
      <c r="J1198" s="2">
        <v>232</v>
      </c>
      <c r="K1198" s="2">
        <v>255</v>
      </c>
      <c r="L1198" s="2">
        <v>1</v>
      </c>
      <c r="M1198" s="2" t="s">
        <v>22</v>
      </c>
      <c r="N1198" s="2">
        <v>7</v>
      </c>
      <c r="O1198" s="2">
        <v>148.22</v>
      </c>
      <c r="P1198" s="2">
        <f t="shared" si="90"/>
        <v>23</v>
      </c>
      <c r="Q1198" s="4">
        <f t="shared" si="91"/>
        <v>0.90980392156862744</v>
      </c>
      <c r="R1198" s="2" t="str">
        <f t="shared" si="92"/>
        <v>Inefficient</v>
      </c>
      <c r="S1198" s="2" t="str">
        <f t="shared" si="93"/>
        <v>Very Long</v>
      </c>
      <c r="T1198" s="2" t="str">
        <f t="shared" si="94"/>
        <v>Minor Delay</v>
      </c>
    </row>
    <row r="1199" spans="1:20" x14ac:dyDescent="0.35">
      <c r="A1199" s="2" t="s">
        <v>2581</v>
      </c>
      <c r="B1199" s="2" t="s">
        <v>31</v>
      </c>
      <c r="C1199" s="2" t="s">
        <v>2582</v>
      </c>
      <c r="D1199" s="2" t="s">
        <v>44</v>
      </c>
      <c r="E1199" s="2" t="s">
        <v>19</v>
      </c>
      <c r="F1199" s="2" t="s">
        <v>20</v>
      </c>
      <c r="G1199" s="2" t="s">
        <v>1125</v>
      </c>
      <c r="H1199" s="3">
        <v>45323.313194444447</v>
      </c>
      <c r="I1199" s="3">
        <v>45323.35833333333</v>
      </c>
      <c r="J1199" s="2">
        <v>31</v>
      </c>
      <c r="K1199" s="2">
        <v>65</v>
      </c>
      <c r="L1199" s="2">
        <v>1</v>
      </c>
      <c r="M1199" s="2" t="s">
        <v>41</v>
      </c>
      <c r="N1199" s="2">
        <v>1</v>
      </c>
      <c r="O1199" s="2">
        <v>360.85</v>
      </c>
      <c r="P1199" s="2">
        <f t="shared" si="90"/>
        <v>34</v>
      </c>
      <c r="Q1199" s="4">
        <f t="shared" si="91"/>
        <v>0.47692307692307695</v>
      </c>
      <c r="R1199" s="2" t="str">
        <f t="shared" si="92"/>
        <v>Inefficient</v>
      </c>
      <c r="S1199" s="2" t="str">
        <f t="shared" si="93"/>
        <v>Long</v>
      </c>
      <c r="T1199" s="2" t="str">
        <f t="shared" si="94"/>
        <v>Major Delay</v>
      </c>
    </row>
    <row r="1200" spans="1:20" x14ac:dyDescent="0.35">
      <c r="A1200" s="2" t="s">
        <v>2583</v>
      </c>
      <c r="B1200" s="2" t="s">
        <v>63</v>
      </c>
      <c r="C1200" s="2" t="s">
        <v>2584</v>
      </c>
      <c r="D1200" s="2" t="s">
        <v>26</v>
      </c>
      <c r="E1200" s="2" t="s">
        <v>38</v>
      </c>
      <c r="F1200" s="2" t="s">
        <v>57</v>
      </c>
      <c r="G1200" s="2" t="s">
        <v>785</v>
      </c>
      <c r="H1200" s="3">
        <v>45501.500694444447</v>
      </c>
      <c r="I1200" s="3">
        <v>45501.689583333333</v>
      </c>
      <c r="J1200" s="2">
        <v>164</v>
      </c>
      <c r="K1200" s="2">
        <v>272</v>
      </c>
      <c r="L1200" s="2">
        <v>1</v>
      </c>
      <c r="M1200" s="2" t="s">
        <v>41</v>
      </c>
      <c r="N1200" s="2">
        <v>2</v>
      </c>
      <c r="O1200" s="2">
        <v>105.81</v>
      </c>
      <c r="P1200" s="2">
        <f t="shared" si="90"/>
        <v>108</v>
      </c>
      <c r="Q1200" s="4">
        <f t="shared" si="91"/>
        <v>0.6029411764705882</v>
      </c>
      <c r="R1200" s="2" t="str">
        <f t="shared" si="92"/>
        <v>Inefficient</v>
      </c>
      <c r="S1200" s="2" t="str">
        <f t="shared" si="93"/>
        <v>Very Long</v>
      </c>
      <c r="T1200" s="2" t="str">
        <f t="shared" si="94"/>
        <v>Major Delay</v>
      </c>
    </row>
    <row r="1201" spans="1:20" x14ac:dyDescent="0.35">
      <c r="A1201" s="2" t="s">
        <v>2585</v>
      </c>
      <c r="B1201" s="2" t="s">
        <v>24</v>
      </c>
      <c r="C1201" s="2" t="s">
        <v>2586</v>
      </c>
      <c r="D1201" s="2" t="s">
        <v>26</v>
      </c>
      <c r="E1201" s="2" t="s">
        <v>19</v>
      </c>
      <c r="F1201" s="2" t="s">
        <v>39</v>
      </c>
      <c r="G1201" s="2" t="s">
        <v>817</v>
      </c>
      <c r="H1201" s="3">
        <v>45501.250694444447</v>
      </c>
      <c r="I1201" s="3">
        <v>45501.342361111114</v>
      </c>
      <c r="J1201" s="2">
        <v>61</v>
      </c>
      <c r="K1201" s="2">
        <v>132</v>
      </c>
      <c r="L1201" s="2">
        <v>1</v>
      </c>
      <c r="M1201" s="2" t="s">
        <v>29</v>
      </c>
      <c r="N1201" s="2">
        <v>8</v>
      </c>
      <c r="O1201" s="2">
        <v>445.63</v>
      </c>
      <c r="P1201" s="2">
        <f t="shared" si="90"/>
        <v>71</v>
      </c>
      <c r="Q1201" s="4">
        <f t="shared" si="91"/>
        <v>0.4621212121212121</v>
      </c>
      <c r="R1201" s="2" t="str">
        <f t="shared" si="92"/>
        <v>Inefficient</v>
      </c>
      <c r="S1201" s="2" t="str">
        <f t="shared" si="93"/>
        <v>Very Long</v>
      </c>
      <c r="T1201" s="2" t="str">
        <f t="shared" si="94"/>
        <v>Major Delay</v>
      </c>
    </row>
    <row r="1202" spans="1:20" x14ac:dyDescent="0.35">
      <c r="A1202" s="2" t="s">
        <v>2587</v>
      </c>
      <c r="B1202" s="2" t="s">
        <v>24</v>
      </c>
      <c r="C1202" s="2" t="s">
        <v>2588</v>
      </c>
      <c r="D1202" s="2" t="s">
        <v>18</v>
      </c>
      <c r="E1202" s="2" t="s">
        <v>38</v>
      </c>
      <c r="F1202" s="2" t="s">
        <v>27</v>
      </c>
      <c r="G1202" s="2" t="s">
        <v>983</v>
      </c>
      <c r="H1202" s="3">
        <v>45604.992361111108</v>
      </c>
      <c r="I1202" s="3">
        <v>45605.099305555559</v>
      </c>
      <c r="J1202" s="2">
        <v>84</v>
      </c>
      <c r="K1202" s="2">
        <v>154</v>
      </c>
      <c r="L1202" s="2">
        <v>1</v>
      </c>
      <c r="M1202" s="2" t="s">
        <v>41</v>
      </c>
      <c r="N1202" s="2">
        <v>5</v>
      </c>
      <c r="O1202" s="2">
        <v>380.47</v>
      </c>
      <c r="P1202" s="2">
        <f t="shared" si="90"/>
        <v>70</v>
      </c>
      <c r="Q1202" s="4">
        <f t="shared" si="91"/>
        <v>0.54545454545454541</v>
      </c>
      <c r="R1202" s="2" t="str">
        <f t="shared" si="92"/>
        <v>Inefficient</v>
      </c>
      <c r="S1202" s="2" t="str">
        <f t="shared" si="93"/>
        <v>Very Long</v>
      </c>
      <c r="T1202" s="2" t="str">
        <f t="shared" si="94"/>
        <v>Major Delay</v>
      </c>
    </row>
    <row r="1203" spans="1:20" x14ac:dyDescent="0.35">
      <c r="A1203" s="2" t="s">
        <v>2589</v>
      </c>
      <c r="B1203" s="2" t="s">
        <v>51</v>
      </c>
      <c r="C1203" s="2" t="s">
        <v>2590</v>
      </c>
      <c r="D1203" s="2" t="s">
        <v>44</v>
      </c>
      <c r="E1203" s="2" t="s">
        <v>33</v>
      </c>
      <c r="F1203" s="2" t="s">
        <v>57</v>
      </c>
      <c r="G1203" s="2" t="s">
        <v>691</v>
      </c>
      <c r="H1203" s="3">
        <v>45319.244444444441</v>
      </c>
      <c r="I1203" s="3">
        <v>45319.363194444442</v>
      </c>
      <c r="J1203" s="2">
        <v>81</v>
      </c>
      <c r="K1203" s="2">
        <v>171</v>
      </c>
      <c r="L1203" s="2">
        <v>1</v>
      </c>
      <c r="M1203" s="2" t="s">
        <v>41</v>
      </c>
      <c r="N1203" s="2">
        <v>4</v>
      </c>
      <c r="O1203" s="2">
        <v>87.25</v>
      </c>
      <c r="P1203" s="2">
        <f t="shared" si="90"/>
        <v>90</v>
      </c>
      <c r="Q1203" s="4">
        <f t="shared" si="91"/>
        <v>0.47368421052631576</v>
      </c>
      <c r="R1203" s="2" t="str">
        <f t="shared" si="92"/>
        <v>Inefficient</v>
      </c>
      <c r="S1203" s="2" t="str">
        <f t="shared" si="93"/>
        <v>Very Long</v>
      </c>
      <c r="T1203" s="2" t="str">
        <f t="shared" si="94"/>
        <v>Major Delay</v>
      </c>
    </row>
    <row r="1204" spans="1:20" x14ac:dyDescent="0.35">
      <c r="A1204" s="2" t="s">
        <v>2591</v>
      </c>
      <c r="B1204" s="2" t="s">
        <v>63</v>
      </c>
      <c r="C1204" s="2" t="s">
        <v>2592</v>
      </c>
      <c r="D1204" s="2" t="s">
        <v>56</v>
      </c>
      <c r="E1204" s="2" t="s">
        <v>33</v>
      </c>
      <c r="F1204" s="2" t="s">
        <v>57</v>
      </c>
      <c r="G1204" s="2" t="s">
        <v>158</v>
      </c>
      <c r="H1204" s="3">
        <v>45366.671527777777</v>
      </c>
      <c r="I1204" s="3">
        <v>45366.831250000003</v>
      </c>
      <c r="J1204" s="2">
        <v>219</v>
      </c>
      <c r="K1204" s="2">
        <v>230</v>
      </c>
      <c r="L1204" s="2">
        <v>1</v>
      </c>
      <c r="M1204" s="2" t="s">
        <v>41</v>
      </c>
      <c r="N1204" s="2">
        <v>9</v>
      </c>
      <c r="O1204" s="2">
        <v>373.61</v>
      </c>
      <c r="P1204" s="2">
        <f t="shared" si="90"/>
        <v>11</v>
      </c>
      <c r="Q1204" s="4">
        <f t="shared" si="91"/>
        <v>0.95217391304347831</v>
      </c>
      <c r="R1204" s="2" t="str">
        <f t="shared" si="92"/>
        <v>Inefficient</v>
      </c>
      <c r="S1204" s="2" t="str">
        <f t="shared" si="93"/>
        <v>Very Long</v>
      </c>
      <c r="T1204" s="2" t="str">
        <f t="shared" si="94"/>
        <v>Minor Delay</v>
      </c>
    </row>
    <row r="1205" spans="1:20" x14ac:dyDescent="0.35">
      <c r="A1205" s="2" t="s">
        <v>2593</v>
      </c>
      <c r="B1205" s="2" t="s">
        <v>31</v>
      </c>
      <c r="C1205" s="2" t="s">
        <v>2594</v>
      </c>
      <c r="D1205" s="2" t="s">
        <v>18</v>
      </c>
      <c r="E1205" s="2" t="s">
        <v>33</v>
      </c>
      <c r="F1205" s="2" t="s">
        <v>27</v>
      </c>
      <c r="G1205" s="2" t="s">
        <v>521</v>
      </c>
      <c r="H1205" s="3">
        <v>45379.482638888891</v>
      </c>
      <c r="I1205" s="3">
        <v>45379.54583333333</v>
      </c>
      <c r="J1205" s="2">
        <v>32</v>
      </c>
      <c r="K1205" s="2">
        <v>91</v>
      </c>
      <c r="L1205" s="2">
        <v>1</v>
      </c>
      <c r="M1205" s="2" t="s">
        <v>22</v>
      </c>
      <c r="N1205" s="2">
        <v>6</v>
      </c>
      <c r="O1205" s="2">
        <v>314.61</v>
      </c>
      <c r="P1205" s="2">
        <f t="shared" si="90"/>
        <v>59</v>
      </c>
      <c r="Q1205" s="4">
        <f t="shared" si="91"/>
        <v>0.35164835164835168</v>
      </c>
      <c r="R1205" s="2" t="str">
        <f t="shared" si="92"/>
        <v>Inefficient</v>
      </c>
      <c r="S1205" s="2" t="str">
        <f t="shared" si="93"/>
        <v>Long</v>
      </c>
      <c r="T1205" s="2" t="str">
        <f t="shared" si="94"/>
        <v>Major Delay</v>
      </c>
    </row>
    <row r="1206" spans="1:20" x14ac:dyDescent="0.35">
      <c r="A1206" s="2" t="s">
        <v>2595</v>
      </c>
      <c r="B1206" s="2" t="s">
        <v>24</v>
      </c>
      <c r="C1206" s="2" t="s">
        <v>2596</v>
      </c>
      <c r="D1206" s="2" t="s">
        <v>18</v>
      </c>
      <c r="E1206" s="2" t="s">
        <v>85</v>
      </c>
      <c r="F1206" s="2" t="s">
        <v>57</v>
      </c>
      <c r="G1206" s="2" t="s">
        <v>49</v>
      </c>
      <c r="H1206" s="3">
        <v>45377.072222222225</v>
      </c>
      <c r="I1206" s="3">
        <v>45377.166666666664</v>
      </c>
      <c r="J1206" s="2">
        <v>97</v>
      </c>
      <c r="K1206" s="2">
        <v>136</v>
      </c>
      <c r="L1206" s="2">
        <v>1</v>
      </c>
      <c r="M1206" s="2" t="s">
        <v>29</v>
      </c>
      <c r="N1206" s="2">
        <v>1</v>
      </c>
      <c r="O1206" s="2">
        <v>179.22</v>
      </c>
      <c r="P1206" s="2">
        <f t="shared" si="90"/>
        <v>39</v>
      </c>
      <c r="Q1206" s="4">
        <f t="shared" si="91"/>
        <v>0.71323529411764708</v>
      </c>
      <c r="R1206" s="2" t="str">
        <f t="shared" si="92"/>
        <v>Inefficient</v>
      </c>
      <c r="S1206" s="2" t="str">
        <f t="shared" si="93"/>
        <v>Very Long</v>
      </c>
      <c r="T1206" s="2" t="str">
        <f t="shared" si="94"/>
        <v>Major Delay</v>
      </c>
    </row>
    <row r="1207" spans="1:20" x14ac:dyDescent="0.35">
      <c r="A1207" s="2" t="s">
        <v>2597</v>
      </c>
      <c r="B1207" s="2" t="s">
        <v>16</v>
      </c>
      <c r="C1207" s="2" t="s">
        <v>2598</v>
      </c>
      <c r="D1207" s="2" t="s">
        <v>18</v>
      </c>
      <c r="E1207" s="2" t="s">
        <v>33</v>
      </c>
      <c r="F1207" s="2" t="s">
        <v>57</v>
      </c>
      <c r="G1207" s="2" t="s">
        <v>383</v>
      </c>
      <c r="H1207" s="3">
        <v>45590.250694444447</v>
      </c>
      <c r="I1207" s="3">
        <v>45590.385416666664</v>
      </c>
      <c r="J1207" s="2">
        <v>168</v>
      </c>
      <c r="K1207" s="2">
        <v>194</v>
      </c>
      <c r="L1207" s="2">
        <v>1</v>
      </c>
      <c r="M1207" s="2" t="s">
        <v>29</v>
      </c>
      <c r="N1207" s="2">
        <v>2</v>
      </c>
      <c r="O1207" s="2">
        <v>222.58</v>
      </c>
      <c r="P1207" s="2">
        <f t="shared" si="90"/>
        <v>26</v>
      </c>
      <c r="Q1207" s="4">
        <f t="shared" si="91"/>
        <v>0.865979381443299</v>
      </c>
      <c r="R1207" s="2" t="str">
        <f t="shared" si="92"/>
        <v>Inefficient</v>
      </c>
      <c r="S1207" s="2" t="str">
        <f t="shared" si="93"/>
        <v>Very Long</v>
      </c>
      <c r="T1207" s="2" t="str">
        <f t="shared" si="94"/>
        <v>Minor Delay</v>
      </c>
    </row>
    <row r="1208" spans="1:20" x14ac:dyDescent="0.35">
      <c r="A1208" s="2" t="s">
        <v>2599</v>
      </c>
      <c r="B1208" s="2" t="s">
        <v>31</v>
      </c>
      <c r="C1208" s="2" t="s">
        <v>2600</v>
      </c>
      <c r="D1208" s="2" t="s">
        <v>56</v>
      </c>
      <c r="E1208" s="2" t="s">
        <v>19</v>
      </c>
      <c r="F1208" s="2" t="s">
        <v>57</v>
      </c>
      <c r="G1208" s="2" t="s">
        <v>201</v>
      </c>
      <c r="H1208" s="3">
        <v>45423.361111111109</v>
      </c>
      <c r="I1208" s="3">
        <v>45423.494444444441</v>
      </c>
      <c r="J1208" s="2">
        <v>115</v>
      </c>
      <c r="K1208" s="2">
        <v>192</v>
      </c>
      <c r="L1208" s="2">
        <v>1</v>
      </c>
      <c r="M1208" s="2" t="s">
        <v>22</v>
      </c>
      <c r="N1208" s="2">
        <v>7</v>
      </c>
      <c r="O1208" s="2">
        <v>72.45</v>
      </c>
      <c r="P1208" s="2">
        <f t="shared" si="90"/>
        <v>77</v>
      </c>
      <c r="Q1208" s="4">
        <f t="shared" si="91"/>
        <v>0.59895833333333337</v>
      </c>
      <c r="R1208" s="2" t="str">
        <f t="shared" si="92"/>
        <v>Inefficient</v>
      </c>
      <c r="S1208" s="2" t="str">
        <f t="shared" si="93"/>
        <v>Very Long</v>
      </c>
      <c r="T1208" s="2" t="str">
        <f t="shared" si="94"/>
        <v>Major Delay</v>
      </c>
    </row>
    <row r="1209" spans="1:20" x14ac:dyDescent="0.35">
      <c r="A1209" s="2" t="s">
        <v>2601</v>
      </c>
      <c r="B1209" s="2" t="s">
        <v>51</v>
      </c>
      <c r="C1209" s="2" t="s">
        <v>2602</v>
      </c>
      <c r="D1209" s="2" t="s">
        <v>48</v>
      </c>
      <c r="E1209" s="2" t="s">
        <v>19</v>
      </c>
      <c r="F1209" s="2" t="s">
        <v>20</v>
      </c>
      <c r="G1209" s="2" t="s">
        <v>265</v>
      </c>
      <c r="H1209" s="3">
        <v>45618.913888888892</v>
      </c>
      <c r="I1209" s="3">
        <v>45619.129861111112</v>
      </c>
      <c r="J1209" s="2">
        <v>240</v>
      </c>
      <c r="K1209" s="2">
        <v>311</v>
      </c>
      <c r="L1209" s="2">
        <v>1</v>
      </c>
      <c r="M1209" s="2" t="s">
        <v>29</v>
      </c>
      <c r="N1209" s="2">
        <v>2</v>
      </c>
      <c r="O1209" s="2">
        <v>74.94</v>
      </c>
      <c r="P1209" s="2">
        <f t="shared" si="90"/>
        <v>71</v>
      </c>
      <c r="Q1209" s="4">
        <f t="shared" si="91"/>
        <v>0.77170418006430863</v>
      </c>
      <c r="R1209" s="2" t="str">
        <f t="shared" si="92"/>
        <v>Inefficient</v>
      </c>
      <c r="S1209" s="2" t="str">
        <f t="shared" si="93"/>
        <v>Very Long</v>
      </c>
      <c r="T1209" s="2" t="str">
        <f t="shared" si="94"/>
        <v>Major Delay</v>
      </c>
    </row>
    <row r="1210" spans="1:20" x14ac:dyDescent="0.35">
      <c r="A1210" s="2" t="s">
        <v>2603</v>
      </c>
      <c r="B1210" s="2" t="s">
        <v>24</v>
      </c>
      <c r="C1210" s="2" t="s">
        <v>2604</v>
      </c>
      <c r="D1210" s="2" t="s">
        <v>48</v>
      </c>
      <c r="E1210" s="2" t="s">
        <v>33</v>
      </c>
      <c r="F1210" s="2" t="s">
        <v>39</v>
      </c>
      <c r="G1210" s="2" t="s">
        <v>170</v>
      </c>
      <c r="H1210" s="3">
        <v>45344.35</v>
      </c>
      <c r="I1210" s="3">
        <v>45344.511111111111</v>
      </c>
      <c r="J1210" s="2">
        <v>229</v>
      </c>
      <c r="K1210" s="2">
        <v>232</v>
      </c>
      <c r="L1210" s="2">
        <v>1</v>
      </c>
      <c r="M1210" s="2" t="s">
        <v>41</v>
      </c>
      <c r="N1210" s="2">
        <v>1</v>
      </c>
      <c r="O1210" s="2">
        <v>318.49</v>
      </c>
      <c r="P1210" s="2">
        <f t="shared" si="90"/>
        <v>3</v>
      </c>
      <c r="Q1210" s="4">
        <f t="shared" si="91"/>
        <v>0.98706896551724133</v>
      </c>
      <c r="R1210" s="2" t="str">
        <f t="shared" si="92"/>
        <v>Inefficient</v>
      </c>
      <c r="S1210" s="2" t="str">
        <f t="shared" si="93"/>
        <v>Very Long</v>
      </c>
      <c r="T1210" s="2" t="str">
        <f t="shared" si="94"/>
        <v>Minor Delay</v>
      </c>
    </row>
    <row r="1211" spans="1:20" x14ac:dyDescent="0.35">
      <c r="A1211" s="2" t="s">
        <v>2605</v>
      </c>
      <c r="B1211" s="2" t="s">
        <v>24</v>
      </c>
      <c r="C1211" s="2" t="s">
        <v>2606</v>
      </c>
      <c r="D1211" s="2" t="s">
        <v>18</v>
      </c>
      <c r="E1211" s="2" t="s">
        <v>38</v>
      </c>
      <c r="F1211" s="2" t="s">
        <v>20</v>
      </c>
      <c r="G1211" s="2" t="s">
        <v>143</v>
      </c>
      <c r="H1211" s="3">
        <v>45456.154861111114</v>
      </c>
      <c r="I1211" s="3">
        <v>45456.317361111112</v>
      </c>
      <c r="J1211" s="2">
        <v>130</v>
      </c>
      <c r="K1211" s="2">
        <v>234</v>
      </c>
      <c r="L1211" s="2">
        <v>1</v>
      </c>
      <c r="M1211" s="2" t="s">
        <v>29</v>
      </c>
      <c r="N1211" s="2">
        <v>9</v>
      </c>
      <c r="O1211" s="2">
        <v>57.28</v>
      </c>
      <c r="P1211" s="2">
        <f t="shared" si="90"/>
        <v>104</v>
      </c>
      <c r="Q1211" s="4">
        <f t="shared" si="91"/>
        <v>0.55555555555555558</v>
      </c>
      <c r="R1211" s="2" t="str">
        <f t="shared" si="92"/>
        <v>Inefficient</v>
      </c>
      <c r="S1211" s="2" t="str">
        <f t="shared" si="93"/>
        <v>Very Long</v>
      </c>
      <c r="T1211" s="2" t="str">
        <f t="shared" si="94"/>
        <v>Major Delay</v>
      </c>
    </row>
    <row r="1212" spans="1:20" x14ac:dyDescent="0.35">
      <c r="A1212" s="2" t="s">
        <v>2607</v>
      </c>
      <c r="B1212" s="2" t="s">
        <v>24</v>
      </c>
      <c r="C1212" s="2" t="s">
        <v>2608</v>
      </c>
      <c r="D1212" s="2" t="s">
        <v>18</v>
      </c>
      <c r="E1212" s="2" t="s">
        <v>33</v>
      </c>
      <c r="F1212" s="2" t="s">
        <v>27</v>
      </c>
      <c r="G1212" s="2" t="s">
        <v>194</v>
      </c>
      <c r="H1212" s="3">
        <v>45378.232638888891</v>
      </c>
      <c r="I1212" s="3">
        <v>45378.343055555553</v>
      </c>
      <c r="J1212" s="2">
        <v>50</v>
      </c>
      <c r="K1212" s="2">
        <v>159</v>
      </c>
      <c r="L1212" s="2">
        <v>1</v>
      </c>
      <c r="M1212" s="2" t="s">
        <v>41</v>
      </c>
      <c r="N1212" s="2">
        <v>6</v>
      </c>
      <c r="O1212" s="2">
        <v>251.1</v>
      </c>
      <c r="P1212" s="2">
        <f t="shared" si="90"/>
        <v>109</v>
      </c>
      <c r="Q1212" s="4">
        <f t="shared" si="91"/>
        <v>0.31446540880503143</v>
      </c>
      <c r="R1212" s="2" t="str">
        <f t="shared" si="92"/>
        <v>Inefficient</v>
      </c>
      <c r="S1212" s="2" t="str">
        <f t="shared" si="93"/>
        <v>Very Long</v>
      </c>
      <c r="T1212" s="2" t="str">
        <f t="shared" si="94"/>
        <v>Major Delay</v>
      </c>
    </row>
    <row r="1213" spans="1:20" x14ac:dyDescent="0.35">
      <c r="A1213" s="2" t="s">
        <v>2609</v>
      </c>
      <c r="B1213" s="2" t="s">
        <v>24</v>
      </c>
      <c r="C1213" s="2" t="s">
        <v>2610</v>
      </c>
      <c r="D1213" s="2" t="s">
        <v>44</v>
      </c>
      <c r="E1213" s="2" t="s">
        <v>85</v>
      </c>
      <c r="F1213" s="2" t="s">
        <v>57</v>
      </c>
      <c r="G1213" s="2" t="s">
        <v>182</v>
      </c>
      <c r="H1213" s="3">
        <v>45426.956250000003</v>
      </c>
      <c r="I1213" s="3">
        <v>45427.154166666667</v>
      </c>
      <c r="J1213" s="2">
        <v>223</v>
      </c>
      <c r="K1213" s="2">
        <v>285</v>
      </c>
      <c r="L1213" s="2">
        <v>1</v>
      </c>
      <c r="M1213" s="2" t="s">
        <v>22</v>
      </c>
      <c r="N1213" s="2">
        <v>5</v>
      </c>
      <c r="O1213" s="2">
        <v>82.45</v>
      </c>
      <c r="P1213" s="2">
        <f t="shared" si="90"/>
        <v>62</v>
      </c>
      <c r="Q1213" s="4">
        <f t="shared" si="91"/>
        <v>0.78245614035087718</v>
      </c>
      <c r="R1213" s="2" t="str">
        <f t="shared" si="92"/>
        <v>Inefficient</v>
      </c>
      <c r="S1213" s="2" t="str">
        <f t="shared" si="93"/>
        <v>Very Long</v>
      </c>
      <c r="T1213" s="2" t="str">
        <f t="shared" si="94"/>
        <v>Major Delay</v>
      </c>
    </row>
    <row r="1214" spans="1:20" x14ac:dyDescent="0.35">
      <c r="A1214" s="2" t="s">
        <v>2611</v>
      </c>
      <c r="B1214" s="2" t="s">
        <v>16</v>
      </c>
      <c r="C1214" s="2" t="s">
        <v>2612</v>
      </c>
      <c r="D1214" s="2" t="s">
        <v>44</v>
      </c>
      <c r="E1214" s="2" t="s">
        <v>19</v>
      </c>
      <c r="F1214" s="2" t="s">
        <v>57</v>
      </c>
      <c r="G1214" s="2" t="s">
        <v>1030</v>
      </c>
      <c r="H1214" s="3">
        <v>45479.48333333333</v>
      </c>
      <c r="I1214" s="3">
        <v>45479.697916666664</v>
      </c>
      <c r="J1214" s="2">
        <v>231</v>
      </c>
      <c r="K1214" s="2">
        <v>309</v>
      </c>
      <c r="L1214" s="2">
        <v>1</v>
      </c>
      <c r="M1214" s="2" t="s">
        <v>41</v>
      </c>
      <c r="N1214" s="2">
        <v>1</v>
      </c>
      <c r="O1214" s="2">
        <v>96.56</v>
      </c>
      <c r="P1214" s="2">
        <f t="shared" si="90"/>
        <v>78</v>
      </c>
      <c r="Q1214" s="4">
        <f t="shared" si="91"/>
        <v>0.74757281553398058</v>
      </c>
      <c r="R1214" s="2" t="str">
        <f t="shared" si="92"/>
        <v>Inefficient</v>
      </c>
      <c r="S1214" s="2" t="str">
        <f t="shared" si="93"/>
        <v>Very Long</v>
      </c>
      <c r="T1214" s="2" t="str">
        <f t="shared" si="94"/>
        <v>Major Delay</v>
      </c>
    </row>
    <row r="1215" spans="1:20" x14ac:dyDescent="0.35">
      <c r="A1215" s="2" t="s">
        <v>2613</v>
      </c>
      <c r="B1215" s="2" t="s">
        <v>16</v>
      </c>
      <c r="C1215" s="2" t="s">
        <v>2614</v>
      </c>
      <c r="D1215" s="2" t="s">
        <v>56</v>
      </c>
      <c r="E1215" s="2" t="s">
        <v>85</v>
      </c>
      <c r="F1215" s="2" t="s">
        <v>27</v>
      </c>
      <c r="G1215" s="2" t="s">
        <v>465</v>
      </c>
      <c r="H1215" s="3">
        <v>45570.052777777775</v>
      </c>
      <c r="I1215" s="3">
        <v>45570.200694444444</v>
      </c>
      <c r="J1215" s="2">
        <v>202</v>
      </c>
      <c r="K1215" s="2">
        <v>213</v>
      </c>
      <c r="L1215" s="2">
        <v>1</v>
      </c>
      <c r="M1215" s="2" t="s">
        <v>41</v>
      </c>
      <c r="N1215" s="2">
        <v>2</v>
      </c>
      <c r="O1215" s="2">
        <v>496.91</v>
      </c>
      <c r="P1215" s="2">
        <f t="shared" si="90"/>
        <v>11</v>
      </c>
      <c r="Q1215" s="4">
        <f t="shared" si="91"/>
        <v>0.94835680751173712</v>
      </c>
      <c r="R1215" s="2" t="str">
        <f t="shared" si="92"/>
        <v>Inefficient</v>
      </c>
      <c r="S1215" s="2" t="str">
        <f t="shared" si="93"/>
        <v>Very Long</v>
      </c>
      <c r="T1215" s="2" t="str">
        <f t="shared" si="94"/>
        <v>Minor Delay</v>
      </c>
    </row>
    <row r="1216" spans="1:20" x14ac:dyDescent="0.35">
      <c r="A1216" s="2" t="s">
        <v>2615</v>
      </c>
      <c r="B1216" s="2" t="s">
        <v>16</v>
      </c>
      <c r="C1216" s="2" t="s">
        <v>2616</v>
      </c>
      <c r="D1216" s="2" t="s">
        <v>44</v>
      </c>
      <c r="E1216" s="2" t="s">
        <v>33</v>
      </c>
      <c r="F1216" s="2" t="s">
        <v>34</v>
      </c>
      <c r="G1216" s="2" t="s">
        <v>415</v>
      </c>
      <c r="H1216" s="3">
        <v>45458.063194444447</v>
      </c>
      <c r="I1216" s="3">
        <v>45458.274305555555</v>
      </c>
      <c r="J1216" s="2">
        <v>192</v>
      </c>
      <c r="K1216" s="2">
        <v>304</v>
      </c>
      <c r="L1216" s="2">
        <v>1</v>
      </c>
      <c r="M1216" s="2" t="s">
        <v>29</v>
      </c>
      <c r="N1216" s="2">
        <v>10</v>
      </c>
      <c r="O1216" s="2">
        <v>185.94</v>
      </c>
      <c r="P1216" s="2">
        <f t="shared" si="90"/>
        <v>112</v>
      </c>
      <c r="Q1216" s="4">
        <f t="shared" si="91"/>
        <v>0.63157894736842102</v>
      </c>
      <c r="R1216" s="2" t="str">
        <f t="shared" si="92"/>
        <v>Inefficient</v>
      </c>
      <c r="S1216" s="2" t="str">
        <f t="shared" si="93"/>
        <v>Very Long</v>
      </c>
      <c r="T1216" s="2" t="str">
        <f t="shared" si="94"/>
        <v>Major Delay</v>
      </c>
    </row>
    <row r="1217" spans="1:20" x14ac:dyDescent="0.35">
      <c r="A1217" s="2" t="s">
        <v>2617</v>
      </c>
      <c r="B1217" s="2" t="s">
        <v>63</v>
      </c>
      <c r="C1217" s="2" t="s">
        <v>2618</v>
      </c>
      <c r="D1217" s="2" t="s">
        <v>44</v>
      </c>
      <c r="E1217" s="2" t="s">
        <v>85</v>
      </c>
      <c r="F1217" s="2" t="s">
        <v>20</v>
      </c>
      <c r="G1217" s="2" t="s">
        <v>782</v>
      </c>
      <c r="H1217" s="3">
        <v>45305.746527777781</v>
      </c>
      <c r="I1217" s="3">
        <v>45305.945138888892</v>
      </c>
      <c r="J1217" s="2">
        <v>184</v>
      </c>
      <c r="K1217" s="2">
        <v>286</v>
      </c>
      <c r="L1217" s="2">
        <v>1</v>
      </c>
      <c r="M1217" s="2" t="s">
        <v>41</v>
      </c>
      <c r="N1217" s="2">
        <v>1</v>
      </c>
      <c r="O1217" s="2">
        <v>127.12</v>
      </c>
      <c r="P1217" s="2">
        <f t="shared" si="90"/>
        <v>102</v>
      </c>
      <c r="Q1217" s="4">
        <f t="shared" si="91"/>
        <v>0.64335664335664333</v>
      </c>
      <c r="R1217" s="2" t="str">
        <f t="shared" si="92"/>
        <v>Inefficient</v>
      </c>
      <c r="S1217" s="2" t="str">
        <f t="shared" si="93"/>
        <v>Very Long</v>
      </c>
      <c r="T1217" s="2" t="str">
        <f t="shared" si="94"/>
        <v>Major Delay</v>
      </c>
    </row>
    <row r="1218" spans="1:20" x14ac:dyDescent="0.35">
      <c r="A1218" s="2" t="s">
        <v>2619</v>
      </c>
      <c r="B1218" s="2" t="s">
        <v>63</v>
      </c>
      <c r="C1218" s="2" t="s">
        <v>2620</v>
      </c>
      <c r="D1218" s="2" t="s">
        <v>48</v>
      </c>
      <c r="E1218" s="2" t="s">
        <v>33</v>
      </c>
      <c r="F1218" s="2" t="s">
        <v>27</v>
      </c>
      <c r="G1218" s="2" t="s">
        <v>500</v>
      </c>
      <c r="H1218" s="3">
        <v>45483.886111111111</v>
      </c>
      <c r="I1218" s="3">
        <v>45484.007638888892</v>
      </c>
      <c r="J1218" s="2">
        <v>96</v>
      </c>
      <c r="K1218" s="2">
        <v>175</v>
      </c>
      <c r="L1218" s="2">
        <v>1</v>
      </c>
      <c r="M1218" s="2" t="s">
        <v>41</v>
      </c>
      <c r="N1218" s="2">
        <v>3</v>
      </c>
      <c r="O1218" s="2">
        <v>96.03</v>
      </c>
      <c r="P1218" s="2">
        <f t="shared" si="90"/>
        <v>79</v>
      </c>
      <c r="Q1218" s="4">
        <f t="shared" si="91"/>
        <v>0.5485714285714286</v>
      </c>
      <c r="R1218" s="2" t="str">
        <f t="shared" si="92"/>
        <v>Inefficient</v>
      </c>
      <c r="S1218" s="2" t="str">
        <f t="shared" si="93"/>
        <v>Very Long</v>
      </c>
      <c r="T1218" s="2" t="str">
        <f t="shared" si="94"/>
        <v>Major Delay</v>
      </c>
    </row>
    <row r="1219" spans="1:20" x14ac:dyDescent="0.35">
      <c r="A1219" s="2" t="s">
        <v>2621</v>
      </c>
      <c r="B1219" s="2" t="s">
        <v>16</v>
      </c>
      <c r="C1219" s="2" t="s">
        <v>2622</v>
      </c>
      <c r="D1219" s="2" t="s">
        <v>48</v>
      </c>
      <c r="E1219" s="2" t="s">
        <v>33</v>
      </c>
      <c r="F1219" s="2" t="s">
        <v>57</v>
      </c>
      <c r="G1219" s="2" t="s">
        <v>1030</v>
      </c>
      <c r="H1219" s="3">
        <v>45527.416666666664</v>
      </c>
      <c r="I1219" s="3">
        <v>45527.540277777778</v>
      </c>
      <c r="J1219" s="2">
        <v>164</v>
      </c>
      <c r="K1219" s="2">
        <v>178</v>
      </c>
      <c r="L1219" s="2">
        <v>1</v>
      </c>
      <c r="M1219" s="2" t="s">
        <v>29</v>
      </c>
      <c r="N1219" s="2">
        <v>9</v>
      </c>
      <c r="O1219" s="2">
        <v>418.09</v>
      </c>
      <c r="P1219" s="2">
        <f t="shared" ref="P1219:P1282" si="95">K1219-J1219</f>
        <v>14</v>
      </c>
      <c r="Q1219" s="4">
        <f t="shared" ref="Q1219:Q1282" si="96">J1219/K1219</f>
        <v>0.9213483146067416</v>
      </c>
      <c r="R1219" s="2" t="str">
        <f t="shared" ref="R1219:R1282" si="97">IF(Q1219&gt;1,"Efficient",
IF(Q1219=1,"On Target","Inefficient"))</f>
        <v>Inefficient</v>
      </c>
      <c r="S1219" s="2" t="str">
        <f t="shared" ref="S1219:S1282" si="98">IF(K1219&lt;30,"Short",
IF(K1219&lt;60,"Medium",
IF(K1219&lt;120,"Long","Very Long")))</f>
        <v>Very Long</v>
      </c>
      <c r="T1219" s="2" t="str">
        <f t="shared" ref="T1219:T1282" si="99">IF(K1219&lt;=J1219,"On Time",
IF(K1219-J1219&lt;=30,"Minor Delay","Major Delay"))</f>
        <v>Minor Delay</v>
      </c>
    </row>
    <row r="1220" spans="1:20" x14ac:dyDescent="0.35">
      <c r="A1220" s="2" t="s">
        <v>2623</v>
      </c>
      <c r="B1220" s="2" t="s">
        <v>16</v>
      </c>
      <c r="C1220" s="2" t="s">
        <v>2624</v>
      </c>
      <c r="D1220" s="2" t="s">
        <v>18</v>
      </c>
      <c r="E1220" s="2" t="s">
        <v>33</v>
      </c>
      <c r="F1220" s="2" t="s">
        <v>34</v>
      </c>
      <c r="G1220" s="2" t="s">
        <v>65</v>
      </c>
      <c r="H1220" s="3">
        <v>45491.865277777775</v>
      </c>
      <c r="I1220" s="3">
        <v>45491.890277777777</v>
      </c>
      <c r="J1220" s="2">
        <v>35</v>
      </c>
      <c r="K1220" s="2">
        <v>36</v>
      </c>
      <c r="L1220" s="2">
        <v>1</v>
      </c>
      <c r="M1220" s="2" t="s">
        <v>29</v>
      </c>
      <c r="N1220" s="2">
        <v>6</v>
      </c>
      <c r="O1220" s="2">
        <v>146</v>
      </c>
      <c r="P1220" s="2">
        <f t="shared" si="95"/>
        <v>1</v>
      </c>
      <c r="Q1220" s="4">
        <f t="shared" si="96"/>
        <v>0.97222222222222221</v>
      </c>
      <c r="R1220" s="2" t="str">
        <f t="shared" si="97"/>
        <v>Inefficient</v>
      </c>
      <c r="S1220" s="2" t="str">
        <f t="shared" si="98"/>
        <v>Medium</v>
      </c>
      <c r="T1220" s="2" t="str">
        <f t="shared" si="99"/>
        <v>Minor Delay</v>
      </c>
    </row>
    <row r="1221" spans="1:20" x14ac:dyDescent="0.35">
      <c r="A1221" s="2" t="s">
        <v>2625</v>
      </c>
      <c r="B1221" s="2" t="s">
        <v>31</v>
      </c>
      <c r="C1221" s="2" t="s">
        <v>2626</v>
      </c>
      <c r="D1221" s="2" t="s">
        <v>48</v>
      </c>
      <c r="E1221" s="2" t="s">
        <v>33</v>
      </c>
      <c r="F1221" s="2" t="s">
        <v>20</v>
      </c>
      <c r="G1221" s="2" t="s">
        <v>137</v>
      </c>
      <c r="H1221" s="3">
        <v>45373.770138888889</v>
      </c>
      <c r="I1221" s="3">
        <v>45373.954861111109</v>
      </c>
      <c r="J1221" s="2">
        <v>218</v>
      </c>
      <c r="K1221" s="2">
        <v>266</v>
      </c>
      <c r="L1221" s="2">
        <v>1</v>
      </c>
      <c r="M1221" s="2" t="s">
        <v>22</v>
      </c>
      <c r="N1221" s="2">
        <v>6</v>
      </c>
      <c r="O1221" s="2">
        <v>364.64</v>
      </c>
      <c r="P1221" s="2">
        <f t="shared" si="95"/>
        <v>48</v>
      </c>
      <c r="Q1221" s="4">
        <f t="shared" si="96"/>
        <v>0.81954887218045114</v>
      </c>
      <c r="R1221" s="2" t="str">
        <f t="shared" si="97"/>
        <v>Inefficient</v>
      </c>
      <c r="S1221" s="2" t="str">
        <f t="shared" si="98"/>
        <v>Very Long</v>
      </c>
      <c r="T1221" s="2" t="str">
        <f t="shared" si="99"/>
        <v>Major Delay</v>
      </c>
    </row>
    <row r="1222" spans="1:20" x14ac:dyDescent="0.35">
      <c r="A1222" s="2" t="s">
        <v>2627</v>
      </c>
      <c r="B1222" s="2" t="s">
        <v>63</v>
      </c>
      <c r="C1222" s="2" t="s">
        <v>2628</v>
      </c>
      <c r="D1222" s="2" t="s">
        <v>18</v>
      </c>
      <c r="E1222" s="2" t="s">
        <v>85</v>
      </c>
      <c r="F1222" s="2" t="s">
        <v>20</v>
      </c>
      <c r="G1222" s="2" t="s">
        <v>476</v>
      </c>
      <c r="H1222" s="3">
        <v>45452.40625</v>
      </c>
      <c r="I1222" s="3">
        <v>45452.62222222222</v>
      </c>
      <c r="J1222" s="2">
        <v>232</v>
      </c>
      <c r="K1222" s="2">
        <v>311</v>
      </c>
      <c r="L1222" s="2">
        <v>1</v>
      </c>
      <c r="M1222" s="2" t="s">
        <v>41</v>
      </c>
      <c r="N1222" s="2">
        <v>6</v>
      </c>
      <c r="O1222" s="2">
        <v>488.51</v>
      </c>
      <c r="P1222" s="2">
        <f t="shared" si="95"/>
        <v>79</v>
      </c>
      <c r="Q1222" s="4">
        <f t="shared" si="96"/>
        <v>0.74598070739549838</v>
      </c>
      <c r="R1222" s="2" t="str">
        <f t="shared" si="97"/>
        <v>Inefficient</v>
      </c>
      <c r="S1222" s="2" t="str">
        <f t="shared" si="98"/>
        <v>Very Long</v>
      </c>
      <c r="T1222" s="2" t="str">
        <f t="shared" si="99"/>
        <v>Major Delay</v>
      </c>
    </row>
    <row r="1223" spans="1:20" x14ac:dyDescent="0.35">
      <c r="A1223" s="2" t="s">
        <v>2629</v>
      </c>
      <c r="B1223" s="2" t="s">
        <v>24</v>
      </c>
      <c r="C1223" s="2" t="s">
        <v>2630</v>
      </c>
      <c r="D1223" s="2" t="s">
        <v>26</v>
      </c>
      <c r="E1223" s="2" t="s">
        <v>85</v>
      </c>
      <c r="F1223" s="2" t="s">
        <v>39</v>
      </c>
      <c r="G1223" s="2" t="s">
        <v>459</v>
      </c>
      <c r="H1223" s="3">
        <v>45294.227777777778</v>
      </c>
      <c r="I1223" s="3">
        <v>45294.380555555559</v>
      </c>
      <c r="J1223" s="2">
        <v>146</v>
      </c>
      <c r="K1223" s="2">
        <v>220</v>
      </c>
      <c r="L1223" s="2">
        <v>1</v>
      </c>
      <c r="M1223" s="2" t="s">
        <v>29</v>
      </c>
      <c r="N1223" s="2">
        <v>7</v>
      </c>
      <c r="O1223" s="2">
        <v>123.99</v>
      </c>
      <c r="P1223" s="2">
        <f t="shared" si="95"/>
        <v>74</v>
      </c>
      <c r="Q1223" s="4">
        <f t="shared" si="96"/>
        <v>0.66363636363636369</v>
      </c>
      <c r="R1223" s="2" t="str">
        <f t="shared" si="97"/>
        <v>Inefficient</v>
      </c>
      <c r="S1223" s="2" t="str">
        <f t="shared" si="98"/>
        <v>Very Long</v>
      </c>
      <c r="T1223" s="2" t="str">
        <f t="shared" si="99"/>
        <v>Major Delay</v>
      </c>
    </row>
    <row r="1224" spans="1:20" x14ac:dyDescent="0.35">
      <c r="A1224" s="2" t="s">
        <v>2631</v>
      </c>
      <c r="B1224" s="2" t="s">
        <v>24</v>
      </c>
      <c r="C1224" s="2" t="s">
        <v>2632</v>
      </c>
      <c r="D1224" s="2" t="s">
        <v>56</v>
      </c>
      <c r="E1224" s="2" t="s">
        <v>33</v>
      </c>
      <c r="F1224" s="2" t="s">
        <v>39</v>
      </c>
      <c r="G1224" s="2" t="s">
        <v>615</v>
      </c>
      <c r="H1224" s="3">
        <v>45592.279861111114</v>
      </c>
      <c r="I1224" s="3">
        <v>45592.338888888888</v>
      </c>
      <c r="J1224" s="2">
        <v>32</v>
      </c>
      <c r="K1224" s="2">
        <v>85</v>
      </c>
      <c r="L1224" s="2">
        <v>1</v>
      </c>
      <c r="M1224" s="2" t="s">
        <v>41</v>
      </c>
      <c r="N1224" s="2">
        <v>5</v>
      </c>
      <c r="O1224" s="2">
        <v>258.19</v>
      </c>
      <c r="P1224" s="2">
        <f t="shared" si="95"/>
        <v>53</v>
      </c>
      <c r="Q1224" s="4">
        <f t="shared" si="96"/>
        <v>0.37647058823529411</v>
      </c>
      <c r="R1224" s="2" t="str">
        <f t="shared" si="97"/>
        <v>Inefficient</v>
      </c>
      <c r="S1224" s="2" t="str">
        <f t="shared" si="98"/>
        <v>Long</v>
      </c>
      <c r="T1224" s="2" t="str">
        <f t="shared" si="99"/>
        <v>Major Delay</v>
      </c>
    </row>
    <row r="1225" spans="1:20" x14ac:dyDescent="0.35">
      <c r="A1225" s="2" t="s">
        <v>2633</v>
      </c>
      <c r="B1225" s="2" t="s">
        <v>16</v>
      </c>
      <c r="C1225" s="2" t="s">
        <v>2634</v>
      </c>
      <c r="D1225" s="2" t="s">
        <v>56</v>
      </c>
      <c r="E1225" s="2" t="s">
        <v>33</v>
      </c>
      <c r="F1225" s="2" t="s">
        <v>20</v>
      </c>
      <c r="G1225" s="2" t="s">
        <v>681</v>
      </c>
      <c r="H1225" s="3">
        <v>45482.175000000003</v>
      </c>
      <c r="I1225" s="3">
        <v>45482.386111111111</v>
      </c>
      <c r="J1225" s="2">
        <v>190</v>
      </c>
      <c r="K1225" s="2">
        <v>304</v>
      </c>
      <c r="L1225" s="2">
        <v>1</v>
      </c>
      <c r="M1225" s="2" t="s">
        <v>41</v>
      </c>
      <c r="N1225" s="2">
        <v>4</v>
      </c>
      <c r="O1225" s="2">
        <v>494.66</v>
      </c>
      <c r="P1225" s="2">
        <f t="shared" si="95"/>
        <v>114</v>
      </c>
      <c r="Q1225" s="4">
        <f t="shared" si="96"/>
        <v>0.625</v>
      </c>
      <c r="R1225" s="2" t="str">
        <f t="shared" si="97"/>
        <v>Inefficient</v>
      </c>
      <c r="S1225" s="2" t="str">
        <f t="shared" si="98"/>
        <v>Very Long</v>
      </c>
      <c r="T1225" s="2" t="str">
        <f t="shared" si="99"/>
        <v>Major Delay</v>
      </c>
    </row>
    <row r="1226" spans="1:20" x14ac:dyDescent="0.35">
      <c r="A1226" s="2" t="s">
        <v>2635</v>
      </c>
      <c r="B1226" s="2" t="s">
        <v>16</v>
      </c>
      <c r="C1226" s="2" t="s">
        <v>2636</v>
      </c>
      <c r="D1226" s="2" t="s">
        <v>44</v>
      </c>
      <c r="E1226" s="2" t="s">
        <v>33</v>
      </c>
      <c r="F1226" s="2" t="s">
        <v>20</v>
      </c>
      <c r="G1226" s="2" t="s">
        <v>45</v>
      </c>
      <c r="H1226" s="3">
        <v>45607.572916666664</v>
      </c>
      <c r="I1226" s="3">
        <v>45607.643055555556</v>
      </c>
      <c r="J1226" s="2">
        <v>104</v>
      </c>
      <c r="K1226" s="2">
        <v>101</v>
      </c>
      <c r="L1226" s="2">
        <v>0</v>
      </c>
      <c r="M1226" s="2" t="s">
        <v>41</v>
      </c>
      <c r="N1226" s="2">
        <v>3</v>
      </c>
      <c r="O1226" s="2">
        <v>76.95</v>
      </c>
      <c r="P1226" s="2">
        <f t="shared" si="95"/>
        <v>-3</v>
      </c>
      <c r="Q1226" s="4">
        <f t="shared" si="96"/>
        <v>1.0297029702970297</v>
      </c>
      <c r="R1226" s="2" t="str">
        <f t="shared" si="97"/>
        <v>Efficient</v>
      </c>
      <c r="S1226" s="2" t="str">
        <f t="shared" si="98"/>
        <v>Long</v>
      </c>
      <c r="T1226" s="2" t="str">
        <f t="shared" si="99"/>
        <v>On Time</v>
      </c>
    </row>
    <row r="1227" spans="1:20" x14ac:dyDescent="0.35">
      <c r="A1227" s="2" t="s">
        <v>2637</v>
      </c>
      <c r="B1227" s="2" t="s">
        <v>24</v>
      </c>
      <c r="C1227" s="2" t="s">
        <v>2638</v>
      </c>
      <c r="D1227" s="2" t="s">
        <v>18</v>
      </c>
      <c r="E1227" s="2" t="s">
        <v>19</v>
      </c>
      <c r="F1227" s="2" t="s">
        <v>39</v>
      </c>
      <c r="G1227" s="2" t="s">
        <v>53</v>
      </c>
      <c r="H1227" s="3">
        <v>45598.758333333331</v>
      </c>
      <c r="I1227" s="3">
        <v>45598.824999999997</v>
      </c>
      <c r="J1227" s="2">
        <v>48</v>
      </c>
      <c r="K1227" s="2">
        <v>96</v>
      </c>
      <c r="L1227" s="2">
        <v>1</v>
      </c>
      <c r="M1227" s="2" t="s">
        <v>29</v>
      </c>
      <c r="N1227" s="2">
        <v>8</v>
      </c>
      <c r="O1227" s="2">
        <v>190.62</v>
      </c>
      <c r="P1227" s="2">
        <f t="shared" si="95"/>
        <v>48</v>
      </c>
      <c r="Q1227" s="4">
        <f t="shared" si="96"/>
        <v>0.5</v>
      </c>
      <c r="R1227" s="2" t="str">
        <f t="shared" si="97"/>
        <v>Inefficient</v>
      </c>
      <c r="S1227" s="2" t="str">
        <f t="shared" si="98"/>
        <v>Long</v>
      </c>
      <c r="T1227" s="2" t="str">
        <f t="shared" si="99"/>
        <v>Major Delay</v>
      </c>
    </row>
    <row r="1228" spans="1:20" x14ac:dyDescent="0.35">
      <c r="A1228" s="2" t="s">
        <v>2639</v>
      </c>
      <c r="B1228" s="2" t="s">
        <v>24</v>
      </c>
      <c r="C1228" s="2" t="s">
        <v>2640</v>
      </c>
      <c r="D1228" s="2" t="s">
        <v>18</v>
      </c>
      <c r="E1228" s="2" t="s">
        <v>19</v>
      </c>
      <c r="F1228" s="2" t="s">
        <v>39</v>
      </c>
      <c r="G1228" s="2" t="s">
        <v>231</v>
      </c>
      <c r="H1228" s="3">
        <v>45418.246527777781</v>
      </c>
      <c r="I1228" s="3">
        <v>45418.362500000003</v>
      </c>
      <c r="J1228" s="2">
        <v>118</v>
      </c>
      <c r="K1228" s="2">
        <v>167</v>
      </c>
      <c r="L1228" s="2">
        <v>1</v>
      </c>
      <c r="M1228" s="2" t="s">
        <v>22</v>
      </c>
      <c r="N1228" s="2">
        <v>10</v>
      </c>
      <c r="O1228" s="2">
        <v>329.44</v>
      </c>
      <c r="P1228" s="2">
        <f t="shared" si="95"/>
        <v>49</v>
      </c>
      <c r="Q1228" s="4">
        <f t="shared" si="96"/>
        <v>0.70658682634730541</v>
      </c>
      <c r="R1228" s="2" t="str">
        <f t="shared" si="97"/>
        <v>Inefficient</v>
      </c>
      <c r="S1228" s="2" t="str">
        <f t="shared" si="98"/>
        <v>Very Long</v>
      </c>
      <c r="T1228" s="2" t="str">
        <f t="shared" si="99"/>
        <v>Major Delay</v>
      </c>
    </row>
    <row r="1229" spans="1:20" x14ac:dyDescent="0.35">
      <c r="A1229" s="2" t="s">
        <v>2641</v>
      </c>
      <c r="B1229" s="2" t="s">
        <v>63</v>
      </c>
      <c r="C1229" s="2" t="s">
        <v>2642</v>
      </c>
      <c r="D1229" s="2" t="s">
        <v>18</v>
      </c>
      <c r="E1229" s="2" t="s">
        <v>33</v>
      </c>
      <c r="F1229" s="2" t="s">
        <v>34</v>
      </c>
      <c r="G1229" s="2" t="s">
        <v>129</v>
      </c>
      <c r="H1229" s="3">
        <v>45571.426388888889</v>
      </c>
      <c r="I1229" s="3">
        <v>45571.55</v>
      </c>
      <c r="J1229" s="2">
        <v>183</v>
      </c>
      <c r="K1229" s="2">
        <v>178</v>
      </c>
      <c r="L1229" s="2">
        <v>0</v>
      </c>
      <c r="M1229" s="2" t="s">
        <v>41</v>
      </c>
      <c r="N1229" s="2">
        <v>2</v>
      </c>
      <c r="O1229" s="2">
        <v>171.65</v>
      </c>
      <c r="P1229" s="2">
        <f t="shared" si="95"/>
        <v>-5</v>
      </c>
      <c r="Q1229" s="4">
        <f t="shared" si="96"/>
        <v>1.0280898876404494</v>
      </c>
      <c r="R1229" s="2" t="str">
        <f t="shared" si="97"/>
        <v>Efficient</v>
      </c>
      <c r="S1229" s="2" t="str">
        <f t="shared" si="98"/>
        <v>Very Long</v>
      </c>
      <c r="T1229" s="2" t="str">
        <f t="shared" si="99"/>
        <v>On Time</v>
      </c>
    </row>
    <row r="1230" spans="1:20" x14ac:dyDescent="0.35">
      <c r="A1230" s="2" t="s">
        <v>2643</v>
      </c>
      <c r="B1230" s="2" t="s">
        <v>51</v>
      </c>
      <c r="C1230" s="2" t="s">
        <v>2644</v>
      </c>
      <c r="D1230" s="2" t="s">
        <v>56</v>
      </c>
      <c r="E1230" s="2" t="s">
        <v>19</v>
      </c>
      <c r="F1230" s="2" t="s">
        <v>20</v>
      </c>
      <c r="G1230" s="2" t="s">
        <v>1413</v>
      </c>
      <c r="H1230" s="3">
        <v>45523.93472222222</v>
      </c>
      <c r="I1230" s="3">
        <v>45523.988194444442</v>
      </c>
      <c r="J1230" s="2">
        <v>47</v>
      </c>
      <c r="K1230" s="2">
        <v>77</v>
      </c>
      <c r="L1230" s="2">
        <v>1</v>
      </c>
      <c r="M1230" s="2" t="s">
        <v>22</v>
      </c>
      <c r="N1230" s="2">
        <v>1</v>
      </c>
      <c r="O1230" s="2">
        <v>489.69</v>
      </c>
      <c r="P1230" s="2">
        <f t="shared" si="95"/>
        <v>30</v>
      </c>
      <c r="Q1230" s="4">
        <f t="shared" si="96"/>
        <v>0.61038961038961037</v>
      </c>
      <c r="R1230" s="2" t="str">
        <f t="shared" si="97"/>
        <v>Inefficient</v>
      </c>
      <c r="S1230" s="2" t="str">
        <f t="shared" si="98"/>
        <v>Long</v>
      </c>
      <c r="T1230" s="2" t="str">
        <f t="shared" si="99"/>
        <v>Minor Delay</v>
      </c>
    </row>
    <row r="1231" spans="1:20" x14ac:dyDescent="0.35">
      <c r="A1231" s="2" t="s">
        <v>2645</v>
      </c>
      <c r="B1231" s="2" t="s">
        <v>51</v>
      </c>
      <c r="C1231" s="2" t="s">
        <v>2646</v>
      </c>
      <c r="D1231" s="2" t="s">
        <v>18</v>
      </c>
      <c r="E1231" s="2" t="s">
        <v>85</v>
      </c>
      <c r="F1231" s="2" t="s">
        <v>20</v>
      </c>
      <c r="G1231" s="2" t="s">
        <v>167</v>
      </c>
      <c r="H1231" s="3">
        <v>45373.189583333333</v>
      </c>
      <c r="I1231" s="3">
        <v>45373.334027777775</v>
      </c>
      <c r="J1231" s="2">
        <v>185</v>
      </c>
      <c r="K1231" s="2">
        <v>208</v>
      </c>
      <c r="L1231" s="2">
        <v>1</v>
      </c>
      <c r="M1231" s="2" t="s">
        <v>22</v>
      </c>
      <c r="N1231" s="2">
        <v>8</v>
      </c>
      <c r="O1231" s="2">
        <v>57.85</v>
      </c>
      <c r="P1231" s="2">
        <f t="shared" si="95"/>
        <v>23</v>
      </c>
      <c r="Q1231" s="4">
        <f t="shared" si="96"/>
        <v>0.88942307692307687</v>
      </c>
      <c r="R1231" s="2" t="str">
        <f t="shared" si="97"/>
        <v>Inefficient</v>
      </c>
      <c r="S1231" s="2" t="str">
        <f t="shared" si="98"/>
        <v>Very Long</v>
      </c>
      <c r="T1231" s="2" t="str">
        <f t="shared" si="99"/>
        <v>Minor Delay</v>
      </c>
    </row>
    <row r="1232" spans="1:20" x14ac:dyDescent="0.35">
      <c r="A1232" s="2" t="s">
        <v>2647</v>
      </c>
      <c r="B1232" s="2" t="s">
        <v>16</v>
      </c>
      <c r="C1232" s="2" t="s">
        <v>2648</v>
      </c>
      <c r="D1232" s="2" t="s">
        <v>44</v>
      </c>
      <c r="E1232" s="2" t="s">
        <v>33</v>
      </c>
      <c r="F1232" s="2" t="s">
        <v>34</v>
      </c>
      <c r="G1232" s="2" t="s">
        <v>669</v>
      </c>
      <c r="H1232" s="3">
        <v>45502.568749999999</v>
      </c>
      <c r="I1232" s="3">
        <v>45502.742361111108</v>
      </c>
      <c r="J1232" s="2">
        <v>214</v>
      </c>
      <c r="K1232" s="2">
        <v>250</v>
      </c>
      <c r="L1232" s="2">
        <v>1</v>
      </c>
      <c r="M1232" s="2" t="s">
        <v>41</v>
      </c>
      <c r="N1232" s="2">
        <v>10</v>
      </c>
      <c r="O1232" s="2">
        <v>255.18</v>
      </c>
      <c r="P1232" s="2">
        <f t="shared" si="95"/>
        <v>36</v>
      </c>
      <c r="Q1232" s="4">
        <f t="shared" si="96"/>
        <v>0.85599999999999998</v>
      </c>
      <c r="R1232" s="2" t="str">
        <f t="shared" si="97"/>
        <v>Inefficient</v>
      </c>
      <c r="S1232" s="2" t="str">
        <f t="shared" si="98"/>
        <v>Very Long</v>
      </c>
      <c r="T1232" s="2" t="str">
        <f t="shared" si="99"/>
        <v>Major Delay</v>
      </c>
    </row>
    <row r="1233" spans="1:20" x14ac:dyDescent="0.35">
      <c r="A1233" s="2" t="s">
        <v>2649</v>
      </c>
      <c r="B1233" s="2" t="s">
        <v>24</v>
      </c>
      <c r="C1233" s="2" t="s">
        <v>2650</v>
      </c>
      <c r="D1233" s="2" t="s">
        <v>44</v>
      </c>
      <c r="E1233" s="2" t="s">
        <v>19</v>
      </c>
      <c r="F1233" s="2" t="s">
        <v>20</v>
      </c>
      <c r="G1233" s="2" t="s">
        <v>164</v>
      </c>
      <c r="H1233" s="3">
        <v>45524.793749999997</v>
      </c>
      <c r="I1233" s="3">
        <v>45524.913888888892</v>
      </c>
      <c r="J1233" s="2">
        <v>99</v>
      </c>
      <c r="K1233" s="2">
        <v>173</v>
      </c>
      <c r="L1233" s="2">
        <v>1</v>
      </c>
      <c r="M1233" s="2" t="s">
        <v>29</v>
      </c>
      <c r="N1233" s="2">
        <v>1</v>
      </c>
      <c r="O1233" s="2">
        <v>451.08</v>
      </c>
      <c r="P1233" s="2">
        <f t="shared" si="95"/>
        <v>74</v>
      </c>
      <c r="Q1233" s="4">
        <f t="shared" si="96"/>
        <v>0.5722543352601156</v>
      </c>
      <c r="R1233" s="2" t="str">
        <f t="shared" si="97"/>
        <v>Inefficient</v>
      </c>
      <c r="S1233" s="2" t="str">
        <f t="shared" si="98"/>
        <v>Very Long</v>
      </c>
      <c r="T1233" s="2" t="str">
        <f t="shared" si="99"/>
        <v>Major Delay</v>
      </c>
    </row>
    <row r="1234" spans="1:20" x14ac:dyDescent="0.35">
      <c r="A1234" s="2" t="s">
        <v>2651</v>
      </c>
      <c r="B1234" s="2" t="s">
        <v>31</v>
      </c>
      <c r="C1234" s="2" t="s">
        <v>2652</v>
      </c>
      <c r="D1234" s="2" t="s">
        <v>18</v>
      </c>
      <c r="E1234" s="2" t="s">
        <v>38</v>
      </c>
      <c r="F1234" s="2" t="s">
        <v>34</v>
      </c>
      <c r="G1234" s="2" t="s">
        <v>149</v>
      </c>
      <c r="H1234" s="3">
        <v>45435.599305555559</v>
      </c>
      <c r="I1234" s="3">
        <v>45435.777777777781</v>
      </c>
      <c r="J1234" s="2">
        <v>141</v>
      </c>
      <c r="K1234" s="2">
        <v>257</v>
      </c>
      <c r="L1234" s="2">
        <v>1</v>
      </c>
      <c r="M1234" s="2" t="s">
        <v>29</v>
      </c>
      <c r="N1234" s="2">
        <v>7</v>
      </c>
      <c r="O1234" s="2">
        <v>179.96</v>
      </c>
      <c r="P1234" s="2">
        <f t="shared" si="95"/>
        <v>116</v>
      </c>
      <c r="Q1234" s="4">
        <f t="shared" si="96"/>
        <v>0.54863813229571989</v>
      </c>
      <c r="R1234" s="2" t="str">
        <f t="shared" si="97"/>
        <v>Inefficient</v>
      </c>
      <c r="S1234" s="2" t="str">
        <f t="shared" si="98"/>
        <v>Very Long</v>
      </c>
      <c r="T1234" s="2" t="str">
        <f t="shared" si="99"/>
        <v>Major Delay</v>
      </c>
    </row>
    <row r="1235" spans="1:20" x14ac:dyDescent="0.35">
      <c r="A1235" s="2" t="s">
        <v>2653</v>
      </c>
      <c r="B1235" s="2" t="s">
        <v>24</v>
      </c>
      <c r="C1235" s="2" t="s">
        <v>2654</v>
      </c>
      <c r="D1235" s="2" t="s">
        <v>18</v>
      </c>
      <c r="E1235" s="2" t="s">
        <v>19</v>
      </c>
      <c r="F1235" s="2" t="s">
        <v>39</v>
      </c>
      <c r="G1235" s="2" t="s">
        <v>615</v>
      </c>
      <c r="H1235" s="3">
        <v>45542.963888888888</v>
      </c>
      <c r="I1235" s="3">
        <v>45543.082638888889</v>
      </c>
      <c r="J1235" s="2">
        <v>86</v>
      </c>
      <c r="K1235" s="2">
        <v>171</v>
      </c>
      <c r="L1235" s="2">
        <v>1</v>
      </c>
      <c r="M1235" s="2" t="s">
        <v>41</v>
      </c>
      <c r="N1235" s="2">
        <v>6</v>
      </c>
      <c r="O1235" s="2">
        <v>195.17</v>
      </c>
      <c r="P1235" s="2">
        <f t="shared" si="95"/>
        <v>85</v>
      </c>
      <c r="Q1235" s="4">
        <f t="shared" si="96"/>
        <v>0.50292397660818711</v>
      </c>
      <c r="R1235" s="2" t="str">
        <f t="shared" si="97"/>
        <v>Inefficient</v>
      </c>
      <c r="S1235" s="2" t="str">
        <f t="shared" si="98"/>
        <v>Very Long</v>
      </c>
      <c r="T1235" s="2" t="str">
        <f t="shared" si="99"/>
        <v>Major Delay</v>
      </c>
    </row>
    <row r="1236" spans="1:20" x14ac:dyDescent="0.35">
      <c r="A1236" s="2" t="s">
        <v>2655</v>
      </c>
      <c r="B1236" s="2" t="s">
        <v>63</v>
      </c>
      <c r="C1236" s="2" t="s">
        <v>2656</v>
      </c>
      <c r="D1236" s="2" t="s">
        <v>48</v>
      </c>
      <c r="E1236" s="2" t="s">
        <v>33</v>
      </c>
      <c r="F1236" s="2" t="s">
        <v>39</v>
      </c>
      <c r="G1236" s="2" t="s">
        <v>316</v>
      </c>
      <c r="H1236" s="3">
        <v>45537.218055555553</v>
      </c>
      <c r="I1236" s="3">
        <v>45537.373611111114</v>
      </c>
      <c r="J1236" s="2">
        <v>187</v>
      </c>
      <c r="K1236" s="2">
        <v>224</v>
      </c>
      <c r="L1236" s="2">
        <v>1</v>
      </c>
      <c r="M1236" s="2" t="s">
        <v>41</v>
      </c>
      <c r="N1236" s="2">
        <v>2</v>
      </c>
      <c r="O1236" s="2">
        <v>468.11</v>
      </c>
      <c r="P1236" s="2">
        <f t="shared" si="95"/>
        <v>37</v>
      </c>
      <c r="Q1236" s="4">
        <f t="shared" si="96"/>
        <v>0.8348214285714286</v>
      </c>
      <c r="R1236" s="2" t="str">
        <f t="shared" si="97"/>
        <v>Inefficient</v>
      </c>
      <c r="S1236" s="2" t="str">
        <f t="shared" si="98"/>
        <v>Very Long</v>
      </c>
      <c r="T1236" s="2" t="str">
        <f t="shared" si="99"/>
        <v>Major Delay</v>
      </c>
    </row>
    <row r="1237" spans="1:20" x14ac:dyDescent="0.35">
      <c r="A1237" s="2" t="s">
        <v>2657</v>
      </c>
      <c r="B1237" s="2" t="s">
        <v>51</v>
      </c>
      <c r="C1237" s="2" t="s">
        <v>2658</v>
      </c>
      <c r="D1237" s="2" t="s">
        <v>56</v>
      </c>
      <c r="E1237" s="2" t="s">
        <v>33</v>
      </c>
      <c r="F1237" s="2" t="s">
        <v>20</v>
      </c>
      <c r="G1237" s="2" t="s">
        <v>100</v>
      </c>
      <c r="H1237" s="3">
        <v>45592.270138888889</v>
      </c>
      <c r="I1237" s="3">
        <v>45592.350694444445</v>
      </c>
      <c r="J1237" s="2">
        <v>48</v>
      </c>
      <c r="K1237" s="2">
        <v>116</v>
      </c>
      <c r="L1237" s="2">
        <v>1</v>
      </c>
      <c r="M1237" s="2" t="s">
        <v>41</v>
      </c>
      <c r="N1237" s="2">
        <v>4</v>
      </c>
      <c r="O1237" s="2">
        <v>399.46</v>
      </c>
      <c r="P1237" s="2">
        <f t="shared" si="95"/>
        <v>68</v>
      </c>
      <c r="Q1237" s="4">
        <f t="shared" si="96"/>
        <v>0.41379310344827586</v>
      </c>
      <c r="R1237" s="2" t="str">
        <f t="shared" si="97"/>
        <v>Inefficient</v>
      </c>
      <c r="S1237" s="2" t="str">
        <f t="shared" si="98"/>
        <v>Long</v>
      </c>
      <c r="T1237" s="2" t="str">
        <f t="shared" si="99"/>
        <v>Major Delay</v>
      </c>
    </row>
    <row r="1238" spans="1:20" x14ac:dyDescent="0.35">
      <c r="A1238" s="2" t="s">
        <v>2659</v>
      </c>
      <c r="B1238" s="2" t="s">
        <v>31</v>
      </c>
      <c r="C1238" s="2" t="s">
        <v>2660</v>
      </c>
      <c r="D1238" s="2" t="s">
        <v>26</v>
      </c>
      <c r="E1238" s="2" t="s">
        <v>38</v>
      </c>
      <c r="F1238" s="2" t="s">
        <v>57</v>
      </c>
      <c r="G1238" s="2" t="s">
        <v>207</v>
      </c>
      <c r="H1238" s="3">
        <v>45342.861111111109</v>
      </c>
      <c r="I1238" s="3">
        <v>45342.962500000001</v>
      </c>
      <c r="J1238" s="2">
        <v>105</v>
      </c>
      <c r="K1238" s="2">
        <v>146</v>
      </c>
      <c r="L1238" s="2">
        <v>1</v>
      </c>
      <c r="M1238" s="2" t="s">
        <v>22</v>
      </c>
      <c r="N1238" s="2">
        <v>1</v>
      </c>
      <c r="O1238" s="2">
        <v>446.1</v>
      </c>
      <c r="P1238" s="2">
        <f t="shared" si="95"/>
        <v>41</v>
      </c>
      <c r="Q1238" s="4">
        <f t="shared" si="96"/>
        <v>0.71917808219178081</v>
      </c>
      <c r="R1238" s="2" t="str">
        <f t="shared" si="97"/>
        <v>Inefficient</v>
      </c>
      <c r="S1238" s="2" t="str">
        <f t="shared" si="98"/>
        <v>Very Long</v>
      </c>
      <c r="T1238" s="2" t="str">
        <f t="shared" si="99"/>
        <v>Major Delay</v>
      </c>
    </row>
    <row r="1239" spans="1:20" x14ac:dyDescent="0.35">
      <c r="A1239" s="2" t="s">
        <v>2661</v>
      </c>
      <c r="B1239" s="2" t="s">
        <v>63</v>
      </c>
      <c r="C1239" s="2" t="s">
        <v>2662</v>
      </c>
      <c r="D1239" s="2" t="s">
        <v>26</v>
      </c>
      <c r="E1239" s="2" t="s">
        <v>85</v>
      </c>
      <c r="F1239" s="2" t="s">
        <v>34</v>
      </c>
      <c r="G1239" s="2" t="s">
        <v>650</v>
      </c>
      <c r="H1239" s="3">
        <v>45649.789583333331</v>
      </c>
      <c r="I1239" s="3">
        <v>45649.982638888891</v>
      </c>
      <c r="J1239" s="2">
        <v>165</v>
      </c>
      <c r="K1239" s="2">
        <v>278</v>
      </c>
      <c r="L1239" s="2">
        <v>1</v>
      </c>
      <c r="M1239" s="2" t="s">
        <v>22</v>
      </c>
      <c r="N1239" s="2">
        <v>3</v>
      </c>
      <c r="O1239" s="2">
        <v>296.14</v>
      </c>
      <c r="P1239" s="2">
        <f t="shared" si="95"/>
        <v>113</v>
      </c>
      <c r="Q1239" s="4">
        <f t="shared" si="96"/>
        <v>0.59352517985611508</v>
      </c>
      <c r="R1239" s="2" t="str">
        <f t="shared" si="97"/>
        <v>Inefficient</v>
      </c>
      <c r="S1239" s="2" t="str">
        <f t="shared" si="98"/>
        <v>Very Long</v>
      </c>
      <c r="T1239" s="2" t="str">
        <f t="shared" si="99"/>
        <v>Major Delay</v>
      </c>
    </row>
    <row r="1240" spans="1:20" x14ac:dyDescent="0.35">
      <c r="A1240" s="2" t="s">
        <v>2663</v>
      </c>
      <c r="B1240" s="2" t="s">
        <v>51</v>
      </c>
      <c r="C1240" s="2" t="s">
        <v>2664</v>
      </c>
      <c r="D1240" s="2" t="s">
        <v>44</v>
      </c>
      <c r="E1240" s="2" t="s">
        <v>19</v>
      </c>
      <c r="F1240" s="2" t="s">
        <v>27</v>
      </c>
      <c r="G1240" s="2" t="s">
        <v>615</v>
      </c>
      <c r="H1240" s="3">
        <v>45488.064583333333</v>
      </c>
      <c r="I1240" s="3">
        <v>45488.169444444444</v>
      </c>
      <c r="J1240" s="2">
        <v>108</v>
      </c>
      <c r="K1240" s="2">
        <v>151</v>
      </c>
      <c r="L1240" s="2">
        <v>1</v>
      </c>
      <c r="M1240" s="2" t="s">
        <v>22</v>
      </c>
      <c r="N1240" s="2">
        <v>9</v>
      </c>
      <c r="O1240" s="2">
        <v>192.46</v>
      </c>
      <c r="P1240" s="2">
        <f t="shared" si="95"/>
        <v>43</v>
      </c>
      <c r="Q1240" s="4">
        <f t="shared" si="96"/>
        <v>0.71523178807947019</v>
      </c>
      <c r="R1240" s="2" t="str">
        <f t="shared" si="97"/>
        <v>Inefficient</v>
      </c>
      <c r="S1240" s="2" t="str">
        <f t="shared" si="98"/>
        <v>Very Long</v>
      </c>
      <c r="T1240" s="2" t="str">
        <f t="shared" si="99"/>
        <v>Major Delay</v>
      </c>
    </row>
    <row r="1241" spans="1:20" x14ac:dyDescent="0.35">
      <c r="A1241" s="2" t="s">
        <v>2665</v>
      </c>
      <c r="B1241" s="2" t="s">
        <v>63</v>
      </c>
      <c r="C1241" s="2" t="s">
        <v>2666</v>
      </c>
      <c r="D1241" s="2" t="s">
        <v>26</v>
      </c>
      <c r="E1241" s="2" t="s">
        <v>38</v>
      </c>
      <c r="F1241" s="2" t="s">
        <v>57</v>
      </c>
      <c r="G1241" s="2" t="s">
        <v>132</v>
      </c>
      <c r="H1241" s="3">
        <v>45381.417361111111</v>
      </c>
      <c r="I1241" s="3">
        <v>45381.560416666667</v>
      </c>
      <c r="J1241" s="2">
        <v>120</v>
      </c>
      <c r="K1241" s="2">
        <v>206</v>
      </c>
      <c r="L1241" s="2">
        <v>1</v>
      </c>
      <c r="M1241" s="2" t="s">
        <v>29</v>
      </c>
      <c r="N1241" s="2">
        <v>1</v>
      </c>
      <c r="O1241" s="2">
        <v>89.2</v>
      </c>
      <c r="P1241" s="2">
        <f t="shared" si="95"/>
        <v>86</v>
      </c>
      <c r="Q1241" s="4">
        <f t="shared" si="96"/>
        <v>0.58252427184466016</v>
      </c>
      <c r="R1241" s="2" t="str">
        <f t="shared" si="97"/>
        <v>Inefficient</v>
      </c>
      <c r="S1241" s="2" t="str">
        <f t="shared" si="98"/>
        <v>Very Long</v>
      </c>
      <c r="T1241" s="2" t="str">
        <f t="shared" si="99"/>
        <v>Major Delay</v>
      </c>
    </row>
    <row r="1242" spans="1:20" x14ac:dyDescent="0.35">
      <c r="A1242" s="2" t="s">
        <v>2667</v>
      </c>
      <c r="B1242" s="2" t="s">
        <v>31</v>
      </c>
      <c r="C1242" s="2" t="s">
        <v>2668</v>
      </c>
      <c r="D1242" s="2" t="s">
        <v>56</v>
      </c>
      <c r="E1242" s="2" t="s">
        <v>38</v>
      </c>
      <c r="F1242" s="2" t="s">
        <v>39</v>
      </c>
      <c r="G1242" s="2" t="s">
        <v>234</v>
      </c>
      <c r="H1242" s="3">
        <v>45511.319444444445</v>
      </c>
      <c r="I1242" s="3">
        <v>45511.500694444447</v>
      </c>
      <c r="J1242" s="2">
        <v>219</v>
      </c>
      <c r="K1242" s="2">
        <v>261</v>
      </c>
      <c r="L1242" s="2">
        <v>1</v>
      </c>
      <c r="M1242" s="2" t="s">
        <v>22</v>
      </c>
      <c r="N1242" s="2">
        <v>7</v>
      </c>
      <c r="O1242" s="2">
        <v>124.43</v>
      </c>
      <c r="P1242" s="2">
        <f t="shared" si="95"/>
        <v>42</v>
      </c>
      <c r="Q1242" s="4">
        <f t="shared" si="96"/>
        <v>0.83908045977011492</v>
      </c>
      <c r="R1242" s="2" t="str">
        <f t="shared" si="97"/>
        <v>Inefficient</v>
      </c>
      <c r="S1242" s="2" t="str">
        <f t="shared" si="98"/>
        <v>Very Long</v>
      </c>
      <c r="T1242" s="2" t="str">
        <f t="shared" si="99"/>
        <v>Major Delay</v>
      </c>
    </row>
    <row r="1243" spans="1:20" x14ac:dyDescent="0.35">
      <c r="A1243" s="2" t="s">
        <v>2669</v>
      </c>
      <c r="B1243" s="2" t="s">
        <v>31</v>
      </c>
      <c r="C1243" s="2" t="s">
        <v>2670</v>
      </c>
      <c r="D1243" s="2" t="s">
        <v>48</v>
      </c>
      <c r="E1243" s="2" t="s">
        <v>19</v>
      </c>
      <c r="F1243" s="2" t="s">
        <v>34</v>
      </c>
      <c r="G1243" s="2" t="s">
        <v>669</v>
      </c>
      <c r="H1243" s="3">
        <v>45529.901388888888</v>
      </c>
      <c r="I1243" s="3">
        <v>45529.988194444442</v>
      </c>
      <c r="J1243" s="2">
        <v>90</v>
      </c>
      <c r="K1243" s="2">
        <v>125</v>
      </c>
      <c r="L1243" s="2">
        <v>1</v>
      </c>
      <c r="M1243" s="2" t="s">
        <v>29</v>
      </c>
      <c r="N1243" s="2">
        <v>6</v>
      </c>
      <c r="O1243" s="2">
        <v>480.4</v>
      </c>
      <c r="P1243" s="2">
        <f t="shared" si="95"/>
        <v>35</v>
      </c>
      <c r="Q1243" s="4">
        <f t="shared" si="96"/>
        <v>0.72</v>
      </c>
      <c r="R1243" s="2" t="str">
        <f t="shared" si="97"/>
        <v>Inefficient</v>
      </c>
      <c r="S1243" s="2" t="str">
        <f t="shared" si="98"/>
        <v>Very Long</v>
      </c>
      <c r="T1243" s="2" t="str">
        <f t="shared" si="99"/>
        <v>Major Delay</v>
      </c>
    </row>
    <row r="1244" spans="1:20" x14ac:dyDescent="0.35">
      <c r="A1244" s="2" t="s">
        <v>2671</v>
      </c>
      <c r="B1244" s="2" t="s">
        <v>31</v>
      </c>
      <c r="C1244" s="2" t="s">
        <v>2672</v>
      </c>
      <c r="D1244" s="2" t="s">
        <v>48</v>
      </c>
      <c r="E1244" s="2" t="s">
        <v>33</v>
      </c>
      <c r="F1244" s="2" t="s">
        <v>34</v>
      </c>
      <c r="G1244" s="2" t="s">
        <v>427</v>
      </c>
      <c r="H1244" s="3">
        <v>45628.895833333336</v>
      </c>
      <c r="I1244" s="3">
        <v>45628.957638888889</v>
      </c>
      <c r="J1244" s="2">
        <v>31</v>
      </c>
      <c r="K1244" s="2">
        <v>89</v>
      </c>
      <c r="L1244" s="2">
        <v>1</v>
      </c>
      <c r="M1244" s="2" t="s">
        <v>29</v>
      </c>
      <c r="N1244" s="2">
        <v>9</v>
      </c>
      <c r="O1244" s="2">
        <v>391.19</v>
      </c>
      <c r="P1244" s="2">
        <f t="shared" si="95"/>
        <v>58</v>
      </c>
      <c r="Q1244" s="4">
        <f t="shared" si="96"/>
        <v>0.34831460674157305</v>
      </c>
      <c r="R1244" s="2" t="str">
        <f t="shared" si="97"/>
        <v>Inefficient</v>
      </c>
      <c r="S1244" s="2" t="str">
        <f t="shared" si="98"/>
        <v>Long</v>
      </c>
      <c r="T1244" s="2" t="str">
        <f t="shared" si="99"/>
        <v>Major Delay</v>
      </c>
    </row>
    <row r="1245" spans="1:20" x14ac:dyDescent="0.35">
      <c r="A1245" s="2" t="s">
        <v>2673</v>
      </c>
      <c r="B1245" s="2" t="s">
        <v>51</v>
      </c>
      <c r="C1245" s="2" t="s">
        <v>2674</v>
      </c>
      <c r="D1245" s="2" t="s">
        <v>26</v>
      </c>
      <c r="E1245" s="2" t="s">
        <v>85</v>
      </c>
      <c r="F1245" s="2" t="s">
        <v>27</v>
      </c>
      <c r="G1245" s="2" t="s">
        <v>988</v>
      </c>
      <c r="H1245" s="3">
        <v>45501.328472222223</v>
      </c>
      <c r="I1245" s="3">
        <v>45501.435416666667</v>
      </c>
      <c r="J1245" s="2">
        <v>87</v>
      </c>
      <c r="K1245" s="2">
        <v>154</v>
      </c>
      <c r="L1245" s="2">
        <v>1</v>
      </c>
      <c r="M1245" s="2" t="s">
        <v>41</v>
      </c>
      <c r="N1245" s="2">
        <v>8</v>
      </c>
      <c r="O1245" s="2">
        <v>221.86</v>
      </c>
      <c r="P1245" s="2">
        <f t="shared" si="95"/>
        <v>67</v>
      </c>
      <c r="Q1245" s="4">
        <f t="shared" si="96"/>
        <v>0.56493506493506496</v>
      </c>
      <c r="R1245" s="2" t="str">
        <f t="shared" si="97"/>
        <v>Inefficient</v>
      </c>
      <c r="S1245" s="2" t="str">
        <f t="shared" si="98"/>
        <v>Very Long</v>
      </c>
      <c r="T1245" s="2" t="str">
        <f t="shared" si="99"/>
        <v>Major Delay</v>
      </c>
    </row>
    <row r="1246" spans="1:20" x14ac:dyDescent="0.35">
      <c r="A1246" s="2" t="s">
        <v>2675</v>
      </c>
      <c r="B1246" s="2" t="s">
        <v>31</v>
      </c>
      <c r="C1246" s="2" t="s">
        <v>2676</v>
      </c>
      <c r="D1246" s="2" t="s">
        <v>44</v>
      </c>
      <c r="E1246" s="2" t="s">
        <v>19</v>
      </c>
      <c r="F1246" s="2" t="s">
        <v>57</v>
      </c>
      <c r="G1246" s="2" t="s">
        <v>512</v>
      </c>
      <c r="H1246" s="3">
        <v>45634.679861111108</v>
      </c>
      <c r="I1246" s="3">
        <v>45634.870833333334</v>
      </c>
      <c r="J1246" s="2">
        <v>235</v>
      </c>
      <c r="K1246" s="2">
        <v>275</v>
      </c>
      <c r="L1246" s="2">
        <v>1</v>
      </c>
      <c r="M1246" s="2" t="s">
        <v>22</v>
      </c>
      <c r="N1246" s="2">
        <v>5</v>
      </c>
      <c r="O1246" s="2">
        <v>287.83</v>
      </c>
      <c r="P1246" s="2">
        <f t="shared" si="95"/>
        <v>40</v>
      </c>
      <c r="Q1246" s="4">
        <f t="shared" si="96"/>
        <v>0.8545454545454545</v>
      </c>
      <c r="R1246" s="2" t="str">
        <f t="shared" si="97"/>
        <v>Inefficient</v>
      </c>
      <c r="S1246" s="2" t="str">
        <f t="shared" si="98"/>
        <v>Very Long</v>
      </c>
      <c r="T1246" s="2" t="str">
        <f t="shared" si="99"/>
        <v>Major Delay</v>
      </c>
    </row>
    <row r="1247" spans="1:20" x14ac:dyDescent="0.35">
      <c r="A1247" s="2" t="s">
        <v>2677</v>
      </c>
      <c r="B1247" s="2" t="s">
        <v>24</v>
      </c>
      <c r="C1247" s="2" t="s">
        <v>2678</v>
      </c>
      <c r="D1247" s="2" t="s">
        <v>26</v>
      </c>
      <c r="E1247" s="2" t="s">
        <v>38</v>
      </c>
      <c r="F1247" s="2" t="s">
        <v>39</v>
      </c>
      <c r="G1247" s="2" t="s">
        <v>53</v>
      </c>
      <c r="H1247" s="3">
        <v>45646.363194444442</v>
      </c>
      <c r="I1247" s="3">
        <v>45646.56527777778</v>
      </c>
      <c r="J1247" s="2">
        <v>230</v>
      </c>
      <c r="K1247" s="2">
        <v>291</v>
      </c>
      <c r="L1247" s="2">
        <v>1</v>
      </c>
      <c r="M1247" s="2" t="s">
        <v>41</v>
      </c>
      <c r="N1247" s="2">
        <v>4</v>
      </c>
      <c r="O1247" s="2">
        <v>292.85000000000002</v>
      </c>
      <c r="P1247" s="2">
        <f t="shared" si="95"/>
        <v>61</v>
      </c>
      <c r="Q1247" s="4">
        <f t="shared" si="96"/>
        <v>0.7903780068728522</v>
      </c>
      <c r="R1247" s="2" t="str">
        <f t="shared" si="97"/>
        <v>Inefficient</v>
      </c>
      <c r="S1247" s="2" t="str">
        <f t="shared" si="98"/>
        <v>Very Long</v>
      </c>
      <c r="T1247" s="2" t="str">
        <f t="shared" si="99"/>
        <v>Major Delay</v>
      </c>
    </row>
    <row r="1248" spans="1:20" x14ac:dyDescent="0.35">
      <c r="A1248" s="2" t="s">
        <v>2679</v>
      </c>
      <c r="B1248" s="2" t="s">
        <v>51</v>
      </c>
      <c r="C1248" s="2" t="s">
        <v>2680</v>
      </c>
      <c r="D1248" s="2" t="s">
        <v>44</v>
      </c>
      <c r="E1248" s="2" t="s">
        <v>85</v>
      </c>
      <c r="F1248" s="2" t="s">
        <v>20</v>
      </c>
      <c r="G1248" s="2" t="s">
        <v>265</v>
      </c>
      <c r="H1248" s="3">
        <v>45556.601388888892</v>
      </c>
      <c r="I1248" s="3">
        <v>45556.676388888889</v>
      </c>
      <c r="J1248" s="2">
        <v>85</v>
      </c>
      <c r="K1248" s="2">
        <v>108</v>
      </c>
      <c r="L1248" s="2">
        <v>1</v>
      </c>
      <c r="M1248" s="2" t="s">
        <v>29</v>
      </c>
      <c r="N1248" s="2">
        <v>4</v>
      </c>
      <c r="O1248" s="2">
        <v>440.49</v>
      </c>
      <c r="P1248" s="2">
        <f t="shared" si="95"/>
        <v>23</v>
      </c>
      <c r="Q1248" s="4">
        <f t="shared" si="96"/>
        <v>0.78703703703703709</v>
      </c>
      <c r="R1248" s="2" t="str">
        <f t="shared" si="97"/>
        <v>Inefficient</v>
      </c>
      <c r="S1248" s="2" t="str">
        <f t="shared" si="98"/>
        <v>Long</v>
      </c>
      <c r="T1248" s="2" t="str">
        <f t="shared" si="99"/>
        <v>Minor Delay</v>
      </c>
    </row>
    <row r="1249" spans="1:20" x14ac:dyDescent="0.35">
      <c r="A1249" s="2" t="s">
        <v>2681</v>
      </c>
      <c r="B1249" s="2" t="s">
        <v>31</v>
      </c>
      <c r="C1249" s="2" t="s">
        <v>2682</v>
      </c>
      <c r="D1249" s="2" t="s">
        <v>56</v>
      </c>
      <c r="E1249" s="2" t="s">
        <v>19</v>
      </c>
      <c r="F1249" s="2" t="s">
        <v>39</v>
      </c>
      <c r="G1249" s="2" t="s">
        <v>173</v>
      </c>
      <c r="H1249" s="3">
        <v>45326.97152777778</v>
      </c>
      <c r="I1249" s="3">
        <v>45327.045138888891</v>
      </c>
      <c r="J1249" s="2">
        <v>60</v>
      </c>
      <c r="K1249" s="2">
        <v>106</v>
      </c>
      <c r="L1249" s="2">
        <v>1</v>
      </c>
      <c r="M1249" s="2" t="s">
        <v>22</v>
      </c>
      <c r="N1249" s="2">
        <v>3</v>
      </c>
      <c r="O1249" s="2">
        <v>441.04</v>
      </c>
      <c r="P1249" s="2">
        <f t="shared" si="95"/>
        <v>46</v>
      </c>
      <c r="Q1249" s="4">
        <f t="shared" si="96"/>
        <v>0.56603773584905659</v>
      </c>
      <c r="R1249" s="2" t="str">
        <f t="shared" si="97"/>
        <v>Inefficient</v>
      </c>
      <c r="S1249" s="2" t="str">
        <f t="shared" si="98"/>
        <v>Long</v>
      </c>
      <c r="T1249" s="2" t="str">
        <f t="shared" si="99"/>
        <v>Major Delay</v>
      </c>
    </row>
    <row r="1250" spans="1:20" x14ac:dyDescent="0.35">
      <c r="A1250" s="2" t="s">
        <v>2683</v>
      </c>
      <c r="B1250" s="2" t="s">
        <v>51</v>
      </c>
      <c r="C1250" s="2" t="s">
        <v>2684</v>
      </c>
      <c r="D1250" s="2" t="s">
        <v>18</v>
      </c>
      <c r="E1250" s="2" t="s">
        <v>19</v>
      </c>
      <c r="F1250" s="2" t="s">
        <v>57</v>
      </c>
      <c r="G1250" s="2" t="s">
        <v>228</v>
      </c>
      <c r="H1250" s="3">
        <v>45582.561111111114</v>
      </c>
      <c r="I1250" s="3">
        <v>45582.759027777778</v>
      </c>
      <c r="J1250" s="2">
        <v>209</v>
      </c>
      <c r="K1250" s="2">
        <v>285</v>
      </c>
      <c r="L1250" s="2">
        <v>1</v>
      </c>
      <c r="M1250" s="2" t="s">
        <v>41</v>
      </c>
      <c r="N1250" s="2">
        <v>8</v>
      </c>
      <c r="O1250" s="2">
        <v>172.66</v>
      </c>
      <c r="P1250" s="2">
        <f t="shared" si="95"/>
        <v>76</v>
      </c>
      <c r="Q1250" s="4">
        <f t="shared" si="96"/>
        <v>0.73333333333333328</v>
      </c>
      <c r="R1250" s="2" t="str">
        <f t="shared" si="97"/>
        <v>Inefficient</v>
      </c>
      <c r="S1250" s="2" t="str">
        <f t="shared" si="98"/>
        <v>Very Long</v>
      </c>
      <c r="T1250" s="2" t="str">
        <f t="shared" si="99"/>
        <v>Major Delay</v>
      </c>
    </row>
    <row r="1251" spans="1:20" x14ac:dyDescent="0.35">
      <c r="A1251" s="2" t="s">
        <v>2685</v>
      </c>
      <c r="B1251" s="2" t="s">
        <v>63</v>
      </c>
      <c r="C1251" s="2" t="s">
        <v>2686</v>
      </c>
      <c r="D1251" s="2" t="s">
        <v>56</v>
      </c>
      <c r="E1251" s="2" t="s">
        <v>85</v>
      </c>
      <c r="F1251" s="2" t="s">
        <v>39</v>
      </c>
      <c r="G1251" s="2" t="s">
        <v>1730</v>
      </c>
      <c r="H1251" s="3">
        <v>45587.029166666667</v>
      </c>
      <c r="I1251" s="3">
        <v>45587.125</v>
      </c>
      <c r="J1251" s="2">
        <v>73</v>
      </c>
      <c r="K1251" s="2">
        <v>138</v>
      </c>
      <c r="L1251" s="2">
        <v>1</v>
      </c>
      <c r="M1251" s="2" t="s">
        <v>29</v>
      </c>
      <c r="N1251" s="2">
        <v>8</v>
      </c>
      <c r="O1251" s="2">
        <v>141.5</v>
      </c>
      <c r="P1251" s="2">
        <f t="shared" si="95"/>
        <v>65</v>
      </c>
      <c r="Q1251" s="4">
        <f t="shared" si="96"/>
        <v>0.52898550724637683</v>
      </c>
      <c r="R1251" s="2" t="str">
        <f t="shared" si="97"/>
        <v>Inefficient</v>
      </c>
      <c r="S1251" s="2" t="str">
        <f t="shared" si="98"/>
        <v>Very Long</v>
      </c>
      <c r="T1251" s="2" t="str">
        <f t="shared" si="99"/>
        <v>Major Delay</v>
      </c>
    </row>
    <row r="1252" spans="1:20" x14ac:dyDescent="0.35">
      <c r="A1252" s="2" t="s">
        <v>2687</v>
      </c>
      <c r="B1252" s="2" t="s">
        <v>31</v>
      </c>
      <c r="C1252" s="2" t="s">
        <v>2688</v>
      </c>
      <c r="D1252" s="2" t="s">
        <v>26</v>
      </c>
      <c r="E1252" s="2" t="s">
        <v>33</v>
      </c>
      <c r="F1252" s="2" t="s">
        <v>34</v>
      </c>
      <c r="G1252" s="2" t="s">
        <v>251</v>
      </c>
      <c r="H1252" s="3">
        <v>45549.300694444442</v>
      </c>
      <c r="I1252" s="3">
        <v>45549.481944444444</v>
      </c>
      <c r="J1252" s="2">
        <v>157</v>
      </c>
      <c r="K1252" s="2">
        <v>261</v>
      </c>
      <c r="L1252" s="2">
        <v>1</v>
      </c>
      <c r="M1252" s="2" t="s">
        <v>22</v>
      </c>
      <c r="N1252" s="2">
        <v>1</v>
      </c>
      <c r="O1252" s="2">
        <v>366.22</v>
      </c>
      <c r="P1252" s="2">
        <f t="shared" si="95"/>
        <v>104</v>
      </c>
      <c r="Q1252" s="4">
        <f t="shared" si="96"/>
        <v>0.6015325670498084</v>
      </c>
      <c r="R1252" s="2" t="str">
        <f t="shared" si="97"/>
        <v>Inefficient</v>
      </c>
      <c r="S1252" s="2" t="str">
        <f t="shared" si="98"/>
        <v>Very Long</v>
      </c>
      <c r="T1252" s="2" t="str">
        <f t="shared" si="99"/>
        <v>Major Delay</v>
      </c>
    </row>
    <row r="1253" spans="1:20" x14ac:dyDescent="0.35">
      <c r="A1253" s="2" t="s">
        <v>2689</v>
      </c>
      <c r="B1253" s="2" t="s">
        <v>16</v>
      </c>
      <c r="C1253" s="2" t="s">
        <v>2690</v>
      </c>
      <c r="D1253" s="2" t="s">
        <v>48</v>
      </c>
      <c r="E1253" s="2" t="s">
        <v>85</v>
      </c>
      <c r="F1253" s="2" t="s">
        <v>57</v>
      </c>
      <c r="G1253" s="2" t="s">
        <v>415</v>
      </c>
      <c r="H1253" s="3">
        <v>45394.175694444442</v>
      </c>
      <c r="I1253" s="3">
        <v>45394.28125</v>
      </c>
      <c r="J1253" s="2">
        <v>122</v>
      </c>
      <c r="K1253" s="2">
        <v>152</v>
      </c>
      <c r="L1253" s="2">
        <v>1</v>
      </c>
      <c r="M1253" s="2" t="s">
        <v>41</v>
      </c>
      <c r="N1253" s="2">
        <v>3</v>
      </c>
      <c r="O1253" s="2">
        <v>168.14</v>
      </c>
      <c r="P1253" s="2">
        <f t="shared" si="95"/>
        <v>30</v>
      </c>
      <c r="Q1253" s="4">
        <f t="shared" si="96"/>
        <v>0.80263157894736847</v>
      </c>
      <c r="R1253" s="2" t="str">
        <f t="shared" si="97"/>
        <v>Inefficient</v>
      </c>
      <c r="S1253" s="2" t="str">
        <f t="shared" si="98"/>
        <v>Very Long</v>
      </c>
      <c r="T1253" s="2" t="str">
        <f t="shared" si="99"/>
        <v>Minor Delay</v>
      </c>
    </row>
    <row r="1254" spans="1:20" x14ac:dyDescent="0.35">
      <c r="A1254" s="2" t="s">
        <v>2691</v>
      </c>
      <c r="B1254" s="2" t="s">
        <v>51</v>
      </c>
      <c r="C1254" s="2" t="s">
        <v>2692</v>
      </c>
      <c r="D1254" s="2" t="s">
        <v>56</v>
      </c>
      <c r="E1254" s="2" t="s">
        <v>38</v>
      </c>
      <c r="F1254" s="2" t="s">
        <v>20</v>
      </c>
      <c r="G1254" s="2" t="s">
        <v>785</v>
      </c>
      <c r="H1254" s="3">
        <v>45503.604166666664</v>
      </c>
      <c r="I1254" s="3">
        <v>45503.731249999997</v>
      </c>
      <c r="J1254" s="2">
        <v>143</v>
      </c>
      <c r="K1254" s="2">
        <v>183</v>
      </c>
      <c r="L1254" s="2">
        <v>1</v>
      </c>
      <c r="M1254" s="2" t="s">
        <v>41</v>
      </c>
      <c r="N1254" s="2">
        <v>2</v>
      </c>
      <c r="O1254" s="2">
        <v>152.86000000000001</v>
      </c>
      <c r="P1254" s="2">
        <f t="shared" si="95"/>
        <v>40</v>
      </c>
      <c r="Q1254" s="4">
        <f t="shared" si="96"/>
        <v>0.78142076502732238</v>
      </c>
      <c r="R1254" s="2" t="str">
        <f t="shared" si="97"/>
        <v>Inefficient</v>
      </c>
      <c r="S1254" s="2" t="str">
        <f t="shared" si="98"/>
        <v>Very Long</v>
      </c>
      <c r="T1254" s="2" t="str">
        <f t="shared" si="99"/>
        <v>Major Delay</v>
      </c>
    </row>
    <row r="1255" spans="1:20" x14ac:dyDescent="0.35">
      <c r="A1255" s="2" t="s">
        <v>2693</v>
      </c>
      <c r="B1255" s="2" t="s">
        <v>63</v>
      </c>
      <c r="C1255" s="2" t="s">
        <v>2694</v>
      </c>
      <c r="D1255" s="2" t="s">
        <v>56</v>
      </c>
      <c r="E1255" s="2" t="s">
        <v>85</v>
      </c>
      <c r="F1255" s="2" t="s">
        <v>39</v>
      </c>
      <c r="G1255" s="2" t="s">
        <v>94</v>
      </c>
      <c r="H1255" s="3">
        <v>45578.451388888891</v>
      </c>
      <c r="I1255" s="3">
        <v>45578.619444444441</v>
      </c>
      <c r="J1255" s="2">
        <v>166</v>
      </c>
      <c r="K1255" s="2">
        <v>242</v>
      </c>
      <c r="L1255" s="2">
        <v>1</v>
      </c>
      <c r="M1255" s="2" t="s">
        <v>29</v>
      </c>
      <c r="N1255" s="2">
        <v>9</v>
      </c>
      <c r="O1255" s="2">
        <v>264.08999999999997</v>
      </c>
      <c r="P1255" s="2">
        <f t="shared" si="95"/>
        <v>76</v>
      </c>
      <c r="Q1255" s="4">
        <f t="shared" si="96"/>
        <v>0.68595041322314054</v>
      </c>
      <c r="R1255" s="2" t="str">
        <f t="shared" si="97"/>
        <v>Inefficient</v>
      </c>
      <c r="S1255" s="2" t="str">
        <f t="shared" si="98"/>
        <v>Very Long</v>
      </c>
      <c r="T1255" s="2" t="str">
        <f t="shared" si="99"/>
        <v>Major Delay</v>
      </c>
    </row>
    <row r="1256" spans="1:20" x14ac:dyDescent="0.35">
      <c r="A1256" s="2" t="s">
        <v>2695</v>
      </c>
      <c r="B1256" s="2" t="s">
        <v>63</v>
      </c>
      <c r="C1256" s="2" t="s">
        <v>2696</v>
      </c>
      <c r="D1256" s="2" t="s">
        <v>44</v>
      </c>
      <c r="E1256" s="2" t="s">
        <v>19</v>
      </c>
      <c r="F1256" s="2" t="s">
        <v>27</v>
      </c>
      <c r="G1256" s="2" t="s">
        <v>234</v>
      </c>
      <c r="H1256" s="3">
        <v>45355.033333333333</v>
      </c>
      <c r="I1256" s="3">
        <v>45355.113888888889</v>
      </c>
      <c r="J1256" s="2">
        <v>84</v>
      </c>
      <c r="K1256" s="2">
        <v>116</v>
      </c>
      <c r="L1256" s="2">
        <v>1</v>
      </c>
      <c r="M1256" s="2" t="s">
        <v>29</v>
      </c>
      <c r="N1256" s="2">
        <v>10</v>
      </c>
      <c r="O1256" s="2">
        <v>254.34</v>
      </c>
      <c r="P1256" s="2">
        <f t="shared" si="95"/>
        <v>32</v>
      </c>
      <c r="Q1256" s="4">
        <f t="shared" si="96"/>
        <v>0.72413793103448276</v>
      </c>
      <c r="R1256" s="2" t="str">
        <f t="shared" si="97"/>
        <v>Inefficient</v>
      </c>
      <c r="S1256" s="2" t="str">
        <f t="shared" si="98"/>
        <v>Long</v>
      </c>
      <c r="T1256" s="2" t="str">
        <f t="shared" si="99"/>
        <v>Major Delay</v>
      </c>
    </row>
    <row r="1257" spans="1:20" x14ac:dyDescent="0.35">
      <c r="A1257" s="2" t="s">
        <v>2697</v>
      </c>
      <c r="B1257" s="2" t="s">
        <v>16</v>
      </c>
      <c r="C1257" s="2" t="s">
        <v>2698</v>
      </c>
      <c r="D1257" s="2" t="s">
        <v>48</v>
      </c>
      <c r="E1257" s="2" t="s">
        <v>19</v>
      </c>
      <c r="F1257" s="2" t="s">
        <v>39</v>
      </c>
      <c r="G1257" s="2" t="s">
        <v>343</v>
      </c>
      <c r="H1257" s="3">
        <v>45409.158333333333</v>
      </c>
      <c r="I1257" s="3">
        <v>45409.311111111114</v>
      </c>
      <c r="J1257" s="2">
        <v>198</v>
      </c>
      <c r="K1257" s="2">
        <v>220</v>
      </c>
      <c r="L1257" s="2">
        <v>1</v>
      </c>
      <c r="M1257" s="2" t="s">
        <v>29</v>
      </c>
      <c r="N1257" s="2">
        <v>3</v>
      </c>
      <c r="O1257" s="2">
        <v>392.33</v>
      </c>
      <c r="P1257" s="2">
        <f t="shared" si="95"/>
        <v>22</v>
      </c>
      <c r="Q1257" s="4">
        <f t="shared" si="96"/>
        <v>0.9</v>
      </c>
      <c r="R1257" s="2" t="str">
        <f t="shared" si="97"/>
        <v>Inefficient</v>
      </c>
      <c r="S1257" s="2" t="str">
        <f t="shared" si="98"/>
        <v>Very Long</v>
      </c>
      <c r="T1257" s="2" t="str">
        <f t="shared" si="99"/>
        <v>Minor Delay</v>
      </c>
    </row>
    <row r="1258" spans="1:20" x14ac:dyDescent="0.35">
      <c r="A1258" s="2" t="s">
        <v>2699</v>
      </c>
      <c r="B1258" s="2" t="s">
        <v>24</v>
      </c>
      <c r="C1258" s="2" t="s">
        <v>2700</v>
      </c>
      <c r="D1258" s="2" t="s">
        <v>26</v>
      </c>
      <c r="E1258" s="2" t="s">
        <v>19</v>
      </c>
      <c r="F1258" s="2" t="s">
        <v>34</v>
      </c>
      <c r="G1258" s="2" t="s">
        <v>114</v>
      </c>
      <c r="H1258" s="3">
        <v>45306.436805555553</v>
      </c>
      <c r="I1258" s="3">
        <v>45306.509722222225</v>
      </c>
      <c r="J1258" s="2">
        <v>107</v>
      </c>
      <c r="K1258" s="2">
        <v>105</v>
      </c>
      <c r="L1258" s="2">
        <v>0</v>
      </c>
      <c r="M1258" s="2" t="s">
        <v>41</v>
      </c>
      <c r="N1258" s="2">
        <v>3</v>
      </c>
      <c r="O1258" s="2">
        <v>351.63</v>
      </c>
      <c r="P1258" s="2">
        <f t="shared" si="95"/>
        <v>-2</v>
      </c>
      <c r="Q1258" s="4">
        <f t="shared" si="96"/>
        <v>1.019047619047619</v>
      </c>
      <c r="R1258" s="2" t="str">
        <f t="shared" si="97"/>
        <v>Efficient</v>
      </c>
      <c r="S1258" s="2" t="str">
        <f t="shared" si="98"/>
        <v>Long</v>
      </c>
      <c r="T1258" s="2" t="str">
        <f t="shared" si="99"/>
        <v>On Time</v>
      </c>
    </row>
    <row r="1259" spans="1:20" x14ac:dyDescent="0.35">
      <c r="A1259" s="2" t="s">
        <v>2701</v>
      </c>
      <c r="B1259" s="2" t="s">
        <v>63</v>
      </c>
      <c r="C1259" s="2" t="s">
        <v>2702</v>
      </c>
      <c r="D1259" s="2" t="s">
        <v>18</v>
      </c>
      <c r="E1259" s="2" t="s">
        <v>33</v>
      </c>
      <c r="F1259" s="2" t="s">
        <v>27</v>
      </c>
      <c r="G1259" s="2" t="s">
        <v>476</v>
      </c>
      <c r="H1259" s="3">
        <v>45489.39166666667</v>
      </c>
      <c r="I1259" s="3">
        <v>45489.480555555558</v>
      </c>
      <c r="J1259" s="2">
        <v>106</v>
      </c>
      <c r="K1259" s="2">
        <v>128</v>
      </c>
      <c r="L1259" s="2">
        <v>1</v>
      </c>
      <c r="M1259" s="2" t="s">
        <v>41</v>
      </c>
      <c r="N1259" s="2">
        <v>9</v>
      </c>
      <c r="O1259" s="2">
        <v>490.75</v>
      </c>
      <c r="P1259" s="2">
        <f t="shared" si="95"/>
        <v>22</v>
      </c>
      <c r="Q1259" s="4">
        <f t="shared" si="96"/>
        <v>0.828125</v>
      </c>
      <c r="R1259" s="2" t="str">
        <f t="shared" si="97"/>
        <v>Inefficient</v>
      </c>
      <c r="S1259" s="2" t="str">
        <f t="shared" si="98"/>
        <v>Very Long</v>
      </c>
      <c r="T1259" s="2" t="str">
        <f t="shared" si="99"/>
        <v>Minor Delay</v>
      </c>
    </row>
    <row r="1260" spans="1:20" x14ac:dyDescent="0.35">
      <c r="A1260" s="2" t="s">
        <v>2703</v>
      </c>
      <c r="B1260" s="2" t="s">
        <v>24</v>
      </c>
      <c r="C1260" s="2" t="s">
        <v>2704</v>
      </c>
      <c r="D1260" s="2" t="s">
        <v>18</v>
      </c>
      <c r="E1260" s="2" t="s">
        <v>85</v>
      </c>
      <c r="F1260" s="2" t="s">
        <v>20</v>
      </c>
      <c r="G1260" s="2" t="s">
        <v>754</v>
      </c>
      <c r="H1260" s="3">
        <v>45583.0625</v>
      </c>
      <c r="I1260" s="3">
        <v>45583.236805555556</v>
      </c>
      <c r="J1260" s="2">
        <v>203</v>
      </c>
      <c r="K1260" s="2">
        <v>251</v>
      </c>
      <c r="L1260" s="2">
        <v>1</v>
      </c>
      <c r="M1260" s="2" t="s">
        <v>41</v>
      </c>
      <c r="N1260" s="2">
        <v>4</v>
      </c>
      <c r="O1260" s="2">
        <v>216.37</v>
      </c>
      <c r="P1260" s="2">
        <f t="shared" si="95"/>
        <v>48</v>
      </c>
      <c r="Q1260" s="4">
        <f t="shared" si="96"/>
        <v>0.80876494023904377</v>
      </c>
      <c r="R1260" s="2" t="str">
        <f t="shared" si="97"/>
        <v>Inefficient</v>
      </c>
      <c r="S1260" s="2" t="str">
        <f t="shared" si="98"/>
        <v>Very Long</v>
      </c>
      <c r="T1260" s="2" t="str">
        <f t="shared" si="99"/>
        <v>Major Delay</v>
      </c>
    </row>
    <row r="1261" spans="1:20" x14ac:dyDescent="0.35">
      <c r="A1261" s="2" t="s">
        <v>2705</v>
      </c>
      <c r="B1261" s="2" t="s">
        <v>63</v>
      </c>
      <c r="C1261" s="2" t="s">
        <v>2706</v>
      </c>
      <c r="D1261" s="2" t="s">
        <v>56</v>
      </c>
      <c r="E1261" s="2" t="s">
        <v>19</v>
      </c>
      <c r="F1261" s="2" t="s">
        <v>39</v>
      </c>
      <c r="G1261" s="2" t="s">
        <v>669</v>
      </c>
      <c r="H1261" s="3">
        <v>45550.381249999999</v>
      </c>
      <c r="I1261" s="3">
        <v>45550.533333333333</v>
      </c>
      <c r="J1261" s="2">
        <v>176</v>
      </c>
      <c r="K1261" s="2">
        <v>219</v>
      </c>
      <c r="L1261" s="2">
        <v>1</v>
      </c>
      <c r="M1261" s="2" t="s">
        <v>41</v>
      </c>
      <c r="N1261" s="2">
        <v>6</v>
      </c>
      <c r="O1261" s="2">
        <v>396.82</v>
      </c>
      <c r="P1261" s="2">
        <f t="shared" si="95"/>
        <v>43</v>
      </c>
      <c r="Q1261" s="4">
        <f t="shared" si="96"/>
        <v>0.80365296803652964</v>
      </c>
      <c r="R1261" s="2" t="str">
        <f t="shared" si="97"/>
        <v>Inefficient</v>
      </c>
      <c r="S1261" s="2" t="str">
        <f t="shared" si="98"/>
        <v>Very Long</v>
      </c>
      <c r="T1261" s="2" t="str">
        <f t="shared" si="99"/>
        <v>Major Delay</v>
      </c>
    </row>
    <row r="1262" spans="1:20" x14ac:dyDescent="0.35">
      <c r="A1262" s="2" t="s">
        <v>2707</v>
      </c>
      <c r="B1262" s="2" t="s">
        <v>24</v>
      </c>
      <c r="C1262" s="2" t="s">
        <v>2708</v>
      </c>
      <c r="D1262" s="2" t="s">
        <v>44</v>
      </c>
      <c r="E1262" s="2" t="s">
        <v>19</v>
      </c>
      <c r="F1262" s="2" t="s">
        <v>20</v>
      </c>
      <c r="G1262" s="2" t="s">
        <v>615</v>
      </c>
      <c r="H1262" s="3">
        <v>45527.042361111111</v>
      </c>
      <c r="I1262" s="3">
        <v>45527.107638888891</v>
      </c>
      <c r="J1262" s="2">
        <v>37</v>
      </c>
      <c r="K1262" s="2">
        <v>94</v>
      </c>
      <c r="L1262" s="2">
        <v>1</v>
      </c>
      <c r="M1262" s="2" t="s">
        <v>22</v>
      </c>
      <c r="N1262" s="2">
        <v>7</v>
      </c>
      <c r="O1262" s="2">
        <v>59.23</v>
      </c>
      <c r="P1262" s="2">
        <f t="shared" si="95"/>
        <v>57</v>
      </c>
      <c r="Q1262" s="4">
        <f t="shared" si="96"/>
        <v>0.39361702127659576</v>
      </c>
      <c r="R1262" s="2" t="str">
        <f t="shared" si="97"/>
        <v>Inefficient</v>
      </c>
      <c r="S1262" s="2" t="str">
        <f t="shared" si="98"/>
        <v>Long</v>
      </c>
      <c r="T1262" s="2" t="str">
        <f t="shared" si="99"/>
        <v>Major Delay</v>
      </c>
    </row>
    <row r="1263" spans="1:20" x14ac:dyDescent="0.35">
      <c r="A1263" s="2" t="s">
        <v>2709</v>
      </c>
      <c r="B1263" s="2" t="s">
        <v>16</v>
      </c>
      <c r="C1263" s="2" t="s">
        <v>2710</v>
      </c>
      <c r="D1263" s="2" t="s">
        <v>48</v>
      </c>
      <c r="E1263" s="2" t="s">
        <v>38</v>
      </c>
      <c r="F1263" s="2" t="s">
        <v>57</v>
      </c>
      <c r="G1263" s="2" t="s">
        <v>383</v>
      </c>
      <c r="H1263" s="3">
        <v>45371.698611111111</v>
      </c>
      <c r="I1263" s="3">
        <v>45371.739583333336</v>
      </c>
      <c r="J1263" s="2">
        <v>35</v>
      </c>
      <c r="K1263" s="2">
        <v>59</v>
      </c>
      <c r="L1263" s="2">
        <v>1</v>
      </c>
      <c r="M1263" s="2" t="s">
        <v>22</v>
      </c>
      <c r="N1263" s="2">
        <v>6</v>
      </c>
      <c r="O1263" s="2">
        <v>429.2</v>
      </c>
      <c r="P1263" s="2">
        <f t="shared" si="95"/>
        <v>24</v>
      </c>
      <c r="Q1263" s="4">
        <f t="shared" si="96"/>
        <v>0.59322033898305082</v>
      </c>
      <c r="R1263" s="2" t="str">
        <f t="shared" si="97"/>
        <v>Inefficient</v>
      </c>
      <c r="S1263" s="2" t="str">
        <f t="shared" si="98"/>
        <v>Medium</v>
      </c>
      <c r="T1263" s="2" t="str">
        <f t="shared" si="99"/>
        <v>Minor Delay</v>
      </c>
    </row>
    <row r="1264" spans="1:20" x14ac:dyDescent="0.35">
      <c r="A1264" s="2" t="s">
        <v>2711</v>
      </c>
      <c r="B1264" s="2" t="s">
        <v>16</v>
      </c>
      <c r="C1264" s="2" t="s">
        <v>2712</v>
      </c>
      <c r="D1264" s="2" t="s">
        <v>18</v>
      </c>
      <c r="E1264" s="2" t="s">
        <v>33</v>
      </c>
      <c r="F1264" s="2" t="s">
        <v>57</v>
      </c>
      <c r="G1264" s="2" t="s">
        <v>321</v>
      </c>
      <c r="H1264" s="3">
        <v>45535.425000000003</v>
      </c>
      <c r="I1264" s="3">
        <v>45535.536805555559</v>
      </c>
      <c r="J1264" s="2">
        <v>53</v>
      </c>
      <c r="K1264" s="2">
        <v>161</v>
      </c>
      <c r="L1264" s="2">
        <v>1</v>
      </c>
      <c r="M1264" s="2" t="s">
        <v>41</v>
      </c>
      <c r="N1264" s="2">
        <v>6</v>
      </c>
      <c r="O1264" s="2">
        <v>388.09</v>
      </c>
      <c r="P1264" s="2">
        <f t="shared" si="95"/>
        <v>108</v>
      </c>
      <c r="Q1264" s="4">
        <f t="shared" si="96"/>
        <v>0.32919254658385094</v>
      </c>
      <c r="R1264" s="2" t="str">
        <f t="shared" si="97"/>
        <v>Inefficient</v>
      </c>
      <c r="S1264" s="2" t="str">
        <f t="shared" si="98"/>
        <v>Very Long</v>
      </c>
      <c r="T1264" s="2" t="str">
        <f t="shared" si="99"/>
        <v>Major Delay</v>
      </c>
    </row>
    <row r="1265" spans="1:20" x14ac:dyDescent="0.35">
      <c r="A1265" s="2" t="s">
        <v>2713</v>
      </c>
      <c r="B1265" s="2" t="s">
        <v>31</v>
      </c>
      <c r="C1265" s="2" t="s">
        <v>2714</v>
      </c>
      <c r="D1265" s="2" t="s">
        <v>26</v>
      </c>
      <c r="E1265" s="2" t="s">
        <v>33</v>
      </c>
      <c r="F1265" s="2" t="s">
        <v>27</v>
      </c>
      <c r="G1265" s="2" t="s">
        <v>161</v>
      </c>
      <c r="H1265" s="3">
        <v>45517.22152777778</v>
      </c>
      <c r="I1265" s="3">
        <v>45517.334027777775</v>
      </c>
      <c r="J1265" s="2">
        <v>42</v>
      </c>
      <c r="K1265" s="2">
        <v>162</v>
      </c>
      <c r="L1265" s="2">
        <v>1</v>
      </c>
      <c r="M1265" s="2" t="s">
        <v>22</v>
      </c>
      <c r="N1265" s="2">
        <v>8</v>
      </c>
      <c r="O1265" s="2">
        <v>91.19</v>
      </c>
      <c r="P1265" s="2">
        <f t="shared" si="95"/>
        <v>120</v>
      </c>
      <c r="Q1265" s="4">
        <f t="shared" si="96"/>
        <v>0.25925925925925924</v>
      </c>
      <c r="R1265" s="2" t="str">
        <f t="shared" si="97"/>
        <v>Inefficient</v>
      </c>
      <c r="S1265" s="2" t="str">
        <f t="shared" si="98"/>
        <v>Very Long</v>
      </c>
      <c r="T1265" s="2" t="str">
        <f t="shared" si="99"/>
        <v>Major Delay</v>
      </c>
    </row>
    <row r="1266" spans="1:20" x14ac:dyDescent="0.35">
      <c r="A1266" s="2" t="s">
        <v>2715</v>
      </c>
      <c r="B1266" s="2" t="s">
        <v>31</v>
      </c>
      <c r="C1266" s="2" t="s">
        <v>2716</v>
      </c>
      <c r="D1266" s="2" t="s">
        <v>26</v>
      </c>
      <c r="E1266" s="2" t="s">
        <v>38</v>
      </c>
      <c r="F1266" s="2" t="s">
        <v>34</v>
      </c>
      <c r="G1266" s="2" t="s">
        <v>754</v>
      </c>
      <c r="H1266" s="3">
        <v>45472.689583333333</v>
      </c>
      <c r="I1266" s="3">
        <v>45472.777777777781</v>
      </c>
      <c r="J1266" s="2">
        <v>119</v>
      </c>
      <c r="K1266" s="2">
        <v>127</v>
      </c>
      <c r="L1266" s="2">
        <v>1</v>
      </c>
      <c r="M1266" s="2" t="s">
        <v>22</v>
      </c>
      <c r="N1266" s="2">
        <v>5</v>
      </c>
      <c r="O1266" s="2">
        <v>72.56</v>
      </c>
      <c r="P1266" s="2">
        <f t="shared" si="95"/>
        <v>8</v>
      </c>
      <c r="Q1266" s="4">
        <f t="shared" si="96"/>
        <v>0.93700787401574803</v>
      </c>
      <c r="R1266" s="2" t="str">
        <f t="shared" si="97"/>
        <v>Inefficient</v>
      </c>
      <c r="S1266" s="2" t="str">
        <f t="shared" si="98"/>
        <v>Very Long</v>
      </c>
      <c r="T1266" s="2" t="str">
        <f t="shared" si="99"/>
        <v>Minor Delay</v>
      </c>
    </row>
    <row r="1267" spans="1:20" x14ac:dyDescent="0.35">
      <c r="A1267" s="2" t="s">
        <v>2717</v>
      </c>
      <c r="B1267" s="2" t="s">
        <v>63</v>
      </c>
      <c r="C1267" s="2" t="s">
        <v>2718</v>
      </c>
      <c r="D1267" s="2" t="s">
        <v>48</v>
      </c>
      <c r="E1267" s="2" t="s">
        <v>85</v>
      </c>
      <c r="F1267" s="2" t="s">
        <v>27</v>
      </c>
      <c r="G1267" s="2" t="s">
        <v>364</v>
      </c>
      <c r="H1267" s="3">
        <v>45342.614583333336</v>
      </c>
      <c r="I1267" s="3">
        <v>45342.804166666669</v>
      </c>
      <c r="J1267" s="2">
        <v>170</v>
      </c>
      <c r="K1267" s="2">
        <v>273</v>
      </c>
      <c r="L1267" s="2">
        <v>1</v>
      </c>
      <c r="M1267" s="2" t="s">
        <v>29</v>
      </c>
      <c r="N1267" s="2">
        <v>3</v>
      </c>
      <c r="O1267" s="2">
        <v>181.51</v>
      </c>
      <c r="P1267" s="2">
        <f t="shared" si="95"/>
        <v>103</v>
      </c>
      <c r="Q1267" s="4">
        <f t="shared" si="96"/>
        <v>0.62271062271062272</v>
      </c>
      <c r="R1267" s="2" t="str">
        <f t="shared" si="97"/>
        <v>Inefficient</v>
      </c>
      <c r="S1267" s="2" t="str">
        <f t="shared" si="98"/>
        <v>Very Long</v>
      </c>
      <c r="T1267" s="2" t="str">
        <f t="shared" si="99"/>
        <v>Major Delay</v>
      </c>
    </row>
    <row r="1268" spans="1:20" x14ac:dyDescent="0.35">
      <c r="A1268" s="2" t="s">
        <v>2719</v>
      </c>
      <c r="B1268" s="2" t="s">
        <v>63</v>
      </c>
      <c r="C1268" s="2" t="s">
        <v>2720</v>
      </c>
      <c r="D1268" s="2" t="s">
        <v>26</v>
      </c>
      <c r="E1268" s="2" t="s">
        <v>33</v>
      </c>
      <c r="F1268" s="2" t="s">
        <v>57</v>
      </c>
      <c r="G1268" s="2" t="s">
        <v>676</v>
      </c>
      <c r="H1268" s="3">
        <v>45370.67083333333</v>
      </c>
      <c r="I1268" s="3">
        <v>45370.859027777777</v>
      </c>
      <c r="J1268" s="2">
        <v>171</v>
      </c>
      <c r="K1268" s="2">
        <v>271</v>
      </c>
      <c r="L1268" s="2">
        <v>1</v>
      </c>
      <c r="M1268" s="2" t="s">
        <v>29</v>
      </c>
      <c r="N1268" s="2">
        <v>8</v>
      </c>
      <c r="O1268" s="2">
        <v>444.1</v>
      </c>
      <c r="P1268" s="2">
        <f t="shared" si="95"/>
        <v>100</v>
      </c>
      <c r="Q1268" s="4">
        <f t="shared" si="96"/>
        <v>0.63099630996309963</v>
      </c>
      <c r="R1268" s="2" t="str">
        <f t="shared" si="97"/>
        <v>Inefficient</v>
      </c>
      <c r="S1268" s="2" t="str">
        <f t="shared" si="98"/>
        <v>Very Long</v>
      </c>
      <c r="T1268" s="2" t="str">
        <f t="shared" si="99"/>
        <v>Major Delay</v>
      </c>
    </row>
    <row r="1269" spans="1:20" x14ac:dyDescent="0.35">
      <c r="A1269" s="2" t="s">
        <v>2721</v>
      </c>
      <c r="B1269" s="2" t="s">
        <v>51</v>
      </c>
      <c r="C1269" s="2" t="s">
        <v>2722</v>
      </c>
      <c r="D1269" s="2" t="s">
        <v>56</v>
      </c>
      <c r="E1269" s="2" t="s">
        <v>33</v>
      </c>
      <c r="F1269" s="2" t="s">
        <v>39</v>
      </c>
      <c r="G1269" s="2" t="s">
        <v>505</v>
      </c>
      <c r="H1269" s="3">
        <v>45402.574999999997</v>
      </c>
      <c r="I1269" s="3">
        <v>45402.597916666666</v>
      </c>
      <c r="J1269" s="2">
        <v>31</v>
      </c>
      <c r="K1269" s="2">
        <v>33</v>
      </c>
      <c r="L1269" s="2">
        <v>1</v>
      </c>
      <c r="M1269" s="2" t="s">
        <v>22</v>
      </c>
      <c r="N1269" s="2">
        <v>10</v>
      </c>
      <c r="O1269" s="2">
        <v>479.71</v>
      </c>
      <c r="P1269" s="2">
        <f t="shared" si="95"/>
        <v>2</v>
      </c>
      <c r="Q1269" s="4">
        <f t="shared" si="96"/>
        <v>0.93939393939393945</v>
      </c>
      <c r="R1269" s="2" t="str">
        <f t="shared" si="97"/>
        <v>Inefficient</v>
      </c>
      <c r="S1269" s="2" t="str">
        <f t="shared" si="98"/>
        <v>Medium</v>
      </c>
      <c r="T1269" s="2" t="str">
        <f t="shared" si="99"/>
        <v>Minor Delay</v>
      </c>
    </row>
    <row r="1270" spans="1:20" x14ac:dyDescent="0.35">
      <c r="A1270" s="2" t="s">
        <v>2723</v>
      </c>
      <c r="B1270" s="2" t="s">
        <v>51</v>
      </c>
      <c r="C1270" s="2" t="s">
        <v>2724</v>
      </c>
      <c r="D1270" s="2" t="s">
        <v>26</v>
      </c>
      <c r="E1270" s="2" t="s">
        <v>33</v>
      </c>
      <c r="F1270" s="2" t="s">
        <v>20</v>
      </c>
      <c r="G1270" s="2" t="s">
        <v>383</v>
      </c>
      <c r="H1270" s="3">
        <v>45440.720138888886</v>
      </c>
      <c r="I1270" s="3">
        <v>45440.815972222219</v>
      </c>
      <c r="J1270" s="2">
        <v>88</v>
      </c>
      <c r="K1270" s="2">
        <v>138</v>
      </c>
      <c r="L1270" s="2">
        <v>1</v>
      </c>
      <c r="M1270" s="2" t="s">
        <v>22</v>
      </c>
      <c r="N1270" s="2">
        <v>8</v>
      </c>
      <c r="O1270" s="2">
        <v>413.35</v>
      </c>
      <c r="P1270" s="2">
        <f t="shared" si="95"/>
        <v>50</v>
      </c>
      <c r="Q1270" s="4">
        <f t="shared" si="96"/>
        <v>0.6376811594202898</v>
      </c>
      <c r="R1270" s="2" t="str">
        <f t="shared" si="97"/>
        <v>Inefficient</v>
      </c>
      <c r="S1270" s="2" t="str">
        <f t="shared" si="98"/>
        <v>Very Long</v>
      </c>
      <c r="T1270" s="2" t="str">
        <f t="shared" si="99"/>
        <v>Major Delay</v>
      </c>
    </row>
    <row r="1271" spans="1:20" x14ac:dyDescent="0.35">
      <c r="A1271" s="2" t="s">
        <v>2725</v>
      </c>
      <c r="B1271" s="2" t="s">
        <v>51</v>
      </c>
      <c r="C1271" s="2" t="s">
        <v>2726</v>
      </c>
      <c r="D1271" s="2" t="s">
        <v>44</v>
      </c>
      <c r="E1271" s="2" t="s">
        <v>33</v>
      </c>
      <c r="F1271" s="2" t="s">
        <v>27</v>
      </c>
      <c r="G1271" s="2" t="s">
        <v>445</v>
      </c>
      <c r="H1271" s="3">
        <v>45646.60833333333</v>
      </c>
      <c r="I1271" s="3">
        <v>45646.642361111109</v>
      </c>
      <c r="J1271" s="2">
        <v>11</v>
      </c>
      <c r="K1271" s="2">
        <v>49</v>
      </c>
      <c r="L1271" s="2">
        <v>1</v>
      </c>
      <c r="M1271" s="2" t="s">
        <v>29</v>
      </c>
      <c r="N1271" s="2">
        <v>3</v>
      </c>
      <c r="O1271" s="2">
        <v>406.61</v>
      </c>
      <c r="P1271" s="2">
        <f t="shared" si="95"/>
        <v>38</v>
      </c>
      <c r="Q1271" s="4">
        <f t="shared" si="96"/>
        <v>0.22448979591836735</v>
      </c>
      <c r="R1271" s="2" t="str">
        <f t="shared" si="97"/>
        <v>Inefficient</v>
      </c>
      <c r="S1271" s="2" t="str">
        <f t="shared" si="98"/>
        <v>Medium</v>
      </c>
      <c r="T1271" s="2" t="str">
        <f t="shared" si="99"/>
        <v>Major Delay</v>
      </c>
    </row>
    <row r="1272" spans="1:20" x14ac:dyDescent="0.35">
      <c r="A1272" s="2" t="s">
        <v>2727</v>
      </c>
      <c r="B1272" s="2" t="s">
        <v>24</v>
      </c>
      <c r="C1272" s="2" t="s">
        <v>2728</v>
      </c>
      <c r="D1272" s="2" t="s">
        <v>26</v>
      </c>
      <c r="E1272" s="2" t="s">
        <v>33</v>
      </c>
      <c r="F1272" s="2" t="s">
        <v>34</v>
      </c>
      <c r="G1272" s="2" t="s">
        <v>129</v>
      </c>
      <c r="H1272" s="3">
        <v>45567.998611111114</v>
      </c>
      <c r="I1272" s="3">
        <v>45568.115277777775</v>
      </c>
      <c r="J1272" s="2">
        <v>126</v>
      </c>
      <c r="K1272" s="2">
        <v>168</v>
      </c>
      <c r="L1272" s="2">
        <v>1</v>
      </c>
      <c r="M1272" s="2" t="s">
        <v>22</v>
      </c>
      <c r="N1272" s="2">
        <v>2</v>
      </c>
      <c r="O1272" s="2">
        <v>204.96</v>
      </c>
      <c r="P1272" s="2">
        <f t="shared" si="95"/>
        <v>42</v>
      </c>
      <c r="Q1272" s="4">
        <f t="shared" si="96"/>
        <v>0.75</v>
      </c>
      <c r="R1272" s="2" t="str">
        <f t="shared" si="97"/>
        <v>Inefficient</v>
      </c>
      <c r="S1272" s="2" t="str">
        <f t="shared" si="98"/>
        <v>Very Long</v>
      </c>
      <c r="T1272" s="2" t="str">
        <f t="shared" si="99"/>
        <v>Major Delay</v>
      </c>
    </row>
    <row r="1273" spans="1:20" x14ac:dyDescent="0.35">
      <c r="A1273" s="2" t="s">
        <v>2729</v>
      </c>
      <c r="B1273" s="2" t="s">
        <v>63</v>
      </c>
      <c r="C1273" s="2" t="s">
        <v>2730</v>
      </c>
      <c r="D1273" s="2" t="s">
        <v>48</v>
      </c>
      <c r="E1273" s="2" t="s">
        <v>19</v>
      </c>
      <c r="F1273" s="2" t="s">
        <v>57</v>
      </c>
      <c r="G1273" s="2" t="s">
        <v>512</v>
      </c>
      <c r="H1273" s="3">
        <v>45413.5625</v>
      </c>
      <c r="I1273" s="3">
        <v>45413.656944444447</v>
      </c>
      <c r="J1273" s="2">
        <v>115</v>
      </c>
      <c r="K1273" s="2">
        <v>136</v>
      </c>
      <c r="L1273" s="2">
        <v>1</v>
      </c>
      <c r="M1273" s="2" t="s">
        <v>22</v>
      </c>
      <c r="N1273" s="2">
        <v>4</v>
      </c>
      <c r="O1273" s="2">
        <v>279.47000000000003</v>
      </c>
      <c r="P1273" s="2">
        <f t="shared" si="95"/>
        <v>21</v>
      </c>
      <c r="Q1273" s="4">
        <f t="shared" si="96"/>
        <v>0.84558823529411764</v>
      </c>
      <c r="R1273" s="2" t="str">
        <f t="shared" si="97"/>
        <v>Inefficient</v>
      </c>
      <c r="S1273" s="2" t="str">
        <f t="shared" si="98"/>
        <v>Very Long</v>
      </c>
      <c r="T1273" s="2" t="str">
        <f t="shared" si="99"/>
        <v>Minor Delay</v>
      </c>
    </row>
    <row r="1274" spans="1:20" x14ac:dyDescent="0.35">
      <c r="A1274" s="2" t="s">
        <v>2731</v>
      </c>
      <c r="B1274" s="2" t="s">
        <v>31</v>
      </c>
      <c r="C1274" s="2" t="s">
        <v>2732</v>
      </c>
      <c r="D1274" s="2" t="s">
        <v>26</v>
      </c>
      <c r="E1274" s="2" t="s">
        <v>38</v>
      </c>
      <c r="F1274" s="2" t="s">
        <v>39</v>
      </c>
      <c r="G1274" s="2" t="s">
        <v>615</v>
      </c>
      <c r="H1274" s="3">
        <v>45599.215277777781</v>
      </c>
      <c r="I1274" s="3">
        <v>45599.329861111109</v>
      </c>
      <c r="J1274" s="2">
        <v>128</v>
      </c>
      <c r="K1274" s="2">
        <v>165</v>
      </c>
      <c r="L1274" s="2">
        <v>1</v>
      </c>
      <c r="M1274" s="2" t="s">
        <v>29</v>
      </c>
      <c r="N1274" s="2">
        <v>8</v>
      </c>
      <c r="O1274" s="2">
        <v>326.62</v>
      </c>
      <c r="P1274" s="2">
        <f t="shared" si="95"/>
        <v>37</v>
      </c>
      <c r="Q1274" s="4">
        <f t="shared" si="96"/>
        <v>0.77575757575757576</v>
      </c>
      <c r="R1274" s="2" t="str">
        <f t="shared" si="97"/>
        <v>Inefficient</v>
      </c>
      <c r="S1274" s="2" t="str">
        <f t="shared" si="98"/>
        <v>Very Long</v>
      </c>
      <c r="T1274" s="2" t="str">
        <f t="shared" si="99"/>
        <v>Major Delay</v>
      </c>
    </row>
    <row r="1275" spans="1:20" x14ac:dyDescent="0.35">
      <c r="A1275" s="2" t="s">
        <v>2733</v>
      </c>
      <c r="B1275" s="2" t="s">
        <v>51</v>
      </c>
      <c r="C1275" s="2" t="s">
        <v>2734</v>
      </c>
      <c r="D1275" s="2" t="s">
        <v>44</v>
      </c>
      <c r="E1275" s="2" t="s">
        <v>19</v>
      </c>
      <c r="F1275" s="2" t="s">
        <v>20</v>
      </c>
      <c r="G1275" s="2" t="s">
        <v>335</v>
      </c>
      <c r="H1275" s="3">
        <v>45456.96875</v>
      </c>
      <c r="I1275" s="3">
        <v>45457.189583333333</v>
      </c>
      <c r="J1275" s="2">
        <v>235</v>
      </c>
      <c r="K1275" s="2">
        <v>318</v>
      </c>
      <c r="L1275" s="2">
        <v>1</v>
      </c>
      <c r="M1275" s="2" t="s">
        <v>22</v>
      </c>
      <c r="N1275" s="2">
        <v>2</v>
      </c>
      <c r="O1275" s="2">
        <v>191.62</v>
      </c>
      <c r="P1275" s="2">
        <f t="shared" si="95"/>
        <v>83</v>
      </c>
      <c r="Q1275" s="4">
        <f t="shared" si="96"/>
        <v>0.73899371069182385</v>
      </c>
      <c r="R1275" s="2" t="str">
        <f t="shared" si="97"/>
        <v>Inefficient</v>
      </c>
      <c r="S1275" s="2" t="str">
        <f t="shared" si="98"/>
        <v>Very Long</v>
      </c>
      <c r="T1275" s="2" t="str">
        <f t="shared" si="99"/>
        <v>Major Delay</v>
      </c>
    </row>
    <row r="1276" spans="1:20" x14ac:dyDescent="0.35">
      <c r="A1276" s="2" t="s">
        <v>2735</v>
      </c>
      <c r="B1276" s="2" t="s">
        <v>31</v>
      </c>
      <c r="C1276" s="2" t="s">
        <v>2736</v>
      </c>
      <c r="D1276" s="2" t="s">
        <v>44</v>
      </c>
      <c r="E1276" s="2" t="s">
        <v>85</v>
      </c>
      <c r="F1276" s="2" t="s">
        <v>34</v>
      </c>
      <c r="G1276" s="2" t="s">
        <v>114</v>
      </c>
      <c r="H1276" s="3">
        <v>45516.418055555558</v>
      </c>
      <c r="I1276" s="3">
        <v>45516.558333333334</v>
      </c>
      <c r="J1276" s="2">
        <v>130</v>
      </c>
      <c r="K1276" s="2">
        <v>202</v>
      </c>
      <c r="L1276" s="2">
        <v>1</v>
      </c>
      <c r="M1276" s="2" t="s">
        <v>22</v>
      </c>
      <c r="N1276" s="2">
        <v>10</v>
      </c>
      <c r="O1276" s="2">
        <v>232.16</v>
      </c>
      <c r="P1276" s="2">
        <f t="shared" si="95"/>
        <v>72</v>
      </c>
      <c r="Q1276" s="4">
        <f t="shared" si="96"/>
        <v>0.64356435643564358</v>
      </c>
      <c r="R1276" s="2" t="str">
        <f t="shared" si="97"/>
        <v>Inefficient</v>
      </c>
      <c r="S1276" s="2" t="str">
        <f t="shared" si="98"/>
        <v>Very Long</v>
      </c>
      <c r="T1276" s="2" t="str">
        <f t="shared" si="99"/>
        <v>Major Delay</v>
      </c>
    </row>
    <row r="1277" spans="1:20" x14ac:dyDescent="0.35">
      <c r="A1277" s="2" t="s">
        <v>2737</v>
      </c>
      <c r="B1277" s="2" t="s">
        <v>16</v>
      </c>
      <c r="C1277" s="2" t="s">
        <v>2738</v>
      </c>
      <c r="D1277" s="2" t="s">
        <v>48</v>
      </c>
      <c r="E1277" s="2" t="s">
        <v>33</v>
      </c>
      <c r="F1277" s="2" t="s">
        <v>39</v>
      </c>
      <c r="G1277" s="2" t="s">
        <v>500</v>
      </c>
      <c r="H1277" s="3">
        <v>45572.469444444447</v>
      </c>
      <c r="I1277" s="3">
        <v>45572.628472222219</v>
      </c>
      <c r="J1277" s="2">
        <v>183</v>
      </c>
      <c r="K1277" s="2">
        <v>229</v>
      </c>
      <c r="L1277" s="2">
        <v>1</v>
      </c>
      <c r="M1277" s="2" t="s">
        <v>29</v>
      </c>
      <c r="N1277" s="2">
        <v>4</v>
      </c>
      <c r="O1277" s="2">
        <v>115.62</v>
      </c>
      <c r="P1277" s="2">
        <f t="shared" si="95"/>
        <v>46</v>
      </c>
      <c r="Q1277" s="4">
        <f t="shared" si="96"/>
        <v>0.79912663755458513</v>
      </c>
      <c r="R1277" s="2" t="str">
        <f t="shared" si="97"/>
        <v>Inefficient</v>
      </c>
      <c r="S1277" s="2" t="str">
        <f t="shared" si="98"/>
        <v>Very Long</v>
      </c>
      <c r="T1277" s="2" t="str">
        <f t="shared" si="99"/>
        <v>Major Delay</v>
      </c>
    </row>
    <row r="1278" spans="1:20" x14ac:dyDescent="0.35">
      <c r="A1278" s="2" t="s">
        <v>2739</v>
      </c>
      <c r="B1278" s="2" t="s">
        <v>24</v>
      </c>
      <c r="C1278" s="2" t="s">
        <v>2740</v>
      </c>
      <c r="D1278" s="2" t="s">
        <v>26</v>
      </c>
      <c r="E1278" s="2" t="s">
        <v>85</v>
      </c>
      <c r="F1278" s="2" t="s">
        <v>39</v>
      </c>
      <c r="G1278" s="2" t="s">
        <v>418</v>
      </c>
      <c r="H1278" s="3">
        <v>45337.517361111109</v>
      </c>
      <c r="I1278" s="3">
        <v>45337.702777777777</v>
      </c>
      <c r="J1278" s="2">
        <v>166</v>
      </c>
      <c r="K1278" s="2">
        <v>267</v>
      </c>
      <c r="L1278" s="2">
        <v>1</v>
      </c>
      <c r="M1278" s="2" t="s">
        <v>29</v>
      </c>
      <c r="N1278" s="2">
        <v>2</v>
      </c>
      <c r="O1278" s="2">
        <v>162.01</v>
      </c>
      <c r="P1278" s="2">
        <f t="shared" si="95"/>
        <v>101</v>
      </c>
      <c r="Q1278" s="4">
        <f t="shared" si="96"/>
        <v>0.62172284644194753</v>
      </c>
      <c r="R1278" s="2" t="str">
        <f t="shared" si="97"/>
        <v>Inefficient</v>
      </c>
      <c r="S1278" s="2" t="str">
        <f t="shared" si="98"/>
        <v>Very Long</v>
      </c>
      <c r="T1278" s="2" t="str">
        <f t="shared" si="99"/>
        <v>Major Delay</v>
      </c>
    </row>
    <row r="1279" spans="1:20" x14ac:dyDescent="0.35">
      <c r="A1279" s="2" t="s">
        <v>2741</v>
      </c>
      <c r="B1279" s="2" t="s">
        <v>24</v>
      </c>
      <c r="C1279" s="2" t="s">
        <v>2742</v>
      </c>
      <c r="D1279" s="2" t="s">
        <v>56</v>
      </c>
      <c r="E1279" s="2" t="s">
        <v>19</v>
      </c>
      <c r="F1279" s="2" t="s">
        <v>57</v>
      </c>
      <c r="G1279" s="2" t="s">
        <v>983</v>
      </c>
      <c r="H1279" s="3">
        <v>45420.409722222219</v>
      </c>
      <c r="I1279" s="3">
        <v>45420.52847222222</v>
      </c>
      <c r="J1279" s="2">
        <v>170</v>
      </c>
      <c r="K1279" s="2">
        <v>171</v>
      </c>
      <c r="L1279" s="2">
        <v>1</v>
      </c>
      <c r="M1279" s="2" t="s">
        <v>29</v>
      </c>
      <c r="N1279" s="2">
        <v>8</v>
      </c>
      <c r="O1279" s="2">
        <v>302.39</v>
      </c>
      <c r="P1279" s="2">
        <f t="shared" si="95"/>
        <v>1</v>
      </c>
      <c r="Q1279" s="4">
        <f t="shared" si="96"/>
        <v>0.99415204678362568</v>
      </c>
      <c r="R1279" s="2" t="str">
        <f t="shared" si="97"/>
        <v>Inefficient</v>
      </c>
      <c r="S1279" s="2" t="str">
        <f t="shared" si="98"/>
        <v>Very Long</v>
      </c>
      <c r="T1279" s="2" t="str">
        <f t="shared" si="99"/>
        <v>Minor Delay</v>
      </c>
    </row>
    <row r="1280" spans="1:20" x14ac:dyDescent="0.35">
      <c r="A1280" s="2" t="s">
        <v>2743</v>
      </c>
      <c r="B1280" s="2" t="s">
        <v>16</v>
      </c>
      <c r="C1280" s="2" t="s">
        <v>2744</v>
      </c>
      <c r="D1280" s="2" t="s">
        <v>18</v>
      </c>
      <c r="E1280" s="2" t="s">
        <v>38</v>
      </c>
      <c r="F1280" s="2" t="s">
        <v>20</v>
      </c>
      <c r="G1280" s="2" t="s">
        <v>126</v>
      </c>
      <c r="H1280" s="3">
        <v>45435.820833333331</v>
      </c>
      <c r="I1280" s="3">
        <v>45435.974305555559</v>
      </c>
      <c r="J1280" s="2">
        <v>195</v>
      </c>
      <c r="K1280" s="2">
        <v>221</v>
      </c>
      <c r="L1280" s="2">
        <v>1</v>
      </c>
      <c r="M1280" s="2" t="s">
        <v>22</v>
      </c>
      <c r="N1280" s="2">
        <v>3</v>
      </c>
      <c r="O1280" s="2">
        <v>289.27</v>
      </c>
      <c r="P1280" s="2">
        <f t="shared" si="95"/>
        <v>26</v>
      </c>
      <c r="Q1280" s="4">
        <f t="shared" si="96"/>
        <v>0.88235294117647056</v>
      </c>
      <c r="R1280" s="2" t="str">
        <f t="shared" si="97"/>
        <v>Inefficient</v>
      </c>
      <c r="S1280" s="2" t="str">
        <f t="shared" si="98"/>
        <v>Very Long</v>
      </c>
      <c r="T1280" s="2" t="str">
        <f t="shared" si="99"/>
        <v>Minor Delay</v>
      </c>
    </row>
    <row r="1281" spans="1:20" x14ac:dyDescent="0.35">
      <c r="A1281" s="2" t="s">
        <v>2745</v>
      </c>
      <c r="B1281" s="2" t="s">
        <v>31</v>
      </c>
      <c r="C1281" s="2" t="s">
        <v>2746</v>
      </c>
      <c r="D1281" s="2" t="s">
        <v>48</v>
      </c>
      <c r="E1281" s="2" t="s">
        <v>19</v>
      </c>
      <c r="F1281" s="2" t="s">
        <v>20</v>
      </c>
      <c r="G1281" s="2" t="s">
        <v>182</v>
      </c>
      <c r="H1281" s="3">
        <v>45308.54791666667</v>
      </c>
      <c r="I1281" s="3">
        <v>45308.739583333336</v>
      </c>
      <c r="J1281" s="2">
        <v>214</v>
      </c>
      <c r="K1281" s="2">
        <v>276</v>
      </c>
      <c r="L1281" s="2">
        <v>1</v>
      </c>
      <c r="M1281" s="2" t="s">
        <v>22</v>
      </c>
      <c r="N1281" s="2">
        <v>2</v>
      </c>
      <c r="O1281" s="2">
        <v>440.23</v>
      </c>
      <c r="P1281" s="2">
        <f t="shared" si="95"/>
        <v>62</v>
      </c>
      <c r="Q1281" s="4">
        <f t="shared" si="96"/>
        <v>0.77536231884057971</v>
      </c>
      <c r="R1281" s="2" t="str">
        <f t="shared" si="97"/>
        <v>Inefficient</v>
      </c>
      <c r="S1281" s="2" t="str">
        <f t="shared" si="98"/>
        <v>Very Long</v>
      </c>
      <c r="T1281" s="2" t="str">
        <f t="shared" si="99"/>
        <v>Major Delay</v>
      </c>
    </row>
    <row r="1282" spans="1:20" x14ac:dyDescent="0.35">
      <c r="A1282" s="2" t="s">
        <v>2747</v>
      </c>
      <c r="B1282" s="2" t="s">
        <v>16</v>
      </c>
      <c r="C1282" s="2" t="s">
        <v>2748</v>
      </c>
      <c r="D1282" s="2" t="s">
        <v>48</v>
      </c>
      <c r="E1282" s="2" t="s">
        <v>85</v>
      </c>
      <c r="F1282" s="2" t="s">
        <v>39</v>
      </c>
      <c r="G1282" s="2" t="s">
        <v>650</v>
      </c>
      <c r="H1282" s="3">
        <v>45311.025694444441</v>
      </c>
      <c r="I1282" s="3">
        <v>45311.15347222222</v>
      </c>
      <c r="J1282" s="2">
        <v>96</v>
      </c>
      <c r="K1282" s="2">
        <v>184</v>
      </c>
      <c r="L1282" s="2">
        <v>1</v>
      </c>
      <c r="M1282" s="2" t="s">
        <v>41</v>
      </c>
      <c r="N1282" s="2">
        <v>5</v>
      </c>
      <c r="O1282" s="2">
        <v>74.209999999999994</v>
      </c>
      <c r="P1282" s="2">
        <f t="shared" si="95"/>
        <v>88</v>
      </c>
      <c r="Q1282" s="4">
        <f t="shared" si="96"/>
        <v>0.52173913043478259</v>
      </c>
      <c r="R1282" s="2" t="str">
        <f t="shared" si="97"/>
        <v>Inefficient</v>
      </c>
      <c r="S1282" s="2" t="str">
        <f t="shared" si="98"/>
        <v>Very Long</v>
      </c>
      <c r="T1282" s="2" t="str">
        <f t="shared" si="99"/>
        <v>Major Delay</v>
      </c>
    </row>
    <row r="1283" spans="1:20" x14ac:dyDescent="0.35">
      <c r="A1283" s="2" t="s">
        <v>2749</v>
      </c>
      <c r="B1283" s="2" t="s">
        <v>63</v>
      </c>
      <c r="C1283" s="2" t="s">
        <v>2750</v>
      </c>
      <c r="D1283" s="2" t="s">
        <v>44</v>
      </c>
      <c r="E1283" s="2" t="s">
        <v>38</v>
      </c>
      <c r="F1283" s="2" t="s">
        <v>34</v>
      </c>
      <c r="G1283" s="2" t="s">
        <v>754</v>
      </c>
      <c r="H1283" s="3">
        <v>45605.822916666664</v>
      </c>
      <c r="I1283" s="3">
        <v>45605.911111111112</v>
      </c>
      <c r="J1283" s="2">
        <v>124</v>
      </c>
      <c r="K1283" s="2">
        <v>127</v>
      </c>
      <c r="L1283" s="2">
        <v>1</v>
      </c>
      <c r="M1283" s="2" t="s">
        <v>29</v>
      </c>
      <c r="N1283" s="2">
        <v>8</v>
      </c>
      <c r="O1283" s="2">
        <v>267.99</v>
      </c>
      <c r="P1283" s="2">
        <f t="shared" ref="P1283:P1346" si="100">K1283-J1283</f>
        <v>3</v>
      </c>
      <c r="Q1283" s="4">
        <f t="shared" ref="Q1283:Q1346" si="101">J1283/K1283</f>
        <v>0.97637795275590555</v>
      </c>
      <c r="R1283" s="2" t="str">
        <f t="shared" ref="R1283:R1346" si="102">IF(Q1283&gt;1,"Efficient",
IF(Q1283=1,"On Target","Inefficient"))</f>
        <v>Inefficient</v>
      </c>
      <c r="S1283" s="2" t="str">
        <f t="shared" ref="S1283:S1346" si="103">IF(K1283&lt;30,"Short",
IF(K1283&lt;60,"Medium",
IF(K1283&lt;120,"Long","Very Long")))</f>
        <v>Very Long</v>
      </c>
      <c r="T1283" s="2" t="str">
        <f t="shared" ref="T1283:T1346" si="104">IF(K1283&lt;=J1283,"On Time",
IF(K1283-J1283&lt;=30,"Minor Delay","Major Delay"))</f>
        <v>Minor Delay</v>
      </c>
    </row>
    <row r="1284" spans="1:20" x14ac:dyDescent="0.35">
      <c r="A1284" s="2" t="s">
        <v>2751</v>
      </c>
      <c r="B1284" s="2" t="s">
        <v>51</v>
      </c>
      <c r="C1284" s="2" t="s">
        <v>2752</v>
      </c>
      <c r="D1284" s="2" t="s">
        <v>48</v>
      </c>
      <c r="E1284" s="2" t="s">
        <v>19</v>
      </c>
      <c r="F1284" s="2" t="s">
        <v>39</v>
      </c>
      <c r="G1284" s="2" t="s">
        <v>167</v>
      </c>
      <c r="H1284" s="3">
        <v>45548.670138888891</v>
      </c>
      <c r="I1284" s="3">
        <v>45548.876388888886</v>
      </c>
      <c r="J1284" s="2">
        <v>195</v>
      </c>
      <c r="K1284" s="2">
        <v>297</v>
      </c>
      <c r="L1284" s="2">
        <v>1</v>
      </c>
      <c r="M1284" s="2" t="s">
        <v>22</v>
      </c>
      <c r="N1284" s="2">
        <v>10</v>
      </c>
      <c r="O1284" s="2">
        <v>104.69</v>
      </c>
      <c r="P1284" s="2">
        <f t="shared" si="100"/>
        <v>102</v>
      </c>
      <c r="Q1284" s="4">
        <f t="shared" si="101"/>
        <v>0.65656565656565657</v>
      </c>
      <c r="R1284" s="2" t="str">
        <f t="shared" si="102"/>
        <v>Inefficient</v>
      </c>
      <c r="S1284" s="2" t="str">
        <f t="shared" si="103"/>
        <v>Very Long</v>
      </c>
      <c r="T1284" s="2" t="str">
        <f t="shared" si="104"/>
        <v>Major Delay</v>
      </c>
    </row>
    <row r="1285" spans="1:20" x14ac:dyDescent="0.35">
      <c r="A1285" s="2" t="s">
        <v>2753</v>
      </c>
      <c r="B1285" s="2" t="s">
        <v>63</v>
      </c>
      <c r="C1285" s="2" t="s">
        <v>2754</v>
      </c>
      <c r="D1285" s="2" t="s">
        <v>26</v>
      </c>
      <c r="E1285" s="2" t="s">
        <v>33</v>
      </c>
      <c r="F1285" s="2" t="s">
        <v>20</v>
      </c>
      <c r="G1285" s="2" t="s">
        <v>430</v>
      </c>
      <c r="H1285" s="3">
        <v>45544.625694444447</v>
      </c>
      <c r="I1285" s="3">
        <v>45544.720138888886</v>
      </c>
      <c r="J1285" s="2">
        <v>107</v>
      </c>
      <c r="K1285" s="2">
        <v>136</v>
      </c>
      <c r="L1285" s="2">
        <v>1</v>
      </c>
      <c r="M1285" s="2" t="s">
        <v>29</v>
      </c>
      <c r="N1285" s="2">
        <v>8</v>
      </c>
      <c r="O1285" s="2">
        <v>493.81</v>
      </c>
      <c r="P1285" s="2">
        <f t="shared" si="100"/>
        <v>29</v>
      </c>
      <c r="Q1285" s="4">
        <f t="shared" si="101"/>
        <v>0.78676470588235292</v>
      </c>
      <c r="R1285" s="2" t="str">
        <f t="shared" si="102"/>
        <v>Inefficient</v>
      </c>
      <c r="S1285" s="2" t="str">
        <f t="shared" si="103"/>
        <v>Very Long</v>
      </c>
      <c r="T1285" s="2" t="str">
        <f t="shared" si="104"/>
        <v>Minor Delay</v>
      </c>
    </row>
    <row r="1286" spans="1:20" x14ac:dyDescent="0.35">
      <c r="A1286" s="2" t="s">
        <v>2755</v>
      </c>
      <c r="B1286" s="2" t="s">
        <v>51</v>
      </c>
      <c r="C1286" s="2" t="s">
        <v>2756</v>
      </c>
      <c r="D1286" s="2" t="s">
        <v>18</v>
      </c>
      <c r="E1286" s="2" t="s">
        <v>38</v>
      </c>
      <c r="F1286" s="2" t="s">
        <v>39</v>
      </c>
      <c r="G1286" s="2" t="s">
        <v>546</v>
      </c>
      <c r="H1286" s="3">
        <v>45564.580555555556</v>
      </c>
      <c r="I1286" s="3">
        <v>45564.781944444447</v>
      </c>
      <c r="J1286" s="2">
        <v>208</v>
      </c>
      <c r="K1286" s="2">
        <v>290</v>
      </c>
      <c r="L1286" s="2">
        <v>1</v>
      </c>
      <c r="M1286" s="2" t="s">
        <v>29</v>
      </c>
      <c r="N1286" s="2">
        <v>5</v>
      </c>
      <c r="O1286" s="2">
        <v>434.77</v>
      </c>
      <c r="P1286" s="2">
        <f t="shared" si="100"/>
        <v>82</v>
      </c>
      <c r="Q1286" s="4">
        <f t="shared" si="101"/>
        <v>0.71724137931034482</v>
      </c>
      <c r="R1286" s="2" t="str">
        <f t="shared" si="102"/>
        <v>Inefficient</v>
      </c>
      <c r="S1286" s="2" t="str">
        <f t="shared" si="103"/>
        <v>Very Long</v>
      </c>
      <c r="T1286" s="2" t="str">
        <f t="shared" si="104"/>
        <v>Major Delay</v>
      </c>
    </row>
    <row r="1287" spans="1:20" x14ac:dyDescent="0.35">
      <c r="A1287" s="2" t="s">
        <v>2757</v>
      </c>
      <c r="B1287" s="2" t="s">
        <v>16</v>
      </c>
      <c r="C1287" s="2" t="s">
        <v>2758</v>
      </c>
      <c r="D1287" s="2" t="s">
        <v>18</v>
      </c>
      <c r="E1287" s="2" t="s">
        <v>19</v>
      </c>
      <c r="F1287" s="2" t="s">
        <v>20</v>
      </c>
      <c r="G1287" s="2" t="s">
        <v>647</v>
      </c>
      <c r="H1287" s="3">
        <v>45433.177083333336</v>
      </c>
      <c r="I1287" s="3">
        <v>45433.379166666666</v>
      </c>
      <c r="J1287" s="2">
        <v>191</v>
      </c>
      <c r="K1287" s="2">
        <v>291</v>
      </c>
      <c r="L1287" s="2">
        <v>1</v>
      </c>
      <c r="M1287" s="2" t="s">
        <v>22</v>
      </c>
      <c r="N1287" s="2">
        <v>8</v>
      </c>
      <c r="O1287" s="2">
        <v>279.55</v>
      </c>
      <c r="P1287" s="2">
        <f t="shared" si="100"/>
        <v>100</v>
      </c>
      <c r="Q1287" s="4">
        <f t="shared" si="101"/>
        <v>0.6563573883161512</v>
      </c>
      <c r="R1287" s="2" t="str">
        <f t="shared" si="102"/>
        <v>Inefficient</v>
      </c>
      <c r="S1287" s="2" t="str">
        <f t="shared" si="103"/>
        <v>Very Long</v>
      </c>
      <c r="T1287" s="2" t="str">
        <f t="shared" si="104"/>
        <v>Major Delay</v>
      </c>
    </row>
    <row r="1288" spans="1:20" x14ac:dyDescent="0.35">
      <c r="A1288" s="2" t="s">
        <v>2759</v>
      </c>
      <c r="B1288" s="2" t="s">
        <v>63</v>
      </c>
      <c r="C1288" s="2" t="s">
        <v>2760</v>
      </c>
      <c r="D1288" s="2" t="s">
        <v>48</v>
      </c>
      <c r="E1288" s="2" t="s">
        <v>38</v>
      </c>
      <c r="F1288" s="2" t="s">
        <v>57</v>
      </c>
      <c r="G1288" s="2" t="s">
        <v>40</v>
      </c>
      <c r="H1288" s="3">
        <v>45445.262499999997</v>
      </c>
      <c r="I1288" s="3">
        <v>45445.388888888891</v>
      </c>
      <c r="J1288" s="2">
        <v>181</v>
      </c>
      <c r="K1288" s="2">
        <v>182</v>
      </c>
      <c r="L1288" s="2">
        <v>1</v>
      </c>
      <c r="M1288" s="2" t="s">
        <v>22</v>
      </c>
      <c r="N1288" s="2">
        <v>5</v>
      </c>
      <c r="O1288" s="2">
        <v>413.21</v>
      </c>
      <c r="P1288" s="2">
        <f t="shared" si="100"/>
        <v>1</v>
      </c>
      <c r="Q1288" s="4">
        <f t="shared" si="101"/>
        <v>0.99450549450549453</v>
      </c>
      <c r="R1288" s="2" t="str">
        <f t="shared" si="102"/>
        <v>Inefficient</v>
      </c>
      <c r="S1288" s="2" t="str">
        <f t="shared" si="103"/>
        <v>Very Long</v>
      </c>
      <c r="T1288" s="2" t="str">
        <f t="shared" si="104"/>
        <v>Minor Delay</v>
      </c>
    </row>
    <row r="1289" spans="1:20" x14ac:dyDescent="0.35">
      <c r="A1289" s="2" t="s">
        <v>2761</v>
      </c>
      <c r="B1289" s="2" t="s">
        <v>24</v>
      </c>
      <c r="C1289" s="2" t="s">
        <v>2762</v>
      </c>
      <c r="D1289" s="2" t="s">
        <v>56</v>
      </c>
      <c r="E1289" s="2" t="s">
        <v>33</v>
      </c>
      <c r="F1289" s="2" t="s">
        <v>20</v>
      </c>
      <c r="G1289" s="2" t="s">
        <v>459</v>
      </c>
      <c r="H1289" s="3">
        <v>45444.151388888888</v>
      </c>
      <c r="I1289" s="3">
        <v>45444.236805555556</v>
      </c>
      <c r="J1289" s="2">
        <v>57</v>
      </c>
      <c r="K1289" s="2">
        <v>123</v>
      </c>
      <c r="L1289" s="2">
        <v>1</v>
      </c>
      <c r="M1289" s="2" t="s">
        <v>41</v>
      </c>
      <c r="N1289" s="2">
        <v>4</v>
      </c>
      <c r="O1289" s="2">
        <v>378.16</v>
      </c>
      <c r="P1289" s="2">
        <f t="shared" si="100"/>
        <v>66</v>
      </c>
      <c r="Q1289" s="4">
        <f t="shared" si="101"/>
        <v>0.46341463414634149</v>
      </c>
      <c r="R1289" s="2" t="str">
        <f t="shared" si="102"/>
        <v>Inefficient</v>
      </c>
      <c r="S1289" s="2" t="str">
        <f t="shared" si="103"/>
        <v>Very Long</v>
      </c>
      <c r="T1289" s="2" t="str">
        <f t="shared" si="104"/>
        <v>Major Delay</v>
      </c>
    </row>
    <row r="1290" spans="1:20" x14ac:dyDescent="0.35">
      <c r="A1290" s="2" t="s">
        <v>2763</v>
      </c>
      <c r="B1290" s="2" t="s">
        <v>51</v>
      </c>
      <c r="C1290" s="2" t="s">
        <v>2764</v>
      </c>
      <c r="D1290" s="2" t="s">
        <v>18</v>
      </c>
      <c r="E1290" s="2" t="s">
        <v>38</v>
      </c>
      <c r="F1290" s="2" t="s">
        <v>34</v>
      </c>
      <c r="G1290" s="2" t="s">
        <v>402</v>
      </c>
      <c r="H1290" s="3">
        <v>45516.023611111108</v>
      </c>
      <c r="I1290" s="3">
        <v>45516.197222222225</v>
      </c>
      <c r="J1290" s="2">
        <v>161</v>
      </c>
      <c r="K1290" s="2">
        <v>250</v>
      </c>
      <c r="L1290" s="2">
        <v>1</v>
      </c>
      <c r="M1290" s="2" t="s">
        <v>41</v>
      </c>
      <c r="N1290" s="2">
        <v>1</v>
      </c>
      <c r="O1290" s="2">
        <v>97.15</v>
      </c>
      <c r="P1290" s="2">
        <f t="shared" si="100"/>
        <v>89</v>
      </c>
      <c r="Q1290" s="4">
        <f t="shared" si="101"/>
        <v>0.64400000000000002</v>
      </c>
      <c r="R1290" s="2" t="str">
        <f t="shared" si="102"/>
        <v>Inefficient</v>
      </c>
      <c r="S1290" s="2" t="str">
        <f t="shared" si="103"/>
        <v>Very Long</v>
      </c>
      <c r="T1290" s="2" t="str">
        <f t="shared" si="104"/>
        <v>Major Delay</v>
      </c>
    </row>
    <row r="1291" spans="1:20" x14ac:dyDescent="0.35">
      <c r="A1291" s="2" t="s">
        <v>2765</v>
      </c>
      <c r="B1291" s="2" t="s">
        <v>51</v>
      </c>
      <c r="C1291" s="2" t="s">
        <v>2766</v>
      </c>
      <c r="D1291" s="2" t="s">
        <v>26</v>
      </c>
      <c r="E1291" s="2" t="s">
        <v>85</v>
      </c>
      <c r="F1291" s="2" t="s">
        <v>34</v>
      </c>
      <c r="G1291" s="2" t="s">
        <v>402</v>
      </c>
      <c r="H1291" s="3">
        <v>45324.332638888889</v>
      </c>
      <c r="I1291" s="3">
        <v>45324.415972222225</v>
      </c>
      <c r="J1291" s="2">
        <v>43</v>
      </c>
      <c r="K1291" s="2">
        <v>120</v>
      </c>
      <c r="L1291" s="2">
        <v>1</v>
      </c>
      <c r="M1291" s="2" t="s">
        <v>41</v>
      </c>
      <c r="N1291" s="2">
        <v>3</v>
      </c>
      <c r="O1291" s="2">
        <v>168.15</v>
      </c>
      <c r="P1291" s="2">
        <f t="shared" si="100"/>
        <v>77</v>
      </c>
      <c r="Q1291" s="4">
        <f t="shared" si="101"/>
        <v>0.35833333333333334</v>
      </c>
      <c r="R1291" s="2" t="str">
        <f t="shared" si="102"/>
        <v>Inefficient</v>
      </c>
      <c r="S1291" s="2" t="str">
        <f t="shared" si="103"/>
        <v>Very Long</v>
      </c>
      <c r="T1291" s="2" t="str">
        <f t="shared" si="104"/>
        <v>Major Delay</v>
      </c>
    </row>
    <row r="1292" spans="1:20" x14ac:dyDescent="0.35">
      <c r="A1292" s="2" t="s">
        <v>2767</v>
      </c>
      <c r="B1292" s="2" t="s">
        <v>16</v>
      </c>
      <c r="C1292" s="2" t="s">
        <v>2768</v>
      </c>
      <c r="D1292" s="2" t="s">
        <v>18</v>
      </c>
      <c r="E1292" s="2" t="s">
        <v>38</v>
      </c>
      <c r="F1292" s="2" t="s">
        <v>57</v>
      </c>
      <c r="G1292" s="2" t="s">
        <v>132</v>
      </c>
      <c r="H1292" s="3">
        <v>45307.277083333334</v>
      </c>
      <c r="I1292" s="3">
        <v>45307.34652777778</v>
      </c>
      <c r="J1292" s="2">
        <v>62</v>
      </c>
      <c r="K1292" s="2">
        <v>100</v>
      </c>
      <c r="L1292" s="2">
        <v>1</v>
      </c>
      <c r="M1292" s="2" t="s">
        <v>29</v>
      </c>
      <c r="N1292" s="2">
        <v>4</v>
      </c>
      <c r="O1292" s="2">
        <v>400.1</v>
      </c>
      <c r="P1292" s="2">
        <f t="shared" si="100"/>
        <v>38</v>
      </c>
      <c r="Q1292" s="4">
        <f t="shared" si="101"/>
        <v>0.62</v>
      </c>
      <c r="R1292" s="2" t="str">
        <f t="shared" si="102"/>
        <v>Inefficient</v>
      </c>
      <c r="S1292" s="2" t="str">
        <f t="shared" si="103"/>
        <v>Long</v>
      </c>
      <c r="T1292" s="2" t="str">
        <f t="shared" si="104"/>
        <v>Major Delay</v>
      </c>
    </row>
    <row r="1293" spans="1:20" x14ac:dyDescent="0.35">
      <c r="A1293" s="2" t="s">
        <v>2769</v>
      </c>
      <c r="B1293" s="2" t="s">
        <v>31</v>
      </c>
      <c r="C1293" s="2" t="s">
        <v>2770</v>
      </c>
      <c r="D1293" s="2" t="s">
        <v>26</v>
      </c>
      <c r="E1293" s="2" t="s">
        <v>85</v>
      </c>
      <c r="F1293" s="2" t="s">
        <v>34</v>
      </c>
      <c r="G1293" s="2" t="s">
        <v>335</v>
      </c>
      <c r="H1293" s="3">
        <v>45454.631944444445</v>
      </c>
      <c r="I1293" s="3">
        <v>45454.722916666666</v>
      </c>
      <c r="J1293" s="2">
        <v>59</v>
      </c>
      <c r="K1293" s="2">
        <v>131</v>
      </c>
      <c r="L1293" s="2">
        <v>1</v>
      </c>
      <c r="M1293" s="2" t="s">
        <v>22</v>
      </c>
      <c r="N1293" s="2">
        <v>6</v>
      </c>
      <c r="O1293" s="2">
        <v>284.02</v>
      </c>
      <c r="P1293" s="2">
        <f t="shared" si="100"/>
        <v>72</v>
      </c>
      <c r="Q1293" s="4">
        <f t="shared" si="101"/>
        <v>0.45038167938931295</v>
      </c>
      <c r="R1293" s="2" t="str">
        <f t="shared" si="102"/>
        <v>Inefficient</v>
      </c>
      <c r="S1293" s="2" t="str">
        <f t="shared" si="103"/>
        <v>Very Long</v>
      </c>
      <c r="T1293" s="2" t="str">
        <f t="shared" si="104"/>
        <v>Major Delay</v>
      </c>
    </row>
    <row r="1294" spans="1:20" x14ac:dyDescent="0.35">
      <c r="A1294" s="2" t="s">
        <v>2771</v>
      </c>
      <c r="B1294" s="2" t="s">
        <v>16</v>
      </c>
      <c r="C1294" s="2" t="s">
        <v>2772</v>
      </c>
      <c r="D1294" s="2" t="s">
        <v>26</v>
      </c>
      <c r="E1294" s="2" t="s">
        <v>85</v>
      </c>
      <c r="F1294" s="2" t="s">
        <v>39</v>
      </c>
      <c r="G1294" s="2" t="s">
        <v>94</v>
      </c>
      <c r="H1294" s="3">
        <v>45507.970138888886</v>
      </c>
      <c r="I1294" s="3">
        <v>45508.154166666667</v>
      </c>
      <c r="J1294" s="2">
        <v>160</v>
      </c>
      <c r="K1294" s="2">
        <v>265</v>
      </c>
      <c r="L1294" s="2">
        <v>1</v>
      </c>
      <c r="M1294" s="2" t="s">
        <v>29</v>
      </c>
      <c r="N1294" s="2">
        <v>9</v>
      </c>
      <c r="O1294" s="2">
        <v>366.96</v>
      </c>
      <c r="P1294" s="2">
        <f t="shared" si="100"/>
        <v>105</v>
      </c>
      <c r="Q1294" s="4">
        <f t="shared" si="101"/>
        <v>0.60377358490566035</v>
      </c>
      <c r="R1294" s="2" t="str">
        <f t="shared" si="102"/>
        <v>Inefficient</v>
      </c>
      <c r="S1294" s="2" t="str">
        <f t="shared" si="103"/>
        <v>Very Long</v>
      </c>
      <c r="T1294" s="2" t="str">
        <f t="shared" si="104"/>
        <v>Major Delay</v>
      </c>
    </row>
    <row r="1295" spans="1:20" x14ac:dyDescent="0.35">
      <c r="A1295" s="2" t="s">
        <v>2773</v>
      </c>
      <c r="B1295" s="2" t="s">
        <v>31</v>
      </c>
      <c r="C1295" s="2" t="s">
        <v>2774</v>
      </c>
      <c r="D1295" s="2" t="s">
        <v>18</v>
      </c>
      <c r="E1295" s="2" t="s">
        <v>19</v>
      </c>
      <c r="F1295" s="2" t="s">
        <v>34</v>
      </c>
      <c r="G1295" s="2" t="s">
        <v>681</v>
      </c>
      <c r="H1295" s="3">
        <v>45606.643750000003</v>
      </c>
      <c r="I1295" s="3">
        <v>45606.811111111114</v>
      </c>
      <c r="J1295" s="2">
        <v>147</v>
      </c>
      <c r="K1295" s="2">
        <v>241</v>
      </c>
      <c r="L1295" s="2">
        <v>1</v>
      </c>
      <c r="M1295" s="2" t="s">
        <v>41</v>
      </c>
      <c r="N1295" s="2">
        <v>9</v>
      </c>
      <c r="O1295" s="2">
        <v>426.54</v>
      </c>
      <c r="P1295" s="2">
        <f t="shared" si="100"/>
        <v>94</v>
      </c>
      <c r="Q1295" s="4">
        <f t="shared" si="101"/>
        <v>0.60995850622406644</v>
      </c>
      <c r="R1295" s="2" t="str">
        <f t="shared" si="102"/>
        <v>Inefficient</v>
      </c>
      <c r="S1295" s="2" t="str">
        <f t="shared" si="103"/>
        <v>Very Long</v>
      </c>
      <c r="T1295" s="2" t="str">
        <f t="shared" si="104"/>
        <v>Major Delay</v>
      </c>
    </row>
    <row r="1296" spans="1:20" x14ac:dyDescent="0.35">
      <c r="A1296" s="2" t="s">
        <v>2775</v>
      </c>
      <c r="B1296" s="2" t="s">
        <v>51</v>
      </c>
      <c r="C1296" s="2" t="s">
        <v>2776</v>
      </c>
      <c r="D1296" s="2" t="s">
        <v>26</v>
      </c>
      <c r="E1296" s="2" t="s">
        <v>85</v>
      </c>
      <c r="F1296" s="2" t="s">
        <v>20</v>
      </c>
      <c r="G1296" s="2" t="s">
        <v>117</v>
      </c>
      <c r="H1296" s="3">
        <v>45468.073611111111</v>
      </c>
      <c r="I1296" s="3">
        <v>45468.118055555555</v>
      </c>
      <c r="J1296" s="2">
        <v>26</v>
      </c>
      <c r="K1296" s="2">
        <v>64</v>
      </c>
      <c r="L1296" s="2">
        <v>1</v>
      </c>
      <c r="M1296" s="2" t="s">
        <v>22</v>
      </c>
      <c r="N1296" s="2">
        <v>10</v>
      </c>
      <c r="O1296" s="2">
        <v>134.72</v>
      </c>
      <c r="P1296" s="2">
        <f t="shared" si="100"/>
        <v>38</v>
      </c>
      <c r="Q1296" s="4">
        <f t="shared" si="101"/>
        <v>0.40625</v>
      </c>
      <c r="R1296" s="2" t="str">
        <f t="shared" si="102"/>
        <v>Inefficient</v>
      </c>
      <c r="S1296" s="2" t="str">
        <f t="shared" si="103"/>
        <v>Long</v>
      </c>
      <c r="T1296" s="2" t="str">
        <f t="shared" si="104"/>
        <v>Major Delay</v>
      </c>
    </row>
    <row r="1297" spans="1:20" x14ac:dyDescent="0.35">
      <c r="A1297" s="2" t="s">
        <v>2777</v>
      </c>
      <c r="B1297" s="2" t="s">
        <v>16</v>
      </c>
      <c r="C1297" s="2" t="s">
        <v>2778</v>
      </c>
      <c r="D1297" s="2" t="s">
        <v>56</v>
      </c>
      <c r="E1297" s="2" t="s">
        <v>33</v>
      </c>
      <c r="F1297" s="2" t="s">
        <v>57</v>
      </c>
      <c r="G1297" s="2" t="s">
        <v>191</v>
      </c>
      <c r="H1297" s="3">
        <v>45387.081944444442</v>
      </c>
      <c r="I1297" s="3">
        <v>45387.270833333336</v>
      </c>
      <c r="J1297" s="2">
        <v>211</v>
      </c>
      <c r="K1297" s="2">
        <v>272</v>
      </c>
      <c r="L1297" s="2">
        <v>1</v>
      </c>
      <c r="M1297" s="2" t="s">
        <v>29</v>
      </c>
      <c r="N1297" s="2">
        <v>4</v>
      </c>
      <c r="O1297" s="2">
        <v>437.8</v>
      </c>
      <c r="P1297" s="2">
        <f t="shared" si="100"/>
        <v>61</v>
      </c>
      <c r="Q1297" s="4">
        <f t="shared" si="101"/>
        <v>0.77573529411764708</v>
      </c>
      <c r="R1297" s="2" t="str">
        <f t="shared" si="102"/>
        <v>Inefficient</v>
      </c>
      <c r="S1297" s="2" t="str">
        <f t="shared" si="103"/>
        <v>Very Long</v>
      </c>
      <c r="T1297" s="2" t="str">
        <f t="shared" si="104"/>
        <v>Major Delay</v>
      </c>
    </row>
    <row r="1298" spans="1:20" x14ac:dyDescent="0.35">
      <c r="A1298" s="2" t="s">
        <v>2779</v>
      </c>
      <c r="B1298" s="2" t="s">
        <v>31</v>
      </c>
      <c r="C1298" s="2" t="s">
        <v>2780</v>
      </c>
      <c r="D1298" s="2" t="s">
        <v>48</v>
      </c>
      <c r="E1298" s="2" t="s">
        <v>38</v>
      </c>
      <c r="F1298" s="2" t="s">
        <v>27</v>
      </c>
      <c r="G1298" s="2" t="s">
        <v>251</v>
      </c>
      <c r="H1298" s="3">
        <v>45383.628472222219</v>
      </c>
      <c r="I1298" s="3">
        <v>45383.792361111111</v>
      </c>
      <c r="J1298" s="2">
        <v>201</v>
      </c>
      <c r="K1298" s="2">
        <v>236</v>
      </c>
      <c r="L1298" s="2">
        <v>1</v>
      </c>
      <c r="M1298" s="2" t="s">
        <v>41</v>
      </c>
      <c r="N1298" s="2">
        <v>10</v>
      </c>
      <c r="O1298" s="2">
        <v>95.31</v>
      </c>
      <c r="P1298" s="2">
        <f t="shared" si="100"/>
        <v>35</v>
      </c>
      <c r="Q1298" s="4">
        <f t="shared" si="101"/>
        <v>0.85169491525423724</v>
      </c>
      <c r="R1298" s="2" t="str">
        <f t="shared" si="102"/>
        <v>Inefficient</v>
      </c>
      <c r="S1298" s="2" t="str">
        <f t="shared" si="103"/>
        <v>Very Long</v>
      </c>
      <c r="T1298" s="2" t="str">
        <f t="shared" si="104"/>
        <v>Major Delay</v>
      </c>
    </row>
    <row r="1299" spans="1:20" x14ac:dyDescent="0.35">
      <c r="A1299" s="2" t="s">
        <v>2781</v>
      </c>
      <c r="B1299" s="2" t="s">
        <v>31</v>
      </c>
      <c r="C1299" s="2" t="s">
        <v>2782</v>
      </c>
      <c r="D1299" s="2" t="s">
        <v>44</v>
      </c>
      <c r="E1299" s="2" t="s">
        <v>85</v>
      </c>
      <c r="F1299" s="2" t="s">
        <v>39</v>
      </c>
      <c r="G1299" s="2" t="s">
        <v>65</v>
      </c>
      <c r="H1299" s="3">
        <v>45624.898611111108</v>
      </c>
      <c r="I1299" s="3">
        <v>45625.036111111112</v>
      </c>
      <c r="J1299" s="2">
        <v>200</v>
      </c>
      <c r="K1299" s="2">
        <v>198</v>
      </c>
      <c r="L1299" s="2">
        <v>0</v>
      </c>
      <c r="M1299" s="2" t="s">
        <v>22</v>
      </c>
      <c r="N1299" s="2">
        <v>2</v>
      </c>
      <c r="O1299" s="2">
        <v>95.92</v>
      </c>
      <c r="P1299" s="2">
        <f t="shared" si="100"/>
        <v>-2</v>
      </c>
      <c r="Q1299" s="4">
        <f t="shared" si="101"/>
        <v>1.0101010101010102</v>
      </c>
      <c r="R1299" s="2" t="str">
        <f t="shared" si="102"/>
        <v>Efficient</v>
      </c>
      <c r="S1299" s="2" t="str">
        <f t="shared" si="103"/>
        <v>Very Long</v>
      </c>
      <c r="T1299" s="2" t="str">
        <f t="shared" si="104"/>
        <v>On Time</v>
      </c>
    </row>
    <row r="1300" spans="1:20" x14ac:dyDescent="0.35">
      <c r="A1300" s="2" t="s">
        <v>2783</v>
      </c>
      <c r="B1300" s="2" t="s">
        <v>24</v>
      </c>
      <c r="C1300" s="2" t="s">
        <v>2784</v>
      </c>
      <c r="D1300" s="2" t="s">
        <v>44</v>
      </c>
      <c r="E1300" s="2" t="s">
        <v>33</v>
      </c>
      <c r="F1300" s="2" t="s">
        <v>39</v>
      </c>
      <c r="G1300" s="2" t="s">
        <v>167</v>
      </c>
      <c r="H1300" s="3">
        <v>45646.86041666667</v>
      </c>
      <c r="I1300" s="3">
        <v>45647.07916666667</v>
      </c>
      <c r="J1300" s="2">
        <v>195</v>
      </c>
      <c r="K1300" s="2">
        <v>315</v>
      </c>
      <c r="L1300" s="2">
        <v>1</v>
      </c>
      <c r="M1300" s="2" t="s">
        <v>22</v>
      </c>
      <c r="N1300" s="2">
        <v>7</v>
      </c>
      <c r="O1300" s="2">
        <v>167.93</v>
      </c>
      <c r="P1300" s="2">
        <f t="shared" si="100"/>
        <v>120</v>
      </c>
      <c r="Q1300" s="4">
        <f t="shared" si="101"/>
        <v>0.61904761904761907</v>
      </c>
      <c r="R1300" s="2" t="str">
        <f t="shared" si="102"/>
        <v>Inefficient</v>
      </c>
      <c r="S1300" s="2" t="str">
        <f t="shared" si="103"/>
        <v>Very Long</v>
      </c>
      <c r="T1300" s="2" t="str">
        <f t="shared" si="104"/>
        <v>Major Delay</v>
      </c>
    </row>
    <row r="1301" spans="1:20" x14ac:dyDescent="0.35">
      <c r="A1301" s="2" t="s">
        <v>2785</v>
      </c>
      <c r="B1301" s="2" t="s">
        <v>51</v>
      </c>
      <c r="C1301" s="2" t="s">
        <v>2786</v>
      </c>
      <c r="D1301" s="2" t="s">
        <v>56</v>
      </c>
      <c r="E1301" s="2" t="s">
        <v>19</v>
      </c>
      <c r="F1301" s="2" t="s">
        <v>57</v>
      </c>
      <c r="G1301" s="2" t="s">
        <v>640</v>
      </c>
      <c r="H1301" s="3">
        <v>45434.581250000003</v>
      </c>
      <c r="I1301" s="3">
        <v>45434.774305555555</v>
      </c>
      <c r="J1301" s="2">
        <v>216</v>
      </c>
      <c r="K1301" s="2">
        <v>278</v>
      </c>
      <c r="L1301" s="2">
        <v>1</v>
      </c>
      <c r="M1301" s="2" t="s">
        <v>22</v>
      </c>
      <c r="N1301" s="2">
        <v>2</v>
      </c>
      <c r="O1301" s="2">
        <v>215.1</v>
      </c>
      <c r="P1301" s="2">
        <f t="shared" si="100"/>
        <v>62</v>
      </c>
      <c r="Q1301" s="4">
        <f t="shared" si="101"/>
        <v>0.7769784172661871</v>
      </c>
      <c r="R1301" s="2" t="str">
        <f t="shared" si="102"/>
        <v>Inefficient</v>
      </c>
      <c r="S1301" s="2" t="str">
        <f t="shared" si="103"/>
        <v>Very Long</v>
      </c>
      <c r="T1301" s="2" t="str">
        <f t="shared" si="104"/>
        <v>Major Delay</v>
      </c>
    </row>
    <row r="1302" spans="1:20" x14ac:dyDescent="0.35">
      <c r="A1302" s="2" t="s">
        <v>2787</v>
      </c>
      <c r="B1302" s="2" t="s">
        <v>31</v>
      </c>
      <c r="C1302" s="2" t="s">
        <v>2788</v>
      </c>
      <c r="D1302" s="2" t="s">
        <v>18</v>
      </c>
      <c r="E1302" s="2" t="s">
        <v>38</v>
      </c>
      <c r="F1302" s="2" t="s">
        <v>27</v>
      </c>
      <c r="G1302" s="2" t="s">
        <v>213</v>
      </c>
      <c r="H1302" s="3">
        <v>45416.186805555553</v>
      </c>
      <c r="I1302" s="3">
        <v>45416.262499999997</v>
      </c>
      <c r="J1302" s="2">
        <v>10</v>
      </c>
      <c r="K1302" s="2">
        <v>109</v>
      </c>
      <c r="L1302" s="2">
        <v>1</v>
      </c>
      <c r="M1302" s="2" t="s">
        <v>22</v>
      </c>
      <c r="N1302" s="2">
        <v>7</v>
      </c>
      <c r="O1302" s="2">
        <v>77.319999999999993</v>
      </c>
      <c r="P1302" s="2">
        <f t="shared" si="100"/>
        <v>99</v>
      </c>
      <c r="Q1302" s="4">
        <f t="shared" si="101"/>
        <v>9.1743119266055051E-2</v>
      </c>
      <c r="R1302" s="2" t="str">
        <f t="shared" si="102"/>
        <v>Inefficient</v>
      </c>
      <c r="S1302" s="2" t="str">
        <f t="shared" si="103"/>
        <v>Long</v>
      </c>
      <c r="T1302" s="2" t="str">
        <f t="shared" si="104"/>
        <v>Major Delay</v>
      </c>
    </row>
    <row r="1303" spans="1:20" x14ac:dyDescent="0.35">
      <c r="A1303" s="2" t="s">
        <v>2789</v>
      </c>
      <c r="B1303" s="2" t="s">
        <v>51</v>
      </c>
      <c r="C1303" s="2" t="s">
        <v>2790</v>
      </c>
      <c r="D1303" s="2" t="s">
        <v>18</v>
      </c>
      <c r="E1303" s="2" t="s">
        <v>85</v>
      </c>
      <c r="F1303" s="2" t="s">
        <v>27</v>
      </c>
      <c r="G1303" s="2" t="s">
        <v>1125</v>
      </c>
      <c r="H1303" s="3">
        <v>45358.586111111108</v>
      </c>
      <c r="I1303" s="3">
        <v>45358.784722222219</v>
      </c>
      <c r="J1303" s="2">
        <v>204</v>
      </c>
      <c r="K1303" s="2">
        <v>286</v>
      </c>
      <c r="L1303" s="2">
        <v>1</v>
      </c>
      <c r="M1303" s="2" t="s">
        <v>41</v>
      </c>
      <c r="N1303" s="2">
        <v>9</v>
      </c>
      <c r="O1303" s="2">
        <v>203.92</v>
      </c>
      <c r="P1303" s="2">
        <f t="shared" si="100"/>
        <v>82</v>
      </c>
      <c r="Q1303" s="4">
        <f t="shared" si="101"/>
        <v>0.71328671328671334</v>
      </c>
      <c r="R1303" s="2" t="str">
        <f t="shared" si="102"/>
        <v>Inefficient</v>
      </c>
      <c r="S1303" s="2" t="str">
        <f t="shared" si="103"/>
        <v>Very Long</v>
      </c>
      <c r="T1303" s="2" t="str">
        <f t="shared" si="104"/>
        <v>Major Delay</v>
      </c>
    </row>
    <row r="1304" spans="1:20" x14ac:dyDescent="0.35">
      <c r="A1304" s="2" t="s">
        <v>2791</v>
      </c>
      <c r="B1304" s="2" t="s">
        <v>16</v>
      </c>
      <c r="C1304" s="2" t="s">
        <v>2792</v>
      </c>
      <c r="D1304" s="2" t="s">
        <v>44</v>
      </c>
      <c r="E1304" s="2" t="s">
        <v>33</v>
      </c>
      <c r="F1304" s="2" t="s">
        <v>34</v>
      </c>
      <c r="G1304" s="2" t="s">
        <v>114</v>
      </c>
      <c r="H1304" s="3">
        <v>45330.734027777777</v>
      </c>
      <c r="I1304" s="3">
        <v>45330.870138888888</v>
      </c>
      <c r="J1304" s="2">
        <v>116</v>
      </c>
      <c r="K1304" s="2">
        <v>196</v>
      </c>
      <c r="L1304" s="2">
        <v>1</v>
      </c>
      <c r="M1304" s="2" t="s">
        <v>41</v>
      </c>
      <c r="N1304" s="2">
        <v>10</v>
      </c>
      <c r="O1304" s="2">
        <v>59.85</v>
      </c>
      <c r="P1304" s="2">
        <f t="shared" si="100"/>
        <v>80</v>
      </c>
      <c r="Q1304" s="4">
        <f t="shared" si="101"/>
        <v>0.59183673469387754</v>
      </c>
      <c r="R1304" s="2" t="str">
        <f t="shared" si="102"/>
        <v>Inefficient</v>
      </c>
      <c r="S1304" s="2" t="str">
        <f t="shared" si="103"/>
        <v>Very Long</v>
      </c>
      <c r="T1304" s="2" t="str">
        <f t="shared" si="104"/>
        <v>Major Delay</v>
      </c>
    </row>
    <row r="1305" spans="1:20" x14ac:dyDescent="0.35">
      <c r="A1305" s="2" t="s">
        <v>2793</v>
      </c>
      <c r="B1305" s="2" t="s">
        <v>16</v>
      </c>
      <c r="C1305" s="2" t="s">
        <v>2794</v>
      </c>
      <c r="D1305" s="2" t="s">
        <v>48</v>
      </c>
      <c r="E1305" s="2" t="s">
        <v>33</v>
      </c>
      <c r="F1305" s="2" t="s">
        <v>27</v>
      </c>
      <c r="G1305" s="2" t="s">
        <v>364</v>
      </c>
      <c r="H1305" s="3">
        <v>45589.432638888888</v>
      </c>
      <c r="I1305" s="3">
        <v>45589.561805555553</v>
      </c>
      <c r="J1305" s="2">
        <v>88</v>
      </c>
      <c r="K1305" s="2">
        <v>186</v>
      </c>
      <c r="L1305" s="2">
        <v>1</v>
      </c>
      <c r="M1305" s="2" t="s">
        <v>41</v>
      </c>
      <c r="N1305" s="2">
        <v>8</v>
      </c>
      <c r="O1305" s="2">
        <v>459.11</v>
      </c>
      <c r="P1305" s="2">
        <f t="shared" si="100"/>
        <v>98</v>
      </c>
      <c r="Q1305" s="4">
        <f t="shared" si="101"/>
        <v>0.4731182795698925</v>
      </c>
      <c r="R1305" s="2" t="str">
        <f t="shared" si="102"/>
        <v>Inefficient</v>
      </c>
      <c r="S1305" s="2" t="str">
        <f t="shared" si="103"/>
        <v>Very Long</v>
      </c>
      <c r="T1305" s="2" t="str">
        <f t="shared" si="104"/>
        <v>Major Delay</v>
      </c>
    </row>
    <row r="1306" spans="1:20" x14ac:dyDescent="0.35">
      <c r="A1306" s="2" t="s">
        <v>2795</v>
      </c>
      <c r="B1306" s="2" t="s">
        <v>63</v>
      </c>
      <c r="C1306" s="2" t="s">
        <v>2796</v>
      </c>
      <c r="D1306" s="2" t="s">
        <v>44</v>
      </c>
      <c r="E1306" s="2" t="s">
        <v>33</v>
      </c>
      <c r="F1306" s="2" t="s">
        <v>57</v>
      </c>
      <c r="G1306" s="2" t="s">
        <v>1413</v>
      </c>
      <c r="H1306" s="3">
        <v>45347.121527777781</v>
      </c>
      <c r="I1306" s="3">
        <v>45347.208333333336</v>
      </c>
      <c r="J1306" s="2">
        <v>47</v>
      </c>
      <c r="K1306" s="2">
        <v>125</v>
      </c>
      <c r="L1306" s="2">
        <v>1</v>
      </c>
      <c r="M1306" s="2" t="s">
        <v>22</v>
      </c>
      <c r="N1306" s="2">
        <v>10</v>
      </c>
      <c r="O1306" s="2">
        <v>173.91</v>
      </c>
      <c r="P1306" s="2">
        <f t="shared" si="100"/>
        <v>78</v>
      </c>
      <c r="Q1306" s="4">
        <f t="shared" si="101"/>
        <v>0.376</v>
      </c>
      <c r="R1306" s="2" t="str">
        <f t="shared" si="102"/>
        <v>Inefficient</v>
      </c>
      <c r="S1306" s="2" t="str">
        <f t="shared" si="103"/>
        <v>Very Long</v>
      </c>
      <c r="T1306" s="2" t="str">
        <f t="shared" si="104"/>
        <v>Major Delay</v>
      </c>
    </row>
    <row r="1307" spans="1:20" x14ac:dyDescent="0.35">
      <c r="A1307" s="2" t="s">
        <v>2797</v>
      </c>
      <c r="B1307" s="2" t="s">
        <v>16</v>
      </c>
      <c r="C1307" s="2" t="s">
        <v>2798</v>
      </c>
      <c r="D1307" s="2" t="s">
        <v>44</v>
      </c>
      <c r="E1307" s="2" t="s">
        <v>85</v>
      </c>
      <c r="F1307" s="2" t="s">
        <v>34</v>
      </c>
      <c r="G1307" s="2" t="s">
        <v>602</v>
      </c>
      <c r="H1307" s="3">
        <v>45350.857638888891</v>
      </c>
      <c r="I1307" s="3">
        <v>45351.013888888891</v>
      </c>
      <c r="J1307" s="2">
        <v>158</v>
      </c>
      <c r="K1307" s="2">
        <v>225</v>
      </c>
      <c r="L1307" s="2">
        <v>1</v>
      </c>
      <c r="M1307" s="2" t="s">
        <v>29</v>
      </c>
      <c r="N1307" s="2">
        <v>8</v>
      </c>
      <c r="O1307" s="2">
        <v>495</v>
      </c>
      <c r="P1307" s="2">
        <f t="shared" si="100"/>
        <v>67</v>
      </c>
      <c r="Q1307" s="4">
        <f t="shared" si="101"/>
        <v>0.70222222222222219</v>
      </c>
      <c r="R1307" s="2" t="str">
        <f t="shared" si="102"/>
        <v>Inefficient</v>
      </c>
      <c r="S1307" s="2" t="str">
        <f t="shared" si="103"/>
        <v>Very Long</v>
      </c>
      <c r="T1307" s="2" t="str">
        <f t="shared" si="104"/>
        <v>Major Delay</v>
      </c>
    </row>
    <row r="1308" spans="1:20" x14ac:dyDescent="0.35">
      <c r="A1308" s="2" t="s">
        <v>2799</v>
      </c>
      <c r="B1308" s="2" t="s">
        <v>51</v>
      </c>
      <c r="C1308" s="2" t="s">
        <v>2800</v>
      </c>
      <c r="D1308" s="2" t="s">
        <v>26</v>
      </c>
      <c r="E1308" s="2" t="s">
        <v>33</v>
      </c>
      <c r="F1308" s="2" t="s">
        <v>34</v>
      </c>
      <c r="G1308" s="2" t="s">
        <v>161</v>
      </c>
      <c r="H1308" s="3">
        <v>45541.415972222225</v>
      </c>
      <c r="I1308" s="3">
        <v>45541.600694444445</v>
      </c>
      <c r="J1308" s="2">
        <v>229</v>
      </c>
      <c r="K1308" s="2">
        <v>266</v>
      </c>
      <c r="L1308" s="2">
        <v>1</v>
      </c>
      <c r="M1308" s="2" t="s">
        <v>29</v>
      </c>
      <c r="N1308" s="2">
        <v>8</v>
      </c>
      <c r="O1308" s="2">
        <v>306.48</v>
      </c>
      <c r="P1308" s="2">
        <f t="shared" si="100"/>
        <v>37</v>
      </c>
      <c r="Q1308" s="4">
        <f t="shared" si="101"/>
        <v>0.86090225563909772</v>
      </c>
      <c r="R1308" s="2" t="str">
        <f t="shared" si="102"/>
        <v>Inefficient</v>
      </c>
      <c r="S1308" s="2" t="str">
        <f t="shared" si="103"/>
        <v>Very Long</v>
      </c>
      <c r="T1308" s="2" t="str">
        <f t="shared" si="104"/>
        <v>Major Delay</v>
      </c>
    </row>
    <row r="1309" spans="1:20" x14ac:dyDescent="0.35">
      <c r="A1309" s="2" t="s">
        <v>2801</v>
      </c>
      <c r="B1309" s="2" t="s">
        <v>31</v>
      </c>
      <c r="C1309" s="2" t="s">
        <v>2802</v>
      </c>
      <c r="D1309" s="2" t="s">
        <v>44</v>
      </c>
      <c r="E1309" s="2" t="s">
        <v>38</v>
      </c>
      <c r="F1309" s="2" t="s">
        <v>57</v>
      </c>
      <c r="G1309" s="2" t="s">
        <v>299</v>
      </c>
      <c r="H1309" s="3">
        <v>45550.111805555556</v>
      </c>
      <c r="I1309" s="3">
        <v>45550.313194444447</v>
      </c>
      <c r="J1309" s="2">
        <v>194</v>
      </c>
      <c r="K1309" s="2">
        <v>290</v>
      </c>
      <c r="L1309" s="2">
        <v>1</v>
      </c>
      <c r="M1309" s="2" t="s">
        <v>41</v>
      </c>
      <c r="N1309" s="2">
        <v>10</v>
      </c>
      <c r="O1309" s="2">
        <v>297.52999999999997</v>
      </c>
      <c r="P1309" s="2">
        <f t="shared" si="100"/>
        <v>96</v>
      </c>
      <c r="Q1309" s="4">
        <f t="shared" si="101"/>
        <v>0.66896551724137931</v>
      </c>
      <c r="R1309" s="2" t="str">
        <f t="shared" si="102"/>
        <v>Inefficient</v>
      </c>
      <c r="S1309" s="2" t="str">
        <f t="shared" si="103"/>
        <v>Very Long</v>
      </c>
      <c r="T1309" s="2" t="str">
        <f t="shared" si="104"/>
        <v>Major Delay</v>
      </c>
    </row>
    <row r="1310" spans="1:20" x14ac:dyDescent="0.35">
      <c r="A1310" s="2" t="s">
        <v>2803</v>
      </c>
      <c r="B1310" s="2" t="s">
        <v>31</v>
      </c>
      <c r="C1310" s="2" t="s">
        <v>2804</v>
      </c>
      <c r="D1310" s="2" t="s">
        <v>26</v>
      </c>
      <c r="E1310" s="2" t="s">
        <v>33</v>
      </c>
      <c r="F1310" s="2" t="s">
        <v>27</v>
      </c>
      <c r="G1310" s="2" t="s">
        <v>58</v>
      </c>
      <c r="H1310" s="3">
        <v>45458.216666666667</v>
      </c>
      <c r="I1310" s="3">
        <v>45458.224305555559</v>
      </c>
      <c r="J1310" s="2">
        <v>15</v>
      </c>
      <c r="K1310" s="2">
        <v>11</v>
      </c>
      <c r="L1310" s="2">
        <v>0</v>
      </c>
      <c r="M1310" s="2" t="s">
        <v>41</v>
      </c>
      <c r="N1310" s="2">
        <v>10</v>
      </c>
      <c r="O1310" s="2">
        <v>105.21</v>
      </c>
      <c r="P1310" s="2">
        <f t="shared" si="100"/>
        <v>-4</v>
      </c>
      <c r="Q1310" s="4">
        <f t="shared" si="101"/>
        <v>1.3636363636363635</v>
      </c>
      <c r="R1310" s="2" t="str">
        <f t="shared" si="102"/>
        <v>Efficient</v>
      </c>
      <c r="S1310" s="2" t="str">
        <f t="shared" si="103"/>
        <v>Short</v>
      </c>
      <c r="T1310" s="2" t="str">
        <f t="shared" si="104"/>
        <v>On Time</v>
      </c>
    </row>
    <row r="1311" spans="1:20" x14ac:dyDescent="0.35">
      <c r="A1311" s="2" t="s">
        <v>2805</v>
      </c>
      <c r="B1311" s="2" t="s">
        <v>16</v>
      </c>
      <c r="C1311" s="2" t="s">
        <v>2806</v>
      </c>
      <c r="D1311" s="2" t="s">
        <v>56</v>
      </c>
      <c r="E1311" s="2" t="s">
        <v>19</v>
      </c>
      <c r="F1311" s="2" t="s">
        <v>34</v>
      </c>
      <c r="G1311" s="2" t="s">
        <v>669</v>
      </c>
      <c r="H1311" s="3">
        <v>45293.554166666669</v>
      </c>
      <c r="I1311" s="3">
        <v>45293.684027777781</v>
      </c>
      <c r="J1311" s="2">
        <v>68</v>
      </c>
      <c r="K1311" s="2">
        <v>187</v>
      </c>
      <c r="L1311" s="2">
        <v>1</v>
      </c>
      <c r="M1311" s="2" t="s">
        <v>29</v>
      </c>
      <c r="N1311" s="2">
        <v>6</v>
      </c>
      <c r="O1311" s="2">
        <v>158.02000000000001</v>
      </c>
      <c r="P1311" s="2">
        <f t="shared" si="100"/>
        <v>119</v>
      </c>
      <c r="Q1311" s="4">
        <f t="shared" si="101"/>
        <v>0.36363636363636365</v>
      </c>
      <c r="R1311" s="2" t="str">
        <f t="shared" si="102"/>
        <v>Inefficient</v>
      </c>
      <c r="S1311" s="2" t="str">
        <f t="shared" si="103"/>
        <v>Very Long</v>
      </c>
      <c r="T1311" s="2" t="str">
        <f t="shared" si="104"/>
        <v>Major Delay</v>
      </c>
    </row>
    <row r="1312" spans="1:20" x14ac:dyDescent="0.35">
      <c r="A1312" s="2" t="s">
        <v>2807</v>
      </c>
      <c r="B1312" s="2" t="s">
        <v>24</v>
      </c>
      <c r="C1312" s="2" t="s">
        <v>2808</v>
      </c>
      <c r="D1312" s="2" t="s">
        <v>48</v>
      </c>
      <c r="E1312" s="2" t="s">
        <v>19</v>
      </c>
      <c r="F1312" s="2" t="s">
        <v>20</v>
      </c>
      <c r="G1312" s="2" t="s">
        <v>111</v>
      </c>
      <c r="H1312" s="3">
        <v>45512.658333333333</v>
      </c>
      <c r="I1312" s="3">
        <v>45512.850694444445</v>
      </c>
      <c r="J1312" s="2">
        <v>226</v>
      </c>
      <c r="K1312" s="2">
        <v>277</v>
      </c>
      <c r="L1312" s="2">
        <v>1</v>
      </c>
      <c r="M1312" s="2" t="s">
        <v>22</v>
      </c>
      <c r="N1312" s="2">
        <v>6</v>
      </c>
      <c r="O1312" s="2">
        <v>202.59</v>
      </c>
      <c r="P1312" s="2">
        <f t="shared" si="100"/>
        <v>51</v>
      </c>
      <c r="Q1312" s="4">
        <f t="shared" si="101"/>
        <v>0.81588447653429608</v>
      </c>
      <c r="R1312" s="2" t="str">
        <f t="shared" si="102"/>
        <v>Inefficient</v>
      </c>
      <c r="S1312" s="2" t="str">
        <f t="shared" si="103"/>
        <v>Very Long</v>
      </c>
      <c r="T1312" s="2" t="str">
        <f t="shared" si="104"/>
        <v>Major Delay</v>
      </c>
    </row>
    <row r="1313" spans="1:20" x14ac:dyDescent="0.35">
      <c r="A1313" s="2" t="s">
        <v>2809</v>
      </c>
      <c r="B1313" s="2" t="s">
        <v>63</v>
      </c>
      <c r="C1313" s="2" t="s">
        <v>2810</v>
      </c>
      <c r="D1313" s="2" t="s">
        <v>18</v>
      </c>
      <c r="E1313" s="2" t="s">
        <v>19</v>
      </c>
      <c r="F1313" s="2" t="s">
        <v>27</v>
      </c>
      <c r="G1313" s="2" t="s">
        <v>73</v>
      </c>
      <c r="H1313" s="3">
        <v>45422.415972222225</v>
      </c>
      <c r="I1313" s="3">
        <v>45422.589583333334</v>
      </c>
      <c r="J1313" s="2">
        <v>211</v>
      </c>
      <c r="K1313" s="2">
        <v>250</v>
      </c>
      <c r="L1313" s="2">
        <v>1</v>
      </c>
      <c r="M1313" s="2" t="s">
        <v>22</v>
      </c>
      <c r="N1313" s="2">
        <v>9</v>
      </c>
      <c r="O1313" s="2">
        <v>260.48</v>
      </c>
      <c r="P1313" s="2">
        <f t="shared" si="100"/>
        <v>39</v>
      </c>
      <c r="Q1313" s="4">
        <f t="shared" si="101"/>
        <v>0.84399999999999997</v>
      </c>
      <c r="R1313" s="2" t="str">
        <f t="shared" si="102"/>
        <v>Inefficient</v>
      </c>
      <c r="S1313" s="2" t="str">
        <f t="shared" si="103"/>
        <v>Very Long</v>
      </c>
      <c r="T1313" s="2" t="str">
        <f t="shared" si="104"/>
        <v>Major Delay</v>
      </c>
    </row>
    <row r="1314" spans="1:20" x14ac:dyDescent="0.35">
      <c r="A1314" s="2" t="s">
        <v>2811</v>
      </c>
      <c r="B1314" s="2" t="s">
        <v>63</v>
      </c>
      <c r="C1314" s="2" t="s">
        <v>2812</v>
      </c>
      <c r="D1314" s="2" t="s">
        <v>44</v>
      </c>
      <c r="E1314" s="2" t="s">
        <v>19</v>
      </c>
      <c r="F1314" s="2" t="s">
        <v>27</v>
      </c>
      <c r="G1314" s="2" t="s">
        <v>21</v>
      </c>
      <c r="H1314" s="3">
        <v>45536.168055555558</v>
      </c>
      <c r="I1314" s="3">
        <v>45536.401388888888</v>
      </c>
      <c r="J1314" s="2">
        <v>231</v>
      </c>
      <c r="K1314" s="2">
        <v>336</v>
      </c>
      <c r="L1314" s="2">
        <v>1</v>
      </c>
      <c r="M1314" s="2" t="s">
        <v>22</v>
      </c>
      <c r="N1314" s="2">
        <v>8</v>
      </c>
      <c r="O1314" s="2">
        <v>326.45</v>
      </c>
      <c r="P1314" s="2">
        <f t="shared" si="100"/>
        <v>105</v>
      </c>
      <c r="Q1314" s="4">
        <f t="shared" si="101"/>
        <v>0.6875</v>
      </c>
      <c r="R1314" s="2" t="str">
        <f t="shared" si="102"/>
        <v>Inefficient</v>
      </c>
      <c r="S1314" s="2" t="str">
        <f t="shared" si="103"/>
        <v>Very Long</v>
      </c>
      <c r="T1314" s="2" t="str">
        <f t="shared" si="104"/>
        <v>Major Delay</v>
      </c>
    </row>
    <row r="1315" spans="1:20" x14ac:dyDescent="0.35">
      <c r="A1315" s="2" t="s">
        <v>2813</v>
      </c>
      <c r="B1315" s="2" t="s">
        <v>16</v>
      </c>
      <c r="C1315" s="2" t="s">
        <v>2814</v>
      </c>
      <c r="D1315" s="2" t="s">
        <v>18</v>
      </c>
      <c r="E1315" s="2" t="s">
        <v>38</v>
      </c>
      <c r="F1315" s="2" t="s">
        <v>57</v>
      </c>
      <c r="G1315" s="2" t="s">
        <v>383</v>
      </c>
      <c r="H1315" s="3">
        <v>45575.544444444444</v>
      </c>
      <c r="I1315" s="3">
        <v>45575.706250000003</v>
      </c>
      <c r="J1315" s="2">
        <v>202</v>
      </c>
      <c r="K1315" s="2">
        <v>233</v>
      </c>
      <c r="L1315" s="2">
        <v>1</v>
      </c>
      <c r="M1315" s="2" t="s">
        <v>41</v>
      </c>
      <c r="N1315" s="2">
        <v>9</v>
      </c>
      <c r="O1315" s="2">
        <v>350.59</v>
      </c>
      <c r="P1315" s="2">
        <f t="shared" si="100"/>
        <v>31</v>
      </c>
      <c r="Q1315" s="4">
        <f t="shared" si="101"/>
        <v>0.86695278969957079</v>
      </c>
      <c r="R1315" s="2" t="str">
        <f t="shared" si="102"/>
        <v>Inefficient</v>
      </c>
      <c r="S1315" s="2" t="str">
        <f t="shared" si="103"/>
        <v>Very Long</v>
      </c>
      <c r="T1315" s="2" t="str">
        <f t="shared" si="104"/>
        <v>Major Delay</v>
      </c>
    </row>
    <row r="1316" spans="1:20" x14ac:dyDescent="0.35">
      <c r="A1316" s="2" t="s">
        <v>2815</v>
      </c>
      <c r="B1316" s="2" t="s">
        <v>51</v>
      </c>
      <c r="C1316" s="2" t="s">
        <v>2816</v>
      </c>
      <c r="D1316" s="2" t="s">
        <v>56</v>
      </c>
      <c r="E1316" s="2" t="s">
        <v>85</v>
      </c>
      <c r="F1316" s="2" t="s">
        <v>20</v>
      </c>
      <c r="G1316" s="2" t="s">
        <v>359</v>
      </c>
      <c r="H1316" s="3">
        <v>45308.140277777777</v>
      </c>
      <c r="I1316" s="3">
        <v>45308.283333333333</v>
      </c>
      <c r="J1316" s="2">
        <v>94</v>
      </c>
      <c r="K1316" s="2">
        <v>206</v>
      </c>
      <c r="L1316" s="2">
        <v>1</v>
      </c>
      <c r="M1316" s="2" t="s">
        <v>22</v>
      </c>
      <c r="N1316" s="2">
        <v>2</v>
      </c>
      <c r="O1316" s="2">
        <v>384.23</v>
      </c>
      <c r="P1316" s="2">
        <f t="shared" si="100"/>
        <v>112</v>
      </c>
      <c r="Q1316" s="4">
        <f t="shared" si="101"/>
        <v>0.4563106796116505</v>
      </c>
      <c r="R1316" s="2" t="str">
        <f t="shared" si="102"/>
        <v>Inefficient</v>
      </c>
      <c r="S1316" s="2" t="str">
        <f t="shared" si="103"/>
        <v>Very Long</v>
      </c>
      <c r="T1316" s="2" t="str">
        <f t="shared" si="104"/>
        <v>Major Delay</v>
      </c>
    </row>
    <row r="1317" spans="1:20" x14ac:dyDescent="0.35">
      <c r="A1317" s="2" t="s">
        <v>2817</v>
      </c>
      <c r="B1317" s="2" t="s">
        <v>51</v>
      </c>
      <c r="C1317" s="2" t="s">
        <v>2818</v>
      </c>
      <c r="D1317" s="2" t="s">
        <v>48</v>
      </c>
      <c r="E1317" s="2" t="s">
        <v>85</v>
      </c>
      <c r="F1317" s="2" t="s">
        <v>39</v>
      </c>
      <c r="G1317" s="2" t="s">
        <v>222</v>
      </c>
      <c r="H1317" s="3">
        <v>45344.709722222222</v>
      </c>
      <c r="I1317" s="3">
        <v>45344.839583333334</v>
      </c>
      <c r="J1317" s="2">
        <v>68</v>
      </c>
      <c r="K1317" s="2">
        <v>187</v>
      </c>
      <c r="L1317" s="2">
        <v>1</v>
      </c>
      <c r="M1317" s="2" t="s">
        <v>22</v>
      </c>
      <c r="N1317" s="2">
        <v>6</v>
      </c>
      <c r="O1317" s="2">
        <v>166.92</v>
      </c>
      <c r="P1317" s="2">
        <f t="shared" si="100"/>
        <v>119</v>
      </c>
      <c r="Q1317" s="4">
        <f t="shared" si="101"/>
        <v>0.36363636363636365</v>
      </c>
      <c r="R1317" s="2" t="str">
        <f t="shared" si="102"/>
        <v>Inefficient</v>
      </c>
      <c r="S1317" s="2" t="str">
        <f t="shared" si="103"/>
        <v>Very Long</v>
      </c>
      <c r="T1317" s="2" t="str">
        <f t="shared" si="104"/>
        <v>Major Delay</v>
      </c>
    </row>
    <row r="1318" spans="1:20" x14ac:dyDescent="0.35">
      <c r="A1318" s="2" t="s">
        <v>2819</v>
      </c>
      <c r="B1318" s="2" t="s">
        <v>63</v>
      </c>
      <c r="C1318" s="2" t="s">
        <v>2820</v>
      </c>
      <c r="D1318" s="2" t="s">
        <v>18</v>
      </c>
      <c r="E1318" s="2" t="s">
        <v>33</v>
      </c>
      <c r="F1318" s="2" t="s">
        <v>20</v>
      </c>
      <c r="G1318" s="2" t="s">
        <v>577</v>
      </c>
      <c r="H1318" s="3">
        <v>45309.7</v>
      </c>
      <c r="I1318" s="3">
        <v>45309.853472222225</v>
      </c>
      <c r="J1318" s="2">
        <v>133</v>
      </c>
      <c r="K1318" s="2">
        <v>221</v>
      </c>
      <c r="L1318" s="2">
        <v>1</v>
      </c>
      <c r="M1318" s="2" t="s">
        <v>22</v>
      </c>
      <c r="N1318" s="2">
        <v>7</v>
      </c>
      <c r="O1318" s="2">
        <v>336.8</v>
      </c>
      <c r="P1318" s="2">
        <f t="shared" si="100"/>
        <v>88</v>
      </c>
      <c r="Q1318" s="4">
        <f t="shared" si="101"/>
        <v>0.60180995475113119</v>
      </c>
      <c r="R1318" s="2" t="str">
        <f t="shared" si="102"/>
        <v>Inefficient</v>
      </c>
      <c r="S1318" s="2" t="str">
        <f t="shared" si="103"/>
        <v>Very Long</v>
      </c>
      <c r="T1318" s="2" t="str">
        <f t="shared" si="104"/>
        <v>Major Delay</v>
      </c>
    </row>
    <row r="1319" spans="1:20" x14ac:dyDescent="0.35">
      <c r="A1319" s="2" t="s">
        <v>2821</v>
      </c>
      <c r="B1319" s="2" t="s">
        <v>16</v>
      </c>
      <c r="C1319" s="2" t="s">
        <v>2822</v>
      </c>
      <c r="D1319" s="2" t="s">
        <v>56</v>
      </c>
      <c r="E1319" s="2" t="s">
        <v>19</v>
      </c>
      <c r="F1319" s="2" t="s">
        <v>27</v>
      </c>
      <c r="G1319" s="2" t="s">
        <v>262</v>
      </c>
      <c r="H1319" s="3">
        <v>45601.09652777778</v>
      </c>
      <c r="I1319" s="3">
        <v>45601.198611111111</v>
      </c>
      <c r="J1319" s="2">
        <v>67</v>
      </c>
      <c r="K1319" s="2">
        <v>147</v>
      </c>
      <c r="L1319" s="2">
        <v>1</v>
      </c>
      <c r="M1319" s="2" t="s">
        <v>22</v>
      </c>
      <c r="N1319" s="2">
        <v>5</v>
      </c>
      <c r="O1319" s="2">
        <v>410.88</v>
      </c>
      <c r="P1319" s="2">
        <f t="shared" si="100"/>
        <v>80</v>
      </c>
      <c r="Q1319" s="4">
        <f t="shared" si="101"/>
        <v>0.45578231292517007</v>
      </c>
      <c r="R1319" s="2" t="str">
        <f t="shared" si="102"/>
        <v>Inefficient</v>
      </c>
      <c r="S1319" s="2" t="str">
        <f t="shared" si="103"/>
        <v>Very Long</v>
      </c>
      <c r="T1319" s="2" t="str">
        <f t="shared" si="104"/>
        <v>Major Delay</v>
      </c>
    </row>
    <row r="1320" spans="1:20" x14ac:dyDescent="0.35">
      <c r="A1320" s="2" t="s">
        <v>2823</v>
      </c>
      <c r="B1320" s="2" t="s">
        <v>31</v>
      </c>
      <c r="C1320" s="2" t="s">
        <v>2824</v>
      </c>
      <c r="D1320" s="2" t="s">
        <v>44</v>
      </c>
      <c r="E1320" s="2" t="s">
        <v>85</v>
      </c>
      <c r="F1320" s="2" t="s">
        <v>20</v>
      </c>
      <c r="G1320" s="2" t="s">
        <v>111</v>
      </c>
      <c r="H1320" s="3">
        <v>45304.442361111112</v>
      </c>
      <c r="I1320" s="3">
        <v>45304.529166666667</v>
      </c>
      <c r="J1320" s="2">
        <v>17</v>
      </c>
      <c r="K1320" s="2">
        <v>125</v>
      </c>
      <c r="L1320" s="2">
        <v>1</v>
      </c>
      <c r="M1320" s="2" t="s">
        <v>29</v>
      </c>
      <c r="N1320" s="2">
        <v>5</v>
      </c>
      <c r="O1320" s="2">
        <v>66.37</v>
      </c>
      <c r="P1320" s="2">
        <f t="shared" si="100"/>
        <v>108</v>
      </c>
      <c r="Q1320" s="4">
        <f t="shared" si="101"/>
        <v>0.13600000000000001</v>
      </c>
      <c r="R1320" s="2" t="str">
        <f t="shared" si="102"/>
        <v>Inefficient</v>
      </c>
      <c r="S1320" s="2" t="str">
        <f t="shared" si="103"/>
        <v>Very Long</v>
      </c>
      <c r="T1320" s="2" t="str">
        <f t="shared" si="104"/>
        <v>Major Delay</v>
      </c>
    </row>
    <row r="1321" spans="1:20" x14ac:dyDescent="0.35">
      <c r="A1321" s="2" t="s">
        <v>2825</v>
      </c>
      <c r="B1321" s="2" t="s">
        <v>16</v>
      </c>
      <c r="C1321" s="2" t="s">
        <v>2826</v>
      </c>
      <c r="D1321" s="2" t="s">
        <v>18</v>
      </c>
      <c r="E1321" s="2" t="s">
        <v>33</v>
      </c>
      <c r="F1321" s="2" t="s">
        <v>57</v>
      </c>
      <c r="G1321" s="2" t="s">
        <v>254</v>
      </c>
      <c r="H1321" s="3">
        <v>45389.588194444441</v>
      </c>
      <c r="I1321" s="3">
        <v>45389.638888888891</v>
      </c>
      <c r="J1321" s="2">
        <v>72</v>
      </c>
      <c r="K1321" s="2">
        <v>73</v>
      </c>
      <c r="L1321" s="2">
        <v>1</v>
      </c>
      <c r="M1321" s="2" t="s">
        <v>29</v>
      </c>
      <c r="N1321" s="2">
        <v>9</v>
      </c>
      <c r="O1321" s="2">
        <v>273.94</v>
      </c>
      <c r="P1321" s="2">
        <f t="shared" si="100"/>
        <v>1</v>
      </c>
      <c r="Q1321" s="4">
        <f t="shared" si="101"/>
        <v>0.98630136986301364</v>
      </c>
      <c r="R1321" s="2" t="str">
        <f t="shared" si="102"/>
        <v>Inefficient</v>
      </c>
      <c r="S1321" s="2" t="str">
        <f t="shared" si="103"/>
        <v>Long</v>
      </c>
      <c r="T1321" s="2" t="str">
        <f t="shared" si="104"/>
        <v>Minor Delay</v>
      </c>
    </row>
    <row r="1322" spans="1:20" x14ac:dyDescent="0.35">
      <c r="A1322" s="2" t="s">
        <v>2827</v>
      </c>
      <c r="B1322" s="2" t="s">
        <v>16</v>
      </c>
      <c r="C1322" s="2" t="s">
        <v>2828</v>
      </c>
      <c r="D1322" s="2" t="s">
        <v>26</v>
      </c>
      <c r="E1322" s="2" t="s">
        <v>33</v>
      </c>
      <c r="F1322" s="2" t="s">
        <v>34</v>
      </c>
      <c r="G1322" s="2" t="s">
        <v>137</v>
      </c>
      <c r="H1322" s="3">
        <v>45569.325694444444</v>
      </c>
      <c r="I1322" s="3">
        <v>45569.47152777778</v>
      </c>
      <c r="J1322" s="2">
        <v>145</v>
      </c>
      <c r="K1322" s="2">
        <v>210</v>
      </c>
      <c r="L1322" s="2">
        <v>1</v>
      </c>
      <c r="M1322" s="2" t="s">
        <v>22</v>
      </c>
      <c r="N1322" s="2">
        <v>10</v>
      </c>
      <c r="O1322" s="2">
        <v>312.93</v>
      </c>
      <c r="P1322" s="2">
        <f t="shared" si="100"/>
        <v>65</v>
      </c>
      <c r="Q1322" s="4">
        <f t="shared" si="101"/>
        <v>0.69047619047619047</v>
      </c>
      <c r="R1322" s="2" t="str">
        <f t="shared" si="102"/>
        <v>Inefficient</v>
      </c>
      <c r="S1322" s="2" t="str">
        <f t="shared" si="103"/>
        <v>Very Long</v>
      </c>
      <c r="T1322" s="2" t="str">
        <f t="shared" si="104"/>
        <v>Major Delay</v>
      </c>
    </row>
    <row r="1323" spans="1:20" x14ac:dyDescent="0.35">
      <c r="A1323" s="2" t="s">
        <v>2829</v>
      </c>
      <c r="B1323" s="2" t="s">
        <v>16</v>
      </c>
      <c r="C1323" s="2" t="s">
        <v>2830</v>
      </c>
      <c r="D1323" s="2" t="s">
        <v>26</v>
      </c>
      <c r="E1323" s="2" t="s">
        <v>38</v>
      </c>
      <c r="F1323" s="2" t="s">
        <v>27</v>
      </c>
      <c r="G1323" s="2" t="s">
        <v>204</v>
      </c>
      <c r="H1323" s="3">
        <v>45530.256249999999</v>
      </c>
      <c r="I1323" s="3">
        <v>45530.393055555556</v>
      </c>
      <c r="J1323" s="2">
        <v>178</v>
      </c>
      <c r="K1323" s="2">
        <v>197</v>
      </c>
      <c r="L1323" s="2">
        <v>1</v>
      </c>
      <c r="M1323" s="2" t="s">
        <v>22</v>
      </c>
      <c r="N1323" s="2">
        <v>10</v>
      </c>
      <c r="O1323" s="2">
        <v>59.88</v>
      </c>
      <c r="P1323" s="2">
        <f t="shared" si="100"/>
        <v>19</v>
      </c>
      <c r="Q1323" s="4">
        <f t="shared" si="101"/>
        <v>0.90355329949238583</v>
      </c>
      <c r="R1323" s="2" t="str">
        <f t="shared" si="102"/>
        <v>Inefficient</v>
      </c>
      <c r="S1323" s="2" t="str">
        <f t="shared" si="103"/>
        <v>Very Long</v>
      </c>
      <c r="T1323" s="2" t="str">
        <f t="shared" si="104"/>
        <v>Minor Delay</v>
      </c>
    </row>
    <row r="1324" spans="1:20" x14ac:dyDescent="0.35">
      <c r="A1324" s="2" t="s">
        <v>2831</v>
      </c>
      <c r="B1324" s="2" t="s">
        <v>31</v>
      </c>
      <c r="C1324" s="2" t="s">
        <v>2832</v>
      </c>
      <c r="D1324" s="2" t="s">
        <v>56</v>
      </c>
      <c r="E1324" s="2" t="s">
        <v>85</v>
      </c>
      <c r="F1324" s="2" t="s">
        <v>27</v>
      </c>
      <c r="G1324" s="2" t="s">
        <v>1172</v>
      </c>
      <c r="H1324" s="3">
        <v>45469.963194444441</v>
      </c>
      <c r="I1324" s="3">
        <v>45470.075694444444</v>
      </c>
      <c r="J1324" s="2">
        <v>97</v>
      </c>
      <c r="K1324" s="2">
        <v>162</v>
      </c>
      <c r="L1324" s="2">
        <v>1</v>
      </c>
      <c r="M1324" s="2" t="s">
        <v>41</v>
      </c>
      <c r="N1324" s="2">
        <v>5</v>
      </c>
      <c r="O1324" s="2">
        <v>310.25</v>
      </c>
      <c r="P1324" s="2">
        <f t="shared" si="100"/>
        <v>65</v>
      </c>
      <c r="Q1324" s="4">
        <f t="shared" si="101"/>
        <v>0.59876543209876543</v>
      </c>
      <c r="R1324" s="2" t="str">
        <f t="shared" si="102"/>
        <v>Inefficient</v>
      </c>
      <c r="S1324" s="2" t="str">
        <f t="shared" si="103"/>
        <v>Very Long</v>
      </c>
      <c r="T1324" s="2" t="str">
        <f t="shared" si="104"/>
        <v>Major Delay</v>
      </c>
    </row>
    <row r="1325" spans="1:20" x14ac:dyDescent="0.35">
      <c r="A1325" s="2" t="s">
        <v>2833</v>
      </c>
      <c r="B1325" s="2" t="s">
        <v>63</v>
      </c>
      <c r="C1325" s="2" t="s">
        <v>2834</v>
      </c>
      <c r="D1325" s="2" t="s">
        <v>56</v>
      </c>
      <c r="E1325" s="2" t="s">
        <v>33</v>
      </c>
      <c r="F1325" s="2" t="s">
        <v>27</v>
      </c>
      <c r="G1325" s="2" t="s">
        <v>231</v>
      </c>
      <c r="H1325" s="3">
        <v>45586.839583333334</v>
      </c>
      <c r="I1325" s="3">
        <v>45586.943055555559</v>
      </c>
      <c r="J1325" s="2">
        <v>140</v>
      </c>
      <c r="K1325" s="2">
        <v>149</v>
      </c>
      <c r="L1325" s="2">
        <v>1</v>
      </c>
      <c r="M1325" s="2" t="s">
        <v>41</v>
      </c>
      <c r="N1325" s="2">
        <v>3</v>
      </c>
      <c r="O1325" s="2">
        <v>62.95</v>
      </c>
      <c r="P1325" s="2">
        <f t="shared" si="100"/>
        <v>9</v>
      </c>
      <c r="Q1325" s="4">
        <f t="shared" si="101"/>
        <v>0.93959731543624159</v>
      </c>
      <c r="R1325" s="2" t="str">
        <f t="shared" si="102"/>
        <v>Inefficient</v>
      </c>
      <c r="S1325" s="2" t="str">
        <f t="shared" si="103"/>
        <v>Very Long</v>
      </c>
      <c r="T1325" s="2" t="str">
        <f t="shared" si="104"/>
        <v>Minor Delay</v>
      </c>
    </row>
    <row r="1326" spans="1:20" x14ac:dyDescent="0.35">
      <c r="A1326" s="2" t="s">
        <v>2835</v>
      </c>
      <c r="B1326" s="2" t="s">
        <v>24</v>
      </c>
      <c r="C1326" s="2" t="s">
        <v>2836</v>
      </c>
      <c r="D1326" s="2" t="s">
        <v>48</v>
      </c>
      <c r="E1326" s="2" t="s">
        <v>19</v>
      </c>
      <c r="F1326" s="2" t="s">
        <v>27</v>
      </c>
      <c r="G1326" s="2" t="s">
        <v>539</v>
      </c>
      <c r="H1326" s="3">
        <v>45540.115972222222</v>
      </c>
      <c r="I1326" s="3">
        <v>45540.192361111112</v>
      </c>
      <c r="J1326" s="2">
        <v>44</v>
      </c>
      <c r="K1326" s="2">
        <v>110</v>
      </c>
      <c r="L1326" s="2">
        <v>1</v>
      </c>
      <c r="M1326" s="2" t="s">
        <v>29</v>
      </c>
      <c r="N1326" s="2">
        <v>2</v>
      </c>
      <c r="O1326" s="2">
        <v>85.36</v>
      </c>
      <c r="P1326" s="2">
        <f t="shared" si="100"/>
        <v>66</v>
      </c>
      <c r="Q1326" s="4">
        <f t="shared" si="101"/>
        <v>0.4</v>
      </c>
      <c r="R1326" s="2" t="str">
        <f t="shared" si="102"/>
        <v>Inefficient</v>
      </c>
      <c r="S1326" s="2" t="str">
        <f t="shared" si="103"/>
        <v>Long</v>
      </c>
      <c r="T1326" s="2" t="str">
        <f t="shared" si="104"/>
        <v>Major Delay</v>
      </c>
    </row>
    <row r="1327" spans="1:20" x14ac:dyDescent="0.35">
      <c r="A1327" s="2" t="s">
        <v>2837</v>
      </c>
      <c r="B1327" s="2" t="s">
        <v>51</v>
      </c>
      <c r="C1327" s="2" t="s">
        <v>2838</v>
      </c>
      <c r="D1327" s="2" t="s">
        <v>48</v>
      </c>
      <c r="E1327" s="2" t="s">
        <v>85</v>
      </c>
      <c r="F1327" s="2" t="s">
        <v>20</v>
      </c>
      <c r="G1327" s="2" t="s">
        <v>35</v>
      </c>
      <c r="H1327" s="3">
        <v>45535.442361111112</v>
      </c>
      <c r="I1327" s="3">
        <v>45535.54791666667</v>
      </c>
      <c r="J1327" s="2">
        <v>139</v>
      </c>
      <c r="K1327" s="2">
        <v>152</v>
      </c>
      <c r="L1327" s="2">
        <v>1</v>
      </c>
      <c r="M1327" s="2" t="s">
        <v>22</v>
      </c>
      <c r="N1327" s="2">
        <v>2</v>
      </c>
      <c r="O1327" s="2">
        <v>56.67</v>
      </c>
      <c r="P1327" s="2">
        <f t="shared" si="100"/>
        <v>13</v>
      </c>
      <c r="Q1327" s="4">
        <f t="shared" si="101"/>
        <v>0.91447368421052633</v>
      </c>
      <c r="R1327" s="2" t="str">
        <f t="shared" si="102"/>
        <v>Inefficient</v>
      </c>
      <c r="S1327" s="2" t="str">
        <f t="shared" si="103"/>
        <v>Very Long</v>
      </c>
      <c r="T1327" s="2" t="str">
        <f t="shared" si="104"/>
        <v>Minor Delay</v>
      </c>
    </row>
    <row r="1328" spans="1:20" x14ac:dyDescent="0.35">
      <c r="A1328" s="2" t="s">
        <v>2839</v>
      </c>
      <c r="B1328" s="2" t="s">
        <v>16</v>
      </c>
      <c r="C1328" s="2" t="s">
        <v>2840</v>
      </c>
      <c r="D1328" s="2" t="s">
        <v>44</v>
      </c>
      <c r="E1328" s="2" t="s">
        <v>85</v>
      </c>
      <c r="F1328" s="2" t="s">
        <v>34</v>
      </c>
      <c r="G1328" s="2" t="s">
        <v>65</v>
      </c>
      <c r="H1328" s="3">
        <v>45448.80972222222</v>
      </c>
      <c r="I1328" s="3">
        <v>45448.953472222223</v>
      </c>
      <c r="J1328" s="2">
        <v>111</v>
      </c>
      <c r="K1328" s="2">
        <v>207</v>
      </c>
      <c r="L1328" s="2">
        <v>1</v>
      </c>
      <c r="M1328" s="2" t="s">
        <v>22</v>
      </c>
      <c r="N1328" s="2">
        <v>5</v>
      </c>
      <c r="O1328" s="2">
        <v>309.47000000000003</v>
      </c>
      <c r="P1328" s="2">
        <f t="shared" si="100"/>
        <v>96</v>
      </c>
      <c r="Q1328" s="4">
        <f t="shared" si="101"/>
        <v>0.53623188405797106</v>
      </c>
      <c r="R1328" s="2" t="str">
        <f t="shared" si="102"/>
        <v>Inefficient</v>
      </c>
      <c r="S1328" s="2" t="str">
        <f t="shared" si="103"/>
        <v>Very Long</v>
      </c>
      <c r="T1328" s="2" t="str">
        <f t="shared" si="104"/>
        <v>Major Delay</v>
      </c>
    </row>
    <row r="1329" spans="1:20" x14ac:dyDescent="0.35">
      <c r="A1329" s="2" t="s">
        <v>2841</v>
      </c>
      <c r="B1329" s="2" t="s">
        <v>24</v>
      </c>
      <c r="C1329" s="2" t="s">
        <v>2842</v>
      </c>
      <c r="D1329" s="2" t="s">
        <v>56</v>
      </c>
      <c r="E1329" s="2" t="s">
        <v>85</v>
      </c>
      <c r="F1329" s="2" t="s">
        <v>20</v>
      </c>
      <c r="G1329" s="2" t="s">
        <v>810</v>
      </c>
      <c r="H1329" s="3">
        <v>45565.53125</v>
      </c>
      <c r="I1329" s="3">
        <v>45565.698611111111</v>
      </c>
      <c r="J1329" s="2">
        <v>172</v>
      </c>
      <c r="K1329" s="2">
        <v>241</v>
      </c>
      <c r="L1329" s="2">
        <v>1</v>
      </c>
      <c r="M1329" s="2" t="s">
        <v>22</v>
      </c>
      <c r="N1329" s="2">
        <v>3</v>
      </c>
      <c r="O1329" s="2">
        <v>341.04</v>
      </c>
      <c r="P1329" s="2">
        <f t="shared" si="100"/>
        <v>69</v>
      </c>
      <c r="Q1329" s="4">
        <f t="shared" si="101"/>
        <v>0.7136929460580913</v>
      </c>
      <c r="R1329" s="2" t="str">
        <f t="shared" si="102"/>
        <v>Inefficient</v>
      </c>
      <c r="S1329" s="2" t="str">
        <f t="shared" si="103"/>
        <v>Very Long</v>
      </c>
      <c r="T1329" s="2" t="str">
        <f t="shared" si="104"/>
        <v>Major Delay</v>
      </c>
    </row>
    <row r="1330" spans="1:20" x14ac:dyDescent="0.35">
      <c r="A1330" s="2" t="s">
        <v>2843</v>
      </c>
      <c r="B1330" s="2" t="s">
        <v>31</v>
      </c>
      <c r="C1330" s="2" t="s">
        <v>2844</v>
      </c>
      <c r="D1330" s="2" t="s">
        <v>44</v>
      </c>
      <c r="E1330" s="2" t="s">
        <v>19</v>
      </c>
      <c r="F1330" s="2" t="s">
        <v>39</v>
      </c>
      <c r="G1330" s="2" t="s">
        <v>120</v>
      </c>
      <c r="H1330" s="3">
        <v>45328.673611111109</v>
      </c>
      <c r="I1330" s="3">
        <v>45328.907638888886</v>
      </c>
      <c r="J1330" s="2">
        <v>221</v>
      </c>
      <c r="K1330" s="2">
        <v>337</v>
      </c>
      <c r="L1330" s="2">
        <v>1</v>
      </c>
      <c r="M1330" s="2" t="s">
        <v>29</v>
      </c>
      <c r="N1330" s="2">
        <v>9</v>
      </c>
      <c r="O1330" s="2">
        <v>425.7</v>
      </c>
      <c r="P1330" s="2">
        <f t="shared" si="100"/>
        <v>116</v>
      </c>
      <c r="Q1330" s="4">
        <f t="shared" si="101"/>
        <v>0.65578635014836795</v>
      </c>
      <c r="R1330" s="2" t="str">
        <f t="shared" si="102"/>
        <v>Inefficient</v>
      </c>
      <c r="S1330" s="2" t="str">
        <f t="shared" si="103"/>
        <v>Very Long</v>
      </c>
      <c r="T1330" s="2" t="str">
        <f t="shared" si="104"/>
        <v>Major Delay</v>
      </c>
    </row>
    <row r="1331" spans="1:20" x14ac:dyDescent="0.35">
      <c r="A1331" s="2" t="s">
        <v>2845</v>
      </c>
      <c r="B1331" s="2" t="s">
        <v>51</v>
      </c>
      <c r="C1331" s="2" t="s">
        <v>2846</v>
      </c>
      <c r="D1331" s="2" t="s">
        <v>56</v>
      </c>
      <c r="E1331" s="2" t="s">
        <v>19</v>
      </c>
      <c r="F1331" s="2" t="s">
        <v>20</v>
      </c>
      <c r="G1331" s="2" t="s">
        <v>288</v>
      </c>
      <c r="H1331" s="3">
        <v>45445.612500000003</v>
      </c>
      <c r="I1331" s="3">
        <v>45445.675000000003</v>
      </c>
      <c r="J1331" s="2">
        <v>84</v>
      </c>
      <c r="K1331" s="2">
        <v>90</v>
      </c>
      <c r="L1331" s="2">
        <v>1</v>
      </c>
      <c r="M1331" s="2" t="s">
        <v>29</v>
      </c>
      <c r="N1331" s="2">
        <v>10</v>
      </c>
      <c r="O1331" s="2">
        <v>307.22000000000003</v>
      </c>
      <c r="P1331" s="2">
        <f t="shared" si="100"/>
        <v>6</v>
      </c>
      <c r="Q1331" s="4">
        <f t="shared" si="101"/>
        <v>0.93333333333333335</v>
      </c>
      <c r="R1331" s="2" t="str">
        <f t="shared" si="102"/>
        <v>Inefficient</v>
      </c>
      <c r="S1331" s="2" t="str">
        <f t="shared" si="103"/>
        <v>Long</v>
      </c>
      <c r="T1331" s="2" t="str">
        <f t="shared" si="104"/>
        <v>Minor Delay</v>
      </c>
    </row>
    <row r="1332" spans="1:20" x14ac:dyDescent="0.35">
      <c r="A1332" s="2" t="s">
        <v>2847</v>
      </c>
      <c r="B1332" s="2" t="s">
        <v>24</v>
      </c>
      <c r="C1332" s="2" t="s">
        <v>2848</v>
      </c>
      <c r="D1332" s="2" t="s">
        <v>44</v>
      </c>
      <c r="E1332" s="2" t="s">
        <v>19</v>
      </c>
      <c r="F1332" s="2" t="s">
        <v>57</v>
      </c>
      <c r="G1332" s="2" t="s">
        <v>316</v>
      </c>
      <c r="H1332" s="3">
        <v>45443.114583333336</v>
      </c>
      <c r="I1332" s="3">
        <v>45443.273611111108</v>
      </c>
      <c r="J1332" s="2">
        <v>170</v>
      </c>
      <c r="K1332" s="2">
        <v>229</v>
      </c>
      <c r="L1332" s="2">
        <v>1</v>
      </c>
      <c r="M1332" s="2" t="s">
        <v>41</v>
      </c>
      <c r="N1332" s="2">
        <v>1</v>
      </c>
      <c r="O1332" s="2">
        <v>223.77</v>
      </c>
      <c r="P1332" s="2">
        <f t="shared" si="100"/>
        <v>59</v>
      </c>
      <c r="Q1332" s="4">
        <f t="shared" si="101"/>
        <v>0.74235807860262004</v>
      </c>
      <c r="R1332" s="2" t="str">
        <f t="shared" si="102"/>
        <v>Inefficient</v>
      </c>
      <c r="S1332" s="2" t="str">
        <f t="shared" si="103"/>
        <v>Very Long</v>
      </c>
      <c r="T1332" s="2" t="str">
        <f t="shared" si="104"/>
        <v>Major Delay</v>
      </c>
    </row>
    <row r="1333" spans="1:20" x14ac:dyDescent="0.35">
      <c r="A1333" s="2" t="s">
        <v>2849</v>
      </c>
      <c r="B1333" s="2" t="s">
        <v>63</v>
      </c>
      <c r="C1333" s="2" t="s">
        <v>2850</v>
      </c>
      <c r="D1333" s="2" t="s">
        <v>48</v>
      </c>
      <c r="E1333" s="2" t="s">
        <v>85</v>
      </c>
      <c r="F1333" s="2" t="s">
        <v>39</v>
      </c>
      <c r="G1333" s="2" t="s">
        <v>182</v>
      </c>
      <c r="H1333" s="3">
        <v>45655.574999999997</v>
      </c>
      <c r="I1333" s="3">
        <v>45655.7</v>
      </c>
      <c r="J1333" s="2">
        <v>67</v>
      </c>
      <c r="K1333" s="2">
        <v>180</v>
      </c>
      <c r="L1333" s="2">
        <v>1</v>
      </c>
      <c r="M1333" s="2" t="s">
        <v>22</v>
      </c>
      <c r="N1333" s="2">
        <v>2</v>
      </c>
      <c r="O1333" s="2">
        <v>305.77</v>
      </c>
      <c r="P1333" s="2">
        <f t="shared" si="100"/>
        <v>113</v>
      </c>
      <c r="Q1333" s="4">
        <f t="shared" si="101"/>
        <v>0.37222222222222223</v>
      </c>
      <c r="R1333" s="2" t="str">
        <f t="shared" si="102"/>
        <v>Inefficient</v>
      </c>
      <c r="S1333" s="2" t="str">
        <f t="shared" si="103"/>
        <v>Very Long</v>
      </c>
      <c r="T1333" s="2" t="str">
        <f t="shared" si="104"/>
        <v>Major Delay</v>
      </c>
    </row>
    <row r="1334" spans="1:20" x14ac:dyDescent="0.35">
      <c r="A1334" s="2" t="s">
        <v>2851</v>
      </c>
      <c r="B1334" s="2" t="s">
        <v>63</v>
      </c>
      <c r="C1334" s="2" t="s">
        <v>2852</v>
      </c>
      <c r="D1334" s="2" t="s">
        <v>56</v>
      </c>
      <c r="E1334" s="2" t="s">
        <v>85</v>
      </c>
      <c r="F1334" s="2" t="s">
        <v>34</v>
      </c>
      <c r="G1334" s="2" t="s">
        <v>415</v>
      </c>
      <c r="H1334" s="3">
        <v>45360.818749999999</v>
      </c>
      <c r="I1334" s="3">
        <v>45360.914583333331</v>
      </c>
      <c r="J1334" s="2">
        <v>26</v>
      </c>
      <c r="K1334" s="2">
        <v>138</v>
      </c>
      <c r="L1334" s="2">
        <v>1</v>
      </c>
      <c r="M1334" s="2" t="s">
        <v>29</v>
      </c>
      <c r="N1334" s="2">
        <v>10</v>
      </c>
      <c r="O1334" s="2">
        <v>120.01</v>
      </c>
      <c r="P1334" s="2">
        <f t="shared" si="100"/>
        <v>112</v>
      </c>
      <c r="Q1334" s="4">
        <f t="shared" si="101"/>
        <v>0.18840579710144928</v>
      </c>
      <c r="R1334" s="2" t="str">
        <f t="shared" si="102"/>
        <v>Inefficient</v>
      </c>
      <c r="S1334" s="2" t="str">
        <f t="shared" si="103"/>
        <v>Very Long</v>
      </c>
      <c r="T1334" s="2" t="str">
        <f t="shared" si="104"/>
        <v>Major Delay</v>
      </c>
    </row>
    <row r="1335" spans="1:20" x14ac:dyDescent="0.35">
      <c r="A1335" s="2" t="s">
        <v>2853</v>
      </c>
      <c r="B1335" s="2" t="s">
        <v>31</v>
      </c>
      <c r="C1335" s="2" t="s">
        <v>2854</v>
      </c>
      <c r="D1335" s="2" t="s">
        <v>48</v>
      </c>
      <c r="E1335" s="2" t="s">
        <v>85</v>
      </c>
      <c r="F1335" s="2" t="s">
        <v>20</v>
      </c>
      <c r="G1335" s="2" t="s">
        <v>1730</v>
      </c>
      <c r="H1335" s="3">
        <v>45539.421527777777</v>
      </c>
      <c r="I1335" s="3">
        <v>45539.48333333333</v>
      </c>
      <c r="J1335" s="2">
        <v>11</v>
      </c>
      <c r="K1335" s="2">
        <v>89</v>
      </c>
      <c r="L1335" s="2">
        <v>1</v>
      </c>
      <c r="M1335" s="2" t="s">
        <v>22</v>
      </c>
      <c r="N1335" s="2">
        <v>2</v>
      </c>
      <c r="O1335" s="2">
        <v>444.03</v>
      </c>
      <c r="P1335" s="2">
        <f t="shared" si="100"/>
        <v>78</v>
      </c>
      <c r="Q1335" s="4">
        <f t="shared" si="101"/>
        <v>0.12359550561797752</v>
      </c>
      <c r="R1335" s="2" t="str">
        <f t="shared" si="102"/>
        <v>Inefficient</v>
      </c>
      <c r="S1335" s="2" t="str">
        <f t="shared" si="103"/>
        <v>Long</v>
      </c>
      <c r="T1335" s="2" t="str">
        <f t="shared" si="104"/>
        <v>Major Delay</v>
      </c>
    </row>
    <row r="1336" spans="1:20" x14ac:dyDescent="0.35">
      <c r="A1336" s="2" t="s">
        <v>2855</v>
      </c>
      <c r="B1336" s="2" t="s">
        <v>51</v>
      </c>
      <c r="C1336" s="2" t="s">
        <v>2856</v>
      </c>
      <c r="D1336" s="2" t="s">
        <v>56</v>
      </c>
      <c r="E1336" s="2" t="s">
        <v>38</v>
      </c>
      <c r="F1336" s="2" t="s">
        <v>34</v>
      </c>
      <c r="G1336" s="2" t="s">
        <v>283</v>
      </c>
      <c r="H1336" s="3">
        <v>45628.522222222222</v>
      </c>
      <c r="I1336" s="3">
        <v>45628.663194444445</v>
      </c>
      <c r="J1336" s="2">
        <v>173</v>
      </c>
      <c r="K1336" s="2">
        <v>203</v>
      </c>
      <c r="L1336" s="2">
        <v>1</v>
      </c>
      <c r="M1336" s="2" t="s">
        <v>41</v>
      </c>
      <c r="N1336" s="2">
        <v>3</v>
      </c>
      <c r="O1336" s="2">
        <v>381.94</v>
      </c>
      <c r="P1336" s="2">
        <f t="shared" si="100"/>
        <v>30</v>
      </c>
      <c r="Q1336" s="4">
        <f t="shared" si="101"/>
        <v>0.85221674876847286</v>
      </c>
      <c r="R1336" s="2" t="str">
        <f t="shared" si="102"/>
        <v>Inefficient</v>
      </c>
      <c r="S1336" s="2" t="str">
        <f t="shared" si="103"/>
        <v>Very Long</v>
      </c>
      <c r="T1336" s="2" t="str">
        <f t="shared" si="104"/>
        <v>Minor Delay</v>
      </c>
    </row>
    <row r="1337" spans="1:20" x14ac:dyDescent="0.35">
      <c r="A1337" s="2" t="s">
        <v>2857</v>
      </c>
      <c r="B1337" s="2" t="s">
        <v>16</v>
      </c>
      <c r="C1337" s="2" t="s">
        <v>2858</v>
      </c>
      <c r="D1337" s="2" t="s">
        <v>56</v>
      </c>
      <c r="E1337" s="2" t="s">
        <v>19</v>
      </c>
      <c r="F1337" s="2" t="s">
        <v>39</v>
      </c>
      <c r="G1337" s="2" t="s">
        <v>296</v>
      </c>
      <c r="H1337" s="3">
        <v>45629.393750000003</v>
      </c>
      <c r="I1337" s="3">
        <v>45629.549305555556</v>
      </c>
      <c r="J1337" s="2">
        <v>120</v>
      </c>
      <c r="K1337" s="2">
        <v>224</v>
      </c>
      <c r="L1337" s="2">
        <v>1</v>
      </c>
      <c r="M1337" s="2" t="s">
        <v>41</v>
      </c>
      <c r="N1337" s="2">
        <v>1</v>
      </c>
      <c r="O1337" s="2">
        <v>414.33</v>
      </c>
      <c r="P1337" s="2">
        <f t="shared" si="100"/>
        <v>104</v>
      </c>
      <c r="Q1337" s="4">
        <f t="shared" si="101"/>
        <v>0.5357142857142857</v>
      </c>
      <c r="R1337" s="2" t="str">
        <f t="shared" si="102"/>
        <v>Inefficient</v>
      </c>
      <c r="S1337" s="2" t="str">
        <f t="shared" si="103"/>
        <v>Very Long</v>
      </c>
      <c r="T1337" s="2" t="str">
        <f t="shared" si="104"/>
        <v>Major Delay</v>
      </c>
    </row>
    <row r="1338" spans="1:20" x14ac:dyDescent="0.35">
      <c r="A1338" s="2" t="s">
        <v>2859</v>
      </c>
      <c r="B1338" s="2" t="s">
        <v>24</v>
      </c>
      <c r="C1338" s="2" t="s">
        <v>2860</v>
      </c>
      <c r="D1338" s="2" t="s">
        <v>48</v>
      </c>
      <c r="E1338" s="2" t="s">
        <v>85</v>
      </c>
      <c r="F1338" s="2" t="s">
        <v>34</v>
      </c>
      <c r="G1338" s="2" t="s">
        <v>676</v>
      </c>
      <c r="H1338" s="3">
        <v>45441.533333333333</v>
      </c>
      <c r="I1338" s="3">
        <v>45441.599305555559</v>
      </c>
      <c r="J1338" s="2">
        <v>19</v>
      </c>
      <c r="K1338" s="2">
        <v>95</v>
      </c>
      <c r="L1338" s="2">
        <v>1</v>
      </c>
      <c r="M1338" s="2" t="s">
        <v>29</v>
      </c>
      <c r="N1338" s="2">
        <v>4</v>
      </c>
      <c r="O1338" s="2">
        <v>225.69</v>
      </c>
      <c r="P1338" s="2">
        <f t="shared" si="100"/>
        <v>76</v>
      </c>
      <c r="Q1338" s="4">
        <f t="shared" si="101"/>
        <v>0.2</v>
      </c>
      <c r="R1338" s="2" t="str">
        <f t="shared" si="102"/>
        <v>Inefficient</v>
      </c>
      <c r="S1338" s="2" t="str">
        <f t="shared" si="103"/>
        <v>Long</v>
      </c>
      <c r="T1338" s="2" t="str">
        <f t="shared" si="104"/>
        <v>Major Delay</v>
      </c>
    </row>
    <row r="1339" spans="1:20" x14ac:dyDescent="0.35">
      <c r="A1339" s="2" t="s">
        <v>2861</v>
      </c>
      <c r="B1339" s="2" t="s">
        <v>63</v>
      </c>
      <c r="C1339" s="2" t="s">
        <v>2862</v>
      </c>
      <c r="D1339" s="2" t="s">
        <v>44</v>
      </c>
      <c r="E1339" s="2" t="s">
        <v>33</v>
      </c>
      <c r="F1339" s="2" t="s">
        <v>34</v>
      </c>
      <c r="G1339" s="2" t="s">
        <v>251</v>
      </c>
      <c r="H1339" s="3">
        <v>45303.227777777778</v>
      </c>
      <c r="I1339" s="3">
        <v>45303.411111111112</v>
      </c>
      <c r="J1339" s="2">
        <v>192</v>
      </c>
      <c r="K1339" s="2">
        <v>264</v>
      </c>
      <c r="L1339" s="2">
        <v>1</v>
      </c>
      <c r="M1339" s="2" t="s">
        <v>22</v>
      </c>
      <c r="N1339" s="2">
        <v>4</v>
      </c>
      <c r="O1339" s="2">
        <v>380.2</v>
      </c>
      <c r="P1339" s="2">
        <f t="shared" si="100"/>
        <v>72</v>
      </c>
      <c r="Q1339" s="4">
        <f t="shared" si="101"/>
        <v>0.72727272727272729</v>
      </c>
      <c r="R1339" s="2" t="str">
        <f t="shared" si="102"/>
        <v>Inefficient</v>
      </c>
      <c r="S1339" s="2" t="str">
        <f t="shared" si="103"/>
        <v>Very Long</v>
      </c>
      <c r="T1339" s="2" t="str">
        <f t="shared" si="104"/>
        <v>Major Delay</v>
      </c>
    </row>
    <row r="1340" spans="1:20" x14ac:dyDescent="0.35">
      <c r="A1340" s="2" t="s">
        <v>2863</v>
      </c>
      <c r="B1340" s="2" t="s">
        <v>51</v>
      </c>
      <c r="C1340" s="2" t="s">
        <v>2864</v>
      </c>
      <c r="D1340" s="2" t="s">
        <v>44</v>
      </c>
      <c r="E1340" s="2" t="s">
        <v>33</v>
      </c>
      <c r="F1340" s="2" t="s">
        <v>39</v>
      </c>
      <c r="G1340" s="2" t="s">
        <v>407</v>
      </c>
      <c r="H1340" s="3">
        <v>45385.428472222222</v>
      </c>
      <c r="I1340" s="3">
        <v>45385.523611111108</v>
      </c>
      <c r="J1340" s="2">
        <v>39</v>
      </c>
      <c r="K1340" s="2">
        <v>137</v>
      </c>
      <c r="L1340" s="2">
        <v>1</v>
      </c>
      <c r="M1340" s="2" t="s">
        <v>29</v>
      </c>
      <c r="N1340" s="2">
        <v>8</v>
      </c>
      <c r="O1340" s="2">
        <v>263.43</v>
      </c>
      <c r="P1340" s="2">
        <f t="shared" si="100"/>
        <v>98</v>
      </c>
      <c r="Q1340" s="4">
        <f t="shared" si="101"/>
        <v>0.28467153284671531</v>
      </c>
      <c r="R1340" s="2" t="str">
        <f t="shared" si="102"/>
        <v>Inefficient</v>
      </c>
      <c r="S1340" s="2" t="str">
        <f t="shared" si="103"/>
        <v>Very Long</v>
      </c>
      <c r="T1340" s="2" t="str">
        <f t="shared" si="104"/>
        <v>Major Delay</v>
      </c>
    </row>
    <row r="1341" spans="1:20" x14ac:dyDescent="0.35">
      <c r="A1341" s="2" t="s">
        <v>2865</v>
      </c>
      <c r="B1341" s="2" t="s">
        <v>31</v>
      </c>
      <c r="C1341" s="2" t="s">
        <v>2866</v>
      </c>
      <c r="D1341" s="2" t="s">
        <v>18</v>
      </c>
      <c r="E1341" s="2" t="s">
        <v>38</v>
      </c>
      <c r="F1341" s="2" t="s">
        <v>34</v>
      </c>
      <c r="G1341" s="2" t="s">
        <v>94</v>
      </c>
      <c r="H1341" s="3">
        <v>45648.777777777781</v>
      </c>
      <c r="I1341" s="3">
        <v>45648.831944444442</v>
      </c>
      <c r="J1341" s="2">
        <v>16</v>
      </c>
      <c r="K1341" s="2">
        <v>78</v>
      </c>
      <c r="L1341" s="2">
        <v>1</v>
      </c>
      <c r="M1341" s="2" t="s">
        <v>22</v>
      </c>
      <c r="N1341" s="2">
        <v>7</v>
      </c>
      <c r="O1341" s="2">
        <v>283.06</v>
      </c>
      <c r="P1341" s="2">
        <f t="shared" si="100"/>
        <v>62</v>
      </c>
      <c r="Q1341" s="4">
        <f t="shared" si="101"/>
        <v>0.20512820512820512</v>
      </c>
      <c r="R1341" s="2" t="str">
        <f t="shared" si="102"/>
        <v>Inefficient</v>
      </c>
      <c r="S1341" s="2" t="str">
        <f t="shared" si="103"/>
        <v>Long</v>
      </c>
      <c r="T1341" s="2" t="str">
        <f t="shared" si="104"/>
        <v>Major Delay</v>
      </c>
    </row>
    <row r="1342" spans="1:20" x14ac:dyDescent="0.35">
      <c r="A1342" s="2" t="s">
        <v>2867</v>
      </c>
      <c r="B1342" s="2" t="s">
        <v>51</v>
      </c>
      <c r="C1342" s="2" t="s">
        <v>2868</v>
      </c>
      <c r="D1342" s="2" t="s">
        <v>18</v>
      </c>
      <c r="E1342" s="2" t="s">
        <v>85</v>
      </c>
      <c r="F1342" s="2" t="s">
        <v>20</v>
      </c>
      <c r="G1342" s="2" t="s">
        <v>321</v>
      </c>
      <c r="H1342" s="3">
        <v>45456.065972222219</v>
      </c>
      <c r="I1342" s="3">
        <v>45456.267361111109</v>
      </c>
      <c r="J1342" s="2">
        <v>196</v>
      </c>
      <c r="K1342" s="2">
        <v>290</v>
      </c>
      <c r="L1342" s="2">
        <v>1</v>
      </c>
      <c r="M1342" s="2" t="s">
        <v>41</v>
      </c>
      <c r="N1342" s="2">
        <v>9</v>
      </c>
      <c r="O1342" s="2">
        <v>160.68</v>
      </c>
      <c r="P1342" s="2">
        <f t="shared" si="100"/>
        <v>94</v>
      </c>
      <c r="Q1342" s="4">
        <f t="shared" si="101"/>
        <v>0.67586206896551726</v>
      </c>
      <c r="R1342" s="2" t="str">
        <f t="shared" si="102"/>
        <v>Inefficient</v>
      </c>
      <c r="S1342" s="2" t="str">
        <f t="shared" si="103"/>
        <v>Very Long</v>
      </c>
      <c r="T1342" s="2" t="str">
        <f t="shared" si="104"/>
        <v>Major Delay</v>
      </c>
    </row>
    <row r="1343" spans="1:20" x14ac:dyDescent="0.35">
      <c r="A1343" s="2" t="s">
        <v>2869</v>
      </c>
      <c r="B1343" s="2" t="s">
        <v>24</v>
      </c>
      <c r="C1343" s="2" t="s">
        <v>2870</v>
      </c>
      <c r="D1343" s="2" t="s">
        <v>26</v>
      </c>
      <c r="E1343" s="2" t="s">
        <v>19</v>
      </c>
      <c r="F1343" s="2" t="s">
        <v>20</v>
      </c>
      <c r="G1343" s="2" t="s">
        <v>126</v>
      </c>
      <c r="H1343" s="3">
        <v>45650.629861111112</v>
      </c>
      <c r="I1343" s="3">
        <v>45650.77847222222</v>
      </c>
      <c r="J1343" s="2">
        <v>194</v>
      </c>
      <c r="K1343" s="2">
        <v>214</v>
      </c>
      <c r="L1343" s="2">
        <v>1</v>
      </c>
      <c r="M1343" s="2" t="s">
        <v>41</v>
      </c>
      <c r="N1343" s="2">
        <v>8</v>
      </c>
      <c r="O1343" s="2">
        <v>145.69</v>
      </c>
      <c r="P1343" s="2">
        <f t="shared" si="100"/>
        <v>20</v>
      </c>
      <c r="Q1343" s="4">
        <f t="shared" si="101"/>
        <v>0.90654205607476634</v>
      </c>
      <c r="R1343" s="2" t="str">
        <f t="shared" si="102"/>
        <v>Inefficient</v>
      </c>
      <c r="S1343" s="2" t="str">
        <f t="shared" si="103"/>
        <v>Very Long</v>
      </c>
      <c r="T1343" s="2" t="str">
        <f t="shared" si="104"/>
        <v>Minor Delay</v>
      </c>
    </row>
    <row r="1344" spans="1:20" x14ac:dyDescent="0.35">
      <c r="A1344" s="2" t="s">
        <v>2871</v>
      </c>
      <c r="B1344" s="2" t="s">
        <v>51</v>
      </c>
      <c r="C1344" s="2" t="s">
        <v>2872</v>
      </c>
      <c r="D1344" s="2" t="s">
        <v>44</v>
      </c>
      <c r="E1344" s="2" t="s">
        <v>38</v>
      </c>
      <c r="F1344" s="2" t="s">
        <v>34</v>
      </c>
      <c r="G1344" s="2" t="s">
        <v>456</v>
      </c>
      <c r="H1344" s="3">
        <v>45364</v>
      </c>
      <c r="I1344" s="3">
        <v>45364.171527777777</v>
      </c>
      <c r="J1344" s="2">
        <v>234</v>
      </c>
      <c r="K1344" s="2">
        <v>247</v>
      </c>
      <c r="L1344" s="2">
        <v>1</v>
      </c>
      <c r="M1344" s="2" t="s">
        <v>41</v>
      </c>
      <c r="N1344" s="2">
        <v>5</v>
      </c>
      <c r="O1344" s="2">
        <v>319.83999999999997</v>
      </c>
      <c r="P1344" s="2">
        <f t="shared" si="100"/>
        <v>13</v>
      </c>
      <c r="Q1344" s="4">
        <f t="shared" si="101"/>
        <v>0.94736842105263153</v>
      </c>
      <c r="R1344" s="2" t="str">
        <f t="shared" si="102"/>
        <v>Inefficient</v>
      </c>
      <c r="S1344" s="2" t="str">
        <f t="shared" si="103"/>
        <v>Very Long</v>
      </c>
      <c r="T1344" s="2" t="str">
        <f t="shared" si="104"/>
        <v>Minor Delay</v>
      </c>
    </row>
    <row r="1345" spans="1:20" x14ac:dyDescent="0.35">
      <c r="A1345" s="2" t="s">
        <v>2873</v>
      </c>
      <c r="B1345" s="2" t="s">
        <v>63</v>
      </c>
      <c r="C1345" s="2" t="s">
        <v>2874</v>
      </c>
      <c r="D1345" s="2" t="s">
        <v>18</v>
      </c>
      <c r="E1345" s="2" t="s">
        <v>33</v>
      </c>
      <c r="F1345" s="2" t="s">
        <v>39</v>
      </c>
      <c r="G1345" s="2" t="s">
        <v>100</v>
      </c>
      <c r="H1345" s="3">
        <v>45500.07708333333</v>
      </c>
      <c r="I1345" s="3">
        <v>45500.245138888888</v>
      </c>
      <c r="J1345" s="2">
        <v>234</v>
      </c>
      <c r="K1345" s="2">
        <v>242</v>
      </c>
      <c r="L1345" s="2">
        <v>1</v>
      </c>
      <c r="M1345" s="2" t="s">
        <v>22</v>
      </c>
      <c r="N1345" s="2">
        <v>5</v>
      </c>
      <c r="O1345" s="2">
        <v>487.92</v>
      </c>
      <c r="P1345" s="2">
        <f t="shared" si="100"/>
        <v>8</v>
      </c>
      <c r="Q1345" s="4">
        <f t="shared" si="101"/>
        <v>0.96694214876033058</v>
      </c>
      <c r="R1345" s="2" t="str">
        <f t="shared" si="102"/>
        <v>Inefficient</v>
      </c>
      <c r="S1345" s="2" t="str">
        <f t="shared" si="103"/>
        <v>Very Long</v>
      </c>
      <c r="T1345" s="2" t="str">
        <f t="shared" si="104"/>
        <v>Minor Delay</v>
      </c>
    </row>
    <row r="1346" spans="1:20" x14ac:dyDescent="0.35">
      <c r="A1346" s="2" t="s">
        <v>2875</v>
      </c>
      <c r="B1346" s="2" t="s">
        <v>16</v>
      </c>
      <c r="C1346" s="2" t="s">
        <v>2876</v>
      </c>
      <c r="D1346" s="2" t="s">
        <v>48</v>
      </c>
      <c r="E1346" s="2" t="s">
        <v>85</v>
      </c>
      <c r="F1346" s="2" t="s">
        <v>57</v>
      </c>
      <c r="G1346" s="2" t="s">
        <v>810</v>
      </c>
      <c r="H1346" s="3">
        <v>45442.769444444442</v>
      </c>
      <c r="I1346" s="3">
        <v>45442.978472222225</v>
      </c>
      <c r="J1346" s="2">
        <v>218</v>
      </c>
      <c r="K1346" s="2">
        <v>301</v>
      </c>
      <c r="L1346" s="2">
        <v>1</v>
      </c>
      <c r="M1346" s="2" t="s">
        <v>41</v>
      </c>
      <c r="N1346" s="2">
        <v>3</v>
      </c>
      <c r="O1346" s="2">
        <v>283.48</v>
      </c>
      <c r="P1346" s="2">
        <f t="shared" si="100"/>
        <v>83</v>
      </c>
      <c r="Q1346" s="4">
        <f t="shared" si="101"/>
        <v>0.72425249169435213</v>
      </c>
      <c r="R1346" s="2" t="str">
        <f t="shared" si="102"/>
        <v>Inefficient</v>
      </c>
      <c r="S1346" s="2" t="str">
        <f t="shared" si="103"/>
        <v>Very Long</v>
      </c>
      <c r="T1346" s="2" t="str">
        <f t="shared" si="104"/>
        <v>Major Delay</v>
      </c>
    </row>
    <row r="1347" spans="1:20" x14ac:dyDescent="0.35">
      <c r="A1347" s="2" t="s">
        <v>2877</v>
      </c>
      <c r="B1347" s="2" t="s">
        <v>51</v>
      </c>
      <c r="C1347" s="2" t="s">
        <v>2878</v>
      </c>
      <c r="D1347" s="2" t="s">
        <v>56</v>
      </c>
      <c r="E1347" s="2" t="s">
        <v>19</v>
      </c>
      <c r="F1347" s="2" t="s">
        <v>39</v>
      </c>
      <c r="G1347" s="2" t="s">
        <v>388</v>
      </c>
      <c r="H1347" s="3">
        <v>45353.12777777778</v>
      </c>
      <c r="I1347" s="3">
        <v>45353.163888888892</v>
      </c>
      <c r="J1347" s="2">
        <v>54</v>
      </c>
      <c r="K1347" s="2">
        <v>52</v>
      </c>
      <c r="L1347" s="2">
        <v>0</v>
      </c>
      <c r="M1347" s="2" t="s">
        <v>29</v>
      </c>
      <c r="N1347" s="2">
        <v>9</v>
      </c>
      <c r="O1347" s="2">
        <v>116.5</v>
      </c>
      <c r="P1347" s="2">
        <f t="shared" ref="P1347:P1410" si="105">K1347-J1347</f>
        <v>-2</v>
      </c>
      <c r="Q1347" s="4">
        <f t="shared" ref="Q1347:Q1410" si="106">J1347/K1347</f>
        <v>1.0384615384615385</v>
      </c>
      <c r="R1347" s="2" t="str">
        <f t="shared" ref="R1347:R1410" si="107">IF(Q1347&gt;1,"Efficient",
IF(Q1347=1,"On Target","Inefficient"))</f>
        <v>Efficient</v>
      </c>
      <c r="S1347" s="2" t="str">
        <f t="shared" ref="S1347:S1410" si="108">IF(K1347&lt;30,"Short",
IF(K1347&lt;60,"Medium",
IF(K1347&lt;120,"Long","Very Long")))</f>
        <v>Medium</v>
      </c>
      <c r="T1347" s="2" t="str">
        <f t="shared" ref="T1347:T1410" si="109">IF(K1347&lt;=J1347,"On Time",
IF(K1347-J1347&lt;=30,"Minor Delay","Major Delay"))</f>
        <v>On Time</v>
      </c>
    </row>
    <row r="1348" spans="1:20" x14ac:dyDescent="0.35">
      <c r="A1348" s="2" t="s">
        <v>2879</v>
      </c>
      <c r="B1348" s="2" t="s">
        <v>24</v>
      </c>
      <c r="C1348" s="2" t="s">
        <v>2880</v>
      </c>
      <c r="D1348" s="2" t="s">
        <v>18</v>
      </c>
      <c r="E1348" s="2" t="s">
        <v>19</v>
      </c>
      <c r="F1348" s="2" t="s">
        <v>34</v>
      </c>
      <c r="G1348" s="2" t="s">
        <v>53</v>
      </c>
      <c r="H1348" s="3">
        <v>45643.45208333333</v>
      </c>
      <c r="I1348" s="3">
        <v>45643.496527777781</v>
      </c>
      <c r="J1348" s="2">
        <v>31</v>
      </c>
      <c r="K1348" s="2">
        <v>64</v>
      </c>
      <c r="L1348" s="2">
        <v>1</v>
      </c>
      <c r="M1348" s="2" t="s">
        <v>29</v>
      </c>
      <c r="N1348" s="2">
        <v>1</v>
      </c>
      <c r="O1348" s="2">
        <v>66.77</v>
      </c>
      <c r="P1348" s="2">
        <f t="shared" si="105"/>
        <v>33</v>
      </c>
      <c r="Q1348" s="4">
        <f t="shared" si="106"/>
        <v>0.484375</v>
      </c>
      <c r="R1348" s="2" t="str">
        <f t="shared" si="107"/>
        <v>Inefficient</v>
      </c>
      <c r="S1348" s="2" t="str">
        <f t="shared" si="108"/>
        <v>Long</v>
      </c>
      <c r="T1348" s="2" t="str">
        <f t="shared" si="109"/>
        <v>Major Delay</v>
      </c>
    </row>
    <row r="1349" spans="1:20" x14ac:dyDescent="0.35">
      <c r="A1349" s="2" t="s">
        <v>2881</v>
      </c>
      <c r="B1349" s="2" t="s">
        <v>16</v>
      </c>
      <c r="C1349" s="2" t="s">
        <v>2882</v>
      </c>
      <c r="D1349" s="2" t="s">
        <v>26</v>
      </c>
      <c r="E1349" s="2" t="s">
        <v>19</v>
      </c>
      <c r="F1349" s="2" t="s">
        <v>39</v>
      </c>
      <c r="G1349" s="2" t="s">
        <v>470</v>
      </c>
      <c r="H1349" s="3">
        <v>45376.029166666667</v>
      </c>
      <c r="I1349" s="3">
        <v>45376.197916666664</v>
      </c>
      <c r="J1349" s="2">
        <v>227</v>
      </c>
      <c r="K1349" s="2">
        <v>243</v>
      </c>
      <c r="L1349" s="2">
        <v>1</v>
      </c>
      <c r="M1349" s="2" t="s">
        <v>41</v>
      </c>
      <c r="N1349" s="2">
        <v>2</v>
      </c>
      <c r="O1349" s="2">
        <v>137.83000000000001</v>
      </c>
      <c r="P1349" s="2">
        <f t="shared" si="105"/>
        <v>16</v>
      </c>
      <c r="Q1349" s="4">
        <f t="shared" si="106"/>
        <v>0.93415637860082301</v>
      </c>
      <c r="R1349" s="2" t="str">
        <f t="shared" si="107"/>
        <v>Inefficient</v>
      </c>
      <c r="S1349" s="2" t="str">
        <f t="shared" si="108"/>
        <v>Very Long</v>
      </c>
      <c r="T1349" s="2" t="str">
        <f t="shared" si="109"/>
        <v>Minor Delay</v>
      </c>
    </row>
    <row r="1350" spans="1:20" x14ac:dyDescent="0.35">
      <c r="A1350" s="2" t="s">
        <v>2883</v>
      </c>
      <c r="B1350" s="2" t="s">
        <v>24</v>
      </c>
      <c r="C1350" s="2" t="s">
        <v>2884</v>
      </c>
      <c r="D1350" s="2" t="s">
        <v>18</v>
      </c>
      <c r="E1350" s="2" t="s">
        <v>19</v>
      </c>
      <c r="F1350" s="2" t="s">
        <v>34</v>
      </c>
      <c r="G1350" s="2" t="s">
        <v>599</v>
      </c>
      <c r="H1350" s="3">
        <v>45523.544444444444</v>
      </c>
      <c r="I1350" s="3">
        <v>45523.589583333334</v>
      </c>
      <c r="J1350" s="2">
        <v>70</v>
      </c>
      <c r="K1350" s="2">
        <v>65</v>
      </c>
      <c r="L1350" s="2">
        <v>0</v>
      </c>
      <c r="M1350" s="2" t="s">
        <v>29</v>
      </c>
      <c r="N1350" s="2">
        <v>7</v>
      </c>
      <c r="O1350" s="2">
        <v>133.03</v>
      </c>
      <c r="P1350" s="2">
        <f t="shared" si="105"/>
        <v>-5</v>
      </c>
      <c r="Q1350" s="4">
        <f t="shared" si="106"/>
        <v>1.0769230769230769</v>
      </c>
      <c r="R1350" s="2" t="str">
        <f t="shared" si="107"/>
        <v>Efficient</v>
      </c>
      <c r="S1350" s="2" t="str">
        <f t="shared" si="108"/>
        <v>Long</v>
      </c>
      <c r="T1350" s="2" t="str">
        <f t="shared" si="109"/>
        <v>On Time</v>
      </c>
    </row>
    <row r="1351" spans="1:20" x14ac:dyDescent="0.35">
      <c r="A1351" s="2" t="s">
        <v>2885</v>
      </c>
      <c r="B1351" s="2" t="s">
        <v>24</v>
      </c>
      <c r="C1351" s="2" t="s">
        <v>2886</v>
      </c>
      <c r="D1351" s="2" t="s">
        <v>44</v>
      </c>
      <c r="E1351" s="2" t="s">
        <v>38</v>
      </c>
      <c r="F1351" s="2" t="s">
        <v>34</v>
      </c>
      <c r="G1351" s="2" t="s">
        <v>415</v>
      </c>
      <c r="H1351" s="3">
        <v>45435.081944444442</v>
      </c>
      <c r="I1351" s="3">
        <v>45435.163194444445</v>
      </c>
      <c r="J1351" s="2">
        <v>80</v>
      </c>
      <c r="K1351" s="2">
        <v>117</v>
      </c>
      <c r="L1351" s="2">
        <v>1</v>
      </c>
      <c r="M1351" s="2" t="s">
        <v>41</v>
      </c>
      <c r="N1351" s="2">
        <v>3</v>
      </c>
      <c r="O1351" s="2">
        <v>160.61000000000001</v>
      </c>
      <c r="P1351" s="2">
        <f t="shared" si="105"/>
        <v>37</v>
      </c>
      <c r="Q1351" s="4">
        <f t="shared" si="106"/>
        <v>0.68376068376068377</v>
      </c>
      <c r="R1351" s="2" t="str">
        <f t="shared" si="107"/>
        <v>Inefficient</v>
      </c>
      <c r="S1351" s="2" t="str">
        <f t="shared" si="108"/>
        <v>Long</v>
      </c>
      <c r="T1351" s="2" t="str">
        <f t="shared" si="109"/>
        <v>Major Delay</v>
      </c>
    </row>
    <row r="1352" spans="1:20" x14ac:dyDescent="0.35">
      <c r="A1352" s="2" t="s">
        <v>2887</v>
      </c>
      <c r="B1352" s="2" t="s">
        <v>16</v>
      </c>
      <c r="C1352" s="2" t="s">
        <v>2888</v>
      </c>
      <c r="D1352" s="2" t="s">
        <v>18</v>
      </c>
      <c r="E1352" s="2" t="s">
        <v>33</v>
      </c>
      <c r="F1352" s="2" t="s">
        <v>39</v>
      </c>
      <c r="G1352" s="2" t="s">
        <v>299</v>
      </c>
      <c r="H1352" s="3">
        <v>45599.361111111109</v>
      </c>
      <c r="I1352" s="3">
        <v>45599.388888888891</v>
      </c>
      <c r="J1352" s="2">
        <v>14</v>
      </c>
      <c r="K1352" s="2">
        <v>40</v>
      </c>
      <c r="L1352" s="2">
        <v>1</v>
      </c>
      <c r="M1352" s="2" t="s">
        <v>29</v>
      </c>
      <c r="N1352" s="2">
        <v>2</v>
      </c>
      <c r="O1352" s="2">
        <v>437.96</v>
      </c>
      <c r="P1352" s="2">
        <f t="shared" si="105"/>
        <v>26</v>
      </c>
      <c r="Q1352" s="4">
        <f t="shared" si="106"/>
        <v>0.35</v>
      </c>
      <c r="R1352" s="2" t="str">
        <f t="shared" si="107"/>
        <v>Inefficient</v>
      </c>
      <c r="S1352" s="2" t="str">
        <f t="shared" si="108"/>
        <v>Medium</v>
      </c>
      <c r="T1352" s="2" t="str">
        <f t="shared" si="109"/>
        <v>Minor Delay</v>
      </c>
    </row>
    <row r="1353" spans="1:20" x14ac:dyDescent="0.35">
      <c r="A1353" s="2" t="s">
        <v>2889</v>
      </c>
      <c r="B1353" s="2" t="s">
        <v>31</v>
      </c>
      <c r="C1353" s="2" t="s">
        <v>2890</v>
      </c>
      <c r="D1353" s="2" t="s">
        <v>44</v>
      </c>
      <c r="E1353" s="2" t="s">
        <v>33</v>
      </c>
      <c r="F1353" s="2" t="s">
        <v>34</v>
      </c>
      <c r="G1353" s="2" t="s">
        <v>388</v>
      </c>
      <c r="H1353" s="3">
        <v>45441.97152777778</v>
      </c>
      <c r="I1353" s="3">
        <v>45442.05972222222</v>
      </c>
      <c r="J1353" s="2">
        <v>73</v>
      </c>
      <c r="K1353" s="2">
        <v>127</v>
      </c>
      <c r="L1353" s="2">
        <v>1</v>
      </c>
      <c r="M1353" s="2" t="s">
        <v>22</v>
      </c>
      <c r="N1353" s="2">
        <v>7</v>
      </c>
      <c r="O1353" s="2">
        <v>446.35</v>
      </c>
      <c r="P1353" s="2">
        <f t="shared" si="105"/>
        <v>54</v>
      </c>
      <c r="Q1353" s="4">
        <f t="shared" si="106"/>
        <v>0.57480314960629919</v>
      </c>
      <c r="R1353" s="2" t="str">
        <f t="shared" si="107"/>
        <v>Inefficient</v>
      </c>
      <c r="S1353" s="2" t="str">
        <f t="shared" si="108"/>
        <v>Very Long</v>
      </c>
      <c r="T1353" s="2" t="str">
        <f t="shared" si="109"/>
        <v>Major Delay</v>
      </c>
    </row>
    <row r="1354" spans="1:20" x14ac:dyDescent="0.35">
      <c r="A1354" s="2" t="s">
        <v>2891</v>
      </c>
      <c r="B1354" s="2" t="s">
        <v>51</v>
      </c>
      <c r="C1354" s="2" t="s">
        <v>2892</v>
      </c>
      <c r="D1354" s="2" t="s">
        <v>56</v>
      </c>
      <c r="E1354" s="2" t="s">
        <v>33</v>
      </c>
      <c r="F1354" s="2" t="s">
        <v>57</v>
      </c>
      <c r="G1354" s="2" t="s">
        <v>684</v>
      </c>
      <c r="H1354" s="3">
        <v>45387.669444444444</v>
      </c>
      <c r="I1354" s="3">
        <v>45387.759722222225</v>
      </c>
      <c r="J1354" s="2">
        <v>85</v>
      </c>
      <c r="K1354" s="2">
        <v>130</v>
      </c>
      <c r="L1354" s="2">
        <v>1</v>
      </c>
      <c r="M1354" s="2" t="s">
        <v>29</v>
      </c>
      <c r="N1354" s="2">
        <v>2</v>
      </c>
      <c r="O1354" s="2">
        <v>293.08999999999997</v>
      </c>
      <c r="P1354" s="2">
        <f t="shared" si="105"/>
        <v>45</v>
      </c>
      <c r="Q1354" s="4">
        <f t="shared" si="106"/>
        <v>0.65384615384615385</v>
      </c>
      <c r="R1354" s="2" t="str">
        <f t="shared" si="107"/>
        <v>Inefficient</v>
      </c>
      <c r="S1354" s="2" t="str">
        <f t="shared" si="108"/>
        <v>Very Long</v>
      </c>
      <c r="T1354" s="2" t="str">
        <f t="shared" si="109"/>
        <v>Major Delay</v>
      </c>
    </row>
    <row r="1355" spans="1:20" x14ac:dyDescent="0.35">
      <c r="A1355" s="2" t="s">
        <v>2893</v>
      </c>
      <c r="B1355" s="2" t="s">
        <v>16</v>
      </c>
      <c r="C1355" s="2" t="s">
        <v>2894</v>
      </c>
      <c r="D1355" s="2" t="s">
        <v>56</v>
      </c>
      <c r="E1355" s="2" t="s">
        <v>85</v>
      </c>
      <c r="F1355" s="2" t="s">
        <v>57</v>
      </c>
      <c r="G1355" s="2" t="s">
        <v>853</v>
      </c>
      <c r="H1355" s="3">
        <v>45325.568055555559</v>
      </c>
      <c r="I1355" s="3">
        <v>45325.706944444442</v>
      </c>
      <c r="J1355" s="2">
        <v>156</v>
      </c>
      <c r="K1355" s="2">
        <v>200</v>
      </c>
      <c r="L1355" s="2">
        <v>1</v>
      </c>
      <c r="M1355" s="2" t="s">
        <v>41</v>
      </c>
      <c r="N1355" s="2">
        <v>1</v>
      </c>
      <c r="O1355" s="2">
        <v>298.99</v>
      </c>
      <c r="P1355" s="2">
        <f t="shared" si="105"/>
        <v>44</v>
      </c>
      <c r="Q1355" s="4">
        <f t="shared" si="106"/>
        <v>0.78</v>
      </c>
      <c r="R1355" s="2" t="str">
        <f t="shared" si="107"/>
        <v>Inefficient</v>
      </c>
      <c r="S1355" s="2" t="str">
        <f t="shared" si="108"/>
        <v>Very Long</v>
      </c>
      <c r="T1355" s="2" t="str">
        <f t="shared" si="109"/>
        <v>Major Delay</v>
      </c>
    </row>
    <row r="1356" spans="1:20" x14ac:dyDescent="0.35">
      <c r="A1356" s="2" t="s">
        <v>2895</v>
      </c>
      <c r="B1356" s="2" t="s">
        <v>31</v>
      </c>
      <c r="C1356" s="2" t="s">
        <v>2896</v>
      </c>
      <c r="D1356" s="2" t="s">
        <v>26</v>
      </c>
      <c r="E1356" s="2" t="s">
        <v>85</v>
      </c>
      <c r="F1356" s="2" t="s">
        <v>57</v>
      </c>
      <c r="G1356" s="2" t="s">
        <v>473</v>
      </c>
      <c r="H1356" s="3">
        <v>45298.230555555558</v>
      </c>
      <c r="I1356" s="3">
        <v>45298.273611111108</v>
      </c>
      <c r="J1356" s="2">
        <v>13</v>
      </c>
      <c r="K1356" s="2">
        <v>62</v>
      </c>
      <c r="L1356" s="2">
        <v>1</v>
      </c>
      <c r="M1356" s="2" t="s">
        <v>41</v>
      </c>
      <c r="N1356" s="2">
        <v>5</v>
      </c>
      <c r="O1356" s="2">
        <v>234.16</v>
      </c>
      <c r="P1356" s="2">
        <f t="shared" si="105"/>
        <v>49</v>
      </c>
      <c r="Q1356" s="4">
        <f t="shared" si="106"/>
        <v>0.20967741935483872</v>
      </c>
      <c r="R1356" s="2" t="str">
        <f t="shared" si="107"/>
        <v>Inefficient</v>
      </c>
      <c r="S1356" s="2" t="str">
        <f t="shared" si="108"/>
        <v>Long</v>
      </c>
      <c r="T1356" s="2" t="str">
        <f t="shared" si="109"/>
        <v>Major Delay</v>
      </c>
    </row>
    <row r="1357" spans="1:20" x14ac:dyDescent="0.35">
      <c r="A1357" s="2" t="s">
        <v>2897</v>
      </c>
      <c r="B1357" s="2" t="s">
        <v>31</v>
      </c>
      <c r="C1357" s="2" t="s">
        <v>2898</v>
      </c>
      <c r="D1357" s="2" t="s">
        <v>18</v>
      </c>
      <c r="E1357" s="2" t="s">
        <v>19</v>
      </c>
      <c r="F1357" s="2" t="s">
        <v>39</v>
      </c>
      <c r="G1357" s="2" t="s">
        <v>185</v>
      </c>
      <c r="H1357" s="3">
        <v>45297.465277777781</v>
      </c>
      <c r="I1357" s="3">
        <v>45297.561805555553</v>
      </c>
      <c r="J1357" s="2">
        <v>111</v>
      </c>
      <c r="K1357" s="2">
        <v>139</v>
      </c>
      <c r="L1357" s="2">
        <v>1</v>
      </c>
      <c r="M1357" s="2" t="s">
        <v>22</v>
      </c>
      <c r="N1357" s="2">
        <v>2</v>
      </c>
      <c r="O1357" s="2">
        <v>420.12</v>
      </c>
      <c r="P1357" s="2">
        <f t="shared" si="105"/>
        <v>28</v>
      </c>
      <c r="Q1357" s="4">
        <f t="shared" si="106"/>
        <v>0.79856115107913672</v>
      </c>
      <c r="R1357" s="2" t="str">
        <f t="shared" si="107"/>
        <v>Inefficient</v>
      </c>
      <c r="S1357" s="2" t="str">
        <f t="shared" si="108"/>
        <v>Very Long</v>
      </c>
      <c r="T1357" s="2" t="str">
        <f t="shared" si="109"/>
        <v>Minor Delay</v>
      </c>
    </row>
    <row r="1358" spans="1:20" x14ac:dyDescent="0.35">
      <c r="A1358" s="2" t="s">
        <v>2899</v>
      </c>
      <c r="B1358" s="2" t="s">
        <v>16</v>
      </c>
      <c r="C1358" s="2" t="s">
        <v>2900</v>
      </c>
      <c r="D1358" s="2" t="s">
        <v>56</v>
      </c>
      <c r="E1358" s="2" t="s">
        <v>33</v>
      </c>
      <c r="F1358" s="2" t="s">
        <v>20</v>
      </c>
      <c r="G1358" s="2" t="s">
        <v>262</v>
      </c>
      <c r="H1358" s="3">
        <v>45472.180555555555</v>
      </c>
      <c r="I1358" s="3">
        <v>45472.226388888892</v>
      </c>
      <c r="J1358" s="2">
        <v>10</v>
      </c>
      <c r="K1358" s="2">
        <v>66</v>
      </c>
      <c r="L1358" s="2">
        <v>1</v>
      </c>
      <c r="M1358" s="2" t="s">
        <v>41</v>
      </c>
      <c r="N1358" s="2">
        <v>10</v>
      </c>
      <c r="O1358" s="2">
        <v>350.09</v>
      </c>
      <c r="P1358" s="2">
        <f t="shared" si="105"/>
        <v>56</v>
      </c>
      <c r="Q1358" s="4">
        <f t="shared" si="106"/>
        <v>0.15151515151515152</v>
      </c>
      <c r="R1358" s="2" t="str">
        <f t="shared" si="107"/>
        <v>Inefficient</v>
      </c>
      <c r="S1358" s="2" t="str">
        <f t="shared" si="108"/>
        <v>Long</v>
      </c>
      <c r="T1358" s="2" t="str">
        <f t="shared" si="109"/>
        <v>Major Delay</v>
      </c>
    </row>
    <row r="1359" spans="1:20" x14ac:dyDescent="0.35">
      <c r="A1359" s="2" t="s">
        <v>2901</v>
      </c>
      <c r="B1359" s="2" t="s">
        <v>63</v>
      </c>
      <c r="C1359" s="2" t="s">
        <v>2902</v>
      </c>
      <c r="D1359" s="2" t="s">
        <v>44</v>
      </c>
      <c r="E1359" s="2" t="s">
        <v>85</v>
      </c>
      <c r="F1359" s="2" t="s">
        <v>39</v>
      </c>
      <c r="G1359" s="2" t="s">
        <v>430</v>
      </c>
      <c r="H1359" s="3">
        <v>45559.672222222223</v>
      </c>
      <c r="I1359" s="3">
        <v>45559.832638888889</v>
      </c>
      <c r="J1359" s="2">
        <v>232</v>
      </c>
      <c r="K1359" s="2">
        <v>231</v>
      </c>
      <c r="L1359" s="2">
        <v>0</v>
      </c>
      <c r="M1359" s="2" t="s">
        <v>41</v>
      </c>
      <c r="N1359" s="2">
        <v>6</v>
      </c>
      <c r="O1359" s="2">
        <v>210.46</v>
      </c>
      <c r="P1359" s="2">
        <f t="shared" si="105"/>
        <v>-1</v>
      </c>
      <c r="Q1359" s="4">
        <f t="shared" si="106"/>
        <v>1.0043290043290043</v>
      </c>
      <c r="R1359" s="2" t="str">
        <f t="shared" si="107"/>
        <v>Efficient</v>
      </c>
      <c r="S1359" s="2" t="str">
        <f t="shared" si="108"/>
        <v>Very Long</v>
      </c>
      <c r="T1359" s="2" t="str">
        <f t="shared" si="109"/>
        <v>On Time</v>
      </c>
    </row>
    <row r="1360" spans="1:20" x14ac:dyDescent="0.35">
      <c r="A1360" s="2" t="s">
        <v>2903</v>
      </c>
      <c r="B1360" s="2" t="s">
        <v>63</v>
      </c>
      <c r="C1360" s="2" t="s">
        <v>2904</v>
      </c>
      <c r="D1360" s="2" t="s">
        <v>44</v>
      </c>
      <c r="E1360" s="2" t="s">
        <v>85</v>
      </c>
      <c r="F1360" s="2" t="s">
        <v>34</v>
      </c>
      <c r="G1360" s="2" t="s">
        <v>427</v>
      </c>
      <c r="H1360" s="3">
        <v>45509.364583333336</v>
      </c>
      <c r="I1360" s="3">
        <v>45509.484722222223</v>
      </c>
      <c r="J1360" s="2">
        <v>122</v>
      </c>
      <c r="K1360" s="2">
        <v>173</v>
      </c>
      <c r="L1360" s="2">
        <v>1</v>
      </c>
      <c r="M1360" s="2" t="s">
        <v>41</v>
      </c>
      <c r="N1360" s="2">
        <v>6</v>
      </c>
      <c r="O1360" s="2">
        <v>345.16</v>
      </c>
      <c r="P1360" s="2">
        <f t="shared" si="105"/>
        <v>51</v>
      </c>
      <c r="Q1360" s="4">
        <f t="shared" si="106"/>
        <v>0.7052023121387283</v>
      </c>
      <c r="R1360" s="2" t="str">
        <f t="shared" si="107"/>
        <v>Inefficient</v>
      </c>
      <c r="S1360" s="2" t="str">
        <f t="shared" si="108"/>
        <v>Very Long</v>
      </c>
      <c r="T1360" s="2" t="str">
        <f t="shared" si="109"/>
        <v>Major Delay</v>
      </c>
    </row>
    <row r="1361" spans="1:20" x14ac:dyDescent="0.35">
      <c r="A1361" s="2" t="s">
        <v>2905</v>
      </c>
      <c r="B1361" s="2" t="s">
        <v>16</v>
      </c>
      <c r="C1361" s="2" t="s">
        <v>2906</v>
      </c>
      <c r="D1361" s="2" t="s">
        <v>18</v>
      </c>
      <c r="E1361" s="2" t="s">
        <v>19</v>
      </c>
      <c r="F1361" s="2" t="s">
        <v>20</v>
      </c>
      <c r="G1361" s="2" t="s">
        <v>201</v>
      </c>
      <c r="H1361" s="3">
        <v>45491.943055555559</v>
      </c>
      <c r="I1361" s="3">
        <v>45492.04583333333</v>
      </c>
      <c r="J1361" s="2">
        <v>60</v>
      </c>
      <c r="K1361" s="2">
        <v>148</v>
      </c>
      <c r="L1361" s="2">
        <v>1</v>
      </c>
      <c r="M1361" s="2" t="s">
        <v>22</v>
      </c>
      <c r="N1361" s="2">
        <v>9</v>
      </c>
      <c r="O1361" s="2">
        <v>170.98</v>
      </c>
      <c r="P1361" s="2">
        <f t="shared" si="105"/>
        <v>88</v>
      </c>
      <c r="Q1361" s="4">
        <f t="shared" si="106"/>
        <v>0.40540540540540543</v>
      </c>
      <c r="R1361" s="2" t="str">
        <f t="shared" si="107"/>
        <v>Inefficient</v>
      </c>
      <c r="S1361" s="2" t="str">
        <f t="shared" si="108"/>
        <v>Very Long</v>
      </c>
      <c r="T1361" s="2" t="str">
        <f t="shared" si="109"/>
        <v>Major Delay</v>
      </c>
    </row>
    <row r="1362" spans="1:20" x14ac:dyDescent="0.35">
      <c r="A1362" s="2" t="s">
        <v>2907</v>
      </c>
      <c r="B1362" s="2" t="s">
        <v>24</v>
      </c>
      <c r="C1362" s="2" t="s">
        <v>2908</v>
      </c>
      <c r="D1362" s="2" t="s">
        <v>56</v>
      </c>
      <c r="E1362" s="2" t="s">
        <v>38</v>
      </c>
      <c r="F1362" s="2" t="s">
        <v>27</v>
      </c>
      <c r="G1362" s="2" t="s">
        <v>505</v>
      </c>
      <c r="H1362" s="3">
        <v>45391.606249999997</v>
      </c>
      <c r="I1362" s="3">
        <v>45391.82916666667</v>
      </c>
      <c r="J1362" s="2">
        <v>226</v>
      </c>
      <c r="K1362" s="2">
        <v>321</v>
      </c>
      <c r="L1362" s="2">
        <v>1</v>
      </c>
      <c r="M1362" s="2" t="s">
        <v>29</v>
      </c>
      <c r="N1362" s="2">
        <v>5</v>
      </c>
      <c r="O1362" s="2">
        <v>490.37</v>
      </c>
      <c r="P1362" s="2">
        <f t="shared" si="105"/>
        <v>95</v>
      </c>
      <c r="Q1362" s="4">
        <f t="shared" si="106"/>
        <v>0.70404984423676009</v>
      </c>
      <c r="R1362" s="2" t="str">
        <f t="shared" si="107"/>
        <v>Inefficient</v>
      </c>
      <c r="S1362" s="2" t="str">
        <f t="shared" si="108"/>
        <v>Very Long</v>
      </c>
      <c r="T1362" s="2" t="str">
        <f t="shared" si="109"/>
        <v>Major Delay</v>
      </c>
    </row>
    <row r="1363" spans="1:20" x14ac:dyDescent="0.35">
      <c r="A1363" s="2" t="s">
        <v>2909</v>
      </c>
      <c r="B1363" s="2" t="s">
        <v>24</v>
      </c>
      <c r="C1363" s="2" t="s">
        <v>2910</v>
      </c>
      <c r="D1363" s="2" t="s">
        <v>48</v>
      </c>
      <c r="E1363" s="2" t="s">
        <v>85</v>
      </c>
      <c r="F1363" s="2" t="s">
        <v>20</v>
      </c>
      <c r="G1363" s="2" t="s">
        <v>97</v>
      </c>
      <c r="H1363" s="3">
        <v>45619.206944444442</v>
      </c>
      <c r="I1363" s="3">
        <v>45619.260416666664</v>
      </c>
      <c r="J1363" s="2">
        <v>31</v>
      </c>
      <c r="K1363" s="2">
        <v>77</v>
      </c>
      <c r="L1363" s="2">
        <v>1</v>
      </c>
      <c r="M1363" s="2" t="s">
        <v>29</v>
      </c>
      <c r="N1363" s="2">
        <v>9</v>
      </c>
      <c r="O1363" s="2">
        <v>220.71</v>
      </c>
      <c r="P1363" s="2">
        <f t="shared" si="105"/>
        <v>46</v>
      </c>
      <c r="Q1363" s="4">
        <f t="shared" si="106"/>
        <v>0.40259740259740262</v>
      </c>
      <c r="R1363" s="2" t="str">
        <f t="shared" si="107"/>
        <v>Inefficient</v>
      </c>
      <c r="S1363" s="2" t="str">
        <f t="shared" si="108"/>
        <v>Long</v>
      </c>
      <c r="T1363" s="2" t="str">
        <f t="shared" si="109"/>
        <v>Major Delay</v>
      </c>
    </row>
    <row r="1364" spans="1:20" x14ac:dyDescent="0.35">
      <c r="A1364" s="2" t="s">
        <v>2911</v>
      </c>
      <c r="B1364" s="2" t="s">
        <v>24</v>
      </c>
      <c r="C1364" s="2" t="s">
        <v>2912</v>
      </c>
      <c r="D1364" s="2" t="s">
        <v>48</v>
      </c>
      <c r="E1364" s="2" t="s">
        <v>85</v>
      </c>
      <c r="F1364" s="2" t="s">
        <v>39</v>
      </c>
      <c r="G1364" s="2" t="s">
        <v>308</v>
      </c>
      <c r="H1364" s="3">
        <v>45299.074305555558</v>
      </c>
      <c r="I1364" s="3">
        <v>45299.271527777775</v>
      </c>
      <c r="J1364" s="2">
        <v>192</v>
      </c>
      <c r="K1364" s="2">
        <v>284</v>
      </c>
      <c r="L1364" s="2">
        <v>1</v>
      </c>
      <c r="M1364" s="2" t="s">
        <v>41</v>
      </c>
      <c r="N1364" s="2">
        <v>2</v>
      </c>
      <c r="O1364" s="2">
        <v>399.7</v>
      </c>
      <c r="P1364" s="2">
        <f t="shared" si="105"/>
        <v>92</v>
      </c>
      <c r="Q1364" s="4">
        <f t="shared" si="106"/>
        <v>0.676056338028169</v>
      </c>
      <c r="R1364" s="2" t="str">
        <f t="shared" si="107"/>
        <v>Inefficient</v>
      </c>
      <c r="S1364" s="2" t="str">
        <f t="shared" si="108"/>
        <v>Very Long</v>
      </c>
      <c r="T1364" s="2" t="str">
        <f t="shared" si="109"/>
        <v>Major Delay</v>
      </c>
    </row>
    <row r="1365" spans="1:20" x14ac:dyDescent="0.35">
      <c r="A1365" s="2" t="s">
        <v>2913</v>
      </c>
      <c r="B1365" s="2" t="s">
        <v>24</v>
      </c>
      <c r="C1365" s="2" t="s">
        <v>2914</v>
      </c>
      <c r="D1365" s="2" t="s">
        <v>26</v>
      </c>
      <c r="E1365" s="2" t="s">
        <v>85</v>
      </c>
      <c r="F1365" s="2" t="s">
        <v>27</v>
      </c>
      <c r="G1365" s="2" t="s">
        <v>53</v>
      </c>
      <c r="H1365" s="3">
        <v>45553.531944444447</v>
      </c>
      <c r="I1365" s="3">
        <v>45553.669444444444</v>
      </c>
      <c r="J1365" s="2">
        <v>165</v>
      </c>
      <c r="K1365" s="2">
        <v>198</v>
      </c>
      <c r="L1365" s="2">
        <v>1</v>
      </c>
      <c r="M1365" s="2" t="s">
        <v>22</v>
      </c>
      <c r="N1365" s="2">
        <v>7</v>
      </c>
      <c r="O1365" s="2">
        <v>438.72</v>
      </c>
      <c r="P1365" s="2">
        <f t="shared" si="105"/>
        <v>33</v>
      </c>
      <c r="Q1365" s="4">
        <f t="shared" si="106"/>
        <v>0.83333333333333337</v>
      </c>
      <c r="R1365" s="2" t="str">
        <f t="shared" si="107"/>
        <v>Inefficient</v>
      </c>
      <c r="S1365" s="2" t="str">
        <f t="shared" si="108"/>
        <v>Very Long</v>
      </c>
      <c r="T1365" s="2" t="str">
        <f t="shared" si="109"/>
        <v>Major Delay</v>
      </c>
    </row>
    <row r="1366" spans="1:20" x14ac:dyDescent="0.35">
      <c r="A1366" s="2" t="s">
        <v>2915</v>
      </c>
      <c r="B1366" s="2" t="s">
        <v>31</v>
      </c>
      <c r="C1366" s="2" t="s">
        <v>2916</v>
      </c>
      <c r="D1366" s="2" t="s">
        <v>44</v>
      </c>
      <c r="E1366" s="2" t="s">
        <v>33</v>
      </c>
      <c r="F1366" s="2" t="s">
        <v>39</v>
      </c>
      <c r="G1366" s="2" t="s">
        <v>185</v>
      </c>
      <c r="H1366" s="3">
        <v>45415.296527777777</v>
      </c>
      <c r="I1366" s="3">
        <v>45415.387499999997</v>
      </c>
      <c r="J1366" s="2">
        <v>121</v>
      </c>
      <c r="K1366" s="2">
        <v>131</v>
      </c>
      <c r="L1366" s="2">
        <v>1</v>
      </c>
      <c r="M1366" s="2" t="s">
        <v>29</v>
      </c>
      <c r="N1366" s="2">
        <v>6</v>
      </c>
      <c r="O1366" s="2">
        <v>207.73</v>
      </c>
      <c r="P1366" s="2">
        <f t="shared" si="105"/>
        <v>10</v>
      </c>
      <c r="Q1366" s="4">
        <f t="shared" si="106"/>
        <v>0.92366412213740456</v>
      </c>
      <c r="R1366" s="2" t="str">
        <f t="shared" si="107"/>
        <v>Inefficient</v>
      </c>
      <c r="S1366" s="2" t="str">
        <f t="shared" si="108"/>
        <v>Very Long</v>
      </c>
      <c r="T1366" s="2" t="str">
        <f t="shared" si="109"/>
        <v>Minor Delay</v>
      </c>
    </row>
    <row r="1367" spans="1:20" x14ac:dyDescent="0.35">
      <c r="A1367" s="2" t="s">
        <v>2917</v>
      </c>
      <c r="B1367" s="2" t="s">
        <v>63</v>
      </c>
      <c r="C1367" s="2" t="s">
        <v>2918</v>
      </c>
      <c r="D1367" s="2" t="s">
        <v>44</v>
      </c>
      <c r="E1367" s="2" t="s">
        <v>33</v>
      </c>
      <c r="F1367" s="2" t="s">
        <v>27</v>
      </c>
      <c r="G1367" s="2" t="s">
        <v>459</v>
      </c>
      <c r="H1367" s="3">
        <v>45302.61041666667</v>
      </c>
      <c r="I1367" s="3">
        <v>45302.844444444447</v>
      </c>
      <c r="J1367" s="2">
        <v>237</v>
      </c>
      <c r="K1367" s="2">
        <v>337</v>
      </c>
      <c r="L1367" s="2">
        <v>1</v>
      </c>
      <c r="M1367" s="2" t="s">
        <v>22</v>
      </c>
      <c r="N1367" s="2">
        <v>5</v>
      </c>
      <c r="O1367" s="2">
        <v>428.41</v>
      </c>
      <c r="P1367" s="2">
        <f t="shared" si="105"/>
        <v>100</v>
      </c>
      <c r="Q1367" s="4">
        <f t="shared" si="106"/>
        <v>0.70326409495548958</v>
      </c>
      <c r="R1367" s="2" t="str">
        <f t="shared" si="107"/>
        <v>Inefficient</v>
      </c>
      <c r="S1367" s="2" t="str">
        <f t="shared" si="108"/>
        <v>Very Long</v>
      </c>
      <c r="T1367" s="2" t="str">
        <f t="shared" si="109"/>
        <v>Major Delay</v>
      </c>
    </row>
    <row r="1368" spans="1:20" x14ac:dyDescent="0.35">
      <c r="A1368" s="2" t="s">
        <v>2919</v>
      </c>
      <c r="B1368" s="2" t="s">
        <v>51</v>
      </c>
      <c r="C1368" s="2" t="s">
        <v>2920</v>
      </c>
      <c r="D1368" s="2" t="s">
        <v>48</v>
      </c>
      <c r="E1368" s="2" t="s">
        <v>38</v>
      </c>
      <c r="F1368" s="2" t="s">
        <v>20</v>
      </c>
      <c r="G1368" s="2" t="s">
        <v>546</v>
      </c>
      <c r="H1368" s="3">
        <v>45414.475694444445</v>
      </c>
      <c r="I1368" s="3">
        <v>45414.611111111109</v>
      </c>
      <c r="J1368" s="2">
        <v>196</v>
      </c>
      <c r="K1368" s="2">
        <v>195</v>
      </c>
      <c r="L1368" s="2">
        <v>0</v>
      </c>
      <c r="M1368" s="2" t="s">
        <v>41</v>
      </c>
      <c r="N1368" s="2">
        <v>5</v>
      </c>
      <c r="O1368" s="2">
        <v>422.69</v>
      </c>
      <c r="P1368" s="2">
        <f t="shared" si="105"/>
        <v>-1</v>
      </c>
      <c r="Q1368" s="4">
        <f t="shared" si="106"/>
        <v>1.0051282051282051</v>
      </c>
      <c r="R1368" s="2" t="str">
        <f t="shared" si="107"/>
        <v>Efficient</v>
      </c>
      <c r="S1368" s="2" t="str">
        <f t="shared" si="108"/>
        <v>Very Long</v>
      </c>
      <c r="T1368" s="2" t="str">
        <f t="shared" si="109"/>
        <v>On Time</v>
      </c>
    </row>
    <row r="1369" spans="1:20" x14ac:dyDescent="0.35">
      <c r="A1369" s="2" t="s">
        <v>2921</v>
      </c>
      <c r="B1369" s="2" t="s">
        <v>51</v>
      </c>
      <c r="C1369" s="2" t="s">
        <v>2922</v>
      </c>
      <c r="D1369" s="2" t="s">
        <v>18</v>
      </c>
      <c r="E1369" s="2" t="s">
        <v>19</v>
      </c>
      <c r="F1369" s="2" t="s">
        <v>39</v>
      </c>
      <c r="G1369" s="2" t="s">
        <v>785</v>
      </c>
      <c r="H1369" s="3">
        <v>45527.14166666667</v>
      </c>
      <c r="I1369" s="3">
        <v>45527.311805555553</v>
      </c>
      <c r="J1369" s="2">
        <v>142</v>
      </c>
      <c r="K1369" s="2">
        <v>245</v>
      </c>
      <c r="L1369" s="2">
        <v>1</v>
      </c>
      <c r="M1369" s="2" t="s">
        <v>22</v>
      </c>
      <c r="N1369" s="2">
        <v>8</v>
      </c>
      <c r="O1369" s="2">
        <v>112.99</v>
      </c>
      <c r="P1369" s="2">
        <f t="shared" si="105"/>
        <v>103</v>
      </c>
      <c r="Q1369" s="4">
        <f t="shared" si="106"/>
        <v>0.57959183673469383</v>
      </c>
      <c r="R1369" s="2" t="str">
        <f t="shared" si="107"/>
        <v>Inefficient</v>
      </c>
      <c r="S1369" s="2" t="str">
        <f t="shared" si="108"/>
        <v>Very Long</v>
      </c>
      <c r="T1369" s="2" t="str">
        <f t="shared" si="109"/>
        <v>Major Delay</v>
      </c>
    </row>
    <row r="1370" spans="1:20" x14ac:dyDescent="0.35">
      <c r="A1370" s="2" t="s">
        <v>2923</v>
      </c>
      <c r="B1370" s="2" t="s">
        <v>24</v>
      </c>
      <c r="C1370" s="2" t="s">
        <v>2924</v>
      </c>
      <c r="D1370" s="2" t="s">
        <v>26</v>
      </c>
      <c r="E1370" s="2" t="s">
        <v>38</v>
      </c>
      <c r="F1370" s="2" t="s">
        <v>20</v>
      </c>
      <c r="G1370" s="2" t="s">
        <v>140</v>
      </c>
      <c r="H1370" s="3">
        <v>45395.418749999997</v>
      </c>
      <c r="I1370" s="3">
        <v>45395.631249999999</v>
      </c>
      <c r="J1370" s="2">
        <v>214</v>
      </c>
      <c r="K1370" s="2">
        <v>306</v>
      </c>
      <c r="L1370" s="2">
        <v>1</v>
      </c>
      <c r="M1370" s="2" t="s">
        <v>22</v>
      </c>
      <c r="N1370" s="2">
        <v>9</v>
      </c>
      <c r="O1370" s="2">
        <v>261.87</v>
      </c>
      <c r="P1370" s="2">
        <f t="shared" si="105"/>
        <v>92</v>
      </c>
      <c r="Q1370" s="4">
        <f t="shared" si="106"/>
        <v>0.69934640522875813</v>
      </c>
      <c r="R1370" s="2" t="str">
        <f t="shared" si="107"/>
        <v>Inefficient</v>
      </c>
      <c r="S1370" s="2" t="str">
        <f t="shared" si="108"/>
        <v>Very Long</v>
      </c>
      <c r="T1370" s="2" t="str">
        <f t="shared" si="109"/>
        <v>Major Delay</v>
      </c>
    </row>
    <row r="1371" spans="1:20" x14ac:dyDescent="0.35">
      <c r="A1371" s="2" t="s">
        <v>2925</v>
      </c>
      <c r="B1371" s="2" t="s">
        <v>16</v>
      </c>
      <c r="C1371" s="2" t="s">
        <v>2926</v>
      </c>
      <c r="D1371" s="2" t="s">
        <v>48</v>
      </c>
      <c r="E1371" s="2" t="s">
        <v>19</v>
      </c>
      <c r="F1371" s="2" t="s">
        <v>27</v>
      </c>
      <c r="G1371" s="2" t="s">
        <v>88</v>
      </c>
      <c r="H1371" s="3">
        <v>45477.455555555556</v>
      </c>
      <c r="I1371" s="3">
        <v>45477.630555555559</v>
      </c>
      <c r="J1371" s="2">
        <v>240</v>
      </c>
      <c r="K1371" s="2">
        <v>252</v>
      </c>
      <c r="L1371" s="2">
        <v>1</v>
      </c>
      <c r="M1371" s="2" t="s">
        <v>41</v>
      </c>
      <c r="N1371" s="2">
        <v>8</v>
      </c>
      <c r="O1371" s="2">
        <v>224.94</v>
      </c>
      <c r="P1371" s="2">
        <f t="shared" si="105"/>
        <v>12</v>
      </c>
      <c r="Q1371" s="4">
        <f t="shared" si="106"/>
        <v>0.95238095238095233</v>
      </c>
      <c r="R1371" s="2" t="str">
        <f t="shared" si="107"/>
        <v>Inefficient</v>
      </c>
      <c r="S1371" s="2" t="str">
        <f t="shared" si="108"/>
        <v>Very Long</v>
      </c>
      <c r="T1371" s="2" t="str">
        <f t="shared" si="109"/>
        <v>Minor Delay</v>
      </c>
    </row>
    <row r="1372" spans="1:20" x14ac:dyDescent="0.35">
      <c r="A1372" s="2" t="s">
        <v>2927</v>
      </c>
      <c r="B1372" s="2" t="s">
        <v>24</v>
      </c>
      <c r="C1372" s="2" t="s">
        <v>2928</v>
      </c>
      <c r="D1372" s="2" t="s">
        <v>48</v>
      </c>
      <c r="E1372" s="2" t="s">
        <v>38</v>
      </c>
      <c r="F1372" s="2" t="s">
        <v>20</v>
      </c>
      <c r="G1372" s="2" t="s">
        <v>459</v>
      </c>
      <c r="H1372" s="3">
        <v>45344.724999999999</v>
      </c>
      <c r="I1372" s="3">
        <v>45344.811805555553</v>
      </c>
      <c r="J1372" s="2">
        <v>121</v>
      </c>
      <c r="K1372" s="2">
        <v>125</v>
      </c>
      <c r="L1372" s="2">
        <v>1</v>
      </c>
      <c r="M1372" s="2" t="s">
        <v>29</v>
      </c>
      <c r="N1372" s="2">
        <v>7</v>
      </c>
      <c r="O1372" s="2">
        <v>362.67</v>
      </c>
      <c r="P1372" s="2">
        <f t="shared" si="105"/>
        <v>4</v>
      </c>
      <c r="Q1372" s="4">
        <f t="shared" si="106"/>
        <v>0.96799999999999997</v>
      </c>
      <c r="R1372" s="2" t="str">
        <f t="shared" si="107"/>
        <v>Inefficient</v>
      </c>
      <c r="S1372" s="2" t="str">
        <f t="shared" si="108"/>
        <v>Very Long</v>
      </c>
      <c r="T1372" s="2" t="str">
        <f t="shared" si="109"/>
        <v>Minor Delay</v>
      </c>
    </row>
    <row r="1373" spans="1:20" x14ac:dyDescent="0.35">
      <c r="A1373" s="2" t="s">
        <v>2929</v>
      </c>
      <c r="B1373" s="2" t="s">
        <v>51</v>
      </c>
      <c r="C1373" s="2" t="s">
        <v>2930</v>
      </c>
      <c r="D1373" s="2" t="s">
        <v>26</v>
      </c>
      <c r="E1373" s="2" t="s">
        <v>85</v>
      </c>
      <c r="F1373" s="2" t="s">
        <v>34</v>
      </c>
      <c r="G1373" s="2" t="s">
        <v>194</v>
      </c>
      <c r="H1373" s="3">
        <v>45516.819444444445</v>
      </c>
      <c r="I1373" s="3">
        <v>45516.981944444444</v>
      </c>
      <c r="J1373" s="2">
        <v>174</v>
      </c>
      <c r="K1373" s="2">
        <v>234</v>
      </c>
      <c r="L1373" s="2">
        <v>1</v>
      </c>
      <c r="M1373" s="2" t="s">
        <v>41</v>
      </c>
      <c r="N1373" s="2">
        <v>3</v>
      </c>
      <c r="O1373" s="2">
        <v>450.54</v>
      </c>
      <c r="P1373" s="2">
        <f t="shared" si="105"/>
        <v>60</v>
      </c>
      <c r="Q1373" s="4">
        <f t="shared" si="106"/>
        <v>0.74358974358974361</v>
      </c>
      <c r="R1373" s="2" t="str">
        <f t="shared" si="107"/>
        <v>Inefficient</v>
      </c>
      <c r="S1373" s="2" t="str">
        <f t="shared" si="108"/>
        <v>Very Long</v>
      </c>
      <c r="T1373" s="2" t="str">
        <f t="shared" si="109"/>
        <v>Major Delay</v>
      </c>
    </row>
    <row r="1374" spans="1:20" x14ac:dyDescent="0.35">
      <c r="A1374" s="2" t="s">
        <v>2931</v>
      </c>
      <c r="B1374" s="2" t="s">
        <v>51</v>
      </c>
      <c r="C1374" s="2" t="s">
        <v>2932</v>
      </c>
      <c r="D1374" s="2" t="s">
        <v>18</v>
      </c>
      <c r="E1374" s="2" t="s">
        <v>38</v>
      </c>
      <c r="F1374" s="2" t="s">
        <v>39</v>
      </c>
      <c r="G1374" s="2" t="s">
        <v>1125</v>
      </c>
      <c r="H1374" s="3">
        <v>45555.361111111109</v>
      </c>
      <c r="I1374" s="3">
        <v>45555.472222222219</v>
      </c>
      <c r="J1374" s="2">
        <v>139</v>
      </c>
      <c r="K1374" s="2">
        <v>160</v>
      </c>
      <c r="L1374" s="2">
        <v>1</v>
      </c>
      <c r="M1374" s="2" t="s">
        <v>41</v>
      </c>
      <c r="N1374" s="2">
        <v>2</v>
      </c>
      <c r="O1374" s="2">
        <v>166.47</v>
      </c>
      <c r="P1374" s="2">
        <f t="shared" si="105"/>
        <v>21</v>
      </c>
      <c r="Q1374" s="4">
        <f t="shared" si="106"/>
        <v>0.86875000000000002</v>
      </c>
      <c r="R1374" s="2" t="str">
        <f t="shared" si="107"/>
        <v>Inefficient</v>
      </c>
      <c r="S1374" s="2" t="str">
        <f t="shared" si="108"/>
        <v>Very Long</v>
      </c>
      <c r="T1374" s="2" t="str">
        <f t="shared" si="109"/>
        <v>Minor Delay</v>
      </c>
    </row>
    <row r="1375" spans="1:20" x14ac:dyDescent="0.35">
      <c r="A1375" s="2" t="s">
        <v>2933</v>
      </c>
      <c r="B1375" s="2" t="s">
        <v>31</v>
      </c>
      <c r="C1375" s="2" t="s">
        <v>2934</v>
      </c>
      <c r="D1375" s="2" t="s">
        <v>26</v>
      </c>
      <c r="E1375" s="2" t="s">
        <v>33</v>
      </c>
      <c r="F1375" s="2" t="s">
        <v>20</v>
      </c>
      <c r="G1375" s="2" t="s">
        <v>473</v>
      </c>
      <c r="H1375" s="3">
        <v>45452.633333333331</v>
      </c>
      <c r="I1375" s="3">
        <v>45452.699305555558</v>
      </c>
      <c r="J1375" s="2">
        <v>92</v>
      </c>
      <c r="K1375" s="2">
        <v>95</v>
      </c>
      <c r="L1375" s="2">
        <v>1</v>
      </c>
      <c r="M1375" s="2" t="s">
        <v>22</v>
      </c>
      <c r="N1375" s="2">
        <v>9</v>
      </c>
      <c r="O1375" s="2">
        <v>497.09</v>
      </c>
      <c r="P1375" s="2">
        <f t="shared" si="105"/>
        <v>3</v>
      </c>
      <c r="Q1375" s="4">
        <f t="shared" si="106"/>
        <v>0.96842105263157896</v>
      </c>
      <c r="R1375" s="2" t="str">
        <f t="shared" si="107"/>
        <v>Inefficient</v>
      </c>
      <c r="S1375" s="2" t="str">
        <f t="shared" si="108"/>
        <v>Long</v>
      </c>
      <c r="T1375" s="2" t="str">
        <f t="shared" si="109"/>
        <v>Minor Delay</v>
      </c>
    </row>
    <row r="1376" spans="1:20" x14ac:dyDescent="0.35">
      <c r="A1376" s="2" t="s">
        <v>2935</v>
      </c>
      <c r="B1376" s="2" t="s">
        <v>16</v>
      </c>
      <c r="C1376" s="2" t="s">
        <v>2936</v>
      </c>
      <c r="D1376" s="2" t="s">
        <v>44</v>
      </c>
      <c r="E1376" s="2" t="s">
        <v>19</v>
      </c>
      <c r="F1376" s="2" t="s">
        <v>34</v>
      </c>
      <c r="G1376" s="2" t="s">
        <v>100</v>
      </c>
      <c r="H1376" s="3">
        <v>45503.546527777777</v>
      </c>
      <c r="I1376" s="3">
        <v>45503.635416666664</v>
      </c>
      <c r="J1376" s="2">
        <v>10</v>
      </c>
      <c r="K1376" s="2">
        <v>128</v>
      </c>
      <c r="L1376" s="2">
        <v>1</v>
      </c>
      <c r="M1376" s="2" t="s">
        <v>22</v>
      </c>
      <c r="N1376" s="2">
        <v>10</v>
      </c>
      <c r="O1376" s="2">
        <v>149.16</v>
      </c>
      <c r="P1376" s="2">
        <f t="shared" si="105"/>
        <v>118</v>
      </c>
      <c r="Q1376" s="4">
        <f t="shared" si="106"/>
        <v>7.8125E-2</v>
      </c>
      <c r="R1376" s="2" t="str">
        <f t="shared" si="107"/>
        <v>Inefficient</v>
      </c>
      <c r="S1376" s="2" t="str">
        <f t="shared" si="108"/>
        <v>Very Long</v>
      </c>
      <c r="T1376" s="2" t="str">
        <f t="shared" si="109"/>
        <v>Major Delay</v>
      </c>
    </row>
    <row r="1377" spans="1:20" x14ac:dyDescent="0.35">
      <c r="A1377" s="2" t="s">
        <v>2937</v>
      </c>
      <c r="B1377" s="2" t="s">
        <v>31</v>
      </c>
      <c r="C1377" s="2" t="s">
        <v>2938</v>
      </c>
      <c r="D1377" s="2" t="s">
        <v>44</v>
      </c>
      <c r="E1377" s="2" t="s">
        <v>85</v>
      </c>
      <c r="F1377" s="2" t="s">
        <v>20</v>
      </c>
      <c r="G1377" s="2" t="s">
        <v>204</v>
      </c>
      <c r="H1377" s="3">
        <v>45568.255555555559</v>
      </c>
      <c r="I1377" s="3">
        <v>45568.35</v>
      </c>
      <c r="J1377" s="2">
        <v>36</v>
      </c>
      <c r="K1377" s="2">
        <v>136</v>
      </c>
      <c r="L1377" s="2">
        <v>1</v>
      </c>
      <c r="M1377" s="2" t="s">
        <v>22</v>
      </c>
      <c r="N1377" s="2">
        <v>9</v>
      </c>
      <c r="O1377" s="2">
        <v>308.7</v>
      </c>
      <c r="P1377" s="2">
        <f t="shared" si="105"/>
        <v>100</v>
      </c>
      <c r="Q1377" s="4">
        <f t="shared" si="106"/>
        <v>0.26470588235294118</v>
      </c>
      <c r="R1377" s="2" t="str">
        <f t="shared" si="107"/>
        <v>Inefficient</v>
      </c>
      <c r="S1377" s="2" t="str">
        <f t="shared" si="108"/>
        <v>Very Long</v>
      </c>
      <c r="T1377" s="2" t="str">
        <f t="shared" si="109"/>
        <v>Major Delay</v>
      </c>
    </row>
    <row r="1378" spans="1:20" x14ac:dyDescent="0.35">
      <c r="A1378" s="2" t="s">
        <v>2939</v>
      </c>
      <c r="B1378" s="2" t="s">
        <v>51</v>
      </c>
      <c r="C1378" s="2" t="s">
        <v>2940</v>
      </c>
      <c r="D1378" s="2" t="s">
        <v>48</v>
      </c>
      <c r="E1378" s="2" t="s">
        <v>38</v>
      </c>
      <c r="F1378" s="2" t="s">
        <v>34</v>
      </c>
      <c r="G1378" s="2" t="s">
        <v>681</v>
      </c>
      <c r="H1378" s="3">
        <v>45630.973611111112</v>
      </c>
      <c r="I1378" s="3">
        <v>45631.1</v>
      </c>
      <c r="J1378" s="2">
        <v>107</v>
      </c>
      <c r="K1378" s="2">
        <v>182</v>
      </c>
      <c r="L1378" s="2">
        <v>1</v>
      </c>
      <c r="M1378" s="2" t="s">
        <v>29</v>
      </c>
      <c r="N1378" s="2">
        <v>5</v>
      </c>
      <c r="O1378" s="2">
        <v>138.44999999999999</v>
      </c>
      <c r="P1378" s="2">
        <f t="shared" si="105"/>
        <v>75</v>
      </c>
      <c r="Q1378" s="4">
        <f t="shared" si="106"/>
        <v>0.58791208791208793</v>
      </c>
      <c r="R1378" s="2" t="str">
        <f t="shared" si="107"/>
        <v>Inefficient</v>
      </c>
      <c r="S1378" s="2" t="str">
        <f t="shared" si="108"/>
        <v>Very Long</v>
      </c>
      <c r="T1378" s="2" t="str">
        <f t="shared" si="109"/>
        <v>Major Delay</v>
      </c>
    </row>
    <row r="1379" spans="1:20" x14ac:dyDescent="0.35">
      <c r="A1379" s="2" t="s">
        <v>2941</v>
      </c>
      <c r="B1379" s="2" t="s">
        <v>51</v>
      </c>
      <c r="C1379" s="2" t="s">
        <v>2942</v>
      </c>
      <c r="D1379" s="2" t="s">
        <v>26</v>
      </c>
      <c r="E1379" s="2" t="s">
        <v>33</v>
      </c>
      <c r="F1379" s="2" t="s">
        <v>20</v>
      </c>
      <c r="G1379" s="2" t="s">
        <v>473</v>
      </c>
      <c r="H1379" s="3">
        <v>45376.129166666666</v>
      </c>
      <c r="I1379" s="3">
        <v>45376.316666666666</v>
      </c>
      <c r="J1379" s="2">
        <v>216</v>
      </c>
      <c r="K1379" s="2">
        <v>270</v>
      </c>
      <c r="L1379" s="2">
        <v>1</v>
      </c>
      <c r="M1379" s="2" t="s">
        <v>41</v>
      </c>
      <c r="N1379" s="2">
        <v>4</v>
      </c>
      <c r="O1379" s="2">
        <v>384.88</v>
      </c>
      <c r="P1379" s="2">
        <f t="shared" si="105"/>
        <v>54</v>
      </c>
      <c r="Q1379" s="4">
        <f t="shared" si="106"/>
        <v>0.8</v>
      </c>
      <c r="R1379" s="2" t="str">
        <f t="shared" si="107"/>
        <v>Inefficient</v>
      </c>
      <c r="S1379" s="2" t="str">
        <f t="shared" si="108"/>
        <v>Very Long</v>
      </c>
      <c r="T1379" s="2" t="str">
        <f t="shared" si="109"/>
        <v>Major Delay</v>
      </c>
    </row>
    <row r="1380" spans="1:20" x14ac:dyDescent="0.35">
      <c r="A1380" s="2" t="s">
        <v>2943</v>
      </c>
      <c r="B1380" s="2" t="s">
        <v>51</v>
      </c>
      <c r="C1380" s="2" t="s">
        <v>2944</v>
      </c>
      <c r="D1380" s="2" t="s">
        <v>18</v>
      </c>
      <c r="E1380" s="2" t="s">
        <v>85</v>
      </c>
      <c r="F1380" s="2" t="s">
        <v>39</v>
      </c>
      <c r="G1380" s="2" t="s">
        <v>459</v>
      </c>
      <c r="H1380" s="3">
        <v>45596.409722222219</v>
      </c>
      <c r="I1380" s="3">
        <v>45596.558333333334</v>
      </c>
      <c r="J1380" s="2">
        <v>114</v>
      </c>
      <c r="K1380" s="2">
        <v>214</v>
      </c>
      <c r="L1380" s="2">
        <v>1</v>
      </c>
      <c r="M1380" s="2" t="s">
        <v>22</v>
      </c>
      <c r="N1380" s="2">
        <v>7</v>
      </c>
      <c r="O1380" s="2">
        <v>436.38</v>
      </c>
      <c r="P1380" s="2">
        <f t="shared" si="105"/>
        <v>100</v>
      </c>
      <c r="Q1380" s="4">
        <f t="shared" si="106"/>
        <v>0.53271028037383172</v>
      </c>
      <c r="R1380" s="2" t="str">
        <f t="shared" si="107"/>
        <v>Inefficient</v>
      </c>
      <c r="S1380" s="2" t="str">
        <f t="shared" si="108"/>
        <v>Very Long</v>
      </c>
      <c r="T1380" s="2" t="str">
        <f t="shared" si="109"/>
        <v>Major Delay</v>
      </c>
    </row>
    <row r="1381" spans="1:20" x14ac:dyDescent="0.35">
      <c r="A1381" s="2" t="s">
        <v>2945</v>
      </c>
      <c r="B1381" s="2" t="s">
        <v>51</v>
      </c>
      <c r="C1381" s="2" t="s">
        <v>2946</v>
      </c>
      <c r="D1381" s="2" t="s">
        <v>56</v>
      </c>
      <c r="E1381" s="2" t="s">
        <v>19</v>
      </c>
      <c r="F1381" s="2" t="s">
        <v>57</v>
      </c>
      <c r="G1381" s="2" t="s">
        <v>240</v>
      </c>
      <c r="H1381" s="3">
        <v>45608.7</v>
      </c>
      <c r="I1381" s="3">
        <v>45608.770138888889</v>
      </c>
      <c r="J1381" s="2">
        <v>78</v>
      </c>
      <c r="K1381" s="2">
        <v>101</v>
      </c>
      <c r="L1381" s="2">
        <v>1</v>
      </c>
      <c r="M1381" s="2" t="s">
        <v>22</v>
      </c>
      <c r="N1381" s="2">
        <v>8</v>
      </c>
      <c r="O1381" s="2">
        <v>283.37</v>
      </c>
      <c r="P1381" s="2">
        <f t="shared" si="105"/>
        <v>23</v>
      </c>
      <c r="Q1381" s="4">
        <f t="shared" si="106"/>
        <v>0.7722772277227723</v>
      </c>
      <c r="R1381" s="2" t="str">
        <f t="shared" si="107"/>
        <v>Inefficient</v>
      </c>
      <c r="S1381" s="2" t="str">
        <f t="shared" si="108"/>
        <v>Long</v>
      </c>
      <c r="T1381" s="2" t="str">
        <f t="shared" si="109"/>
        <v>Minor Delay</v>
      </c>
    </row>
    <row r="1382" spans="1:20" x14ac:dyDescent="0.35">
      <c r="A1382" s="2" t="s">
        <v>2947</v>
      </c>
      <c r="B1382" s="2" t="s">
        <v>16</v>
      </c>
      <c r="C1382" s="2" t="s">
        <v>2948</v>
      </c>
      <c r="D1382" s="2" t="s">
        <v>48</v>
      </c>
      <c r="E1382" s="2" t="s">
        <v>38</v>
      </c>
      <c r="F1382" s="2" t="s">
        <v>57</v>
      </c>
      <c r="G1382" s="2" t="s">
        <v>254</v>
      </c>
      <c r="H1382" s="3">
        <v>45331.321527777778</v>
      </c>
      <c r="I1382" s="3">
        <v>45331.49722222222</v>
      </c>
      <c r="J1382" s="2">
        <v>221</v>
      </c>
      <c r="K1382" s="2">
        <v>253</v>
      </c>
      <c r="L1382" s="2">
        <v>1</v>
      </c>
      <c r="M1382" s="2" t="s">
        <v>29</v>
      </c>
      <c r="N1382" s="2">
        <v>6</v>
      </c>
      <c r="O1382" s="2">
        <v>482.73</v>
      </c>
      <c r="P1382" s="2">
        <f t="shared" si="105"/>
        <v>32</v>
      </c>
      <c r="Q1382" s="4">
        <f t="shared" si="106"/>
        <v>0.87351778656126478</v>
      </c>
      <c r="R1382" s="2" t="str">
        <f t="shared" si="107"/>
        <v>Inefficient</v>
      </c>
      <c r="S1382" s="2" t="str">
        <f t="shared" si="108"/>
        <v>Very Long</v>
      </c>
      <c r="T1382" s="2" t="str">
        <f t="shared" si="109"/>
        <v>Major Delay</v>
      </c>
    </row>
    <row r="1383" spans="1:20" x14ac:dyDescent="0.35">
      <c r="A1383" s="2" t="s">
        <v>2949</v>
      </c>
      <c r="B1383" s="2" t="s">
        <v>51</v>
      </c>
      <c r="C1383" s="2" t="s">
        <v>2950</v>
      </c>
      <c r="D1383" s="2" t="s">
        <v>44</v>
      </c>
      <c r="E1383" s="2" t="s">
        <v>19</v>
      </c>
      <c r="F1383" s="2" t="s">
        <v>34</v>
      </c>
      <c r="G1383" s="2" t="s">
        <v>225</v>
      </c>
      <c r="H1383" s="3">
        <v>45544.198611111111</v>
      </c>
      <c r="I1383" s="3">
        <v>45544.365972222222</v>
      </c>
      <c r="J1383" s="2">
        <v>232</v>
      </c>
      <c r="K1383" s="2">
        <v>241</v>
      </c>
      <c r="L1383" s="2">
        <v>1</v>
      </c>
      <c r="M1383" s="2" t="s">
        <v>41</v>
      </c>
      <c r="N1383" s="2">
        <v>1</v>
      </c>
      <c r="O1383" s="2">
        <v>144.69</v>
      </c>
      <c r="P1383" s="2">
        <f t="shared" si="105"/>
        <v>9</v>
      </c>
      <c r="Q1383" s="4">
        <f t="shared" si="106"/>
        <v>0.96265560165975106</v>
      </c>
      <c r="R1383" s="2" t="str">
        <f t="shared" si="107"/>
        <v>Inefficient</v>
      </c>
      <c r="S1383" s="2" t="str">
        <f t="shared" si="108"/>
        <v>Very Long</v>
      </c>
      <c r="T1383" s="2" t="str">
        <f t="shared" si="109"/>
        <v>Minor Delay</v>
      </c>
    </row>
    <row r="1384" spans="1:20" x14ac:dyDescent="0.35">
      <c r="A1384" s="2" t="s">
        <v>2951</v>
      </c>
      <c r="B1384" s="2" t="s">
        <v>51</v>
      </c>
      <c r="C1384" s="2" t="s">
        <v>2952</v>
      </c>
      <c r="D1384" s="2" t="s">
        <v>18</v>
      </c>
      <c r="E1384" s="2" t="s">
        <v>33</v>
      </c>
      <c r="F1384" s="2" t="s">
        <v>57</v>
      </c>
      <c r="G1384" s="2" t="s">
        <v>505</v>
      </c>
      <c r="H1384" s="3">
        <v>45415.15</v>
      </c>
      <c r="I1384" s="3">
        <v>45415.247916666667</v>
      </c>
      <c r="J1384" s="2">
        <v>137</v>
      </c>
      <c r="K1384" s="2">
        <v>141</v>
      </c>
      <c r="L1384" s="2">
        <v>1</v>
      </c>
      <c r="M1384" s="2" t="s">
        <v>22</v>
      </c>
      <c r="N1384" s="2">
        <v>9</v>
      </c>
      <c r="O1384" s="2">
        <v>232.67</v>
      </c>
      <c r="P1384" s="2">
        <f t="shared" si="105"/>
        <v>4</v>
      </c>
      <c r="Q1384" s="4">
        <f t="shared" si="106"/>
        <v>0.97163120567375882</v>
      </c>
      <c r="R1384" s="2" t="str">
        <f t="shared" si="107"/>
        <v>Inefficient</v>
      </c>
      <c r="S1384" s="2" t="str">
        <f t="shared" si="108"/>
        <v>Very Long</v>
      </c>
      <c r="T1384" s="2" t="str">
        <f t="shared" si="109"/>
        <v>Minor Delay</v>
      </c>
    </row>
    <row r="1385" spans="1:20" x14ac:dyDescent="0.35">
      <c r="A1385" s="2" t="s">
        <v>2953</v>
      </c>
      <c r="B1385" s="2" t="s">
        <v>31</v>
      </c>
      <c r="C1385" s="2" t="s">
        <v>2954</v>
      </c>
      <c r="D1385" s="2" t="s">
        <v>18</v>
      </c>
      <c r="E1385" s="2" t="s">
        <v>38</v>
      </c>
      <c r="F1385" s="2" t="s">
        <v>34</v>
      </c>
      <c r="G1385" s="2" t="s">
        <v>143</v>
      </c>
      <c r="H1385" s="3">
        <v>45364.738194444442</v>
      </c>
      <c r="I1385" s="3">
        <v>45364.911805555559</v>
      </c>
      <c r="J1385" s="2">
        <v>157</v>
      </c>
      <c r="K1385" s="2">
        <v>250</v>
      </c>
      <c r="L1385" s="2">
        <v>1</v>
      </c>
      <c r="M1385" s="2" t="s">
        <v>22</v>
      </c>
      <c r="N1385" s="2">
        <v>3</v>
      </c>
      <c r="O1385" s="2">
        <v>241.11</v>
      </c>
      <c r="P1385" s="2">
        <f t="shared" si="105"/>
        <v>93</v>
      </c>
      <c r="Q1385" s="4">
        <f t="shared" si="106"/>
        <v>0.628</v>
      </c>
      <c r="R1385" s="2" t="str">
        <f t="shared" si="107"/>
        <v>Inefficient</v>
      </c>
      <c r="S1385" s="2" t="str">
        <f t="shared" si="108"/>
        <v>Very Long</v>
      </c>
      <c r="T1385" s="2" t="str">
        <f t="shared" si="109"/>
        <v>Major Delay</v>
      </c>
    </row>
    <row r="1386" spans="1:20" x14ac:dyDescent="0.35">
      <c r="A1386" s="2" t="s">
        <v>2955</v>
      </c>
      <c r="B1386" s="2" t="s">
        <v>16</v>
      </c>
      <c r="C1386" s="2" t="s">
        <v>2956</v>
      </c>
      <c r="D1386" s="2" t="s">
        <v>48</v>
      </c>
      <c r="E1386" s="2" t="s">
        <v>33</v>
      </c>
      <c r="F1386" s="2" t="s">
        <v>34</v>
      </c>
      <c r="G1386" s="2" t="s">
        <v>293</v>
      </c>
      <c r="H1386" s="3">
        <v>45342.568749999999</v>
      </c>
      <c r="I1386" s="3">
        <v>45342.763888888891</v>
      </c>
      <c r="J1386" s="2">
        <v>199</v>
      </c>
      <c r="K1386" s="2">
        <v>281</v>
      </c>
      <c r="L1386" s="2">
        <v>1</v>
      </c>
      <c r="M1386" s="2" t="s">
        <v>41</v>
      </c>
      <c r="N1386" s="2">
        <v>10</v>
      </c>
      <c r="O1386" s="2">
        <v>313.52999999999997</v>
      </c>
      <c r="P1386" s="2">
        <f t="shared" si="105"/>
        <v>82</v>
      </c>
      <c r="Q1386" s="4">
        <f t="shared" si="106"/>
        <v>0.70818505338078297</v>
      </c>
      <c r="R1386" s="2" t="str">
        <f t="shared" si="107"/>
        <v>Inefficient</v>
      </c>
      <c r="S1386" s="2" t="str">
        <f t="shared" si="108"/>
        <v>Very Long</v>
      </c>
      <c r="T1386" s="2" t="str">
        <f t="shared" si="109"/>
        <v>Major Delay</v>
      </c>
    </row>
    <row r="1387" spans="1:20" x14ac:dyDescent="0.35">
      <c r="A1387" s="2" t="s">
        <v>2957</v>
      </c>
      <c r="B1387" s="2" t="s">
        <v>16</v>
      </c>
      <c r="C1387" s="2" t="s">
        <v>2958</v>
      </c>
      <c r="D1387" s="2" t="s">
        <v>18</v>
      </c>
      <c r="E1387" s="2" t="s">
        <v>33</v>
      </c>
      <c r="F1387" s="2" t="s">
        <v>57</v>
      </c>
      <c r="G1387" s="2" t="s">
        <v>512</v>
      </c>
      <c r="H1387" s="3">
        <v>45293.361111111109</v>
      </c>
      <c r="I1387" s="3">
        <v>45293.547222222223</v>
      </c>
      <c r="J1387" s="2">
        <v>226</v>
      </c>
      <c r="K1387" s="2">
        <v>268</v>
      </c>
      <c r="L1387" s="2">
        <v>1</v>
      </c>
      <c r="M1387" s="2" t="s">
        <v>22</v>
      </c>
      <c r="N1387" s="2">
        <v>7</v>
      </c>
      <c r="O1387" s="2">
        <v>336.18</v>
      </c>
      <c r="P1387" s="2">
        <f t="shared" si="105"/>
        <v>42</v>
      </c>
      <c r="Q1387" s="4">
        <f t="shared" si="106"/>
        <v>0.84328358208955223</v>
      </c>
      <c r="R1387" s="2" t="str">
        <f t="shared" si="107"/>
        <v>Inefficient</v>
      </c>
      <c r="S1387" s="2" t="str">
        <f t="shared" si="108"/>
        <v>Very Long</v>
      </c>
      <c r="T1387" s="2" t="str">
        <f t="shared" si="109"/>
        <v>Major Delay</v>
      </c>
    </row>
    <row r="1388" spans="1:20" x14ac:dyDescent="0.35">
      <c r="A1388" s="2" t="s">
        <v>2959</v>
      </c>
      <c r="B1388" s="2" t="s">
        <v>63</v>
      </c>
      <c r="C1388" s="2" t="s">
        <v>2960</v>
      </c>
      <c r="D1388" s="2" t="s">
        <v>56</v>
      </c>
      <c r="E1388" s="2" t="s">
        <v>85</v>
      </c>
      <c r="F1388" s="2" t="s">
        <v>27</v>
      </c>
      <c r="G1388" s="2" t="s">
        <v>669</v>
      </c>
      <c r="H1388" s="3">
        <v>45555.897916666669</v>
      </c>
      <c r="I1388" s="3">
        <v>45556.00277777778</v>
      </c>
      <c r="J1388" s="2">
        <v>35</v>
      </c>
      <c r="K1388" s="2">
        <v>151</v>
      </c>
      <c r="L1388" s="2">
        <v>1</v>
      </c>
      <c r="M1388" s="2" t="s">
        <v>29</v>
      </c>
      <c r="N1388" s="2">
        <v>8</v>
      </c>
      <c r="O1388" s="2">
        <v>457.06</v>
      </c>
      <c r="P1388" s="2">
        <f t="shared" si="105"/>
        <v>116</v>
      </c>
      <c r="Q1388" s="4">
        <f t="shared" si="106"/>
        <v>0.23178807947019867</v>
      </c>
      <c r="R1388" s="2" t="str">
        <f t="shared" si="107"/>
        <v>Inefficient</v>
      </c>
      <c r="S1388" s="2" t="str">
        <f t="shared" si="108"/>
        <v>Very Long</v>
      </c>
      <c r="T1388" s="2" t="str">
        <f t="shared" si="109"/>
        <v>Major Delay</v>
      </c>
    </row>
    <row r="1389" spans="1:20" x14ac:dyDescent="0.35">
      <c r="A1389" s="2" t="s">
        <v>2961</v>
      </c>
      <c r="B1389" s="2" t="s">
        <v>63</v>
      </c>
      <c r="C1389" s="2" t="s">
        <v>2962</v>
      </c>
      <c r="D1389" s="2" t="s">
        <v>18</v>
      </c>
      <c r="E1389" s="2" t="s">
        <v>38</v>
      </c>
      <c r="F1389" s="2" t="s">
        <v>20</v>
      </c>
      <c r="G1389" s="2" t="s">
        <v>681</v>
      </c>
      <c r="H1389" s="3">
        <v>45510.011111111111</v>
      </c>
      <c r="I1389" s="3">
        <v>45510.107638888891</v>
      </c>
      <c r="J1389" s="2">
        <v>67</v>
      </c>
      <c r="K1389" s="2">
        <v>139</v>
      </c>
      <c r="L1389" s="2">
        <v>1</v>
      </c>
      <c r="M1389" s="2" t="s">
        <v>29</v>
      </c>
      <c r="N1389" s="2">
        <v>1</v>
      </c>
      <c r="O1389" s="2">
        <v>328.95</v>
      </c>
      <c r="P1389" s="2">
        <f t="shared" si="105"/>
        <v>72</v>
      </c>
      <c r="Q1389" s="4">
        <f t="shared" si="106"/>
        <v>0.48201438848920863</v>
      </c>
      <c r="R1389" s="2" t="str">
        <f t="shared" si="107"/>
        <v>Inefficient</v>
      </c>
      <c r="S1389" s="2" t="str">
        <f t="shared" si="108"/>
        <v>Very Long</v>
      </c>
      <c r="T1389" s="2" t="str">
        <f t="shared" si="109"/>
        <v>Major Delay</v>
      </c>
    </row>
    <row r="1390" spans="1:20" x14ac:dyDescent="0.35">
      <c r="A1390" s="2" t="s">
        <v>2963</v>
      </c>
      <c r="B1390" s="2" t="s">
        <v>63</v>
      </c>
      <c r="C1390" s="2" t="s">
        <v>2964</v>
      </c>
      <c r="D1390" s="2" t="s">
        <v>44</v>
      </c>
      <c r="E1390" s="2" t="s">
        <v>85</v>
      </c>
      <c r="F1390" s="2" t="s">
        <v>39</v>
      </c>
      <c r="G1390" s="2" t="s">
        <v>194</v>
      </c>
      <c r="H1390" s="3">
        <v>45424.815972222219</v>
      </c>
      <c r="I1390" s="3">
        <v>45425.03402777778</v>
      </c>
      <c r="J1390" s="2">
        <v>215</v>
      </c>
      <c r="K1390" s="2">
        <v>314</v>
      </c>
      <c r="L1390" s="2">
        <v>1</v>
      </c>
      <c r="M1390" s="2" t="s">
        <v>29</v>
      </c>
      <c r="N1390" s="2">
        <v>8</v>
      </c>
      <c r="O1390" s="2">
        <v>284.23</v>
      </c>
      <c r="P1390" s="2">
        <f t="shared" si="105"/>
        <v>99</v>
      </c>
      <c r="Q1390" s="4">
        <f t="shared" si="106"/>
        <v>0.6847133757961783</v>
      </c>
      <c r="R1390" s="2" t="str">
        <f t="shared" si="107"/>
        <v>Inefficient</v>
      </c>
      <c r="S1390" s="2" t="str">
        <f t="shared" si="108"/>
        <v>Very Long</v>
      </c>
      <c r="T1390" s="2" t="str">
        <f t="shared" si="109"/>
        <v>Major Delay</v>
      </c>
    </row>
    <row r="1391" spans="1:20" x14ac:dyDescent="0.35">
      <c r="A1391" s="2" t="s">
        <v>2965</v>
      </c>
      <c r="B1391" s="2" t="s">
        <v>31</v>
      </c>
      <c r="C1391" s="2" t="s">
        <v>2966</v>
      </c>
      <c r="D1391" s="2" t="s">
        <v>26</v>
      </c>
      <c r="E1391" s="2" t="s">
        <v>19</v>
      </c>
      <c r="F1391" s="2" t="s">
        <v>34</v>
      </c>
      <c r="G1391" s="2" t="s">
        <v>754</v>
      </c>
      <c r="H1391" s="3">
        <v>45348.613194444442</v>
      </c>
      <c r="I1391" s="3">
        <v>45348.741666666669</v>
      </c>
      <c r="J1391" s="2">
        <v>133</v>
      </c>
      <c r="K1391" s="2">
        <v>185</v>
      </c>
      <c r="L1391" s="2">
        <v>1</v>
      </c>
      <c r="M1391" s="2" t="s">
        <v>41</v>
      </c>
      <c r="N1391" s="2">
        <v>3</v>
      </c>
      <c r="O1391" s="2">
        <v>390</v>
      </c>
      <c r="P1391" s="2">
        <f t="shared" si="105"/>
        <v>52</v>
      </c>
      <c r="Q1391" s="4">
        <f t="shared" si="106"/>
        <v>0.7189189189189189</v>
      </c>
      <c r="R1391" s="2" t="str">
        <f t="shared" si="107"/>
        <v>Inefficient</v>
      </c>
      <c r="S1391" s="2" t="str">
        <f t="shared" si="108"/>
        <v>Very Long</v>
      </c>
      <c r="T1391" s="2" t="str">
        <f t="shared" si="109"/>
        <v>Major Delay</v>
      </c>
    </row>
    <row r="1392" spans="1:20" x14ac:dyDescent="0.35">
      <c r="A1392" s="2" t="s">
        <v>2967</v>
      </c>
      <c r="B1392" s="2" t="s">
        <v>31</v>
      </c>
      <c r="C1392" s="2" t="s">
        <v>2968</v>
      </c>
      <c r="D1392" s="2" t="s">
        <v>26</v>
      </c>
      <c r="E1392" s="2" t="s">
        <v>38</v>
      </c>
      <c r="F1392" s="2" t="s">
        <v>20</v>
      </c>
      <c r="G1392" s="2" t="s">
        <v>364</v>
      </c>
      <c r="H1392" s="3">
        <v>45294.174305555556</v>
      </c>
      <c r="I1392" s="3">
        <v>45294.268055555556</v>
      </c>
      <c r="J1392" s="2">
        <v>81</v>
      </c>
      <c r="K1392" s="2">
        <v>135</v>
      </c>
      <c r="L1392" s="2">
        <v>1</v>
      </c>
      <c r="M1392" s="2" t="s">
        <v>41</v>
      </c>
      <c r="N1392" s="2">
        <v>2</v>
      </c>
      <c r="O1392" s="2">
        <v>431.03</v>
      </c>
      <c r="P1392" s="2">
        <f t="shared" si="105"/>
        <v>54</v>
      </c>
      <c r="Q1392" s="4">
        <f t="shared" si="106"/>
        <v>0.6</v>
      </c>
      <c r="R1392" s="2" t="str">
        <f t="shared" si="107"/>
        <v>Inefficient</v>
      </c>
      <c r="S1392" s="2" t="str">
        <f t="shared" si="108"/>
        <v>Very Long</v>
      </c>
      <c r="T1392" s="2" t="str">
        <f t="shared" si="109"/>
        <v>Major Delay</v>
      </c>
    </row>
    <row r="1393" spans="1:20" x14ac:dyDescent="0.35">
      <c r="A1393" s="2" t="s">
        <v>2969</v>
      </c>
      <c r="B1393" s="2" t="s">
        <v>63</v>
      </c>
      <c r="C1393" s="2" t="s">
        <v>2970</v>
      </c>
      <c r="D1393" s="2" t="s">
        <v>44</v>
      </c>
      <c r="E1393" s="2" t="s">
        <v>85</v>
      </c>
      <c r="F1393" s="2" t="s">
        <v>27</v>
      </c>
      <c r="G1393" s="2" t="s">
        <v>21</v>
      </c>
      <c r="H1393" s="3">
        <v>45378.394444444442</v>
      </c>
      <c r="I1393" s="3">
        <v>45378.486111111109</v>
      </c>
      <c r="J1393" s="2">
        <v>103</v>
      </c>
      <c r="K1393" s="2">
        <v>132</v>
      </c>
      <c r="L1393" s="2">
        <v>1</v>
      </c>
      <c r="M1393" s="2" t="s">
        <v>41</v>
      </c>
      <c r="N1393" s="2">
        <v>3</v>
      </c>
      <c r="O1393" s="2">
        <v>155.03</v>
      </c>
      <c r="P1393" s="2">
        <f t="shared" si="105"/>
        <v>29</v>
      </c>
      <c r="Q1393" s="4">
        <f t="shared" si="106"/>
        <v>0.78030303030303028</v>
      </c>
      <c r="R1393" s="2" t="str">
        <f t="shared" si="107"/>
        <v>Inefficient</v>
      </c>
      <c r="S1393" s="2" t="str">
        <f t="shared" si="108"/>
        <v>Very Long</v>
      </c>
      <c r="T1393" s="2" t="str">
        <f t="shared" si="109"/>
        <v>Minor Delay</v>
      </c>
    </row>
    <row r="1394" spans="1:20" x14ac:dyDescent="0.35">
      <c r="A1394" s="2" t="s">
        <v>2971</v>
      </c>
      <c r="B1394" s="2" t="s">
        <v>31</v>
      </c>
      <c r="C1394" s="2" t="s">
        <v>2972</v>
      </c>
      <c r="D1394" s="2" t="s">
        <v>26</v>
      </c>
      <c r="E1394" s="2" t="s">
        <v>85</v>
      </c>
      <c r="F1394" s="2" t="s">
        <v>39</v>
      </c>
      <c r="G1394" s="2" t="s">
        <v>1172</v>
      </c>
      <c r="H1394" s="3">
        <v>45380.436111111114</v>
      </c>
      <c r="I1394" s="3">
        <v>45380.631944444445</v>
      </c>
      <c r="J1394" s="2">
        <v>238</v>
      </c>
      <c r="K1394" s="2">
        <v>282</v>
      </c>
      <c r="L1394" s="2">
        <v>1</v>
      </c>
      <c r="M1394" s="2" t="s">
        <v>41</v>
      </c>
      <c r="N1394" s="2">
        <v>7</v>
      </c>
      <c r="O1394" s="2">
        <v>316.11</v>
      </c>
      <c r="P1394" s="2">
        <f t="shared" si="105"/>
        <v>44</v>
      </c>
      <c r="Q1394" s="4">
        <f t="shared" si="106"/>
        <v>0.84397163120567376</v>
      </c>
      <c r="R1394" s="2" t="str">
        <f t="shared" si="107"/>
        <v>Inefficient</v>
      </c>
      <c r="S1394" s="2" t="str">
        <f t="shared" si="108"/>
        <v>Very Long</v>
      </c>
      <c r="T1394" s="2" t="str">
        <f t="shared" si="109"/>
        <v>Major Delay</v>
      </c>
    </row>
    <row r="1395" spans="1:20" x14ac:dyDescent="0.35">
      <c r="A1395" s="2" t="s">
        <v>2973</v>
      </c>
      <c r="B1395" s="2" t="s">
        <v>16</v>
      </c>
      <c r="C1395" s="2" t="s">
        <v>2974</v>
      </c>
      <c r="D1395" s="2" t="s">
        <v>44</v>
      </c>
      <c r="E1395" s="2" t="s">
        <v>38</v>
      </c>
      <c r="F1395" s="2" t="s">
        <v>57</v>
      </c>
      <c r="G1395" s="2" t="s">
        <v>354</v>
      </c>
      <c r="H1395" s="3">
        <v>45601.384027777778</v>
      </c>
      <c r="I1395" s="3">
        <v>45601.522222222222</v>
      </c>
      <c r="J1395" s="2">
        <v>113</v>
      </c>
      <c r="K1395" s="2">
        <v>199</v>
      </c>
      <c r="L1395" s="2">
        <v>1</v>
      </c>
      <c r="M1395" s="2" t="s">
        <v>41</v>
      </c>
      <c r="N1395" s="2">
        <v>10</v>
      </c>
      <c r="O1395" s="2">
        <v>118.28</v>
      </c>
      <c r="P1395" s="2">
        <f t="shared" si="105"/>
        <v>86</v>
      </c>
      <c r="Q1395" s="4">
        <f t="shared" si="106"/>
        <v>0.56783919597989951</v>
      </c>
      <c r="R1395" s="2" t="str">
        <f t="shared" si="107"/>
        <v>Inefficient</v>
      </c>
      <c r="S1395" s="2" t="str">
        <f t="shared" si="108"/>
        <v>Very Long</v>
      </c>
      <c r="T1395" s="2" t="str">
        <f t="shared" si="109"/>
        <v>Major Delay</v>
      </c>
    </row>
    <row r="1396" spans="1:20" x14ac:dyDescent="0.35">
      <c r="A1396" s="2" t="s">
        <v>2975</v>
      </c>
      <c r="B1396" s="2" t="s">
        <v>24</v>
      </c>
      <c r="C1396" s="2" t="s">
        <v>2976</v>
      </c>
      <c r="D1396" s="2" t="s">
        <v>48</v>
      </c>
      <c r="E1396" s="2" t="s">
        <v>33</v>
      </c>
      <c r="F1396" s="2" t="s">
        <v>27</v>
      </c>
      <c r="G1396" s="2" t="s">
        <v>161</v>
      </c>
      <c r="H1396" s="3">
        <v>45425.851388888892</v>
      </c>
      <c r="I1396" s="3">
        <v>45425.972916666666</v>
      </c>
      <c r="J1396" s="2">
        <v>97</v>
      </c>
      <c r="K1396" s="2">
        <v>175</v>
      </c>
      <c r="L1396" s="2">
        <v>1</v>
      </c>
      <c r="M1396" s="2" t="s">
        <v>41</v>
      </c>
      <c r="N1396" s="2">
        <v>3</v>
      </c>
      <c r="O1396" s="2">
        <v>270.82</v>
      </c>
      <c r="P1396" s="2">
        <f t="shared" si="105"/>
        <v>78</v>
      </c>
      <c r="Q1396" s="4">
        <f t="shared" si="106"/>
        <v>0.55428571428571427</v>
      </c>
      <c r="R1396" s="2" t="str">
        <f t="shared" si="107"/>
        <v>Inefficient</v>
      </c>
      <c r="S1396" s="2" t="str">
        <f t="shared" si="108"/>
        <v>Very Long</v>
      </c>
      <c r="T1396" s="2" t="str">
        <f t="shared" si="109"/>
        <v>Major Delay</v>
      </c>
    </row>
    <row r="1397" spans="1:20" x14ac:dyDescent="0.35">
      <c r="A1397" s="2" t="s">
        <v>2977</v>
      </c>
      <c r="B1397" s="2" t="s">
        <v>24</v>
      </c>
      <c r="C1397" s="2" t="s">
        <v>2978</v>
      </c>
      <c r="D1397" s="2" t="s">
        <v>18</v>
      </c>
      <c r="E1397" s="2" t="s">
        <v>19</v>
      </c>
      <c r="F1397" s="2" t="s">
        <v>27</v>
      </c>
      <c r="G1397" s="2" t="s">
        <v>204</v>
      </c>
      <c r="H1397" s="3">
        <v>45509.982638888891</v>
      </c>
      <c r="I1397" s="3">
        <v>45510.180555555555</v>
      </c>
      <c r="J1397" s="2">
        <v>169</v>
      </c>
      <c r="K1397" s="2">
        <v>285</v>
      </c>
      <c r="L1397" s="2">
        <v>1</v>
      </c>
      <c r="M1397" s="2" t="s">
        <v>22</v>
      </c>
      <c r="N1397" s="2">
        <v>3</v>
      </c>
      <c r="O1397" s="2">
        <v>499.44</v>
      </c>
      <c r="P1397" s="2">
        <f t="shared" si="105"/>
        <v>116</v>
      </c>
      <c r="Q1397" s="4">
        <f t="shared" si="106"/>
        <v>0.59298245614035083</v>
      </c>
      <c r="R1397" s="2" t="str">
        <f t="shared" si="107"/>
        <v>Inefficient</v>
      </c>
      <c r="S1397" s="2" t="str">
        <f t="shared" si="108"/>
        <v>Very Long</v>
      </c>
      <c r="T1397" s="2" t="str">
        <f t="shared" si="109"/>
        <v>Major Delay</v>
      </c>
    </row>
    <row r="1398" spans="1:20" x14ac:dyDescent="0.35">
      <c r="A1398" s="2" t="s">
        <v>2979</v>
      </c>
      <c r="B1398" s="2" t="s">
        <v>63</v>
      </c>
      <c r="C1398" s="2" t="s">
        <v>2980</v>
      </c>
      <c r="D1398" s="2" t="s">
        <v>18</v>
      </c>
      <c r="E1398" s="2" t="s">
        <v>19</v>
      </c>
      <c r="F1398" s="2" t="s">
        <v>39</v>
      </c>
      <c r="G1398" s="2" t="s">
        <v>68</v>
      </c>
      <c r="H1398" s="3">
        <v>45353.363194444442</v>
      </c>
      <c r="I1398" s="3">
        <v>45353.40902777778</v>
      </c>
      <c r="J1398" s="2">
        <v>28</v>
      </c>
      <c r="K1398" s="2">
        <v>66</v>
      </c>
      <c r="L1398" s="2">
        <v>1</v>
      </c>
      <c r="M1398" s="2" t="s">
        <v>29</v>
      </c>
      <c r="N1398" s="2">
        <v>8</v>
      </c>
      <c r="O1398" s="2">
        <v>248.22</v>
      </c>
      <c r="P1398" s="2">
        <f t="shared" si="105"/>
        <v>38</v>
      </c>
      <c r="Q1398" s="4">
        <f t="shared" si="106"/>
        <v>0.42424242424242425</v>
      </c>
      <c r="R1398" s="2" t="str">
        <f t="shared" si="107"/>
        <v>Inefficient</v>
      </c>
      <c r="S1398" s="2" t="str">
        <f t="shared" si="108"/>
        <v>Long</v>
      </c>
      <c r="T1398" s="2" t="str">
        <f t="shared" si="109"/>
        <v>Major Delay</v>
      </c>
    </row>
    <row r="1399" spans="1:20" x14ac:dyDescent="0.35">
      <c r="A1399" s="2" t="s">
        <v>2981</v>
      </c>
      <c r="B1399" s="2" t="s">
        <v>16</v>
      </c>
      <c r="C1399" s="2" t="s">
        <v>2982</v>
      </c>
      <c r="D1399" s="2" t="s">
        <v>48</v>
      </c>
      <c r="E1399" s="2" t="s">
        <v>19</v>
      </c>
      <c r="F1399" s="2" t="s">
        <v>39</v>
      </c>
      <c r="G1399" s="2" t="s">
        <v>383</v>
      </c>
      <c r="H1399" s="3">
        <v>45595.78402777778</v>
      </c>
      <c r="I1399" s="3">
        <v>45595.9375</v>
      </c>
      <c r="J1399" s="2">
        <v>136</v>
      </c>
      <c r="K1399" s="2">
        <v>221</v>
      </c>
      <c r="L1399" s="2">
        <v>1</v>
      </c>
      <c r="M1399" s="2" t="s">
        <v>41</v>
      </c>
      <c r="N1399" s="2">
        <v>4</v>
      </c>
      <c r="O1399" s="2">
        <v>479.57</v>
      </c>
      <c r="P1399" s="2">
        <f t="shared" si="105"/>
        <v>85</v>
      </c>
      <c r="Q1399" s="4">
        <f t="shared" si="106"/>
        <v>0.61538461538461542</v>
      </c>
      <c r="R1399" s="2" t="str">
        <f t="shared" si="107"/>
        <v>Inefficient</v>
      </c>
      <c r="S1399" s="2" t="str">
        <f t="shared" si="108"/>
        <v>Very Long</v>
      </c>
      <c r="T1399" s="2" t="str">
        <f t="shared" si="109"/>
        <v>Major Delay</v>
      </c>
    </row>
    <row r="1400" spans="1:20" x14ac:dyDescent="0.35">
      <c r="A1400" s="2" t="s">
        <v>2983</v>
      </c>
      <c r="B1400" s="2" t="s">
        <v>16</v>
      </c>
      <c r="C1400" s="2" t="s">
        <v>2984</v>
      </c>
      <c r="D1400" s="2" t="s">
        <v>44</v>
      </c>
      <c r="E1400" s="2" t="s">
        <v>33</v>
      </c>
      <c r="F1400" s="2" t="s">
        <v>34</v>
      </c>
      <c r="G1400" s="2" t="s">
        <v>94</v>
      </c>
      <c r="H1400" s="3">
        <v>45513.831250000003</v>
      </c>
      <c r="I1400" s="3">
        <v>45513.975694444445</v>
      </c>
      <c r="J1400" s="2">
        <v>207</v>
      </c>
      <c r="K1400" s="2">
        <v>208</v>
      </c>
      <c r="L1400" s="2">
        <v>1</v>
      </c>
      <c r="M1400" s="2" t="s">
        <v>22</v>
      </c>
      <c r="N1400" s="2">
        <v>7</v>
      </c>
      <c r="O1400" s="2">
        <v>100.79</v>
      </c>
      <c r="P1400" s="2">
        <f t="shared" si="105"/>
        <v>1</v>
      </c>
      <c r="Q1400" s="4">
        <f t="shared" si="106"/>
        <v>0.99519230769230771</v>
      </c>
      <c r="R1400" s="2" t="str">
        <f t="shared" si="107"/>
        <v>Inefficient</v>
      </c>
      <c r="S1400" s="2" t="str">
        <f t="shared" si="108"/>
        <v>Very Long</v>
      </c>
      <c r="T1400" s="2" t="str">
        <f t="shared" si="109"/>
        <v>Minor Delay</v>
      </c>
    </row>
    <row r="1401" spans="1:20" x14ac:dyDescent="0.35">
      <c r="A1401" s="2" t="s">
        <v>2985</v>
      </c>
      <c r="B1401" s="2" t="s">
        <v>24</v>
      </c>
      <c r="C1401" s="2" t="s">
        <v>2986</v>
      </c>
      <c r="D1401" s="2" t="s">
        <v>56</v>
      </c>
      <c r="E1401" s="2" t="s">
        <v>85</v>
      </c>
      <c r="F1401" s="2" t="s">
        <v>20</v>
      </c>
      <c r="G1401" s="2" t="s">
        <v>225</v>
      </c>
      <c r="H1401" s="3">
        <v>45603.62222222222</v>
      </c>
      <c r="I1401" s="3">
        <v>45603.71875</v>
      </c>
      <c r="J1401" s="2">
        <v>132</v>
      </c>
      <c r="K1401" s="2">
        <v>139</v>
      </c>
      <c r="L1401" s="2">
        <v>1</v>
      </c>
      <c r="M1401" s="2" t="s">
        <v>41</v>
      </c>
      <c r="N1401" s="2">
        <v>3</v>
      </c>
      <c r="O1401" s="2">
        <v>327.98</v>
      </c>
      <c r="P1401" s="2">
        <f t="shared" si="105"/>
        <v>7</v>
      </c>
      <c r="Q1401" s="4">
        <f t="shared" si="106"/>
        <v>0.94964028776978415</v>
      </c>
      <c r="R1401" s="2" t="str">
        <f t="shared" si="107"/>
        <v>Inefficient</v>
      </c>
      <c r="S1401" s="2" t="str">
        <f t="shared" si="108"/>
        <v>Very Long</v>
      </c>
      <c r="T1401" s="2" t="str">
        <f t="shared" si="109"/>
        <v>Minor Delay</v>
      </c>
    </row>
    <row r="1402" spans="1:20" x14ac:dyDescent="0.35">
      <c r="A1402" s="2" t="s">
        <v>2987</v>
      </c>
      <c r="B1402" s="2" t="s">
        <v>31</v>
      </c>
      <c r="C1402" s="2" t="s">
        <v>2988</v>
      </c>
      <c r="D1402" s="2" t="s">
        <v>18</v>
      </c>
      <c r="E1402" s="2" t="s">
        <v>85</v>
      </c>
      <c r="F1402" s="2" t="s">
        <v>34</v>
      </c>
      <c r="G1402" s="2" t="s">
        <v>120</v>
      </c>
      <c r="H1402" s="3">
        <v>45619.72152777778</v>
      </c>
      <c r="I1402" s="3">
        <v>45619.776388888888</v>
      </c>
      <c r="J1402" s="2">
        <v>13</v>
      </c>
      <c r="K1402" s="2">
        <v>79</v>
      </c>
      <c r="L1402" s="2">
        <v>1</v>
      </c>
      <c r="M1402" s="2" t="s">
        <v>29</v>
      </c>
      <c r="N1402" s="2">
        <v>1</v>
      </c>
      <c r="O1402" s="2">
        <v>90.9</v>
      </c>
      <c r="P1402" s="2">
        <f t="shared" si="105"/>
        <v>66</v>
      </c>
      <c r="Q1402" s="4">
        <f t="shared" si="106"/>
        <v>0.16455696202531644</v>
      </c>
      <c r="R1402" s="2" t="str">
        <f t="shared" si="107"/>
        <v>Inefficient</v>
      </c>
      <c r="S1402" s="2" t="str">
        <f t="shared" si="108"/>
        <v>Long</v>
      </c>
      <c r="T1402" s="2" t="str">
        <f t="shared" si="109"/>
        <v>Major Delay</v>
      </c>
    </row>
    <row r="1403" spans="1:20" x14ac:dyDescent="0.35">
      <c r="A1403" s="2" t="s">
        <v>2989</v>
      </c>
      <c r="B1403" s="2" t="s">
        <v>63</v>
      </c>
      <c r="C1403" s="2" t="s">
        <v>2990</v>
      </c>
      <c r="D1403" s="2" t="s">
        <v>56</v>
      </c>
      <c r="E1403" s="2" t="s">
        <v>38</v>
      </c>
      <c r="F1403" s="2" t="s">
        <v>20</v>
      </c>
      <c r="G1403" s="2" t="s">
        <v>311</v>
      </c>
      <c r="H1403" s="3">
        <v>45342.164583333331</v>
      </c>
      <c r="I1403" s="3">
        <v>45342.270833333336</v>
      </c>
      <c r="J1403" s="2">
        <v>117</v>
      </c>
      <c r="K1403" s="2">
        <v>153</v>
      </c>
      <c r="L1403" s="2">
        <v>1</v>
      </c>
      <c r="M1403" s="2" t="s">
        <v>22</v>
      </c>
      <c r="N1403" s="2">
        <v>6</v>
      </c>
      <c r="O1403" s="2">
        <v>237.06</v>
      </c>
      <c r="P1403" s="2">
        <f t="shared" si="105"/>
        <v>36</v>
      </c>
      <c r="Q1403" s="4">
        <f t="shared" si="106"/>
        <v>0.76470588235294112</v>
      </c>
      <c r="R1403" s="2" t="str">
        <f t="shared" si="107"/>
        <v>Inefficient</v>
      </c>
      <c r="S1403" s="2" t="str">
        <f t="shared" si="108"/>
        <v>Very Long</v>
      </c>
      <c r="T1403" s="2" t="str">
        <f t="shared" si="109"/>
        <v>Major Delay</v>
      </c>
    </row>
    <row r="1404" spans="1:20" x14ac:dyDescent="0.35">
      <c r="A1404" s="2" t="s">
        <v>2991</v>
      </c>
      <c r="B1404" s="2" t="s">
        <v>24</v>
      </c>
      <c r="C1404" s="2" t="s">
        <v>2992</v>
      </c>
      <c r="D1404" s="2" t="s">
        <v>26</v>
      </c>
      <c r="E1404" s="2" t="s">
        <v>33</v>
      </c>
      <c r="F1404" s="2" t="s">
        <v>20</v>
      </c>
      <c r="G1404" s="2" t="s">
        <v>73</v>
      </c>
      <c r="H1404" s="3">
        <v>45439.265277777777</v>
      </c>
      <c r="I1404" s="3">
        <v>45439.405555555553</v>
      </c>
      <c r="J1404" s="2">
        <v>183</v>
      </c>
      <c r="K1404" s="2">
        <v>202</v>
      </c>
      <c r="L1404" s="2">
        <v>1</v>
      </c>
      <c r="M1404" s="2" t="s">
        <v>41</v>
      </c>
      <c r="N1404" s="2">
        <v>4</v>
      </c>
      <c r="O1404" s="2">
        <v>274.01</v>
      </c>
      <c r="P1404" s="2">
        <f t="shared" si="105"/>
        <v>19</v>
      </c>
      <c r="Q1404" s="4">
        <f t="shared" si="106"/>
        <v>0.90594059405940597</v>
      </c>
      <c r="R1404" s="2" t="str">
        <f t="shared" si="107"/>
        <v>Inefficient</v>
      </c>
      <c r="S1404" s="2" t="str">
        <f t="shared" si="108"/>
        <v>Very Long</v>
      </c>
      <c r="T1404" s="2" t="str">
        <f t="shared" si="109"/>
        <v>Minor Delay</v>
      </c>
    </row>
    <row r="1405" spans="1:20" x14ac:dyDescent="0.35">
      <c r="A1405" s="2" t="s">
        <v>2993</v>
      </c>
      <c r="B1405" s="2" t="s">
        <v>31</v>
      </c>
      <c r="C1405" s="2" t="s">
        <v>2994</v>
      </c>
      <c r="D1405" s="2" t="s">
        <v>56</v>
      </c>
      <c r="E1405" s="2" t="s">
        <v>38</v>
      </c>
      <c r="F1405" s="2" t="s">
        <v>39</v>
      </c>
      <c r="G1405" s="2" t="s">
        <v>210</v>
      </c>
      <c r="H1405" s="3">
        <v>45632.695833333331</v>
      </c>
      <c r="I1405" s="3">
        <v>45632.718055555553</v>
      </c>
      <c r="J1405" s="2">
        <v>32</v>
      </c>
      <c r="K1405" s="2">
        <v>32</v>
      </c>
      <c r="L1405" s="2">
        <v>0</v>
      </c>
      <c r="M1405" s="2" t="s">
        <v>22</v>
      </c>
      <c r="N1405" s="2">
        <v>8</v>
      </c>
      <c r="O1405" s="2">
        <v>224.58</v>
      </c>
      <c r="P1405" s="2">
        <f t="shared" si="105"/>
        <v>0</v>
      </c>
      <c r="Q1405" s="4">
        <f t="shared" si="106"/>
        <v>1</v>
      </c>
      <c r="R1405" s="2" t="str">
        <f t="shared" si="107"/>
        <v>On Target</v>
      </c>
      <c r="S1405" s="2" t="str">
        <f t="shared" si="108"/>
        <v>Medium</v>
      </c>
      <c r="T1405" s="2" t="str">
        <f t="shared" si="109"/>
        <v>On Time</v>
      </c>
    </row>
    <row r="1406" spans="1:20" x14ac:dyDescent="0.35">
      <c r="A1406" s="2" t="s">
        <v>2995</v>
      </c>
      <c r="B1406" s="2" t="s">
        <v>24</v>
      </c>
      <c r="C1406" s="2" t="s">
        <v>2996</v>
      </c>
      <c r="D1406" s="2" t="s">
        <v>48</v>
      </c>
      <c r="E1406" s="2" t="s">
        <v>85</v>
      </c>
      <c r="F1406" s="2" t="s">
        <v>20</v>
      </c>
      <c r="G1406" s="2" t="s">
        <v>338</v>
      </c>
      <c r="H1406" s="3">
        <v>45483.15625</v>
      </c>
      <c r="I1406" s="3">
        <v>45483.218055555553</v>
      </c>
      <c r="J1406" s="2">
        <v>94</v>
      </c>
      <c r="K1406" s="2">
        <v>89</v>
      </c>
      <c r="L1406" s="2">
        <v>0</v>
      </c>
      <c r="M1406" s="2" t="s">
        <v>29</v>
      </c>
      <c r="N1406" s="2">
        <v>7</v>
      </c>
      <c r="O1406" s="2">
        <v>436.02</v>
      </c>
      <c r="P1406" s="2">
        <f t="shared" si="105"/>
        <v>-5</v>
      </c>
      <c r="Q1406" s="4">
        <f t="shared" si="106"/>
        <v>1.0561797752808988</v>
      </c>
      <c r="R1406" s="2" t="str">
        <f t="shared" si="107"/>
        <v>Efficient</v>
      </c>
      <c r="S1406" s="2" t="str">
        <f t="shared" si="108"/>
        <v>Long</v>
      </c>
      <c r="T1406" s="2" t="str">
        <f t="shared" si="109"/>
        <v>On Time</v>
      </c>
    </row>
    <row r="1407" spans="1:20" x14ac:dyDescent="0.35">
      <c r="A1407" s="2" t="s">
        <v>2997</v>
      </c>
      <c r="B1407" s="2" t="s">
        <v>31</v>
      </c>
      <c r="C1407" s="2" t="s">
        <v>2998</v>
      </c>
      <c r="D1407" s="2" t="s">
        <v>26</v>
      </c>
      <c r="E1407" s="2" t="s">
        <v>33</v>
      </c>
      <c r="F1407" s="2" t="s">
        <v>39</v>
      </c>
      <c r="G1407" s="2" t="s">
        <v>100</v>
      </c>
      <c r="H1407" s="3">
        <v>45418.869444444441</v>
      </c>
      <c r="I1407" s="3">
        <v>45418.991666666669</v>
      </c>
      <c r="J1407" s="2">
        <v>64</v>
      </c>
      <c r="K1407" s="2">
        <v>176</v>
      </c>
      <c r="L1407" s="2">
        <v>1</v>
      </c>
      <c r="M1407" s="2" t="s">
        <v>22</v>
      </c>
      <c r="N1407" s="2">
        <v>4</v>
      </c>
      <c r="O1407" s="2">
        <v>225.21</v>
      </c>
      <c r="P1407" s="2">
        <f t="shared" si="105"/>
        <v>112</v>
      </c>
      <c r="Q1407" s="4">
        <f t="shared" si="106"/>
        <v>0.36363636363636365</v>
      </c>
      <c r="R1407" s="2" t="str">
        <f t="shared" si="107"/>
        <v>Inefficient</v>
      </c>
      <c r="S1407" s="2" t="str">
        <f t="shared" si="108"/>
        <v>Very Long</v>
      </c>
      <c r="T1407" s="2" t="str">
        <f t="shared" si="109"/>
        <v>Major Delay</v>
      </c>
    </row>
    <row r="1408" spans="1:20" x14ac:dyDescent="0.35">
      <c r="A1408" s="2" t="s">
        <v>2999</v>
      </c>
      <c r="B1408" s="2" t="s">
        <v>63</v>
      </c>
      <c r="C1408" s="2" t="s">
        <v>3000</v>
      </c>
      <c r="D1408" s="2" t="s">
        <v>44</v>
      </c>
      <c r="E1408" s="2" t="s">
        <v>33</v>
      </c>
      <c r="F1408" s="2" t="s">
        <v>57</v>
      </c>
      <c r="G1408" s="2" t="s">
        <v>283</v>
      </c>
      <c r="H1408" s="3">
        <v>45541.938194444447</v>
      </c>
      <c r="I1408" s="3">
        <v>45542.074305555558</v>
      </c>
      <c r="J1408" s="2">
        <v>165</v>
      </c>
      <c r="K1408" s="2">
        <v>196</v>
      </c>
      <c r="L1408" s="2">
        <v>1</v>
      </c>
      <c r="M1408" s="2" t="s">
        <v>41</v>
      </c>
      <c r="N1408" s="2">
        <v>1</v>
      </c>
      <c r="O1408" s="2">
        <v>80.56</v>
      </c>
      <c r="P1408" s="2">
        <f t="shared" si="105"/>
        <v>31</v>
      </c>
      <c r="Q1408" s="4">
        <f t="shared" si="106"/>
        <v>0.84183673469387754</v>
      </c>
      <c r="R1408" s="2" t="str">
        <f t="shared" si="107"/>
        <v>Inefficient</v>
      </c>
      <c r="S1408" s="2" t="str">
        <f t="shared" si="108"/>
        <v>Very Long</v>
      </c>
      <c r="T1408" s="2" t="str">
        <f t="shared" si="109"/>
        <v>Major Delay</v>
      </c>
    </row>
    <row r="1409" spans="1:20" x14ac:dyDescent="0.35">
      <c r="A1409" s="2" t="s">
        <v>3001</v>
      </c>
      <c r="B1409" s="2" t="s">
        <v>24</v>
      </c>
      <c r="C1409" s="2" t="s">
        <v>3002</v>
      </c>
      <c r="D1409" s="2" t="s">
        <v>26</v>
      </c>
      <c r="E1409" s="2" t="s">
        <v>38</v>
      </c>
      <c r="F1409" s="2" t="s">
        <v>57</v>
      </c>
      <c r="G1409" s="2" t="s">
        <v>465</v>
      </c>
      <c r="H1409" s="3">
        <v>45488.216666666667</v>
      </c>
      <c r="I1409" s="3">
        <v>45488.293055555558</v>
      </c>
      <c r="J1409" s="2">
        <v>110</v>
      </c>
      <c r="K1409" s="2">
        <v>110</v>
      </c>
      <c r="L1409" s="2">
        <v>0</v>
      </c>
      <c r="M1409" s="2" t="s">
        <v>29</v>
      </c>
      <c r="N1409" s="2">
        <v>10</v>
      </c>
      <c r="O1409" s="2">
        <v>428.04</v>
      </c>
      <c r="P1409" s="2">
        <f t="shared" si="105"/>
        <v>0</v>
      </c>
      <c r="Q1409" s="4">
        <f t="shared" si="106"/>
        <v>1</v>
      </c>
      <c r="R1409" s="2" t="str">
        <f t="shared" si="107"/>
        <v>On Target</v>
      </c>
      <c r="S1409" s="2" t="str">
        <f t="shared" si="108"/>
        <v>Long</v>
      </c>
      <c r="T1409" s="2" t="str">
        <f t="shared" si="109"/>
        <v>On Time</v>
      </c>
    </row>
    <row r="1410" spans="1:20" x14ac:dyDescent="0.35">
      <c r="A1410" s="2" t="s">
        <v>3003</v>
      </c>
      <c r="B1410" s="2" t="s">
        <v>51</v>
      </c>
      <c r="C1410" s="2" t="s">
        <v>3004</v>
      </c>
      <c r="D1410" s="2" t="s">
        <v>26</v>
      </c>
      <c r="E1410" s="2" t="s">
        <v>19</v>
      </c>
      <c r="F1410" s="2" t="s">
        <v>34</v>
      </c>
      <c r="G1410" s="2" t="s">
        <v>228</v>
      </c>
      <c r="H1410" s="3">
        <v>45523.706250000003</v>
      </c>
      <c r="I1410" s="3">
        <v>45523.784722222219</v>
      </c>
      <c r="J1410" s="2">
        <v>12</v>
      </c>
      <c r="K1410" s="2">
        <v>113</v>
      </c>
      <c r="L1410" s="2">
        <v>1</v>
      </c>
      <c r="M1410" s="2" t="s">
        <v>22</v>
      </c>
      <c r="N1410" s="2">
        <v>10</v>
      </c>
      <c r="O1410" s="2">
        <v>155.71</v>
      </c>
      <c r="P1410" s="2">
        <f t="shared" si="105"/>
        <v>101</v>
      </c>
      <c r="Q1410" s="4">
        <f t="shared" si="106"/>
        <v>0.10619469026548672</v>
      </c>
      <c r="R1410" s="2" t="str">
        <f t="shared" si="107"/>
        <v>Inefficient</v>
      </c>
      <c r="S1410" s="2" t="str">
        <f t="shared" si="108"/>
        <v>Long</v>
      </c>
      <c r="T1410" s="2" t="str">
        <f t="shared" si="109"/>
        <v>Major Delay</v>
      </c>
    </row>
    <row r="1411" spans="1:20" x14ac:dyDescent="0.35">
      <c r="A1411" s="2" t="s">
        <v>3005</v>
      </c>
      <c r="B1411" s="2" t="s">
        <v>51</v>
      </c>
      <c r="C1411" s="2" t="s">
        <v>3006</v>
      </c>
      <c r="D1411" s="2" t="s">
        <v>44</v>
      </c>
      <c r="E1411" s="2" t="s">
        <v>85</v>
      </c>
      <c r="F1411" s="2" t="s">
        <v>39</v>
      </c>
      <c r="G1411" s="2" t="s">
        <v>231</v>
      </c>
      <c r="H1411" s="3">
        <v>45650.90902777778</v>
      </c>
      <c r="I1411" s="3">
        <v>45651.042361111111</v>
      </c>
      <c r="J1411" s="2">
        <v>100</v>
      </c>
      <c r="K1411" s="2">
        <v>192</v>
      </c>
      <c r="L1411" s="2">
        <v>1</v>
      </c>
      <c r="M1411" s="2" t="s">
        <v>22</v>
      </c>
      <c r="N1411" s="2">
        <v>6</v>
      </c>
      <c r="O1411" s="2">
        <v>293.18</v>
      </c>
      <c r="P1411" s="2">
        <f t="shared" ref="P1411:P1474" si="110">K1411-J1411</f>
        <v>92</v>
      </c>
      <c r="Q1411" s="4">
        <f t="shared" ref="Q1411:Q1474" si="111">J1411/K1411</f>
        <v>0.52083333333333337</v>
      </c>
      <c r="R1411" s="2" t="str">
        <f t="shared" ref="R1411:R1474" si="112">IF(Q1411&gt;1,"Efficient",
IF(Q1411=1,"On Target","Inefficient"))</f>
        <v>Inefficient</v>
      </c>
      <c r="S1411" s="2" t="str">
        <f t="shared" ref="S1411:S1474" si="113">IF(K1411&lt;30,"Short",
IF(K1411&lt;60,"Medium",
IF(K1411&lt;120,"Long","Very Long")))</f>
        <v>Very Long</v>
      </c>
      <c r="T1411" s="2" t="str">
        <f t="shared" ref="T1411:T1474" si="114">IF(K1411&lt;=J1411,"On Time",
IF(K1411-J1411&lt;=30,"Minor Delay","Major Delay"))</f>
        <v>Major Delay</v>
      </c>
    </row>
    <row r="1412" spans="1:20" x14ac:dyDescent="0.35">
      <c r="A1412" s="2" t="s">
        <v>3007</v>
      </c>
      <c r="B1412" s="2" t="s">
        <v>16</v>
      </c>
      <c r="C1412" s="2" t="s">
        <v>3008</v>
      </c>
      <c r="D1412" s="2" t="s">
        <v>48</v>
      </c>
      <c r="E1412" s="2" t="s">
        <v>19</v>
      </c>
      <c r="F1412" s="2" t="s">
        <v>57</v>
      </c>
      <c r="G1412" s="2" t="s">
        <v>853</v>
      </c>
      <c r="H1412" s="3">
        <v>45397.839583333334</v>
      </c>
      <c r="I1412" s="3">
        <v>45397.940972222219</v>
      </c>
      <c r="J1412" s="2">
        <v>49</v>
      </c>
      <c r="K1412" s="2">
        <v>146</v>
      </c>
      <c r="L1412" s="2">
        <v>1</v>
      </c>
      <c r="M1412" s="2" t="s">
        <v>41</v>
      </c>
      <c r="N1412" s="2">
        <v>5</v>
      </c>
      <c r="O1412" s="2">
        <v>65.78</v>
      </c>
      <c r="P1412" s="2">
        <f t="shared" si="110"/>
        <v>97</v>
      </c>
      <c r="Q1412" s="4">
        <f t="shared" si="111"/>
        <v>0.33561643835616439</v>
      </c>
      <c r="R1412" s="2" t="str">
        <f t="shared" si="112"/>
        <v>Inefficient</v>
      </c>
      <c r="S1412" s="2" t="str">
        <f t="shared" si="113"/>
        <v>Very Long</v>
      </c>
      <c r="T1412" s="2" t="str">
        <f t="shared" si="114"/>
        <v>Major Delay</v>
      </c>
    </row>
    <row r="1413" spans="1:20" x14ac:dyDescent="0.35">
      <c r="A1413" s="2" t="s">
        <v>3009</v>
      </c>
      <c r="B1413" s="2" t="s">
        <v>31</v>
      </c>
      <c r="C1413" s="2" t="s">
        <v>3010</v>
      </c>
      <c r="D1413" s="2" t="s">
        <v>48</v>
      </c>
      <c r="E1413" s="2" t="s">
        <v>33</v>
      </c>
      <c r="F1413" s="2" t="s">
        <v>34</v>
      </c>
      <c r="G1413" s="2" t="s">
        <v>526</v>
      </c>
      <c r="H1413" s="3">
        <v>45436.856249999997</v>
      </c>
      <c r="I1413" s="3">
        <v>45436.963888888888</v>
      </c>
      <c r="J1413" s="2">
        <v>150</v>
      </c>
      <c r="K1413" s="2">
        <v>155</v>
      </c>
      <c r="L1413" s="2">
        <v>1</v>
      </c>
      <c r="M1413" s="2" t="s">
        <v>22</v>
      </c>
      <c r="N1413" s="2">
        <v>5</v>
      </c>
      <c r="O1413" s="2">
        <v>68.150000000000006</v>
      </c>
      <c r="P1413" s="2">
        <f t="shared" si="110"/>
        <v>5</v>
      </c>
      <c r="Q1413" s="4">
        <f t="shared" si="111"/>
        <v>0.967741935483871</v>
      </c>
      <c r="R1413" s="2" t="str">
        <f t="shared" si="112"/>
        <v>Inefficient</v>
      </c>
      <c r="S1413" s="2" t="str">
        <f t="shared" si="113"/>
        <v>Very Long</v>
      </c>
      <c r="T1413" s="2" t="str">
        <f t="shared" si="114"/>
        <v>Minor Delay</v>
      </c>
    </row>
    <row r="1414" spans="1:20" x14ac:dyDescent="0.35">
      <c r="A1414" s="2" t="s">
        <v>3011</v>
      </c>
      <c r="B1414" s="2" t="s">
        <v>51</v>
      </c>
      <c r="C1414" s="2" t="s">
        <v>3012</v>
      </c>
      <c r="D1414" s="2" t="s">
        <v>44</v>
      </c>
      <c r="E1414" s="2" t="s">
        <v>38</v>
      </c>
      <c r="F1414" s="2" t="s">
        <v>34</v>
      </c>
      <c r="G1414" s="2" t="s">
        <v>293</v>
      </c>
      <c r="H1414" s="3">
        <v>45378.074999999997</v>
      </c>
      <c r="I1414" s="3">
        <v>45378.158333333333</v>
      </c>
      <c r="J1414" s="2">
        <v>121</v>
      </c>
      <c r="K1414" s="2">
        <v>120</v>
      </c>
      <c r="L1414" s="2">
        <v>0</v>
      </c>
      <c r="M1414" s="2" t="s">
        <v>41</v>
      </c>
      <c r="N1414" s="2">
        <v>10</v>
      </c>
      <c r="O1414" s="2">
        <v>142.1</v>
      </c>
      <c r="P1414" s="2">
        <f t="shared" si="110"/>
        <v>-1</v>
      </c>
      <c r="Q1414" s="4">
        <f t="shared" si="111"/>
        <v>1.0083333333333333</v>
      </c>
      <c r="R1414" s="2" t="str">
        <f t="shared" si="112"/>
        <v>Efficient</v>
      </c>
      <c r="S1414" s="2" t="str">
        <f t="shared" si="113"/>
        <v>Very Long</v>
      </c>
      <c r="T1414" s="2" t="str">
        <f t="shared" si="114"/>
        <v>On Time</v>
      </c>
    </row>
    <row r="1415" spans="1:20" x14ac:dyDescent="0.35">
      <c r="A1415" s="2" t="s">
        <v>3013</v>
      </c>
      <c r="B1415" s="2" t="s">
        <v>31</v>
      </c>
      <c r="C1415" s="2" t="s">
        <v>3014</v>
      </c>
      <c r="D1415" s="2" t="s">
        <v>56</v>
      </c>
      <c r="E1415" s="2" t="s">
        <v>33</v>
      </c>
      <c r="F1415" s="2" t="s">
        <v>20</v>
      </c>
      <c r="G1415" s="2" t="s">
        <v>152</v>
      </c>
      <c r="H1415" s="3">
        <v>45316.177083333336</v>
      </c>
      <c r="I1415" s="3">
        <v>45316.34375</v>
      </c>
      <c r="J1415" s="2">
        <v>211</v>
      </c>
      <c r="K1415" s="2">
        <v>240</v>
      </c>
      <c r="L1415" s="2">
        <v>1</v>
      </c>
      <c r="M1415" s="2" t="s">
        <v>22</v>
      </c>
      <c r="N1415" s="2">
        <v>1</v>
      </c>
      <c r="O1415" s="2">
        <v>320.52</v>
      </c>
      <c r="P1415" s="2">
        <f t="shared" si="110"/>
        <v>29</v>
      </c>
      <c r="Q1415" s="4">
        <f t="shared" si="111"/>
        <v>0.87916666666666665</v>
      </c>
      <c r="R1415" s="2" t="str">
        <f t="shared" si="112"/>
        <v>Inefficient</v>
      </c>
      <c r="S1415" s="2" t="str">
        <f t="shared" si="113"/>
        <v>Very Long</v>
      </c>
      <c r="T1415" s="2" t="str">
        <f t="shared" si="114"/>
        <v>Minor Delay</v>
      </c>
    </row>
    <row r="1416" spans="1:20" x14ac:dyDescent="0.35">
      <c r="A1416" s="2" t="s">
        <v>3015</v>
      </c>
      <c r="B1416" s="2" t="s">
        <v>51</v>
      </c>
      <c r="C1416" s="2" t="s">
        <v>3016</v>
      </c>
      <c r="D1416" s="2" t="s">
        <v>26</v>
      </c>
      <c r="E1416" s="2" t="s">
        <v>85</v>
      </c>
      <c r="F1416" s="2" t="s">
        <v>20</v>
      </c>
      <c r="G1416" s="2" t="s">
        <v>213</v>
      </c>
      <c r="H1416" s="3">
        <v>45357.924305555556</v>
      </c>
      <c r="I1416" s="3">
        <v>45358.036111111112</v>
      </c>
      <c r="J1416" s="2">
        <v>166</v>
      </c>
      <c r="K1416" s="2">
        <v>161</v>
      </c>
      <c r="L1416" s="2">
        <v>0</v>
      </c>
      <c r="M1416" s="2" t="s">
        <v>22</v>
      </c>
      <c r="N1416" s="2">
        <v>6</v>
      </c>
      <c r="O1416" s="2">
        <v>261.95</v>
      </c>
      <c r="P1416" s="2">
        <f t="shared" si="110"/>
        <v>-5</v>
      </c>
      <c r="Q1416" s="4">
        <f t="shared" si="111"/>
        <v>1.031055900621118</v>
      </c>
      <c r="R1416" s="2" t="str">
        <f t="shared" si="112"/>
        <v>Efficient</v>
      </c>
      <c r="S1416" s="2" t="str">
        <f t="shared" si="113"/>
        <v>Very Long</v>
      </c>
      <c r="T1416" s="2" t="str">
        <f t="shared" si="114"/>
        <v>On Time</v>
      </c>
    </row>
    <row r="1417" spans="1:20" x14ac:dyDescent="0.35">
      <c r="A1417" s="2" t="s">
        <v>3017</v>
      </c>
      <c r="B1417" s="2" t="s">
        <v>51</v>
      </c>
      <c r="C1417" s="2" t="s">
        <v>3018</v>
      </c>
      <c r="D1417" s="2" t="s">
        <v>56</v>
      </c>
      <c r="E1417" s="2" t="s">
        <v>85</v>
      </c>
      <c r="F1417" s="2" t="s">
        <v>20</v>
      </c>
      <c r="G1417" s="2" t="s">
        <v>343</v>
      </c>
      <c r="H1417" s="3">
        <v>45641.993055555555</v>
      </c>
      <c r="I1417" s="3">
        <v>45642.093055555553</v>
      </c>
      <c r="J1417" s="2">
        <v>98</v>
      </c>
      <c r="K1417" s="2">
        <v>144</v>
      </c>
      <c r="L1417" s="2">
        <v>1</v>
      </c>
      <c r="M1417" s="2" t="s">
        <v>29</v>
      </c>
      <c r="N1417" s="2">
        <v>2</v>
      </c>
      <c r="O1417" s="2">
        <v>147.97999999999999</v>
      </c>
      <c r="P1417" s="2">
        <f t="shared" si="110"/>
        <v>46</v>
      </c>
      <c r="Q1417" s="4">
        <f t="shared" si="111"/>
        <v>0.68055555555555558</v>
      </c>
      <c r="R1417" s="2" t="str">
        <f t="shared" si="112"/>
        <v>Inefficient</v>
      </c>
      <c r="S1417" s="2" t="str">
        <f t="shared" si="113"/>
        <v>Very Long</v>
      </c>
      <c r="T1417" s="2" t="str">
        <f t="shared" si="114"/>
        <v>Major Delay</v>
      </c>
    </row>
    <row r="1418" spans="1:20" x14ac:dyDescent="0.35">
      <c r="A1418" s="2" t="s">
        <v>3019</v>
      </c>
      <c r="B1418" s="2" t="s">
        <v>24</v>
      </c>
      <c r="C1418" s="2" t="s">
        <v>3020</v>
      </c>
      <c r="D1418" s="2" t="s">
        <v>26</v>
      </c>
      <c r="E1418" s="2" t="s">
        <v>85</v>
      </c>
      <c r="F1418" s="2" t="s">
        <v>39</v>
      </c>
      <c r="G1418" s="2" t="s">
        <v>40</v>
      </c>
      <c r="H1418" s="3">
        <v>45654.120138888888</v>
      </c>
      <c r="I1418" s="3">
        <v>45654.304166666669</v>
      </c>
      <c r="J1418" s="2">
        <v>188</v>
      </c>
      <c r="K1418" s="2">
        <v>265</v>
      </c>
      <c r="L1418" s="2">
        <v>1</v>
      </c>
      <c r="M1418" s="2" t="s">
        <v>41</v>
      </c>
      <c r="N1418" s="2">
        <v>6</v>
      </c>
      <c r="O1418" s="2">
        <v>214.5</v>
      </c>
      <c r="P1418" s="2">
        <f t="shared" si="110"/>
        <v>77</v>
      </c>
      <c r="Q1418" s="4">
        <f t="shared" si="111"/>
        <v>0.7094339622641509</v>
      </c>
      <c r="R1418" s="2" t="str">
        <f t="shared" si="112"/>
        <v>Inefficient</v>
      </c>
      <c r="S1418" s="2" t="str">
        <f t="shared" si="113"/>
        <v>Very Long</v>
      </c>
      <c r="T1418" s="2" t="str">
        <f t="shared" si="114"/>
        <v>Major Delay</v>
      </c>
    </row>
    <row r="1419" spans="1:20" x14ac:dyDescent="0.35">
      <c r="A1419" s="2" t="s">
        <v>3021</v>
      </c>
      <c r="B1419" s="2" t="s">
        <v>16</v>
      </c>
      <c r="C1419" s="2" t="s">
        <v>3022</v>
      </c>
      <c r="D1419" s="2" t="s">
        <v>18</v>
      </c>
      <c r="E1419" s="2" t="s">
        <v>19</v>
      </c>
      <c r="F1419" s="2" t="s">
        <v>27</v>
      </c>
      <c r="G1419" s="2" t="s">
        <v>383</v>
      </c>
      <c r="H1419" s="3">
        <v>45378.227777777778</v>
      </c>
      <c r="I1419" s="3">
        <v>45378.305555555555</v>
      </c>
      <c r="J1419" s="2">
        <v>66</v>
      </c>
      <c r="K1419" s="2">
        <v>112</v>
      </c>
      <c r="L1419" s="2">
        <v>1</v>
      </c>
      <c r="M1419" s="2" t="s">
        <v>29</v>
      </c>
      <c r="N1419" s="2">
        <v>1</v>
      </c>
      <c r="O1419" s="2">
        <v>341.49</v>
      </c>
      <c r="P1419" s="2">
        <f t="shared" si="110"/>
        <v>46</v>
      </c>
      <c r="Q1419" s="4">
        <f t="shared" si="111"/>
        <v>0.5892857142857143</v>
      </c>
      <c r="R1419" s="2" t="str">
        <f t="shared" si="112"/>
        <v>Inefficient</v>
      </c>
      <c r="S1419" s="2" t="str">
        <f t="shared" si="113"/>
        <v>Long</v>
      </c>
      <c r="T1419" s="2" t="str">
        <f t="shared" si="114"/>
        <v>Major Delay</v>
      </c>
    </row>
    <row r="1420" spans="1:20" x14ac:dyDescent="0.35">
      <c r="A1420" s="2" t="s">
        <v>3023</v>
      </c>
      <c r="B1420" s="2" t="s">
        <v>31</v>
      </c>
      <c r="C1420" s="2" t="s">
        <v>3024</v>
      </c>
      <c r="D1420" s="2" t="s">
        <v>56</v>
      </c>
      <c r="E1420" s="2" t="s">
        <v>85</v>
      </c>
      <c r="F1420" s="2" t="s">
        <v>34</v>
      </c>
      <c r="G1420" s="2" t="s">
        <v>126</v>
      </c>
      <c r="H1420" s="3">
        <v>45400.948611111111</v>
      </c>
      <c r="I1420" s="3">
        <v>45401.061111111114</v>
      </c>
      <c r="J1420" s="2">
        <v>69</v>
      </c>
      <c r="K1420" s="2">
        <v>162</v>
      </c>
      <c r="L1420" s="2">
        <v>1</v>
      </c>
      <c r="M1420" s="2" t="s">
        <v>29</v>
      </c>
      <c r="N1420" s="2">
        <v>9</v>
      </c>
      <c r="O1420" s="2">
        <v>325.14</v>
      </c>
      <c r="P1420" s="2">
        <f t="shared" si="110"/>
        <v>93</v>
      </c>
      <c r="Q1420" s="4">
        <f t="shared" si="111"/>
        <v>0.42592592592592593</v>
      </c>
      <c r="R1420" s="2" t="str">
        <f t="shared" si="112"/>
        <v>Inefficient</v>
      </c>
      <c r="S1420" s="2" t="str">
        <f t="shared" si="113"/>
        <v>Very Long</v>
      </c>
      <c r="T1420" s="2" t="str">
        <f t="shared" si="114"/>
        <v>Major Delay</v>
      </c>
    </row>
    <row r="1421" spans="1:20" x14ac:dyDescent="0.35">
      <c r="A1421" s="2" t="s">
        <v>3025</v>
      </c>
      <c r="B1421" s="2" t="s">
        <v>16</v>
      </c>
      <c r="C1421" s="2" t="s">
        <v>3026</v>
      </c>
      <c r="D1421" s="2" t="s">
        <v>48</v>
      </c>
      <c r="E1421" s="2" t="s">
        <v>19</v>
      </c>
      <c r="F1421" s="2" t="s">
        <v>34</v>
      </c>
      <c r="G1421" s="2" t="s">
        <v>259</v>
      </c>
      <c r="H1421" s="3">
        <v>45385.979166666664</v>
      </c>
      <c r="I1421" s="3">
        <v>45386.071527777778</v>
      </c>
      <c r="J1421" s="2">
        <v>46</v>
      </c>
      <c r="K1421" s="2">
        <v>133</v>
      </c>
      <c r="L1421" s="2">
        <v>1</v>
      </c>
      <c r="M1421" s="2" t="s">
        <v>22</v>
      </c>
      <c r="N1421" s="2">
        <v>5</v>
      </c>
      <c r="O1421" s="2">
        <v>420.25</v>
      </c>
      <c r="P1421" s="2">
        <f t="shared" si="110"/>
        <v>87</v>
      </c>
      <c r="Q1421" s="4">
        <f t="shared" si="111"/>
        <v>0.34586466165413532</v>
      </c>
      <c r="R1421" s="2" t="str">
        <f t="shared" si="112"/>
        <v>Inefficient</v>
      </c>
      <c r="S1421" s="2" t="str">
        <f t="shared" si="113"/>
        <v>Very Long</v>
      </c>
      <c r="T1421" s="2" t="str">
        <f t="shared" si="114"/>
        <v>Major Delay</v>
      </c>
    </row>
    <row r="1422" spans="1:20" x14ac:dyDescent="0.35">
      <c r="A1422" s="2" t="s">
        <v>3027</v>
      </c>
      <c r="B1422" s="2" t="s">
        <v>51</v>
      </c>
      <c r="C1422" s="2" t="s">
        <v>3028</v>
      </c>
      <c r="D1422" s="2" t="s">
        <v>44</v>
      </c>
      <c r="E1422" s="2" t="s">
        <v>19</v>
      </c>
      <c r="F1422" s="2" t="s">
        <v>27</v>
      </c>
      <c r="G1422" s="2" t="s">
        <v>376</v>
      </c>
      <c r="H1422" s="3">
        <v>45642.900694444441</v>
      </c>
      <c r="I1422" s="3">
        <v>45643.003472222219</v>
      </c>
      <c r="J1422" s="2">
        <v>81</v>
      </c>
      <c r="K1422" s="2">
        <v>148</v>
      </c>
      <c r="L1422" s="2">
        <v>1</v>
      </c>
      <c r="M1422" s="2" t="s">
        <v>41</v>
      </c>
      <c r="N1422" s="2">
        <v>10</v>
      </c>
      <c r="O1422" s="2">
        <v>70.150000000000006</v>
      </c>
      <c r="P1422" s="2">
        <f t="shared" si="110"/>
        <v>67</v>
      </c>
      <c r="Q1422" s="4">
        <f t="shared" si="111"/>
        <v>0.54729729729729726</v>
      </c>
      <c r="R1422" s="2" t="str">
        <f t="shared" si="112"/>
        <v>Inefficient</v>
      </c>
      <c r="S1422" s="2" t="str">
        <f t="shared" si="113"/>
        <v>Very Long</v>
      </c>
      <c r="T1422" s="2" t="str">
        <f t="shared" si="114"/>
        <v>Major Delay</v>
      </c>
    </row>
    <row r="1423" spans="1:20" x14ac:dyDescent="0.35">
      <c r="A1423" s="2" t="s">
        <v>3029</v>
      </c>
      <c r="B1423" s="2" t="s">
        <v>31</v>
      </c>
      <c r="C1423" s="2" t="s">
        <v>3030</v>
      </c>
      <c r="D1423" s="2" t="s">
        <v>26</v>
      </c>
      <c r="E1423" s="2" t="s">
        <v>38</v>
      </c>
      <c r="F1423" s="2" t="s">
        <v>27</v>
      </c>
      <c r="G1423" s="2" t="s">
        <v>201</v>
      </c>
      <c r="H1423" s="3">
        <v>45642.512499999997</v>
      </c>
      <c r="I1423" s="3">
        <v>45642.7</v>
      </c>
      <c r="J1423" s="2">
        <v>220</v>
      </c>
      <c r="K1423" s="2">
        <v>270</v>
      </c>
      <c r="L1423" s="2">
        <v>1</v>
      </c>
      <c r="M1423" s="2" t="s">
        <v>41</v>
      </c>
      <c r="N1423" s="2">
        <v>5</v>
      </c>
      <c r="O1423" s="2">
        <v>471.49</v>
      </c>
      <c r="P1423" s="2">
        <f t="shared" si="110"/>
        <v>50</v>
      </c>
      <c r="Q1423" s="4">
        <f t="shared" si="111"/>
        <v>0.81481481481481477</v>
      </c>
      <c r="R1423" s="2" t="str">
        <f t="shared" si="112"/>
        <v>Inefficient</v>
      </c>
      <c r="S1423" s="2" t="str">
        <f t="shared" si="113"/>
        <v>Very Long</v>
      </c>
      <c r="T1423" s="2" t="str">
        <f t="shared" si="114"/>
        <v>Major Delay</v>
      </c>
    </row>
    <row r="1424" spans="1:20" x14ac:dyDescent="0.35">
      <c r="A1424" s="2" t="s">
        <v>3031</v>
      </c>
      <c r="B1424" s="2" t="s">
        <v>51</v>
      </c>
      <c r="C1424" s="2" t="s">
        <v>3032</v>
      </c>
      <c r="D1424" s="2" t="s">
        <v>48</v>
      </c>
      <c r="E1424" s="2" t="s">
        <v>33</v>
      </c>
      <c r="F1424" s="2" t="s">
        <v>39</v>
      </c>
      <c r="G1424" s="2" t="s">
        <v>65</v>
      </c>
      <c r="H1424" s="3">
        <v>45475.28402777778</v>
      </c>
      <c r="I1424" s="3">
        <v>45475.504166666666</v>
      </c>
      <c r="J1424" s="2">
        <v>229</v>
      </c>
      <c r="K1424" s="2">
        <v>317</v>
      </c>
      <c r="L1424" s="2">
        <v>1</v>
      </c>
      <c r="M1424" s="2" t="s">
        <v>41</v>
      </c>
      <c r="N1424" s="2">
        <v>9</v>
      </c>
      <c r="O1424" s="2">
        <v>168.89</v>
      </c>
      <c r="P1424" s="2">
        <f t="shared" si="110"/>
        <v>88</v>
      </c>
      <c r="Q1424" s="4">
        <f t="shared" si="111"/>
        <v>0.72239747634069396</v>
      </c>
      <c r="R1424" s="2" t="str">
        <f t="shared" si="112"/>
        <v>Inefficient</v>
      </c>
      <c r="S1424" s="2" t="str">
        <f t="shared" si="113"/>
        <v>Very Long</v>
      </c>
      <c r="T1424" s="2" t="str">
        <f t="shared" si="114"/>
        <v>Major Delay</v>
      </c>
    </row>
    <row r="1425" spans="1:20" x14ac:dyDescent="0.35">
      <c r="A1425" s="2" t="s">
        <v>3033</v>
      </c>
      <c r="B1425" s="2" t="s">
        <v>16</v>
      </c>
      <c r="C1425" s="2" t="s">
        <v>3034</v>
      </c>
      <c r="D1425" s="2" t="s">
        <v>48</v>
      </c>
      <c r="E1425" s="2" t="s">
        <v>19</v>
      </c>
      <c r="F1425" s="2" t="s">
        <v>20</v>
      </c>
      <c r="G1425" s="2" t="s">
        <v>61</v>
      </c>
      <c r="H1425" s="3">
        <v>45454.088888888888</v>
      </c>
      <c r="I1425" s="3">
        <v>45454.217361111114</v>
      </c>
      <c r="J1425" s="2">
        <v>127</v>
      </c>
      <c r="K1425" s="2">
        <v>185</v>
      </c>
      <c r="L1425" s="2">
        <v>1</v>
      </c>
      <c r="M1425" s="2" t="s">
        <v>29</v>
      </c>
      <c r="N1425" s="2">
        <v>5</v>
      </c>
      <c r="O1425" s="2">
        <v>352.34</v>
      </c>
      <c r="P1425" s="2">
        <f t="shared" si="110"/>
        <v>58</v>
      </c>
      <c r="Q1425" s="4">
        <f t="shared" si="111"/>
        <v>0.68648648648648647</v>
      </c>
      <c r="R1425" s="2" t="str">
        <f t="shared" si="112"/>
        <v>Inefficient</v>
      </c>
      <c r="S1425" s="2" t="str">
        <f t="shared" si="113"/>
        <v>Very Long</v>
      </c>
      <c r="T1425" s="2" t="str">
        <f t="shared" si="114"/>
        <v>Major Delay</v>
      </c>
    </row>
    <row r="1426" spans="1:20" x14ac:dyDescent="0.35">
      <c r="A1426" s="2" t="s">
        <v>3035</v>
      </c>
      <c r="B1426" s="2" t="s">
        <v>16</v>
      </c>
      <c r="C1426" s="2" t="s">
        <v>3036</v>
      </c>
      <c r="D1426" s="2" t="s">
        <v>26</v>
      </c>
      <c r="E1426" s="2" t="s">
        <v>19</v>
      </c>
      <c r="F1426" s="2" t="s">
        <v>20</v>
      </c>
      <c r="G1426" s="2" t="s">
        <v>100</v>
      </c>
      <c r="H1426" s="3">
        <v>45297.496527777781</v>
      </c>
      <c r="I1426" s="3">
        <v>45297.531944444447</v>
      </c>
      <c r="J1426" s="2">
        <v>53</v>
      </c>
      <c r="K1426" s="2">
        <v>51</v>
      </c>
      <c r="L1426" s="2">
        <v>0</v>
      </c>
      <c r="M1426" s="2" t="s">
        <v>29</v>
      </c>
      <c r="N1426" s="2">
        <v>10</v>
      </c>
      <c r="O1426" s="2">
        <v>371.89</v>
      </c>
      <c r="P1426" s="2">
        <f t="shared" si="110"/>
        <v>-2</v>
      </c>
      <c r="Q1426" s="4">
        <f t="shared" si="111"/>
        <v>1.0392156862745099</v>
      </c>
      <c r="R1426" s="2" t="str">
        <f t="shared" si="112"/>
        <v>Efficient</v>
      </c>
      <c r="S1426" s="2" t="str">
        <f t="shared" si="113"/>
        <v>Medium</v>
      </c>
      <c r="T1426" s="2" t="str">
        <f t="shared" si="114"/>
        <v>On Time</v>
      </c>
    </row>
    <row r="1427" spans="1:20" x14ac:dyDescent="0.35">
      <c r="A1427" s="2" t="s">
        <v>3037</v>
      </c>
      <c r="B1427" s="2" t="s">
        <v>31</v>
      </c>
      <c r="C1427" s="2" t="s">
        <v>3038</v>
      </c>
      <c r="D1427" s="2" t="s">
        <v>26</v>
      </c>
      <c r="E1427" s="2" t="s">
        <v>38</v>
      </c>
      <c r="F1427" s="2" t="s">
        <v>34</v>
      </c>
      <c r="G1427" s="2" t="s">
        <v>1622</v>
      </c>
      <c r="H1427" s="3">
        <v>45404.161805555559</v>
      </c>
      <c r="I1427" s="3">
        <v>45404.243750000001</v>
      </c>
      <c r="J1427" s="2">
        <v>72</v>
      </c>
      <c r="K1427" s="2">
        <v>118</v>
      </c>
      <c r="L1427" s="2">
        <v>1</v>
      </c>
      <c r="M1427" s="2" t="s">
        <v>41</v>
      </c>
      <c r="N1427" s="2">
        <v>4</v>
      </c>
      <c r="O1427" s="2">
        <v>347.88</v>
      </c>
      <c r="P1427" s="2">
        <f t="shared" si="110"/>
        <v>46</v>
      </c>
      <c r="Q1427" s="4">
        <f t="shared" si="111"/>
        <v>0.61016949152542377</v>
      </c>
      <c r="R1427" s="2" t="str">
        <f t="shared" si="112"/>
        <v>Inefficient</v>
      </c>
      <c r="S1427" s="2" t="str">
        <f t="shared" si="113"/>
        <v>Long</v>
      </c>
      <c r="T1427" s="2" t="str">
        <f t="shared" si="114"/>
        <v>Major Delay</v>
      </c>
    </row>
    <row r="1428" spans="1:20" x14ac:dyDescent="0.35">
      <c r="A1428" s="2" t="s">
        <v>3039</v>
      </c>
      <c r="B1428" s="2" t="s">
        <v>16</v>
      </c>
      <c r="C1428" s="2" t="s">
        <v>3040</v>
      </c>
      <c r="D1428" s="2" t="s">
        <v>18</v>
      </c>
      <c r="E1428" s="2" t="s">
        <v>38</v>
      </c>
      <c r="F1428" s="2" t="s">
        <v>27</v>
      </c>
      <c r="G1428" s="2" t="s">
        <v>152</v>
      </c>
      <c r="H1428" s="3">
        <v>45329.302083333336</v>
      </c>
      <c r="I1428" s="3">
        <v>45329.368750000001</v>
      </c>
      <c r="J1428" s="2">
        <v>17</v>
      </c>
      <c r="K1428" s="2">
        <v>96</v>
      </c>
      <c r="L1428" s="2">
        <v>1</v>
      </c>
      <c r="M1428" s="2" t="s">
        <v>41</v>
      </c>
      <c r="N1428" s="2">
        <v>9</v>
      </c>
      <c r="O1428" s="2">
        <v>421.6</v>
      </c>
      <c r="P1428" s="2">
        <f t="shared" si="110"/>
        <v>79</v>
      </c>
      <c r="Q1428" s="4">
        <f t="shared" si="111"/>
        <v>0.17708333333333334</v>
      </c>
      <c r="R1428" s="2" t="str">
        <f t="shared" si="112"/>
        <v>Inefficient</v>
      </c>
      <c r="S1428" s="2" t="str">
        <f t="shared" si="113"/>
        <v>Long</v>
      </c>
      <c r="T1428" s="2" t="str">
        <f t="shared" si="114"/>
        <v>Major Delay</v>
      </c>
    </row>
    <row r="1429" spans="1:20" x14ac:dyDescent="0.35">
      <c r="A1429" s="2" t="s">
        <v>3041</v>
      </c>
      <c r="B1429" s="2" t="s">
        <v>16</v>
      </c>
      <c r="C1429" s="2" t="s">
        <v>3042</v>
      </c>
      <c r="D1429" s="2" t="s">
        <v>44</v>
      </c>
      <c r="E1429" s="2" t="s">
        <v>33</v>
      </c>
      <c r="F1429" s="2" t="s">
        <v>39</v>
      </c>
      <c r="G1429" s="2" t="s">
        <v>143</v>
      </c>
      <c r="H1429" s="3">
        <v>45333.01458333333</v>
      </c>
      <c r="I1429" s="3">
        <v>45333.089583333334</v>
      </c>
      <c r="J1429" s="2">
        <v>109</v>
      </c>
      <c r="K1429" s="2">
        <v>108</v>
      </c>
      <c r="L1429" s="2">
        <v>0</v>
      </c>
      <c r="M1429" s="2" t="s">
        <v>41</v>
      </c>
      <c r="N1429" s="2">
        <v>2</v>
      </c>
      <c r="O1429" s="2">
        <v>182.85</v>
      </c>
      <c r="P1429" s="2">
        <f t="shared" si="110"/>
        <v>-1</v>
      </c>
      <c r="Q1429" s="4">
        <f t="shared" si="111"/>
        <v>1.0092592592592593</v>
      </c>
      <c r="R1429" s="2" t="str">
        <f t="shared" si="112"/>
        <v>Efficient</v>
      </c>
      <c r="S1429" s="2" t="str">
        <f t="shared" si="113"/>
        <v>Long</v>
      </c>
      <c r="T1429" s="2" t="str">
        <f t="shared" si="114"/>
        <v>On Time</v>
      </c>
    </row>
    <row r="1430" spans="1:20" x14ac:dyDescent="0.35">
      <c r="A1430" s="2" t="s">
        <v>3043</v>
      </c>
      <c r="B1430" s="2" t="s">
        <v>24</v>
      </c>
      <c r="C1430" s="2" t="s">
        <v>3044</v>
      </c>
      <c r="D1430" s="2" t="s">
        <v>44</v>
      </c>
      <c r="E1430" s="2" t="s">
        <v>33</v>
      </c>
      <c r="F1430" s="2" t="s">
        <v>27</v>
      </c>
      <c r="G1430" s="2" t="s">
        <v>521</v>
      </c>
      <c r="H1430" s="3">
        <v>45398.15902777778</v>
      </c>
      <c r="I1430" s="3">
        <v>45398.36041666667</v>
      </c>
      <c r="J1430" s="2">
        <v>236</v>
      </c>
      <c r="K1430" s="2">
        <v>290</v>
      </c>
      <c r="L1430" s="2">
        <v>1</v>
      </c>
      <c r="M1430" s="2" t="s">
        <v>22</v>
      </c>
      <c r="N1430" s="2">
        <v>6</v>
      </c>
      <c r="O1430" s="2">
        <v>371.21</v>
      </c>
      <c r="P1430" s="2">
        <f t="shared" si="110"/>
        <v>54</v>
      </c>
      <c r="Q1430" s="4">
        <f t="shared" si="111"/>
        <v>0.81379310344827582</v>
      </c>
      <c r="R1430" s="2" t="str">
        <f t="shared" si="112"/>
        <v>Inefficient</v>
      </c>
      <c r="S1430" s="2" t="str">
        <f t="shared" si="113"/>
        <v>Very Long</v>
      </c>
      <c r="T1430" s="2" t="str">
        <f t="shared" si="114"/>
        <v>Major Delay</v>
      </c>
    </row>
    <row r="1431" spans="1:20" x14ac:dyDescent="0.35">
      <c r="A1431" s="2" t="s">
        <v>3045</v>
      </c>
      <c r="B1431" s="2" t="s">
        <v>31</v>
      </c>
      <c r="C1431" s="2" t="s">
        <v>3046</v>
      </c>
      <c r="D1431" s="2" t="s">
        <v>26</v>
      </c>
      <c r="E1431" s="2" t="s">
        <v>85</v>
      </c>
      <c r="F1431" s="2" t="s">
        <v>57</v>
      </c>
      <c r="G1431" s="2" t="s">
        <v>149</v>
      </c>
      <c r="H1431" s="3">
        <v>45424.398611111108</v>
      </c>
      <c r="I1431" s="3">
        <v>45424.503472222219</v>
      </c>
      <c r="J1431" s="2">
        <v>135</v>
      </c>
      <c r="K1431" s="2">
        <v>151</v>
      </c>
      <c r="L1431" s="2">
        <v>1</v>
      </c>
      <c r="M1431" s="2" t="s">
        <v>22</v>
      </c>
      <c r="N1431" s="2">
        <v>3</v>
      </c>
      <c r="O1431" s="2">
        <v>224.42</v>
      </c>
      <c r="P1431" s="2">
        <f t="shared" si="110"/>
        <v>16</v>
      </c>
      <c r="Q1431" s="4">
        <f t="shared" si="111"/>
        <v>0.89403973509933776</v>
      </c>
      <c r="R1431" s="2" t="str">
        <f t="shared" si="112"/>
        <v>Inefficient</v>
      </c>
      <c r="S1431" s="2" t="str">
        <f t="shared" si="113"/>
        <v>Very Long</v>
      </c>
      <c r="T1431" s="2" t="str">
        <f t="shared" si="114"/>
        <v>Minor Delay</v>
      </c>
    </row>
    <row r="1432" spans="1:20" x14ac:dyDescent="0.35">
      <c r="A1432" s="2" t="s">
        <v>3047</v>
      </c>
      <c r="B1432" s="2" t="s">
        <v>24</v>
      </c>
      <c r="C1432" s="2" t="s">
        <v>3048</v>
      </c>
      <c r="D1432" s="2" t="s">
        <v>26</v>
      </c>
      <c r="E1432" s="2" t="s">
        <v>33</v>
      </c>
      <c r="F1432" s="2" t="s">
        <v>34</v>
      </c>
      <c r="G1432" s="2" t="s">
        <v>473</v>
      </c>
      <c r="H1432" s="3">
        <v>45478.027777777781</v>
      </c>
      <c r="I1432" s="3">
        <v>45478.098611111112</v>
      </c>
      <c r="J1432" s="2">
        <v>27</v>
      </c>
      <c r="K1432" s="2">
        <v>102</v>
      </c>
      <c r="L1432" s="2">
        <v>1</v>
      </c>
      <c r="M1432" s="2" t="s">
        <v>29</v>
      </c>
      <c r="N1432" s="2">
        <v>7</v>
      </c>
      <c r="O1432" s="2">
        <v>433.49</v>
      </c>
      <c r="P1432" s="2">
        <f t="shared" si="110"/>
        <v>75</v>
      </c>
      <c r="Q1432" s="4">
        <f t="shared" si="111"/>
        <v>0.26470588235294118</v>
      </c>
      <c r="R1432" s="2" t="str">
        <f t="shared" si="112"/>
        <v>Inefficient</v>
      </c>
      <c r="S1432" s="2" t="str">
        <f t="shared" si="113"/>
        <v>Long</v>
      </c>
      <c r="T1432" s="2" t="str">
        <f t="shared" si="114"/>
        <v>Major Delay</v>
      </c>
    </row>
    <row r="1433" spans="1:20" x14ac:dyDescent="0.35">
      <c r="A1433" s="2" t="s">
        <v>3049</v>
      </c>
      <c r="B1433" s="2" t="s">
        <v>31</v>
      </c>
      <c r="C1433" s="2" t="s">
        <v>3050</v>
      </c>
      <c r="D1433" s="2" t="s">
        <v>44</v>
      </c>
      <c r="E1433" s="2" t="s">
        <v>85</v>
      </c>
      <c r="F1433" s="2" t="s">
        <v>27</v>
      </c>
      <c r="G1433" s="2" t="s">
        <v>91</v>
      </c>
      <c r="H1433" s="3">
        <v>45588.165972222225</v>
      </c>
      <c r="I1433" s="3">
        <v>45588.307638888888</v>
      </c>
      <c r="J1433" s="2">
        <v>117</v>
      </c>
      <c r="K1433" s="2">
        <v>204</v>
      </c>
      <c r="L1433" s="2">
        <v>1</v>
      </c>
      <c r="M1433" s="2" t="s">
        <v>41</v>
      </c>
      <c r="N1433" s="2">
        <v>2</v>
      </c>
      <c r="O1433" s="2">
        <v>489</v>
      </c>
      <c r="P1433" s="2">
        <f t="shared" si="110"/>
        <v>87</v>
      </c>
      <c r="Q1433" s="4">
        <f t="shared" si="111"/>
        <v>0.57352941176470584</v>
      </c>
      <c r="R1433" s="2" t="str">
        <f t="shared" si="112"/>
        <v>Inefficient</v>
      </c>
      <c r="S1433" s="2" t="str">
        <f t="shared" si="113"/>
        <v>Very Long</v>
      </c>
      <c r="T1433" s="2" t="str">
        <f t="shared" si="114"/>
        <v>Major Delay</v>
      </c>
    </row>
    <row r="1434" spans="1:20" x14ac:dyDescent="0.35">
      <c r="A1434" s="2" t="s">
        <v>3051</v>
      </c>
      <c r="B1434" s="2" t="s">
        <v>63</v>
      </c>
      <c r="C1434" s="2" t="s">
        <v>3052</v>
      </c>
      <c r="D1434" s="2" t="s">
        <v>48</v>
      </c>
      <c r="E1434" s="2" t="s">
        <v>33</v>
      </c>
      <c r="F1434" s="2" t="s">
        <v>39</v>
      </c>
      <c r="G1434" s="2" t="s">
        <v>91</v>
      </c>
      <c r="H1434" s="3">
        <v>45478.670138888891</v>
      </c>
      <c r="I1434" s="3">
        <v>45478.765277777777</v>
      </c>
      <c r="J1434" s="2">
        <v>97</v>
      </c>
      <c r="K1434" s="2">
        <v>137</v>
      </c>
      <c r="L1434" s="2">
        <v>1</v>
      </c>
      <c r="M1434" s="2" t="s">
        <v>29</v>
      </c>
      <c r="N1434" s="2">
        <v>6</v>
      </c>
      <c r="O1434" s="2">
        <v>393.51</v>
      </c>
      <c r="P1434" s="2">
        <f t="shared" si="110"/>
        <v>40</v>
      </c>
      <c r="Q1434" s="4">
        <f t="shared" si="111"/>
        <v>0.70802919708029199</v>
      </c>
      <c r="R1434" s="2" t="str">
        <f t="shared" si="112"/>
        <v>Inefficient</v>
      </c>
      <c r="S1434" s="2" t="str">
        <f t="shared" si="113"/>
        <v>Very Long</v>
      </c>
      <c r="T1434" s="2" t="str">
        <f t="shared" si="114"/>
        <v>Major Delay</v>
      </c>
    </row>
    <row r="1435" spans="1:20" x14ac:dyDescent="0.35">
      <c r="A1435" s="2" t="s">
        <v>3053</v>
      </c>
      <c r="B1435" s="2" t="s">
        <v>24</v>
      </c>
      <c r="C1435" s="2" t="s">
        <v>3054</v>
      </c>
      <c r="D1435" s="2" t="s">
        <v>56</v>
      </c>
      <c r="E1435" s="2" t="s">
        <v>85</v>
      </c>
      <c r="F1435" s="2" t="s">
        <v>39</v>
      </c>
      <c r="G1435" s="2" t="s">
        <v>167</v>
      </c>
      <c r="H1435" s="3">
        <v>45602.598611111112</v>
      </c>
      <c r="I1435" s="3">
        <v>45602.763194444444</v>
      </c>
      <c r="J1435" s="2">
        <v>141</v>
      </c>
      <c r="K1435" s="2">
        <v>237</v>
      </c>
      <c r="L1435" s="2">
        <v>1</v>
      </c>
      <c r="M1435" s="2" t="s">
        <v>41</v>
      </c>
      <c r="N1435" s="2">
        <v>7</v>
      </c>
      <c r="O1435" s="2">
        <v>94.05</v>
      </c>
      <c r="P1435" s="2">
        <f t="shared" si="110"/>
        <v>96</v>
      </c>
      <c r="Q1435" s="4">
        <f t="shared" si="111"/>
        <v>0.59493670886075944</v>
      </c>
      <c r="R1435" s="2" t="str">
        <f t="shared" si="112"/>
        <v>Inefficient</v>
      </c>
      <c r="S1435" s="2" t="str">
        <f t="shared" si="113"/>
        <v>Very Long</v>
      </c>
      <c r="T1435" s="2" t="str">
        <f t="shared" si="114"/>
        <v>Major Delay</v>
      </c>
    </row>
    <row r="1436" spans="1:20" x14ac:dyDescent="0.35">
      <c r="A1436" s="2" t="s">
        <v>3055</v>
      </c>
      <c r="B1436" s="2" t="s">
        <v>24</v>
      </c>
      <c r="C1436" s="2" t="s">
        <v>3056</v>
      </c>
      <c r="D1436" s="2" t="s">
        <v>56</v>
      </c>
      <c r="E1436" s="2" t="s">
        <v>85</v>
      </c>
      <c r="F1436" s="2" t="s">
        <v>34</v>
      </c>
      <c r="G1436" s="2" t="s">
        <v>155</v>
      </c>
      <c r="H1436" s="3">
        <v>45443.211111111108</v>
      </c>
      <c r="I1436" s="3">
        <v>45443.271527777775</v>
      </c>
      <c r="J1436" s="2">
        <v>21</v>
      </c>
      <c r="K1436" s="2">
        <v>87</v>
      </c>
      <c r="L1436" s="2">
        <v>1</v>
      </c>
      <c r="M1436" s="2" t="s">
        <v>22</v>
      </c>
      <c r="N1436" s="2">
        <v>1</v>
      </c>
      <c r="O1436" s="2">
        <v>238.46</v>
      </c>
      <c r="P1436" s="2">
        <f t="shared" si="110"/>
        <v>66</v>
      </c>
      <c r="Q1436" s="4">
        <f t="shared" si="111"/>
        <v>0.2413793103448276</v>
      </c>
      <c r="R1436" s="2" t="str">
        <f t="shared" si="112"/>
        <v>Inefficient</v>
      </c>
      <c r="S1436" s="2" t="str">
        <f t="shared" si="113"/>
        <v>Long</v>
      </c>
      <c r="T1436" s="2" t="str">
        <f t="shared" si="114"/>
        <v>Major Delay</v>
      </c>
    </row>
    <row r="1437" spans="1:20" x14ac:dyDescent="0.35">
      <c r="A1437" s="2" t="s">
        <v>3057</v>
      </c>
      <c r="B1437" s="2" t="s">
        <v>24</v>
      </c>
      <c r="C1437" s="2" t="s">
        <v>3058</v>
      </c>
      <c r="D1437" s="2" t="s">
        <v>26</v>
      </c>
      <c r="E1437" s="2" t="s">
        <v>33</v>
      </c>
      <c r="F1437" s="2" t="s">
        <v>20</v>
      </c>
      <c r="G1437" s="2" t="s">
        <v>359</v>
      </c>
      <c r="H1437" s="3">
        <v>45414.441666666666</v>
      </c>
      <c r="I1437" s="3">
        <v>45414.637499999997</v>
      </c>
      <c r="J1437" s="2">
        <v>162</v>
      </c>
      <c r="K1437" s="2">
        <v>282</v>
      </c>
      <c r="L1437" s="2">
        <v>1</v>
      </c>
      <c r="M1437" s="2" t="s">
        <v>41</v>
      </c>
      <c r="N1437" s="2">
        <v>7</v>
      </c>
      <c r="O1437" s="2">
        <v>316.13</v>
      </c>
      <c r="P1437" s="2">
        <f t="shared" si="110"/>
        <v>120</v>
      </c>
      <c r="Q1437" s="4">
        <f t="shared" si="111"/>
        <v>0.57446808510638303</v>
      </c>
      <c r="R1437" s="2" t="str">
        <f t="shared" si="112"/>
        <v>Inefficient</v>
      </c>
      <c r="S1437" s="2" t="str">
        <f t="shared" si="113"/>
        <v>Very Long</v>
      </c>
      <c r="T1437" s="2" t="str">
        <f t="shared" si="114"/>
        <v>Major Delay</v>
      </c>
    </row>
    <row r="1438" spans="1:20" x14ac:dyDescent="0.35">
      <c r="A1438" s="2" t="s">
        <v>3059</v>
      </c>
      <c r="B1438" s="2" t="s">
        <v>16</v>
      </c>
      <c r="C1438" s="2" t="s">
        <v>3060</v>
      </c>
      <c r="D1438" s="2" t="s">
        <v>18</v>
      </c>
      <c r="E1438" s="2" t="s">
        <v>85</v>
      </c>
      <c r="F1438" s="2" t="s">
        <v>34</v>
      </c>
      <c r="G1438" s="2" t="s">
        <v>669</v>
      </c>
      <c r="H1438" s="3">
        <v>45332.680555555555</v>
      </c>
      <c r="I1438" s="3">
        <v>45332.761805555558</v>
      </c>
      <c r="J1438" s="2">
        <v>22</v>
      </c>
      <c r="K1438" s="2">
        <v>117</v>
      </c>
      <c r="L1438" s="2">
        <v>1</v>
      </c>
      <c r="M1438" s="2" t="s">
        <v>41</v>
      </c>
      <c r="N1438" s="2">
        <v>9</v>
      </c>
      <c r="O1438" s="2">
        <v>404.54</v>
      </c>
      <c r="P1438" s="2">
        <f t="shared" si="110"/>
        <v>95</v>
      </c>
      <c r="Q1438" s="4">
        <f t="shared" si="111"/>
        <v>0.18803418803418803</v>
      </c>
      <c r="R1438" s="2" t="str">
        <f t="shared" si="112"/>
        <v>Inefficient</v>
      </c>
      <c r="S1438" s="2" t="str">
        <f t="shared" si="113"/>
        <v>Long</v>
      </c>
      <c r="T1438" s="2" t="str">
        <f t="shared" si="114"/>
        <v>Major Delay</v>
      </c>
    </row>
    <row r="1439" spans="1:20" x14ac:dyDescent="0.35">
      <c r="A1439" s="2" t="s">
        <v>3061</v>
      </c>
      <c r="B1439" s="2" t="s">
        <v>31</v>
      </c>
      <c r="C1439" s="2" t="s">
        <v>3062</v>
      </c>
      <c r="D1439" s="2" t="s">
        <v>18</v>
      </c>
      <c r="E1439" s="2" t="s">
        <v>19</v>
      </c>
      <c r="F1439" s="2" t="s">
        <v>34</v>
      </c>
      <c r="G1439" s="2" t="s">
        <v>376</v>
      </c>
      <c r="H1439" s="3">
        <v>45526.143055555556</v>
      </c>
      <c r="I1439" s="3">
        <v>45526.242361111108</v>
      </c>
      <c r="J1439" s="2">
        <v>81</v>
      </c>
      <c r="K1439" s="2">
        <v>143</v>
      </c>
      <c r="L1439" s="2">
        <v>1</v>
      </c>
      <c r="M1439" s="2" t="s">
        <v>22</v>
      </c>
      <c r="N1439" s="2">
        <v>10</v>
      </c>
      <c r="O1439" s="2">
        <v>320.64999999999998</v>
      </c>
      <c r="P1439" s="2">
        <f t="shared" si="110"/>
        <v>62</v>
      </c>
      <c r="Q1439" s="4">
        <f t="shared" si="111"/>
        <v>0.56643356643356646</v>
      </c>
      <c r="R1439" s="2" t="str">
        <f t="shared" si="112"/>
        <v>Inefficient</v>
      </c>
      <c r="S1439" s="2" t="str">
        <f t="shared" si="113"/>
        <v>Very Long</v>
      </c>
      <c r="T1439" s="2" t="str">
        <f t="shared" si="114"/>
        <v>Major Delay</v>
      </c>
    </row>
    <row r="1440" spans="1:20" x14ac:dyDescent="0.35">
      <c r="A1440" s="2" t="s">
        <v>3063</v>
      </c>
      <c r="B1440" s="2" t="s">
        <v>63</v>
      </c>
      <c r="C1440" s="2" t="s">
        <v>3064</v>
      </c>
      <c r="D1440" s="2" t="s">
        <v>44</v>
      </c>
      <c r="E1440" s="2" t="s">
        <v>38</v>
      </c>
      <c r="F1440" s="2" t="s">
        <v>20</v>
      </c>
      <c r="G1440" s="2" t="s">
        <v>185</v>
      </c>
      <c r="H1440" s="3">
        <v>45533.186111111114</v>
      </c>
      <c r="I1440" s="3">
        <v>45533.34097222222</v>
      </c>
      <c r="J1440" s="2">
        <v>107</v>
      </c>
      <c r="K1440" s="2">
        <v>223</v>
      </c>
      <c r="L1440" s="2">
        <v>1</v>
      </c>
      <c r="M1440" s="2" t="s">
        <v>29</v>
      </c>
      <c r="N1440" s="2">
        <v>7</v>
      </c>
      <c r="O1440" s="2">
        <v>221.55</v>
      </c>
      <c r="P1440" s="2">
        <f t="shared" si="110"/>
        <v>116</v>
      </c>
      <c r="Q1440" s="4">
        <f t="shared" si="111"/>
        <v>0.47982062780269058</v>
      </c>
      <c r="R1440" s="2" t="str">
        <f t="shared" si="112"/>
        <v>Inefficient</v>
      </c>
      <c r="S1440" s="2" t="str">
        <f t="shared" si="113"/>
        <v>Very Long</v>
      </c>
      <c r="T1440" s="2" t="str">
        <f t="shared" si="114"/>
        <v>Major Delay</v>
      </c>
    </row>
    <row r="1441" spans="1:20" x14ac:dyDescent="0.35">
      <c r="A1441" s="2" t="s">
        <v>3065</v>
      </c>
      <c r="B1441" s="2" t="s">
        <v>16</v>
      </c>
      <c r="C1441" s="2" t="s">
        <v>3066</v>
      </c>
      <c r="D1441" s="2" t="s">
        <v>44</v>
      </c>
      <c r="E1441" s="2" t="s">
        <v>33</v>
      </c>
      <c r="F1441" s="2" t="s">
        <v>57</v>
      </c>
      <c r="G1441" s="2" t="s">
        <v>308</v>
      </c>
      <c r="H1441" s="3">
        <v>45464.856249999997</v>
      </c>
      <c r="I1441" s="3">
        <v>45465.084027777775</v>
      </c>
      <c r="J1441" s="2">
        <v>225</v>
      </c>
      <c r="K1441" s="2">
        <v>328</v>
      </c>
      <c r="L1441" s="2">
        <v>1</v>
      </c>
      <c r="M1441" s="2" t="s">
        <v>22</v>
      </c>
      <c r="N1441" s="2">
        <v>4</v>
      </c>
      <c r="O1441" s="2">
        <v>284.13</v>
      </c>
      <c r="P1441" s="2">
        <f t="shared" si="110"/>
        <v>103</v>
      </c>
      <c r="Q1441" s="4">
        <f t="shared" si="111"/>
        <v>0.68597560975609762</v>
      </c>
      <c r="R1441" s="2" t="str">
        <f t="shared" si="112"/>
        <v>Inefficient</v>
      </c>
      <c r="S1441" s="2" t="str">
        <f t="shared" si="113"/>
        <v>Very Long</v>
      </c>
      <c r="T1441" s="2" t="str">
        <f t="shared" si="114"/>
        <v>Major Delay</v>
      </c>
    </row>
    <row r="1442" spans="1:20" x14ac:dyDescent="0.35">
      <c r="A1442" s="2" t="s">
        <v>3067</v>
      </c>
      <c r="B1442" s="2" t="s">
        <v>63</v>
      </c>
      <c r="C1442" s="2" t="s">
        <v>3068</v>
      </c>
      <c r="D1442" s="2" t="s">
        <v>56</v>
      </c>
      <c r="E1442" s="2" t="s">
        <v>85</v>
      </c>
      <c r="F1442" s="2" t="s">
        <v>27</v>
      </c>
      <c r="G1442" s="2" t="s">
        <v>777</v>
      </c>
      <c r="H1442" s="3">
        <v>45601.601388888892</v>
      </c>
      <c r="I1442" s="3">
        <v>45601.67291666667</v>
      </c>
      <c r="J1442" s="2">
        <v>82</v>
      </c>
      <c r="K1442" s="2">
        <v>103</v>
      </c>
      <c r="L1442" s="2">
        <v>1</v>
      </c>
      <c r="M1442" s="2" t="s">
        <v>29</v>
      </c>
      <c r="N1442" s="2">
        <v>6</v>
      </c>
      <c r="O1442" s="2">
        <v>220.6</v>
      </c>
      <c r="P1442" s="2">
        <f t="shared" si="110"/>
        <v>21</v>
      </c>
      <c r="Q1442" s="4">
        <f t="shared" si="111"/>
        <v>0.79611650485436891</v>
      </c>
      <c r="R1442" s="2" t="str">
        <f t="shared" si="112"/>
        <v>Inefficient</v>
      </c>
      <c r="S1442" s="2" t="str">
        <f t="shared" si="113"/>
        <v>Long</v>
      </c>
      <c r="T1442" s="2" t="str">
        <f t="shared" si="114"/>
        <v>Minor Delay</v>
      </c>
    </row>
    <row r="1443" spans="1:20" x14ac:dyDescent="0.35">
      <c r="A1443" s="2" t="s">
        <v>3069</v>
      </c>
      <c r="B1443" s="2" t="s">
        <v>31</v>
      </c>
      <c r="C1443" s="2" t="s">
        <v>3070</v>
      </c>
      <c r="D1443" s="2" t="s">
        <v>26</v>
      </c>
      <c r="E1443" s="2" t="s">
        <v>85</v>
      </c>
      <c r="F1443" s="2" t="s">
        <v>27</v>
      </c>
      <c r="G1443" s="2" t="s">
        <v>68</v>
      </c>
      <c r="H1443" s="3">
        <v>45654.520833333336</v>
      </c>
      <c r="I1443" s="3">
        <v>45654.71875</v>
      </c>
      <c r="J1443" s="2">
        <v>187</v>
      </c>
      <c r="K1443" s="2">
        <v>285</v>
      </c>
      <c r="L1443" s="2">
        <v>1</v>
      </c>
      <c r="M1443" s="2" t="s">
        <v>22</v>
      </c>
      <c r="N1443" s="2">
        <v>6</v>
      </c>
      <c r="O1443" s="2">
        <v>166.04</v>
      </c>
      <c r="P1443" s="2">
        <f t="shared" si="110"/>
        <v>98</v>
      </c>
      <c r="Q1443" s="4">
        <f t="shared" si="111"/>
        <v>0.65614035087719302</v>
      </c>
      <c r="R1443" s="2" t="str">
        <f t="shared" si="112"/>
        <v>Inefficient</v>
      </c>
      <c r="S1443" s="2" t="str">
        <f t="shared" si="113"/>
        <v>Very Long</v>
      </c>
      <c r="T1443" s="2" t="str">
        <f t="shared" si="114"/>
        <v>Major Delay</v>
      </c>
    </row>
    <row r="1444" spans="1:20" x14ac:dyDescent="0.35">
      <c r="A1444" s="2" t="s">
        <v>3071</v>
      </c>
      <c r="B1444" s="2" t="s">
        <v>24</v>
      </c>
      <c r="C1444" s="2" t="s">
        <v>3072</v>
      </c>
      <c r="D1444" s="2" t="s">
        <v>56</v>
      </c>
      <c r="E1444" s="2" t="s">
        <v>85</v>
      </c>
      <c r="F1444" s="2" t="s">
        <v>39</v>
      </c>
      <c r="G1444" s="2" t="s">
        <v>456</v>
      </c>
      <c r="H1444" s="3">
        <v>45481.211111111108</v>
      </c>
      <c r="I1444" s="3">
        <v>45481.35</v>
      </c>
      <c r="J1444" s="2">
        <v>179</v>
      </c>
      <c r="K1444" s="2">
        <v>200</v>
      </c>
      <c r="L1444" s="2">
        <v>1</v>
      </c>
      <c r="M1444" s="2" t="s">
        <v>22</v>
      </c>
      <c r="N1444" s="2">
        <v>9</v>
      </c>
      <c r="O1444" s="2">
        <v>188.42</v>
      </c>
      <c r="P1444" s="2">
        <f t="shared" si="110"/>
        <v>21</v>
      </c>
      <c r="Q1444" s="4">
        <f t="shared" si="111"/>
        <v>0.89500000000000002</v>
      </c>
      <c r="R1444" s="2" t="str">
        <f t="shared" si="112"/>
        <v>Inefficient</v>
      </c>
      <c r="S1444" s="2" t="str">
        <f t="shared" si="113"/>
        <v>Very Long</v>
      </c>
      <c r="T1444" s="2" t="str">
        <f t="shared" si="114"/>
        <v>Minor Delay</v>
      </c>
    </row>
    <row r="1445" spans="1:20" x14ac:dyDescent="0.35">
      <c r="A1445" s="2" t="s">
        <v>3073</v>
      </c>
      <c r="B1445" s="2" t="s">
        <v>51</v>
      </c>
      <c r="C1445" s="2" t="s">
        <v>3074</v>
      </c>
      <c r="D1445" s="2" t="s">
        <v>44</v>
      </c>
      <c r="E1445" s="2" t="s">
        <v>85</v>
      </c>
      <c r="F1445" s="2" t="s">
        <v>57</v>
      </c>
      <c r="G1445" s="2" t="s">
        <v>73</v>
      </c>
      <c r="H1445" s="3">
        <v>45507.988888888889</v>
      </c>
      <c r="I1445" s="3">
        <v>45508.138194444444</v>
      </c>
      <c r="J1445" s="2">
        <v>129</v>
      </c>
      <c r="K1445" s="2">
        <v>215</v>
      </c>
      <c r="L1445" s="2">
        <v>1</v>
      </c>
      <c r="M1445" s="2" t="s">
        <v>41</v>
      </c>
      <c r="N1445" s="2">
        <v>5</v>
      </c>
      <c r="O1445" s="2">
        <v>158.74</v>
      </c>
      <c r="P1445" s="2">
        <f t="shared" si="110"/>
        <v>86</v>
      </c>
      <c r="Q1445" s="4">
        <f t="shared" si="111"/>
        <v>0.6</v>
      </c>
      <c r="R1445" s="2" t="str">
        <f t="shared" si="112"/>
        <v>Inefficient</v>
      </c>
      <c r="S1445" s="2" t="str">
        <f t="shared" si="113"/>
        <v>Very Long</v>
      </c>
      <c r="T1445" s="2" t="str">
        <f t="shared" si="114"/>
        <v>Major Delay</v>
      </c>
    </row>
    <row r="1446" spans="1:20" x14ac:dyDescent="0.35">
      <c r="A1446" s="2" t="s">
        <v>3075</v>
      </c>
      <c r="B1446" s="2" t="s">
        <v>16</v>
      </c>
      <c r="C1446" s="2" t="s">
        <v>3076</v>
      </c>
      <c r="D1446" s="2" t="s">
        <v>18</v>
      </c>
      <c r="E1446" s="2" t="s">
        <v>85</v>
      </c>
      <c r="F1446" s="2" t="s">
        <v>57</v>
      </c>
      <c r="G1446" s="2" t="s">
        <v>152</v>
      </c>
      <c r="H1446" s="3">
        <v>45588.345138888886</v>
      </c>
      <c r="I1446" s="3">
        <v>45588.534722222219</v>
      </c>
      <c r="J1446" s="2">
        <v>154</v>
      </c>
      <c r="K1446" s="2">
        <v>273</v>
      </c>
      <c r="L1446" s="2">
        <v>1</v>
      </c>
      <c r="M1446" s="2" t="s">
        <v>29</v>
      </c>
      <c r="N1446" s="2">
        <v>7</v>
      </c>
      <c r="O1446" s="2">
        <v>210.58</v>
      </c>
      <c r="P1446" s="2">
        <f t="shared" si="110"/>
        <v>119</v>
      </c>
      <c r="Q1446" s="4">
        <f t="shared" si="111"/>
        <v>0.5641025641025641</v>
      </c>
      <c r="R1446" s="2" t="str">
        <f t="shared" si="112"/>
        <v>Inefficient</v>
      </c>
      <c r="S1446" s="2" t="str">
        <f t="shared" si="113"/>
        <v>Very Long</v>
      </c>
      <c r="T1446" s="2" t="str">
        <f t="shared" si="114"/>
        <v>Major Delay</v>
      </c>
    </row>
    <row r="1447" spans="1:20" x14ac:dyDescent="0.35">
      <c r="A1447" s="2" t="s">
        <v>3077</v>
      </c>
      <c r="B1447" s="2" t="s">
        <v>31</v>
      </c>
      <c r="C1447" s="2" t="s">
        <v>3078</v>
      </c>
      <c r="D1447" s="2" t="s">
        <v>56</v>
      </c>
      <c r="E1447" s="2" t="s">
        <v>19</v>
      </c>
      <c r="F1447" s="2" t="s">
        <v>39</v>
      </c>
      <c r="G1447" s="2" t="s">
        <v>505</v>
      </c>
      <c r="H1447" s="3">
        <v>45354.814583333333</v>
      </c>
      <c r="I1447" s="3">
        <v>45354.915277777778</v>
      </c>
      <c r="J1447" s="2">
        <v>143</v>
      </c>
      <c r="K1447" s="2">
        <v>145</v>
      </c>
      <c r="L1447" s="2">
        <v>1</v>
      </c>
      <c r="M1447" s="2" t="s">
        <v>22</v>
      </c>
      <c r="N1447" s="2">
        <v>7</v>
      </c>
      <c r="O1447" s="2">
        <v>219.55</v>
      </c>
      <c r="P1447" s="2">
        <f t="shared" si="110"/>
        <v>2</v>
      </c>
      <c r="Q1447" s="4">
        <f t="shared" si="111"/>
        <v>0.98620689655172411</v>
      </c>
      <c r="R1447" s="2" t="str">
        <f t="shared" si="112"/>
        <v>Inefficient</v>
      </c>
      <c r="S1447" s="2" t="str">
        <f t="shared" si="113"/>
        <v>Very Long</v>
      </c>
      <c r="T1447" s="2" t="str">
        <f t="shared" si="114"/>
        <v>Minor Delay</v>
      </c>
    </row>
    <row r="1448" spans="1:20" x14ac:dyDescent="0.35">
      <c r="A1448" s="2" t="s">
        <v>3079</v>
      </c>
      <c r="B1448" s="2" t="s">
        <v>51</v>
      </c>
      <c r="C1448" s="2" t="s">
        <v>3080</v>
      </c>
      <c r="D1448" s="2" t="s">
        <v>44</v>
      </c>
      <c r="E1448" s="2" t="s">
        <v>85</v>
      </c>
      <c r="F1448" s="2" t="s">
        <v>39</v>
      </c>
      <c r="G1448" s="2" t="s">
        <v>500</v>
      </c>
      <c r="H1448" s="3">
        <v>45315.306250000001</v>
      </c>
      <c r="I1448" s="3">
        <v>45315.478472222225</v>
      </c>
      <c r="J1448" s="2">
        <v>169</v>
      </c>
      <c r="K1448" s="2">
        <v>248</v>
      </c>
      <c r="L1448" s="2">
        <v>1</v>
      </c>
      <c r="M1448" s="2" t="s">
        <v>41</v>
      </c>
      <c r="N1448" s="2">
        <v>3</v>
      </c>
      <c r="O1448" s="2">
        <v>310.89</v>
      </c>
      <c r="P1448" s="2">
        <f t="shared" si="110"/>
        <v>79</v>
      </c>
      <c r="Q1448" s="4">
        <f t="shared" si="111"/>
        <v>0.68145161290322576</v>
      </c>
      <c r="R1448" s="2" t="str">
        <f t="shared" si="112"/>
        <v>Inefficient</v>
      </c>
      <c r="S1448" s="2" t="str">
        <f t="shared" si="113"/>
        <v>Very Long</v>
      </c>
      <c r="T1448" s="2" t="str">
        <f t="shared" si="114"/>
        <v>Major Delay</v>
      </c>
    </row>
    <row r="1449" spans="1:20" x14ac:dyDescent="0.35">
      <c r="A1449" s="2" t="s">
        <v>3081</v>
      </c>
      <c r="B1449" s="2" t="s">
        <v>51</v>
      </c>
      <c r="C1449" s="2" t="s">
        <v>3082</v>
      </c>
      <c r="D1449" s="2" t="s">
        <v>26</v>
      </c>
      <c r="E1449" s="2" t="s">
        <v>85</v>
      </c>
      <c r="F1449" s="2" t="s">
        <v>34</v>
      </c>
      <c r="G1449" s="2" t="s">
        <v>311</v>
      </c>
      <c r="H1449" s="3">
        <v>45633.97152777778</v>
      </c>
      <c r="I1449" s="3">
        <v>45634.033333333333</v>
      </c>
      <c r="J1449" s="2">
        <v>43</v>
      </c>
      <c r="K1449" s="2">
        <v>89</v>
      </c>
      <c r="L1449" s="2">
        <v>1</v>
      </c>
      <c r="M1449" s="2" t="s">
        <v>41</v>
      </c>
      <c r="N1449" s="2">
        <v>5</v>
      </c>
      <c r="O1449" s="2">
        <v>260.61</v>
      </c>
      <c r="P1449" s="2">
        <f t="shared" si="110"/>
        <v>46</v>
      </c>
      <c r="Q1449" s="4">
        <f t="shared" si="111"/>
        <v>0.48314606741573035</v>
      </c>
      <c r="R1449" s="2" t="str">
        <f t="shared" si="112"/>
        <v>Inefficient</v>
      </c>
      <c r="S1449" s="2" t="str">
        <f t="shared" si="113"/>
        <v>Long</v>
      </c>
      <c r="T1449" s="2" t="str">
        <f t="shared" si="114"/>
        <v>Major Delay</v>
      </c>
    </row>
    <row r="1450" spans="1:20" x14ac:dyDescent="0.35">
      <c r="A1450" s="2" t="s">
        <v>3083</v>
      </c>
      <c r="B1450" s="2" t="s">
        <v>31</v>
      </c>
      <c r="C1450" s="2" t="s">
        <v>3084</v>
      </c>
      <c r="D1450" s="2" t="s">
        <v>48</v>
      </c>
      <c r="E1450" s="2" t="s">
        <v>85</v>
      </c>
      <c r="F1450" s="2" t="s">
        <v>39</v>
      </c>
      <c r="G1450" s="2" t="s">
        <v>225</v>
      </c>
      <c r="H1450" s="3">
        <v>45541.925000000003</v>
      </c>
      <c r="I1450" s="3">
        <v>45541.973611111112</v>
      </c>
      <c r="J1450" s="2">
        <v>40</v>
      </c>
      <c r="K1450" s="2">
        <v>70</v>
      </c>
      <c r="L1450" s="2">
        <v>1</v>
      </c>
      <c r="M1450" s="2" t="s">
        <v>29</v>
      </c>
      <c r="N1450" s="2">
        <v>8</v>
      </c>
      <c r="O1450" s="2">
        <v>139.03</v>
      </c>
      <c r="P1450" s="2">
        <f t="shared" si="110"/>
        <v>30</v>
      </c>
      <c r="Q1450" s="4">
        <f t="shared" si="111"/>
        <v>0.5714285714285714</v>
      </c>
      <c r="R1450" s="2" t="str">
        <f t="shared" si="112"/>
        <v>Inefficient</v>
      </c>
      <c r="S1450" s="2" t="str">
        <f t="shared" si="113"/>
        <v>Long</v>
      </c>
      <c r="T1450" s="2" t="str">
        <f t="shared" si="114"/>
        <v>Minor Delay</v>
      </c>
    </row>
    <row r="1451" spans="1:20" x14ac:dyDescent="0.35">
      <c r="A1451" s="2" t="s">
        <v>3085</v>
      </c>
      <c r="B1451" s="2" t="s">
        <v>31</v>
      </c>
      <c r="C1451" s="2" t="s">
        <v>3086</v>
      </c>
      <c r="D1451" s="2" t="s">
        <v>56</v>
      </c>
      <c r="E1451" s="2" t="s">
        <v>85</v>
      </c>
      <c r="F1451" s="2" t="s">
        <v>20</v>
      </c>
      <c r="G1451" s="2" t="s">
        <v>539</v>
      </c>
      <c r="H1451" s="3">
        <v>45635.781944444447</v>
      </c>
      <c r="I1451" s="3">
        <v>45635.976388888892</v>
      </c>
      <c r="J1451" s="2">
        <v>217</v>
      </c>
      <c r="K1451" s="2">
        <v>280</v>
      </c>
      <c r="L1451" s="2">
        <v>1</v>
      </c>
      <c r="M1451" s="2" t="s">
        <v>29</v>
      </c>
      <c r="N1451" s="2">
        <v>9</v>
      </c>
      <c r="O1451" s="2">
        <v>324.99</v>
      </c>
      <c r="P1451" s="2">
        <f t="shared" si="110"/>
        <v>63</v>
      </c>
      <c r="Q1451" s="4">
        <f t="shared" si="111"/>
        <v>0.77500000000000002</v>
      </c>
      <c r="R1451" s="2" t="str">
        <f t="shared" si="112"/>
        <v>Inefficient</v>
      </c>
      <c r="S1451" s="2" t="str">
        <f t="shared" si="113"/>
        <v>Very Long</v>
      </c>
      <c r="T1451" s="2" t="str">
        <f t="shared" si="114"/>
        <v>Major Delay</v>
      </c>
    </row>
    <row r="1452" spans="1:20" x14ac:dyDescent="0.35">
      <c r="A1452" s="2" t="s">
        <v>3087</v>
      </c>
      <c r="B1452" s="2" t="s">
        <v>63</v>
      </c>
      <c r="C1452" s="2" t="s">
        <v>3088</v>
      </c>
      <c r="D1452" s="2" t="s">
        <v>44</v>
      </c>
      <c r="E1452" s="2" t="s">
        <v>38</v>
      </c>
      <c r="F1452" s="2" t="s">
        <v>34</v>
      </c>
      <c r="G1452" s="2" t="s">
        <v>415</v>
      </c>
      <c r="H1452" s="3">
        <v>45347.081944444442</v>
      </c>
      <c r="I1452" s="3">
        <v>45347.210416666669</v>
      </c>
      <c r="J1452" s="2">
        <v>143</v>
      </c>
      <c r="K1452" s="2">
        <v>185</v>
      </c>
      <c r="L1452" s="2">
        <v>1</v>
      </c>
      <c r="M1452" s="2" t="s">
        <v>41</v>
      </c>
      <c r="N1452" s="2">
        <v>6</v>
      </c>
      <c r="O1452" s="2">
        <v>404.01</v>
      </c>
      <c r="P1452" s="2">
        <f t="shared" si="110"/>
        <v>42</v>
      </c>
      <c r="Q1452" s="4">
        <f t="shared" si="111"/>
        <v>0.77297297297297296</v>
      </c>
      <c r="R1452" s="2" t="str">
        <f t="shared" si="112"/>
        <v>Inefficient</v>
      </c>
      <c r="S1452" s="2" t="str">
        <f t="shared" si="113"/>
        <v>Very Long</v>
      </c>
      <c r="T1452" s="2" t="str">
        <f t="shared" si="114"/>
        <v>Major Delay</v>
      </c>
    </row>
    <row r="1453" spans="1:20" x14ac:dyDescent="0.35">
      <c r="A1453" s="2" t="s">
        <v>3089</v>
      </c>
      <c r="B1453" s="2" t="s">
        <v>16</v>
      </c>
      <c r="C1453" s="2" t="s">
        <v>3090</v>
      </c>
      <c r="D1453" s="2" t="s">
        <v>26</v>
      </c>
      <c r="E1453" s="2" t="s">
        <v>33</v>
      </c>
      <c r="F1453" s="2" t="s">
        <v>20</v>
      </c>
      <c r="G1453" s="2" t="s">
        <v>335</v>
      </c>
      <c r="H1453" s="3">
        <v>45535.009027777778</v>
      </c>
      <c r="I1453" s="3">
        <v>45535.168749999997</v>
      </c>
      <c r="J1453" s="2">
        <v>218</v>
      </c>
      <c r="K1453" s="2">
        <v>230</v>
      </c>
      <c r="L1453" s="2">
        <v>1</v>
      </c>
      <c r="M1453" s="2" t="s">
        <v>41</v>
      </c>
      <c r="N1453" s="2">
        <v>1</v>
      </c>
      <c r="O1453" s="2">
        <v>149.63</v>
      </c>
      <c r="P1453" s="2">
        <f t="shared" si="110"/>
        <v>12</v>
      </c>
      <c r="Q1453" s="4">
        <f t="shared" si="111"/>
        <v>0.94782608695652171</v>
      </c>
      <c r="R1453" s="2" t="str">
        <f t="shared" si="112"/>
        <v>Inefficient</v>
      </c>
      <c r="S1453" s="2" t="str">
        <f t="shared" si="113"/>
        <v>Very Long</v>
      </c>
      <c r="T1453" s="2" t="str">
        <f t="shared" si="114"/>
        <v>Minor Delay</v>
      </c>
    </row>
    <row r="1454" spans="1:20" x14ac:dyDescent="0.35">
      <c r="A1454" s="2" t="s">
        <v>3091</v>
      </c>
      <c r="B1454" s="2" t="s">
        <v>31</v>
      </c>
      <c r="C1454" s="2" t="s">
        <v>3092</v>
      </c>
      <c r="D1454" s="2" t="s">
        <v>26</v>
      </c>
      <c r="E1454" s="2" t="s">
        <v>33</v>
      </c>
      <c r="F1454" s="2" t="s">
        <v>57</v>
      </c>
      <c r="G1454" s="2" t="s">
        <v>288</v>
      </c>
      <c r="H1454" s="3">
        <v>45466.418055555558</v>
      </c>
      <c r="I1454" s="3">
        <v>45466.492361111108</v>
      </c>
      <c r="J1454" s="2">
        <v>28</v>
      </c>
      <c r="K1454" s="2">
        <v>107</v>
      </c>
      <c r="L1454" s="2">
        <v>1</v>
      </c>
      <c r="M1454" s="2" t="s">
        <v>41</v>
      </c>
      <c r="N1454" s="2">
        <v>10</v>
      </c>
      <c r="O1454" s="2">
        <v>473.53</v>
      </c>
      <c r="P1454" s="2">
        <f t="shared" si="110"/>
        <v>79</v>
      </c>
      <c r="Q1454" s="4">
        <f t="shared" si="111"/>
        <v>0.26168224299065418</v>
      </c>
      <c r="R1454" s="2" t="str">
        <f t="shared" si="112"/>
        <v>Inefficient</v>
      </c>
      <c r="S1454" s="2" t="str">
        <f t="shared" si="113"/>
        <v>Long</v>
      </c>
      <c r="T1454" s="2" t="str">
        <f t="shared" si="114"/>
        <v>Major Delay</v>
      </c>
    </row>
    <row r="1455" spans="1:20" x14ac:dyDescent="0.35">
      <c r="A1455" s="2" t="s">
        <v>3093</v>
      </c>
      <c r="B1455" s="2" t="s">
        <v>51</v>
      </c>
      <c r="C1455" s="2" t="s">
        <v>3094</v>
      </c>
      <c r="D1455" s="2" t="s">
        <v>44</v>
      </c>
      <c r="E1455" s="2" t="s">
        <v>19</v>
      </c>
      <c r="F1455" s="2" t="s">
        <v>27</v>
      </c>
      <c r="G1455" s="2" t="s">
        <v>191</v>
      </c>
      <c r="H1455" s="3">
        <v>45457.316666666666</v>
      </c>
      <c r="I1455" s="3">
        <v>45457.467361111114</v>
      </c>
      <c r="J1455" s="2">
        <v>106</v>
      </c>
      <c r="K1455" s="2">
        <v>217</v>
      </c>
      <c r="L1455" s="2">
        <v>1</v>
      </c>
      <c r="M1455" s="2" t="s">
        <v>29</v>
      </c>
      <c r="N1455" s="2">
        <v>2</v>
      </c>
      <c r="O1455" s="2">
        <v>75.12</v>
      </c>
      <c r="P1455" s="2">
        <f t="shared" si="110"/>
        <v>111</v>
      </c>
      <c r="Q1455" s="4">
        <f t="shared" si="111"/>
        <v>0.48847926267281105</v>
      </c>
      <c r="R1455" s="2" t="str">
        <f t="shared" si="112"/>
        <v>Inefficient</v>
      </c>
      <c r="S1455" s="2" t="str">
        <f t="shared" si="113"/>
        <v>Very Long</v>
      </c>
      <c r="T1455" s="2" t="str">
        <f t="shared" si="114"/>
        <v>Major Delay</v>
      </c>
    </row>
    <row r="1456" spans="1:20" x14ac:dyDescent="0.35">
      <c r="A1456" s="2" t="s">
        <v>3095</v>
      </c>
      <c r="B1456" s="2" t="s">
        <v>24</v>
      </c>
      <c r="C1456" s="2" t="s">
        <v>3096</v>
      </c>
      <c r="D1456" s="2" t="s">
        <v>48</v>
      </c>
      <c r="E1456" s="2" t="s">
        <v>38</v>
      </c>
      <c r="F1456" s="2" t="s">
        <v>27</v>
      </c>
      <c r="G1456" s="2" t="s">
        <v>204</v>
      </c>
      <c r="H1456" s="3">
        <v>45509.886805555558</v>
      </c>
      <c r="I1456" s="3">
        <v>45509.939583333333</v>
      </c>
      <c r="J1456" s="2">
        <v>70</v>
      </c>
      <c r="K1456" s="2">
        <v>76</v>
      </c>
      <c r="L1456" s="2">
        <v>1</v>
      </c>
      <c r="M1456" s="2" t="s">
        <v>41</v>
      </c>
      <c r="N1456" s="2">
        <v>10</v>
      </c>
      <c r="O1456" s="2">
        <v>178.13</v>
      </c>
      <c r="P1456" s="2">
        <f t="shared" si="110"/>
        <v>6</v>
      </c>
      <c r="Q1456" s="4">
        <f t="shared" si="111"/>
        <v>0.92105263157894735</v>
      </c>
      <c r="R1456" s="2" t="str">
        <f t="shared" si="112"/>
        <v>Inefficient</v>
      </c>
      <c r="S1456" s="2" t="str">
        <f t="shared" si="113"/>
        <v>Long</v>
      </c>
      <c r="T1456" s="2" t="str">
        <f t="shared" si="114"/>
        <v>Minor Delay</v>
      </c>
    </row>
    <row r="1457" spans="1:20" x14ac:dyDescent="0.35">
      <c r="A1457" s="2" t="s">
        <v>3097</v>
      </c>
      <c r="B1457" s="2" t="s">
        <v>63</v>
      </c>
      <c r="C1457" s="2" t="s">
        <v>3098</v>
      </c>
      <c r="D1457" s="2" t="s">
        <v>48</v>
      </c>
      <c r="E1457" s="2" t="s">
        <v>38</v>
      </c>
      <c r="F1457" s="2" t="s">
        <v>57</v>
      </c>
      <c r="G1457" s="2" t="s">
        <v>485</v>
      </c>
      <c r="H1457" s="3">
        <v>45464.529861111114</v>
      </c>
      <c r="I1457" s="3">
        <v>45464.695138888892</v>
      </c>
      <c r="J1457" s="2">
        <v>154</v>
      </c>
      <c r="K1457" s="2">
        <v>238</v>
      </c>
      <c r="L1457" s="2">
        <v>1</v>
      </c>
      <c r="M1457" s="2" t="s">
        <v>29</v>
      </c>
      <c r="N1457" s="2">
        <v>3</v>
      </c>
      <c r="O1457" s="2">
        <v>127.09</v>
      </c>
      <c r="P1457" s="2">
        <f t="shared" si="110"/>
        <v>84</v>
      </c>
      <c r="Q1457" s="4">
        <f t="shared" si="111"/>
        <v>0.6470588235294118</v>
      </c>
      <c r="R1457" s="2" t="str">
        <f t="shared" si="112"/>
        <v>Inefficient</v>
      </c>
      <c r="S1457" s="2" t="str">
        <f t="shared" si="113"/>
        <v>Very Long</v>
      </c>
      <c r="T1457" s="2" t="str">
        <f t="shared" si="114"/>
        <v>Major Delay</v>
      </c>
    </row>
    <row r="1458" spans="1:20" x14ac:dyDescent="0.35">
      <c r="A1458" s="2" t="s">
        <v>3099</v>
      </c>
      <c r="B1458" s="2" t="s">
        <v>31</v>
      </c>
      <c r="C1458" s="2" t="s">
        <v>3100</v>
      </c>
      <c r="D1458" s="2" t="s">
        <v>18</v>
      </c>
      <c r="E1458" s="2" t="s">
        <v>85</v>
      </c>
      <c r="F1458" s="2" t="s">
        <v>34</v>
      </c>
      <c r="G1458" s="2" t="s">
        <v>650</v>
      </c>
      <c r="H1458" s="3">
        <v>45392.077777777777</v>
      </c>
      <c r="I1458" s="3">
        <v>45392.195138888892</v>
      </c>
      <c r="J1458" s="2">
        <v>123</v>
      </c>
      <c r="K1458" s="2">
        <v>169</v>
      </c>
      <c r="L1458" s="2">
        <v>1</v>
      </c>
      <c r="M1458" s="2" t="s">
        <v>29</v>
      </c>
      <c r="N1458" s="2">
        <v>4</v>
      </c>
      <c r="O1458" s="2">
        <v>454.51</v>
      </c>
      <c r="P1458" s="2">
        <f t="shared" si="110"/>
        <v>46</v>
      </c>
      <c r="Q1458" s="4">
        <f t="shared" si="111"/>
        <v>0.72781065088757402</v>
      </c>
      <c r="R1458" s="2" t="str">
        <f t="shared" si="112"/>
        <v>Inefficient</v>
      </c>
      <c r="S1458" s="2" t="str">
        <f t="shared" si="113"/>
        <v>Very Long</v>
      </c>
      <c r="T1458" s="2" t="str">
        <f t="shared" si="114"/>
        <v>Major Delay</v>
      </c>
    </row>
    <row r="1459" spans="1:20" x14ac:dyDescent="0.35">
      <c r="A1459" s="2" t="s">
        <v>3101</v>
      </c>
      <c r="B1459" s="2" t="s">
        <v>24</v>
      </c>
      <c r="C1459" s="2" t="s">
        <v>3102</v>
      </c>
      <c r="D1459" s="2" t="s">
        <v>18</v>
      </c>
      <c r="E1459" s="2" t="s">
        <v>33</v>
      </c>
      <c r="F1459" s="2" t="s">
        <v>20</v>
      </c>
      <c r="G1459" s="2" t="s">
        <v>79</v>
      </c>
      <c r="H1459" s="3">
        <v>45638.039583333331</v>
      </c>
      <c r="I1459" s="3">
        <v>45638.25277777778</v>
      </c>
      <c r="J1459" s="2">
        <v>207</v>
      </c>
      <c r="K1459" s="2">
        <v>307</v>
      </c>
      <c r="L1459" s="2">
        <v>1</v>
      </c>
      <c r="M1459" s="2" t="s">
        <v>29</v>
      </c>
      <c r="N1459" s="2">
        <v>3</v>
      </c>
      <c r="O1459" s="2">
        <v>496.59</v>
      </c>
      <c r="P1459" s="2">
        <f t="shared" si="110"/>
        <v>100</v>
      </c>
      <c r="Q1459" s="4">
        <f t="shared" si="111"/>
        <v>0.67426710097719866</v>
      </c>
      <c r="R1459" s="2" t="str">
        <f t="shared" si="112"/>
        <v>Inefficient</v>
      </c>
      <c r="S1459" s="2" t="str">
        <f t="shared" si="113"/>
        <v>Very Long</v>
      </c>
      <c r="T1459" s="2" t="str">
        <f t="shared" si="114"/>
        <v>Major Delay</v>
      </c>
    </row>
    <row r="1460" spans="1:20" x14ac:dyDescent="0.35">
      <c r="A1460" s="2" t="s">
        <v>3103</v>
      </c>
      <c r="B1460" s="2" t="s">
        <v>31</v>
      </c>
      <c r="C1460" s="2" t="s">
        <v>3104</v>
      </c>
      <c r="D1460" s="2" t="s">
        <v>26</v>
      </c>
      <c r="E1460" s="2" t="s">
        <v>85</v>
      </c>
      <c r="F1460" s="2" t="s">
        <v>39</v>
      </c>
      <c r="G1460" s="2" t="s">
        <v>293</v>
      </c>
      <c r="H1460" s="3">
        <v>45436.15347222222</v>
      </c>
      <c r="I1460" s="3">
        <v>45436.304861111108</v>
      </c>
      <c r="J1460" s="2">
        <v>136</v>
      </c>
      <c r="K1460" s="2">
        <v>218</v>
      </c>
      <c r="L1460" s="2">
        <v>1</v>
      </c>
      <c r="M1460" s="2" t="s">
        <v>41</v>
      </c>
      <c r="N1460" s="2">
        <v>9</v>
      </c>
      <c r="O1460" s="2">
        <v>350.05</v>
      </c>
      <c r="P1460" s="2">
        <f t="shared" si="110"/>
        <v>82</v>
      </c>
      <c r="Q1460" s="4">
        <f t="shared" si="111"/>
        <v>0.62385321100917435</v>
      </c>
      <c r="R1460" s="2" t="str">
        <f t="shared" si="112"/>
        <v>Inefficient</v>
      </c>
      <c r="S1460" s="2" t="str">
        <f t="shared" si="113"/>
        <v>Very Long</v>
      </c>
      <c r="T1460" s="2" t="str">
        <f t="shared" si="114"/>
        <v>Major Delay</v>
      </c>
    </row>
    <row r="1461" spans="1:20" x14ac:dyDescent="0.35">
      <c r="A1461" s="2" t="s">
        <v>3105</v>
      </c>
      <c r="B1461" s="2" t="s">
        <v>16</v>
      </c>
      <c r="C1461" s="2" t="s">
        <v>3106</v>
      </c>
      <c r="D1461" s="2" t="s">
        <v>56</v>
      </c>
      <c r="E1461" s="2" t="s">
        <v>33</v>
      </c>
      <c r="F1461" s="2" t="s">
        <v>57</v>
      </c>
      <c r="G1461" s="2" t="s">
        <v>1413</v>
      </c>
      <c r="H1461" s="3">
        <v>45612.726388888892</v>
      </c>
      <c r="I1461" s="3">
        <v>45612.853472222225</v>
      </c>
      <c r="J1461" s="2">
        <v>136</v>
      </c>
      <c r="K1461" s="2">
        <v>183</v>
      </c>
      <c r="L1461" s="2">
        <v>1</v>
      </c>
      <c r="M1461" s="2" t="s">
        <v>41</v>
      </c>
      <c r="N1461" s="2">
        <v>10</v>
      </c>
      <c r="O1461" s="2">
        <v>189.19</v>
      </c>
      <c r="P1461" s="2">
        <f t="shared" si="110"/>
        <v>47</v>
      </c>
      <c r="Q1461" s="4">
        <f t="shared" si="111"/>
        <v>0.74316939890710387</v>
      </c>
      <c r="R1461" s="2" t="str">
        <f t="shared" si="112"/>
        <v>Inefficient</v>
      </c>
      <c r="S1461" s="2" t="str">
        <f t="shared" si="113"/>
        <v>Very Long</v>
      </c>
      <c r="T1461" s="2" t="str">
        <f t="shared" si="114"/>
        <v>Major Delay</v>
      </c>
    </row>
    <row r="1462" spans="1:20" x14ac:dyDescent="0.35">
      <c r="A1462" s="2" t="s">
        <v>3107</v>
      </c>
      <c r="B1462" s="2" t="s">
        <v>16</v>
      </c>
      <c r="C1462" s="2" t="s">
        <v>3108</v>
      </c>
      <c r="D1462" s="2" t="s">
        <v>18</v>
      </c>
      <c r="E1462" s="2" t="s">
        <v>33</v>
      </c>
      <c r="F1462" s="2" t="s">
        <v>39</v>
      </c>
      <c r="G1462" s="2" t="s">
        <v>1030</v>
      </c>
      <c r="H1462" s="3">
        <v>45542.070833333331</v>
      </c>
      <c r="I1462" s="3">
        <v>45542.112500000003</v>
      </c>
      <c r="J1462" s="2">
        <v>58</v>
      </c>
      <c r="K1462" s="2">
        <v>60</v>
      </c>
      <c r="L1462" s="2">
        <v>1</v>
      </c>
      <c r="M1462" s="2" t="s">
        <v>29</v>
      </c>
      <c r="N1462" s="2">
        <v>4</v>
      </c>
      <c r="O1462" s="2">
        <v>264.43</v>
      </c>
      <c r="P1462" s="2">
        <f t="shared" si="110"/>
        <v>2</v>
      </c>
      <c r="Q1462" s="4">
        <f t="shared" si="111"/>
        <v>0.96666666666666667</v>
      </c>
      <c r="R1462" s="2" t="str">
        <f t="shared" si="112"/>
        <v>Inefficient</v>
      </c>
      <c r="S1462" s="2" t="str">
        <f t="shared" si="113"/>
        <v>Long</v>
      </c>
      <c r="T1462" s="2" t="str">
        <f t="shared" si="114"/>
        <v>Minor Delay</v>
      </c>
    </row>
    <row r="1463" spans="1:20" x14ac:dyDescent="0.35">
      <c r="A1463" s="2" t="s">
        <v>3109</v>
      </c>
      <c r="B1463" s="2" t="s">
        <v>63</v>
      </c>
      <c r="C1463" s="2" t="s">
        <v>3110</v>
      </c>
      <c r="D1463" s="2" t="s">
        <v>44</v>
      </c>
      <c r="E1463" s="2" t="s">
        <v>33</v>
      </c>
      <c r="F1463" s="2" t="s">
        <v>57</v>
      </c>
      <c r="G1463" s="2" t="s">
        <v>68</v>
      </c>
      <c r="H1463" s="3">
        <v>45386.603472222225</v>
      </c>
      <c r="I1463" s="3">
        <v>45386.805555555555</v>
      </c>
      <c r="J1463" s="2">
        <v>177</v>
      </c>
      <c r="K1463" s="2">
        <v>291</v>
      </c>
      <c r="L1463" s="2">
        <v>1</v>
      </c>
      <c r="M1463" s="2" t="s">
        <v>41</v>
      </c>
      <c r="N1463" s="2">
        <v>10</v>
      </c>
      <c r="O1463" s="2">
        <v>85.82</v>
      </c>
      <c r="P1463" s="2">
        <f t="shared" si="110"/>
        <v>114</v>
      </c>
      <c r="Q1463" s="4">
        <f t="shared" si="111"/>
        <v>0.60824742268041232</v>
      </c>
      <c r="R1463" s="2" t="str">
        <f t="shared" si="112"/>
        <v>Inefficient</v>
      </c>
      <c r="S1463" s="2" t="str">
        <f t="shared" si="113"/>
        <v>Very Long</v>
      </c>
      <c r="T1463" s="2" t="str">
        <f t="shared" si="114"/>
        <v>Major Delay</v>
      </c>
    </row>
    <row r="1464" spans="1:20" x14ac:dyDescent="0.35">
      <c r="A1464" s="2" t="s">
        <v>3111</v>
      </c>
      <c r="B1464" s="2" t="s">
        <v>16</v>
      </c>
      <c r="C1464" s="2" t="s">
        <v>3112</v>
      </c>
      <c r="D1464" s="2" t="s">
        <v>26</v>
      </c>
      <c r="E1464" s="2" t="s">
        <v>33</v>
      </c>
      <c r="F1464" s="2" t="s">
        <v>57</v>
      </c>
      <c r="G1464" s="2" t="s">
        <v>476</v>
      </c>
      <c r="H1464" s="3">
        <v>45493.056944444441</v>
      </c>
      <c r="I1464" s="3">
        <v>45493.253472222219</v>
      </c>
      <c r="J1464" s="2">
        <v>168</v>
      </c>
      <c r="K1464" s="2">
        <v>283</v>
      </c>
      <c r="L1464" s="2">
        <v>1</v>
      </c>
      <c r="M1464" s="2" t="s">
        <v>41</v>
      </c>
      <c r="N1464" s="2">
        <v>2</v>
      </c>
      <c r="O1464" s="2">
        <v>409.93</v>
      </c>
      <c r="P1464" s="2">
        <f t="shared" si="110"/>
        <v>115</v>
      </c>
      <c r="Q1464" s="4">
        <f t="shared" si="111"/>
        <v>0.59363957597173145</v>
      </c>
      <c r="R1464" s="2" t="str">
        <f t="shared" si="112"/>
        <v>Inefficient</v>
      </c>
      <c r="S1464" s="2" t="str">
        <f t="shared" si="113"/>
        <v>Very Long</v>
      </c>
      <c r="T1464" s="2" t="str">
        <f t="shared" si="114"/>
        <v>Major Delay</v>
      </c>
    </row>
    <row r="1465" spans="1:20" x14ac:dyDescent="0.35">
      <c r="A1465" s="2" t="s">
        <v>3113</v>
      </c>
      <c r="B1465" s="2" t="s">
        <v>51</v>
      </c>
      <c r="C1465" s="2" t="s">
        <v>3114</v>
      </c>
      <c r="D1465" s="2" t="s">
        <v>48</v>
      </c>
      <c r="E1465" s="2" t="s">
        <v>33</v>
      </c>
      <c r="F1465" s="2" t="s">
        <v>34</v>
      </c>
      <c r="G1465" s="2" t="s">
        <v>521</v>
      </c>
      <c r="H1465" s="3">
        <v>45317.673611111109</v>
      </c>
      <c r="I1465" s="3">
        <v>45317.852777777778</v>
      </c>
      <c r="J1465" s="2">
        <v>204</v>
      </c>
      <c r="K1465" s="2">
        <v>258</v>
      </c>
      <c r="L1465" s="2">
        <v>1</v>
      </c>
      <c r="M1465" s="2" t="s">
        <v>41</v>
      </c>
      <c r="N1465" s="2">
        <v>1</v>
      </c>
      <c r="O1465" s="2">
        <v>78</v>
      </c>
      <c r="P1465" s="2">
        <f t="shared" si="110"/>
        <v>54</v>
      </c>
      <c r="Q1465" s="4">
        <f t="shared" si="111"/>
        <v>0.79069767441860461</v>
      </c>
      <c r="R1465" s="2" t="str">
        <f t="shared" si="112"/>
        <v>Inefficient</v>
      </c>
      <c r="S1465" s="2" t="str">
        <f t="shared" si="113"/>
        <v>Very Long</v>
      </c>
      <c r="T1465" s="2" t="str">
        <f t="shared" si="114"/>
        <v>Major Delay</v>
      </c>
    </row>
    <row r="1466" spans="1:20" x14ac:dyDescent="0.35">
      <c r="A1466" s="2" t="s">
        <v>3115</v>
      </c>
      <c r="B1466" s="2" t="s">
        <v>24</v>
      </c>
      <c r="C1466" s="2" t="s">
        <v>3116</v>
      </c>
      <c r="D1466" s="2" t="s">
        <v>48</v>
      </c>
      <c r="E1466" s="2" t="s">
        <v>19</v>
      </c>
      <c r="F1466" s="2" t="s">
        <v>20</v>
      </c>
      <c r="G1466" s="2" t="s">
        <v>225</v>
      </c>
      <c r="H1466" s="3">
        <v>45593.38958333333</v>
      </c>
      <c r="I1466" s="3">
        <v>45593.50277777778</v>
      </c>
      <c r="J1466" s="2">
        <v>99</v>
      </c>
      <c r="K1466" s="2">
        <v>163</v>
      </c>
      <c r="L1466" s="2">
        <v>1</v>
      </c>
      <c r="M1466" s="2" t="s">
        <v>29</v>
      </c>
      <c r="N1466" s="2">
        <v>4</v>
      </c>
      <c r="O1466" s="2">
        <v>126.13</v>
      </c>
      <c r="P1466" s="2">
        <f t="shared" si="110"/>
        <v>64</v>
      </c>
      <c r="Q1466" s="4">
        <f t="shared" si="111"/>
        <v>0.6073619631901841</v>
      </c>
      <c r="R1466" s="2" t="str">
        <f t="shared" si="112"/>
        <v>Inefficient</v>
      </c>
      <c r="S1466" s="2" t="str">
        <f t="shared" si="113"/>
        <v>Very Long</v>
      </c>
      <c r="T1466" s="2" t="str">
        <f t="shared" si="114"/>
        <v>Major Delay</v>
      </c>
    </row>
    <row r="1467" spans="1:20" x14ac:dyDescent="0.35">
      <c r="A1467" s="2" t="s">
        <v>3117</v>
      </c>
      <c r="B1467" s="2" t="s">
        <v>16</v>
      </c>
      <c r="C1467" s="2" t="s">
        <v>3118</v>
      </c>
      <c r="D1467" s="2" t="s">
        <v>18</v>
      </c>
      <c r="E1467" s="2" t="s">
        <v>85</v>
      </c>
      <c r="F1467" s="2" t="s">
        <v>39</v>
      </c>
      <c r="G1467" s="2" t="s">
        <v>108</v>
      </c>
      <c r="H1467" s="3">
        <v>45450.382638888892</v>
      </c>
      <c r="I1467" s="3">
        <v>45450.49722222222</v>
      </c>
      <c r="J1467" s="2">
        <v>55</v>
      </c>
      <c r="K1467" s="2">
        <v>165</v>
      </c>
      <c r="L1467" s="2">
        <v>1</v>
      </c>
      <c r="M1467" s="2" t="s">
        <v>22</v>
      </c>
      <c r="N1467" s="2">
        <v>2</v>
      </c>
      <c r="O1467" s="2">
        <v>356.42</v>
      </c>
      <c r="P1467" s="2">
        <f t="shared" si="110"/>
        <v>110</v>
      </c>
      <c r="Q1467" s="4">
        <f t="shared" si="111"/>
        <v>0.33333333333333331</v>
      </c>
      <c r="R1467" s="2" t="str">
        <f t="shared" si="112"/>
        <v>Inefficient</v>
      </c>
      <c r="S1467" s="2" t="str">
        <f t="shared" si="113"/>
        <v>Very Long</v>
      </c>
      <c r="T1467" s="2" t="str">
        <f t="shared" si="114"/>
        <v>Major Delay</v>
      </c>
    </row>
    <row r="1468" spans="1:20" x14ac:dyDescent="0.35">
      <c r="A1468" s="2" t="s">
        <v>3119</v>
      </c>
      <c r="B1468" s="2" t="s">
        <v>51</v>
      </c>
      <c r="C1468" s="2" t="s">
        <v>3120</v>
      </c>
      <c r="D1468" s="2" t="s">
        <v>18</v>
      </c>
      <c r="E1468" s="2" t="s">
        <v>19</v>
      </c>
      <c r="F1468" s="2" t="s">
        <v>39</v>
      </c>
      <c r="G1468" s="2" t="s">
        <v>853</v>
      </c>
      <c r="H1468" s="3">
        <v>45380.27847222222</v>
      </c>
      <c r="I1468" s="3">
        <v>45380.414583333331</v>
      </c>
      <c r="J1468" s="2">
        <v>84</v>
      </c>
      <c r="K1468" s="2">
        <v>196</v>
      </c>
      <c r="L1468" s="2">
        <v>1</v>
      </c>
      <c r="M1468" s="2" t="s">
        <v>22</v>
      </c>
      <c r="N1468" s="2">
        <v>6</v>
      </c>
      <c r="O1468" s="2">
        <v>481.66</v>
      </c>
      <c r="P1468" s="2">
        <f t="shared" si="110"/>
        <v>112</v>
      </c>
      <c r="Q1468" s="4">
        <f t="shared" si="111"/>
        <v>0.42857142857142855</v>
      </c>
      <c r="R1468" s="2" t="str">
        <f t="shared" si="112"/>
        <v>Inefficient</v>
      </c>
      <c r="S1468" s="2" t="str">
        <f t="shared" si="113"/>
        <v>Very Long</v>
      </c>
      <c r="T1468" s="2" t="str">
        <f t="shared" si="114"/>
        <v>Major Delay</v>
      </c>
    </row>
    <row r="1469" spans="1:20" x14ac:dyDescent="0.35">
      <c r="A1469" s="2" t="s">
        <v>3121</v>
      </c>
      <c r="B1469" s="2" t="s">
        <v>24</v>
      </c>
      <c r="C1469" s="2" t="s">
        <v>3122</v>
      </c>
      <c r="D1469" s="2" t="s">
        <v>26</v>
      </c>
      <c r="E1469" s="2" t="s">
        <v>38</v>
      </c>
      <c r="F1469" s="2" t="s">
        <v>34</v>
      </c>
      <c r="G1469" s="2" t="s">
        <v>470</v>
      </c>
      <c r="H1469" s="3">
        <v>45544.677083333336</v>
      </c>
      <c r="I1469" s="3">
        <v>45544.84097222222</v>
      </c>
      <c r="J1469" s="2">
        <v>222</v>
      </c>
      <c r="K1469" s="2">
        <v>236</v>
      </c>
      <c r="L1469" s="2">
        <v>1</v>
      </c>
      <c r="M1469" s="2" t="s">
        <v>29</v>
      </c>
      <c r="N1469" s="2">
        <v>6</v>
      </c>
      <c r="O1469" s="2">
        <v>290.13</v>
      </c>
      <c r="P1469" s="2">
        <f t="shared" si="110"/>
        <v>14</v>
      </c>
      <c r="Q1469" s="4">
        <f t="shared" si="111"/>
        <v>0.94067796610169496</v>
      </c>
      <c r="R1469" s="2" t="str">
        <f t="shared" si="112"/>
        <v>Inefficient</v>
      </c>
      <c r="S1469" s="2" t="str">
        <f t="shared" si="113"/>
        <v>Very Long</v>
      </c>
      <c r="T1469" s="2" t="str">
        <f t="shared" si="114"/>
        <v>Minor Delay</v>
      </c>
    </row>
    <row r="1470" spans="1:20" x14ac:dyDescent="0.35">
      <c r="A1470" s="2" t="s">
        <v>3123</v>
      </c>
      <c r="B1470" s="2" t="s">
        <v>31</v>
      </c>
      <c r="C1470" s="2" t="s">
        <v>3124</v>
      </c>
      <c r="D1470" s="2" t="s">
        <v>18</v>
      </c>
      <c r="E1470" s="2" t="s">
        <v>85</v>
      </c>
      <c r="F1470" s="2" t="s">
        <v>20</v>
      </c>
      <c r="G1470" s="2" t="s">
        <v>149</v>
      </c>
      <c r="H1470" s="3">
        <v>45472.386111111111</v>
      </c>
      <c r="I1470" s="3">
        <v>45472.582638888889</v>
      </c>
      <c r="J1470" s="2">
        <v>166</v>
      </c>
      <c r="K1470" s="2">
        <v>283</v>
      </c>
      <c r="L1470" s="2">
        <v>1</v>
      </c>
      <c r="M1470" s="2" t="s">
        <v>29</v>
      </c>
      <c r="N1470" s="2">
        <v>7</v>
      </c>
      <c r="O1470" s="2">
        <v>282.91000000000003</v>
      </c>
      <c r="P1470" s="2">
        <f t="shared" si="110"/>
        <v>117</v>
      </c>
      <c r="Q1470" s="4">
        <f t="shared" si="111"/>
        <v>0.58657243816254412</v>
      </c>
      <c r="R1470" s="2" t="str">
        <f t="shared" si="112"/>
        <v>Inefficient</v>
      </c>
      <c r="S1470" s="2" t="str">
        <f t="shared" si="113"/>
        <v>Very Long</v>
      </c>
      <c r="T1470" s="2" t="str">
        <f t="shared" si="114"/>
        <v>Major Delay</v>
      </c>
    </row>
    <row r="1471" spans="1:20" x14ac:dyDescent="0.35">
      <c r="A1471" s="2" t="s">
        <v>3125</v>
      </c>
      <c r="B1471" s="2" t="s">
        <v>24</v>
      </c>
      <c r="C1471" s="2" t="s">
        <v>3126</v>
      </c>
      <c r="D1471" s="2" t="s">
        <v>56</v>
      </c>
      <c r="E1471" s="2" t="s">
        <v>85</v>
      </c>
      <c r="F1471" s="2" t="s">
        <v>57</v>
      </c>
      <c r="G1471" s="2" t="s">
        <v>456</v>
      </c>
      <c r="H1471" s="3">
        <v>45343.914583333331</v>
      </c>
      <c r="I1471" s="3">
        <v>45344.043055555558</v>
      </c>
      <c r="J1471" s="2">
        <v>131</v>
      </c>
      <c r="K1471" s="2">
        <v>185</v>
      </c>
      <c r="L1471" s="2">
        <v>1</v>
      </c>
      <c r="M1471" s="2" t="s">
        <v>22</v>
      </c>
      <c r="N1471" s="2">
        <v>9</v>
      </c>
      <c r="O1471" s="2">
        <v>155.88999999999999</v>
      </c>
      <c r="P1471" s="2">
        <f t="shared" si="110"/>
        <v>54</v>
      </c>
      <c r="Q1471" s="4">
        <f t="shared" si="111"/>
        <v>0.70810810810810809</v>
      </c>
      <c r="R1471" s="2" t="str">
        <f t="shared" si="112"/>
        <v>Inefficient</v>
      </c>
      <c r="S1471" s="2" t="str">
        <f t="shared" si="113"/>
        <v>Very Long</v>
      </c>
      <c r="T1471" s="2" t="str">
        <f t="shared" si="114"/>
        <v>Major Delay</v>
      </c>
    </row>
    <row r="1472" spans="1:20" x14ac:dyDescent="0.35">
      <c r="A1472" s="2" t="s">
        <v>3127</v>
      </c>
      <c r="B1472" s="2" t="s">
        <v>24</v>
      </c>
      <c r="C1472" s="2" t="s">
        <v>3128</v>
      </c>
      <c r="D1472" s="2" t="s">
        <v>56</v>
      </c>
      <c r="E1472" s="2" t="s">
        <v>19</v>
      </c>
      <c r="F1472" s="2" t="s">
        <v>27</v>
      </c>
      <c r="G1472" s="2" t="s">
        <v>594</v>
      </c>
      <c r="H1472" s="3">
        <v>45327.956944444442</v>
      </c>
      <c r="I1472" s="3">
        <v>45328.052083333336</v>
      </c>
      <c r="J1472" s="2">
        <v>27</v>
      </c>
      <c r="K1472" s="2">
        <v>137</v>
      </c>
      <c r="L1472" s="2">
        <v>1</v>
      </c>
      <c r="M1472" s="2" t="s">
        <v>29</v>
      </c>
      <c r="N1472" s="2">
        <v>6</v>
      </c>
      <c r="O1472" s="2">
        <v>428.59</v>
      </c>
      <c r="P1472" s="2">
        <f t="shared" si="110"/>
        <v>110</v>
      </c>
      <c r="Q1472" s="4">
        <f t="shared" si="111"/>
        <v>0.19708029197080293</v>
      </c>
      <c r="R1472" s="2" t="str">
        <f t="shared" si="112"/>
        <v>Inefficient</v>
      </c>
      <c r="S1472" s="2" t="str">
        <f t="shared" si="113"/>
        <v>Very Long</v>
      </c>
      <c r="T1472" s="2" t="str">
        <f t="shared" si="114"/>
        <v>Major Delay</v>
      </c>
    </row>
    <row r="1473" spans="1:20" x14ac:dyDescent="0.35">
      <c r="A1473" s="2" t="s">
        <v>3129</v>
      </c>
      <c r="B1473" s="2" t="s">
        <v>63</v>
      </c>
      <c r="C1473" s="2" t="s">
        <v>3130</v>
      </c>
      <c r="D1473" s="2" t="s">
        <v>18</v>
      </c>
      <c r="E1473" s="2" t="s">
        <v>33</v>
      </c>
      <c r="F1473" s="2" t="s">
        <v>20</v>
      </c>
      <c r="G1473" s="2" t="s">
        <v>79</v>
      </c>
      <c r="H1473" s="3">
        <v>45464.663194444445</v>
      </c>
      <c r="I1473" s="3">
        <v>45464.790972222225</v>
      </c>
      <c r="J1473" s="2">
        <v>151</v>
      </c>
      <c r="K1473" s="2">
        <v>184</v>
      </c>
      <c r="L1473" s="2">
        <v>1</v>
      </c>
      <c r="M1473" s="2" t="s">
        <v>22</v>
      </c>
      <c r="N1473" s="2">
        <v>5</v>
      </c>
      <c r="O1473" s="2">
        <v>331.49</v>
      </c>
      <c r="P1473" s="2">
        <f t="shared" si="110"/>
        <v>33</v>
      </c>
      <c r="Q1473" s="4">
        <f t="shared" si="111"/>
        <v>0.82065217391304346</v>
      </c>
      <c r="R1473" s="2" t="str">
        <f t="shared" si="112"/>
        <v>Inefficient</v>
      </c>
      <c r="S1473" s="2" t="str">
        <f t="shared" si="113"/>
        <v>Very Long</v>
      </c>
      <c r="T1473" s="2" t="str">
        <f t="shared" si="114"/>
        <v>Major Delay</v>
      </c>
    </row>
    <row r="1474" spans="1:20" x14ac:dyDescent="0.35">
      <c r="A1474" s="2" t="s">
        <v>3131</v>
      </c>
      <c r="B1474" s="2" t="s">
        <v>16</v>
      </c>
      <c r="C1474" s="2" t="s">
        <v>3132</v>
      </c>
      <c r="D1474" s="2" t="s">
        <v>44</v>
      </c>
      <c r="E1474" s="2" t="s">
        <v>33</v>
      </c>
      <c r="F1474" s="2" t="s">
        <v>34</v>
      </c>
      <c r="G1474" s="2" t="s">
        <v>669</v>
      </c>
      <c r="H1474" s="3">
        <v>45413.07708333333</v>
      </c>
      <c r="I1474" s="3">
        <v>45413.136111111111</v>
      </c>
      <c r="J1474" s="2">
        <v>37</v>
      </c>
      <c r="K1474" s="2">
        <v>85</v>
      </c>
      <c r="L1474" s="2">
        <v>1</v>
      </c>
      <c r="M1474" s="2" t="s">
        <v>22</v>
      </c>
      <c r="N1474" s="2">
        <v>8</v>
      </c>
      <c r="O1474" s="2">
        <v>357.76</v>
      </c>
      <c r="P1474" s="2">
        <f t="shared" si="110"/>
        <v>48</v>
      </c>
      <c r="Q1474" s="4">
        <f t="shared" si="111"/>
        <v>0.43529411764705883</v>
      </c>
      <c r="R1474" s="2" t="str">
        <f t="shared" si="112"/>
        <v>Inefficient</v>
      </c>
      <c r="S1474" s="2" t="str">
        <f t="shared" si="113"/>
        <v>Long</v>
      </c>
      <c r="T1474" s="2" t="str">
        <f t="shared" si="114"/>
        <v>Major Delay</v>
      </c>
    </row>
    <row r="1475" spans="1:20" x14ac:dyDescent="0.35">
      <c r="A1475" s="2" t="s">
        <v>3133</v>
      </c>
      <c r="B1475" s="2" t="s">
        <v>16</v>
      </c>
      <c r="C1475" s="2" t="s">
        <v>3134</v>
      </c>
      <c r="D1475" s="2" t="s">
        <v>56</v>
      </c>
      <c r="E1475" s="2" t="s">
        <v>33</v>
      </c>
      <c r="F1475" s="2" t="s">
        <v>57</v>
      </c>
      <c r="G1475" s="2" t="s">
        <v>594</v>
      </c>
      <c r="H1475" s="3">
        <v>45513.474999999999</v>
      </c>
      <c r="I1475" s="3">
        <v>45513.637499999997</v>
      </c>
      <c r="J1475" s="2">
        <v>227</v>
      </c>
      <c r="K1475" s="2">
        <v>234</v>
      </c>
      <c r="L1475" s="2">
        <v>1</v>
      </c>
      <c r="M1475" s="2" t="s">
        <v>22</v>
      </c>
      <c r="N1475" s="2">
        <v>9</v>
      </c>
      <c r="O1475" s="2">
        <v>242.25</v>
      </c>
      <c r="P1475" s="2">
        <f t="shared" ref="P1475:P1538" si="115">K1475-J1475</f>
        <v>7</v>
      </c>
      <c r="Q1475" s="4">
        <f t="shared" ref="Q1475:Q1538" si="116">J1475/K1475</f>
        <v>0.97008547008547008</v>
      </c>
      <c r="R1475" s="2" t="str">
        <f t="shared" ref="R1475:R1538" si="117">IF(Q1475&gt;1,"Efficient",
IF(Q1475=1,"On Target","Inefficient"))</f>
        <v>Inefficient</v>
      </c>
      <c r="S1475" s="2" t="str">
        <f t="shared" ref="S1475:S1538" si="118">IF(K1475&lt;30,"Short",
IF(K1475&lt;60,"Medium",
IF(K1475&lt;120,"Long","Very Long")))</f>
        <v>Very Long</v>
      </c>
      <c r="T1475" s="2" t="str">
        <f t="shared" ref="T1475:T1538" si="119">IF(K1475&lt;=J1475,"On Time",
IF(K1475-J1475&lt;=30,"Minor Delay","Major Delay"))</f>
        <v>Minor Delay</v>
      </c>
    </row>
    <row r="1476" spans="1:20" x14ac:dyDescent="0.35">
      <c r="A1476" s="2" t="s">
        <v>3135</v>
      </c>
      <c r="B1476" s="2" t="s">
        <v>31</v>
      </c>
      <c r="C1476" s="2" t="s">
        <v>3136</v>
      </c>
      <c r="D1476" s="2" t="s">
        <v>48</v>
      </c>
      <c r="E1476" s="2" t="s">
        <v>33</v>
      </c>
      <c r="F1476" s="2" t="s">
        <v>27</v>
      </c>
      <c r="G1476" s="2" t="s">
        <v>691</v>
      </c>
      <c r="H1476" s="3">
        <v>45600.882638888892</v>
      </c>
      <c r="I1476" s="3">
        <v>45600.97152777778</v>
      </c>
      <c r="J1476" s="2">
        <v>71</v>
      </c>
      <c r="K1476" s="2">
        <v>128</v>
      </c>
      <c r="L1476" s="2">
        <v>1</v>
      </c>
      <c r="M1476" s="2" t="s">
        <v>41</v>
      </c>
      <c r="N1476" s="2">
        <v>5</v>
      </c>
      <c r="O1476" s="2">
        <v>250.31</v>
      </c>
      <c r="P1476" s="2">
        <f t="shared" si="115"/>
        <v>57</v>
      </c>
      <c r="Q1476" s="4">
        <f t="shared" si="116"/>
        <v>0.5546875</v>
      </c>
      <c r="R1476" s="2" t="str">
        <f t="shared" si="117"/>
        <v>Inefficient</v>
      </c>
      <c r="S1476" s="2" t="str">
        <f t="shared" si="118"/>
        <v>Very Long</v>
      </c>
      <c r="T1476" s="2" t="str">
        <f t="shared" si="119"/>
        <v>Major Delay</v>
      </c>
    </row>
    <row r="1477" spans="1:20" x14ac:dyDescent="0.35">
      <c r="A1477" s="2" t="s">
        <v>3137</v>
      </c>
      <c r="B1477" s="2" t="s">
        <v>63</v>
      </c>
      <c r="C1477" s="2" t="s">
        <v>3138</v>
      </c>
      <c r="D1477" s="2" t="s">
        <v>18</v>
      </c>
      <c r="E1477" s="2" t="s">
        <v>38</v>
      </c>
      <c r="F1477" s="2" t="s">
        <v>20</v>
      </c>
      <c r="G1477" s="2" t="s">
        <v>418</v>
      </c>
      <c r="H1477" s="3">
        <v>45358.762499999997</v>
      </c>
      <c r="I1477" s="3">
        <v>45358.888888888891</v>
      </c>
      <c r="J1477" s="2">
        <v>168</v>
      </c>
      <c r="K1477" s="2">
        <v>182</v>
      </c>
      <c r="L1477" s="2">
        <v>1</v>
      </c>
      <c r="M1477" s="2" t="s">
        <v>41</v>
      </c>
      <c r="N1477" s="2">
        <v>3</v>
      </c>
      <c r="O1477" s="2">
        <v>172.78</v>
      </c>
      <c r="P1477" s="2">
        <f t="shared" si="115"/>
        <v>14</v>
      </c>
      <c r="Q1477" s="4">
        <f t="shared" si="116"/>
        <v>0.92307692307692313</v>
      </c>
      <c r="R1477" s="2" t="str">
        <f t="shared" si="117"/>
        <v>Inefficient</v>
      </c>
      <c r="S1477" s="2" t="str">
        <f t="shared" si="118"/>
        <v>Very Long</v>
      </c>
      <c r="T1477" s="2" t="str">
        <f t="shared" si="119"/>
        <v>Minor Delay</v>
      </c>
    </row>
    <row r="1478" spans="1:20" x14ac:dyDescent="0.35">
      <c r="A1478" s="2" t="s">
        <v>3139</v>
      </c>
      <c r="B1478" s="2" t="s">
        <v>16</v>
      </c>
      <c r="C1478" s="2" t="s">
        <v>3140</v>
      </c>
      <c r="D1478" s="2" t="s">
        <v>44</v>
      </c>
      <c r="E1478" s="2" t="s">
        <v>33</v>
      </c>
      <c r="F1478" s="2" t="s">
        <v>39</v>
      </c>
      <c r="G1478" s="2" t="s">
        <v>262</v>
      </c>
      <c r="H1478" s="3">
        <v>45593.295138888891</v>
      </c>
      <c r="I1478" s="3">
        <v>45593.384027777778</v>
      </c>
      <c r="J1478" s="2">
        <v>115</v>
      </c>
      <c r="K1478" s="2">
        <v>128</v>
      </c>
      <c r="L1478" s="2">
        <v>1</v>
      </c>
      <c r="M1478" s="2" t="s">
        <v>29</v>
      </c>
      <c r="N1478" s="2">
        <v>7</v>
      </c>
      <c r="O1478" s="2">
        <v>254.65</v>
      </c>
      <c r="P1478" s="2">
        <f t="shared" si="115"/>
        <v>13</v>
      </c>
      <c r="Q1478" s="4">
        <f t="shared" si="116"/>
        <v>0.8984375</v>
      </c>
      <c r="R1478" s="2" t="str">
        <f t="shared" si="117"/>
        <v>Inefficient</v>
      </c>
      <c r="S1478" s="2" t="str">
        <f t="shared" si="118"/>
        <v>Very Long</v>
      </c>
      <c r="T1478" s="2" t="str">
        <f t="shared" si="119"/>
        <v>Minor Delay</v>
      </c>
    </row>
    <row r="1479" spans="1:20" x14ac:dyDescent="0.35">
      <c r="A1479" s="2" t="s">
        <v>3141</v>
      </c>
      <c r="B1479" s="2" t="s">
        <v>63</v>
      </c>
      <c r="C1479" s="2" t="s">
        <v>3142</v>
      </c>
      <c r="D1479" s="2" t="s">
        <v>56</v>
      </c>
      <c r="E1479" s="2" t="s">
        <v>38</v>
      </c>
      <c r="F1479" s="2" t="s">
        <v>20</v>
      </c>
      <c r="G1479" s="2" t="s">
        <v>76</v>
      </c>
      <c r="H1479" s="3">
        <v>45326.067361111112</v>
      </c>
      <c r="I1479" s="3">
        <v>45326.182638888888</v>
      </c>
      <c r="J1479" s="2">
        <v>129</v>
      </c>
      <c r="K1479" s="2">
        <v>166</v>
      </c>
      <c r="L1479" s="2">
        <v>1</v>
      </c>
      <c r="M1479" s="2" t="s">
        <v>22</v>
      </c>
      <c r="N1479" s="2">
        <v>7</v>
      </c>
      <c r="O1479" s="2">
        <v>450.55</v>
      </c>
      <c r="P1479" s="2">
        <f t="shared" si="115"/>
        <v>37</v>
      </c>
      <c r="Q1479" s="4">
        <f t="shared" si="116"/>
        <v>0.77710843373493976</v>
      </c>
      <c r="R1479" s="2" t="str">
        <f t="shared" si="117"/>
        <v>Inefficient</v>
      </c>
      <c r="S1479" s="2" t="str">
        <f t="shared" si="118"/>
        <v>Very Long</v>
      </c>
      <c r="T1479" s="2" t="str">
        <f t="shared" si="119"/>
        <v>Major Delay</v>
      </c>
    </row>
    <row r="1480" spans="1:20" x14ac:dyDescent="0.35">
      <c r="A1480" s="2" t="s">
        <v>3143</v>
      </c>
      <c r="B1480" s="2" t="s">
        <v>24</v>
      </c>
      <c r="C1480" s="2" t="s">
        <v>3144</v>
      </c>
      <c r="D1480" s="2" t="s">
        <v>48</v>
      </c>
      <c r="E1480" s="2" t="s">
        <v>38</v>
      </c>
      <c r="F1480" s="2" t="s">
        <v>57</v>
      </c>
      <c r="G1480" s="2" t="s">
        <v>383</v>
      </c>
      <c r="H1480" s="3">
        <v>45510.495138888888</v>
      </c>
      <c r="I1480" s="3">
        <v>45510.595833333333</v>
      </c>
      <c r="J1480" s="2">
        <v>54</v>
      </c>
      <c r="K1480" s="2">
        <v>145</v>
      </c>
      <c r="L1480" s="2">
        <v>1</v>
      </c>
      <c r="M1480" s="2" t="s">
        <v>29</v>
      </c>
      <c r="N1480" s="2">
        <v>6</v>
      </c>
      <c r="O1480" s="2">
        <v>313.94</v>
      </c>
      <c r="P1480" s="2">
        <f t="shared" si="115"/>
        <v>91</v>
      </c>
      <c r="Q1480" s="4">
        <f t="shared" si="116"/>
        <v>0.3724137931034483</v>
      </c>
      <c r="R1480" s="2" t="str">
        <f t="shared" si="117"/>
        <v>Inefficient</v>
      </c>
      <c r="S1480" s="2" t="str">
        <f t="shared" si="118"/>
        <v>Very Long</v>
      </c>
      <c r="T1480" s="2" t="str">
        <f t="shared" si="119"/>
        <v>Major Delay</v>
      </c>
    </row>
    <row r="1481" spans="1:20" x14ac:dyDescent="0.35">
      <c r="A1481" s="2" t="s">
        <v>3145</v>
      </c>
      <c r="B1481" s="2" t="s">
        <v>24</v>
      </c>
      <c r="C1481" s="2" t="s">
        <v>3146</v>
      </c>
      <c r="D1481" s="2" t="s">
        <v>56</v>
      </c>
      <c r="E1481" s="2" t="s">
        <v>33</v>
      </c>
      <c r="F1481" s="2" t="s">
        <v>57</v>
      </c>
      <c r="G1481" s="2" t="s">
        <v>237</v>
      </c>
      <c r="H1481" s="3">
        <v>45634.28402777778</v>
      </c>
      <c r="I1481" s="3">
        <v>45634.357638888891</v>
      </c>
      <c r="J1481" s="2">
        <v>65</v>
      </c>
      <c r="K1481" s="2">
        <v>106</v>
      </c>
      <c r="L1481" s="2">
        <v>1</v>
      </c>
      <c r="M1481" s="2" t="s">
        <v>41</v>
      </c>
      <c r="N1481" s="2">
        <v>6</v>
      </c>
      <c r="O1481" s="2">
        <v>441.09</v>
      </c>
      <c r="P1481" s="2">
        <f t="shared" si="115"/>
        <v>41</v>
      </c>
      <c r="Q1481" s="4">
        <f t="shared" si="116"/>
        <v>0.6132075471698113</v>
      </c>
      <c r="R1481" s="2" t="str">
        <f t="shared" si="117"/>
        <v>Inefficient</v>
      </c>
      <c r="S1481" s="2" t="str">
        <f t="shared" si="118"/>
        <v>Long</v>
      </c>
      <c r="T1481" s="2" t="str">
        <f t="shared" si="119"/>
        <v>Major Delay</v>
      </c>
    </row>
    <row r="1482" spans="1:20" x14ac:dyDescent="0.35">
      <c r="A1482" s="2" t="s">
        <v>3147</v>
      </c>
      <c r="B1482" s="2" t="s">
        <v>51</v>
      </c>
      <c r="C1482" s="2" t="s">
        <v>3148</v>
      </c>
      <c r="D1482" s="2" t="s">
        <v>18</v>
      </c>
      <c r="E1482" s="2" t="s">
        <v>85</v>
      </c>
      <c r="F1482" s="2" t="s">
        <v>39</v>
      </c>
      <c r="G1482" s="2" t="s">
        <v>129</v>
      </c>
      <c r="H1482" s="3">
        <v>45358.09097222222</v>
      </c>
      <c r="I1482" s="3">
        <v>45358.177083333336</v>
      </c>
      <c r="J1482" s="2">
        <v>30</v>
      </c>
      <c r="K1482" s="2">
        <v>124</v>
      </c>
      <c r="L1482" s="2">
        <v>1</v>
      </c>
      <c r="M1482" s="2" t="s">
        <v>41</v>
      </c>
      <c r="N1482" s="2">
        <v>1</v>
      </c>
      <c r="O1482" s="2">
        <v>147.16</v>
      </c>
      <c r="P1482" s="2">
        <f t="shared" si="115"/>
        <v>94</v>
      </c>
      <c r="Q1482" s="4">
        <f t="shared" si="116"/>
        <v>0.24193548387096775</v>
      </c>
      <c r="R1482" s="2" t="str">
        <f t="shared" si="117"/>
        <v>Inefficient</v>
      </c>
      <c r="S1482" s="2" t="str">
        <f t="shared" si="118"/>
        <v>Very Long</v>
      </c>
      <c r="T1482" s="2" t="str">
        <f t="shared" si="119"/>
        <v>Major Delay</v>
      </c>
    </row>
    <row r="1483" spans="1:20" x14ac:dyDescent="0.35">
      <c r="A1483" s="2" t="s">
        <v>3149</v>
      </c>
      <c r="B1483" s="2" t="s">
        <v>63</v>
      </c>
      <c r="C1483" s="2" t="s">
        <v>3150</v>
      </c>
      <c r="D1483" s="2" t="s">
        <v>26</v>
      </c>
      <c r="E1483" s="2" t="s">
        <v>33</v>
      </c>
      <c r="F1483" s="2" t="s">
        <v>39</v>
      </c>
      <c r="G1483" s="2" t="s">
        <v>146</v>
      </c>
      <c r="H1483" s="3">
        <v>45458.032638888886</v>
      </c>
      <c r="I1483" s="3">
        <v>45458.104861111111</v>
      </c>
      <c r="J1483" s="2">
        <v>100</v>
      </c>
      <c r="K1483" s="2">
        <v>104</v>
      </c>
      <c r="L1483" s="2">
        <v>1</v>
      </c>
      <c r="M1483" s="2" t="s">
        <v>41</v>
      </c>
      <c r="N1483" s="2">
        <v>8</v>
      </c>
      <c r="O1483" s="2">
        <v>498.35</v>
      </c>
      <c r="P1483" s="2">
        <f t="shared" si="115"/>
        <v>4</v>
      </c>
      <c r="Q1483" s="4">
        <f t="shared" si="116"/>
        <v>0.96153846153846156</v>
      </c>
      <c r="R1483" s="2" t="str">
        <f t="shared" si="117"/>
        <v>Inefficient</v>
      </c>
      <c r="S1483" s="2" t="str">
        <f t="shared" si="118"/>
        <v>Long</v>
      </c>
      <c r="T1483" s="2" t="str">
        <f t="shared" si="119"/>
        <v>Minor Delay</v>
      </c>
    </row>
    <row r="1484" spans="1:20" x14ac:dyDescent="0.35">
      <c r="A1484" s="2" t="s">
        <v>3151</v>
      </c>
      <c r="B1484" s="2" t="s">
        <v>24</v>
      </c>
      <c r="C1484" s="2" t="s">
        <v>3152</v>
      </c>
      <c r="D1484" s="2" t="s">
        <v>48</v>
      </c>
      <c r="E1484" s="2" t="s">
        <v>33</v>
      </c>
      <c r="F1484" s="2" t="s">
        <v>39</v>
      </c>
      <c r="G1484" s="2" t="s">
        <v>35</v>
      </c>
      <c r="H1484" s="3">
        <v>45573.637499999997</v>
      </c>
      <c r="I1484" s="3">
        <v>45573.835416666669</v>
      </c>
      <c r="J1484" s="2">
        <v>185</v>
      </c>
      <c r="K1484" s="2">
        <v>285</v>
      </c>
      <c r="L1484" s="2">
        <v>1</v>
      </c>
      <c r="M1484" s="2" t="s">
        <v>22</v>
      </c>
      <c r="N1484" s="2">
        <v>6</v>
      </c>
      <c r="O1484" s="2">
        <v>71.83</v>
      </c>
      <c r="P1484" s="2">
        <f t="shared" si="115"/>
        <v>100</v>
      </c>
      <c r="Q1484" s="4">
        <f t="shared" si="116"/>
        <v>0.64912280701754388</v>
      </c>
      <c r="R1484" s="2" t="str">
        <f t="shared" si="117"/>
        <v>Inefficient</v>
      </c>
      <c r="S1484" s="2" t="str">
        <f t="shared" si="118"/>
        <v>Very Long</v>
      </c>
      <c r="T1484" s="2" t="str">
        <f t="shared" si="119"/>
        <v>Major Delay</v>
      </c>
    </row>
    <row r="1485" spans="1:20" x14ac:dyDescent="0.35">
      <c r="A1485" s="2" t="s">
        <v>3153</v>
      </c>
      <c r="B1485" s="2" t="s">
        <v>16</v>
      </c>
      <c r="C1485" s="2" t="s">
        <v>3154</v>
      </c>
      <c r="D1485" s="2" t="s">
        <v>26</v>
      </c>
      <c r="E1485" s="2" t="s">
        <v>19</v>
      </c>
      <c r="F1485" s="2" t="s">
        <v>57</v>
      </c>
      <c r="G1485" s="2" t="s">
        <v>500</v>
      </c>
      <c r="H1485" s="3">
        <v>45361.925000000003</v>
      </c>
      <c r="I1485" s="3">
        <v>45362.160416666666</v>
      </c>
      <c r="J1485" s="2">
        <v>238</v>
      </c>
      <c r="K1485" s="2">
        <v>339</v>
      </c>
      <c r="L1485" s="2">
        <v>1</v>
      </c>
      <c r="M1485" s="2" t="s">
        <v>22</v>
      </c>
      <c r="N1485" s="2">
        <v>3</v>
      </c>
      <c r="O1485" s="2">
        <v>212.94</v>
      </c>
      <c r="P1485" s="2">
        <f t="shared" si="115"/>
        <v>101</v>
      </c>
      <c r="Q1485" s="4">
        <f t="shared" si="116"/>
        <v>0.70206489675516226</v>
      </c>
      <c r="R1485" s="2" t="str">
        <f t="shared" si="117"/>
        <v>Inefficient</v>
      </c>
      <c r="S1485" s="2" t="str">
        <f t="shared" si="118"/>
        <v>Very Long</v>
      </c>
      <c r="T1485" s="2" t="str">
        <f t="shared" si="119"/>
        <v>Major Delay</v>
      </c>
    </row>
    <row r="1486" spans="1:20" x14ac:dyDescent="0.35">
      <c r="A1486" s="2" t="s">
        <v>3155</v>
      </c>
      <c r="B1486" s="2" t="s">
        <v>16</v>
      </c>
      <c r="C1486" s="2" t="s">
        <v>3156</v>
      </c>
      <c r="D1486" s="2" t="s">
        <v>56</v>
      </c>
      <c r="E1486" s="2" t="s">
        <v>85</v>
      </c>
      <c r="F1486" s="2" t="s">
        <v>27</v>
      </c>
      <c r="G1486" s="2" t="s">
        <v>296</v>
      </c>
      <c r="H1486" s="3">
        <v>45481.980555555558</v>
      </c>
      <c r="I1486" s="3">
        <v>45482.197916666664</v>
      </c>
      <c r="J1486" s="2">
        <v>232</v>
      </c>
      <c r="K1486" s="2">
        <v>313</v>
      </c>
      <c r="L1486" s="2">
        <v>1</v>
      </c>
      <c r="M1486" s="2" t="s">
        <v>41</v>
      </c>
      <c r="N1486" s="2">
        <v>1</v>
      </c>
      <c r="O1486" s="2">
        <v>292.45</v>
      </c>
      <c r="P1486" s="2">
        <f t="shared" si="115"/>
        <v>81</v>
      </c>
      <c r="Q1486" s="4">
        <f t="shared" si="116"/>
        <v>0.74121405750798719</v>
      </c>
      <c r="R1486" s="2" t="str">
        <f t="shared" si="117"/>
        <v>Inefficient</v>
      </c>
      <c r="S1486" s="2" t="str">
        <f t="shared" si="118"/>
        <v>Very Long</v>
      </c>
      <c r="T1486" s="2" t="str">
        <f t="shared" si="119"/>
        <v>Major Delay</v>
      </c>
    </row>
    <row r="1487" spans="1:20" x14ac:dyDescent="0.35">
      <c r="A1487" s="2" t="s">
        <v>3157</v>
      </c>
      <c r="B1487" s="2" t="s">
        <v>31</v>
      </c>
      <c r="C1487" s="2" t="s">
        <v>3158</v>
      </c>
      <c r="D1487" s="2" t="s">
        <v>18</v>
      </c>
      <c r="E1487" s="2" t="s">
        <v>33</v>
      </c>
      <c r="F1487" s="2" t="s">
        <v>39</v>
      </c>
      <c r="G1487" s="2" t="s">
        <v>185</v>
      </c>
      <c r="H1487" s="3">
        <v>45394.804166666669</v>
      </c>
      <c r="I1487" s="3">
        <v>45394.999305555553</v>
      </c>
      <c r="J1487" s="2">
        <v>193</v>
      </c>
      <c r="K1487" s="2">
        <v>281</v>
      </c>
      <c r="L1487" s="2">
        <v>1</v>
      </c>
      <c r="M1487" s="2" t="s">
        <v>41</v>
      </c>
      <c r="N1487" s="2">
        <v>1</v>
      </c>
      <c r="O1487" s="2">
        <v>128.66</v>
      </c>
      <c r="P1487" s="2">
        <f t="shared" si="115"/>
        <v>88</v>
      </c>
      <c r="Q1487" s="4">
        <f t="shared" si="116"/>
        <v>0.68683274021352314</v>
      </c>
      <c r="R1487" s="2" t="str">
        <f t="shared" si="117"/>
        <v>Inefficient</v>
      </c>
      <c r="S1487" s="2" t="str">
        <f t="shared" si="118"/>
        <v>Very Long</v>
      </c>
      <c r="T1487" s="2" t="str">
        <f t="shared" si="119"/>
        <v>Major Delay</v>
      </c>
    </row>
    <row r="1488" spans="1:20" x14ac:dyDescent="0.35">
      <c r="A1488" s="2" t="s">
        <v>3159</v>
      </c>
      <c r="B1488" s="2" t="s">
        <v>63</v>
      </c>
      <c r="C1488" s="2" t="s">
        <v>3160</v>
      </c>
      <c r="D1488" s="2" t="s">
        <v>18</v>
      </c>
      <c r="E1488" s="2" t="s">
        <v>33</v>
      </c>
      <c r="F1488" s="2" t="s">
        <v>27</v>
      </c>
      <c r="G1488" s="2" t="s">
        <v>201</v>
      </c>
      <c r="H1488" s="3">
        <v>45421.868750000001</v>
      </c>
      <c r="I1488" s="3">
        <v>45422.044444444444</v>
      </c>
      <c r="J1488" s="2">
        <v>209</v>
      </c>
      <c r="K1488" s="2">
        <v>253</v>
      </c>
      <c r="L1488" s="2">
        <v>1</v>
      </c>
      <c r="M1488" s="2" t="s">
        <v>29</v>
      </c>
      <c r="N1488" s="2">
        <v>5</v>
      </c>
      <c r="O1488" s="2">
        <v>136.54</v>
      </c>
      <c r="P1488" s="2">
        <f t="shared" si="115"/>
        <v>44</v>
      </c>
      <c r="Q1488" s="4">
        <f t="shared" si="116"/>
        <v>0.82608695652173914</v>
      </c>
      <c r="R1488" s="2" t="str">
        <f t="shared" si="117"/>
        <v>Inefficient</v>
      </c>
      <c r="S1488" s="2" t="str">
        <f t="shared" si="118"/>
        <v>Very Long</v>
      </c>
      <c r="T1488" s="2" t="str">
        <f t="shared" si="119"/>
        <v>Major Delay</v>
      </c>
    </row>
    <row r="1489" spans="1:20" x14ac:dyDescent="0.35">
      <c r="A1489" s="2" t="s">
        <v>3161</v>
      </c>
      <c r="B1489" s="2" t="s">
        <v>16</v>
      </c>
      <c r="C1489" s="2" t="s">
        <v>3162</v>
      </c>
      <c r="D1489" s="2" t="s">
        <v>48</v>
      </c>
      <c r="E1489" s="2" t="s">
        <v>85</v>
      </c>
      <c r="F1489" s="2" t="s">
        <v>34</v>
      </c>
      <c r="G1489" s="2" t="s">
        <v>359</v>
      </c>
      <c r="H1489" s="3">
        <v>45596.590277777781</v>
      </c>
      <c r="I1489" s="3">
        <v>45596.724999999999</v>
      </c>
      <c r="J1489" s="2">
        <v>120</v>
      </c>
      <c r="K1489" s="2">
        <v>194</v>
      </c>
      <c r="L1489" s="2">
        <v>1</v>
      </c>
      <c r="M1489" s="2" t="s">
        <v>41</v>
      </c>
      <c r="N1489" s="2">
        <v>5</v>
      </c>
      <c r="O1489" s="2">
        <v>380.06</v>
      </c>
      <c r="P1489" s="2">
        <f t="shared" si="115"/>
        <v>74</v>
      </c>
      <c r="Q1489" s="4">
        <f t="shared" si="116"/>
        <v>0.61855670103092786</v>
      </c>
      <c r="R1489" s="2" t="str">
        <f t="shared" si="117"/>
        <v>Inefficient</v>
      </c>
      <c r="S1489" s="2" t="str">
        <f t="shared" si="118"/>
        <v>Very Long</v>
      </c>
      <c r="T1489" s="2" t="str">
        <f t="shared" si="119"/>
        <v>Major Delay</v>
      </c>
    </row>
    <row r="1490" spans="1:20" x14ac:dyDescent="0.35">
      <c r="A1490" s="2" t="s">
        <v>3163</v>
      </c>
      <c r="B1490" s="2" t="s">
        <v>51</v>
      </c>
      <c r="C1490" s="2" t="s">
        <v>3164</v>
      </c>
      <c r="D1490" s="2" t="s">
        <v>44</v>
      </c>
      <c r="E1490" s="2" t="s">
        <v>85</v>
      </c>
      <c r="F1490" s="2" t="s">
        <v>20</v>
      </c>
      <c r="G1490" s="2" t="s">
        <v>476</v>
      </c>
      <c r="H1490" s="3">
        <v>45341.458333333336</v>
      </c>
      <c r="I1490" s="3">
        <v>45341.554861111108</v>
      </c>
      <c r="J1490" s="2">
        <v>38</v>
      </c>
      <c r="K1490" s="2">
        <v>139</v>
      </c>
      <c r="L1490" s="2">
        <v>1</v>
      </c>
      <c r="M1490" s="2" t="s">
        <v>22</v>
      </c>
      <c r="N1490" s="2">
        <v>4</v>
      </c>
      <c r="O1490" s="2">
        <v>473.68</v>
      </c>
      <c r="P1490" s="2">
        <f t="shared" si="115"/>
        <v>101</v>
      </c>
      <c r="Q1490" s="4">
        <f t="shared" si="116"/>
        <v>0.2733812949640288</v>
      </c>
      <c r="R1490" s="2" t="str">
        <f t="shared" si="117"/>
        <v>Inefficient</v>
      </c>
      <c r="S1490" s="2" t="str">
        <f t="shared" si="118"/>
        <v>Very Long</v>
      </c>
      <c r="T1490" s="2" t="str">
        <f t="shared" si="119"/>
        <v>Major Delay</v>
      </c>
    </row>
    <row r="1491" spans="1:20" x14ac:dyDescent="0.35">
      <c r="A1491" s="2" t="s">
        <v>3165</v>
      </c>
      <c r="B1491" s="2" t="s">
        <v>24</v>
      </c>
      <c r="C1491" s="2" t="s">
        <v>3166</v>
      </c>
      <c r="D1491" s="2" t="s">
        <v>48</v>
      </c>
      <c r="E1491" s="2" t="s">
        <v>33</v>
      </c>
      <c r="F1491" s="2" t="s">
        <v>57</v>
      </c>
      <c r="G1491" s="2" t="s">
        <v>164</v>
      </c>
      <c r="H1491" s="3">
        <v>45569.861111111109</v>
      </c>
      <c r="I1491" s="3">
        <v>45569.950694444444</v>
      </c>
      <c r="J1491" s="2">
        <v>69</v>
      </c>
      <c r="K1491" s="2">
        <v>129</v>
      </c>
      <c r="L1491" s="2">
        <v>1</v>
      </c>
      <c r="M1491" s="2" t="s">
        <v>29</v>
      </c>
      <c r="N1491" s="2">
        <v>8</v>
      </c>
      <c r="O1491" s="2">
        <v>161.56</v>
      </c>
      <c r="P1491" s="2">
        <f t="shared" si="115"/>
        <v>60</v>
      </c>
      <c r="Q1491" s="4">
        <f t="shared" si="116"/>
        <v>0.53488372093023251</v>
      </c>
      <c r="R1491" s="2" t="str">
        <f t="shared" si="117"/>
        <v>Inefficient</v>
      </c>
      <c r="S1491" s="2" t="str">
        <f t="shared" si="118"/>
        <v>Very Long</v>
      </c>
      <c r="T1491" s="2" t="str">
        <f t="shared" si="119"/>
        <v>Major Delay</v>
      </c>
    </row>
    <row r="1492" spans="1:20" x14ac:dyDescent="0.35">
      <c r="A1492" s="2" t="s">
        <v>3167</v>
      </c>
      <c r="B1492" s="2" t="s">
        <v>51</v>
      </c>
      <c r="C1492" s="2" t="s">
        <v>3168</v>
      </c>
      <c r="D1492" s="2" t="s">
        <v>48</v>
      </c>
      <c r="E1492" s="2" t="s">
        <v>85</v>
      </c>
      <c r="F1492" s="2" t="s">
        <v>27</v>
      </c>
      <c r="G1492" s="2" t="s">
        <v>1187</v>
      </c>
      <c r="H1492" s="3">
        <v>45569.959027777775</v>
      </c>
      <c r="I1492" s="3">
        <v>45570.001388888886</v>
      </c>
      <c r="J1492" s="2">
        <v>40</v>
      </c>
      <c r="K1492" s="2">
        <v>61</v>
      </c>
      <c r="L1492" s="2">
        <v>1</v>
      </c>
      <c r="M1492" s="2" t="s">
        <v>29</v>
      </c>
      <c r="N1492" s="2">
        <v>5</v>
      </c>
      <c r="O1492" s="2">
        <v>331.21</v>
      </c>
      <c r="P1492" s="2">
        <f t="shared" si="115"/>
        <v>21</v>
      </c>
      <c r="Q1492" s="4">
        <f t="shared" si="116"/>
        <v>0.65573770491803274</v>
      </c>
      <c r="R1492" s="2" t="str">
        <f t="shared" si="117"/>
        <v>Inefficient</v>
      </c>
      <c r="S1492" s="2" t="str">
        <f t="shared" si="118"/>
        <v>Long</v>
      </c>
      <c r="T1492" s="2" t="str">
        <f t="shared" si="119"/>
        <v>Minor Delay</v>
      </c>
    </row>
    <row r="1493" spans="1:20" x14ac:dyDescent="0.35">
      <c r="A1493" s="2" t="s">
        <v>3169</v>
      </c>
      <c r="B1493" s="2" t="s">
        <v>16</v>
      </c>
      <c r="C1493" s="2" t="s">
        <v>3170</v>
      </c>
      <c r="D1493" s="2" t="s">
        <v>26</v>
      </c>
      <c r="E1493" s="2" t="s">
        <v>19</v>
      </c>
      <c r="F1493" s="2" t="s">
        <v>27</v>
      </c>
      <c r="G1493" s="2" t="s">
        <v>49</v>
      </c>
      <c r="H1493" s="3">
        <v>45392.816666666666</v>
      </c>
      <c r="I1493" s="3">
        <v>45392.831250000003</v>
      </c>
      <c r="J1493" s="2">
        <v>25</v>
      </c>
      <c r="K1493" s="2">
        <v>21</v>
      </c>
      <c r="L1493" s="2">
        <v>0</v>
      </c>
      <c r="M1493" s="2" t="s">
        <v>22</v>
      </c>
      <c r="N1493" s="2">
        <v>9</v>
      </c>
      <c r="O1493" s="2">
        <v>176.33</v>
      </c>
      <c r="P1493" s="2">
        <f t="shared" si="115"/>
        <v>-4</v>
      </c>
      <c r="Q1493" s="4">
        <f t="shared" si="116"/>
        <v>1.1904761904761905</v>
      </c>
      <c r="R1493" s="2" t="str">
        <f t="shared" si="117"/>
        <v>Efficient</v>
      </c>
      <c r="S1493" s="2" t="str">
        <f t="shared" si="118"/>
        <v>Short</v>
      </c>
      <c r="T1493" s="2" t="str">
        <f t="shared" si="119"/>
        <v>On Time</v>
      </c>
    </row>
    <row r="1494" spans="1:20" x14ac:dyDescent="0.35">
      <c r="A1494" s="2" t="s">
        <v>3171</v>
      </c>
      <c r="B1494" s="2" t="s">
        <v>63</v>
      </c>
      <c r="C1494" s="2" t="s">
        <v>3172</v>
      </c>
      <c r="D1494" s="2" t="s">
        <v>56</v>
      </c>
      <c r="E1494" s="2" t="s">
        <v>19</v>
      </c>
      <c r="F1494" s="2" t="s">
        <v>57</v>
      </c>
      <c r="G1494" s="2" t="s">
        <v>842</v>
      </c>
      <c r="H1494" s="3">
        <v>45539.52847222222</v>
      </c>
      <c r="I1494" s="3">
        <v>45539.646527777775</v>
      </c>
      <c r="J1494" s="2">
        <v>59</v>
      </c>
      <c r="K1494" s="2">
        <v>170</v>
      </c>
      <c r="L1494" s="2">
        <v>1</v>
      </c>
      <c r="M1494" s="2" t="s">
        <v>22</v>
      </c>
      <c r="N1494" s="2">
        <v>3</v>
      </c>
      <c r="O1494" s="2">
        <v>382.96</v>
      </c>
      <c r="P1494" s="2">
        <f t="shared" si="115"/>
        <v>111</v>
      </c>
      <c r="Q1494" s="4">
        <f t="shared" si="116"/>
        <v>0.34705882352941175</v>
      </c>
      <c r="R1494" s="2" t="str">
        <f t="shared" si="117"/>
        <v>Inefficient</v>
      </c>
      <c r="S1494" s="2" t="str">
        <f t="shared" si="118"/>
        <v>Very Long</v>
      </c>
      <c r="T1494" s="2" t="str">
        <f t="shared" si="119"/>
        <v>Major Delay</v>
      </c>
    </row>
    <row r="1495" spans="1:20" x14ac:dyDescent="0.35">
      <c r="A1495" s="2" t="s">
        <v>3173</v>
      </c>
      <c r="B1495" s="2" t="s">
        <v>51</v>
      </c>
      <c r="C1495" s="2" t="s">
        <v>3174</v>
      </c>
      <c r="D1495" s="2" t="s">
        <v>44</v>
      </c>
      <c r="E1495" s="2" t="s">
        <v>19</v>
      </c>
      <c r="F1495" s="2" t="s">
        <v>27</v>
      </c>
      <c r="G1495" s="2" t="s">
        <v>397</v>
      </c>
      <c r="H1495" s="3">
        <v>45460.101388888892</v>
      </c>
      <c r="I1495" s="3">
        <v>45460.222222222219</v>
      </c>
      <c r="J1495" s="2">
        <v>154</v>
      </c>
      <c r="K1495" s="2">
        <v>174</v>
      </c>
      <c r="L1495" s="2">
        <v>1</v>
      </c>
      <c r="M1495" s="2" t="s">
        <v>22</v>
      </c>
      <c r="N1495" s="2">
        <v>3</v>
      </c>
      <c r="O1495" s="2">
        <v>262.05</v>
      </c>
      <c r="P1495" s="2">
        <f t="shared" si="115"/>
        <v>20</v>
      </c>
      <c r="Q1495" s="4">
        <f t="shared" si="116"/>
        <v>0.88505747126436785</v>
      </c>
      <c r="R1495" s="2" t="str">
        <f t="shared" si="117"/>
        <v>Inefficient</v>
      </c>
      <c r="S1495" s="2" t="str">
        <f t="shared" si="118"/>
        <v>Very Long</v>
      </c>
      <c r="T1495" s="2" t="str">
        <f t="shared" si="119"/>
        <v>Minor Delay</v>
      </c>
    </row>
    <row r="1496" spans="1:20" x14ac:dyDescent="0.35">
      <c r="A1496" s="2" t="s">
        <v>3175</v>
      </c>
      <c r="B1496" s="2" t="s">
        <v>24</v>
      </c>
      <c r="C1496" s="2" t="s">
        <v>3176</v>
      </c>
      <c r="D1496" s="2" t="s">
        <v>48</v>
      </c>
      <c r="E1496" s="2" t="s">
        <v>85</v>
      </c>
      <c r="F1496" s="2" t="s">
        <v>57</v>
      </c>
      <c r="G1496" s="2" t="s">
        <v>88</v>
      </c>
      <c r="H1496" s="3">
        <v>45527.529166666667</v>
      </c>
      <c r="I1496" s="3">
        <v>45527.650694444441</v>
      </c>
      <c r="J1496" s="2">
        <v>159</v>
      </c>
      <c r="K1496" s="2">
        <v>175</v>
      </c>
      <c r="L1496" s="2">
        <v>1</v>
      </c>
      <c r="M1496" s="2" t="s">
        <v>41</v>
      </c>
      <c r="N1496" s="2">
        <v>3</v>
      </c>
      <c r="O1496" s="2">
        <v>100.82</v>
      </c>
      <c r="P1496" s="2">
        <f t="shared" si="115"/>
        <v>16</v>
      </c>
      <c r="Q1496" s="4">
        <f t="shared" si="116"/>
        <v>0.90857142857142859</v>
      </c>
      <c r="R1496" s="2" t="str">
        <f t="shared" si="117"/>
        <v>Inefficient</v>
      </c>
      <c r="S1496" s="2" t="str">
        <f t="shared" si="118"/>
        <v>Very Long</v>
      </c>
      <c r="T1496" s="2" t="str">
        <f t="shared" si="119"/>
        <v>Minor Delay</v>
      </c>
    </row>
    <row r="1497" spans="1:20" x14ac:dyDescent="0.35">
      <c r="A1497" s="2" t="s">
        <v>3177</v>
      </c>
      <c r="B1497" s="2" t="s">
        <v>63</v>
      </c>
      <c r="C1497" s="2" t="s">
        <v>3178</v>
      </c>
      <c r="D1497" s="2" t="s">
        <v>26</v>
      </c>
      <c r="E1497" s="2" t="s">
        <v>19</v>
      </c>
      <c r="F1497" s="2" t="s">
        <v>20</v>
      </c>
      <c r="G1497" s="2" t="s">
        <v>754</v>
      </c>
      <c r="H1497" s="3">
        <v>45309.49722222222</v>
      </c>
      <c r="I1497" s="3">
        <v>45309.599305555559</v>
      </c>
      <c r="J1497" s="2">
        <v>104</v>
      </c>
      <c r="K1497" s="2">
        <v>147</v>
      </c>
      <c r="L1497" s="2">
        <v>1</v>
      </c>
      <c r="M1497" s="2" t="s">
        <v>41</v>
      </c>
      <c r="N1497" s="2">
        <v>5</v>
      </c>
      <c r="O1497" s="2">
        <v>62.94</v>
      </c>
      <c r="P1497" s="2">
        <f t="shared" si="115"/>
        <v>43</v>
      </c>
      <c r="Q1497" s="4">
        <f t="shared" si="116"/>
        <v>0.70748299319727892</v>
      </c>
      <c r="R1497" s="2" t="str">
        <f t="shared" si="117"/>
        <v>Inefficient</v>
      </c>
      <c r="S1497" s="2" t="str">
        <f t="shared" si="118"/>
        <v>Very Long</v>
      </c>
      <c r="T1497" s="2" t="str">
        <f t="shared" si="119"/>
        <v>Major Delay</v>
      </c>
    </row>
    <row r="1498" spans="1:20" x14ac:dyDescent="0.35">
      <c r="A1498" s="2" t="s">
        <v>3179</v>
      </c>
      <c r="B1498" s="2" t="s">
        <v>63</v>
      </c>
      <c r="C1498" s="2" t="s">
        <v>3180</v>
      </c>
      <c r="D1498" s="2" t="s">
        <v>44</v>
      </c>
      <c r="E1498" s="2" t="s">
        <v>38</v>
      </c>
      <c r="F1498" s="2" t="s">
        <v>34</v>
      </c>
      <c r="G1498" s="2" t="s">
        <v>265</v>
      </c>
      <c r="H1498" s="3">
        <v>45545.503472222219</v>
      </c>
      <c r="I1498" s="3">
        <v>45545.661805555559</v>
      </c>
      <c r="J1498" s="2">
        <v>188</v>
      </c>
      <c r="K1498" s="2">
        <v>228</v>
      </c>
      <c r="L1498" s="2">
        <v>1</v>
      </c>
      <c r="M1498" s="2" t="s">
        <v>41</v>
      </c>
      <c r="N1498" s="2">
        <v>7</v>
      </c>
      <c r="O1498" s="2">
        <v>330.85</v>
      </c>
      <c r="P1498" s="2">
        <f t="shared" si="115"/>
        <v>40</v>
      </c>
      <c r="Q1498" s="4">
        <f t="shared" si="116"/>
        <v>0.82456140350877194</v>
      </c>
      <c r="R1498" s="2" t="str">
        <f t="shared" si="117"/>
        <v>Inefficient</v>
      </c>
      <c r="S1498" s="2" t="str">
        <f t="shared" si="118"/>
        <v>Very Long</v>
      </c>
      <c r="T1498" s="2" t="str">
        <f t="shared" si="119"/>
        <v>Major Delay</v>
      </c>
    </row>
    <row r="1499" spans="1:20" x14ac:dyDescent="0.35">
      <c r="A1499" s="2" t="s">
        <v>3181</v>
      </c>
      <c r="B1499" s="2" t="s">
        <v>16</v>
      </c>
      <c r="C1499" s="2" t="s">
        <v>3182</v>
      </c>
      <c r="D1499" s="2" t="s">
        <v>44</v>
      </c>
      <c r="E1499" s="2" t="s">
        <v>85</v>
      </c>
      <c r="F1499" s="2" t="s">
        <v>20</v>
      </c>
      <c r="G1499" s="2" t="s">
        <v>21</v>
      </c>
      <c r="H1499" s="3">
        <v>45377.279166666667</v>
      </c>
      <c r="I1499" s="3">
        <v>45377.321527777778</v>
      </c>
      <c r="J1499" s="2">
        <v>36</v>
      </c>
      <c r="K1499" s="2">
        <v>61</v>
      </c>
      <c r="L1499" s="2">
        <v>1</v>
      </c>
      <c r="M1499" s="2" t="s">
        <v>22</v>
      </c>
      <c r="N1499" s="2">
        <v>9</v>
      </c>
      <c r="O1499" s="2">
        <v>237.89</v>
      </c>
      <c r="P1499" s="2">
        <f t="shared" si="115"/>
        <v>25</v>
      </c>
      <c r="Q1499" s="4">
        <f t="shared" si="116"/>
        <v>0.5901639344262295</v>
      </c>
      <c r="R1499" s="2" t="str">
        <f t="shared" si="117"/>
        <v>Inefficient</v>
      </c>
      <c r="S1499" s="2" t="str">
        <f t="shared" si="118"/>
        <v>Long</v>
      </c>
      <c r="T1499" s="2" t="str">
        <f t="shared" si="119"/>
        <v>Minor Delay</v>
      </c>
    </row>
    <row r="1500" spans="1:20" x14ac:dyDescent="0.35">
      <c r="A1500" s="2" t="s">
        <v>3183</v>
      </c>
      <c r="B1500" s="2" t="s">
        <v>51</v>
      </c>
      <c r="C1500" s="2" t="s">
        <v>3184</v>
      </c>
      <c r="D1500" s="2" t="s">
        <v>56</v>
      </c>
      <c r="E1500" s="2" t="s">
        <v>19</v>
      </c>
      <c r="F1500" s="2" t="s">
        <v>57</v>
      </c>
      <c r="G1500" s="2" t="s">
        <v>462</v>
      </c>
      <c r="H1500" s="3">
        <v>45347.479861111111</v>
      </c>
      <c r="I1500" s="3">
        <v>45347.574305555558</v>
      </c>
      <c r="J1500" s="2">
        <v>126</v>
      </c>
      <c r="K1500" s="2">
        <v>136</v>
      </c>
      <c r="L1500" s="2">
        <v>1</v>
      </c>
      <c r="M1500" s="2" t="s">
        <v>41</v>
      </c>
      <c r="N1500" s="2">
        <v>5</v>
      </c>
      <c r="O1500" s="2">
        <v>228.89</v>
      </c>
      <c r="P1500" s="2">
        <f t="shared" si="115"/>
        <v>10</v>
      </c>
      <c r="Q1500" s="4">
        <f t="shared" si="116"/>
        <v>0.92647058823529416</v>
      </c>
      <c r="R1500" s="2" t="str">
        <f t="shared" si="117"/>
        <v>Inefficient</v>
      </c>
      <c r="S1500" s="2" t="str">
        <f t="shared" si="118"/>
        <v>Very Long</v>
      </c>
      <c r="T1500" s="2" t="str">
        <f t="shared" si="119"/>
        <v>Minor Delay</v>
      </c>
    </row>
    <row r="1501" spans="1:20" x14ac:dyDescent="0.35">
      <c r="A1501" s="2" t="s">
        <v>3185</v>
      </c>
      <c r="B1501" s="2" t="s">
        <v>51</v>
      </c>
      <c r="C1501" s="2" t="s">
        <v>3186</v>
      </c>
      <c r="D1501" s="2" t="s">
        <v>56</v>
      </c>
      <c r="E1501" s="2" t="s">
        <v>19</v>
      </c>
      <c r="F1501" s="2" t="s">
        <v>57</v>
      </c>
      <c r="G1501" s="2" t="s">
        <v>79</v>
      </c>
      <c r="H1501" s="3">
        <v>45617.179861111108</v>
      </c>
      <c r="I1501" s="3">
        <v>45617.272916666669</v>
      </c>
      <c r="J1501" s="2">
        <v>43</v>
      </c>
      <c r="K1501" s="2">
        <v>134</v>
      </c>
      <c r="L1501" s="2">
        <v>1</v>
      </c>
      <c r="M1501" s="2" t="s">
        <v>22</v>
      </c>
      <c r="N1501" s="2">
        <v>4</v>
      </c>
      <c r="O1501" s="2">
        <v>278.98</v>
      </c>
      <c r="P1501" s="2">
        <f t="shared" si="115"/>
        <v>91</v>
      </c>
      <c r="Q1501" s="4">
        <f t="shared" si="116"/>
        <v>0.32089552238805968</v>
      </c>
      <c r="R1501" s="2" t="str">
        <f t="shared" si="117"/>
        <v>Inefficient</v>
      </c>
      <c r="S1501" s="2" t="str">
        <f t="shared" si="118"/>
        <v>Very Long</v>
      </c>
      <c r="T1501" s="2" t="str">
        <f t="shared" si="119"/>
        <v>Major Delay</v>
      </c>
    </row>
    <row r="1502" spans="1:20" x14ac:dyDescent="0.35">
      <c r="A1502" s="2" t="s">
        <v>3187</v>
      </c>
      <c r="B1502" s="2" t="s">
        <v>51</v>
      </c>
      <c r="C1502" s="2" t="s">
        <v>3188</v>
      </c>
      <c r="D1502" s="2" t="s">
        <v>56</v>
      </c>
      <c r="E1502" s="2" t="s">
        <v>33</v>
      </c>
      <c r="F1502" s="2" t="s">
        <v>20</v>
      </c>
      <c r="G1502" s="2" t="s">
        <v>58</v>
      </c>
      <c r="H1502" s="3">
        <v>45305.020138888889</v>
      </c>
      <c r="I1502" s="3">
        <v>45305.084027777775</v>
      </c>
      <c r="J1502" s="2">
        <v>15</v>
      </c>
      <c r="K1502" s="2">
        <v>92</v>
      </c>
      <c r="L1502" s="2">
        <v>1</v>
      </c>
      <c r="M1502" s="2" t="s">
        <v>29</v>
      </c>
      <c r="N1502" s="2">
        <v>10</v>
      </c>
      <c r="O1502" s="2">
        <v>304.87</v>
      </c>
      <c r="P1502" s="2">
        <f t="shared" si="115"/>
        <v>77</v>
      </c>
      <c r="Q1502" s="4">
        <f t="shared" si="116"/>
        <v>0.16304347826086957</v>
      </c>
      <c r="R1502" s="2" t="str">
        <f t="shared" si="117"/>
        <v>Inefficient</v>
      </c>
      <c r="S1502" s="2" t="str">
        <f t="shared" si="118"/>
        <v>Long</v>
      </c>
      <c r="T1502" s="2" t="str">
        <f t="shared" si="119"/>
        <v>Major Delay</v>
      </c>
    </row>
    <row r="1503" spans="1:20" x14ac:dyDescent="0.35">
      <c r="A1503" s="2" t="s">
        <v>3189</v>
      </c>
      <c r="B1503" s="2" t="s">
        <v>63</v>
      </c>
      <c r="C1503" s="2" t="s">
        <v>3190</v>
      </c>
      <c r="D1503" s="2" t="s">
        <v>18</v>
      </c>
      <c r="E1503" s="2" t="s">
        <v>85</v>
      </c>
      <c r="F1503" s="2" t="s">
        <v>34</v>
      </c>
      <c r="G1503" s="2" t="s">
        <v>254</v>
      </c>
      <c r="H1503" s="3">
        <v>45310.847222222219</v>
      </c>
      <c r="I1503" s="3">
        <v>45311.004861111112</v>
      </c>
      <c r="J1503" s="2">
        <v>184</v>
      </c>
      <c r="K1503" s="2">
        <v>227</v>
      </c>
      <c r="L1503" s="2">
        <v>1</v>
      </c>
      <c r="M1503" s="2" t="s">
        <v>22</v>
      </c>
      <c r="N1503" s="2">
        <v>2</v>
      </c>
      <c r="O1503" s="2">
        <v>459.3</v>
      </c>
      <c r="P1503" s="2">
        <f t="shared" si="115"/>
        <v>43</v>
      </c>
      <c r="Q1503" s="4">
        <f t="shared" si="116"/>
        <v>0.81057268722466957</v>
      </c>
      <c r="R1503" s="2" t="str">
        <f t="shared" si="117"/>
        <v>Inefficient</v>
      </c>
      <c r="S1503" s="2" t="str">
        <f t="shared" si="118"/>
        <v>Very Long</v>
      </c>
      <c r="T1503" s="2" t="str">
        <f t="shared" si="119"/>
        <v>Major Delay</v>
      </c>
    </row>
    <row r="1504" spans="1:20" x14ac:dyDescent="0.35">
      <c r="A1504" s="2" t="s">
        <v>3191</v>
      </c>
      <c r="B1504" s="2" t="s">
        <v>24</v>
      </c>
      <c r="C1504" s="2" t="s">
        <v>3192</v>
      </c>
      <c r="D1504" s="2" t="s">
        <v>48</v>
      </c>
      <c r="E1504" s="2" t="s">
        <v>85</v>
      </c>
      <c r="F1504" s="2" t="s">
        <v>39</v>
      </c>
      <c r="G1504" s="2" t="s">
        <v>810</v>
      </c>
      <c r="H1504" s="3">
        <v>45582.484027777777</v>
      </c>
      <c r="I1504" s="3">
        <v>45582.618750000001</v>
      </c>
      <c r="J1504" s="2">
        <v>131</v>
      </c>
      <c r="K1504" s="2">
        <v>194</v>
      </c>
      <c r="L1504" s="2">
        <v>1</v>
      </c>
      <c r="M1504" s="2" t="s">
        <v>29</v>
      </c>
      <c r="N1504" s="2">
        <v>10</v>
      </c>
      <c r="O1504" s="2">
        <v>319.18</v>
      </c>
      <c r="P1504" s="2">
        <f t="shared" si="115"/>
        <v>63</v>
      </c>
      <c r="Q1504" s="4">
        <f t="shared" si="116"/>
        <v>0.67525773195876293</v>
      </c>
      <c r="R1504" s="2" t="str">
        <f t="shared" si="117"/>
        <v>Inefficient</v>
      </c>
      <c r="S1504" s="2" t="str">
        <f t="shared" si="118"/>
        <v>Very Long</v>
      </c>
      <c r="T1504" s="2" t="str">
        <f t="shared" si="119"/>
        <v>Major Delay</v>
      </c>
    </row>
    <row r="1505" spans="1:20" x14ac:dyDescent="0.35">
      <c r="A1505" s="2" t="s">
        <v>3193</v>
      </c>
      <c r="B1505" s="2" t="s">
        <v>24</v>
      </c>
      <c r="C1505" s="2" t="s">
        <v>3194</v>
      </c>
      <c r="D1505" s="2" t="s">
        <v>18</v>
      </c>
      <c r="E1505" s="2" t="s">
        <v>38</v>
      </c>
      <c r="F1505" s="2" t="s">
        <v>39</v>
      </c>
      <c r="G1505" s="2" t="s">
        <v>335</v>
      </c>
      <c r="H1505" s="3">
        <v>45592.573611111111</v>
      </c>
      <c r="I1505" s="3">
        <v>45592.714583333334</v>
      </c>
      <c r="J1505" s="2">
        <v>145</v>
      </c>
      <c r="K1505" s="2">
        <v>203</v>
      </c>
      <c r="L1505" s="2">
        <v>1</v>
      </c>
      <c r="M1505" s="2" t="s">
        <v>22</v>
      </c>
      <c r="N1505" s="2">
        <v>7</v>
      </c>
      <c r="O1505" s="2">
        <v>375.76</v>
      </c>
      <c r="P1505" s="2">
        <f t="shared" si="115"/>
        <v>58</v>
      </c>
      <c r="Q1505" s="4">
        <f t="shared" si="116"/>
        <v>0.7142857142857143</v>
      </c>
      <c r="R1505" s="2" t="str">
        <f t="shared" si="117"/>
        <v>Inefficient</v>
      </c>
      <c r="S1505" s="2" t="str">
        <f t="shared" si="118"/>
        <v>Very Long</v>
      </c>
      <c r="T1505" s="2" t="str">
        <f t="shared" si="119"/>
        <v>Major Delay</v>
      </c>
    </row>
    <row r="1506" spans="1:20" x14ac:dyDescent="0.35">
      <c r="A1506" s="2" t="s">
        <v>3195</v>
      </c>
      <c r="B1506" s="2" t="s">
        <v>24</v>
      </c>
      <c r="C1506" s="2" t="s">
        <v>3196</v>
      </c>
      <c r="D1506" s="2" t="s">
        <v>18</v>
      </c>
      <c r="E1506" s="2" t="s">
        <v>19</v>
      </c>
      <c r="F1506" s="2" t="s">
        <v>20</v>
      </c>
      <c r="G1506" s="2" t="s">
        <v>28</v>
      </c>
      <c r="H1506" s="3">
        <v>45324.679166666669</v>
      </c>
      <c r="I1506" s="3">
        <v>45324.754166666666</v>
      </c>
      <c r="J1506" s="2">
        <v>10</v>
      </c>
      <c r="K1506" s="2">
        <v>108</v>
      </c>
      <c r="L1506" s="2">
        <v>1</v>
      </c>
      <c r="M1506" s="2" t="s">
        <v>41</v>
      </c>
      <c r="N1506" s="2">
        <v>9</v>
      </c>
      <c r="O1506" s="2">
        <v>450.48</v>
      </c>
      <c r="P1506" s="2">
        <f t="shared" si="115"/>
        <v>98</v>
      </c>
      <c r="Q1506" s="4">
        <f t="shared" si="116"/>
        <v>9.2592592592592587E-2</v>
      </c>
      <c r="R1506" s="2" t="str">
        <f t="shared" si="117"/>
        <v>Inefficient</v>
      </c>
      <c r="S1506" s="2" t="str">
        <f t="shared" si="118"/>
        <v>Long</v>
      </c>
      <c r="T1506" s="2" t="str">
        <f t="shared" si="119"/>
        <v>Major Delay</v>
      </c>
    </row>
    <row r="1507" spans="1:20" x14ac:dyDescent="0.35">
      <c r="A1507" s="2" t="s">
        <v>3197</v>
      </c>
      <c r="B1507" s="2" t="s">
        <v>63</v>
      </c>
      <c r="C1507" s="2" t="s">
        <v>3198</v>
      </c>
      <c r="D1507" s="2" t="s">
        <v>56</v>
      </c>
      <c r="E1507" s="2" t="s">
        <v>85</v>
      </c>
      <c r="F1507" s="2" t="s">
        <v>20</v>
      </c>
      <c r="G1507" s="2" t="s">
        <v>143</v>
      </c>
      <c r="H1507" s="3">
        <v>45493.241666666669</v>
      </c>
      <c r="I1507" s="3">
        <v>45493.336111111108</v>
      </c>
      <c r="J1507" s="2">
        <v>60</v>
      </c>
      <c r="K1507" s="2">
        <v>136</v>
      </c>
      <c r="L1507" s="2">
        <v>1</v>
      </c>
      <c r="M1507" s="2" t="s">
        <v>29</v>
      </c>
      <c r="N1507" s="2">
        <v>1</v>
      </c>
      <c r="O1507" s="2">
        <v>427.33</v>
      </c>
      <c r="P1507" s="2">
        <f t="shared" si="115"/>
        <v>76</v>
      </c>
      <c r="Q1507" s="4">
        <f t="shared" si="116"/>
        <v>0.44117647058823528</v>
      </c>
      <c r="R1507" s="2" t="str">
        <f t="shared" si="117"/>
        <v>Inefficient</v>
      </c>
      <c r="S1507" s="2" t="str">
        <f t="shared" si="118"/>
        <v>Very Long</v>
      </c>
      <c r="T1507" s="2" t="str">
        <f t="shared" si="119"/>
        <v>Major Delay</v>
      </c>
    </row>
    <row r="1508" spans="1:20" x14ac:dyDescent="0.35">
      <c r="A1508" s="2" t="s">
        <v>3199</v>
      </c>
      <c r="B1508" s="2" t="s">
        <v>24</v>
      </c>
      <c r="C1508" s="2" t="s">
        <v>3200</v>
      </c>
      <c r="D1508" s="2" t="s">
        <v>44</v>
      </c>
      <c r="E1508" s="2" t="s">
        <v>19</v>
      </c>
      <c r="F1508" s="2" t="s">
        <v>27</v>
      </c>
      <c r="G1508" s="2" t="s">
        <v>161</v>
      </c>
      <c r="H1508" s="3">
        <v>45549.655555555553</v>
      </c>
      <c r="I1508" s="3">
        <v>45549.723611111112</v>
      </c>
      <c r="J1508" s="2">
        <v>98</v>
      </c>
      <c r="K1508" s="2">
        <v>98</v>
      </c>
      <c r="L1508" s="2">
        <v>0</v>
      </c>
      <c r="M1508" s="2" t="s">
        <v>22</v>
      </c>
      <c r="N1508" s="2">
        <v>7</v>
      </c>
      <c r="O1508" s="2">
        <v>319.64</v>
      </c>
      <c r="P1508" s="2">
        <f t="shared" si="115"/>
        <v>0</v>
      </c>
      <c r="Q1508" s="4">
        <f t="shared" si="116"/>
        <v>1</v>
      </c>
      <c r="R1508" s="2" t="str">
        <f t="shared" si="117"/>
        <v>On Target</v>
      </c>
      <c r="S1508" s="2" t="str">
        <f t="shared" si="118"/>
        <v>Long</v>
      </c>
      <c r="T1508" s="2" t="str">
        <f t="shared" si="119"/>
        <v>On Time</v>
      </c>
    </row>
    <row r="1509" spans="1:20" x14ac:dyDescent="0.35">
      <c r="A1509" s="2" t="s">
        <v>3201</v>
      </c>
      <c r="B1509" s="2" t="s">
        <v>63</v>
      </c>
      <c r="C1509" s="2" t="s">
        <v>3202</v>
      </c>
      <c r="D1509" s="2" t="s">
        <v>44</v>
      </c>
      <c r="E1509" s="2" t="s">
        <v>19</v>
      </c>
      <c r="F1509" s="2" t="s">
        <v>39</v>
      </c>
      <c r="G1509" s="2" t="s">
        <v>40</v>
      </c>
      <c r="H1509" s="3">
        <v>45339.540972222225</v>
      </c>
      <c r="I1509" s="3">
        <v>45339.707638888889</v>
      </c>
      <c r="J1509" s="2">
        <v>195</v>
      </c>
      <c r="K1509" s="2">
        <v>240</v>
      </c>
      <c r="L1509" s="2">
        <v>1</v>
      </c>
      <c r="M1509" s="2" t="s">
        <v>22</v>
      </c>
      <c r="N1509" s="2">
        <v>3</v>
      </c>
      <c r="O1509" s="2">
        <v>458.5</v>
      </c>
      <c r="P1509" s="2">
        <f t="shared" si="115"/>
        <v>45</v>
      </c>
      <c r="Q1509" s="4">
        <f t="shared" si="116"/>
        <v>0.8125</v>
      </c>
      <c r="R1509" s="2" t="str">
        <f t="shared" si="117"/>
        <v>Inefficient</v>
      </c>
      <c r="S1509" s="2" t="str">
        <f t="shared" si="118"/>
        <v>Very Long</v>
      </c>
      <c r="T1509" s="2" t="str">
        <f t="shared" si="119"/>
        <v>Major Delay</v>
      </c>
    </row>
    <row r="1510" spans="1:20" x14ac:dyDescent="0.35">
      <c r="A1510" s="2" t="s">
        <v>3203</v>
      </c>
      <c r="B1510" s="2" t="s">
        <v>51</v>
      </c>
      <c r="C1510" s="2" t="s">
        <v>3204</v>
      </c>
      <c r="D1510" s="2" t="s">
        <v>26</v>
      </c>
      <c r="E1510" s="2" t="s">
        <v>38</v>
      </c>
      <c r="F1510" s="2" t="s">
        <v>20</v>
      </c>
      <c r="G1510" s="2" t="s">
        <v>100</v>
      </c>
      <c r="H1510" s="3">
        <v>45446.493750000001</v>
      </c>
      <c r="I1510" s="3">
        <v>45446.705555555556</v>
      </c>
      <c r="J1510" s="2">
        <v>239</v>
      </c>
      <c r="K1510" s="2">
        <v>305</v>
      </c>
      <c r="L1510" s="2">
        <v>1</v>
      </c>
      <c r="M1510" s="2" t="s">
        <v>22</v>
      </c>
      <c r="N1510" s="2">
        <v>8</v>
      </c>
      <c r="O1510" s="2">
        <v>158.16999999999999</v>
      </c>
      <c r="P1510" s="2">
        <f t="shared" si="115"/>
        <v>66</v>
      </c>
      <c r="Q1510" s="4">
        <f t="shared" si="116"/>
        <v>0.78360655737704921</v>
      </c>
      <c r="R1510" s="2" t="str">
        <f t="shared" si="117"/>
        <v>Inefficient</v>
      </c>
      <c r="S1510" s="2" t="str">
        <f t="shared" si="118"/>
        <v>Very Long</v>
      </c>
      <c r="T1510" s="2" t="str">
        <f t="shared" si="119"/>
        <v>Major Delay</v>
      </c>
    </row>
    <row r="1511" spans="1:20" x14ac:dyDescent="0.35">
      <c r="A1511" s="2" t="s">
        <v>3205</v>
      </c>
      <c r="B1511" s="2" t="s">
        <v>63</v>
      </c>
      <c r="C1511" s="2" t="s">
        <v>3206</v>
      </c>
      <c r="D1511" s="2" t="s">
        <v>44</v>
      </c>
      <c r="E1511" s="2" t="s">
        <v>38</v>
      </c>
      <c r="F1511" s="2" t="s">
        <v>27</v>
      </c>
      <c r="G1511" s="2" t="s">
        <v>402</v>
      </c>
      <c r="H1511" s="3">
        <v>45399.558333333334</v>
      </c>
      <c r="I1511" s="3">
        <v>45399.703472222223</v>
      </c>
      <c r="J1511" s="2">
        <v>154</v>
      </c>
      <c r="K1511" s="2">
        <v>209</v>
      </c>
      <c r="L1511" s="2">
        <v>1</v>
      </c>
      <c r="M1511" s="2" t="s">
        <v>29</v>
      </c>
      <c r="N1511" s="2">
        <v>8</v>
      </c>
      <c r="O1511" s="2">
        <v>56.21</v>
      </c>
      <c r="P1511" s="2">
        <f t="shared" si="115"/>
        <v>55</v>
      </c>
      <c r="Q1511" s="4">
        <f t="shared" si="116"/>
        <v>0.73684210526315785</v>
      </c>
      <c r="R1511" s="2" t="str">
        <f t="shared" si="117"/>
        <v>Inefficient</v>
      </c>
      <c r="S1511" s="2" t="str">
        <f t="shared" si="118"/>
        <v>Very Long</v>
      </c>
      <c r="T1511" s="2" t="str">
        <f t="shared" si="119"/>
        <v>Major Delay</v>
      </c>
    </row>
    <row r="1512" spans="1:20" x14ac:dyDescent="0.35">
      <c r="A1512" s="2" t="s">
        <v>3207</v>
      </c>
      <c r="B1512" s="2" t="s">
        <v>16</v>
      </c>
      <c r="C1512" s="2" t="s">
        <v>3208</v>
      </c>
      <c r="D1512" s="2" t="s">
        <v>48</v>
      </c>
      <c r="E1512" s="2" t="s">
        <v>19</v>
      </c>
      <c r="F1512" s="2" t="s">
        <v>20</v>
      </c>
      <c r="G1512" s="2" t="s">
        <v>49</v>
      </c>
      <c r="H1512" s="3">
        <v>45470.428472222222</v>
      </c>
      <c r="I1512" s="3">
        <v>45470.604166666664</v>
      </c>
      <c r="J1512" s="2">
        <v>152</v>
      </c>
      <c r="K1512" s="2">
        <v>253</v>
      </c>
      <c r="L1512" s="2">
        <v>1</v>
      </c>
      <c r="M1512" s="2" t="s">
        <v>29</v>
      </c>
      <c r="N1512" s="2">
        <v>4</v>
      </c>
      <c r="O1512" s="2">
        <v>487.29</v>
      </c>
      <c r="P1512" s="2">
        <f t="shared" si="115"/>
        <v>101</v>
      </c>
      <c r="Q1512" s="4">
        <f t="shared" si="116"/>
        <v>0.60079051383399207</v>
      </c>
      <c r="R1512" s="2" t="str">
        <f t="shared" si="117"/>
        <v>Inefficient</v>
      </c>
      <c r="S1512" s="2" t="str">
        <f t="shared" si="118"/>
        <v>Very Long</v>
      </c>
      <c r="T1512" s="2" t="str">
        <f t="shared" si="119"/>
        <v>Major Delay</v>
      </c>
    </row>
    <row r="1513" spans="1:20" x14ac:dyDescent="0.35">
      <c r="A1513" s="2" t="s">
        <v>3209</v>
      </c>
      <c r="B1513" s="2" t="s">
        <v>63</v>
      </c>
      <c r="C1513" s="2" t="s">
        <v>3210</v>
      </c>
      <c r="D1513" s="2" t="s">
        <v>48</v>
      </c>
      <c r="E1513" s="2" t="s">
        <v>85</v>
      </c>
      <c r="F1513" s="2" t="s">
        <v>27</v>
      </c>
      <c r="G1513" s="2" t="s">
        <v>473</v>
      </c>
      <c r="H1513" s="3">
        <v>45334.133333333331</v>
      </c>
      <c r="I1513" s="3">
        <v>45334.194444444445</v>
      </c>
      <c r="J1513" s="2">
        <v>33</v>
      </c>
      <c r="K1513" s="2">
        <v>88</v>
      </c>
      <c r="L1513" s="2">
        <v>1</v>
      </c>
      <c r="M1513" s="2" t="s">
        <v>22</v>
      </c>
      <c r="N1513" s="2">
        <v>9</v>
      </c>
      <c r="O1513" s="2">
        <v>176.84</v>
      </c>
      <c r="P1513" s="2">
        <f t="shared" si="115"/>
        <v>55</v>
      </c>
      <c r="Q1513" s="4">
        <f t="shared" si="116"/>
        <v>0.375</v>
      </c>
      <c r="R1513" s="2" t="str">
        <f t="shared" si="117"/>
        <v>Inefficient</v>
      </c>
      <c r="S1513" s="2" t="str">
        <f t="shared" si="118"/>
        <v>Long</v>
      </c>
      <c r="T1513" s="2" t="str">
        <f t="shared" si="119"/>
        <v>Major Delay</v>
      </c>
    </row>
    <row r="1514" spans="1:20" x14ac:dyDescent="0.35">
      <c r="A1514" s="2" t="s">
        <v>3211</v>
      </c>
      <c r="B1514" s="2" t="s">
        <v>51</v>
      </c>
      <c r="C1514" s="2" t="s">
        <v>3212</v>
      </c>
      <c r="D1514" s="2" t="s">
        <v>56</v>
      </c>
      <c r="E1514" s="2" t="s">
        <v>33</v>
      </c>
      <c r="F1514" s="2" t="s">
        <v>57</v>
      </c>
      <c r="G1514" s="2" t="s">
        <v>749</v>
      </c>
      <c r="H1514" s="3">
        <v>45589.128472222219</v>
      </c>
      <c r="I1514" s="3">
        <v>45589.277083333334</v>
      </c>
      <c r="J1514" s="2">
        <v>211</v>
      </c>
      <c r="K1514" s="2">
        <v>214</v>
      </c>
      <c r="L1514" s="2">
        <v>1</v>
      </c>
      <c r="M1514" s="2" t="s">
        <v>41</v>
      </c>
      <c r="N1514" s="2">
        <v>9</v>
      </c>
      <c r="O1514" s="2">
        <v>244.16</v>
      </c>
      <c r="P1514" s="2">
        <f t="shared" si="115"/>
        <v>3</v>
      </c>
      <c r="Q1514" s="4">
        <f t="shared" si="116"/>
        <v>0.98598130841121501</v>
      </c>
      <c r="R1514" s="2" t="str">
        <f t="shared" si="117"/>
        <v>Inefficient</v>
      </c>
      <c r="S1514" s="2" t="str">
        <f t="shared" si="118"/>
        <v>Very Long</v>
      </c>
      <c r="T1514" s="2" t="str">
        <f t="shared" si="119"/>
        <v>Minor Delay</v>
      </c>
    </row>
    <row r="1515" spans="1:20" x14ac:dyDescent="0.35">
      <c r="A1515" s="2" t="s">
        <v>3213</v>
      </c>
      <c r="B1515" s="2" t="s">
        <v>24</v>
      </c>
      <c r="C1515" s="2" t="s">
        <v>3214</v>
      </c>
      <c r="D1515" s="2" t="s">
        <v>48</v>
      </c>
      <c r="E1515" s="2" t="s">
        <v>38</v>
      </c>
      <c r="F1515" s="2" t="s">
        <v>34</v>
      </c>
      <c r="G1515" s="2" t="s">
        <v>185</v>
      </c>
      <c r="H1515" s="3">
        <v>45365.740277777775</v>
      </c>
      <c r="I1515" s="3">
        <v>45365.839583333334</v>
      </c>
      <c r="J1515" s="2">
        <v>72</v>
      </c>
      <c r="K1515" s="2">
        <v>143</v>
      </c>
      <c r="L1515" s="2">
        <v>1</v>
      </c>
      <c r="M1515" s="2" t="s">
        <v>22</v>
      </c>
      <c r="N1515" s="2">
        <v>5</v>
      </c>
      <c r="O1515" s="2">
        <v>228.27</v>
      </c>
      <c r="P1515" s="2">
        <f t="shared" si="115"/>
        <v>71</v>
      </c>
      <c r="Q1515" s="4">
        <f t="shared" si="116"/>
        <v>0.50349650349650354</v>
      </c>
      <c r="R1515" s="2" t="str">
        <f t="shared" si="117"/>
        <v>Inefficient</v>
      </c>
      <c r="S1515" s="2" t="str">
        <f t="shared" si="118"/>
        <v>Very Long</v>
      </c>
      <c r="T1515" s="2" t="str">
        <f t="shared" si="119"/>
        <v>Major Delay</v>
      </c>
    </row>
    <row r="1516" spans="1:20" x14ac:dyDescent="0.35">
      <c r="A1516" s="2" t="s">
        <v>3215</v>
      </c>
      <c r="B1516" s="2" t="s">
        <v>16</v>
      </c>
      <c r="C1516" s="2" t="s">
        <v>3216</v>
      </c>
      <c r="D1516" s="2" t="s">
        <v>18</v>
      </c>
      <c r="E1516" s="2" t="s">
        <v>85</v>
      </c>
      <c r="F1516" s="2" t="s">
        <v>39</v>
      </c>
      <c r="G1516" s="2" t="s">
        <v>167</v>
      </c>
      <c r="H1516" s="3">
        <v>45478.136111111111</v>
      </c>
      <c r="I1516" s="3">
        <v>45478.234722222223</v>
      </c>
      <c r="J1516" s="2">
        <v>105</v>
      </c>
      <c r="K1516" s="2">
        <v>142</v>
      </c>
      <c r="L1516" s="2">
        <v>1</v>
      </c>
      <c r="M1516" s="2" t="s">
        <v>29</v>
      </c>
      <c r="N1516" s="2">
        <v>3</v>
      </c>
      <c r="O1516" s="2">
        <v>153.19999999999999</v>
      </c>
      <c r="P1516" s="2">
        <f t="shared" si="115"/>
        <v>37</v>
      </c>
      <c r="Q1516" s="4">
        <f t="shared" si="116"/>
        <v>0.73943661971830987</v>
      </c>
      <c r="R1516" s="2" t="str">
        <f t="shared" si="117"/>
        <v>Inefficient</v>
      </c>
      <c r="S1516" s="2" t="str">
        <f t="shared" si="118"/>
        <v>Very Long</v>
      </c>
      <c r="T1516" s="2" t="str">
        <f t="shared" si="119"/>
        <v>Major Delay</v>
      </c>
    </row>
    <row r="1517" spans="1:20" x14ac:dyDescent="0.35">
      <c r="A1517" s="2" t="s">
        <v>3217</v>
      </c>
      <c r="B1517" s="2" t="s">
        <v>63</v>
      </c>
      <c r="C1517" s="2" t="s">
        <v>3218</v>
      </c>
      <c r="D1517" s="2" t="s">
        <v>26</v>
      </c>
      <c r="E1517" s="2" t="s">
        <v>33</v>
      </c>
      <c r="F1517" s="2" t="s">
        <v>27</v>
      </c>
      <c r="G1517" s="2" t="s">
        <v>1125</v>
      </c>
      <c r="H1517" s="3">
        <v>45541.811805555553</v>
      </c>
      <c r="I1517" s="3">
        <v>45541.984027777777</v>
      </c>
      <c r="J1517" s="2">
        <v>173</v>
      </c>
      <c r="K1517" s="2">
        <v>248</v>
      </c>
      <c r="L1517" s="2">
        <v>1</v>
      </c>
      <c r="M1517" s="2" t="s">
        <v>22</v>
      </c>
      <c r="N1517" s="2">
        <v>7</v>
      </c>
      <c r="O1517" s="2">
        <v>420.38</v>
      </c>
      <c r="P1517" s="2">
        <f t="shared" si="115"/>
        <v>75</v>
      </c>
      <c r="Q1517" s="4">
        <f t="shared" si="116"/>
        <v>0.69758064516129037</v>
      </c>
      <c r="R1517" s="2" t="str">
        <f t="shared" si="117"/>
        <v>Inefficient</v>
      </c>
      <c r="S1517" s="2" t="str">
        <f t="shared" si="118"/>
        <v>Very Long</v>
      </c>
      <c r="T1517" s="2" t="str">
        <f t="shared" si="119"/>
        <v>Major Delay</v>
      </c>
    </row>
    <row r="1518" spans="1:20" x14ac:dyDescent="0.35">
      <c r="A1518" s="2" t="s">
        <v>3219</v>
      </c>
      <c r="B1518" s="2" t="s">
        <v>31</v>
      </c>
      <c r="C1518" s="2" t="s">
        <v>3220</v>
      </c>
      <c r="D1518" s="2" t="s">
        <v>18</v>
      </c>
      <c r="E1518" s="2" t="s">
        <v>33</v>
      </c>
      <c r="F1518" s="2" t="s">
        <v>34</v>
      </c>
      <c r="G1518" s="2" t="s">
        <v>293</v>
      </c>
      <c r="H1518" s="3">
        <v>45460.482638888891</v>
      </c>
      <c r="I1518" s="3">
        <v>45460.623611111114</v>
      </c>
      <c r="J1518" s="2">
        <v>132</v>
      </c>
      <c r="K1518" s="2">
        <v>203</v>
      </c>
      <c r="L1518" s="2">
        <v>1</v>
      </c>
      <c r="M1518" s="2" t="s">
        <v>22</v>
      </c>
      <c r="N1518" s="2">
        <v>7</v>
      </c>
      <c r="O1518" s="2">
        <v>85.75</v>
      </c>
      <c r="P1518" s="2">
        <f t="shared" si="115"/>
        <v>71</v>
      </c>
      <c r="Q1518" s="4">
        <f t="shared" si="116"/>
        <v>0.65024630541871919</v>
      </c>
      <c r="R1518" s="2" t="str">
        <f t="shared" si="117"/>
        <v>Inefficient</v>
      </c>
      <c r="S1518" s="2" t="str">
        <f t="shared" si="118"/>
        <v>Very Long</v>
      </c>
      <c r="T1518" s="2" t="str">
        <f t="shared" si="119"/>
        <v>Major Delay</v>
      </c>
    </row>
    <row r="1519" spans="1:20" x14ac:dyDescent="0.35">
      <c r="A1519" s="2" t="s">
        <v>3221</v>
      </c>
      <c r="B1519" s="2" t="s">
        <v>51</v>
      </c>
      <c r="C1519" s="2" t="s">
        <v>3222</v>
      </c>
      <c r="D1519" s="2" t="s">
        <v>18</v>
      </c>
      <c r="E1519" s="2" t="s">
        <v>38</v>
      </c>
      <c r="F1519" s="2" t="s">
        <v>20</v>
      </c>
      <c r="G1519" s="2" t="s">
        <v>505</v>
      </c>
      <c r="H1519" s="3">
        <v>45492.984722222223</v>
      </c>
      <c r="I1519" s="3">
        <v>45493.134027777778</v>
      </c>
      <c r="J1519" s="2">
        <v>123</v>
      </c>
      <c r="K1519" s="2">
        <v>215</v>
      </c>
      <c r="L1519" s="2">
        <v>1</v>
      </c>
      <c r="M1519" s="2" t="s">
        <v>22</v>
      </c>
      <c r="N1519" s="2">
        <v>10</v>
      </c>
      <c r="O1519" s="2">
        <v>402.94</v>
      </c>
      <c r="P1519" s="2">
        <f t="shared" si="115"/>
        <v>92</v>
      </c>
      <c r="Q1519" s="4">
        <f t="shared" si="116"/>
        <v>0.5720930232558139</v>
      </c>
      <c r="R1519" s="2" t="str">
        <f t="shared" si="117"/>
        <v>Inefficient</v>
      </c>
      <c r="S1519" s="2" t="str">
        <f t="shared" si="118"/>
        <v>Very Long</v>
      </c>
      <c r="T1519" s="2" t="str">
        <f t="shared" si="119"/>
        <v>Major Delay</v>
      </c>
    </row>
    <row r="1520" spans="1:20" x14ac:dyDescent="0.35">
      <c r="A1520" s="2" t="s">
        <v>3223</v>
      </c>
      <c r="B1520" s="2" t="s">
        <v>16</v>
      </c>
      <c r="C1520" s="2" t="s">
        <v>3224</v>
      </c>
      <c r="D1520" s="2" t="s">
        <v>56</v>
      </c>
      <c r="E1520" s="2" t="s">
        <v>33</v>
      </c>
      <c r="F1520" s="2" t="s">
        <v>39</v>
      </c>
      <c r="G1520" s="2" t="s">
        <v>194</v>
      </c>
      <c r="H1520" s="3">
        <v>45503.689583333333</v>
      </c>
      <c r="I1520" s="3">
        <v>45503.789583333331</v>
      </c>
      <c r="J1520" s="2">
        <v>132</v>
      </c>
      <c r="K1520" s="2">
        <v>144</v>
      </c>
      <c r="L1520" s="2">
        <v>1</v>
      </c>
      <c r="M1520" s="2" t="s">
        <v>22</v>
      </c>
      <c r="N1520" s="2">
        <v>5</v>
      </c>
      <c r="O1520" s="2">
        <v>326.5</v>
      </c>
      <c r="P1520" s="2">
        <f t="shared" si="115"/>
        <v>12</v>
      </c>
      <c r="Q1520" s="4">
        <f t="shared" si="116"/>
        <v>0.91666666666666663</v>
      </c>
      <c r="R1520" s="2" t="str">
        <f t="shared" si="117"/>
        <v>Inefficient</v>
      </c>
      <c r="S1520" s="2" t="str">
        <f t="shared" si="118"/>
        <v>Very Long</v>
      </c>
      <c r="T1520" s="2" t="str">
        <f t="shared" si="119"/>
        <v>Minor Delay</v>
      </c>
    </row>
    <row r="1521" spans="1:20" x14ac:dyDescent="0.35">
      <c r="A1521" s="2" t="s">
        <v>3225</v>
      </c>
      <c r="B1521" s="2" t="s">
        <v>63</v>
      </c>
      <c r="C1521" s="2" t="s">
        <v>3226</v>
      </c>
      <c r="D1521" s="2" t="s">
        <v>44</v>
      </c>
      <c r="E1521" s="2" t="s">
        <v>38</v>
      </c>
      <c r="F1521" s="2" t="s">
        <v>39</v>
      </c>
      <c r="G1521" s="2" t="s">
        <v>40</v>
      </c>
      <c r="H1521" s="3">
        <v>45589.03125</v>
      </c>
      <c r="I1521" s="3">
        <v>45589.140277777777</v>
      </c>
      <c r="J1521" s="2">
        <v>122</v>
      </c>
      <c r="K1521" s="2">
        <v>157</v>
      </c>
      <c r="L1521" s="2">
        <v>1</v>
      </c>
      <c r="M1521" s="2" t="s">
        <v>29</v>
      </c>
      <c r="N1521" s="2">
        <v>3</v>
      </c>
      <c r="O1521" s="2">
        <v>176.2</v>
      </c>
      <c r="P1521" s="2">
        <f t="shared" si="115"/>
        <v>35</v>
      </c>
      <c r="Q1521" s="4">
        <f t="shared" si="116"/>
        <v>0.77707006369426757</v>
      </c>
      <c r="R1521" s="2" t="str">
        <f t="shared" si="117"/>
        <v>Inefficient</v>
      </c>
      <c r="S1521" s="2" t="str">
        <f t="shared" si="118"/>
        <v>Very Long</v>
      </c>
      <c r="T1521" s="2" t="str">
        <f t="shared" si="119"/>
        <v>Major Delay</v>
      </c>
    </row>
    <row r="1522" spans="1:20" x14ac:dyDescent="0.35">
      <c r="A1522" s="2" t="s">
        <v>3227</v>
      </c>
      <c r="B1522" s="2" t="s">
        <v>51</v>
      </c>
      <c r="C1522" s="2" t="s">
        <v>3228</v>
      </c>
      <c r="D1522" s="2" t="s">
        <v>18</v>
      </c>
      <c r="E1522" s="2" t="s">
        <v>33</v>
      </c>
      <c r="F1522" s="2" t="s">
        <v>27</v>
      </c>
      <c r="G1522" s="2" t="s">
        <v>143</v>
      </c>
      <c r="H1522" s="3">
        <v>45636.540277777778</v>
      </c>
      <c r="I1522" s="3">
        <v>45636.616666666669</v>
      </c>
      <c r="J1522" s="2">
        <v>61</v>
      </c>
      <c r="K1522" s="2">
        <v>110</v>
      </c>
      <c r="L1522" s="2">
        <v>1</v>
      </c>
      <c r="M1522" s="2" t="s">
        <v>29</v>
      </c>
      <c r="N1522" s="2">
        <v>10</v>
      </c>
      <c r="O1522" s="2">
        <v>484.38</v>
      </c>
      <c r="P1522" s="2">
        <f t="shared" si="115"/>
        <v>49</v>
      </c>
      <c r="Q1522" s="4">
        <f t="shared" si="116"/>
        <v>0.55454545454545456</v>
      </c>
      <c r="R1522" s="2" t="str">
        <f t="shared" si="117"/>
        <v>Inefficient</v>
      </c>
      <c r="S1522" s="2" t="str">
        <f t="shared" si="118"/>
        <v>Long</v>
      </c>
      <c r="T1522" s="2" t="str">
        <f t="shared" si="119"/>
        <v>Major Delay</v>
      </c>
    </row>
    <row r="1523" spans="1:20" x14ac:dyDescent="0.35">
      <c r="A1523" s="2" t="s">
        <v>3229</v>
      </c>
      <c r="B1523" s="2" t="s">
        <v>31</v>
      </c>
      <c r="C1523" s="2" t="s">
        <v>3230</v>
      </c>
      <c r="D1523" s="2" t="s">
        <v>48</v>
      </c>
      <c r="E1523" s="2" t="s">
        <v>85</v>
      </c>
      <c r="F1523" s="2" t="s">
        <v>20</v>
      </c>
      <c r="G1523" s="2" t="s">
        <v>103</v>
      </c>
      <c r="H1523" s="3">
        <v>45611.523611111108</v>
      </c>
      <c r="I1523" s="3">
        <v>45611.715277777781</v>
      </c>
      <c r="J1523" s="2">
        <v>170</v>
      </c>
      <c r="K1523" s="2">
        <v>276</v>
      </c>
      <c r="L1523" s="2">
        <v>1</v>
      </c>
      <c r="M1523" s="2" t="s">
        <v>41</v>
      </c>
      <c r="N1523" s="2">
        <v>4</v>
      </c>
      <c r="O1523" s="2">
        <v>280.87</v>
      </c>
      <c r="P1523" s="2">
        <f t="shared" si="115"/>
        <v>106</v>
      </c>
      <c r="Q1523" s="4">
        <f t="shared" si="116"/>
        <v>0.61594202898550721</v>
      </c>
      <c r="R1523" s="2" t="str">
        <f t="shared" si="117"/>
        <v>Inefficient</v>
      </c>
      <c r="S1523" s="2" t="str">
        <f t="shared" si="118"/>
        <v>Very Long</v>
      </c>
      <c r="T1523" s="2" t="str">
        <f t="shared" si="119"/>
        <v>Major Delay</v>
      </c>
    </row>
    <row r="1524" spans="1:20" x14ac:dyDescent="0.35">
      <c r="A1524" s="2" t="s">
        <v>3231</v>
      </c>
      <c r="B1524" s="2" t="s">
        <v>16</v>
      </c>
      <c r="C1524" s="2" t="s">
        <v>3232</v>
      </c>
      <c r="D1524" s="2" t="s">
        <v>48</v>
      </c>
      <c r="E1524" s="2" t="s">
        <v>85</v>
      </c>
      <c r="F1524" s="2" t="s">
        <v>39</v>
      </c>
      <c r="G1524" s="2" t="s">
        <v>810</v>
      </c>
      <c r="H1524" s="3">
        <v>45496.513194444444</v>
      </c>
      <c r="I1524" s="3">
        <v>45496.615277777775</v>
      </c>
      <c r="J1524" s="2">
        <v>38</v>
      </c>
      <c r="K1524" s="2">
        <v>147</v>
      </c>
      <c r="L1524" s="2">
        <v>1</v>
      </c>
      <c r="M1524" s="2" t="s">
        <v>41</v>
      </c>
      <c r="N1524" s="2">
        <v>3</v>
      </c>
      <c r="O1524" s="2">
        <v>133.36000000000001</v>
      </c>
      <c r="P1524" s="2">
        <f t="shared" si="115"/>
        <v>109</v>
      </c>
      <c r="Q1524" s="4">
        <f t="shared" si="116"/>
        <v>0.25850340136054423</v>
      </c>
      <c r="R1524" s="2" t="str">
        <f t="shared" si="117"/>
        <v>Inefficient</v>
      </c>
      <c r="S1524" s="2" t="str">
        <f t="shared" si="118"/>
        <v>Very Long</v>
      </c>
      <c r="T1524" s="2" t="str">
        <f t="shared" si="119"/>
        <v>Major Delay</v>
      </c>
    </row>
    <row r="1525" spans="1:20" x14ac:dyDescent="0.35">
      <c r="A1525" s="2" t="s">
        <v>3233</v>
      </c>
      <c r="B1525" s="2" t="s">
        <v>51</v>
      </c>
      <c r="C1525" s="2" t="s">
        <v>3234</v>
      </c>
      <c r="D1525" s="2" t="s">
        <v>48</v>
      </c>
      <c r="E1525" s="2" t="s">
        <v>19</v>
      </c>
      <c r="F1525" s="2" t="s">
        <v>34</v>
      </c>
      <c r="G1525" s="2" t="s">
        <v>191</v>
      </c>
      <c r="H1525" s="3">
        <v>45626.232638888891</v>
      </c>
      <c r="I1525" s="3">
        <v>45626.310416666667</v>
      </c>
      <c r="J1525" s="2">
        <v>67</v>
      </c>
      <c r="K1525" s="2">
        <v>112</v>
      </c>
      <c r="L1525" s="2">
        <v>1</v>
      </c>
      <c r="M1525" s="2" t="s">
        <v>29</v>
      </c>
      <c r="N1525" s="2">
        <v>8</v>
      </c>
      <c r="O1525" s="2">
        <v>348.42</v>
      </c>
      <c r="P1525" s="2">
        <f t="shared" si="115"/>
        <v>45</v>
      </c>
      <c r="Q1525" s="4">
        <f t="shared" si="116"/>
        <v>0.5982142857142857</v>
      </c>
      <c r="R1525" s="2" t="str">
        <f t="shared" si="117"/>
        <v>Inefficient</v>
      </c>
      <c r="S1525" s="2" t="str">
        <f t="shared" si="118"/>
        <v>Long</v>
      </c>
      <c r="T1525" s="2" t="str">
        <f t="shared" si="119"/>
        <v>Major Delay</v>
      </c>
    </row>
    <row r="1526" spans="1:20" x14ac:dyDescent="0.35">
      <c r="A1526" s="2" t="s">
        <v>3235</v>
      </c>
      <c r="B1526" s="2" t="s">
        <v>51</v>
      </c>
      <c r="C1526" s="2" t="s">
        <v>3236</v>
      </c>
      <c r="D1526" s="2" t="s">
        <v>56</v>
      </c>
      <c r="E1526" s="2" t="s">
        <v>33</v>
      </c>
      <c r="F1526" s="2" t="s">
        <v>27</v>
      </c>
      <c r="G1526" s="2" t="s">
        <v>114</v>
      </c>
      <c r="H1526" s="3">
        <v>45557.941666666666</v>
      </c>
      <c r="I1526" s="3">
        <v>45558.140277777777</v>
      </c>
      <c r="J1526" s="2">
        <v>218</v>
      </c>
      <c r="K1526" s="2">
        <v>286</v>
      </c>
      <c r="L1526" s="2">
        <v>1</v>
      </c>
      <c r="M1526" s="2" t="s">
        <v>22</v>
      </c>
      <c r="N1526" s="2">
        <v>2</v>
      </c>
      <c r="O1526" s="2">
        <v>137.81</v>
      </c>
      <c r="P1526" s="2">
        <f t="shared" si="115"/>
        <v>68</v>
      </c>
      <c r="Q1526" s="4">
        <f t="shared" si="116"/>
        <v>0.76223776223776218</v>
      </c>
      <c r="R1526" s="2" t="str">
        <f t="shared" si="117"/>
        <v>Inefficient</v>
      </c>
      <c r="S1526" s="2" t="str">
        <f t="shared" si="118"/>
        <v>Very Long</v>
      </c>
      <c r="T1526" s="2" t="str">
        <f t="shared" si="119"/>
        <v>Major Delay</v>
      </c>
    </row>
    <row r="1527" spans="1:20" x14ac:dyDescent="0.35">
      <c r="A1527" s="2" t="s">
        <v>3237</v>
      </c>
      <c r="B1527" s="2" t="s">
        <v>63</v>
      </c>
      <c r="C1527" s="2" t="s">
        <v>3238</v>
      </c>
      <c r="D1527" s="2" t="s">
        <v>44</v>
      </c>
      <c r="E1527" s="2" t="s">
        <v>85</v>
      </c>
      <c r="F1527" s="2" t="s">
        <v>39</v>
      </c>
      <c r="G1527" s="2" t="s">
        <v>234</v>
      </c>
      <c r="H1527" s="3">
        <v>45451.984027777777</v>
      </c>
      <c r="I1527" s="3">
        <v>45452.134027777778</v>
      </c>
      <c r="J1527" s="2">
        <v>109</v>
      </c>
      <c r="K1527" s="2">
        <v>216</v>
      </c>
      <c r="L1527" s="2">
        <v>1</v>
      </c>
      <c r="M1527" s="2" t="s">
        <v>22</v>
      </c>
      <c r="N1527" s="2">
        <v>3</v>
      </c>
      <c r="O1527" s="2">
        <v>495.57</v>
      </c>
      <c r="P1527" s="2">
        <f t="shared" si="115"/>
        <v>107</v>
      </c>
      <c r="Q1527" s="4">
        <f t="shared" si="116"/>
        <v>0.50462962962962965</v>
      </c>
      <c r="R1527" s="2" t="str">
        <f t="shared" si="117"/>
        <v>Inefficient</v>
      </c>
      <c r="S1527" s="2" t="str">
        <f t="shared" si="118"/>
        <v>Very Long</v>
      </c>
      <c r="T1527" s="2" t="str">
        <f t="shared" si="119"/>
        <v>Major Delay</v>
      </c>
    </row>
    <row r="1528" spans="1:20" x14ac:dyDescent="0.35">
      <c r="A1528" s="2" t="s">
        <v>3239</v>
      </c>
      <c r="B1528" s="2" t="s">
        <v>31</v>
      </c>
      <c r="C1528" s="2" t="s">
        <v>3240</v>
      </c>
      <c r="D1528" s="2" t="s">
        <v>18</v>
      </c>
      <c r="E1528" s="2" t="s">
        <v>38</v>
      </c>
      <c r="F1528" s="2" t="s">
        <v>39</v>
      </c>
      <c r="G1528" s="2" t="s">
        <v>676</v>
      </c>
      <c r="H1528" s="3">
        <v>45300.669444444444</v>
      </c>
      <c r="I1528" s="3">
        <v>45300.795138888891</v>
      </c>
      <c r="J1528" s="2">
        <v>87</v>
      </c>
      <c r="K1528" s="2">
        <v>181</v>
      </c>
      <c r="L1528" s="2">
        <v>1</v>
      </c>
      <c r="M1528" s="2" t="s">
        <v>22</v>
      </c>
      <c r="N1528" s="2">
        <v>5</v>
      </c>
      <c r="O1528" s="2">
        <v>413.88</v>
      </c>
      <c r="P1528" s="2">
        <f t="shared" si="115"/>
        <v>94</v>
      </c>
      <c r="Q1528" s="4">
        <f t="shared" si="116"/>
        <v>0.48066298342541436</v>
      </c>
      <c r="R1528" s="2" t="str">
        <f t="shared" si="117"/>
        <v>Inefficient</v>
      </c>
      <c r="S1528" s="2" t="str">
        <f t="shared" si="118"/>
        <v>Very Long</v>
      </c>
      <c r="T1528" s="2" t="str">
        <f t="shared" si="119"/>
        <v>Major Delay</v>
      </c>
    </row>
    <row r="1529" spans="1:20" x14ac:dyDescent="0.35">
      <c r="A1529" s="2" t="s">
        <v>3241</v>
      </c>
      <c r="B1529" s="2" t="s">
        <v>51</v>
      </c>
      <c r="C1529" s="2" t="s">
        <v>3242</v>
      </c>
      <c r="D1529" s="2" t="s">
        <v>26</v>
      </c>
      <c r="E1529" s="2" t="s">
        <v>38</v>
      </c>
      <c r="F1529" s="2" t="s">
        <v>57</v>
      </c>
      <c r="G1529" s="2" t="s">
        <v>108</v>
      </c>
      <c r="H1529" s="3">
        <v>45410.20416666667</v>
      </c>
      <c r="I1529" s="3">
        <v>45410.276388888888</v>
      </c>
      <c r="J1529" s="2">
        <v>102</v>
      </c>
      <c r="K1529" s="2">
        <v>104</v>
      </c>
      <c r="L1529" s="2">
        <v>1</v>
      </c>
      <c r="M1529" s="2" t="s">
        <v>41</v>
      </c>
      <c r="N1529" s="2">
        <v>7</v>
      </c>
      <c r="O1529" s="2">
        <v>182.85</v>
      </c>
      <c r="P1529" s="2">
        <f t="shared" si="115"/>
        <v>2</v>
      </c>
      <c r="Q1529" s="4">
        <f t="shared" si="116"/>
        <v>0.98076923076923073</v>
      </c>
      <c r="R1529" s="2" t="str">
        <f t="shared" si="117"/>
        <v>Inefficient</v>
      </c>
      <c r="S1529" s="2" t="str">
        <f t="shared" si="118"/>
        <v>Long</v>
      </c>
      <c r="T1529" s="2" t="str">
        <f t="shared" si="119"/>
        <v>Minor Delay</v>
      </c>
    </row>
    <row r="1530" spans="1:20" x14ac:dyDescent="0.35">
      <c r="A1530" s="2" t="s">
        <v>3243</v>
      </c>
      <c r="B1530" s="2" t="s">
        <v>63</v>
      </c>
      <c r="C1530" s="2" t="s">
        <v>3244</v>
      </c>
      <c r="D1530" s="2" t="s">
        <v>48</v>
      </c>
      <c r="E1530" s="2" t="s">
        <v>38</v>
      </c>
      <c r="F1530" s="2" t="s">
        <v>20</v>
      </c>
      <c r="G1530" s="2" t="s">
        <v>988</v>
      </c>
      <c r="H1530" s="3">
        <v>45514.196527777778</v>
      </c>
      <c r="I1530" s="3">
        <v>45514.394444444442</v>
      </c>
      <c r="J1530" s="2">
        <v>239</v>
      </c>
      <c r="K1530" s="2">
        <v>285</v>
      </c>
      <c r="L1530" s="2">
        <v>1</v>
      </c>
      <c r="M1530" s="2" t="s">
        <v>41</v>
      </c>
      <c r="N1530" s="2">
        <v>5</v>
      </c>
      <c r="O1530" s="2">
        <v>64.7</v>
      </c>
      <c r="P1530" s="2">
        <f t="shared" si="115"/>
        <v>46</v>
      </c>
      <c r="Q1530" s="4">
        <f t="shared" si="116"/>
        <v>0.83859649122807023</v>
      </c>
      <c r="R1530" s="2" t="str">
        <f t="shared" si="117"/>
        <v>Inefficient</v>
      </c>
      <c r="S1530" s="2" t="str">
        <f t="shared" si="118"/>
        <v>Very Long</v>
      </c>
      <c r="T1530" s="2" t="str">
        <f t="shared" si="119"/>
        <v>Major Delay</v>
      </c>
    </row>
    <row r="1531" spans="1:20" x14ac:dyDescent="0.35">
      <c r="A1531" s="2" t="s">
        <v>3245</v>
      </c>
      <c r="B1531" s="2" t="s">
        <v>24</v>
      </c>
      <c r="C1531" s="2" t="s">
        <v>3246</v>
      </c>
      <c r="D1531" s="2" t="s">
        <v>26</v>
      </c>
      <c r="E1531" s="2" t="s">
        <v>19</v>
      </c>
      <c r="F1531" s="2" t="s">
        <v>20</v>
      </c>
      <c r="G1531" s="2" t="s">
        <v>251</v>
      </c>
      <c r="H1531" s="3">
        <v>45332.28402777778</v>
      </c>
      <c r="I1531" s="3">
        <v>45332.438194444447</v>
      </c>
      <c r="J1531" s="2">
        <v>115</v>
      </c>
      <c r="K1531" s="2">
        <v>222</v>
      </c>
      <c r="L1531" s="2">
        <v>1</v>
      </c>
      <c r="M1531" s="2" t="s">
        <v>41</v>
      </c>
      <c r="N1531" s="2">
        <v>5</v>
      </c>
      <c r="O1531" s="2">
        <v>359.56</v>
      </c>
      <c r="P1531" s="2">
        <f t="shared" si="115"/>
        <v>107</v>
      </c>
      <c r="Q1531" s="4">
        <f t="shared" si="116"/>
        <v>0.51801801801801806</v>
      </c>
      <c r="R1531" s="2" t="str">
        <f t="shared" si="117"/>
        <v>Inefficient</v>
      </c>
      <c r="S1531" s="2" t="str">
        <f t="shared" si="118"/>
        <v>Very Long</v>
      </c>
      <c r="T1531" s="2" t="str">
        <f t="shared" si="119"/>
        <v>Major Delay</v>
      </c>
    </row>
    <row r="1532" spans="1:20" x14ac:dyDescent="0.35">
      <c r="A1532" s="2" t="s">
        <v>3247</v>
      </c>
      <c r="B1532" s="2" t="s">
        <v>63</v>
      </c>
      <c r="C1532" s="2" t="s">
        <v>3248</v>
      </c>
      <c r="D1532" s="2" t="s">
        <v>26</v>
      </c>
      <c r="E1532" s="2" t="s">
        <v>85</v>
      </c>
      <c r="F1532" s="2" t="s">
        <v>27</v>
      </c>
      <c r="G1532" s="2" t="s">
        <v>853</v>
      </c>
      <c r="H1532" s="3">
        <v>45329.034722222219</v>
      </c>
      <c r="I1532" s="3">
        <v>45329.09652777778</v>
      </c>
      <c r="J1532" s="2">
        <v>20</v>
      </c>
      <c r="K1532" s="2">
        <v>89</v>
      </c>
      <c r="L1532" s="2">
        <v>1</v>
      </c>
      <c r="M1532" s="2" t="s">
        <v>41</v>
      </c>
      <c r="N1532" s="2">
        <v>9</v>
      </c>
      <c r="O1532" s="2">
        <v>336.35</v>
      </c>
      <c r="P1532" s="2">
        <f t="shared" si="115"/>
        <v>69</v>
      </c>
      <c r="Q1532" s="4">
        <f t="shared" si="116"/>
        <v>0.2247191011235955</v>
      </c>
      <c r="R1532" s="2" t="str">
        <f t="shared" si="117"/>
        <v>Inefficient</v>
      </c>
      <c r="S1532" s="2" t="str">
        <f t="shared" si="118"/>
        <v>Long</v>
      </c>
      <c r="T1532" s="2" t="str">
        <f t="shared" si="119"/>
        <v>Major Delay</v>
      </c>
    </row>
    <row r="1533" spans="1:20" x14ac:dyDescent="0.35">
      <c r="A1533" s="2" t="s">
        <v>3249</v>
      </c>
      <c r="B1533" s="2" t="s">
        <v>24</v>
      </c>
      <c r="C1533" s="2" t="s">
        <v>3250</v>
      </c>
      <c r="D1533" s="2" t="s">
        <v>18</v>
      </c>
      <c r="E1533" s="2" t="s">
        <v>19</v>
      </c>
      <c r="F1533" s="2" t="s">
        <v>20</v>
      </c>
      <c r="G1533" s="2" t="s">
        <v>521</v>
      </c>
      <c r="H1533" s="3">
        <v>45304.771527777775</v>
      </c>
      <c r="I1533" s="3">
        <v>45304.879861111112</v>
      </c>
      <c r="J1533" s="2">
        <v>82</v>
      </c>
      <c r="K1533" s="2">
        <v>156</v>
      </c>
      <c r="L1533" s="2">
        <v>1</v>
      </c>
      <c r="M1533" s="2" t="s">
        <v>41</v>
      </c>
      <c r="N1533" s="2">
        <v>3</v>
      </c>
      <c r="O1533" s="2">
        <v>434.15</v>
      </c>
      <c r="P1533" s="2">
        <f t="shared" si="115"/>
        <v>74</v>
      </c>
      <c r="Q1533" s="4">
        <f t="shared" si="116"/>
        <v>0.52564102564102566</v>
      </c>
      <c r="R1533" s="2" t="str">
        <f t="shared" si="117"/>
        <v>Inefficient</v>
      </c>
      <c r="S1533" s="2" t="str">
        <f t="shared" si="118"/>
        <v>Very Long</v>
      </c>
      <c r="T1533" s="2" t="str">
        <f t="shared" si="119"/>
        <v>Major Delay</v>
      </c>
    </row>
    <row r="1534" spans="1:20" x14ac:dyDescent="0.35">
      <c r="A1534" s="2" t="s">
        <v>3251</v>
      </c>
      <c r="B1534" s="2" t="s">
        <v>51</v>
      </c>
      <c r="C1534" s="2" t="s">
        <v>3252</v>
      </c>
      <c r="D1534" s="2" t="s">
        <v>18</v>
      </c>
      <c r="E1534" s="2" t="s">
        <v>33</v>
      </c>
      <c r="F1534" s="2" t="s">
        <v>20</v>
      </c>
      <c r="G1534" s="2" t="s">
        <v>1719</v>
      </c>
      <c r="H1534" s="3">
        <v>45626.350694444445</v>
      </c>
      <c r="I1534" s="3">
        <v>45626.404861111114</v>
      </c>
      <c r="J1534" s="2">
        <v>42</v>
      </c>
      <c r="K1534" s="2">
        <v>78</v>
      </c>
      <c r="L1534" s="2">
        <v>1</v>
      </c>
      <c r="M1534" s="2" t="s">
        <v>29</v>
      </c>
      <c r="N1534" s="2">
        <v>7</v>
      </c>
      <c r="O1534" s="2">
        <v>304.45</v>
      </c>
      <c r="P1534" s="2">
        <f t="shared" si="115"/>
        <v>36</v>
      </c>
      <c r="Q1534" s="4">
        <f t="shared" si="116"/>
        <v>0.53846153846153844</v>
      </c>
      <c r="R1534" s="2" t="str">
        <f t="shared" si="117"/>
        <v>Inefficient</v>
      </c>
      <c r="S1534" s="2" t="str">
        <f t="shared" si="118"/>
        <v>Long</v>
      </c>
      <c r="T1534" s="2" t="str">
        <f t="shared" si="119"/>
        <v>Major Delay</v>
      </c>
    </row>
    <row r="1535" spans="1:20" x14ac:dyDescent="0.35">
      <c r="A1535" s="2" t="s">
        <v>3253</v>
      </c>
      <c r="B1535" s="2" t="s">
        <v>31</v>
      </c>
      <c r="C1535" s="2" t="s">
        <v>3254</v>
      </c>
      <c r="D1535" s="2" t="s">
        <v>26</v>
      </c>
      <c r="E1535" s="2" t="s">
        <v>19</v>
      </c>
      <c r="F1535" s="2" t="s">
        <v>20</v>
      </c>
      <c r="G1535" s="2" t="s">
        <v>161</v>
      </c>
      <c r="H1535" s="3">
        <v>45635.713194444441</v>
      </c>
      <c r="I1535" s="3">
        <v>45635.830555555556</v>
      </c>
      <c r="J1535" s="2">
        <v>123</v>
      </c>
      <c r="K1535" s="2">
        <v>169</v>
      </c>
      <c r="L1535" s="2">
        <v>1</v>
      </c>
      <c r="M1535" s="2" t="s">
        <v>22</v>
      </c>
      <c r="N1535" s="2">
        <v>6</v>
      </c>
      <c r="O1535" s="2">
        <v>317.75</v>
      </c>
      <c r="P1535" s="2">
        <f t="shared" si="115"/>
        <v>46</v>
      </c>
      <c r="Q1535" s="4">
        <f t="shared" si="116"/>
        <v>0.72781065088757402</v>
      </c>
      <c r="R1535" s="2" t="str">
        <f t="shared" si="117"/>
        <v>Inefficient</v>
      </c>
      <c r="S1535" s="2" t="str">
        <f t="shared" si="118"/>
        <v>Very Long</v>
      </c>
      <c r="T1535" s="2" t="str">
        <f t="shared" si="119"/>
        <v>Major Delay</v>
      </c>
    </row>
    <row r="1536" spans="1:20" x14ac:dyDescent="0.35">
      <c r="A1536" s="2" t="s">
        <v>3255</v>
      </c>
      <c r="B1536" s="2" t="s">
        <v>63</v>
      </c>
      <c r="C1536" s="2" t="s">
        <v>3256</v>
      </c>
      <c r="D1536" s="2" t="s">
        <v>56</v>
      </c>
      <c r="E1536" s="2" t="s">
        <v>19</v>
      </c>
      <c r="F1536" s="2" t="s">
        <v>20</v>
      </c>
      <c r="G1536" s="2" t="s">
        <v>311</v>
      </c>
      <c r="H1536" s="3">
        <v>45575.401388888888</v>
      </c>
      <c r="I1536" s="3">
        <v>45575.536805555559</v>
      </c>
      <c r="J1536" s="2">
        <v>154</v>
      </c>
      <c r="K1536" s="2">
        <v>195</v>
      </c>
      <c r="L1536" s="2">
        <v>1</v>
      </c>
      <c r="M1536" s="2" t="s">
        <v>41</v>
      </c>
      <c r="N1536" s="2">
        <v>3</v>
      </c>
      <c r="O1536" s="2">
        <v>418.57</v>
      </c>
      <c r="P1536" s="2">
        <f t="shared" si="115"/>
        <v>41</v>
      </c>
      <c r="Q1536" s="4">
        <f t="shared" si="116"/>
        <v>0.78974358974358971</v>
      </c>
      <c r="R1536" s="2" t="str">
        <f t="shared" si="117"/>
        <v>Inefficient</v>
      </c>
      <c r="S1536" s="2" t="str">
        <f t="shared" si="118"/>
        <v>Very Long</v>
      </c>
      <c r="T1536" s="2" t="str">
        <f t="shared" si="119"/>
        <v>Major Delay</v>
      </c>
    </row>
    <row r="1537" spans="1:20" x14ac:dyDescent="0.35">
      <c r="A1537" s="2" t="s">
        <v>3257</v>
      </c>
      <c r="B1537" s="2" t="s">
        <v>16</v>
      </c>
      <c r="C1537" s="2" t="s">
        <v>3258</v>
      </c>
      <c r="D1537" s="2" t="s">
        <v>56</v>
      </c>
      <c r="E1537" s="2" t="s">
        <v>19</v>
      </c>
      <c r="F1537" s="2" t="s">
        <v>57</v>
      </c>
      <c r="G1537" s="2" t="s">
        <v>79</v>
      </c>
      <c r="H1537" s="3">
        <v>45516.453472222223</v>
      </c>
      <c r="I1537" s="3">
        <v>45516.590277777781</v>
      </c>
      <c r="J1537" s="2">
        <v>140</v>
      </c>
      <c r="K1537" s="2">
        <v>197</v>
      </c>
      <c r="L1537" s="2">
        <v>1</v>
      </c>
      <c r="M1537" s="2" t="s">
        <v>29</v>
      </c>
      <c r="N1537" s="2">
        <v>3</v>
      </c>
      <c r="O1537" s="2">
        <v>341.31</v>
      </c>
      <c r="P1537" s="2">
        <f t="shared" si="115"/>
        <v>57</v>
      </c>
      <c r="Q1537" s="4">
        <f t="shared" si="116"/>
        <v>0.71065989847715738</v>
      </c>
      <c r="R1537" s="2" t="str">
        <f t="shared" si="117"/>
        <v>Inefficient</v>
      </c>
      <c r="S1537" s="2" t="str">
        <f t="shared" si="118"/>
        <v>Very Long</v>
      </c>
      <c r="T1537" s="2" t="str">
        <f t="shared" si="119"/>
        <v>Major Delay</v>
      </c>
    </row>
    <row r="1538" spans="1:20" x14ac:dyDescent="0.35">
      <c r="A1538" s="2" t="s">
        <v>3259</v>
      </c>
      <c r="B1538" s="2" t="s">
        <v>51</v>
      </c>
      <c r="C1538" s="2" t="s">
        <v>3260</v>
      </c>
      <c r="D1538" s="2" t="s">
        <v>56</v>
      </c>
      <c r="E1538" s="2" t="s">
        <v>38</v>
      </c>
      <c r="F1538" s="2" t="s">
        <v>57</v>
      </c>
      <c r="G1538" s="2" t="s">
        <v>983</v>
      </c>
      <c r="H1538" s="3">
        <v>45448.439583333333</v>
      </c>
      <c r="I1538" s="3">
        <v>45448.569444444445</v>
      </c>
      <c r="J1538" s="2">
        <v>169</v>
      </c>
      <c r="K1538" s="2">
        <v>187</v>
      </c>
      <c r="L1538" s="2">
        <v>1</v>
      </c>
      <c r="M1538" s="2" t="s">
        <v>22</v>
      </c>
      <c r="N1538" s="2">
        <v>5</v>
      </c>
      <c r="O1538" s="2">
        <v>83.62</v>
      </c>
      <c r="P1538" s="2">
        <f t="shared" si="115"/>
        <v>18</v>
      </c>
      <c r="Q1538" s="4">
        <f t="shared" si="116"/>
        <v>0.90374331550802134</v>
      </c>
      <c r="R1538" s="2" t="str">
        <f t="shared" si="117"/>
        <v>Inefficient</v>
      </c>
      <c r="S1538" s="2" t="str">
        <f t="shared" si="118"/>
        <v>Very Long</v>
      </c>
      <c r="T1538" s="2" t="str">
        <f t="shared" si="119"/>
        <v>Minor Delay</v>
      </c>
    </row>
    <row r="1539" spans="1:20" x14ac:dyDescent="0.35">
      <c r="A1539" s="2" t="s">
        <v>3261</v>
      </c>
      <c r="B1539" s="2" t="s">
        <v>63</v>
      </c>
      <c r="C1539" s="2" t="s">
        <v>3262</v>
      </c>
      <c r="D1539" s="2" t="s">
        <v>56</v>
      </c>
      <c r="E1539" s="2" t="s">
        <v>85</v>
      </c>
      <c r="F1539" s="2" t="s">
        <v>57</v>
      </c>
      <c r="G1539" s="2" t="s">
        <v>207</v>
      </c>
      <c r="H1539" s="3">
        <v>45493.418749999997</v>
      </c>
      <c r="I1539" s="3">
        <v>45493.504861111112</v>
      </c>
      <c r="J1539" s="2">
        <v>15</v>
      </c>
      <c r="K1539" s="2">
        <v>124</v>
      </c>
      <c r="L1539" s="2">
        <v>1</v>
      </c>
      <c r="M1539" s="2" t="s">
        <v>29</v>
      </c>
      <c r="N1539" s="2">
        <v>6</v>
      </c>
      <c r="O1539" s="2">
        <v>113.22</v>
      </c>
      <c r="P1539" s="2">
        <f t="shared" ref="P1539:P1602" si="120">K1539-J1539</f>
        <v>109</v>
      </c>
      <c r="Q1539" s="4">
        <f t="shared" ref="Q1539:Q1602" si="121">J1539/K1539</f>
        <v>0.12096774193548387</v>
      </c>
      <c r="R1539" s="2" t="str">
        <f t="shared" ref="R1539:R1602" si="122">IF(Q1539&gt;1,"Efficient",
IF(Q1539=1,"On Target","Inefficient"))</f>
        <v>Inefficient</v>
      </c>
      <c r="S1539" s="2" t="str">
        <f t="shared" ref="S1539:S1602" si="123">IF(K1539&lt;30,"Short",
IF(K1539&lt;60,"Medium",
IF(K1539&lt;120,"Long","Very Long")))</f>
        <v>Very Long</v>
      </c>
      <c r="T1539" s="2" t="str">
        <f t="shared" ref="T1539:T1602" si="124">IF(K1539&lt;=J1539,"On Time",
IF(K1539-J1539&lt;=30,"Minor Delay","Major Delay"))</f>
        <v>Major Delay</v>
      </c>
    </row>
    <row r="1540" spans="1:20" x14ac:dyDescent="0.35">
      <c r="A1540" s="2" t="s">
        <v>3263</v>
      </c>
      <c r="B1540" s="2" t="s">
        <v>51</v>
      </c>
      <c r="C1540" s="2" t="s">
        <v>3264</v>
      </c>
      <c r="D1540" s="2" t="s">
        <v>56</v>
      </c>
      <c r="E1540" s="2" t="s">
        <v>38</v>
      </c>
      <c r="F1540" s="2" t="s">
        <v>34</v>
      </c>
      <c r="G1540" s="2" t="s">
        <v>669</v>
      </c>
      <c r="H1540" s="3">
        <v>45602.087500000001</v>
      </c>
      <c r="I1540" s="3">
        <v>45602.225694444445</v>
      </c>
      <c r="J1540" s="2">
        <v>196</v>
      </c>
      <c r="K1540" s="2">
        <v>199</v>
      </c>
      <c r="L1540" s="2">
        <v>1</v>
      </c>
      <c r="M1540" s="2" t="s">
        <v>29</v>
      </c>
      <c r="N1540" s="2">
        <v>10</v>
      </c>
      <c r="O1540" s="2">
        <v>228.02</v>
      </c>
      <c r="P1540" s="2">
        <f t="shared" si="120"/>
        <v>3</v>
      </c>
      <c r="Q1540" s="4">
        <f t="shared" si="121"/>
        <v>0.98492462311557794</v>
      </c>
      <c r="R1540" s="2" t="str">
        <f t="shared" si="122"/>
        <v>Inefficient</v>
      </c>
      <c r="S1540" s="2" t="str">
        <f t="shared" si="123"/>
        <v>Very Long</v>
      </c>
      <c r="T1540" s="2" t="str">
        <f t="shared" si="124"/>
        <v>Minor Delay</v>
      </c>
    </row>
    <row r="1541" spans="1:20" x14ac:dyDescent="0.35">
      <c r="A1541" s="2" t="s">
        <v>3265</v>
      </c>
      <c r="B1541" s="2" t="s">
        <v>51</v>
      </c>
      <c r="C1541" s="2" t="s">
        <v>3266</v>
      </c>
      <c r="D1541" s="2" t="s">
        <v>56</v>
      </c>
      <c r="E1541" s="2" t="s">
        <v>33</v>
      </c>
      <c r="F1541" s="2" t="s">
        <v>20</v>
      </c>
      <c r="G1541" s="2" t="s">
        <v>354</v>
      </c>
      <c r="H1541" s="3">
        <v>45384.529861111114</v>
      </c>
      <c r="I1541" s="3">
        <v>45384.713194444441</v>
      </c>
      <c r="J1541" s="2">
        <v>180</v>
      </c>
      <c r="K1541" s="2">
        <v>264</v>
      </c>
      <c r="L1541" s="2">
        <v>1</v>
      </c>
      <c r="M1541" s="2" t="s">
        <v>41</v>
      </c>
      <c r="N1541" s="2">
        <v>10</v>
      </c>
      <c r="O1541" s="2">
        <v>234.55</v>
      </c>
      <c r="P1541" s="2">
        <f t="shared" si="120"/>
        <v>84</v>
      </c>
      <c r="Q1541" s="4">
        <f t="shared" si="121"/>
        <v>0.68181818181818177</v>
      </c>
      <c r="R1541" s="2" t="str">
        <f t="shared" si="122"/>
        <v>Inefficient</v>
      </c>
      <c r="S1541" s="2" t="str">
        <f t="shared" si="123"/>
        <v>Very Long</v>
      </c>
      <c r="T1541" s="2" t="str">
        <f t="shared" si="124"/>
        <v>Major Delay</v>
      </c>
    </row>
    <row r="1542" spans="1:20" x14ac:dyDescent="0.35">
      <c r="A1542" s="2" t="s">
        <v>3267</v>
      </c>
      <c r="B1542" s="2" t="s">
        <v>16</v>
      </c>
      <c r="C1542" s="2" t="s">
        <v>3268</v>
      </c>
      <c r="D1542" s="2" t="s">
        <v>18</v>
      </c>
      <c r="E1542" s="2" t="s">
        <v>85</v>
      </c>
      <c r="F1542" s="2" t="s">
        <v>34</v>
      </c>
      <c r="G1542" s="2" t="s">
        <v>897</v>
      </c>
      <c r="H1542" s="3">
        <v>45543.368055555555</v>
      </c>
      <c r="I1542" s="3">
        <v>45543.531944444447</v>
      </c>
      <c r="J1542" s="2">
        <v>124</v>
      </c>
      <c r="K1542" s="2">
        <v>236</v>
      </c>
      <c r="L1542" s="2">
        <v>1</v>
      </c>
      <c r="M1542" s="2" t="s">
        <v>22</v>
      </c>
      <c r="N1542" s="2">
        <v>4</v>
      </c>
      <c r="O1542" s="2">
        <v>418.63</v>
      </c>
      <c r="P1542" s="2">
        <f t="shared" si="120"/>
        <v>112</v>
      </c>
      <c r="Q1542" s="4">
        <f t="shared" si="121"/>
        <v>0.52542372881355937</v>
      </c>
      <c r="R1542" s="2" t="str">
        <f t="shared" si="122"/>
        <v>Inefficient</v>
      </c>
      <c r="S1542" s="2" t="str">
        <f t="shared" si="123"/>
        <v>Very Long</v>
      </c>
      <c r="T1542" s="2" t="str">
        <f t="shared" si="124"/>
        <v>Major Delay</v>
      </c>
    </row>
    <row r="1543" spans="1:20" x14ac:dyDescent="0.35">
      <c r="A1543" s="2" t="s">
        <v>3269</v>
      </c>
      <c r="B1543" s="2" t="s">
        <v>16</v>
      </c>
      <c r="C1543" s="2" t="s">
        <v>3270</v>
      </c>
      <c r="D1543" s="2" t="s">
        <v>48</v>
      </c>
      <c r="E1543" s="2" t="s">
        <v>85</v>
      </c>
      <c r="F1543" s="2" t="s">
        <v>20</v>
      </c>
      <c r="G1543" s="2" t="s">
        <v>191</v>
      </c>
      <c r="H1543" s="3">
        <v>45638.335416666669</v>
      </c>
      <c r="I1543" s="3">
        <v>45638.54583333333</v>
      </c>
      <c r="J1543" s="2">
        <v>223</v>
      </c>
      <c r="K1543" s="2">
        <v>303</v>
      </c>
      <c r="L1543" s="2">
        <v>1</v>
      </c>
      <c r="M1543" s="2" t="s">
        <v>29</v>
      </c>
      <c r="N1543" s="2">
        <v>4</v>
      </c>
      <c r="O1543" s="2">
        <v>393.98</v>
      </c>
      <c r="P1543" s="2">
        <f t="shared" si="120"/>
        <v>80</v>
      </c>
      <c r="Q1543" s="4">
        <f t="shared" si="121"/>
        <v>0.735973597359736</v>
      </c>
      <c r="R1543" s="2" t="str">
        <f t="shared" si="122"/>
        <v>Inefficient</v>
      </c>
      <c r="S1543" s="2" t="str">
        <f t="shared" si="123"/>
        <v>Very Long</v>
      </c>
      <c r="T1543" s="2" t="str">
        <f t="shared" si="124"/>
        <v>Major Delay</v>
      </c>
    </row>
    <row r="1544" spans="1:20" x14ac:dyDescent="0.35">
      <c r="A1544" s="2" t="s">
        <v>3271</v>
      </c>
      <c r="B1544" s="2" t="s">
        <v>63</v>
      </c>
      <c r="C1544" s="2" t="s">
        <v>3272</v>
      </c>
      <c r="D1544" s="2" t="s">
        <v>44</v>
      </c>
      <c r="E1544" s="2" t="s">
        <v>85</v>
      </c>
      <c r="F1544" s="2" t="s">
        <v>20</v>
      </c>
      <c r="G1544" s="2" t="s">
        <v>207</v>
      </c>
      <c r="H1544" s="3">
        <v>45644.193055555559</v>
      </c>
      <c r="I1544" s="3">
        <v>45644.292361111111</v>
      </c>
      <c r="J1544" s="2">
        <v>43</v>
      </c>
      <c r="K1544" s="2">
        <v>143</v>
      </c>
      <c r="L1544" s="2">
        <v>1</v>
      </c>
      <c r="M1544" s="2" t="s">
        <v>41</v>
      </c>
      <c r="N1544" s="2">
        <v>9</v>
      </c>
      <c r="O1544" s="2">
        <v>289.91000000000003</v>
      </c>
      <c r="P1544" s="2">
        <f t="shared" si="120"/>
        <v>100</v>
      </c>
      <c r="Q1544" s="4">
        <f t="shared" si="121"/>
        <v>0.30069930069930068</v>
      </c>
      <c r="R1544" s="2" t="str">
        <f t="shared" si="122"/>
        <v>Inefficient</v>
      </c>
      <c r="S1544" s="2" t="str">
        <f t="shared" si="123"/>
        <v>Very Long</v>
      </c>
      <c r="T1544" s="2" t="str">
        <f t="shared" si="124"/>
        <v>Major Delay</v>
      </c>
    </row>
    <row r="1545" spans="1:20" x14ac:dyDescent="0.35">
      <c r="A1545" s="2" t="s">
        <v>3273</v>
      </c>
      <c r="B1545" s="2" t="s">
        <v>16</v>
      </c>
      <c r="C1545" s="2" t="s">
        <v>3274</v>
      </c>
      <c r="D1545" s="2" t="s">
        <v>44</v>
      </c>
      <c r="E1545" s="2" t="s">
        <v>33</v>
      </c>
      <c r="F1545" s="2" t="s">
        <v>20</v>
      </c>
      <c r="G1545" s="2" t="s">
        <v>430</v>
      </c>
      <c r="H1545" s="3">
        <v>45307.147222222222</v>
      </c>
      <c r="I1545" s="3">
        <v>45307.279166666667</v>
      </c>
      <c r="J1545" s="2">
        <v>140</v>
      </c>
      <c r="K1545" s="2">
        <v>190</v>
      </c>
      <c r="L1545" s="2">
        <v>1</v>
      </c>
      <c r="M1545" s="2" t="s">
        <v>22</v>
      </c>
      <c r="N1545" s="2">
        <v>8</v>
      </c>
      <c r="O1545" s="2">
        <v>386.33</v>
      </c>
      <c r="P1545" s="2">
        <f t="shared" si="120"/>
        <v>50</v>
      </c>
      <c r="Q1545" s="4">
        <f t="shared" si="121"/>
        <v>0.73684210526315785</v>
      </c>
      <c r="R1545" s="2" t="str">
        <f t="shared" si="122"/>
        <v>Inefficient</v>
      </c>
      <c r="S1545" s="2" t="str">
        <f t="shared" si="123"/>
        <v>Very Long</v>
      </c>
      <c r="T1545" s="2" t="str">
        <f t="shared" si="124"/>
        <v>Major Delay</v>
      </c>
    </row>
    <row r="1546" spans="1:20" x14ac:dyDescent="0.35">
      <c r="A1546" s="2" t="s">
        <v>3275</v>
      </c>
      <c r="B1546" s="2" t="s">
        <v>31</v>
      </c>
      <c r="C1546" s="2" t="s">
        <v>3276</v>
      </c>
      <c r="D1546" s="2" t="s">
        <v>26</v>
      </c>
      <c r="E1546" s="2" t="s">
        <v>19</v>
      </c>
      <c r="F1546" s="2" t="s">
        <v>27</v>
      </c>
      <c r="G1546" s="2" t="s">
        <v>164</v>
      </c>
      <c r="H1546" s="3">
        <v>45581.600694444445</v>
      </c>
      <c r="I1546" s="3">
        <v>45581.662499999999</v>
      </c>
      <c r="J1546" s="2">
        <v>56</v>
      </c>
      <c r="K1546" s="2">
        <v>89</v>
      </c>
      <c r="L1546" s="2">
        <v>1</v>
      </c>
      <c r="M1546" s="2" t="s">
        <v>41</v>
      </c>
      <c r="N1546" s="2">
        <v>10</v>
      </c>
      <c r="O1546" s="2">
        <v>430.7</v>
      </c>
      <c r="P1546" s="2">
        <f t="shared" si="120"/>
        <v>33</v>
      </c>
      <c r="Q1546" s="4">
        <f t="shared" si="121"/>
        <v>0.6292134831460674</v>
      </c>
      <c r="R1546" s="2" t="str">
        <f t="shared" si="122"/>
        <v>Inefficient</v>
      </c>
      <c r="S1546" s="2" t="str">
        <f t="shared" si="123"/>
        <v>Long</v>
      </c>
      <c r="T1546" s="2" t="str">
        <f t="shared" si="124"/>
        <v>Major Delay</v>
      </c>
    </row>
    <row r="1547" spans="1:20" x14ac:dyDescent="0.35">
      <c r="A1547" s="2" t="s">
        <v>3277</v>
      </c>
      <c r="B1547" s="2" t="s">
        <v>31</v>
      </c>
      <c r="C1547" s="2" t="s">
        <v>3278</v>
      </c>
      <c r="D1547" s="2" t="s">
        <v>18</v>
      </c>
      <c r="E1547" s="2" t="s">
        <v>33</v>
      </c>
      <c r="F1547" s="2" t="s">
        <v>27</v>
      </c>
      <c r="G1547" s="2" t="s">
        <v>296</v>
      </c>
      <c r="H1547" s="3">
        <v>45326.679166666669</v>
      </c>
      <c r="I1547" s="3">
        <v>45326.754861111112</v>
      </c>
      <c r="J1547" s="2">
        <v>33</v>
      </c>
      <c r="K1547" s="2">
        <v>109</v>
      </c>
      <c r="L1547" s="2">
        <v>1</v>
      </c>
      <c r="M1547" s="2" t="s">
        <v>22</v>
      </c>
      <c r="N1547" s="2">
        <v>4</v>
      </c>
      <c r="O1547" s="2">
        <v>93.21</v>
      </c>
      <c r="P1547" s="2">
        <f t="shared" si="120"/>
        <v>76</v>
      </c>
      <c r="Q1547" s="4">
        <f t="shared" si="121"/>
        <v>0.30275229357798167</v>
      </c>
      <c r="R1547" s="2" t="str">
        <f t="shared" si="122"/>
        <v>Inefficient</v>
      </c>
      <c r="S1547" s="2" t="str">
        <f t="shared" si="123"/>
        <v>Long</v>
      </c>
      <c r="T1547" s="2" t="str">
        <f t="shared" si="124"/>
        <v>Major Delay</v>
      </c>
    </row>
    <row r="1548" spans="1:20" x14ac:dyDescent="0.35">
      <c r="A1548" s="2" t="s">
        <v>3279</v>
      </c>
      <c r="B1548" s="2" t="s">
        <v>16</v>
      </c>
      <c r="C1548" s="2" t="s">
        <v>3280</v>
      </c>
      <c r="D1548" s="2" t="s">
        <v>44</v>
      </c>
      <c r="E1548" s="2" t="s">
        <v>19</v>
      </c>
      <c r="F1548" s="2" t="s">
        <v>34</v>
      </c>
      <c r="G1548" s="2" t="s">
        <v>983</v>
      </c>
      <c r="H1548" s="3">
        <v>45298.072222222225</v>
      </c>
      <c r="I1548" s="3">
        <v>45298.247916666667</v>
      </c>
      <c r="J1548" s="2">
        <v>194</v>
      </c>
      <c r="K1548" s="2">
        <v>253</v>
      </c>
      <c r="L1548" s="2">
        <v>1</v>
      </c>
      <c r="M1548" s="2" t="s">
        <v>22</v>
      </c>
      <c r="N1548" s="2">
        <v>10</v>
      </c>
      <c r="O1548" s="2">
        <v>170.55</v>
      </c>
      <c r="P1548" s="2">
        <f t="shared" si="120"/>
        <v>59</v>
      </c>
      <c r="Q1548" s="4">
        <f t="shared" si="121"/>
        <v>0.76679841897233203</v>
      </c>
      <c r="R1548" s="2" t="str">
        <f t="shared" si="122"/>
        <v>Inefficient</v>
      </c>
      <c r="S1548" s="2" t="str">
        <f t="shared" si="123"/>
        <v>Very Long</v>
      </c>
      <c r="T1548" s="2" t="str">
        <f t="shared" si="124"/>
        <v>Major Delay</v>
      </c>
    </row>
    <row r="1549" spans="1:20" x14ac:dyDescent="0.35">
      <c r="A1549" s="2" t="s">
        <v>3281</v>
      </c>
      <c r="B1549" s="2" t="s">
        <v>16</v>
      </c>
      <c r="C1549" s="2" t="s">
        <v>3282</v>
      </c>
      <c r="D1549" s="2" t="s">
        <v>48</v>
      </c>
      <c r="E1549" s="2" t="s">
        <v>38</v>
      </c>
      <c r="F1549" s="2" t="s">
        <v>20</v>
      </c>
      <c r="G1549" s="2" t="s">
        <v>1187</v>
      </c>
      <c r="H1549" s="3">
        <v>45302.915972222225</v>
      </c>
      <c r="I1549" s="3">
        <v>45303.101388888892</v>
      </c>
      <c r="J1549" s="2">
        <v>167</v>
      </c>
      <c r="K1549" s="2">
        <v>267</v>
      </c>
      <c r="L1549" s="2">
        <v>1</v>
      </c>
      <c r="M1549" s="2" t="s">
        <v>29</v>
      </c>
      <c r="N1549" s="2">
        <v>3</v>
      </c>
      <c r="O1549" s="2">
        <v>260.16000000000003</v>
      </c>
      <c r="P1549" s="2">
        <f t="shared" si="120"/>
        <v>100</v>
      </c>
      <c r="Q1549" s="4">
        <f t="shared" si="121"/>
        <v>0.62546816479400746</v>
      </c>
      <c r="R1549" s="2" t="str">
        <f t="shared" si="122"/>
        <v>Inefficient</v>
      </c>
      <c r="S1549" s="2" t="str">
        <f t="shared" si="123"/>
        <v>Very Long</v>
      </c>
      <c r="T1549" s="2" t="str">
        <f t="shared" si="124"/>
        <v>Major Delay</v>
      </c>
    </row>
    <row r="1550" spans="1:20" x14ac:dyDescent="0.35">
      <c r="A1550" s="2" t="s">
        <v>3283</v>
      </c>
      <c r="B1550" s="2" t="s">
        <v>24</v>
      </c>
      <c r="C1550" s="2" t="s">
        <v>3284</v>
      </c>
      <c r="D1550" s="2" t="s">
        <v>44</v>
      </c>
      <c r="E1550" s="2" t="s">
        <v>38</v>
      </c>
      <c r="F1550" s="2" t="s">
        <v>20</v>
      </c>
      <c r="G1550" s="2" t="s">
        <v>129</v>
      </c>
      <c r="H1550" s="3">
        <v>45521.056944444441</v>
      </c>
      <c r="I1550" s="3">
        <v>45521.135416666664</v>
      </c>
      <c r="J1550" s="2">
        <v>114</v>
      </c>
      <c r="K1550" s="2">
        <v>113</v>
      </c>
      <c r="L1550" s="2">
        <v>0</v>
      </c>
      <c r="M1550" s="2" t="s">
        <v>41</v>
      </c>
      <c r="N1550" s="2">
        <v>3</v>
      </c>
      <c r="O1550" s="2">
        <v>126.35</v>
      </c>
      <c r="P1550" s="2">
        <f t="shared" si="120"/>
        <v>-1</v>
      </c>
      <c r="Q1550" s="4">
        <f t="shared" si="121"/>
        <v>1.0088495575221239</v>
      </c>
      <c r="R1550" s="2" t="str">
        <f t="shared" si="122"/>
        <v>Efficient</v>
      </c>
      <c r="S1550" s="2" t="str">
        <f t="shared" si="123"/>
        <v>Long</v>
      </c>
      <c r="T1550" s="2" t="str">
        <f t="shared" si="124"/>
        <v>On Time</v>
      </c>
    </row>
    <row r="1551" spans="1:20" x14ac:dyDescent="0.35">
      <c r="A1551" s="2" t="s">
        <v>3285</v>
      </c>
      <c r="B1551" s="2" t="s">
        <v>51</v>
      </c>
      <c r="C1551" s="2" t="s">
        <v>3286</v>
      </c>
      <c r="D1551" s="2" t="s">
        <v>18</v>
      </c>
      <c r="E1551" s="2" t="s">
        <v>33</v>
      </c>
      <c r="F1551" s="2" t="s">
        <v>57</v>
      </c>
      <c r="G1551" s="2" t="s">
        <v>161</v>
      </c>
      <c r="H1551" s="3">
        <v>45601.236805555556</v>
      </c>
      <c r="I1551" s="3">
        <v>45601.302083333336</v>
      </c>
      <c r="J1551" s="2">
        <v>44</v>
      </c>
      <c r="K1551" s="2">
        <v>94</v>
      </c>
      <c r="L1551" s="2">
        <v>1</v>
      </c>
      <c r="M1551" s="2" t="s">
        <v>29</v>
      </c>
      <c r="N1551" s="2">
        <v>1</v>
      </c>
      <c r="O1551" s="2">
        <v>409.65</v>
      </c>
      <c r="P1551" s="2">
        <f t="shared" si="120"/>
        <v>50</v>
      </c>
      <c r="Q1551" s="4">
        <f t="shared" si="121"/>
        <v>0.46808510638297873</v>
      </c>
      <c r="R1551" s="2" t="str">
        <f t="shared" si="122"/>
        <v>Inefficient</v>
      </c>
      <c r="S1551" s="2" t="str">
        <f t="shared" si="123"/>
        <v>Long</v>
      </c>
      <c r="T1551" s="2" t="str">
        <f t="shared" si="124"/>
        <v>Major Delay</v>
      </c>
    </row>
    <row r="1552" spans="1:20" x14ac:dyDescent="0.35">
      <c r="A1552" s="2" t="s">
        <v>3287</v>
      </c>
      <c r="B1552" s="2" t="s">
        <v>31</v>
      </c>
      <c r="C1552" s="2" t="s">
        <v>3288</v>
      </c>
      <c r="D1552" s="2" t="s">
        <v>44</v>
      </c>
      <c r="E1552" s="2" t="s">
        <v>85</v>
      </c>
      <c r="F1552" s="2" t="s">
        <v>39</v>
      </c>
      <c r="G1552" s="2" t="s">
        <v>185</v>
      </c>
      <c r="H1552" s="3">
        <v>45568.350694444445</v>
      </c>
      <c r="I1552" s="3">
        <v>45568.469444444447</v>
      </c>
      <c r="J1552" s="2">
        <v>94</v>
      </c>
      <c r="K1552" s="2">
        <v>171</v>
      </c>
      <c r="L1552" s="2">
        <v>1</v>
      </c>
      <c r="M1552" s="2" t="s">
        <v>22</v>
      </c>
      <c r="N1552" s="2">
        <v>1</v>
      </c>
      <c r="O1552" s="2">
        <v>61.43</v>
      </c>
      <c r="P1552" s="2">
        <f t="shared" si="120"/>
        <v>77</v>
      </c>
      <c r="Q1552" s="4">
        <f t="shared" si="121"/>
        <v>0.54970760233918126</v>
      </c>
      <c r="R1552" s="2" t="str">
        <f t="shared" si="122"/>
        <v>Inefficient</v>
      </c>
      <c r="S1552" s="2" t="str">
        <f t="shared" si="123"/>
        <v>Very Long</v>
      </c>
      <c r="T1552" s="2" t="str">
        <f t="shared" si="124"/>
        <v>Major Delay</v>
      </c>
    </row>
    <row r="1553" spans="1:20" x14ac:dyDescent="0.35">
      <c r="A1553" s="2" t="s">
        <v>3289</v>
      </c>
      <c r="B1553" s="2" t="s">
        <v>24</v>
      </c>
      <c r="C1553" s="2" t="s">
        <v>3290</v>
      </c>
      <c r="D1553" s="2" t="s">
        <v>26</v>
      </c>
      <c r="E1553" s="2" t="s">
        <v>38</v>
      </c>
      <c r="F1553" s="2" t="s">
        <v>20</v>
      </c>
      <c r="G1553" s="2" t="s">
        <v>526</v>
      </c>
      <c r="H1553" s="3">
        <v>45320.69027777778</v>
      </c>
      <c r="I1553" s="3">
        <v>45320.84652777778</v>
      </c>
      <c r="J1553" s="2">
        <v>217</v>
      </c>
      <c r="K1553" s="2">
        <v>225</v>
      </c>
      <c r="L1553" s="2">
        <v>1</v>
      </c>
      <c r="M1553" s="2" t="s">
        <v>22</v>
      </c>
      <c r="N1553" s="2">
        <v>5</v>
      </c>
      <c r="O1553" s="2">
        <v>102.02</v>
      </c>
      <c r="P1553" s="2">
        <f t="shared" si="120"/>
        <v>8</v>
      </c>
      <c r="Q1553" s="4">
        <f t="shared" si="121"/>
        <v>0.96444444444444444</v>
      </c>
      <c r="R1553" s="2" t="str">
        <f t="shared" si="122"/>
        <v>Inefficient</v>
      </c>
      <c r="S1553" s="2" t="str">
        <f t="shared" si="123"/>
        <v>Very Long</v>
      </c>
      <c r="T1553" s="2" t="str">
        <f t="shared" si="124"/>
        <v>Minor Delay</v>
      </c>
    </row>
    <row r="1554" spans="1:20" x14ac:dyDescent="0.35">
      <c r="A1554" s="2" t="s">
        <v>3291</v>
      </c>
      <c r="B1554" s="2" t="s">
        <v>63</v>
      </c>
      <c r="C1554" s="2" t="s">
        <v>3292</v>
      </c>
      <c r="D1554" s="2" t="s">
        <v>26</v>
      </c>
      <c r="E1554" s="2" t="s">
        <v>38</v>
      </c>
      <c r="F1554" s="2" t="s">
        <v>39</v>
      </c>
      <c r="G1554" s="2" t="s">
        <v>402</v>
      </c>
      <c r="H1554" s="3">
        <v>45341.186805555553</v>
      </c>
      <c r="I1554" s="3">
        <v>45341.248611111114</v>
      </c>
      <c r="J1554" s="2">
        <v>53</v>
      </c>
      <c r="K1554" s="2">
        <v>89</v>
      </c>
      <c r="L1554" s="2">
        <v>1</v>
      </c>
      <c r="M1554" s="2" t="s">
        <v>22</v>
      </c>
      <c r="N1554" s="2">
        <v>6</v>
      </c>
      <c r="O1554" s="2">
        <v>363.98</v>
      </c>
      <c r="P1554" s="2">
        <f t="shared" si="120"/>
        <v>36</v>
      </c>
      <c r="Q1554" s="4">
        <f t="shared" si="121"/>
        <v>0.5955056179775281</v>
      </c>
      <c r="R1554" s="2" t="str">
        <f t="shared" si="122"/>
        <v>Inefficient</v>
      </c>
      <c r="S1554" s="2" t="str">
        <f t="shared" si="123"/>
        <v>Long</v>
      </c>
      <c r="T1554" s="2" t="str">
        <f t="shared" si="124"/>
        <v>Major Delay</v>
      </c>
    </row>
    <row r="1555" spans="1:20" x14ac:dyDescent="0.35">
      <c r="A1555" s="2" t="s">
        <v>3293</v>
      </c>
      <c r="B1555" s="2" t="s">
        <v>51</v>
      </c>
      <c r="C1555" s="2" t="s">
        <v>3294</v>
      </c>
      <c r="D1555" s="2" t="s">
        <v>26</v>
      </c>
      <c r="E1555" s="2" t="s">
        <v>33</v>
      </c>
      <c r="F1555" s="2" t="s">
        <v>39</v>
      </c>
      <c r="G1555" s="2" t="s">
        <v>158</v>
      </c>
      <c r="H1555" s="3">
        <v>45470.587500000001</v>
      </c>
      <c r="I1555" s="3">
        <v>45470.698611111111</v>
      </c>
      <c r="J1555" s="2">
        <v>128</v>
      </c>
      <c r="K1555" s="2">
        <v>160</v>
      </c>
      <c r="L1555" s="2">
        <v>1</v>
      </c>
      <c r="M1555" s="2" t="s">
        <v>41</v>
      </c>
      <c r="N1555" s="2">
        <v>5</v>
      </c>
      <c r="O1555" s="2">
        <v>362.73</v>
      </c>
      <c r="P1555" s="2">
        <f t="shared" si="120"/>
        <v>32</v>
      </c>
      <c r="Q1555" s="4">
        <f t="shared" si="121"/>
        <v>0.8</v>
      </c>
      <c r="R1555" s="2" t="str">
        <f t="shared" si="122"/>
        <v>Inefficient</v>
      </c>
      <c r="S1555" s="2" t="str">
        <f t="shared" si="123"/>
        <v>Very Long</v>
      </c>
      <c r="T1555" s="2" t="str">
        <f t="shared" si="124"/>
        <v>Major Delay</v>
      </c>
    </row>
    <row r="1556" spans="1:20" x14ac:dyDescent="0.35">
      <c r="A1556" s="2" t="s">
        <v>3295</v>
      </c>
      <c r="B1556" s="2" t="s">
        <v>24</v>
      </c>
      <c r="C1556" s="2" t="s">
        <v>3296</v>
      </c>
      <c r="D1556" s="2" t="s">
        <v>18</v>
      </c>
      <c r="E1556" s="2" t="s">
        <v>38</v>
      </c>
      <c r="F1556" s="2" t="s">
        <v>27</v>
      </c>
      <c r="G1556" s="2" t="s">
        <v>65</v>
      </c>
      <c r="H1556" s="3">
        <v>45458.451388888891</v>
      </c>
      <c r="I1556" s="3">
        <v>45458.558333333334</v>
      </c>
      <c r="J1556" s="2">
        <v>71</v>
      </c>
      <c r="K1556" s="2">
        <v>154</v>
      </c>
      <c r="L1556" s="2">
        <v>1</v>
      </c>
      <c r="M1556" s="2" t="s">
        <v>29</v>
      </c>
      <c r="N1556" s="2">
        <v>7</v>
      </c>
      <c r="O1556" s="2">
        <v>91.85</v>
      </c>
      <c r="P1556" s="2">
        <f t="shared" si="120"/>
        <v>83</v>
      </c>
      <c r="Q1556" s="4">
        <f t="shared" si="121"/>
        <v>0.46103896103896103</v>
      </c>
      <c r="R1556" s="2" t="str">
        <f t="shared" si="122"/>
        <v>Inefficient</v>
      </c>
      <c r="S1556" s="2" t="str">
        <f t="shared" si="123"/>
        <v>Very Long</v>
      </c>
      <c r="T1556" s="2" t="str">
        <f t="shared" si="124"/>
        <v>Major Delay</v>
      </c>
    </row>
    <row r="1557" spans="1:20" x14ac:dyDescent="0.35">
      <c r="A1557" s="2" t="s">
        <v>3297</v>
      </c>
      <c r="B1557" s="2" t="s">
        <v>51</v>
      </c>
      <c r="C1557" s="2" t="s">
        <v>3298</v>
      </c>
      <c r="D1557" s="2" t="s">
        <v>18</v>
      </c>
      <c r="E1557" s="2" t="s">
        <v>19</v>
      </c>
      <c r="F1557" s="2" t="s">
        <v>20</v>
      </c>
      <c r="G1557" s="2" t="s">
        <v>143</v>
      </c>
      <c r="H1557" s="3">
        <v>45577.75</v>
      </c>
      <c r="I1557" s="3">
        <v>45577.818749999999</v>
      </c>
      <c r="J1557" s="2">
        <v>101</v>
      </c>
      <c r="K1557" s="2">
        <v>99</v>
      </c>
      <c r="L1557" s="2">
        <v>0</v>
      </c>
      <c r="M1557" s="2" t="s">
        <v>29</v>
      </c>
      <c r="N1557" s="2">
        <v>9</v>
      </c>
      <c r="O1557" s="2">
        <v>432.48</v>
      </c>
      <c r="P1557" s="2">
        <f t="shared" si="120"/>
        <v>-2</v>
      </c>
      <c r="Q1557" s="4">
        <f t="shared" si="121"/>
        <v>1.0202020202020201</v>
      </c>
      <c r="R1557" s="2" t="str">
        <f t="shared" si="122"/>
        <v>Efficient</v>
      </c>
      <c r="S1557" s="2" t="str">
        <f t="shared" si="123"/>
        <v>Long</v>
      </c>
      <c r="T1557" s="2" t="str">
        <f t="shared" si="124"/>
        <v>On Time</v>
      </c>
    </row>
    <row r="1558" spans="1:20" x14ac:dyDescent="0.35">
      <c r="A1558" s="2" t="s">
        <v>3299</v>
      </c>
      <c r="B1558" s="2" t="s">
        <v>31</v>
      </c>
      <c r="C1558" s="2" t="s">
        <v>3300</v>
      </c>
      <c r="D1558" s="2" t="s">
        <v>26</v>
      </c>
      <c r="E1558" s="2" t="s">
        <v>85</v>
      </c>
      <c r="F1558" s="2" t="s">
        <v>39</v>
      </c>
      <c r="G1558" s="2" t="s">
        <v>777</v>
      </c>
      <c r="H1558" s="3">
        <v>45364.897222222222</v>
      </c>
      <c r="I1558" s="3">
        <v>45365.095138888886</v>
      </c>
      <c r="J1558" s="2">
        <v>186</v>
      </c>
      <c r="K1558" s="2">
        <v>285</v>
      </c>
      <c r="L1558" s="2">
        <v>1</v>
      </c>
      <c r="M1558" s="2" t="s">
        <v>22</v>
      </c>
      <c r="N1558" s="2">
        <v>8</v>
      </c>
      <c r="O1558" s="2">
        <v>215.41</v>
      </c>
      <c r="P1558" s="2">
        <f t="shared" si="120"/>
        <v>99</v>
      </c>
      <c r="Q1558" s="4">
        <f t="shared" si="121"/>
        <v>0.65263157894736845</v>
      </c>
      <c r="R1558" s="2" t="str">
        <f t="shared" si="122"/>
        <v>Inefficient</v>
      </c>
      <c r="S1558" s="2" t="str">
        <f t="shared" si="123"/>
        <v>Very Long</v>
      </c>
      <c r="T1558" s="2" t="str">
        <f t="shared" si="124"/>
        <v>Major Delay</v>
      </c>
    </row>
    <row r="1559" spans="1:20" x14ac:dyDescent="0.35">
      <c r="A1559" s="2" t="s">
        <v>3301</v>
      </c>
      <c r="B1559" s="2" t="s">
        <v>31</v>
      </c>
      <c r="C1559" s="2" t="s">
        <v>3302</v>
      </c>
      <c r="D1559" s="2" t="s">
        <v>18</v>
      </c>
      <c r="E1559" s="2" t="s">
        <v>38</v>
      </c>
      <c r="F1559" s="2" t="s">
        <v>20</v>
      </c>
      <c r="G1559" s="2" t="s">
        <v>526</v>
      </c>
      <c r="H1559" s="3">
        <v>45424.191666666666</v>
      </c>
      <c r="I1559" s="3">
        <v>45424.322222222225</v>
      </c>
      <c r="J1559" s="2">
        <v>112</v>
      </c>
      <c r="K1559" s="2">
        <v>188</v>
      </c>
      <c r="L1559" s="2">
        <v>1</v>
      </c>
      <c r="M1559" s="2" t="s">
        <v>41</v>
      </c>
      <c r="N1559" s="2">
        <v>5</v>
      </c>
      <c r="O1559" s="2">
        <v>399.95</v>
      </c>
      <c r="P1559" s="2">
        <f t="shared" si="120"/>
        <v>76</v>
      </c>
      <c r="Q1559" s="4">
        <f t="shared" si="121"/>
        <v>0.5957446808510638</v>
      </c>
      <c r="R1559" s="2" t="str">
        <f t="shared" si="122"/>
        <v>Inefficient</v>
      </c>
      <c r="S1559" s="2" t="str">
        <f t="shared" si="123"/>
        <v>Very Long</v>
      </c>
      <c r="T1559" s="2" t="str">
        <f t="shared" si="124"/>
        <v>Major Delay</v>
      </c>
    </row>
    <row r="1560" spans="1:20" x14ac:dyDescent="0.35">
      <c r="A1560" s="2" t="s">
        <v>3303</v>
      </c>
      <c r="B1560" s="2" t="s">
        <v>31</v>
      </c>
      <c r="C1560" s="2" t="s">
        <v>3304</v>
      </c>
      <c r="D1560" s="2" t="s">
        <v>56</v>
      </c>
      <c r="E1560" s="2" t="s">
        <v>38</v>
      </c>
      <c r="F1560" s="2" t="s">
        <v>39</v>
      </c>
      <c r="G1560" s="2" t="s">
        <v>316</v>
      </c>
      <c r="H1560" s="3">
        <v>45335.564583333333</v>
      </c>
      <c r="I1560" s="3">
        <v>45335.708333333336</v>
      </c>
      <c r="J1560" s="2">
        <v>185</v>
      </c>
      <c r="K1560" s="2">
        <v>207</v>
      </c>
      <c r="L1560" s="2">
        <v>1</v>
      </c>
      <c r="M1560" s="2" t="s">
        <v>29</v>
      </c>
      <c r="N1560" s="2">
        <v>9</v>
      </c>
      <c r="O1560" s="2">
        <v>281.81</v>
      </c>
      <c r="P1560" s="2">
        <f t="shared" si="120"/>
        <v>22</v>
      </c>
      <c r="Q1560" s="4">
        <f t="shared" si="121"/>
        <v>0.893719806763285</v>
      </c>
      <c r="R1560" s="2" t="str">
        <f t="shared" si="122"/>
        <v>Inefficient</v>
      </c>
      <c r="S1560" s="2" t="str">
        <f t="shared" si="123"/>
        <v>Very Long</v>
      </c>
      <c r="T1560" s="2" t="str">
        <f t="shared" si="124"/>
        <v>Minor Delay</v>
      </c>
    </row>
    <row r="1561" spans="1:20" x14ac:dyDescent="0.35">
      <c r="A1561" s="2" t="s">
        <v>3305</v>
      </c>
      <c r="B1561" s="2" t="s">
        <v>24</v>
      </c>
      <c r="C1561" s="2" t="s">
        <v>3306</v>
      </c>
      <c r="D1561" s="2" t="s">
        <v>18</v>
      </c>
      <c r="E1561" s="2" t="s">
        <v>85</v>
      </c>
      <c r="F1561" s="2" t="s">
        <v>27</v>
      </c>
      <c r="G1561" s="2" t="s">
        <v>354</v>
      </c>
      <c r="H1561" s="3">
        <v>45460.801388888889</v>
      </c>
      <c r="I1561" s="3">
        <v>45461.027777777781</v>
      </c>
      <c r="J1561" s="2">
        <v>234</v>
      </c>
      <c r="K1561" s="2">
        <v>326</v>
      </c>
      <c r="L1561" s="2">
        <v>1</v>
      </c>
      <c r="M1561" s="2" t="s">
        <v>29</v>
      </c>
      <c r="N1561" s="2">
        <v>9</v>
      </c>
      <c r="O1561" s="2">
        <v>375.68</v>
      </c>
      <c r="P1561" s="2">
        <f t="shared" si="120"/>
        <v>92</v>
      </c>
      <c r="Q1561" s="4">
        <f t="shared" si="121"/>
        <v>0.71779141104294475</v>
      </c>
      <c r="R1561" s="2" t="str">
        <f t="shared" si="122"/>
        <v>Inefficient</v>
      </c>
      <c r="S1561" s="2" t="str">
        <f t="shared" si="123"/>
        <v>Very Long</v>
      </c>
      <c r="T1561" s="2" t="str">
        <f t="shared" si="124"/>
        <v>Major Delay</v>
      </c>
    </row>
    <row r="1562" spans="1:20" x14ac:dyDescent="0.35">
      <c r="A1562" s="2" t="s">
        <v>3307</v>
      </c>
      <c r="B1562" s="2" t="s">
        <v>51</v>
      </c>
      <c r="C1562" s="2" t="s">
        <v>3308</v>
      </c>
      <c r="D1562" s="2" t="s">
        <v>18</v>
      </c>
      <c r="E1562" s="2" t="s">
        <v>19</v>
      </c>
      <c r="F1562" s="2" t="s">
        <v>20</v>
      </c>
      <c r="G1562" s="2" t="s">
        <v>283</v>
      </c>
      <c r="H1562" s="3">
        <v>45296.863194444442</v>
      </c>
      <c r="I1562" s="3">
        <v>45297.013888888891</v>
      </c>
      <c r="J1562" s="2">
        <v>143</v>
      </c>
      <c r="K1562" s="2">
        <v>217</v>
      </c>
      <c r="L1562" s="2">
        <v>1</v>
      </c>
      <c r="M1562" s="2" t="s">
        <v>41</v>
      </c>
      <c r="N1562" s="2">
        <v>1</v>
      </c>
      <c r="O1562" s="2">
        <v>412.39</v>
      </c>
      <c r="P1562" s="2">
        <f t="shared" si="120"/>
        <v>74</v>
      </c>
      <c r="Q1562" s="4">
        <f t="shared" si="121"/>
        <v>0.65898617511520741</v>
      </c>
      <c r="R1562" s="2" t="str">
        <f t="shared" si="122"/>
        <v>Inefficient</v>
      </c>
      <c r="S1562" s="2" t="str">
        <f t="shared" si="123"/>
        <v>Very Long</v>
      </c>
      <c r="T1562" s="2" t="str">
        <f t="shared" si="124"/>
        <v>Major Delay</v>
      </c>
    </row>
    <row r="1563" spans="1:20" x14ac:dyDescent="0.35">
      <c r="A1563" s="2" t="s">
        <v>3309</v>
      </c>
      <c r="B1563" s="2" t="s">
        <v>51</v>
      </c>
      <c r="C1563" s="2" t="s">
        <v>3310</v>
      </c>
      <c r="D1563" s="2" t="s">
        <v>18</v>
      </c>
      <c r="E1563" s="2" t="s">
        <v>38</v>
      </c>
      <c r="F1563" s="2" t="s">
        <v>20</v>
      </c>
      <c r="G1563" s="2" t="s">
        <v>445</v>
      </c>
      <c r="H1563" s="3">
        <v>45536.98333333333</v>
      </c>
      <c r="I1563" s="3">
        <v>45537.044444444444</v>
      </c>
      <c r="J1563" s="2">
        <v>68</v>
      </c>
      <c r="K1563" s="2">
        <v>88</v>
      </c>
      <c r="L1563" s="2">
        <v>1</v>
      </c>
      <c r="M1563" s="2" t="s">
        <v>29</v>
      </c>
      <c r="N1563" s="2">
        <v>4</v>
      </c>
      <c r="O1563" s="2">
        <v>89.24</v>
      </c>
      <c r="P1563" s="2">
        <f t="shared" si="120"/>
        <v>20</v>
      </c>
      <c r="Q1563" s="4">
        <f t="shared" si="121"/>
        <v>0.77272727272727271</v>
      </c>
      <c r="R1563" s="2" t="str">
        <f t="shared" si="122"/>
        <v>Inefficient</v>
      </c>
      <c r="S1563" s="2" t="str">
        <f t="shared" si="123"/>
        <v>Long</v>
      </c>
      <c r="T1563" s="2" t="str">
        <f t="shared" si="124"/>
        <v>Minor Delay</v>
      </c>
    </row>
    <row r="1564" spans="1:20" x14ac:dyDescent="0.35">
      <c r="A1564" s="2" t="s">
        <v>3311</v>
      </c>
      <c r="B1564" s="2" t="s">
        <v>16</v>
      </c>
      <c r="C1564" s="2" t="s">
        <v>3312</v>
      </c>
      <c r="D1564" s="2" t="s">
        <v>56</v>
      </c>
      <c r="E1564" s="2" t="s">
        <v>19</v>
      </c>
      <c r="F1564" s="2" t="s">
        <v>20</v>
      </c>
      <c r="G1564" s="2" t="s">
        <v>194</v>
      </c>
      <c r="H1564" s="3">
        <v>45480.424305555556</v>
      </c>
      <c r="I1564" s="3">
        <v>45480.541666666664</v>
      </c>
      <c r="J1564" s="2">
        <v>98</v>
      </c>
      <c r="K1564" s="2">
        <v>169</v>
      </c>
      <c r="L1564" s="2">
        <v>1</v>
      </c>
      <c r="M1564" s="2" t="s">
        <v>22</v>
      </c>
      <c r="N1564" s="2">
        <v>6</v>
      </c>
      <c r="O1564" s="2">
        <v>182.69</v>
      </c>
      <c r="P1564" s="2">
        <f t="shared" si="120"/>
        <v>71</v>
      </c>
      <c r="Q1564" s="4">
        <f t="shared" si="121"/>
        <v>0.57988165680473369</v>
      </c>
      <c r="R1564" s="2" t="str">
        <f t="shared" si="122"/>
        <v>Inefficient</v>
      </c>
      <c r="S1564" s="2" t="str">
        <f t="shared" si="123"/>
        <v>Very Long</v>
      </c>
      <c r="T1564" s="2" t="str">
        <f t="shared" si="124"/>
        <v>Major Delay</v>
      </c>
    </row>
    <row r="1565" spans="1:20" x14ac:dyDescent="0.35">
      <c r="A1565" s="2" t="s">
        <v>3313</v>
      </c>
      <c r="B1565" s="2" t="s">
        <v>16</v>
      </c>
      <c r="C1565" s="2" t="s">
        <v>3314</v>
      </c>
      <c r="D1565" s="2" t="s">
        <v>48</v>
      </c>
      <c r="E1565" s="2" t="s">
        <v>19</v>
      </c>
      <c r="F1565" s="2" t="s">
        <v>20</v>
      </c>
      <c r="G1565" s="2" t="s">
        <v>1187</v>
      </c>
      <c r="H1565" s="3">
        <v>45490.095138888886</v>
      </c>
      <c r="I1565" s="3">
        <v>45490.313194444447</v>
      </c>
      <c r="J1565" s="2">
        <v>232</v>
      </c>
      <c r="K1565" s="2">
        <v>314</v>
      </c>
      <c r="L1565" s="2">
        <v>1</v>
      </c>
      <c r="M1565" s="2" t="s">
        <v>29</v>
      </c>
      <c r="N1565" s="2">
        <v>10</v>
      </c>
      <c r="O1565" s="2">
        <v>321.01</v>
      </c>
      <c r="P1565" s="2">
        <f t="shared" si="120"/>
        <v>82</v>
      </c>
      <c r="Q1565" s="4">
        <f t="shared" si="121"/>
        <v>0.73885350318471332</v>
      </c>
      <c r="R1565" s="2" t="str">
        <f t="shared" si="122"/>
        <v>Inefficient</v>
      </c>
      <c r="S1565" s="2" t="str">
        <f t="shared" si="123"/>
        <v>Very Long</v>
      </c>
      <c r="T1565" s="2" t="str">
        <f t="shared" si="124"/>
        <v>Major Delay</v>
      </c>
    </row>
    <row r="1566" spans="1:20" x14ac:dyDescent="0.35">
      <c r="A1566" s="2" t="s">
        <v>3315</v>
      </c>
      <c r="B1566" s="2" t="s">
        <v>51</v>
      </c>
      <c r="C1566" s="2" t="s">
        <v>3316</v>
      </c>
      <c r="D1566" s="2" t="s">
        <v>44</v>
      </c>
      <c r="E1566" s="2" t="s">
        <v>85</v>
      </c>
      <c r="F1566" s="2" t="s">
        <v>34</v>
      </c>
      <c r="G1566" s="2" t="s">
        <v>465</v>
      </c>
      <c r="H1566" s="3">
        <v>45360.284722222219</v>
      </c>
      <c r="I1566" s="3">
        <v>45360.481249999997</v>
      </c>
      <c r="J1566" s="2">
        <v>237</v>
      </c>
      <c r="K1566" s="2">
        <v>283</v>
      </c>
      <c r="L1566" s="2">
        <v>1</v>
      </c>
      <c r="M1566" s="2" t="s">
        <v>22</v>
      </c>
      <c r="N1566" s="2">
        <v>6</v>
      </c>
      <c r="O1566" s="2">
        <v>385.95</v>
      </c>
      <c r="P1566" s="2">
        <f t="shared" si="120"/>
        <v>46</v>
      </c>
      <c r="Q1566" s="4">
        <f t="shared" si="121"/>
        <v>0.83745583038869253</v>
      </c>
      <c r="R1566" s="2" t="str">
        <f t="shared" si="122"/>
        <v>Inefficient</v>
      </c>
      <c r="S1566" s="2" t="str">
        <f t="shared" si="123"/>
        <v>Very Long</v>
      </c>
      <c r="T1566" s="2" t="str">
        <f t="shared" si="124"/>
        <v>Major Delay</v>
      </c>
    </row>
    <row r="1567" spans="1:20" x14ac:dyDescent="0.35">
      <c r="A1567" s="2" t="s">
        <v>3317</v>
      </c>
      <c r="B1567" s="2" t="s">
        <v>24</v>
      </c>
      <c r="C1567" s="2" t="s">
        <v>3318</v>
      </c>
      <c r="D1567" s="2" t="s">
        <v>56</v>
      </c>
      <c r="E1567" s="2" t="s">
        <v>85</v>
      </c>
      <c r="F1567" s="2" t="s">
        <v>27</v>
      </c>
      <c r="G1567" s="2" t="s">
        <v>676</v>
      </c>
      <c r="H1567" s="3">
        <v>45597.40347222222</v>
      </c>
      <c r="I1567" s="3">
        <v>45597.518750000003</v>
      </c>
      <c r="J1567" s="2">
        <v>110</v>
      </c>
      <c r="K1567" s="2">
        <v>166</v>
      </c>
      <c r="L1567" s="2">
        <v>1</v>
      </c>
      <c r="M1567" s="2" t="s">
        <v>41</v>
      </c>
      <c r="N1567" s="2">
        <v>6</v>
      </c>
      <c r="O1567" s="2">
        <v>302.29000000000002</v>
      </c>
      <c r="P1567" s="2">
        <f t="shared" si="120"/>
        <v>56</v>
      </c>
      <c r="Q1567" s="4">
        <f t="shared" si="121"/>
        <v>0.66265060240963858</v>
      </c>
      <c r="R1567" s="2" t="str">
        <f t="shared" si="122"/>
        <v>Inefficient</v>
      </c>
      <c r="S1567" s="2" t="str">
        <f t="shared" si="123"/>
        <v>Very Long</v>
      </c>
      <c r="T1567" s="2" t="str">
        <f t="shared" si="124"/>
        <v>Major Delay</v>
      </c>
    </row>
    <row r="1568" spans="1:20" x14ac:dyDescent="0.35">
      <c r="A1568" s="2" t="s">
        <v>3319</v>
      </c>
      <c r="B1568" s="2" t="s">
        <v>51</v>
      </c>
      <c r="C1568" s="2" t="s">
        <v>3320</v>
      </c>
      <c r="D1568" s="2" t="s">
        <v>44</v>
      </c>
      <c r="E1568" s="2" t="s">
        <v>85</v>
      </c>
      <c r="F1568" s="2" t="s">
        <v>39</v>
      </c>
      <c r="G1568" s="2" t="s">
        <v>681</v>
      </c>
      <c r="H1568" s="3">
        <v>45402.688194444447</v>
      </c>
      <c r="I1568" s="3">
        <v>45402.727083333331</v>
      </c>
      <c r="J1568" s="2">
        <v>29</v>
      </c>
      <c r="K1568" s="2">
        <v>56</v>
      </c>
      <c r="L1568" s="2">
        <v>1</v>
      </c>
      <c r="M1568" s="2" t="s">
        <v>22</v>
      </c>
      <c r="N1568" s="2">
        <v>7</v>
      </c>
      <c r="O1568" s="2">
        <v>58.15</v>
      </c>
      <c r="P1568" s="2">
        <f t="shared" si="120"/>
        <v>27</v>
      </c>
      <c r="Q1568" s="4">
        <f t="shared" si="121"/>
        <v>0.5178571428571429</v>
      </c>
      <c r="R1568" s="2" t="str">
        <f t="shared" si="122"/>
        <v>Inefficient</v>
      </c>
      <c r="S1568" s="2" t="str">
        <f t="shared" si="123"/>
        <v>Medium</v>
      </c>
      <c r="T1568" s="2" t="str">
        <f t="shared" si="124"/>
        <v>Minor Delay</v>
      </c>
    </row>
    <row r="1569" spans="1:20" x14ac:dyDescent="0.35">
      <c r="A1569" s="2" t="s">
        <v>3321</v>
      </c>
      <c r="B1569" s="2" t="s">
        <v>16</v>
      </c>
      <c r="C1569" s="2" t="s">
        <v>3322</v>
      </c>
      <c r="D1569" s="2" t="s">
        <v>44</v>
      </c>
      <c r="E1569" s="2" t="s">
        <v>38</v>
      </c>
      <c r="F1569" s="2" t="s">
        <v>20</v>
      </c>
      <c r="G1569" s="2" t="s">
        <v>288</v>
      </c>
      <c r="H1569" s="3">
        <v>45653.682638888888</v>
      </c>
      <c r="I1569" s="3">
        <v>45653.822916666664</v>
      </c>
      <c r="J1569" s="2">
        <v>132</v>
      </c>
      <c r="K1569" s="2">
        <v>202</v>
      </c>
      <c r="L1569" s="2">
        <v>1</v>
      </c>
      <c r="M1569" s="2" t="s">
        <v>29</v>
      </c>
      <c r="N1569" s="2">
        <v>5</v>
      </c>
      <c r="O1569" s="2">
        <v>99.63</v>
      </c>
      <c r="P1569" s="2">
        <f t="shared" si="120"/>
        <v>70</v>
      </c>
      <c r="Q1569" s="4">
        <f t="shared" si="121"/>
        <v>0.65346534653465349</v>
      </c>
      <c r="R1569" s="2" t="str">
        <f t="shared" si="122"/>
        <v>Inefficient</v>
      </c>
      <c r="S1569" s="2" t="str">
        <f t="shared" si="123"/>
        <v>Very Long</v>
      </c>
      <c r="T1569" s="2" t="str">
        <f t="shared" si="124"/>
        <v>Major Delay</v>
      </c>
    </row>
    <row r="1570" spans="1:20" x14ac:dyDescent="0.35">
      <c r="A1570" s="2" t="s">
        <v>3323</v>
      </c>
      <c r="B1570" s="2" t="s">
        <v>24</v>
      </c>
      <c r="C1570" s="2" t="s">
        <v>3324</v>
      </c>
      <c r="D1570" s="2" t="s">
        <v>56</v>
      </c>
      <c r="E1570" s="2" t="s">
        <v>38</v>
      </c>
      <c r="F1570" s="2" t="s">
        <v>27</v>
      </c>
      <c r="G1570" s="2" t="s">
        <v>418</v>
      </c>
      <c r="H1570" s="3">
        <v>45457.549305555556</v>
      </c>
      <c r="I1570" s="3">
        <v>45457.613194444442</v>
      </c>
      <c r="J1570" s="2">
        <v>55</v>
      </c>
      <c r="K1570" s="2">
        <v>92</v>
      </c>
      <c r="L1570" s="2">
        <v>1</v>
      </c>
      <c r="M1570" s="2" t="s">
        <v>29</v>
      </c>
      <c r="N1570" s="2">
        <v>1</v>
      </c>
      <c r="O1570" s="2">
        <v>71.56</v>
      </c>
      <c r="P1570" s="2">
        <f t="shared" si="120"/>
        <v>37</v>
      </c>
      <c r="Q1570" s="4">
        <f t="shared" si="121"/>
        <v>0.59782608695652173</v>
      </c>
      <c r="R1570" s="2" t="str">
        <f t="shared" si="122"/>
        <v>Inefficient</v>
      </c>
      <c r="S1570" s="2" t="str">
        <f t="shared" si="123"/>
        <v>Long</v>
      </c>
      <c r="T1570" s="2" t="str">
        <f t="shared" si="124"/>
        <v>Major Delay</v>
      </c>
    </row>
    <row r="1571" spans="1:20" x14ac:dyDescent="0.35">
      <c r="A1571" s="2" t="s">
        <v>3325</v>
      </c>
      <c r="B1571" s="2" t="s">
        <v>24</v>
      </c>
      <c r="C1571" s="2" t="s">
        <v>3326</v>
      </c>
      <c r="D1571" s="2" t="s">
        <v>18</v>
      </c>
      <c r="E1571" s="2" t="s">
        <v>38</v>
      </c>
      <c r="F1571" s="2" t="s">
        <v>27</v>
      </c>
      <c r="G1571" s="2" t="s">
        <v>1730</v>
      </c>
      <c r="H1571" s="3">
        <v>45642.371527777781</v>
      </c>
      <c r="I1571" s="3">
        <v>45642.479166666664</v>
      </c>
      <c r="J1571" s="2">
        <v>138</v>
      </c>
      <c r="K1571" s="2">
        <v>155</v>
      </c>
      <c r="L1571" s="2">
        <v>1</v>
      </c>
      <c r="M1571" s="2" t="s">
        <v>29</v>
      </c>
      <c r="N1571" s="2">
        <v>7</v>
      </c>
      <c r="O1571" s="2">
        <v>79.36</v>
      </c>
      <c r="P1571" s="2">
        <f t="shared" si="120"/>
        <v>17</v>
      </c>
      <c r="Q1571" s="4">
        <f t="shared" si="121"/>
        <v>0.89032258064516134</v>
      </c>
      <c r="R1571" s="2" t="str">
        <f t="shared" si="122"/>
        <v>Inefficient</v>
      </c>
      <c r="S1571" s="2" t="str">
        <f t="shared" si="123"/>
        <v>Very Long</v>
      </c>
      <c r="T1571" s="2" t="str">
        <f t="shared" si="124"/>
        <v>Minor Delay</v>
      </c>
    </row>
    <row r="1572" spans="1:20" x14ac:dyDescent="0.35">
      <c r="A1572" s="2" t="s">
        <v>3327</v>
      </c>
      <c r="B1572" s="2" t="s">
        <v>51</v>
      </c>
      <c r="C1572" s="2" t="s">
        <v>3328</v>
      </c>
      <c r="D1572" s="2" t="s">
        <v>26</v>
      </c>
      <c r="E1572" s="2" t="s">
        <v>33</v>
      </c>
      <c r="F1572" s="2" t="s">
        <v>27</v>
      </c>
      <c r="G1572" s="2" t="s">
        <v>210</v>
      </c>
      <c r="H1572" s="3">
        <v>45655.963888888888</v>
      </c>
      <c r="I1572" s="3">
        <v>45656.082638888889</v>
      </c>
      <c r="J1572" s="2">
        <v>67</v>
      </c>
      <c r="K1572" s="2">
        <v>171</v>
      </c>
      <c r="L1572" s="2">
        <v>1</v>
      </c>
      <c r="M1572" s="2" t="s">
        <v>41</v>
      </c>
      <c r="N1572" s="2">
        <v>7</v>
      </c>
      <c r="O1572" s="2">
        <v>183.09</v>
      </c>
      <c r="P1572" s="2">
        <f t="shared" si="120"/>
        <v>104</v>
      </c>
      <c r="Q1572" s="4">
        <f t="shared" si="121"/>
        <v>0.391812865497076</v>
      </c>
      <c r="R1572" s="2" t="str">
        <f t="shared" si="122"/>
        <v>Inefficient</v>
      </c>
      <c r="S1572" s="2" t="str">
        <f t="shared" si="123"/>
        <v>Very Long</v>
      </c>
      <c r="T1572" s="2" t="str">
        <f t="shared" si="124"/>
        <v>Major Delay</v>
      </c>
    </row>
    <row r="1573" spans="1:20" x14ac:dyDescent="0.35">
      <c r="A1573" s="2" t="s">
        <v>3329</v>
      </c>
      <c r="B1573" s="2" t="s">
        <v>63</v>
      </c>
      <c r="C1573" s="2" t="s">
        <v>3330</v>
      </c>
      <c r="D1573" s="2" t="s">
        <v>18</v>
      </c>
      <c r="E1573" s="2" t="s">
        <v>33</v>
      </c>
      <c r="F1573" s="2" t="s">
        <v>57</v>
      </c>
      <c r="G1573" s="2" t="s">
        <v>894</v>
      </c>
      <c r="H1573" s="3">
        <v>45513.845138888886</v>
      </c>
      <c r="I1573" s="3">
        <v>45514.002083333333</v>
      </c>
      <c r="J1573" s="2">
        <v>230</v>
      </c>
      <c r="K1573" s="2">
        <v>226</v>
      </c>
      <c r="L1573" s="2">
        <v>0</v>
      </c>
      <c r="M1573" s="2" t="s">
        <v>41</v>
      </c>
      <c r="N1573" s="2">
        <v>3</v>
      </c>
      <c r="O1573" s="2">
        <v>190.76</v>
      </c>
      <c r="P1573" s="2">
        <f t="shared" si="120"/>
        <v>-4</v>
      </c>
      <c r="Q1573" s="4">
        <f t="shared" si="121"/>
        <v>1.0176991150442478</v>
      </c>
      <c r="R1573" s="2" t="str">
        <f t="shared" si="122"/>
        <v>Efficient</v>
      </c>
      <c r="S1573" s="2" t="str">
        <f t="shared" si="123"/>
        <v>Very Long</v>
      </c>
      <c r="T1573" s="2" t="str">
        <f t="shared" si="124"/>
        <v>On Time</v>
      </c>
    </row>
    <row r="1574" spans="1:20" x14ac:dyDescent="0.35">
      <c r="A1574" s="2" t="s">
        <v>3331</v>
      </c>
      <c r="B1574" s="2" t="s">
        <v>31</v>
      </c>
      <c r="C1574" s="2" t="s">
        <v>3332</v>
      </c>
      <c r="D1574" s="2" t="s">
        <v>44</v>
      </c>
      <c r="E1574" s="2" t="s">
        <v>19</v>
      </c>
      <c r="F1574" s="2" t="s">
        <v>57</v>
      </c>
      <c r="G1574" s="2" t="s">
        <v>132</v>
      </c>
      <c r="H1574" s="3">
        <v>45601.037499999999</v>
      </c>
      <c r="I1574" s="3">
        <v>45601.238888888889</v>
      </c>
      <c r="J1574" s="2">
        <v>235</v>
      </c>
      <c r="K1574" s="2">
        <v>290</v>
      </c>
      <c r="L1574" s="2">
        <v>1</v>
      </c>
      <c r="M1574" s="2" t="s">
        <v>29</v>
      </c>
      <c r="N1574" s="2">
        <v>7</v>
      </c>
      <c r="O1574" s="2">
        <v>296.36</v>
      </c>
      <c r="P1574" s="2">
        <f t="shared" si="120"/>
        <v>55</v>
      </c>
      <c r="Q1574" s="4">
        <f t="shared" si="121"/>
        <v>0.81034482758620685</v>
      </c>
      <c r="R1574" s="2" t="str">
        <f t="shared" si="122"/>
        <v>Inefficient</v>
      </c>
      <c r="S1574" s="2" t="str">
        <f t="shared" si="123"/>
        <v>Very Long</v>
      </c>
      <c r="T1574" s="2" t="str">
        <f t="shared" si="124"/>
        <v>Major Delay</v>
      </c>
    </row>
    <row r="1575" spans="1:20" x14ac:dyDescent="0.35">
      <c r="A1575" s="2" t="s">
        <v>3333</v>
      </c>
      <c r="B1575" s="2" t="s">
        <v>51</v>
      </c>
      <c r="C1575" s="2" t="s">
        <v>3334</v>
      </c>
      <c r="D1575" s="2" t="s">
        <v>48</v>
      </c>
      <c r="E1575" s="2" t="s">
        <v>19</v>
      </c>
      <c r="F1575" s="2" t="s">
        <v>34</v>
      </c>
      <c r="G1575" s="2" t="s">
        <v>268</v>
      </c>
      <c r="H1575" s="3">
        <v>45617.370138888888</v>
      </c>
      <c r="I1575" s="3">
        <v>45617.40625</v>
      </c>
      <c r="J1575" s="2">
        <v>36</v>
      </c>
      <c r="K1575" s="2">
        <v>52</v>
      </c>
      <c r="L1575" s="2">
        <v>1</v>
      </c>
      <c r="M1575" s="2" t="s">
        <v>29</v>
      </c>
      <c r="N1575" s="2">
        <v>10</v>
      </c>
      <c r="O1575" s="2">
        <v>485.97</v>
      </c>
      <c r="P1575" s="2">
        <f t="shared" si="120"/>
        <v>16</v>
      </c>
      <c r="Q1575" s="4">
        <f t="shared" si="121"/>
        <v>0.69230769230769229</v>
      </c>
      <c r="R1575" s="2" t="str">
        <f t="shared" si="122"/>
        <v>Inefficient</v>
      </c>
      <c r="S1575" s="2" t="str">
        <f t="shared" si="123"/>
        <v>Medium</v>
      </c>
      <c r="T1575" s="2" t="str">
        <f t="shared" si="124"/>
        <v>Minor Delay</v>
      </c>
    </row>
    <row r="1576" spans="1:20" x14ac:dyDescent="0.35">
      <c r="A1576" s="2" t="s">
        <v>3335</v>
      </c>
      <c r="B1576" s="2" t="s">
        <v>63</v>
      </c>
      <c r="C1576" s="2" t="s">
        <v>3336</v>
      </c>
      <c r="D1576" s="2" t="s">
        <v>18</v>
      </c>
      <c r="E1576" s="2" t="s">
        <v>19</v>
      </c>
      <c r="F1576" s="2" t="s">
        <v>27</v>
      </c>
      <c r="G1576" s="2" t="s">
        <v>465</v>
      </c>
      <c r="H1576" s="3">
        <v>45638.026388888888</v>
      </c>
      <c r="I1576" s="3">
        <v>45638.192361111112</v>
      </c>
      <c r="J1576" s="2">
        <v>140</v>
      </c>
      <c r="K1576" s="2">
        <v>239</v>
      </c>
      <c r="L1576" s="2">
        <v>1</v>
      </c>
      <c r="M1576" s="2" t="s">
        <v>29</v>
      </c>
      <c r="N1576" s="2">
        <v>10</v>
      </c>
      <c r="O1576" s="2">
        <v>431.69</v>
      </c>
      <c r="P1576" s="2">
        <f t="shared" si="120"/>
        <v>99</v>
      </c>
      <c r="Q1576" s="4">
        <f t="shared" si="121"/>
        <v>0.58577405857740583</v>
      </c>
      <c r="R1576" s="2" t="str">
        <f t="shared" si="122"/>
        <v>Inefficient</v>
      </c>
      <c r="S1576" s="2" t="str">
        <f t="shared" si="123"/>
        <v>Very Long</v>
      </c>
      <c r="T1576" s="2" t="str">
        <f t="shared" si="124"/>
        <v>Major Delay</v>
      </c>
    </row>
    <row r="1577" spans="1:20" x14ac:dyDescent="0.35">
      <c r="A1577" s="2" t="s">
        <v>3337</v>
      </c>
      <c r="B1577" s="2" t="s">
        <v>31</v>
      </c>
      <c r="C1577" s="2" t="s">
        <v>3338</v>
      </c>
      <c r="D1577" s="2" t="s">
        <v>44</v>
      </c>
      <c r="E1577" s="2" t="s">
        <v>38</v>
      </c>
      <c r="F1577" s="2" t="s">
        <v>27</v>
      </c>
      <c r="G1577" s="2" t="s">
        <v>91</v>
      </c>
      <c r="H1577" s="3">
        <v>45584.049305555556</v>
      </c>
      <c r="I1577" s="3">
        <v>45584.160416666666</v>
      </c>
      <c r="J1577" s="2">
        <v>68</v>
      </c>
      <c r="K1577" s="2">
        <v>160</v>
      </c>
      <c r="L1577" s="2">
        <v>1</v>
      </c>
      <c r="M1577" s="2" t="s">
        <v>29</v>
      </c>
      <c r="N1577" s="2">
        <v>2</v>
      </c>
      <c r="O1577" s="2">
        <v>383.96</v>
      </c>
      <c r="P1577" s="2">
        <f t="shared" si="120"/>
        <v>92</v>
      </c>
      <c r="Q1577" s="4">
        <f t="shared" si="121"/>
        <v>0.42499999999999999</v>
      </c>
      <c r="R1577" s="2" t="str">
        <f t="shared" si="122"/>
        <v>Inefficient</v>
      </c>
      <c r="S1577" s="2" t="str">
        <f t="shared" si="123"/>
        <v>Very Long</v>
      </c>
      <c r="T1577" s="2" t="str">
        <f t="shared" si="124"/>
        <v>Major Delay</v>
      </c>
    </row>
    <row r="1578" spans="1:20" x14ac:dyDescent="0.35">
      <c r="A1578" s="2" t="s">
        <v>3339</v>
      </c>
      <c r="B1578" s="2" t="s">
        <v>24</v>
      </c>
      <c r="C1578" s="2" t="s">
        <v>3340</v>
      </c>
      <c r="D1578" s="2" t="s">
        <v>44</v>
      </c>
      <c r="E1578" s="2" t="s">
        <v>19</v>
      </c>
      <c r="F1578" s="2" t="s">
        <v>39</v>
      </c>
      <c r="G1578" s="2" t="s">
        <v>456</v>
      </c>
      <c r="H1578" s="3">
        <v>45560.519444444442</v>
      </c>
      <c r="I1578" s="3">
        <v>45560.693749999999</v>
      </c>
      <c r="J1578" s="2">
        <v>137</v>
      </c>
      <c r="K1578" s="2">
        <v>251</v>
      </c>
      <c r="L1578" s="2">
        <v>1</v>
      </c>
      <c r="M1578" s="2" t="s">
        <v>22</v>
      </c>
      <c r="N1578" s="2">
        <v>8</v>
      </c>
      <c r="O1578" s="2">
        <v>456.16</v>
      </c>
      <c r="P1578" s="2">
        <f t="shared" si="120"/>
        <v>114</v>
      </c>
      <c r="Q1578" s="4">
        <f t="shared" si="121"/>
        <v>0.54581673306772904</v>
      </c>
      <c r="R1578" s="2" t="str">
        <f t="shared" si="122"/>
        <v>Inefficient</v>
      </c>
      <c r="S1578" s="2" t="str">
        <f t="shared" si="123"/>
        <v>Very Long</v>
      </c>
      <c r="T1578" s="2" t="str">
        <f t="shared" si="124"/>
        <v>Major Delay</v>
      </c>
    </row>
    <row r="1579" spans="1:20" x14ac:dyDescent="0.35">
      <c r="A1579" s="2" t="s">
        <v>3341</v>
      </c>
      <c r="B1579" s="2" t="s">
        <v>31</v>
      </c>
      <c r="C1579" s="2" t="s">
        <v>3342</v>
      </c>
      <c r="D1579" s="2" t="s">
        <v>48</v>
      </c>
      <c r="E1579" s="2" t="s">
        <v>85</v>
      </c>
      <c r="F1579" s="2" t="s">
        <v>39</v>
      </c>
      <c r="G1579" s="2" t="s">
        <v>222</v>
      </c>
      <c r="H1579" s="3">
        <v>45462.521527777775</v>
      </c>
      <c r="I1579" s="3">
        <v>45462.623611111114</v>
      </c>
      <c r="J1579" s="2">
        <v>119</v>
      </c>
      <c r="K1579" s="2">
        <v>147</v>
      </c>
      <c r="L1579" s="2">
        <v>1</v>
      </c>
      <c r="M1579" s="2" t="s">
        <v>29</v>
      </c>
      <c r="N1579" s="2">
        <v>6</v>
      </c>
      <c r="O1579" s="2">
        <v>495.9</v>
      </c>
      <c r="P1579" s="2">
        <f t="shared" si="120"/>
        <v>28</v>
      </c>
      <c r="Q1579" s="4">
        <f t="shared" si="121"/>
        <v>0.80952380952380953</v>
      </c>
      <c r="R1579" s="2" t="str">
        <f t="shared" si="122"/>
        <v>Inefficient</v>
      </c>
      <c r="S1579" s="2" t="str">
        <f t="shared" si="123"/>
        <v>Very Long</v>
      </c>
      <c r="T1579" s="2" t="str">
        <f t="shared" si="124"/>
        <v>Minor Delay</v>
      </c>
    </row>
    <row r="1580" spans="1:20" x14ac:dyDescent="0.35">
      <c r="A1580" s="2" t="s">
        <v>3343</v>
      </c>
      <c r="B1580" s="2" t="s">
        <v>51</v>
      </c>
      <c r="C1580" s="2" t="s">
        <v>3344</v>
      </c>
      <c r="D1580" s="2" t="s">
        <v>44</v>
      </c>
      <c r="E1580" s="2" t="s">
        <v>85</v>
      </c>
      <c r="F1580" s="2" t="s">
        <v>20</v>
      </c>
      <c r="G1580" s="2" t="s">
        <v>293</v>
      </c>
      <c r="H1580" s="3">
        <v>45425.865277777775</v>
      </c>
      <c r="I1580" s="3">
        <v>45426.019444444442</v>
      </c>
      <c r="J1580" s="2">
        <v>221</v>
      </c>
      <c r="K1580" s="2">
        <v>222</v>
      </c>
      <c r="L1580" s="2">
        <v>1</v>
      </c>
      <c r="M1580" s="2" t="s">
        <v>29</v>
      </c>
      <c r="N1580" s="2">
        <v>4</v>
      </c>
      <c r="O1580" s="2">
        <v>142.79</v>
      </c>
      <c r="P1580" s="2">
        <f t="shared" si="120"/>
        <v>1</v>
      </c>
      <c r="Q1580" s="4">
        <f t="shared" si="121"/>
        <v>0.99549549549549554</v>
      </c>
      <c r="R1580" s="2" t="str">
        <f t="shared" si="122"/>
        <v>Inefficient</v>
      </c>
      <c r="S1580" s="2" t="str">
        <f t="shared" si="123"/>
        <v>Very Long</v>
      </c>
      <c r="T1580" s="2" t="str">
        <f t="shared" si="124"/>
        <v>Minor Delay</v>
      </c>
    </row>
    <row r="1581" spans="1:20" x14ac:dyDescent="0.35">
      <c r="A1581" s="2" t="s">
        <v>3345</v>
      </c>
      <c r="B1581" s="2" t="s">
        <v>63</v>
      </c>
      <c r="C1581" s="2" t="s">
        <v>3346</v>
      </c>
      <c r="D1581" s="2" t="s">
        <v>56</v>
      </c>
      <c r="E1581" s="2" t="s">
        <v>33</v>
      </c>
      <c r="F1581" s="2" t="s">
        <v>39</v>
      </c>
      <c r="G1581" s="2" t="s">
        <v>669</v>
      </c>
      <c r="H1581" s="3">
        <v>45465.279166666667</v>
      </c>
      <c r="I1581" s="3">
        <v>45465.40625</v>
      </c>
      <c r="J1581" s="2">
        <v>122</v>
      </c>
      <c r="K1581" s="2">
        <v>183</v>
      </c>
      <c r="L1581" s="2">
        <v>1</v>
      </c>
      <c r="M1581" s="2" t="s">
        <v>22</v>
      </c>
      <c r="N1581" s="2">
        <v>7</v>
      </c>
      <c r="O1581" s="2">
        <v>196.2</v>
      </c>
      <c r="P1581" s="2">
        <f t="shared" si="120"/>
        <v>61</v>
      </c>
      <c r="Q1581" s="4">
        <f t="shared" si="121"/>
        <v>0.66666666666666663</v>
      </c>
      <c r="R1581" s="2" t="str">
        <f t="shared" si="122"/>
        <v>Inefficient</v>
      </c>
      <c r="S1581" s="2" t="str">
        <f t="shared" si="123"/>
        <v>Very Long</v>
      </c>
      <c r="T1581" s="2" t="str">
        <f t="shared" si="124"/>
        <v>Major Delay</v>
      </c>
    </row>
    <row r="1582" spans="1:20" x14ac:dyDescent="0.35">
      <c r="A1582" s="2" t="s">
        <v>3347</v>
      </c>
      <c r="B1582" s="2" t="s">
        <v>51</v>
      </c>
      <c r="C1582" s="2" t="s">
        <v>3348</v>
      </c>
      <c r="D1582" s="2" t="s">
        <v>26</v>
      </c>
      <c r="E1582" s="2" t="s">
        <v>33</v>
      </c>
      <c r="F1582" s="2" t="s">
        <v>34</v>
      </c>
      <c r="G1582" s="2" t="s">
        <v>152</v>
      </c>
      <c r="H1582" s="3">
        <v>45525.890277777777</v>
      </c>
      <c r="I1582" s="3">
        <v>45526.075694444444</v>
      </c>
      <c r="J1582" s="2">
        <v>171</v>
      </c>
      <c r="K1582" s="2">
        <v>267</v>
      </c>
      <c r="L1582" s="2">
        <v>1</v>
      </c>
      <c r="M1582" s="2" t="s">
        <v>41</v>
      </c>
      <c r="N1582" s="2">
        <v>8</v>
      </c>
      <c r="O1582" s="2">
        <v>373.68</v>
      </c>
      <c r="P1582" s="2">
        <f t="shared" si="120"/>
        <v>96</v>
      </c>
      <c r="Q1582" s="4">
        <f t="shared" si="121"/>
        <v>0.6404494382022472</v>
      </c>
      <c r="R1582" s="2" t="str">
        <f t="shared" si="122"/>
        <v>Inefficient</v>
      </c>
      <c r="S1582" s="2" t="str">
        <f t="shared" si="123"/>
        <v>Very Long</v>
      </c>
      <c r="T1582" s="2" t="str">
        <f t="shared" si="124"/>
        <v>Major Delay</v>
      </c>
    </row>
    <row r="1583" spans="1:20" x14ac:dyDescent="0.35">
      <c r="A1583" s="2" t="s">
        <v>3349</v>
      </c>
      <c r="B1583" s="2" t="s">
        <v>51</v>
      </c>
      <c r="C1583" s="2" t="s">
        <v>3350</v>
      </c>
      <c r="D1583" s="2" t="s">
        <v>48</v>
      </c>
      <c r="E1583" s="2" t="s">
        <v>19</v>
      </c>
      <c r="F1583" s="2" t="s">
        <v>34</v>
      </c>
      <c r="G1583" s="2" t="s">
        <v>73</v>
      </c>
      <c r="H1583" s="3">
        <v>45540.622916666667</v>
      </c>
      <c r="I1583" s="3">
        <v>45540.720138888886</v>
      </c>
      <c r="J1583" s="2">
        <v>100</v>
      </c>
      <c r="K1583" s="2">
        <v>140</v>
      </c>
      <c r="L1583" s="2">
        <v>1</v>
      </c>
      <c r="M1583" s="2" t="s">
        <v>41</v>
      </c>
      <c r="N1583" s="2">
        <v>10</v>
      </c>
      <c r="O1583" s="2">
        <v>367.2</v>
      </c>
      <c r="P1583" s="2">
        <f t="shared" si="120"/>
        <v>40</v>
      </c>
      <c r="Q1583" s="4">
        <f t="shared" si="121"/>
        <v>0.7142857142857143</v>
      </c>
      <c r="R1583" s="2" t="str">
        <f t="shared" si="122"/>
        <v>Inefficient</v>
      </c>
      <c r="S1583" s="2" t="str">
        <f t="shared" si="123"/>
        <v>Very Long</v>
      </c>
      <c r="T1583" s="2" t="str">
        <f t="shared" si="124"/>
        <v>Major Delay</v>
      </c>
    </row>
    <row r="1584" spans="1:20" x14ac:dyDescent="0.35">
      <c r="A1584" s="2" t="s">
        <v>3351</v>
      </c>
      <c r="B1584" s="2" t="s">
        <v>63</v>
      </c>
      <c r="C1584" s="2" t="s">
        <v>3352</v>
      </c>
      <c r="D1584" s="2" t="s">
        <v>26</v>
      </c>
      <c r="E1584" s="2" t="s">
        <v>85</v>
      </c>
      <c r="F1584" s="2" t="s">
        <v>27</v>
      </c>
      <c r="G1584" s="2" t="s">
        <v>132</v>
      </c>
      <c r="H1584" s="3">
        <v>45517.843055555553</v>
      </c>
      <c r="I1584" s="3">
        <v>45518.013194444444</v>
      </c>
      <c r="J1584" s="2">
        <v>235</v>
      </c>
      <c r="K1584" s="2">
        <v>245</v>
      </c>
      <c r="L1584" s="2">
        <v>1</v>
      </c>
      <c r="M1584" s="2" t="s">
        <v>41</v>
      </c>
      <c r="N1584" s="2">
        <v>3</v>
      </c>
      <c r="O1584" s="2">
        <v>100.96</v>
      </c>
      <c r="P1584" s="2">
        <f t="shared" si="120"/>
        <v>10</v>
      </c>
      <c r="Q1584" s="4">
        <f t="shared" si="121"/>
        <v>0.95918367346938771</v>
      </c>
      <c r="R1584" s="2" t="str">
        <f t="shared" si="122"/>
        <v>Inefficient</v>
      </c>
      <c r="S1584" s="2" t="str">
        <f t="shared" si="123"/>
        <v>Very Long</v>
      </c>
      <c r="T1584" s="2" t="str">
        <f t="shared" si="124"/>
        <v>Minor Delay</v>
      </c>
    </row>
    <row r="1585" spans="1:20" x14ac:dyDescent="0.35">
      <c r="A1585" s="2" t="s">
        <v>3353</v>
      </c>
      <c r="B1585" s="2" t="s">
        <v>63</v>
      </c>
      <c r="C1585" s="2" t="s">
        <v>3354</v>
      </c>
      <c r="D1585" s="2" t="s">
        <v>48</v>
      </c>
      <c r="E1585" s="2" t="s">
        <v>38</v>
      </c>
      <c r="F1585" s="2" t="s">
        <v>57</v>
      </c>
      <c r="G1585" s="2" t="s">
        <v>308</v>
      </c>
      <c r="H1585" s="3">
        <v>45541.601388888892</v>
      </c>
      <c r="I1585" s="3">
        <v>45541.67083333333</v>
      </c>
      <c r="J1585" s="2">
        <v>81</v>
      </c>
      <c r="K1585" s="2">
        <v>100</v>
      </c>
      <c r="L1585" s="2">
        <v>1</v>
      </c>
      <c r="M1585" s="2" t="s">
        <v>29</v>
      </c>
      <c r="N1585" s="2">
        <v>7</v>
      </c>
      <c r="O1585" s="2">
        <v>368.8</v>
      </c>
      <c r="P1585" s="2">
        <f t="shared" si="120"/>
        <v>19</v>
      </c>
      <c r="Q1585" s="4">
        <f t="shared" si="121"/>
        <v>0.81</v>
      </c>
      <c r="R1585" s="2" t="str">
        <f t="shared" si="122"/>
        <v>Inefficient</v>
      </c>
      <c r="S1585" s="2" t="str">
        <f t="shared" si="123"/>
        <v>Long</v>
      </c>
      <c r="T1585" s="2" t="str">
        <f t="shared" si="124"/>
        <v>Minor Delay</v>
      </c>
    </row>
    <row r="1586" spans="1:20" x14ac:dyDescent="0.35">
      <c r="A1586" s="2" t="s">
        <v>3355</v>
      </c>
      <c r="B1586" s="2" t="s">
        <v>51</v>
      </c>
      <c r="C1586" s="2" t="s">
        <v>3356</v>
      </c>
      <c r="D1586" s="2" t="s">
        <v>18</v>
      </c>
      <c r="E1586" s="2" t="s">
        <v>33</v>
      </c>
      <c r="F1586" s="2" t="s">
        <v>34</v>
      </c>
      <c r="G1586" s="2" t="s">
        <v>126</v>
      </c>
      <c r="H1586" s="3">
        <v>45325.15625</v>
      </c>
      <c r="I1586" s="3">
        <v>45325.280555555553</v>
      </c>
      <c r="J1586" s="2">
        <v>62</v>
      </c>
      <c r="K1586" s="2">
        <v>179</v>
      </c>
      <c r="L1586" s="2">
        <v>1</v>
      </c>
      <c r="M1586" s="2" t="s">
        <v>41</v>
      </c>
      <c r="N1586" s="2">
        <v>3</v>
      </c>
      <c r="O1586" s="2">
        <v>278.23</v>
      </c>
      <c r="P1586" s="2">
        <f t="shared" si="120"/>
        <v>117</v>
      </c>
      <c r="Q1586" s="4">
        <f t="shared" si="121"/>
        <v>0.34636871508379891</v>
      </c>
      <c r="R1586" s="2" t="str">
        <f t="shared" si="122"/>
        <v>Inefficient</v>
      </c>
      <c r="S1586" s="2" t="str">
        <f t="shared" si="123"/>
        <v>Very Long</v>
      </c>
      <c r="T1586" s="2" t="str">
        <f t="shared" si="124"/>
        <v>Major Delay</v>
      </c>
    </row>
    <row r="1587" spans="1:20" x14ac:dyDescent="0.35">
      <c r="A1587" s="2" t="s">
        <v>3357</v>
      </c>
      <c r="B1587" s="2" t="s">
        <v>24</v>
      </c>
      <c r="C1587" s="2" t="s">
        <v>3358</v>
      </c>
      <c r="D1587" s="2" t="s">
        <v>18</v>
      </c>
      <c r="E1587" s="2" t="s">
        <v>19</v>
      </c>
      <c r="F1587" s="2" t="s">
        <v>39</v>
      </c>
      <c r="G1587" s="2" t="s">
        <v>470</v>
      </c>
      <c r="H1587" s="3">
        <v>45559.982638888891</v>
      </c>
      <c r="I1587" s="3">
        <v>45560.114583333336</v>
      </c>
      <c r="J1587" s="2">
        <v>126</v>
      </c>
      <c r="K1587" s="2">
        <v>190</v>
      </c>
      <c r="L1587" s="2">
        <v>1</v>
      </c>
      <c r="M1587" s="2" t="s">
        <v>29</v>
      </c>
      <c r="N1587" s="2">
        <v>2</v>
      </c>
      <c r="O1587" s="2">
        <v>445.88</v>
      </c>
      <c r="P1587" s="2">
        <f t="shared" si="120"/>
        <v>64</v>
      </c>
      <c r="Q1587" s="4">
        <f t="shared" si="121"/>
        <v>0.66315789473684206</v>
      </c>
      <c r="R1587" s="2" t="str">
        <f t="shared" si="122"/>
        <v>Inefficient</v>
      </c>
      <c r="S1587" s="2" t="str">
        <f t="shared" si="123"/>
        <v>Very Long</v>
      </c>
      <c r="T1587" s="2" t="str">
        <f t="shared" si="124"/>
        <v>Major Delay</v>
      </c>
    </row>
    <row r="1588" spans="1:20" x14ac:dyDescent="0.35">
      <c r="A1588" s="2" t="s">
        <v>3359</v>
      </c>
      <c r="B1588" s="2" t="s">
        <v>16</v>
      </c>
      <c r="C1588" s="2" t="s">
        <v>3360</v>
      </c>
      <c r="D1588" s="2" t="s">
        <v>56</v>
      </c>
      <c r="E1588" s="2" t="s">
        <v>85</v>
      </c>
      <c r="F1588" s="2" t="s">
        <v>57</v>
      </c>
      <c r="G1588" s="2" t="s">
        <v>594</v>
      </c>
      <c r="H1588" s="3">
        <v>45546.402083333334</v>
      </c>
      <c r="I1588" s="3">
        <v>45546.602083333331</v>
      </c>
      <c r="J1588" s="2">
        <v>179</v>
      </c>
      <c r="K1588" s="2">
        <v>288</v>
      </c>
      <c r="L1588" s="2">
        <v>1</v>
      </c>
      <c r="M1588" s="2" t="s">
        <v>29</v>
      </c>
      <c r="N1588" s="2">
        <v>10</v>
      </c>
      <c r="O1588" s="2">
        <v>68.040000000000006</v>
      </c>
      <c r="P1588" s="2">
        <f t="shared" si="120"/>
        <v>109</v>
      </c>
      <c r="Q1588" s="4">
        <f t="shared" si="121"/>
        <v>0.62152777777777779</v>
      </c>
      <c r="R1588" s="2" t="str">
        <f t="shared" si="122"/>
        <v>Inefficient</v>
      </c>
      <c r="S1588" s="2" t="str">
        <f t="shared" si="123"/>
        <v>Very Long</v>
      </c>
      <c r="T1588" s="2" t="str">
        <f t="shared" si="124"/>
        <v>Major Delay</v>
      </c>
    </row>
    <row r="1589" spans="1:20" x14ac:dyDescent="0.35">
      <c r="A1589" s="2" t="s">
        <v>3361</v>
      </c>
      <c r="B1589" s="2" t="s">
        <v>63</v>
      </c>
      <c r="C1589" s="2" t="s">
        <v>3362</v>
      </c>
      <c r="D1589" s="2" t="s">
        <v>18</v>
      </c>
      <c r="E1589" s="2" t="s">
        <v>19</v>
      </c>
      <c r="F1589" s="2" t="s">
        <v>34</v>
      </c>
      <c r="G1589" s="2" t="s">
        <v>152</v>
      </c>
      <c r="H1589" s="3">
        <v>45506.37777777778</v>
      </c>
      <c r="I1589" s="3">
        <v>45506.574999999997</v>
      </c>
      <c r="J1589" s="2">
        <v>166</v>
      </c>
      <c r="K1589" s="2">
        <v>284</v>
      </c>
      <c r="L1589" s="2">
        <v>1</v>
      </c>
      <c r="M1589" s="2" t="s">
        <v>22</v>
      </c>
      <c r="N1589" s="2">
        <v>1</v>
      </c>
      <c r="O1589" s="2">
        <v>246.03</v>
      </c>
      <c r="P1589" s="2">
        <f t="shared" si="120"/>
        <v>118</v>
      </c>
      <c r="Q1589" s="4">
        <f t="shared" si="121"/>
        <v>0.58450704225352113</v>
      </c>
      <c r="R1589" s="2" t="str">
        <f t="shared" si="122"/>
        <v>Inefficient</v>
      </c>
      <c r="S1589" s="2" t="str">
        <f t="shared" si="123"/>
        <v>Very Long</v>
      </c>
      <c r="T1589" s="2" t="str">
        <f t="shared" si="124"/>
        <v>Major Delay</v>
      </c>
    </row>
    <row r="1590" spans="1:20" x14ac:dyDescent="0.35">
      <c r="A1590" s="2" t="s">
        <v>3363</v>
      </c>
      <c r="B1590" s="2" t="s">
        <v>63</v>
      </c>
      <c r="C1590" s="2" t="s">
        <v>3364</v>
      </c>
      <c r="D1590" s="2" t="s">
        <v>56</v>
      </c>
      <c r="E1590" s="2" t="s">
        <v>85</v>
      </c>
      <c r="F1590" s="2" t="s">
        <v>27</v>
      </c>
      <c r="G1590" s="2" t="s">
        <v>97</v>
      </c>
      <c r="H1590" s="3">
        <v>45354.525694444441</v>
      </c>
      <c r="I1590" s="3">
        <v>45354.618055555555</v>
      </c>
      <c r="J1590" s="2">
        <v>134</v>
      </c>
      <c r="K1590" s="2">
        <v>133</v>
      </c>
      <c r="L1590" s="2">
        <v>0</v>
      </c>
      <c r="M1590" s="2" t="s">
        <v>41</v>
      </c>
      <c r="N1590" s="2">
        <v>3</v>
      </c>
      <c r="O1590" s="2">
        <v>291.04000000000002</v>
      </c>
      <c r="P1590" s="2">
        <f t="shared" si="120"/>
        <v>-1</v>
      </c>
      <c r="Q1590" s="4">
        <f t="shared" si="121"/>
        <v>1.0075187969924813</v>
      </c>
      <c r="R1590" s="2" t="str">
        <f t="shared" si="122"/>
        <v>Efficient</v>
      </c>
      <c r="S1590" s="2" t="str">
        <f t="shared" si="123"/>
        <v>Very Long</v>
      </c>
      <c r="T1590" s="2" t="str">
        <f t="shared" si="124"/>
        <v>On Time</v>
      </c>
    </row>
    <row r="1591" spans="1:20" x14ac:dyDescent="0.35">
      <c r="A1591" s="2" t="s">
        <v>3365</v>
      </c>
      <c r="B1591" s="2" t="s">
        <v>63</v>
      </c>
      <c r="C1591" s="2" t="s">
        <v>3366</v>
      </c>
      <c r="D1591" s="2" t="s">
        <v>44</v>
      </c>
      <c r="E1591" s="2" t="s">
        <v>19</v>
      </c>
      <c r="F1591" s="2" t="s">
        <v>20</v>
      </c>
      <c r="G1591" s="2" t="s">
        <v>173</v>
      </c>
      <c r="H1591" s="3">
        <v>45309.802777777775</v>
      </c>
      <c r="I1591" s="3">
        <v>45309.920138888891</v>
      </c>
      <c r="J1591" s="2">
        <v>174</v>
      </c>
      <c r="K1591" s="2">
        <v>169</v>
      </c>
      <c r="L1591" s="2">
        <v>0</v>
      </c>
      <c r="M1591" s="2" t="s">
        <v>29</v>
      </c>
      <c r="N1591" s="2">
        <v>5</v>
      </c>
      <c r="O1591" s="2">
        <v>284.79000000000002</v>
      </c>
      <c r="P1591" s="2">
        <f t="shared" si="120"/>
        <v>-5</v>
      </c>
      <c r="Q1591" s="4">
        <f t="shared" si="121"/>
        <v>1.029585798816568</v>
      </c>
      <c r="R1591" s="2" t="str">
        <f t="shared" si="122"/>
        <v>Efficient</v>
      </c>
      <c r="S1591" s="2" t="str">
        <f t="shared" si="123"/>
        <v>Very Long</v>
      </c>
      <c r="T1591" s="2" t="str">
        <f t="shared" si="124"/>
        <v>On Time</v>
      </c>
    </row>
    <row r="1592" spans="1:20" x14ac:dyDescent="0.35">
      <c r="A1592" s="2" t="s">
        <v>3367</v>
      </c>
      <c r="B1592" s="2" t="s">
        <v>16</v>
      </c>
      <c r="C1592" s="2" t="s">
        <v>3368</v>
      </c>
      <c r="D1592" s="2" t="s">
        <v>18</v>
      </c>
      <c r="E1592" s="2" t="s">
        <v>38</v>
      </c>
      <c r="F1592" s="2" t="s">
        <v>57</v>
      </c>
      <c r="G1592" s="2" t="s">
        <v>49</v>
      </c>
      <c r="H1592" s="3">
        <v>45612.052083333336</v>
      </c>
      <c r="I1592" s="3">
        <v>45612.183333333334</v>
      </c>
      <c r="J1592" s="2">
        <v>107</v>
      </c>
      <c r="K1592" s="2">
        <v>189</v>
      </c>
      <c r="L1592" s="2">
        <v>1</v>
      </c>
      <c r="M1592" s="2" t="s">
        <v>29</v>
      </c>
      <c r="N1592" s="2">
        <v>3</v>
      </c>
      <c r="O1592" s="2">
        <v>400.19</v>
      </c>
      <c r="P1592" s="2">
        <f t="shared" si="120"/>
        <v>82</v>
      </c>
      <c r="Q1592" s="4">
        <f t="shared" si="121"/>
        <v>0.56613756613756616</v>
      </c>
      <c r="R1592" s="2" t="str">
        <f t="shared" si="122"/>
        <v>Inefficient</v>
      </c>
      <c r="S1592" s="2" t="str">
        <f t="shared" si="123"/>
        <v>Very Long</v>
      </c>
      <c r="T1592" s="2" t="str">
        <f t="shared" si="124"/>
        <v>Major Delay</v>
      </c>
    </row>
    <row r="1593" spans="1:20" x14ac:dyDescent="0.35">
      <c r="A1593" s="2" t="s">
        <v>3369</v>
      </c>
      <c r="B1593" s="2" t="s">
        <v>24</v>
      </c>
      <c r="C1593" s="2" t="s">
        <v>3370</v>
      </c>
      <c r="D1593" s="2" t="s">
        <v>44</v>
      </c>
      <c r="E1593" s="2" t="s">
        <v>85</v>
      </c>
      <c r="F1593" s="2" t="s">
        <v>27</v>
      </c>
      <c r="G1593" s="2" t="s">
        <v>338</v>
      </c>
      <c r="H1593" s="3">
        <v>45349.227777777778</v>
      </c>
      <c r="I1593" s="3">
        <v>45349.445138888892</v>
      </c>
      <c r="J1593" s="2">
        <v>233</v>
      </c>
      <c r="K1593" s="2">
        <v>313</v>
      </c>
      <c r="L1593" s="2">
        <v>1</v>
      </c>
      <c r="M1593" s="2" t="s">
        <v>22</v>
      </c>
      <c r="N1593" s="2">
        <v>7</v>
      </c>
      <c r="O1593" s="2">
        <v>226.04</v>
      </c>
      <c r="P1593" s="2">
        <f t="shared" si="120"/>
        <v>80</v>
      </c>
      <c r="Q1593" s="4">
        <f t="shared" si="121"/>
        <v>0.74440894568690097</v>
      </c>
      <c r="R1593" s="2" t="str">
        <f t="shared" si="122"/>
        <v>Inefficient</v>
      </c>
      <c r="S1593" s="2" t="str">
        <f t="shared" si="123"/>
        <v>Very Long</v>
      </c>
      <c r="T1593" s="2" t="str">
        <f t="shared" si="124"/>
        <v>Major Delay</v>
      </c>
    </row>
    <row r="1594" spans="1:20" x14ac:dyDescent="0.35">
      <c r="A1594" s="2" t="s">
        <v>3371</v>
      </c>
      <c r="B1594" s="2" t="s">
        <v>63</v>
      </c>
      <c r="C1594" s="2" t="s">
        <v>3372</v>
      </c>
      <c r="D1594" s="2" t="s">
        <v>26</v>
      </c>
      <c r="E1594" s="2" t="s">
        <v>85</v>
      </c>
      <c r="F1594" s="2" t="s">
        <v>27</v>
      </c>
      <c r="G1594" s="2" t="s">
        <v>188</v>
      </c>
      <c r="H1594" s="3">
        <v>45462.371527777781</v>
      </c>
      <c r="I1594" s="3">
        <v>45462.513888888891</v>
      </c>
      <c r="J1594" s="2">
        <v>162</v>
      </c>
      <c r="K1594" s="2">
        <v>205</v>
      </c>
      <c r="L1594" s="2">
        <v>1</v>
      </c>
      <c r="M1594" s="2" t="s">
        <v>22</v>
      </c>
      <c r="N1594" s="2">
        <v>2</v>
      </c>
      <c r="O1594" s="2">
        <v>469.09</v>
      </c>
      <c r="P1594" s="2">
        <f t="shared" si="120"/>
        <v>43</v>
      </c>
      <c r="Q1594" s="4">
        <f t="shared" si="121"/>
        <v>0.79024390243902443</v>
      </c>
      <c r="R1594" s="2" t="str">
        <f t="shared" si="122"/>
        <v>Inefficient</v>
      </c>
      <c r="S1594" s="2" t="str">
        <f t="shared" si="123"/>
        <v>Very Long</v>
      </c>
      <c r="T1594" s="2" t="str">
        <f t="shared" si="124"/>
        <v>Major Delay</v>
      </c>
    </row>
    <row r="1595" spans="1:20" x14ac:dyDescent="0.35">
      <c r="A1595" s="2" t="s">
        <v>3373</v>
      </c>
      <c r="B1595" s="2" t="s">
        <v>16</v>
      </c>
      <c r="C1595" s="2" t="s">
        <v>3374</v>
      </c>
      <c r="D1595" s="2" t="s">
        <v>18</v>
      </c>
      <c r="E1595" s="2" t="s">
        <v>33</v>
      </c>
      <c r="F1595" s="2" t="s">
        <v>20</v>
      </c>
      <c r="G1595" s="2" t="s">
        <v>476</v>
      </c>
      <c r="H1595" s="3">
        <v>45375.736111111109</v>
      </c>
      <c r="I1595" s="3">
        <v>45375.916666666664</v>
      </c>
      <c r="J1595" s="2">
        <v>216</v>
      </c>
      <c r="K1595" s="2">
        <v>260</v>
      </c>
      <c r="L1595" s="2">
        <v>1</v>
      </c>
      <c r="M1595" s="2" t="s">
        <v>22</v>
      </c>
      <c r="N1595" s="2">
        <v>7</v>
      </c>
      <c r="O1595" s="2">
        <v>445.11</v>
      </c>
      <c r="P1595" s="2">
        <f t="shared" si="120"/>
        <v>44</v>
      </c>
      <c r="Q1595" s="4">
        <f t="shared" si="121"/>
        <v>0.83076923076923082</v>
      </c>
      <c r="R1595" s="2" t="str">
        <f t="shared" si="122"/>
        <v>Inefficient</v>
      </c>
      <c r="S1595" s="2" t="str">
        <f t="shared" si="123"/>
        <v>Very Long</v>
      </c>
      <c r="T1595" s="2" t="str">
        <f t="shared" si="124"/>
        <v>Major Delay</v>
      </c>
    </row>
    <row r="1596" spans="1:20" x14ac:dyDescent="0.35">
      <c r="A1596" s="2" t="s">
        <v>3375</v>
      </c>
      <c r="B1596" s="2" t="s">
        <v>24</v>
      </c>
      <c r="C1596" s="2" t="s">
        <v>3376</v>
      </c>
      <c r="D1596" s="2" t="s">
        <v>44</v>
      </c>
      <c r="E1596" s="2" t="s">
        <v>38</v>
      </c>
      <c r="F1596" s="2" t="s">
        <v>39</v>
      </c>
      <c r="G1596" s="2" t="s">
        <v>28</v>
      </c>
      <c r="H1596" s="3">
        <v>45575.051388888889</v>
      </c>
      <c r="I1596" s="3">
        <v>45575.229166666664</v>
      </c>
      <c r="J1596" s="2">
        <v>239</v>
      </c>
      <c r="K1596" s="2">
        <v>256</v>
      </c>
      <c r="L1596" s="2">
        <v>1</v>
      </c>
      <c r="M1596" s="2" t="s">
        <v>41</v>
      </c>
      <c r="N1596" s="2">
        <v>5</v>
      </c>
      <c r="O1596" s="2">
        <v>306.02999999999997</v>
      </c>
      <c r="P1596" s="2">
        <f t="shared" si="120"/>
        <v>17</v>
      </c>
      <c r="Q1596" s="4">
        <f t="shared" si="121"/>
        <v>0.93359375</v>
      </c>
      <c r="R1596" s="2" t="str">
        <f t="shared" si="122"/>
        <v>Inefficient</v>
      </c>
      <c r="S1596" s="2" t="str">
        <f t="shared" si="123"/>
        <v>Very Long</v>
      </c>
      <c r="T1596" s="2" t="str">
        <f t="shared" si="124"/>
        <v>Minor Delay</v>
      </c>
    </row>
    <row r="1597" spans="1:20" x14ac:dyDescent="0.35">
      <c r="A1597" s="2" t="s">
        <v>3377</v>
      </c>
      <c r="B1597" s="2" t="s">
        <v>31</v>
      </c>
      <c r="C1597" s="2" t="s">
        <v>3378</v>
      </c>
      <c r="D1597" s="2" t="s">
        <v>44</v>
      </c>
      <c r="E1597" s="2" t="s">
        <v>38</v>
      </c>
      <c r="F1597" s="2" t="s">
        <v>20</v>
      </c>
      <c r="G1597" s="2" t="s">
        <v>810</v>
      </c>
      <c r="H1597" s="3">
        <v>45556.818055555559</v>
      </c>
      <c r="I1597" s="3">
        <v>45556.924305555556</v>
      </c>
      <c r="J1597" s="2">
        <v>131</v>
      </c>
      <c r="K1597" s="2">
        <v>153</v>
      </c>
      <c r="L1597" s="2">
        <v>1</v>
      </c>
      <c r="M1597" s="2" t="s">
        <v>22</v>
      </c>
      <c r="N1597" s="2">
        <v>1</v>
      </c>
      <c r="O1597" s="2">
        <v>328.77</v>
      </c>
      <c r="P1597" s="2">
        <f t="shared" si="120"/>
        <v>22</v>
      </c>
      <c r="Q1597" s="4">
        <f t="shared" si="121"/>
        <v>0.85620915032679734</v>
      </c>
      <c r="R1597" s="2" t="str">
        <f t="shared" si="122"/>
        <v>Inefficient</v>
      </c>
      <c r="S1597" s="2" t="str">
        <f t="shared" si="123"/>
        <v>Very Long</v>
      </c>
      <c r="T1597" s="2" t="str">
        <f t="shared" si="124"/>
        <v>Minor Delay</v>
      </c>
    </row>
    <row r="1598" spans="1:20" x14ac:dyDescent="0.35">
      <c r="A1598" s="2" t="s">
        <v>3379</v>
      </c>
      <c r="B1598" s="2" t="s">
        <v>51</v>
      </c>
      <c r="C1598" s="2" t="s">
        <v>3380</v>
      </c>
      <c r="D1598" s="2" t="s">
        <v>18</v>
      </c>
      <c r="E1598" s="2" t="s">
        <v>33</v>
      </c>
      <c r="F1598" s="2" t="s">
        <v>57</v>
      </c>
      <c r="G1598" s="2" t="s">
        <v>650</v>
      </c>
      <c r="H1598" s="3">
        <v>45528.408333333333</v>
      </c>
      <c r="I1598" s="3">
        <v>45528.493750000001</v>
      </c>
      <c r="J1598" s="2">
        <v>59</v>
      </c>
      <c r="K1598" s="2">
        <v>123</v>
      </c>
      <c r="L1598" s="2">
        <v>1</v>
      </c>
      <c r="M1598" s="2" t="s">
        <v>41</v>
      </c>
      <c r="N1598" s="2">
        <v>2</v>
      </c>
      <c r="O1598" s="2">
        <v>217.96</v>
      </c>
      <c r="P1598" s="2">
        <f t="shared" si="120"/>
        <v>64</v>
      </c>
      <c r="Q1598" s="4">
        <f t="shared" si="121"/>
        <v>0.47967479674796748</v>
      </c>
      <c r="R1598" s="2" t="str">
        <f t="shared" si="122"/>
        <v>Inefficient</v>
      </c>
      <c r="S1598" s="2" t="str">
        <f t="shared" si="123"/>
        <v>Very Long</v>
      </c>
      <c r="T1598" s="2" t="str">
        <f t="shared" si="124"/>
        <v>Major Delay</v>
      </c>
    </row>
    <row r="1599" spans="1:20" x14ac:dyDescent="0.35">
      <c r="A1599" s="2" t="s">
        <v>3381</v>
      </c>
      <c r="B1599" s="2" t="s">
        <v>63</v>
      </c>
      <c r="C1599" s="2" t="s">
        <v>3382</v>
      </c>
      <c r="D1599" s="2" t="s">
        <v>56</v>
      </c>
      <c r="E1599" s="2" t="s">
        <v>85</v>
      </c>
      <c r="F1599" s="2" t="s">
        <v>39</v>
      </c>
      <c r="G1599" s="2" t="s">
        <v>194</v>
      </c>
      <c r="H1599" s="3">
        <v>45552.027083333334</v>
      </c>
      <c r="I1599" s="3">
        <v>45552.157638888886</v>
      </c>
      <c r="J1599" s="2">
        <v>145</v>
      </c>
      <c r="K1599" s="2">
        <v>188</v>
      </c>
      <c r="L1599" s="2">
        <v>1</v>
      </c>
      <c r="M1599" s="2" t="s">
        <v>41</v>
      </c>
      <c r="N1599" s="2">
        <v>7</v>
      </c>
      <c r="O1599" s="2">
        <v>155.26</v>
      </c>
      <c r="P1599" s="2">
        <f t="shared" si="120"/>
        <v>43</v>
      </c>
      <c r="Q1599" s="4">
        <f t="shared" si="121"/>
        <v>0.77127659574468088</v>
      </c>
      <c r="R1599" s="2" t="str">
        <f t="shared" si="122"/>
        <v>Inefficient</v>
      </c>
      <c r="S1599" s="2" t="str">
        <f t="shared" si="123"/>
        <v>Very Long</v>
      </c>
      <c r="T1599" s="2" t="str">
        <f t="shared" si="124"/>
        <v>Major Delay</v>
      </c>
    </row>
    <row r="1600" spans="1:20" x14ac:dyDescent="0.35">
      <c r="A1600" s="2" t="s">
        <v>3383</v>
      </c>
      <c r="B1600" s="2" t="s">
        <v>16</v>
      </c>
      <c r="C1600" s="2" t="s">
        <v>3384</v>
      </c>
      <c r="D1600" s="2" t="s">
        <v>18</v>
      </c>
      <c r="E1600" s="2" t="s">
        <v>38</v>
      </c>
      <c r="F1600" s="2" t="s">
        <v>39</v>
      </c>
      <c r="G1600" s="2" t="s">
        <v>445</v>
      </c>
      <c r="H1600" s="3">
        <v>45363.136111111111</v>
      </c>
      <c r="I1600" s="3">
        <v>45363.18472222222</v>
      </c>
      <c r="J1600" s="2">
        <v>48</v>
      </c>
      <c r="K1600" s="2">
        <v>70</v>
      </c>
      <c r="L1600" s="2">
        <v>1</v>
      </c>
      <c r="M1600" s="2" t="s">
        <v>41</v>
      </c>
      <c r="N1600" s="2">
        <v>5</v>
      </c>
      <c r="O1600" s="2">
        <v>494.89</v>
      </c>
      <c r="P1600" s="2">
        <f t="shared" si="120"/>
        <v>22</v>
      </c>
      <c r="Q1600" s="4">
        <f t="shared" si="121"/>
        <v>0.68571428571428572</v>
      </c>
      <c r="R1600" s="2" t="str">
        <f t="shared" si="122"/>
        <v>Inefficient</v>
      </c>
      <c r="S1600" s="2" t="str">
        <f t="shared" si="123"/>
        <v>Long</v>
      </c>
      <c r="T1600" s="2" t="str">
        <f t="shared" si="124"/>
        <v>Minor Delay</v>
      </c>
    </row>
    <row r="1601" spans="1:20" x14ac:dyDescent="0.35">
      <c r="A1601" s="2" t="s">
        <v>3385</v>
      </c>
      <c r="B1601" s="2" t="s">
        <v>24</v>
      </c>
      <c r="C1601" s="2" t="s">
        <v>3386</v>
      </c>
      <c r="D1601" s="2" t="s">
        <v>48</v>
      </c>
      <c r="E1601" s="2" t="s">
        <v>38</v>
      </c>
      <c r="F1601" s="2" t="s">
        <v>39</v>
      </c>
      <c r="G1601" s="2" t="s">
        <v>68</v>
      </c>
      <c r="H1601" s="3">
        <v>45608.1</v>
      </c>
      <c r="I1601" s="3">
        <v>45608.304166666669</v>
      </c>
      <c r="J1601" s="2">
        <v>236</v>
      </c>
      <c r="K1601" s="2">
        <v>294</v>
      </c>
      <c r="L1601" s="2">
        <v>1</v>
      </c>
      <c r="M1601" s="2" t="s">
        <v>22</v>
      </c>
      <c r="N1601" s="2">
        <v>4</v>
      </c>
      <c r="O1601" s="2">
        <v>429</v>
      </c>
      <c r="P1601" s="2">
        <f t="shared" si="120"/>
        <v>58</v>
      </c>
      <c r="Q1601" s="4">
        <f t="shared" si="121"/>
        <v>0.80272108843537415</v>
      </c>
      <c r="R1601" s="2" t="str">
        <f t="shared" si="122"/>
        <v>Inefficient</v>
      </c>
      <c r="S1601" s="2" t="str">
        <f t="shared" si="123"/>
        <v>Very Long</v>
      </c>
      <c r="T1601" s="2" t="str">
        <f t="shared" si="124"/>
        <v>Major Delay</v>
      </c>
    </row>
    <row r="1602" spans="1:20" x14ac:dyDescent="0.35">
      <c r="A1602" s="2" t="s">
        <v>3387</v>
      </c>
      <c r="B1602" s="2" t="s">
        <v>16</v>
      </c>
      <c r="C1602" s="2" t="s">
        <v>3388</v>
      </c>
      <c r="D1602" s="2" t="s">
        <v>26</v>
      </c>
      <c r="E1602" s="2" t="s">
        <v>85</v>
      </c>
      <c r="F1602" s="2" t="s">
        <v>20</v>
      </c>
      <c r="G1602" s="2" t="s">
        <v>28</v>
      </c>
      <c r="H1602" s="3">
        <v>45633.645138888889</v>
      </c>
      <c r="I1602" s="3">
        <v>45633.743055555555</v>
      </c>
      <c r="J1602" s="2">
        <v>68</v>
      </c>
      <c r="K1602" s="2">
        <v>141</v>
      </c>
      <c r="L1602" s="2">
        <v>1</v>
      </c>
      <c r="M1602" s="2" t="s">
        <v>29</v>
      </c>
      <c r="N1602" s="2">
        <v>1</v>
      </c>
      <c r="O1602" s="2">
        <v>178.27</v>
      </c>
      <c r="P1602" s="2">
        <f t="shared" si="120"/>
        <v>73</v>
      </c>
      <c r="Q1602" s="4">
        <f t="shared" si="121"/>
        <v>0.48226950354609927</v>
      </c>
      <c r="R1602" s="2" t="str">
        <f t="shared" si="122"/>
        <v>Inefficient</v>
      </c>
      <c r="S1602" s="2" t="str">
        <f t="shared" si="123"/>
        <v>Very Long</v>
      </c>
      <c r="T1602" s="2" t="str">
        <f t="shared" si="124"/>
        <v>Major Delay</v>
      </c>
    </row>
    <row r="1603" spans="1:20" x14ac:dyDescent="0.35">
      <c r="A1603" s="2" t="s">
        <v>3389</v>
      </c>
      <c r="B1603" s="2" t="s">
        <v>51</v>
      </c>
      <c r="C1603" s="2" t="s">
        <v>3390</v>
      </c>
      <c r="D1603" s="2" t="s">
        <v>44</v>
      </c>
      <c r="E1603" s="2" t="s">
        <v>19</v>
      </c>
      <c r="F1603" s="2" t="s">
        <v>34</v>
      </c>
      <c r="G1603" s="2" t="s">
        <v>521</v>
      </c>
      <c r="H1603" s="3">
        <v>45453.255555555559</v>
      </c>
      <c r="I1603" s="3">
        <v>45453.277083333334</v>
      </c>
      <c r="J1603" s="2">
        <v>25</v>
      </c>
      <c r="K1603" s="2">
        <v>31</v>
      </c>
      <c r="L1603" s="2">
        <v>1</v>
      </c>
      <c r="M1603" s="2" t="s">
        <v>41</v>
      </c>
      <c r="N1603" s="2">
        <v>4</v>
      </c>
      <c r="O1603" s="2">
        <v>475.12</v>
      </c>
      <c r="P1603" s="2">
        <f t="shared" ref="P1603:P1666" si="125">K1603-J1603</f>
        <v>6</v>
      </c>
      <c r="Q1603" s="4">
        <f t="shared" ref="Q1603:Q1666" si="126">J1603/K1603</f>
        <v>0.80645161290322576</v>
      </c>
      <c r="R1603" s="2" t="str">
        <f t="shared" ref="R1603:R1666" si="127">IF(Q1603&gt;1,"Efficient",
IF(Q1603=1,"On Target","Inefficient"))</f>
        <v>Inefficient</v>
      </c>
      <c r="S1603" s="2" t="str">
        <f t="shared" ref="S1603:S1666" si="128">IF(K1603&lt;30,"Short",
IF(K1603&lt;60,"Medium",
IF(K1603&lt;120,"Long","Very Long")))</f>
        <v>Medium</v>
      </c>
      <c r="T1603" s="2" t="str">
        <f t="shared" ref="T1603:T1666" si="129">IF(K1603&lt;=J1603,"On Time",
IF(K1603-J1603&lt;=30,"Minor Delay","Major Delay"))</f>
        <v>Minor Delay</v>
      </c>
    </row>
    <row r="1604" spans="1:20" x14ac:dyDescent="0.35">
      <c r="A1604" s="2" t="s">
        <v>3391</v>
      </c>
      <c r="B1604" s="2" t="s">
        <v>63</v>
      </c>
      <c r="C1604" s="2" t="s">
        <v>3392</v>
      </c>
      <c r="D1604" s="2" t="s">
        <v>56</v>
      </c>
      <c r="E1604" s="2" t="s">
        <v>38</v>
      </c>
      <c r="F1604" s="2" t="s">
        <v>20</v>
      </c>
      <c r="G1604" s="2" t="s">
        <v>146</v>
      </c>
      <c r="H1604" s="3">
        <v>45388.427777777775</v>
      </c>
      <c r="I1604" s="3">
        <v>45388.493750000001</v>
      </c>
      <c r="J1604" s="2">
        <v>76</v>
      </c>
      <c r="K1604" s="2">
        <v>95</v>
      </c>
      <c r="L1604" s="2">
        <v>1</v>
      </c>
      <c r="M1604" s="2" t="s">
        <v>22</v>
      </c>
      <c r="N1604" s="2">
        <v>5</v>
      </c>
      <c r="O1604" s="2">
        <v>394.48</v>
      </c>
      <c r="P1604" s="2">
        <f t="shared" si="125"/>
        <v>19</v>
      </c>
      <c r="Q1604" s="4">
        <f t="shared" si="126"/>
        <v>0.8</v>
      </c>
      <c r="R1604" s="2" t="str">
        <f t="shared" si="127"/>
        <v>Inefficient</v>
      </c>
      <c r="S1604" s="2" t="str">
        <f t="shared" si="128"/>
        <v>Long</v>
      </c>
      <c r="T1604" s="2" t="str">
        <f t="shared" si="129"/>
        <v>Minor Delay</v>
      </c>
    </row>
    <row r="1605" spans="1:20" x14ac:dyDescent="0.35">
      <c r="A1605" s="2" t="s">
        <v>3393</v>
      </c>
      <c r="B1605" s="2" t="s">
        <v>24</v>
      </c>
      <c r="C1605" s="2" t="s">
        <v>3394</v>
      </c>
      <c r="D1605" s="2" t="s">
        <v>48</v>
      </c>
      <c r="E1605" s="2" t="s">
        <v>19</v>
      </c>
      <c r="F1605" s="2" t="s">
        <v>39</v>
      </c>
      <c r="G1605" s="2" t="s">
        <v>299</v>
      </c>
      <c r="H1605" s="3">
        <v>45409.882638888892</v>
      </c>
      <c r="I1605" s="3">
        <v>45410.008333333331</v>
      </c>
      <c r="J1605" s="2">
        <v>81</v>
      </c>
      <c r="K1605" s="2">
        <v>181</v>
      </c>
      <c r="L1605" s="2">
        <v>1</v>
      </c>
      <c r="M1605" s="2" t="s">
        <v>22</v>
      </c>
      <c r="N1605" s="2">
        <v>5</v>
      </c>
      <c r="O1605" s="2">
        <v>231.03</v>
      </c>
      <c r="P1605" s="2">
        <f t="shared" si="125"/>
        <v>100</v>
      </c>
      <c r="Q1605" s="4">
        <f t="shared" si="126"/>
        <v>0.44751381215469616</v>
      </c>
      <c r="R1605" s="2" t="str">
        <f t="shared" si="127"/>
        <v>Inefficient</v>
      </c>
      <c r="S1605" s="2" t="str">
        <f t="shared" si="128"/>
        <v>Very Long</v>
      </c>
      <c r="T1605" s="2" t="str">
        <f t="shared" si="129"/>
        <v>Major Delay</v>
      </c>
    </row>
    <row r="1606" spans="1:20" x14ac:dyDescent="0.35">
      <c r="A1606" s="2" t="s">
        <v>3395</v>
      </c>
      <c r="B1606" s="2" t="s">
        <v>51</v>
      </c>
      <c r="C1606" s="2" t="s">
        <v>3396</v>
      </c>
      <c r="D1606" s="2" t="s">
        <v>56</v>
      </c>
      <c r="E1606" s="2" t="s">
        <v>33</v>
      </c>
      <c r="F1606" s="2" t="s">
        <v>39</v>
      </c>
      <c r="G1606" s="2" t="s">
        <v>842</v>
      </c>
      <c r="H1606" s="3">
        <v>45521.967361111114</v>
      </c>
      <c r="I1606" s="3">
        <v>45522.086111111108</v>
      </c>
      <c r="J1606" s="2">
        <v>68</v>
      </c>
      <c r="K1606" s="2">
        <v>171</v>
      </c>
      <c r="L1606" s="2">
        <v>1</v>
      </c>
      <c r="M1606" s="2" t="s">
        <v>22</v>
      </c>
      <c r="N1606" s="2">
        <v>4</v>
      </c>
      <c r="O1606" s="2">
        <v>273.61</v>
      </c>
      <c r="P1606" s="2">
        <f t="shared" si="125"/>
        <v>103</v>
      </c>
      <c r="Q1606" s="4">
        <f t="shared" si="126"/>
        <v>0.39766081871345027</v>
      </c>
      <c r="R1606" s="2" t="str">
        <f t="shared" si="127"/>
        <v>Inefficient</v>
      </c>
      <c r="S1606" s="2" t="str">
        <f t="shared" si="128"/>
        <v>Very Long</v>
      </c>
      <c r="T1606" s="2" t="str">
        <f t="shared" si="129"/>
        <v>Major Delay</v>
      </c>
    </row>
    <row r="1607" spans="1:20" x14ac:dyDescent="0.35">
      <c r="A1607" s="2" t="s">
        <v>3397</v>
      </c>
      <c r="B1607" s="2" t="s">
        <v>16</v>
      </c>
      <c r="C1607" s="2" t="s">
        <v>3398</v>
      </c>
      <c r="D1607" s="2" t="s">
        <v>26</v>
      </c>
      <c r="E1607" s="2" t="s">
        <v>85</v>
      </c>
      <c r="F1607" s="2" t="s">
        <v>34</v>
      </c>
      <c r="G1607" s="2" t="s">
        <v>459</v>
      </c>
      <c r="H1607" s="3">
        <v>45437.745833333334</v>
      </c>
      <c r="I1607" s="3">
        <v>45437.910416666666</v>
      </c>
      <c r="J1607" s="2">
        <v>198</v>
      </c>
      <c r="K1607" s="2">
        <v>237</v>
      </c>
      <c r="L1607" s="2">
        <v>1</v>
      </c>
      <c r="M1607" s="2" t="s">
        <v>22</v>
      </c>
      <c r="N1607" s="2">
        <v>9</v>
      </c>
      <c r="O1607" s="2">
        <v>250.98</v>
      </c>
      <c r="P1607" s="2">
        <f t="shared" si="125"/>
        <v>39</v>
      </c>
      <c r="Q1607" s="4">
        <f t="shared" si="126"/>
        <v>0.83544303797468356</v>
      </c>
      <c r="R1607" s="2" t="str">
        <f t="shared" si="127"/>
        <v>Inefficient</v>
      </c>
      <c r="S1607" s="2" t="str">
        <f t="shared" si="128"/>
        <v>Very Long</v>
      </c>
      <c r="T1607" s="2" t="str">
        <f t="shared" si="129"/>
        <v>Major Delay</v>
      </c>
    </row>
    <row r="1608" spans="1:20" x14ac:dyDescent="0.35">
      <c r="A1608" s="2" t="s">
        <v>3399</v>
      </c>
      <c r="B1608" s="2" t="s">
        <v>24</v>
      </c>
      <c r="C1608" s="2" t="s">
        <v>3400</v>
      </c>
      <c r="D1608" s="2" t="s">
        <v>48</v>
      </c>
      <c r="E1608" s="2" t="s">
        <v>19</v>
      </c>
      <c r="F1608" s="2" t="s">
        <v>57</v>
      </c>
      <c r="G1608" s="2" t="s">
        <v>283</v>
      </c>
      <c r="H1608" s="3">
        <v>45561.402083333334</v>
      </c>
      <c r="I1608" s="3">
        <v>45561.503472222219</v>
      </c>
      <c r="J1608" s="2">
        <v>104</v>
      </c>
      <c r="K1608" s="2">
        <v>146</v>
      </c>
      <c r="L1608" s="2">
        <v>1</v>
      </c>
      <c r="M1608" s="2" t="s">
        <v>29</v>
      </c>
      <c r="N1608" s="2">
        <v>9</v>
      </c>
      <c r="O1608" s="2">
        <v>413.05</v>
      </c>
      <c r="P1608" s="2">
        <f t="shared" si="125"/>
        <v>42</v>
      </c>
      <c r="Q1608" s="4">
        <f t="shared" si="126"/>
        <v>0.71232876712328763</v>
      </c>
      <c r="R1608" s="2" t="str">
        <f t="shared" si="127"/>
        <v>Inefficient</v>
      </c>
      <c r="S1608" s="2" t="str">
        <f t="shared" si="128"/>
        <v>Very Long</v>
      </c>
      <c r="T1608" s="2" t="str">
        <f t="shared" si="129"/>
        <v>Major Delay</v>
      </c>
    </row>
    <row r="1609" spans="1:20" x14ac:dyDescent="0.35">
      <c r="A1609" s="2" t="s">
        <v>3401</v>
      </c>
      <c r="B1609" s="2" t="s">
        <v>63</v>
      </c>
      <c r="C1609" s="2" t="s">
        <v>3402</v>
      </c>
      <c r="D1609" s="2" t="s">
        <v>26</v>
      </c>
      <c r="E1609" s="2" t="s">
        <v>19</v>
      </c>
      <c r="F1609" s="2" t="s">
        <v>57</v>
      </c>
      <c r="G1609" s="2" t="s">
        <v>234</v>
      </c>
      <c r="H1609" s="3">
        <v>45628.120138888888</v>
      </c>
      <c r="I1609" s="3">
        <v>45628.309027777781</v>
      </c>
      <c r="J1609" s="2">
        <v>173</v>
      </c>
      <c r="K1609" s="2">
        <v>272</v>
      </c>
      <c r="L1609" s="2">
        <v>1</v>
      </c>
      <c r="M1609" s="2" t="s">
        <v>41</v>
      </c>
      <c r="N1609" s="2">
        <v>3</v>
      </c>
      <c r="O1609" s="2">
        <v>439.94</v>
      </c>
      <c r="P1609" s="2">
        <f t="shared" si="125"/>
        <v>99</v>
      </c>
      <c r="Q1609" s="4">
        <f t="shared" si="126"/>
        <v>0.63602941176470584</v>
      </c>
      <c r="R1609" s="2" t="str">
        <f t="shared" si="127"/>
        <v>Inefficient</v>
      </c>
      <c r="S1609" s="2" t="str">
        <f t="shared" si="128"/>
        <v>Very Long</v>
      </c>
      <c r="T1609" s="2" t="str">
        <f t="shared" si="129"/>
        <v>Major Delay</v>
      </c>
    </row>
    <row r="1610" spans="1:20" x14ac:dyDescent="0.35">
      <c r="A1610" s="2" t="s">
        <v>3403</v>
      </c>
      <c r="B1610" s="2" t="s">
        <v>16</v>
      </c>
      <c r="C1610" s="2" t="s">
        <v>3404</v>
      </c>
      <c r="D1610" s="2" t="s">
        <v>56</v>
      </c>
      <c r="E1610" s="2" t="s">
        <v>85</v>
      </c>
      <c r="F1610" s="2" t="s">
        <v>20</v>
      </c>
      <c r="G1610" s="2" t="s">
        <v>445</v>
      </c>
      <c r="H1610" s="3">
        <v>45379.115277777775</v>
      </c>
      <c r="I1610" s="3">
        <v>45379.222916666666</v>
      </c>
      <c r="J1610" s="2">
        <v>51</v>
      </c>
      <c r="K1610" s="2">
        <v>155</v>
      </c>
      <c r="L1610" s="2">
        <v>1</v>
      </c>
      <c r="M1610" s="2" t="s">
        <v>22</v>
      </c>
      <c r="N1610" s="2">
        <v>3</v>
      </c>
      <c r="O1610" s="2">
        <v>217.3</v>
      </c>
      <c r="P1610" s="2">
        <f t="shared" si="125"/>
        <v>104</v>
      </c>
      <c r="Q1610" s="4">
        <f t="shared" si="126"/>
        <v>0.32903225806451614</v>
      </c>
      <c r="R1610" s="2" t="str">
        <f t="shared" si="127"/>
        <v>Inefficient</v>
      </c>
      <c r="S1610" s="2" t="str">
        <f t="shared" si="128"/>
        <v>Very Long</v>
      </c>
      <c r="T1610" s="2" t="str">
        <f t="shared" si="129"/>
        <v>Major Delay</v>
      </c>
    </row>
    <row r="1611" spans="1:20" x14ac:dyDescent="0.35">
      <c r="A1611" s="2" t="s">
        <v>3405</v>
      </c>
      <c r="B1611" s="2" t="s">
        <v>51</v>
      </c>
      <c r="C1611" s="2" t="s">
        <v>3406</v>
      </c>
      <c r="D1611" s="2" t="s">
        <v>44</v>
      </c>
      <c r="E1611" s="2" t="s">
        <v>85</v>
      </c>
      <c r="F1611" s="2" t="s">
        <v>27</v>
      </c>
      <c r="G1611" s="2" t="s">
        <v>65</v>
      </c>
      <c r="H1611" s="3">
        <v>45453.86041666667</v>
      </c>
      <c r="I1611" s="3">
        <v>45453.92291666667</v>
      </c>
      <c r="J1611" s="2">
        <v>44</v>
      </c>
      <c r="K1611" s="2">
        <v>90</v>
      </c>
      <c r="L1611" s="2">
        <v>1</v>
      </c>
      <c r="M1611" s="2" t="s">
        <v>41</v>
      </c>
      <c r="N1611" s="2">
        <v>4</v>
      </c>
      <c r="O1611" s="2">
        <v>491.78</v>
      </c>
      <c r="P1611" s="2">
        <f t="shared" si="125"/>
        <v>46</v>
      </c>
      <c r="Q1611" s="4">
        <f t="shared" si="126"/>
        <v>0.48888888888888887</v>
      </c>
      <c r="R1611" s="2" t="str">
        <f t="shared" si="127"/>
        <v>Inefficient</v>
      </c>
      <c r="S1611" s="2" t="str">
        <f t="shared" si="128"/>
        <v>Long</v>
      </c>
      <c r="T1611" s="2" t="str">
        <f t="shared" si="129"/>
        <v>Major Delay</v>
      </c>
    </row>
    <row r="1612" spans="1:20" x14ac:dyDescent="0.35">
      <c r="A1612" s="2" t="s">
        <v>3407</v>
      </c>
      <c r="B1612" s="2" t="s">
        <v>51</v>
      </c>
      <c r="C1612" s="2" t="s">
        <v>3408</v>
      </c>
      <c r="D1612" s="2" t="s">
        <v>48</v>
      </c>
      <c r="E1612" s="2" t="s">
        <v>38</v>
      </c>
      <c r="F1612" s="2" t="s">
        <v>57</v>
      </c>
      <c r="G1612" s="2" t="s">
        <v>240</v>
      </c>
      <c r="H1612" s="3">
        <v>45537.152083333334</v>
      </c>
      <c r="I1612" s="3">
        <v>45537.280555555553</v>
      </c>
      <c r="J1612" s="2">
        <v>70</v>
      </c>
      <c r="K1612" s="2">
        <v>185</v>
      </c>
      <c r="L1612" s="2">
        <v>1</v>
      </c>
      <c r="M1612" s="2" t="s">
        <v>41</v>
      </c>
      <c r="N1612" s="2">
        <v>1</v>
      </c>
      <c r="O1612" s="2">
        <v>445.2</v>
      </c>
      <c r="P1612" s="2">
        <f t="shared" si="125"/>
        <v>115</v>
      </c>
      <c r="Q1612" s="4">
        <f t="shared" si="126"/>
        <v>0.3783783783783784</v>
      </c>
      <c r="R1612" s="2" t="str">
        <f t="shared" si="127"/>
        <v>Inefficient</v>
      </c>
      <c r="S1612" s="2" t="str">
        <f t="shared" si="128"/>
        <v>Very Long</v>
      </c>
      <c r="T1612" s="2" t="str">
        <f t="shared" si="129"/>
        <v>Major Delay</v>
      </c>
    </row>
    <row r="1613" spans="1:20" x14ac:dyDescent="0.35">
      <c r="A1613" s="2" t="s">
        <v>3409</v>
      </c>
      <c r="B1613" s="2" t="s">
        <v>63</v>
      </c>
      <c r="C1613" s="2" t="s">
        <v>3410</v>
      </c>
      <c r="D1613" s="2" t="s">
        <v>26</v>
      </c>
      <c r="E1613" s="2" t="s">
        <v>19</v>
      </c>
      <c r="F1613" s="2" t="s">
        <v>27</v>
      </c>
      <c r="G1613" s="2" t="s">
        <v>103</v>
      </c>
      <c r="H1613" s="3">
        <v>45363.622916666667</v>
      </c>
      <c r="I1613" s="3">
        <v>45363.744444444441</v>
      </c>
      <c r="J1613" s="2">
        <v>60</v>
      </c>
      <c r="K1613" s="2">
        <v>175</v>
      </c>
      <c r="L1613" s="2">
        <v>1</v>
      </c>
      <c r="M1613" s="2" t="s">
        <v>29</v>
      </c>
      <c r="N1613" s="2">
        <v>7</v>
      </c>
      <c r="O1613" s="2">
        <v>86.19</v>
      </c>
      <c r="P1613" s="2">
        <f t="shared" si="125"/>
        <v>115</v>
      </c>
      <c r="Q1613" s="4">
        <f t="shared" si="126"/>
        <v>0.34285714285714286</v>
      </c>
      <c r="R1613" s="2" t="str">
        <f t="shared" si="127"/>
        <v>Inefficient</v>
      </c>
      <c r="S1613" s="2" t="str">
        <f t="shared" si="128"/>
        <v>Very Long</v>
      </c>
      <c r="T1613" s="2" t="str">
        <f t="shared" si="129"/>
        <v>Major Delay</v>
      </c>
    </row>
    <row r="1614" spans="1:20" x14ac:dyDescent="0.35">
      <c r="A1614" s="2" t="s">
        <v>3411</v>
      </c>
      <c r="B1614" s="2" t="s">
        <v>24</v>
      </c>
      <c r="C1614" s="2" t="s">
        <v>3412</v>
      </c>
      <c r="D1614" s="2" t="s">
        <v>26</v>
      </c>
      <c r="E1614" s="2" t="s">
        <v>85</v>
      </c>
      <c r="F1614" s="2" t="s">
        <v>27</v>
      </c>
      <c r="G1614" s="2" t="s">
        <v>364</v>
      </c>
      <c r="H1614" s="3">
        <v>45529.334722222222</v>
      </c>
      <c r="I1614" s="3">
        <v>45529.461111111108</v>
      </c>
      <c r="J1614" s="2">
        <v>128</v>
      </c>
      <c r="K1614" s="2">
        <v>182</v>
      </c>
      <c r="L1614" s="2">
        <v>1</v>
      </c>
      <c r="M1614" s="2" t="s">
        <v>41</v>
      </c>
      <c r="N1614" s="2">
        <v>10</v>
      </c>
      <c r="O1614" s="2">
        <v>434.11</v>
      </c>
      <c r="P1614" s="2">
        <f t="shared" si="125"/>
        <v>54</v>
      </c>
      <c r="Q1614" s="4">
        <f t="shared" si="126"/>
        <v>0.70329670329670335</v>
      </c>
      <c r="R1614" s="2" t="str">
        <f t="shared" si="127"/>
        <v>Inefficient</v>
      </c>
      <c r="S1614" s="2" t="str">
        <f t="shared" si="128"/>
        <v>Very Long</v>
      </c>
      <c r="T1614" s="2" t="str">
        <f t="shared" si="129"/>
        <v>Major Delay</v>
      </c>
    </row>
    <row r="1615" spans="1:20" x14ac:dyDescent="0.35">
      <c r="A1615" s="2" t="s">
        <v>3413</v>
      </c>
      <c r="B1615" s="2" t="s">
        <v>63</v>
      </c>
      <c r="C1615" s="2" t="s">
        <v>3414</v>
      </c>
      <c r="D1615" s="2" t="s">
        <v>44</v>
      </c>
      <c r="E1615" s="2" t="s">
        <v>38</v>
      </c>
      <c r="F1615" s="2" t="s">
        <v>57</v>
      </c>
      <c r="G1615" s="2" t="s">
        <v>810</v>
      </c>
      <c r="H1615" s="3">
        <v>45589.364583333336</v>
      </c>
      <c r="I1615" s="3">
        <v>45589.48333333333</v>
      </c>
      <c r="J1615" s="2">
        <v>134</v>
      </c>
      <c r="K1615" s="2">
        <v>171</v>
      </c>
      <c r="L1615" s="2">
        <v>1</v>
      </c>
      <c r="M1615" s="2" t="s">
        <v>22</v>
      </c>
      <c r="N1615" s="2">
        <v>1</v>
      </c>
      <c r="O1615" s="2">
        <v>446.62</v>
      </c>
      <c r="P1615" s="2">
        <f t="shared" si="125"/>
        <v>37</v>
      </c>
      <c r="Q1615" s="4">
        <f t="shared" si="126"/>
        <v>0.783625730994152</v>
      </c>
      <c r="R1615" s="2" t="str">
        <f t="shared" si="127"/>
        <v>Inefficient</v>
      </c>
      <c r="S1615" s="2" t="str">
        <f t="shared" si="128"/>
        <v>Very Long</v>
      </c>
      <c r="T1615" s="2" t="str">
        <f t="shared" si="129"/>
        <v>Major Delay</v>
      </c>
    </row>
    <row r="1616" spans="1:20" x14ac:dyDescent="0.35">
      <c r="A1616" s="2" t="s">
        <v>3415</v>
      </c>
      <c r="B1616" s="2" t="s">
        <v>24</v>
      </c>
      <c r="C1616" s="2" t="s">
        <v>3416</v>
      </c>
      <c r="D1616" s="2" t="s">
        <v>26</v>
      </c>
      <c r="E1616" s="2" t="s">
        <v>85</v>
      </c>
      <c r="F1616" s="2" t="s">
        <v>39</v>
      </c>
      <c r="G1616" s="2" t="s">
        <v>225</v>
      </c>
      <c r="H1616" s="3">
        <v>45562.03402777778</v>
      </c>
      <c r="I1616" s="3">
        <v>45562.172222222223</v>
      </c>
      <c r="J1616" s="2">
        <v>86</v>
      </c>
      <c r="K1616" s="2">
        <v>199</v>
      </c>
      <c r="L1616" s="2">
        <v>1</v>
      </c>
      <c r="M1616" s="2" t="s">
        <v>29</v>
      </c>
      <c r="N1616" s="2">
        <v>6</v>
      </c>
      <c r="O1616" s="2">
        <v>265.08</v>
      </c>
      <c r="P1616" s="2">
        <f t="shared" si="125"/>
        <v>113</v>
      </c>
      <c r="Q1616" s="4">
        <f t="shared" si="126"/>
        <v>0.43216080402010049</v>
      </c>
      <c r="R1616" s="2" t="str">
        <f t="shared" si="127"/>
        <v>Inefficient</v>
      </c>
      <c r="S1616" s="2" t="str">
        <f t="shared" si="128"/>
        <v>Very Long</v>
      </c>
      <c r="T1616" s="2" t="str">
        <f t="shared" si="129"/>
        <v>Major Delay</v>
      </c>
    </row>
    <row r="1617" spans="1:20" x14ac:dyDescent="0.35">
      <c r="A1617" s="2" t="s">
        <v>3417</v>
      </c>
      <c r="B1617" s="2" t="s">
        <v>16</v>
      </c>
      <c r="C1617" s="2" t="s">
        <v>3418</v>
      </c>
      <c r="D1617" s="2" t="s">
        <v>44</v>
      </c>
      <c r="E1617" s="2" t="s">
        <v>33</v>
      </c>
      <c r="F1617" s="2" t="s">
        <v>27</v>
      </c>
      <c r="G1617" s="2" t="s">
        <v>149</v>
      </c>
      <c r="H1617" s="3">
        <v>45412.179166666669</v>
      </c>
      <c r="I1617" s="3">
        <v>45412.31527777778</v>
      </c>
      <c r="J1617" s="2">
        <v>190</v>
      </c>
      <c r="K1617" s="2">
        <v>196</v>
      </c>
      <c r="L1617" s="2">
        <v>1</v>
      </c>
      <c r="M1617" s="2" t="s">
        <v>29</v>
      </c>
      <c r="N1617" s="2">
        <v>2</v>
      </c>
      <c r="O1617" s="2">
        <v>383.36</v>
      </c>
      <c r="P1617" s="2">
        <f t="shared" si="125"/>
        <v>6</v>
      </c>
      <c r="Q1617" s="4">
        <f t="shared" si="126"/>
        <v>0.96938775510204078</v>
      </c>
      <c r="R1617" s="2" t="str">
        <f t="shared" si="127"/>
        <v>Inefficient</v>
      </c>
      <c r="S1617" s="2" t="str">
        <f t="shared" si="128"/>
        <v>Very Long</v>
      </c>
      <c r="T1617" s="2" t="str">
        <f t="shared" si="129"/>
        <v>Minor Delay</v>
      </c>
    </row>
    <row r="1618" spans="1:20" x14ac:dyDescent="0.35">
      <c r="A1618" s="2" t="s">
        <v>3419</v>
      </c>
      <c r="B1618" s="2" t="s">
        <v>51</v>
      </c>
      <c r="C1618" s="2" t="s">
        <v>3420</v>
      </c>
      <c r="D1618" s="2" t="s">
        <v>26</v>
      </c>
      <c r="E1618" s="2" t="s">
        <v>19</v>
      </c>
      <c r="F1618" s="2" t="s">
        <v>27</v>
      </c>
      <c r="G1618" s="2" t="s">
        <v>117</v>
      </c>
      <c r="H1618" s="3">
        <v>45350.347222222219</v>
      </c>
      <c r="I1618" s="3">
        <v>45350.492361111108</v>
      </c>
      <c r="J1618" s="2">
        <v>122</v>
      </c>
      <c r="K1618" s="2">
        <v>209</v>
      </c>
      <c r="L1618" s="2">
        <v>1</v>
      </c>
      <c r="M1618" s="2" t="s">
        <v>41</v>
      </c>
      <c r="N1618" s="2">
        <v>10</v>
      </c>
      <c r="O1618" s="2">
        <v>376.41</v>
      </c>
      <c r="P1618" s="2">
        <f t="shared" si="125"/>
        <v>87</v>
      </c>
      <c r="Q1618" s="4">
        <f t="shared" si="126"/>
        <v>0.58373205741626799</v>
      </c>
      <c r="R1618" s="2" t="str">
        <f t="shared" si="127"/>
        <v>Inefficient</v>
      </c>
      <c r="S1618" s="2" t="str">
        <f t="shared" si="128"/>
        <v>Very Long</v>
      </c>
      <c r="T1618" s="2" t="str">
        <f t="shared" si="129"/>
        <v>Major Delay</v>
      </c>
    </row>
    <row r="1619" spans="1:20" x14ac:dyDescent="0.35">
      <c r="A1619" s="2" t="s">
        <v>3421</v>
      </c>
      <c r="B1619" s="2" t="s">
        <v>16</v>
      </c>
      <c r="C1619" s="2" t="s">
        <v>3422</v>
      </c>
      <c r="D1619" s="2" t="s">
        <v>56</v>
      </c>
      <c r="E1619" s="2" t="s">
        <v>19</v>
      </c>
      <c r="F1619" s="2" t="s">
        <v>20</v>
      </c>
      <c r="G1619" s="2" t="s">
        <v>470</v>
      </c>
      <c r="H1619" s="3">
        <v>45443.50277777778</v>
      </c>
      <c r="I1619" s="3">
        <v>45443.592361111114</v>
      </c>
      <c r="J1619" s="2">
        <v>116</v>
      </c>
      <c r="K1619" s="2">
        <v>129</v>
      </c>
      <c r="L1619" s="2">
        <v>1</v>
      </c>
      <c r="M1619" s="2" t="s">
        <v>22</v>
      </c>
      <c r="N1619" s="2">
        <v>6</v>
      </c>
      <c r="O1619" s="2">
        <v>105.98</v>
      </c>
      <c r="P1619" s="2">
        <f t="shared" si="125"/>
        <v>13</v>
      </c>
      <c r="Q1619" s="4">
        <f t="shared" si="126"/>
        <v>0.89922480620155043</v>
      </c>
      <c r="R1619" s="2" t="str">
        <f t="shared" si="127"/>
        <v>Inefficient</v>
      </c>
      <c r="S1619" s="2" t="str">
        <f t="shared" si="128"/>
        <v>Very Long</v>
      </c>
      <c r="T1619" s="2" t="str">
        <f t="shared" si="129"/>
        <v>Minor Delay</v>
      </c>
    </row>
    <row r="1620" spans="1:20" x14ac:dyDescent="0.35">
      <c r="A1620" s="2" t="s">
        <v>3423</v>
      </c>
      <c r="B1620" s="2" t="s">
        <v>16</v>
      </c>
      <c r="C1620" s="2" t="s">
        <v>3424</v>
      </c>
      <c r="D1620" s="2" t="s">
        <v>48</v>
      </c>
      <c r="E1620" s="2" t="s">
        <v>33</v>
      </c>
      <c r="F1620" s="2" t="s">
        <v>39</v>
      </c>
      <c r="G1620" s="2" t="s">
        <v>191</v>
      </c>
      <c r="H1620" s="3">
        <v>45465.710416666669</v>
      </c>
      <c r="I1620" s="3">
        <v>45465.850694444445</v>
      </c>
      <c r="J1620" s="2">
        <v>169</v>
      </c>
      <c r="K1620" s="2">
        <v>202</v>
      </c>
      <c r="L1620" s="2">
        <v>1</v>
      </c>
      <c r="M1620" s="2" t="s">
        <v>29</v>
      </c>
      <c r="N1620" s="2">
        <v>10</v>
      </c>
      <c r="O1620" s="2">
        <v>379.78</v>
      </c>
      <c r="P1620" s="2">
        <f t="shared" si="125"/>
        <v>33</v>
      </c>
      <c r="Q1620" s="4">
        <f t="shared" si="126"/>
        <v>0.8366336633663366</v>
      </c>
      <c r="R1620" s="2" t="str">
        <f t="shared" si="127"/>
        <v>Inefficient</v>
      </c>
      <c r="S1620" s="2" t="str">
        <f t="shared" si="128"/>
        <v>Very Long</v>
      </c>
      <c r="T1620" s="2" t="str">
        <f t="shared" si="129"/>
        <v>Major Delay</v>
      </c>
    </row>
    <row r="1621" spans="1:20" x14ac:dyDescent="0.35">
      <c r="A1621" s="2" t="s">
        <v>3425</v>
      </c>
      <c r="B1621" s="2" t="s">
        <v>24</v>
      </c>
      <c r="C1621" s="2" t="s">
        <v>3426</v>
      </c>
      <c r="D1621" s="2" t="s">
        <v>48</v>
      </c>
      <c r="E1621" s="2" t="s">
        <v>38</v>
      </c>
      <c r="F1621" s="2" t="s">
        <v>27</v>
      </c>
      <c r="G1621" s="2" t="s">
        <v>222</v>
      </c>
      <c r="H1621" s="3">
        <v>45511.868750000001</v>
      </c>
      <c r="I1621" s="3">
        <v>45512.015277777777</v>
      </c>
      <c r="J1621" s="2">
        <v>106</v>
      </c>
      <c r="K1621" s="2">
        <v>211</v>
      </c>
      <c r="L1621" s="2">
        <v>1</v>
      </c>
      <c r="M1621" s="2" t="s">
        <v>41</v>
      </c>
      <c r="N1621" s="2">
        <v>6</v>
      </c>
      <c r="O1621" s="2">
        <v>482.5</v>
      </c>
      <c r="P1621" s="2">
        <f t="shared" si="125"/>
        <v>105</v>
      </c>
      <c r="Q1621" s="4">
        <f t="shared" si="126"/>
        <v>0.50236966824644547</v>
      </c>
      <c r="R1621" s="2" t="str">
        <f t="shared" si="127"/>
        <v>Inefficient</v>
      </c>
      <c r="S1621" s="2" t="str">
        <f t="shared" si="128"/>
        <v>Very Long</v>
      </c>
      <c r="T1621" s="2" t="str">
        <f t="shared" si="129"/>
        <v>Major Delay</v>
      </c>
    </row>
    <row r="1622" spans="1:20" x14ac:dyDescent="0.35">
      <c r="A1622" s="2" t="s">
        <v>3427</v>
      </c>
      <c r="B1622" s="2" t="s">
        <v>24</v>
      </c>
      <c r="C1622" s="2" t="s">
        <v>3428</v>
      </c>
      <c r="D1622" s="2" t="s">
        <v>56</v>
      </c>
      <c r="E1622" s="2" t="s">
        <v>19</v>
      </c>
      <c r="F1622" s="2" t="s">
        <v>39</v>
      </c>
      <c r="G1622" s="2" t="s">
        <v>140</v>
      </c>
      <c r="H1622" s="3">
        <v>45336.325694444444</v>
      </c>
      <c r="I1622" s="3">
        <v>45336.394444444442</v>
      </c>
      <c r="J1622" s="2">
        <v>22</v>
      </c>
      <c r="K1622" s="2">
        <v>99</v>
      </c>
      <c r="L1622" s="2">
        <v>1</v>
      </c>
      <c r="M1622" s="2" t="s">
        <v>29</v>
      </c>
      <c r="N1622" s="2">
        <v>9</v>
      </c>
      <c r="O1622" s="2">
        <v>63.07</v>
      </c>
      <c r="P1622" s="2">
        <f t="shared" si="125"/>
        <v>77</v>
      </c>
      <c r="Q1622" s="4">
        <f t="shared" si="126"/>
        <v>0.22222222222222221</v>
      </c>
      <c r="R1622" s="2" t="str">
        <f t="shared" si="127"/>
        <v>Inefficient</v>
      </c>
      <c r="S1622" s="2" t="str">
        <f t="shared" si="128"/>
        <v>Long</v>
      </c>
      <c r="T1622" s="2" t="str">
        <f t="shared" si="129"/>
        <v>Major Delay</v>
      </c>
    </row>
    <row r="1623" spans="1:20" x14ac:dyDescent="0.35">
      <c r="A1623" s="2" t="s">
        <v>3429</v>
      </c>
      <c r="B1623" s="2" t="s">
        <v>16</v>
      </c>
      <c r="C1623" s="2" t="s">
        <v>3430</v>
      </c>
      <c r="D1623" s="2" t="s">
        <v>48</v>
      </c>
      <c r="E1623" s="2" t="s">
        <v>38</v>
      </c>
      <c r="F1623" s="2" t="s">
        <v>34</v>
      </c>
      <c r="G1623" s="2" t="s">
        <v>853</v>
      </c>
      <c r="H1623" s="3">
        <v>45639.461805555555</v>
      </c>
      <c r="I1623" s="3">
        <v>45639.674305555556</v>
      </c>
      <c r="J1623" s="2">
        <v>220</v>
      </c>
      <c r="K1623" s="2">
        <v>306</v>
      </c>
      <c r="L1623" s="2">
        <v>1</v>
      </c>
      <c r="M1623" s="2" t="s">
        <v>41</v>
      </c>
      <c r="N1623" s="2">
        <v>3</v>
      </c>
      <c r="O1623" s="2">
        <v>216.68</v>
      </c>
      <c r="P1623" s="2">
        <f t="shared" si="125"/>
        <v>86</v>
      </c>
      <c r="Q1623" s="4">
        <f t="shared" si="126"/>
        <v>0.71895424836601307</v>
      </c>
      <c r="R1623" s="2" t="str">
        <f t="shared" si="127"/>
        <v>Inefficient</v>
      </c>
      <c r="S1623" s="2" t="str">
        <f t="shared" si="128"/>
        <v>Very Long</v>
      </c>
      <c r="T1623" s="2" t="str">
        <f t="shared" si="129"/>
        <v>Major Delay</v>
      </c>
    </row>
    <row r="1624" spans="1:20" x14ac:dyDescent="0.35">
      <c r="A1624" s="2" t="s">
        <v>3431</v>
      </c>
      <c r="B1624" s="2" t="s">
        <v>51</v>
      </c>
      <c r="C1624" s="2" t="s">
        <v>3432</v>
      </c>
      <c r="D1624" s="2" t="s">
        <v>48</v>
      </c>
      <c r="E1624" s="2" t="s">
        <v>19</v>
      </c>
      <c r="F1624" s="2" t="s">
        <v>34</v>
      </c>
      <c r="G1624" s="2" t="s">
        <v>640</v>
      </c>
      <c r="H1624" s="3">
        <v>45515.74722222222</v>
      </c>
      <c r="I1624" s="3">
        <v>45515.811805555553</v>
      </c>
      <c r="J1624" s="2">
        <v>94</v>
      </c>
      <c r="K1624" s="2">
        <v>93</v>
      </c>
      <c r="L1624" s="2">
        <v>0</v>
      </c>
      <c r="M1624" s="2" t="s">
        <v>29</v>
      </c>
      <c r="N1624" s="2">
        <v>8</v>
      </c>
      <c r="O1624" s="2">
        <v>116.48</v>
      </c>
      <c r="P1624" s="2">
        <f t="shared" si="125"/>
        <v>-1</v>
      </c>
      <c r="Q1624" s="4">
        <f t="shared" si="126"/>
        <v>1.010752688172043</v>
      </c>
      <c r="R1624" s="2" t="str">
        <f t="shared" si="127"/>
        <v>Efficient</v>
      </c>
      <c r="S1624" s="2" t="str">
        <f t="shared" si="128"/>
        <v>Long</v>
      </c>
      <c r="T1624" s="2" t="str">
        <f t="shared" si="129"/>
        <v>On Time</v>
      </c>
    </row>
    <row r="1625" spans="1:20" x14ac:dyDescent="0.35">
      <c r="A1625" s="2" t="s">
        <v>3433</v>
      </c>
      <c r="B1625" s="2" t="s">
        <v>51</v>
      </c>
      <c r="C1625" s="2" t="s">
        <v>3434</v>
      </c>
      <c r="D1625" s="2" t="s">
        <v>44</v>
      </c>
      <c r="E1625" s="2" t="s">
        <v>85</v>
      </c>
      <c r="F1625" s="2" t="s">
        <v>57</v>
      </c>
      <c r="G1625" s="2" t="s">
        <v>207</v>
      </c>
      <c r="H1625" s="3">
        <v>45634.095138888886</v>
      </c>
      <c r="I1625" s="3">
        <v>45634.267361111109</v>
      </c>
      <c r="J1625" s="2">
        <v>186</v>
      </c>
      <c r="K1625" s="2">
        <v>248</v>
      </c>
      <c r="L1625" s="2">
        <v>1</v>
      </c>
      <c r="M1625" s="2" t="s">
        <v>41</v>
      </c>
      <c r="N1625" s="2">
        <v>9</v>
      </c>
      <c r="O1625" s="2">
        <v>95.4</v>
      </c>
      <c r="P1625" s="2">
        <f t="shared" si="125"/>
        <v>62</v>
      </c>
      <c r="Q1625" s="4">
        <f t="shared" si="126"/>
        <v>0.75</v>
      </c>
      <c r="R1625" s="2" t="str">
        <f t="shared" si="127"/>
        <v>Inefficient</v>
      </c>
      <c r="S1625" s="2" t="str">
        <f t="shared" si="128"/>
        <v>Very Long</v>
      </c>
      <c r="T1625" s="2" t="str">
        <f t="shared" si="129"/>
        <v>Major Delay</v>
      </c>
    </row>
    <row r="1626" spans="1:20" x14ac:dyDescent="0.35">
      <c r="A1626" s="2" t="s">
        <v>3435</v>
      </c>
      <c r="B1626" s="2" t="s">
        <v>63</v>
      </c>
      <c r="C1626" s="2" t="s">
        <v>3436</v>
      </c>
      <c r="D1626" s="2" t="s">
        <v>56</v>
      </c>
      <c r="E1626" s="2" t="s">
        <v>19</v>
      </c>
      <c r="F1626" s="2" t="s">
        <v>20</v>
      </c>
      <c r="G1626" s="2" t="s">
        <v>512</v>
      </c>
      <c r="H1626" s="3">
        <v>45606.69027777778</v>
      </c>
      <c r="I1626" s="3">
        <v>45606.881249999999</v>
      </c>
      <c r="J1626" s="2">
        <v>184</v>
      </c>
      <c r="K1626" s="2">
        <v>275</v>
      </c>
      <c r="L1626" s="2">
        <v>1</v>
      </c>
      <c r="M1626" s="2" t="s">
        <v>22</v>
      </c>
      <c r="N1626" s="2">
        <v>9</v>
      </c>
      <c r="O1626" s="2">
        <v>360.09</v>
      </c>
      <c r="P1626" s="2">
        <f t="shared" si="125"/>
        <v>91</v>
      </c>
      <c r="Q1626" s="4">
        <f t="shared" si="126"/>
        <v>0.66909090909090907</v>
      </c>
      <c r="R1626" s="2" t="str">
        <f t="shared" si="127"/>
        <v>Inefficient</v>
      </c>
      <c r="S1626" s="2" t="str">
        <f t="shared" si="128"/>
        <v>Very Long</v>
      </c>
      <c r="T1626" s="2" t="str">
        <f t="shared" si="129"/>
        <v>Major Delay</v>
      </c>
    </row>
    <row r="1627" spans="1:20" x14ac:dyDescent="0.35">
      <c r="A1627" s="2" t="s">
        <v>3437</v>
      </c>
      <c r="B1627" s="2" t="s">
        <v>63</v>
      </c>
      <c r="C1627" s="2" t="s">
        <v>3438</v>
      </c>
      <c r="D1627" s="2" t="s">
        <v>48</v>
      </c>
      <c r="E1627" s="2" t="s">
        <v>19</v>
      </c>
      <c r="F1627" s="2" t="s">
        <v>57</v>
      </c>
      <c r="G1627" s="2" t="s">
        <v>149</v>
      </c>
      <c r="H1627" s="3">
        <v>45614.424305555556</v>
      </c>
      <c r="I1627" s="3">
        <v>45614.540972222225</v>
      </c>
      <c r="J1627" s="2">
        <v>162</v>
      </c>
      <c r="K1627" s="2">
        <v>168</v>
      </c>
      <c r="L1627" s="2">
        <v>1</v>
      </c>
      <c r="M1627" s="2" t="s">
        <v>22</v>
      </c>
      <c r="N1627" s="2">
        <v>3</v>
      </c>
      <c r="O1627" s="2">
        <v>75.05</v>
      </c>
      <c r="P1627" s="2">
        <f t="shared" si="125"/>
        <v>6</v>
      </c>
      <c r="Q1627" s="4">
        <f t="shared" si="126"/>
        <v>0.9642857142857143</v>
      </c>
      <c r="R1627" s="2" t="str">
        <f t="shared" si="127"/>
        <v>Inefficient</v>
      </c>
      <c r="S1627" s="2" t="str">
        <f t="shared" si="128"/>
        <v>Very Long</v>
      </c>
      <c r="T1627" s="2" t="str">
        <f t="shared" si="129"/>
        <v>Minor Delay</v>
      </c>
    </row>
    <row r="1628" spans="1:20" x14ac:dyDescent="0.35">
      <c r="A1628" s="2" t="s">
        <v>3439</v>
      </c>
      <c r="B1628" s="2" t="s">
        <v>63</v>
      </c>
      <c r="C1628" s="2" t="s">
        <v>3440</v>
      </c>
      <c r="D1628" s="2" t="s">
        <v>18</v>
      </c>
      <c r="E1628" s="2" t="s">
        <v>38</v>
      </c>
      <c r="F1628" s="2" t="s">
        <v>20</v>
      </c>
      <c r="G1628" s="2" t="s">
        <v>108</v>
      </c>
      <c r="H1628" s="3">
        <v>45566.839583333334</v>
      </c>
      <c r="I1628" s="3">
        <v>45566.90902777778</v>
      </c>
      <c r="J1628" s="2">
        <v>85</v>
      </c>
      <c r="K1628" s="2">
        <v>100</v>
      </c>
      <c r="L1628" s="2">
        <v>1</v>
      </c>
      <c r="M1628" s="2" t="s">
        <v>41</v>
      </c>
      <c r="N1628" s="2">
        <v>2</v>
      </c>
      <c r="O1628" s="2">
        <v>288.5</v>
      </c>
      <c r="P1628" s="2">
        <f t="shared" si="125"/>
        <v>15</v>
      </c>
      <c r="Q1628" s="4">
        <f t="shared" si="126"/>
        <v>0.85</v>
      </c>
      <c r="R1628" s="2" t="str">
        <f t="shared" si="127"/>
        <v>Inefficient</v>
      </c>
      <c r="S1628" s="2" t="str">
        <f t="shared" si="128"/>
        <v>Long</v>
      </c>
      <c r="T1628" s="2" t="str">
        <f t="shared" si="129"/>
        <v>Minor Delay</v>
      </c>
    </row>
    <row r="1629" spans="1:20" x14ac:dyDescent="0.35">
      <c r="A1629" s="2" t="s">
        <v>3441</v>
      </c>
      <c r="B1629" s="2" t="s">
        <v>51</v>
      </c>
      <c r="C1629" s="2" t="s">
        <v>3442</v>
      </c>
      <c r="D1629" s="2" t="s">
        <v>48</v>
      </c>
      <c r="E1629" s="2" t="s">
        <v>38</v>
      </c>
      <c r="F1629" s="2" t="s">
        <v>34</v>
      </c>
      <c r="G1629" s="2" t="s">
        <v>1187</v>
      </c>
      <c r="H1629" s="3">
        <v>45490.365277777775</v>
      </c>
      <c r="I1629" s="3">
        <v>45490.525694444441</v>
      </c>
      <c r="J1629" s="2">
        <v>167</v>
      </c>
      <c r="K1629" s="2">
        <v>231</v>
      </c>
      <c r="L1629" s="2">
        <v>1</v>
      </c>
      <c r="M1629" s="2" t="s">
        <v>41</v>
      </c>
      <c r="N1629" s="2">
        <v>10</v>
      </c>
      <c r="O1629" s="2">
        <v>394.95</v>
      </c>
      <c r="P1629" s="2">
        <f t="shared" si="125"/>
        <v>64</v>
      </c>
      <c r="Q1629" s="4">
        <f t="shared" si="126"/>
        <v>0.72294372294372289</v>
      </c>
      <c r="R1629" s="2" t="str">
        <f t="shared" si="127"/>
        <v>Inefficient</v>
      </c>
      <c r="S1629" s="2" t="str">
        <f t="shared" si="128"/>
        <v>Very Long</v>
      </c>
      <c r="T1629" s="2" t="str">
        <f t="shared" si="129"/>
        <v>Major Delay</v>
      </c>
    </row>
    <row r="1630" spans="1:20" x14ac:dyDescent="0.35">
      <c r="A1630" s="2" t="s">
        <v>3443</v>
      </c>
      <c r="B1630" s="2" t="s">
        <v>16</v>
      </c>
      <c r="C1630" s="2" t="s">
        <v>3444</v>
      </c>
      <c r="D1630" s="2" t="s">
        <v>48</v>
      </c>
      <c r="E1630" s="2" t="s">
        <v>19</v>
      </c>
      <c r="F1630" s="2" t="s">
        <v>57</v>
      </c>
      <c r="G1630" s="2" t="s">
        <v>459</v>
      </c>
      <c r="H1630" s="3">
        <v>45643.311111111114</v>
      </c>
      <c r="I1630" s="3">
        <v>45643.429861111108</v>
      </c>
      <c r="J1630" s="2">
        <v>143</v>
      </c>
      <c r="K1630" s="2">
        <v>171</v>
      </c>
      <c r="L1630" s="2">
        <v>1</v>
      </c>
      <c r="M1630" s="2" t="s">
        <v>41</v>
      </c>
      <c r="N1630" s="2">
        <v>7</v>
      </c>
      <c r="O1630" s="2">
        <v>339.58</v>
      </c>
      <c r="P1630" s="2">
        <f t="shared" si="125"/>
        <v>28</v>
      </c>
      <c r="Q1630" s="4">
        <f t="shared" si="126"/>
        <v>0.83625730994152048</v>
      </c>
      <c r="R1630" s="2" t="str">
        <f t="shared" si="127"/>
        <v>Inefficient</v>
      </c>
      <c r="S1630" s="2" t="str">
        <f t="shared" si="128"/>
        <v>Very Long</v>
      </c>
      <c r="T1630" s="2" t="str">
        <f t="shared" si="129"/>
        <v>Minor Delay</v>
      </c>
    </row>
    <row r="1631" spans="1:20" x14ac:dyDescent="0.35">
      <c r="A1631" s="2" t="s">
        <v>3445</v>
      </c>
      <c r="B1631" s="2" t="s">
        <v>63</v>
      </c>
      <c r="C1631" s="2" t="s">
        <v>3446</v>
      </c>
      <c r="D1631" s="2" t="s">
        <v>26</v>
      </c>
      <c r="E1631" s="2" t="s">
        <v>19</v>
      </c>
      <c r="F1631" s="2" t="s">
        <v>20</v>
      </c>
      <c r="G1631" s="2" t="s">
        <v>473</v>
      </c>
      <c r="H1631" s="3">
        <v>45616.683333333334</v>
      </c>
      <c r="I1631" s="3">
        <v>45616.784722222219</v>
      </c>
      <c r="J1631" s="2">
        <v>115</v>
      </c>
      <c r="K1631" s="2">
        <v>146</v>
      </c>
      <c r="L1631" s="2">
        <v>1</v>
      </c>
      <c r="M1631" s="2" t="s">
        <v>29</v>
      </c>
      <c r="N1631" s="2">
        <v>8</v>
      </c>
      <c r="O1631" s="2">
        <v>142.28</v>
      </c>
      <c r="P1631" s="2">
        <f t="shared" si="125"/>
        <v>31</v>
      </c>
      <c r="Q1631" s="4">
        <f t="shared" si="126"/>
        <v>0.78767123287671237</v>
      </c>
      <c r="R1631" s="2" t="str">
        <f t="shared" si="127"/>
        <v>Inefficient</v>
      </c>
      <c r="S1631" s="2" t="str">
        <f t="shared" si="128"/>
        <v>Very Long</v>
      </c>
      <c r="T1631" s="2" t="str">
        <f t="shared" si="129"/>
        <v>Major Delay</v>
      </c>
    </row>
    <row r="1632" spans="1:20" x14ac:dyDescent="0.35">
      <c r="A1632" s="2" t="s">
        <v>3447</v>
      </c>
      <c r="B1632" s="2" t="s">
        <v>63</v>
      </c>
      <c r="C1632" s="2" t="s">
        <v>3448</v>
      </c>
      <c r="D1632" s="2" t="s">
        <v>18</v>
      </c>
      <c r="E1632" s="2" t="s">
        <v>19</v>
      </c>
      <c r="F1632" s="2" t="s">
        <v>20</v>
      </c>
      <c r="G1632" s="2" t="s">
        <v>388</v>
      </c>
      <c r="H1632" s="3">
        <v>45323.326388888891</v>
      </c>
      <c r="I1632" s="3">
        <v>45323.484027777777</v>
      </c>
      <c r="J1632" s="2">
        <v>176</v>
      </c>
      <c r="K1632" s="2">
        <v>227</v>
      </c>
      <c r="L1632" s="2">
        <v>1</v>
      </c>
      <c r="M1632" s="2" t="s">
        <v>41</v>
      </c>
      <c r="N1632" s="2">
        <v>6</v>
      </c>
      <c r="O1632" s="2">
        <v>417.02</v>
      </c>
      <c r="P1632" s="2">
        <f t="shared" si="125"/>
        <v>51</v>
      </c>
      <c r="Q1632" s="4">
        <f t="shared" si="126"/>
        <v>0.77533039647577096</v>
      </c>
      <c r="R1632" s="2" t="str">
        <f t="shared" si="127"/>
        <v>Inefficient</v>
      </c>
      <c r="S1632" s="2" t="str">
        <f t="shared" si="128"/>
        <v>Very Long</v>
      </c>
      <c r="T1632" s="2" t="str">
        <f t="shared" si="129"/>
        <v>Major Delay</v>
      </c>
    </row>
    <row r="1633" spans="1:20" x14ac:dyDescent="0.35">
      <c r="A1633" s="2" t="s">
        <v>3449</v>
      </c>
      <c r="B1633" s="2" t="s">
        <v>16</v>
      </c>
      <c r="C1633" s="2" t="s">
        <v>3450</v>
      </c>
      <c r="D1633" s="2" t="s">
        <v>44</v>
      </c>
      <c r="E1633" s="2" t="s">
        <v>85</v>
      </c>
      <c r="F1633" s="2" t="s">
        <v>39</v>
      </c>
      <c r="G1633" s="2" t="s">
        <v>388</v>
      </c>
      <c r="H1633" s="3">
        <v>45484.195833333331</v>
      </c>
      <c r="I1633" s="3">
        <v>45484.299305555556</v>
      </c>
      <c r="J1633" s="2">
        <v>56</v>
      </c>
      <c r="K1633" s="2">
        <v>149</v>
      </c>
      <c r="L1633" s="2">
        <v>1</v>
      </c>
      <c r="M1633" s="2" t="s">
        <v>41</v>
      </c>
      <c r="N1633" s="2">
        <v>1</v>
      </c>
      <c r="O1633" s="2">
        <v>484.64</v>
      </c>
      <c r="P1633" s="2">
        <f t="shared" si="125"/>
        <v>93</v>
      </c>
      <c r="Q1633" s="4">
        <f t="shared" si="126"/>
        <v>0.37583892617449666</v>
      </c>
      <c r="R1633" s="2" t="str">
        <f t="shared" si="127"/>
        <v>Inefficient</v>
      </c>
      <c r="S1633" s="2" t="str">
        <f t="shared" si="128"/>
        <v>Very Long</v>
      </c>
      <c r="T1633" s="2" t="str">
        <f t="shared" si="129"/>
        <v>Major Delay</v>
      </c>
    </row>
    <row r="1634" spans="1:20" x14ac:dyDescent="0.35">
      <c r="A1634" s="2" t="s">
        <v>3451</v>
      </c>
      <c r="B1634" s="2" t="s">
        <v>63</v>
      </c>
      <c r="C1634" s="2" t="s">
        <v>3452</v>
      </c>
      <c r="D1634" s="2" t="s">
        <v>48</v>
      </c>
      <c r="E1634" s="2" t="s">
        <v>19</v>
      </c>
      <c r="F1634" s="2" t="s">
        <v>57</v>
      </c>
      <c r="G1634" s="2" t="s">
        <v>1278</v>
      </c>
      <c r="H1634" s="3">
        <v>45560.857638888891</v>
      </c>
      <c r="I1634" s="3">
        <v>45561.059027777781</v>
      </c>
      <c r="J1634" s="2">
        <v>212</v>
      </c>
      <c r="K1634" s="2">
        <v>290</v>
      </c>
      <c r="L1634" s="2">
        <v>1</v>
      </c>
      <c r="M1634" s="2" t="s">
        <v>29</v>
      </c>
      <c r="N1634" s="2">
        <v>3</v>
      </c>
      <c r="O1634" s="2">
        <v>158.24</v>
      </c>
      <c r="P1634" s="2">
        <f t="shared" si="125"/>
        <v>78</v>
      </c>
      <c r="Q1634" s="4">
        <f t="shared" si="126"/>
        <v>0.73103448275862071</v>
      </c>
      <c r="R1634" s="2" t="str">
        <f t="shared" si="127"/>
        <v>Inefficient</v>
      </c>
      <c r="S1634" s="2" t="str">
        <f t="shared" si="128"/>
        <v>Very Long</v>
      </c>
      <c r="T1634" s="2" t="str">
        <f t="shared" si="129"/>
        <v>Major Delay</v>
      </c>
    </row>
    <row r="1635" spans="1:20" x14ac:dyDescent="0.35">
      <c r="A1635" s="2" t="s">
        <v>3453</v>
      </c>
      <c r="B1635" s="2" t="s">
        <v>63</v>
      </c>
      <c r="C1635" s="2" t="s">
        <v>3454</v>
      </c>
      <c r="D1635" s="2" t="s">
        <v>56</v>
      </c>
      <c r="E1635" s="2" t="s">
        <v>19</v>
      </c>
      <c r="F1635" s="2" t="s">
        <v>39</v>
      </c>
      <c r="G1635" s="2" t="s">
        <v>68</v>
      </c>
      <c r="H1635" s="3">
        <v>45584.563888888886</v>
      </c>
      <c r="I1635" s="3">
        <v>45584.751388888886</v>
      </c>
      <c r="J1635" s="2">
        <v>225</v>
      </c>
      <c r="K1635" s="2">
        <v>270</v>
      </c>
      <c r="L1635" s="2">
        <v>1</v>
      </c>
      <c r="M1635" s="2" t="s">
        <v>41</v>
      </c>
      <c r="N1635" s="2">
        <v>2</v>
      </c>
      <c r="O1635" s="2">
        <v>175.35</v>
      </c>
      <c r="P1635" s="2">
        <f t="shared" si="125"/>
        <v>45</v>
      </c>
      <c r="Q1635" s="4">
        <f t="shared" si="126"/>
        <v>0.83333333333333337</v>
      </c>
      <c r="R1635" s="2" t="str">
        <f t="shared" si="127"/>
        <v>Inefficient</v>
      </c>
      <c r="S1635" s="2" t="str">
        <f t="shared" si="128"/>
        <v>Very Long</v>
      </c>
      <c r="T1635" s="2" t="str">
        <f t="shared" si="129"/>
        <v>Major Delay</v>
      </c>
    </row>
    <row r="1636" spans="1:20" x14ac:dyDescent="0.35">
      <c r="A1636" s="2" t="s">
        <v>3455</v>
      </c>
      <c r="B1636" s="2" t="s">
        <v>24</v>
      </c>
      <c r="C1636" s="2" t="s">
        <v>3456</v>
      </c>
      <c r="D1636" s="2" t="s">
        <v>44</v>
      </c>
      <c r="E1636" s="2" t="s">
        <v>38</v>
      </c>
      <c r="F1636" s="2" t="s">
        <v>39</v>
      </c>
      <c r="G1636" s="2" t="s">
        <v>427</v>
      </c>
      <c r="H1636" s="3">
        <v>45437.524305555555</v>
      </c>
      <c r="I1636" s="3">
        <v>45437.616666666669</v>
      </c>
      <c r="J1636" s="2">
        <v>116</v>
      </c>
      <c r="K1636" s="2">
        <v>133</v>
      </c>
      <c r="L1636" s="2">
        <v>1</v>
      </c>
      <c r="M1636" s="2" t="s">
        <v>22</v>
      </c>
      <c r="N1636" s="2">
        <v>6</v>
      </c>
      <c r="O1636" s="2">
        <v>267.82</v>
      </c>
      <c r="P1636" s="2">
        <f t="shared" si="125"/>
        <v>17</v>
      </c>
      <c r="Q1636" s="4">
        <f t="shared" si="126"/>
        <v>0.8721804511278195</v>
      </c>
      <c r="R1636" s="2" t="str">
        <f t="shared" si="127"/>
        <v>Inefficient</v>
      </c>
      <c r="S1636" s="2" t="str">
        <f t="shared" si="128"/>
        <v>Very Long</v>
      </c>
      <c r="T1636" s="2" t="str">
        <f t="shared" si="129"/>
        <v>Minor Delay</v>
      </c>
    </row>
    <row r="1637" spans="1:20" x14ac:dyDescent="0.35">
      <c r="A1637" s="2" t="s">
        <v>3457</v>
      </c>
      <c r="B1637" s="2" t="s">
        <v>16</v>
      </c>
      <c r="C1637" s="2" t="s">
        <v>3458</v>
      </c>
      <c r="D1637" s="2" t="s">
        <v>44</v>
      </c>
      <c r="E1637" s="2" t="s">
        <v>19</v>
      </c>
      <c r="F1637" s="2" t="s">
        <v>27</v>
      </c>
      <c r="G1637" s="2" t="s">
        <v>129</v>
      </c>
      <c r="H1637" s="3">
        <v>45563.974305555559</v>
      </c>
      <c r="I1637" s="3">
        <v>45564.1875</v>
      </c>
      <c r="J1637" s="2">
        <v>225</v>
      </c>
      <c r="K1637" s="2">
        <v>307</v>
      </c>
      <c r="L1637" s="2">
        <v>1</v>
      </c>
      <c r="M1637" s="2" t="s">
        <v>41</v>
      </c>
      <c r="N1637" s="2">
        <v>5</v>
      </c>
      <c r="O1637" s="2">
        <v>93.99</v>
      </c>
      <c r="P1637" s="2">
        <f t="shared" si="125"/>
        <v>82</v>
      </c>
      <c r="Q1637" s="4">
        <f t="shared" si="126"/>
        <v>0.73289902280130292</v>
      </c>
      <c r="R1637" s="2" t="str">
        <f t="shared" si="127"/>
        <v>Inefficient</v>
      </c>
      <c r="S1637" s="2" t="str">
        <f t="shared" si="128"/>
        <v>Very Long</v>
      </c>
      <c r="T1637" s="2" t="str">
        <f t="shared" si="129"/>
        <v>Major Delay</v>
      </c>
    </row>
    <row r="1638" spans="1:20" x14ac:dyDescent="0.35">
      <c r="A1638" s="2" t="s">
        <v>3459</v>
      </c>
      <c r="B1638" s="2" t="s">
        <v>63</v>
      </c>
      <c r="C1638" s="2" t="s">
        <v>3460</v>
      </c>
      <c r="D1638" s="2" t="s">
        <v>44</v>
      </c>
      <c r="E1638" s="2" t="s">
        <v>85</v>
      </c>
      <c r="F1638" s="2" t="s">
        <v>27</v>
      </c>
      <c r="G1638" s="2" t="s">
        <v>376</v>
      </c>
      <c r="H1638" s="3">
        <v>45652.000694444447</v>
      </c>
      <c r="I1638" s="3">
        <v>45652.161805555559</v>
      </c>
      <c r="J1638" s="2">
        <v>211</v>
      </c>
      <c r="K1638" s="2">
        <v>232</v>
      </c>
      <c r="L1638" s="2">
        <v>1</v>
      </c>
      <c r="M1638" s="2" t="s">
        <v>41</v>
      </c>
      <c r="N1638" s="2">
        <v>6</v>
      </c>
      <c r="O1638" s="2">
        <v>100.13</v>
      </c>
      <c r="P1638" s="2">
        <f t="shared" si="125"/>
        <v>21</v>
      </c>
      <c r="Q1638" s="4">
        <f t="shared" si="126"/>
        <v>0.90948275862068961</v>
      </c>
      <c r="R1638" s="2" t="str">
        <f t="shared" si="127"/>
        <v>Inefficient</v>
      </c>
      <c r="S1638" s="2" t="str">
        <f t="shared" si="128"/>
        <v>Very Long</v>
      </c>
      <c r="T1638" s="2" t="str">
        <f t="shared" si="129"/>
        <v>Minor Delay</v>
      </c>
    </row>
    <row r="1639" spans="1:20" x14ac:dyDescent="0.35">
      <c r="A1639" s="2" t="s">
        <v>3461</v>
      </c>
      <c r="B1639" s="2" t="s">
        <v>16</v>
      </c>
      <c r="C1639" s="2" t="s">
        <v>3462</v>
      </c>
      <c r="D1639" s="2" t="s">
        <v>44</v>
      </c>
      <c r="E1639" s="2" t="s">
        <v>33</v>
      </c>
      <c r="F1639" s="2" t="s">
        <v>20</v>
      </c>
      <c r="G1639" s="2" t="s">
        <v>137</v>
      </c>
      <c r="H1639" s="3">
        <v>45334.944444444445</v>
      </c>
      <c r="I1639" s="3">
        <v>45335.037499999999</v>
      </c>
      <c r="J1639" s="2">
        <v>67</v>
      </c>
      <c r="K1639" s="2">
        <v>134</v>
      </c>
      <c r="L1639" s="2">
        <v>1</v>
      </c>
      <c r="M1639" s="2" t="s">
        <v>41</v>
      </c>
      <c r="N1639" s="2">
        <v>9</v>
      </c>
      <c r="O1639" s="2">
        <v>90.3</v>
      </c>
      <c r="P1639" s="2">
        <f t="shared" si="125"/>
        <v>67</v>
      </c>
      <c r="Q1639" s="4">
        <f t="shared" si="126"/>
        <v>0.5</v>
      </c>
      <c r="R1639" s="2" t="str">
        <f t="shared" si="127"/>
        <v>Inefficient</v>
      </c>
      <c r="S1639" s="2" t="str">
        <f t="shared" si="128"/>
        <v>Very Long</v>
      </c>
      <c r="T1639" s="2" t="str">
        <f t="shared" si="129"/>
        <v>Major Delay</v>
      </c>
    </row>
    <row r="1640" spans="1:20" x14ac:dyDescent="0.35">
      <c r="A1640" s="2" t="s">
        <v>3463</v>
      </c>
      <c r="B1640" s="2" t="s">
        <v>63</v>
      </c>
      <c r="C1640" s="2" t="s">
        <v>3464</v>
      </c>
      <c r="D1640" s="2" t="s">
        <v>56</v>
      </c>
      <c r="E1640" s="2" t="s">
        <v>85</v>
      </c>
      <c r="F1640" s="2" t="s">
        <v>39</v>
      </c>
      <c r="G1640" s="2" t="s">
        <v>111</v>
      </c>
      <c r="H1640" s="3">
        <v>45639.467361111114</v>
      </c>
      <c r="I1640" s="3">
        <v>45639.712500000001</v>
      </c>
      <c r="J1640" s="2">
        <v>239</v>
      </c>
      <c r="K1640" s="2">
        <v>353</v>
      </c>
      <c r="L1640" s="2">
        <v>1</v>
      </c>
      <c r="M1640" s="2" t="s">
        <v>29</v>
      </c>
      <c r="N1640" s="2">
        <v>3</v>
      </c>
      <c r="O1640" s="2">
        <v>313.73</v>
      </c>
      <c r="P1640" s="2">
        <f t="shared" si="125"/>
        <v>114</v>
      </c>
      <c r="Q1640" s="4">
        <f t="shared" si="126"/>
        <v>0.67705382436260619</v>
      </c>
      <c r="R1640" s="2" t="str">
        <f t="shared" si="127"/>
        <v>Inefficient</v>
      </c>
      <c r="S1640" s="2" t="str">
        <f t="shared" si="128"/>
        <v>Very Long</v>
      </c>
      <c r="T1640" s="2" t="str">
        <f t="shared" si="129"/>
        <v>Major Delay</v>
      </c>
    </row>
    <row r="1641" spans="1:20" x14ac:dyDescent="0.35">
      <c r="A1641" s="2" t="s">
        <v>3465</v>
      </c>
      <c r="B1641" s="2" t="s">
        <v>51</v>
      </c>
      <c r="C1641" s="2" t="s">
        <v>3466</v>
      </c>
      <c r="D1641" s="2" t="s">
        <v>18</v>
      </c>
      <c r="E1641" s="2" t="s">
        <v>33</v>
      </c>
      <c r="F1641" s="2" t="s">
        <v>57</v>
      </c>
      <c r="G1641" s="2" t="s">
        <v>137</v>
      </c>
      <c r="H1641" s="3">
        <v>45480.288888888892</v>
      </c>
      <c r="I1641" s="3">
        <v>45480.411111111112</v>
      </c>
      <c r="J1641" s="2">
        <v>67</v>
      </c>
      <c r="K1641" s="2">
        <v>176</v>
      </c>
      <c r="L1641" s="2">
        <v>1</v>
      </c>
      <c r="M1641" s="2" t="s">
        <v>41</v>
      </c>
      <c r="N1641" s="2">
        <v>9</v>
      </c>
      <c r="O1641" s="2">
        <v>470.75</v>
      </c>
      <c r="P1641" s="2">
        <f t="shared" si="125"/>
        <v>109</v>
      </c>
      <c r="Q1641" s="4">
        <f t="shared" si="126"/>
        <v>0.38068181818181818</v>
      </c>
      <c r="R1641" s="2" t="str">
        <f t="shared" si="127"/>
        <v>Inefficient</v>
      </c>
      <c r="S1641" s="2" t="str">
        <f t="shared" si="128"/>
        <v>Very Long</v>
      </c>
      <c r="T1641" s="2" t="str">
        <f t="shared" si="129"/>
        <v>Major Delay</v>
      </c>
    </row>
    <row r="1642" spans="1:20" x14ac:dyDescent="0.35">
      <c r="A1642" s="2" t="s">
        <v>3467</v>
      </c>
      <c r="B1642" s="2" t="s">
        <v>51</v>
      </c>
      <c r="C1642" s="2" t="s">
        <v>3468</v>
      </c>
      <c r="D1642" s="2" t="s">
        <v>44</v>
      </c>
      <c r="E1642" s="2" t="s">
        <v>33</v>
      </c>
      <c r="F1642" s="2" t="s">
        <v>57</v>
      </c>
      <c r="G1642" s="2" t="s">
        <v>28</v>
      </c>
      <c r="H1642" s="3">
        <v>45324.259722222225</v>
      </c>
      <c r="I1642" s="3">
        <v>45324.393750000003</v>
      </c>
      <c r="J1642" s="2">
        <v>143</v>
      </c>
      <c r="K1642" s="2">
        <v>193</v>
      </c>
      <c r="L1642" s="2">
        <v>1</v>
      </c>
      <c r="M1642" s="2" t="s">
        <v>22</v>
      </c>
      <c r="N1642" s="2">
        <v>8</v>
      </c>
      <c r="O1642" s="2">
        <v>86.74</v>
      </c>
      <c r="P1642" s="2">
        <f t="shared" si="125"/>
        <v>50</v>
      </c>
      <c r="Q1642" s="4">
        <f t="shared" si="126"/>
        <v>0.7409326424870466</v>
      </c>
      <c r="R1642" s="2" t="str">
        <f t="shared" si="127"/>
        <v>Inefficient</v>
      </c>
      <c r="S1642" s="2" t="str">
        <f t="shared" si="128"/>
        <v>Very Long</v>
      </c>
      <c r="T1642" s="2" t="str">
        <f t="shared" si="129"/>
        <v>Major Delay</v>
      </c>
    </row>
    <row r="1643" spans="1:20" x14ac:dyDescent="0.35">
      <c r="A1643" s="2" t="s">
        <v>3469</v>
      </c>
      <c r="B1643" s="2" t="s">
        <v>16</v>
      </c>
      <c r="C1643" s="2" t="s">
        <v>3470</v>
      </c>
      <c r="D1643" s="2" t="s">
        <v>18</v>
      </c>
      <c r="E1643" s="2" t="s">
        <v>85</v>
      </c>
      <c r="F1643" s="2" t="s">
        <v>57</v>
      </c>
      <c r="G1643" s="2" t="s">
        <v>117</v>
      </c>
      <c r="H1643" s="3">
        <v>45557.759722222225</v>
      </c>
      <c r="I1643" s="3">
        <v>45557.824305555558</v>
      </c>
      <c r="J1643" s="2">
        <v>24</v>
      </c>
      <c r="K1643" s="2">
        <v>93</v>
      </c>
      <c r="L1643" s="2">
        <v>1</v>
      </c>
      <c r="M1643" s="2" t="s">
        <v>41</v>
      </c>
      <c r="N1643" s="2">
        <v>5</v>
      </c>
      <c r="O1643" s="2">
        <v>185.39</v>
      </c>
      <c r="P1643" s="2">
        <f t="shared" si="125"/>
        <v>69</v>
      </c>
      <c r="Q1643" s="4">
        <f t="shared" si="126"/>
        <v>0.25806451612903225</v>
      </c>
      <c r="R1643" s="2" t="str">
        <f t="shared" si="127"/>
        <v>Inefficient</v>
      </c>
      <c r="S1643" s="2" t="str">
        <f t="shared" si="128"/>
        <v>Long</v>
      </c>
      <c r="T1643" s="2" t="str">
        <f t="shared" si="129"/>
        <v>Major Delay</v>
      </c>
    </row>
    <row r="1644" spans="1:20" x14ac:dyDescent="0.35">
      <c r="A1644" s="2" t="s">
        <v>3471</v>
      </c>
      <c r="B1644" s="2" t="s">
        <v>63</v>
      </c>
      <c r="C1644" s="2" t="s">
        <v>3472</v>
      </c>
      <c r="D1644" s="2" t="s">
        <v>48</v>
      </c>
      <c r="E1644" s="2" t="s">
        <v>19</v>
      </c>
      <c r="F1644" s="2" t="s">
        <v>39</v>
      </c>
      <c r="G1644" s="2" t="s">
        <v>894</v>
      </c>
      <c r="H1644" s="3">
        <v>45649.40625</v>
      </c>
      <c r="I1644" s="3">
        <v>45649.493055555555</v>
      </c>
      <c r="J1644" s="2">
        <v>48</v>
      </c>
      <c r="K1644" s="2">
        <v>125</v>
      </c>
      <c r="L1644" s="2">
        <v>1</v>
      </c>
      <c r="M1644" s="2" t="s">
        <v>29</v>
      </c>
      <c r="N1644" s="2">
        <v>1</v>
      </c>
      <c r="O1644" s="2">
        <v>285.99</v>
      </c>
      <c r="P1644" s="2">
        <f t="shared" si="125"/>
        <v>77</v>
      </c>
      <c r="Q1644" s="4">
        <f t="shared" si="126"/>
        <v>0.38400000000000001</v>
      </c>
      <c r="R1644" s="2" t="str">
        <f t="shared" si="127"/>
        <v>Inefficient</v>
      </c>
      <c r="S1644" s="2" t="str">
        <f t="shared" si="128"/>
        <v>Very Long</v>
      </c>
      <c r="T1644" s="2" t="str">
        <f t="shared" si="129"/>
        <v>Major Delay</v>
      </c>
    </row>
    <row r="1645" spans="1:20" x14ac:dyDescent="0.35">
      <c r="A1645" s="2" t="s">
        <v>3473</v>
      </c>
      <c r="B1645" s="2" t="s">
        <v>51</v>
      </c>
      <c r="C1645" s="2" t="s">
        <v>3474</v>
      </c>
      <c r="D1645" s="2" t="s">
        <v>56</v>
      </c>
      <c r="E1645" s="2" t="s">
        <v>85</v>
      </c>
      <c r="F1645" s="2" t="s">
        <v>34</v>
      </c>
      <c r="G1645" s="2" t="s">
        <v>427</v>
      </c>
      <c r="H1645" s="3">
        <v>45485.743055555555</v>
      </c>
      <c r="I1645" s="3">
        <v>45485.854166666664</v>
      </c>
      <c r="J1645" s="2">
        <v>107</v>
      </c>
      <c r="K1645" s="2">
        <v>160</v>
      </c>
      <c r="L1645" s="2">
        <v>1</v>
      </c>
      <c r="M1645" s="2" t="s">
        <v>41</v>
      </c>
      <c r="N1645" s="2">
        <v>9</v>
      </c>
      <c r="O1645" s="2">
        <v>433.17</v>
      </c>
      <c r="P1645" s="2">
        <f t="shared" si="125"/>
        <v>53</v>
      </c>
      <c r="Q1645" s="4">
        <f t="shared" si="126"/>
        <v>0.66874999999999996</v>
      </c>
      <c r="R1645" s="2" t="str">
        <f t="shared" si="127"/>
        <v>Inefficient</v>
      </c>
      <c r="S1645" s="2" t="str">
        <f t="shared" si="128"/>
        <v>Very Long</v>
      </c>
      <c r="T1645" s="2" t="str">
        <f t="shared" si="129"/>
        <v>Major Delay</v>
      </c>
    </row>
    <row r="1646" spans="1:20" x14ac:dyDescent="0.35">
      <c r="A1646" s="2" t="s">
        <v>3475</v>
      </c>
      <c r="B1646" s="2" t="s">
        <v>63</v>
      </c>
      <c r="C1646" s="2" t="s">
        <v>3476</v>
      </c>
      <c r="D1646" s="2" t="s">
        <v>26</v>
      </c>
      <c r="E1646" s="2" t="s">
        <v>33</v>
      </c>
      <c r="F1646" s="2" t="s">
        <v>34</v>
      </c>
      <c r="G1646" s="2" t="s">
        <v>207</v>
      </c>
      <c r="H1646" s="3">
        <v>45387.979166666664</v>
      </c>
      <c r="I1646" s="3">
        <v>45388.127083333333</v>
      </c>
      <c r="J1646" s="2">
        <v>122</v>
      </c>
      <c r="K1646" s="2">
        <v>213</v>
      </c>
      <c r="L1646" s="2">
        <v>1</v>
      </c>
      <c r="M1646" s="2" t="s">
        <v>22</v>
      </c>
      <c r="N1646" s="2">
        <v>6</v>
      </c>
      <c r="O1646" s="2">
        <v>116.28</v>
      </c>
      <c r="P1646" s="2">
        <f t="shared" si="125"/>
        <v>91</v>
      </c>
      <c r="Q1646" s="4">
        <f t="shared" si="126"/>
        <v>0.57276995305164324</v>
      </c>
      <c r="R1646" s="2" t="str">
        <f t="shared" si="127"/>
        <v>Inefficient</v>
      </c>
      <c r="S1646" s="2" t="str">
        <f t="shared" si="128"/>
        <v>Very Long</v>
      </c>
      <c r="T1646" s="2" t="str">
        <f t="shared" si="129"/>
        <v>Major Delay</v>
      </c>
    </row>
    <row r="1647" spans="1:20" x14ac:dyDescent="0.35">
      <c r="A1647" s="2" t="s">
        <v>3477</v>
      </c>
      <c r="B1647" s="2" t="s">
        <v>16</v>
      </c>
      <c r="C1647" s="2" t="s">
        <v>3478</v>
      </c>
      <c r="D1647" s="2" t="s">
        <v>44</v>
      </c>
      <c r="E1647" s="2" t="s">
        <v>33</v>
      </c>
      <c r="F1647" s="2" t="s">
        <v>34</v>
      </c>
      <c r="G1647" s="2" t="s">
        <v>539</v>
      </c>
      <c r="H1647" s="3">
        <v>45311.499305555553</v>
      </c>
      <c r="I1647" s="3">
        <v>45311.647222222222</v>
      </c>
      <c r="J1647" s="2">
        <v>213</v>
      </c>
      <c r="K1647" s="2">
        <v>213</v>
      </c>
      <c r="L1647" s="2">
        <v>0</v>
      </c>
      <c r="M1647" s="2" t="s">
        <v>41</v>
      </c>
      <c r="N1647" s="2">
        <v>6</v>
      </c>
      <c r="O1647" s="2">
        <v>483.28</v>
      </c>
      <c r="P1647" s="2">
        <f t="shared" si="125"/>
        <v>0</v>
      </c>
      <c r="Q1647" s="4">
        <f t="shared" si="126"/>
        <v>1</v>
      </c>
      <c r="R1647" s="2" t="str">
        <f t="shared" si="127"/>
        <v>On Target</v>
      </c>
      <c r="S1647" s="2" t="str">
        <f t="shared" si="128"/>
        <v>Very Long</v>
      </c>
      <c r="T1647" s="2" t="str">
        <f t="shared" si="129"/>
        <v>On Time</v>
      </c>
    </row>
    <row r="1648" spans="1:20" x14ac:dyDescent="0.35">
      <c r="A1648" s="2" t="s">
        <v>3479</v>
      </c>
      <c r="B1648" s="2" t="s">
        <v>24</v>
      </c>
      <c r="C1648" s="2" t="s">
        <v>3480</v>
      </c>
      <c r="D1648" s="2" t="s">
        <v>56</v>
      </c>
      <c r="E1648" s="2" t="s">
        <v>85</v>
      </c>
      <c r="F1648" s="2" t="s">
        <v>34</v>
      </c>
      <c r="G1648" s="2" t="s">
        <v>201</v>
      </c>
      <c r="H1648" s="3">
        <v>45509.792361111111</v>
      </c>
      <c r="I1648" s="3">
        <v>45509.993750000001</v>
      </c>
      <c r="J1648" s="2">
        <v>204</v>
      </c>
      <c r="K1648" s="2">
        <v>290</v>
      </c>
      <c r="L1648" s="2">
        <v>1</v>
      </c>
      <c r="M1648" s="2" t="s">
        <v>22</v>
      </c>
      <c r="N1648" s="2">
        <v>5</v>
      </c>
      <c r="O1648" s="2">
        <v>61.74</v>
      </c>
      <c r="P1648" s="2">
        <f t="shared" si="125"/>
        <v>86</v>
      </c>
      <c r="Q1648" s="4">
        <f t="shared" si="126"/>
        <v>0.70344827586206893</v>
      </c>
      <c r="R1648" s="2" t="str">
        <f t="shared" si="127"/>
        <v>Inefficient</v>
      </c>
      <c r="S1648" s="2" t="str">
        <f t="shared" si="128"/>
        <v>Very Long</v>
      </c>
      <c r="T1648" s="2" t="str">
        <f t="shared" si="129"/>
        <v>Major Delay</v>
      </c>
    </row>
    <row r="1649" spans="1:20" x14ac:dyDescent="0.35">
      <c r="A1649" s="2" t="s">
        <v>3481</v>
      </c>
      <c r="B1649" s="2" t="s">
        <v>63</v>
      </c>
      <c r="C1649" s="2" t="s">
        <v>3482</v>
      </c>
      <c r="D1649" s="2" t="s">
        <v>56</v>
      </c>
      <c r="E1649" s="2" t="s">
        <v>85</v>
      </c>
      <c r="F1649" s="2" t="s">
        <v>57</v>
      </c>
      <c r="G1649" s="2" t="s">
        <v>427</v>
      </c>
      <c r="H1649" s="3">
        <v>45633.70416666667</v>
      </c>
      <c r="I1649" s="3">
        <v>45633.854861111111</v>
      </c>
      <c r="J1649" s="2">
        <v>177</v>
      </c>
      <c r="K1649" s="2">
        <v>217</v>
      </c>
      <c r="L1649" s="2">
        <v>1</v>
      </c>
      <c r="M1649" s="2" t="s">
        <v>29</v>
      </c>
      <c r="N1649" s="2">
        <v>6</v>
      </c>
      <c r="O1649" s="2">
        <v>262.39</v>
      </c>
      <c r="P1649" s="2">
        <f t="shared" si="125"/>
        <v>40</v>
      </c>
      <c r="Q1649" s="4">
        <f t="shared" si="126"/>
        <v>0.81566820276497698</v>
      </c>
      <c r="R1649" s="2" t="str">
        <f t="shared" si="127"/>
        <v>Inefficient</v>
      </c>
      <c r="S1649" s="2" t="str">
        <f t="shared" si="128"/>
        <v>Very Long</v>
      </c>
      <c r="T1649" s="2" t="str">
        <f t="shared" si="129"/>
        <v>Major Delay</v>
      </c>
    </row>
    <row r="1650" spans="1:20" x14ac:dyDescent="0.35">
      <c r="A1650" s="2" t="s">
        <v>3483</v>
      </c>
      <c r="B1650" s="2" t="s">
        <v>24</v>
      </c>
      <c r="C1650" s="2" t="s">
        <v>3484</v>
      </c>
      <c r="D1650" s="2" t="s">
        <v>18</v>
      </c>
      <c r="E1650" s="2" t="s">
        <v>85</v>
      </c>
      <c r="F1650" s="2" t="s">
        <v>39</v>
      </c>
      <c r="G1650" s="2" t="s">
        <v>123</v>
      </c>
      <c r="H1650" s="3">
        <v>45418.087500000001</v>
      </c>
      <c r="I1650" s="3">
        <v>45418.124305555553</v>
      </c>
      <c r="J1650" s="2">
        <v>31</v>
      </c>
      <c r="K1650" s="2">
        <v>53</v>
      </c>
      <c r="L1650" s="2">
        <v>1</v>
      </c>
      <c r="M1650" s="2" t="s">
        <v>29</v>
      </c>
      <c r="N1650" s="2">
        <v>9</v>
      </c>
      <c r="O1650" s="2">
        <v>468.94</v>
      </c>
      <c r="P1650" s="2">
        <f t="shared" si="125"/>
        <v>22</v>
      </c>
      <c r="Q1650" s="4">
        <f t="shared" si="126"/>
        <v>0.58490566037735847</v>
      </c>
      <c r="R1650" s="2" t="str">
        <f t="shared" si="127"/>
        <v>Inefficient</v>
      </c>
      <c r="S1650" s="2" t="str">
        <f t="shared" si="128"/>
        <v>Medium</v>
      </c>
      <c r="T1650" s="2" t="str">
        <f t="shared" si="129"/>
        <v>Minor Delay</v>
      </c>
    </row>
    <row r="1651" spans="1:20" x14ac:dyDescent="0.35">
      <c r="A1651" s="2" t="s">
        <v>3485</v>
      </c>
      <c r="B1651" s="2" t="s">
        <v>24</v>
      </c>
      <c r="C1651" s="2" t="s">
        <v>3486</v>
      </c>
      <c r="D1651" s="2" t="s">
        <v>18</v>
      </c>
      <c r="E1651" s="2" t="s">
        <v>85</v>
      </c>
      <c r="F1651" s="2" t="s">
        <v>27</v>
      </c>
      <c r="G1651" s="2" t="s">
        <v>213</v>
      </c>
      <c r="H1651" s="3">
        <v>45332.970833333333</v>
      </c>
      <c r="I1651" s="3">
        <v>45333.058333333334</v>
      </c>
      <c r="J1651" s="2">
        <v>108</v>
      </c>
      <c r="K1651" s="2">
        <v>126</v>
      </c>
      <c r="L1651" s="2">
        <v>1</v>
      </c>
      <c r="M1651" s="2" t="s">
        <v>41</v>
      </c>
      <c r="N1651" s="2">
        <v>10</v>
      </c>
      <c r="O1651" s="2">
        <v>72.040000000000006</v>
      </c>
      <c r="P1651" s="2">
        <f t="shared" si="125"/>
        <v>18</v>
      </c>
      <c r="Q1651" s="4">
        <f t="shared" si="126"/>
        <v>0.8571428571428571</v>
      </c>
      <c r="R1651" s="2" t="str">
        <f t="shared" si="127"/>
        <v>Inefficient</v>
      </c>
      <c r="S1651" s="2" t="str">
        <f t="shared" si="128"/>
        <v>Very Long</v>
      </c>
      <c r="T1651" s="2" t="str">
        <f t="shared" si="129"/>
        <v>Minor Delay</v>
      </c>
    </row>
    <row r="1652" spans="1:20" x14ac:dyDescent="0.35">
      <c r="A1652" s="2" t="s">
        <v>3487</v>
      </c>
      <c r="B1652" s="2" t="s">
        <v>24</v>
      </c>
      <c r="C1652" s="2" t="s">
        <v>3488</v>
      </c>
      <c r="D1652" s="2" t="s">
        <v>44</v>
      </c>
      <c r="E1652" s="2" t="s">
        <v>33</v>
      </c>
      <c r="F1652" s="2" t="s">
        <v>34</v>
      </c>
      <c r="G1652" s="2" t="s">
        <v>299</v>
      </c>
      <c r="H1652" s="3">
        <v>45380.994444444441</v>
      </c>
      <c r="I1652" s="3">
        <v>45381.189583333333</v>
      </c>
      <c r="J1652" s="2">
        <v>229</v>
      </c>
      <c r="K1652" s="2">
        <v>281</v>
      </c>
      <c r="L1652" s="2">
        <v>1</v>
      </c>
      <c r="M1652" s="2" t="s">
        <v>29</v>
      </c>
      <c r="N1652" s="2">
        <v>2</v>
      </c>
      <c r="O1652" s="2">
        <v>492.76</v>
      </c>
      <c r="P1652" s="2">
        <f t="shared" si="125"/>
        <v>52</v>
      </c>
      <c r="Q1652" s="4">
        <f t="shared" si="126"/>
        <v>0.81494661921708189</v>
      </c>
      <c r="R1652" s="2" t="str">
        <f t="shared" si="127"/>
        <v>Inefficient</v>
      </c>
      <c r="S1652" s="2" t="str">
        <f t="shared" si="128"/>
        <v>Very Long</v>
      </c>
      <c r="T1652" s="2" t="str">
        <f t="shared" si="129"/>
        <v>Major Delay</v>
      </c>
    </row>
    <row r="1653" spans="1:20" x14ac:dyDescent="0.35">
      <c r="A1653" s="2" t="s">
        <v>3489</v>
      </c>
      <c r="B1653" s="2" t="s">
        <v>24</v>
      </c>
      <c r="C1653" s="2" t="s">
        <v>3490</v>
      </c>
      <c r="D1653" s="2" t="s">
        <v>56</v>
      </c>
      <c r="E1653" s="2" t="s">
        <v>85</v>
      </c>
      <c r="F1653" s="2" t="s">
        <v>34</v>
      </c>
      <c r="G1653" s="2" t="s">
        <v>539</v>
      </c>
      <c r="H1653" s="3">
        <v>45603.75277777778</v>
      </c>
      <c r="I1653" s="3">
        <v>45603.876388888886</v>
      </c>
      <c r="J1653" s="2">
        <v>77</v>
      </c>
      <c r="K1653" s="2">
        <v>178</v>
      </c>
      <c r="L1653" s="2">
        <v>1</v>
      </c>
      <c r="M1653" s="2" t="s">
        <v>41</v>
      </c>
      <c r="N1653" s="2">
        <v>2</v>
      </c>
      <c r="O1653" s="2">
        <v>449.21</v>
      </c>
      <c r="P1653" s="2">
        <f t="shared" si="125"/>
        <v>101</v>
      </c>
      <c r="Q1653" s="4">
        <f t="shared" si="126"/>
        <v>0.43258426966292135</v>
      </c>
      <c r="R1653" s="2" t="str">
        <f t="shared" si="127"/>
        <v>Inefficient</v>
      </c>
      <c r="S1653" s="2" t="str">
        <f t="shared" si="128"/>
        <v>Very Long</v>
      </c>
      <c r="T1653" s="2" t="str">
        <f t="shared" si="129"/>
        <v>Major Delay</v>
      </c>
    </row>
    <row r="1654" spans="1:20" x14ac:dyDescent="0.35">
      <c r="A1654" s="2" t="s">
        <v>3491</v>
      </c>
      <c r="B1654" s="2" t="s">
        <v>16</v>
      </c>
      <c r="C1654" s="2" t="s">
        <v>3492</v>
      </c>
      <c r="D1654" s="2" t="s">
        <v>18</v>
      </c>
      <c r="E1654" s="2" t="s">
        <v>33</v>
      </c>
      <c r="F1654" s="2" t="s">
        <v>20</v>
      </c>
      <c r="G1654" s="2" t="s">
        <v>97</v>
      </c>
      <c r="H1654" s="3">
        <v>45596.722222222219</v>
      </c>
      <c r="I1654" s="3">
        <v>45596.879166666666</v>
      </c>
      <c r="J1654" s="2">
        <v>217</v>
      </c>
      <c r="K1654" s="2">
        <v>226</v>
      </c>
      <c r="L1654" s="2">
        <v>1</v>
      </c>
      <c r="M1654" s="2" t="s">
        <v>41</v>
      </c>
      <c r="N1654" s="2">
        <v>8</v>
      </c>
      <c r="O1654" s="2">
        <v>249.7</v>
      </c>
      <c r="P1654" s="2">
        <f t="shared" si="125"/>
        <v>9</v>
      </c>
      <c r="Q1654" s="4">
        <f t="shared" si="126"/>
        <v>0.96017699115044253</v>
      </c>
      <c r="R1654" s="2" t="str">
        <f t="shared" si="127"/>
        <v>Inefficient</v>
      </c>
      <c r="S1654" s="2" t="str">
        <f t="shared" si="128"/>
        <v>Very Long</v>
      </c>
      <c r="T1654" s="2" t="str">
        <f t="shared" si="129"/>
        <v>Minor Delay</v>
      </c>
    </row>
    <row r="1655" spans="1:20" x14ac:dyDescent="0.35">
      <c r="A1655" s="2" t="s">
        <v>3493</v>
      </c>
      <c r="B1655" s="2" t="s">
        <v>31</v>
      </c>
      <c r="C1655" s="2" t="s">
        <v>3494</v>
      </c>
      <c r="D1655" s="2" t="s">
        <v>44</v>
      </c>
      <c r="E1655" s="2" t="s">
        <v>38</v>
      </c>
      <c r="F1655" s="2" t="s">
        <v>57</v>
      </c>
      <c r="G1655" s="2" t="s">
        <v>82</v>
      </c>
      <c r="H1655" s="3">
        <v>45474.769444444442</v>
      </c>
      <c r="I1655" s="3">
        <v>45474.865277777775</v>
      </c>
      <c r="J1655" s="2">
        <v>143</v>
      </c>
      <c r="K1655" s="2">
        <v>138</v>
      </c>
      <c r="L1655" s="2">
        <v>0</v>
      </c>
      <c r="M1655" s="2" t="s">
        <v>29</v>
      </c>
      <c r="N1655" s="2">
        <v>3</v>
      </c>
      <c r="O1655" s="2">
        <v>410.19</v>
      </c>
      <c r="P1655" s="2">
        <f t="shared" si="125"/>
        <v>-5</v>
      </c>
      <c r="Q1655" s="4">
        <f t="shared" si="126"/>
        <v>1.036231884057971</v>
      </c>
      <c r="R1655" s="2" t="str">
        <f t="shared" si="127"/>
        <v>Efficient</v>
      </c>
      <c r="S1655" s="2" t="str">
        <f t="shared" si="128"/>
        <v>Very Long</v>
      </c>
      <c r="T1655" s="2" t="str">
        <f t="shared" si="129"/>
        <v>On Time</v>
      </c>
    </row>
    <row r="1656" spans="1:20" x14ac:dyDescent="0.35">
      <c r="A1656" s="2" t="s">
        <v>3495</v>
      </c>
      <c r="B1656" s="2" t="s">
        <v>16</v>
      </c>
      <c r="C1656" s="2" t="s">
        <v>3496</v>
      </c>
      <c r="D1656" s="2" t="s">
        <v>44</v>
      </c>
      <c r="E1656" s="2" t="s">
        <v>19</v>
      </c>
      <c r="F1656" s="2" t="s">
        <v>39</v>
      </c>
      <c r="G1656" s="2" t="s">
        <v>123</v>
      </c>
      <c r="H1656" s="3">
        <v>45448.588194444441</v>
      </c>
      <c r="I1656" s="3">
        <v>45448.6875</v>
      </c>
      <c r="J1656" s="2">
        <v>117</v>
      </c>
      <c r="K1656" s="2">
        <v>143</v>
      </c>
      <c r="L1656" s="2">
        <v>1</v>
      </c>
      <c r="M1656" s="2" t="s">
        <v>22</v>
      </c>
      <c r="N1656" s="2">
        <v>10</v>
      </c>
      <c r="O1656" s="2">
        <v>352.96</v>
      </c>
      <c r="P1656" s="2">
        <f t="shared" si="125"/>
        <v>26</v>
      </c>
      <c r="Q1656" s="4">
        <f t="shared" si="126"/>
        <v>0.81818181818181823</v>
      </c>
      <c r="R1656" s="2" t="str">
        <f t="shared" si="127"/>
        <v>Inefficient</v>
      </c>
      <c r="S1656" s="2" t="str">
        <f t="shared" si="128"/>
        <v>Very Long</v>
      </c>
      <c r="T1656" s="2" t="str">
        <f t="shared" si="129"/>
        <v>Minor Delay</v>
      </c>
    </row>
    <row r="1657" spans="1:20" x14ac:dyDescent="0.35">
      <c r="A1657" s="2" t="s">
        <v>3497</v>
      </c>
      <c r="B1657" s="2" t="s">
        <v>16</v>
      </c>
      <c r="C1657" s="2" t="s">
        <v>3498</v>
      </c>
      <c r="D1657" s="2" t="s">
        <v>48</v>
      </c>
      <c r="E1657" s="2" t="s">
        <v>19</v>
      </c>
      <c r="F1657" s="2" t="s">
        <v>34</v>
      </c>
      <c r="G1657" s="2" t="s">
        <v>149</v>
      </c>
      <c r="H1657" s="3">
        <v>45301.698611111111</v>
      </c>
      <c r="I1657" s="3">
        <v>45301.779166666667</v>
      </c>
      <c r="J1657" s="2">
        <v>36</v>
      </c>
      <c r="K1657" s="2">
        <v>116</v>
      </c>
      <c r="L1657" s="2">
        <v>1</v>
      </c>
      <c r="M1657" s="2" t="s">
        <v>22</v>
      </c>
      <c r="N1657" s="2">
        <v>3</v>
      </c>
      <c r="O1657" s="2">
        <v>146.38</v>
      </c>
      <c r="P1657" s="2">
        <f t="shared" si="125"/>
        <v>80</v>
      </c>
      <c r="Q1657" s="4">
        <f t="shared" si="126"/>
        <v>0.31034482758620691</v>
      </c>
      <c r="R1657" s="2" t="str">
        <f t="shared" si="127"/>
        <v>Inefficient</v>
      </c>
      <c r="S1657" s="2" t="str">
        <f t="shared" si="128"/>
        <v>Long</v>
      </c>
      <c r="T1657" s="2" t="str">
        <f t="shared" si="129"/>
        <v>Major Delay</v>
      </c>
    </row>
    <row r="1658" spans="1:20" x14ac:dyDescent="0.35">
      <c r="A1658" s="2" t="s">
        <v>3499</v>
      </c>
      <c r="B1658" s="2" t="s">
        <v>51</v>
      </c>
      <c r="C1658" s="2" t="s">
        <v>3500</v>
      </c>
      <c r="D1658" s="2" t="s">
        <v>56</v>
      </c>
      <c r="E1658" s="2" t="s">
        <v>38</v>
      </c>
      <c r="F1658" s="2" t="s">
        <v>20</v>
      </c>
      <c r="G1658" s="2" t="s">
        <v>782</v>
      </c>
      <c r="H1658" s="3">
        <v>45437.388888888891</v>
      </c>
      <c r="I1658" s="3">
        <v>45437.611111111109</v>
      </c>
      <c r="J1658" s="2">
        <v>237</v>
      </c>
      <c r="K1658" s="2">
        <v>320</v>
      </c>
      <c r="L1658" s="2">
        <v>1</v>
      </c>
      <c r="M1658" s="2" t="s">
        <v>41</v>
      </c>
      <c r="N1658" s="2">
        <v>1</v>
      </c>
      <c r="O1658" s="2">
        <v>57.21</v>
      </c>
      <c r="P1658" s="2">
        <f t="shared" si="125"/>
        <v>83</v>
      </c>
      <c r="Q1658" s="4">
        <f t="shared" si="126"/>
        <v>0.74062499999999998</v>
      </c>
      <c r="R1658" s="2" t="str">
        <f t="shared" si="127"/>
        <v>Inefficient</v>
      </c>
      <c r="S1658" s="2" t="str">
        <f t="shared" si="128"/>
        <v>Very Long</v>
      </c>
      <c r="T1658" s="2" t="str">
        <f t="shared" si="129"/>
        <v>Major Delay</v>
      </c>
    </row>
    <row r="1659" spans="1:20" x14ac:dyDescent="0.35">
      <c r="A1659" s="2" t="s">
        <v>3501</v>
      </c>
      <c r="B1659" s="2" t="s">
        <v>51</v>
      </c>
      <c r="C1659" s="2" t="s">
        <v>3502</v>
      </c>
      <c r="D1659" s="2" t="s">
        <v>26</v>
      </c>
      <c r="E1659" s="2" t="s">
        <v>38</v>
      </c>
      <c r="F1659" s="2" t="s">
        <v>34</v>
      </c>
      <c r="G1659" s="2" t="s">
        <v>132</v>
      </c>
      <c r="H1659" s="3">
        <v>45461.428472222222</v>
      </c>
      <c r="I1659" s="3">
        <v>45461.534722222219</v>
      </c>
      <c r="J1659" s="2">
        <v>130</v>
      </c>
      <c r="K1659" s="2">
        <v>153</v>
      </c>
      <c r="L1659" s="2">
        <v>1</v>
      </c>
      <c r="M1659" s="2" t="s">
        <v>22</v>
      </c>
      <c r="N1659" s="2">
        <v>7</v>
      </c>
      <c r="O1659" s="2">
        <v>464.75</v>
      </c>
      <c r="P1659" s="2">
        <f t="shared" si="125"/>
        <v>23</v>
      </c>
      <c r="Q1659" s="4">
        <f t="shared" si="126"/>
        <v>0.84967320261437906</v>
      </c>
      <c r="R1659" s="2" t="str">
        <f t="shared" si="127"/>
        <v>Inefficient</v>
      </c>
      <c r="S1659" s="2" t="str">
        <f t="shared" si="128"/>
        <v>Very Long</v>
      </c>
      <c r="T1659" s="2" t="str">
        <f t="shared" si="129"/>
        <v>Minor Delay</v>
      </c>
    </row>
    <row r="1660" spans="1:20" x14ac:dyDescent="0.35">
      <c r="A1660" s="2" t="s">
        <v>3503</v>
      </c>
      <c r="B1660" s="2" t="s">
        <v>31</v>
      </c>
      <c r="C1660" s="2" t="s">
        <v>3504</v>
      </c>
      <c r="D1660" s="2" t="s">
        <v>56</v>
      </c>
      <c r="E1660" s="2" t="s">
        <v>38</v>
      </c>
      <c r="F1660" s="2" t="s">
        <v>39</v>
      </c>
      <c r="G1660" s="2" t="s">
        <v>754</v>
      </c>
      <c r="H1660" s="3">
        <v>45484.399305555555</v>
      </c>
      <c r="I1660" s="3">
        <v>45484.591666666667</v>
      </c>
      <c r="J1660" s="2">
        <v>177</v>
      </c>
      <c r="K1660" s="2">
        <v>277</v>
      </c>
      <c r="L1660" s="2">
        <v>1</v>
      </c>
      <c r="M1660" s="2" t="s">
        <v>41</v>
      </c>
      <c r="N1660" s="2">
        <v>8</v>
      </c>
      <c r="O1660" s="2">
        <v>286.8</v>
      </c>
      <c r="P1660" s="2">
        <f t="shared" si="125"/>
        <v>100</v>
      </c>
      <c r="Q1660" s="4">
        <f t="shared" si="126"/>
        <v>0.63898916967509023</v>
      </c>
      <c r="R1660" s="2" t="str">
        <f t="shared" si="127"/>
        <v>Inefficient</v>
      </c>
      <c r="S1660" s="2" t="str">
        <f t="shared" si="128"/>
        <v>Very Long</v>
      </c>
      <c r="T1660" s="2" t="str">
        <f t="shared" si="129"/>
        <v>Major Delay</v>
      </c>
    </row>
    <row r="1661" spans="1:20" x14ac:dyDescent="0.35">
      <c r="A1661" s="2" t="s">
        <v>3505</v>
      </c>
      <c r="B1661" s="2" t="s">
        <v>51</v>
      </c>
      <c r="C1661" s="2" t="s">
        <v>3506</v>
      </c>
      <c r="D1661" s="2" t="s">
        <v>18</v>
      </c>
      <c r="E1661" s="2" t="s">
        <v>85</v>
      </c>
      <c r="F1661" s="2" t="s">
        <v>39</v>
      </c>
      <c r="G1661" s="2" t="s">
        <v>853</v>
      </c>
      <c r="H1661" s="3">
        <v>45351.725694444445</v>
      </c>
      <c r="I1661" s="3">
        <v>45351.859722222223</v>
      </c>
      <c r="J1661" s="2">
        <v>108</v>
      </c>
      <c r="K1661" s="2">
        <v>193</v>
      </c>
      <c r="L1661" s="2">
        <v>1</v>
      </c>
      <c r="M1661" s="2" t="s">
        <v>29</v>
      </c>
      <c r="N1661" s="2">
        <v>8</v>
      </c>
      <c r="O1661" s="2">
        <v>277.17</v>
      </c>
      <c r="P1661" s="2">
        <f t="shared" si="125"/>
        <v>85</v>
      </c>
      <c r="Q1661" s="4">
        <f t="shared" si="126"/>
        <v>0.55958549222797926</v>
      </c>
      <c r="R1661" s="2" t="str">
        <f t="shared" si="127"/>
        <v>Inefficient</v>
      </c>
      <c r="S1661" s="2" t="str">
        <f t="shared" si="128"/>
        <v>Very Long</v>
      </c>
      <c r="T1661" s="2" t="str">
        <f t="shared" si="129"/>
        <v>Major Delay</v>
      </c>
    </row>
    <row r="1662" spans="1:20" x14ac:dyDescent="0.35">
      <c r="A1662" s="2" t="s">
        <v>3507</v>
      </c>
      <c r="B1662" s="2" t="s">
        <v>31</v>
      </c>
      <c r="C1662" s="2" t="s">
        <v>3508</v>
      </c>
      <c r="D1662" s="2" t="s">
        <v>48</v>
      </c>
      <c r="E1662" s="2" t="s">
        <v>19</v>
      </c>
      <c r="F1662" s="2" t="s">
        <v>34</v>
      </c>
      <c r="G1662" s="2" t="s">
        <v>397</v>
      </c>
      <c r="H1662" s="3">
        <v>45455.693055555559</v>
      </c>
      <c r="I1662" s="3">
        <v>45455.8</v>
      </c>
      <c r="J1662" s="2">
        <v>113</v>
      </c>
      <c r="K1662" s="2">
        <v>154</v>
      </c>
      <c r="L1662" s="2">
        <v>1</v>
      </c>
      <c r="M1662" s="2" t="s">
        <v>41</v>
      </c>
      <c r="N1662" s="2">
        <v>3</v>
      </c>
      <c r="O1662" s="2">
        <v>331.29</v>
      </c>
      <c r="P1662" s="2">
        <f t="shared" si="125"/>
        <v>41</v>
      </c>
      <c r="Q1662" s="4">
        <f t="shared" si="126"/>
        <v>0.73376623376623373</v>
      </c>
      <c r="R1662" s="2" t="str">
        <f t="shared" si="127"/>
        <v>Inefficient</v>
      </c>
      <c r="S1662" s="2" t="str">
        <f t="shared" si="128"/>
        <v>Very Long</v>
      </c>
      <c r="T1662" s="2" t="str">
        <f t="shared" si="129"/>
        <v>Major Delay</v>
      </c>
    </row>
    <row r="1663" spans="1:20" x14ac:dyDescent="0.35">
      <c r="A1663" s="2" t="s">
        <v>3509</v>
      </c>
      <c r="B1663" s="2" t="s">
        <v>31</v>
      </c>
      <c r="C1663" s="2" t="s">
        <v>3510</v>
      </c>
      <c r="D1663" s="2" t="s">
        <v>48</v>
      </c>
      <c r="E1663" s="2" t="s">
        <v>33</v>
      </c>
      <c r="F1663" s="2" t="s">
        <v>27</v>
      </c>
      <c r="G1663" s="2" t="s">
        <v>251</v>
      </c>
      <c r="H1663" s="3">
        <v>45449.065972222219</v>
      </c>
      <c r="I1663" s="3">
        <v>45449.133333333331</v>
      </c>
      <c r="J1663" s="2">
        <v>76</v>
      </c>
      <c r="K1663" s="2">
        <v>97</v>
      </c>
      <c r="L1663" s="2">
        <v>1</v>
      </c>
      <c r="M1663" s="2" t="s">
        <v>22</v>
      </c>
      <c r="N1663" s="2">
        <v>2</v>
      </c>
      <c r="O1663" s="2">
        <v>292.16000000000003</v>
      </c>
      <c r="P1663" s="2">
        <f t="shared" si="125"/>
        <v>21</v>
      </c>
      <c r="Q1663" s="4">
        <f t="shared" si="126"/>
        <v>0.78350515463917525</v>
      </c>
      <c r="R1663" s="2" t="str">
        <f t="shared" si="127"/>
        <v>Inefficient</v>
      </c>
      <c r="S1663" s="2" t="str">
        <f t="shared" si="128"/>
        <v>Long</v>
      </c>
      <c r="T1663" s="2" t="str">
        <f t="shared" si="129"/>
        <v>Minor Delay</v>
      </c>
    </row>
    <row r="1664" spans="1:20" x14ac:dyDescent="0.35">
      <c r="A1664" s="2" t="s">
        <v>3511</v>
      </c>
      <c r="B1664" s="2" t="s">
        <v>16</v>
      </c>
      <c r="C1664" s="2" t="s">
        <v>3512</v>
      </c>
      <c r="D1664" s="2" t="s">
        <v>56</v>
      </c>
      <c r="E1664" s="2" t="s">
        <v>38</v>
      </c>
      <c r="F1664" s="2" t="s">
        <v>34</v>
      </c>
      <c r="G1664" s="2" t="s">
        <v>594</v>
      </c>
      <c r="H1664" s="3">
        <v>45355.236111111109</v>
      </c>
      <c r="I1664" s="3">
        <v>45355.420138888891</v>
      </c>
      <c r="J1664" s="2">
        <v>178</v>
      </c>
      <c r="K1664" s="2">
        <v>265</v>
      </c>
      <c r="L1664" s="2">
        <v>1</v>
      </c>
      <c r="M1664" s="2" t="s">
        <v>29</v>
      </c>
      <c r="N1664" s="2">
        <v>3</v>
      </c>
      <c r="O1664" s="2">
        <v>333.55</v>
      </c>
      <c r="P1664" s="2">
        <f t="shared" si="125"/>
        <v>87</v>
      </c>
      <c r="Q1664" s="4">
        <f t="shared" si="126"/>
        <v>0.67169811320754713</v>
      </c>
      <c r="R1664" s="2" t="str">
        <f t="shared" si="127"/>
        <v>Inefficient</v>
      </c>
      <c r="S1664" s="2" t="str">
        <f t="shared" si="128"/>
        <v>Very Long</v>
      </c>
      <c r="T1664" s="2" t="str">
        <f t="shared" si="129"/>
        <v>Major Delay</v>
      </c>
    </row>
    <row r="1665" spans="1:20" x14ac:dyDescent="0.35">
      <c r="A1665" s="2" t="s">
        <v>3513</v>
      </c>
      <c r="B1665" s="2" t="s">
        <v>31</v>
      </c>
      <c r="C1665" s="2" t="s">
        <v>3514</v>
      </c>
      <c r="D1665" s="2" t="s">
        <v>26</v>
      </c>
      <c r="E1665" s="2" t="s">
        <v>38</v>
      </c>
      <c r="F1665" s="2" t="s">
        <v>34</v>
      </c>
      <c r="G1665" s="2" t="s">
        <v>1413</v>
      </c>
      <c r="H1665" s="3">
        <v>45502.684027777781</v>
      </c>
      <c r="I1665" s="3">
        <v>45502.774305555555</v>
      </c>
      <c r="J1665" s="2">
        <v>19</v>
      </c>
      <c r="K1665" s="2">
        <v>130</v>
      </c>
      <c r="L1665" s="2">
        <v>1</v>
      </c>
      <c r="M1665" s="2" t="s">
        <v>22</v>
      </c>
      <c r="N1665" s="2">
        <v>1</v>
      </c>
      <c r="O1665" s="2">
        <v>116.21</v>
      </c>
      <c r="P1665" s="2">
        <f t="shared" si="125"/>
        <v>111</v>
      </c>
      <c r="Q1665" s="4">
        <f t="shared" si="126"/>
        <v>0.14615384615384616</v>
      </c>
      <c r="R1665" s="2" t="str">
        <f t="shared" si="127"/>
        <v>Inefficient</v>
      </c>
      <c r="S1665" s="2" t="str">
        <f t="shared" si="128"/>
        <v>Very Long</v>
      </c>
      <c r="T1665" s="2" t="str">
        <f t="shared" si="129"/>
        <v>Major Delay</v>
      </c>
    </row>
    <row r="1666" spans="1:20" x14ac:dyDescent="0.35">
      <c r="A1666" s="2" t="s">
        <v>3515</v>
      </c>
      <c r="B1666" s="2" t="s">
        <v>16</v>
      </c>
      <c r="C1666" s="2" t="s">
        <v>3516</v>
      </c>
      <c r="D1666" s="2" t="s">
        <v>44</v>
      </c>
      <c r="E1666" s="2" t="s">
        <v>38</v>
      </c>
      <c r="F1666" s="2" t="s">
        <v>34</v>
      </c>
      <c r="G1666" s="2" t="s">
        <v>647</v>
      </c>
      <c r="H1666" s="3">
        <v>45563.925694444442</v>
      </c>
      <c r="I1666" s="3">
        <v>45564.033333333333</v>
      </c>
      <c r="J1666" s="2">
        <v>160</v>
      </c>
      <c r="K1666" s="2">
        <v>155</v>
      </c>
      <c r="L1666" s="2">
        <v>0</v>
      </c>
      <c r="M1666" s="2" t="s">
        <v>22</v>
      </c>
      <c r="N1666" s="2">
        <v>5</v>
      </c>
      <c r="O1666" s="2">
        <v>185.74</v>
      </c>
      <c r="P1666" s="2">
        <f t="shared" si="125"/>
        <v>-5</v>
      </c>
      <c r="Q1666" s="4">
        <f t="shared" si="126"/>
        <v>1.032258064516129</v>
      </c>
      <c r="R1666" s="2" t="str">
        <f t="shared" si="127"/>
        <v>Efficient</v>
      </c>
      <c r="S1666" s="2" t="str">
        <f t="shared" si="128"/>
        <v>Very Long</v>
      </c>
      <c r="T1666" s="2" t="str">
        <f t="shared" si="129"/>
        <v>On Time</v>
      </c>
    </row>
    <row r="1667" spans="1:20" x14ac:dyDescent="0.35">
      <c r="A1667" s="2" t="s">
        <v>3517</v>
      </c>
      <c r="B1667" s="2" t="s">
        <v>51</v>
      </c>
      <c r="C1667" s="2" t="s">
        <v>3518</v>
      </c>
      <c r="D1667" s="2" t="s">
        <v>56</v>
      </c>
      <c r="E1667" s="2" t="s">
        <v>38</v>
      </c>
      <c r="F1667" s="2" t="s">
        <v>27</v>
      </c>
      <c r="G1667" s="2" t="s">
        <v>35</v>
      </c>
      <c r="H1667" s="3">
        <v>45347.200694444444</v>
      </c>
      <c r="I1667" s="3">
        <v>45347.328472222223</v>
      </c>
      <c r="J1667" s="2">
        <v>101</v>
      </c>
      <c r="K1667" s="2">
        <v>184</v>
      </c>
      <c r="L1667" s="2">
        <v>1</v>
      </c>
      <c r="M1667" s="2" t="s">
        <v>41</v>
      </c>
      <c r="N1667" s="2">
        <v>5</v>
      </c>
      <c r="O1667" s="2">
        <v>380.02</v>
      </c>
      <c r="P1667" s="2">
        <f t="shared" ref="P1667:P1730" si="130">K1667-J1667</f>
        <v>83</v>
      </c>
      <c r="Q1667" s="4">
        <f t="shared" ref="Q1667:Q1730" si="131">J1667/K1667</f>
        <v>0.54891304347826086</v>
      </c>
      <c r="R1667" s="2" t="str">
        <f t="shared" ref="R1667:R1730" si="132">IF(Q1667&gt;1,"Efficient",
IF(Q1667=1,"On Target","Inefficient"))</f>
        <v>Inefficient</v>
      </c>
      <c r="S1667" s="2" t="str">
        <f t="shared" ref="S1667:S1730" si="133">IF(K1667&lt;30,"Short",
IF(K1667&lt;60,"Medium",
IF(K1667&lt;120,"Long","Very Long")))</f>
        <v>Very Long</v>
      </c>
      <c r="T1667" s="2" t="str">
        <f t="shared" ref="T1667:T1730" si="134">IF(K1667&lt;=J1667,"On Time",
IF(K1667-J1667&lt;=30,"Minor Delay","Major Delay"))</f>
        <v>Major Delay</v>
      </c>
    </row>
    <row r="1668" spans="1:20" x14ac:dyDescent="0.35">
      <c r="A1668" s="2" t="s">
        <v>3519</v>
      </c>
      <c r="B1668" s="2" t="s">
        <v>31</v>
      </c>
      <c r="C1668" s="2" t="s">
        <v>3520</v>
      </c>
      <c r="D1668" s="2" t="s">
        <v>18</v>
      </c>
      <c r="E1668" s="2" t="s">
        <v>19</v>
      </c>
      <c r="F1668" s="2" t="s">
        <v>57</v>
      </c>
      <c r="G1668" s="2" t="s">
        <v>123</v>
      </c>
      <c r="H1668" s="3">
        <v>45313.06527777778</v>
      </c>
      <c r="I1668" s="3">
        <v>45313.255555555559</v>
      </c>
      <c r="J1668" s="2">
        <v>158</v>
      </c>
      <c r="K1668" s="2">
        <v>274</v>
      </c>
      <c r="L1668" s="2">
        <v>1</v>
      </c>
      <c r="M1668" s="2" t="s">
        <v>22</v>
      </c>
      <c r="N1668" s="2">
        <v>6</v>
      </c>
      <c r="O1668" s="2">
        <v>448.89</v>
      </c>
      <c r="P1668" s="2">
        <f t="shared" si="130"/>
        <v>116</v>
      </c>
      <c r="Q1668" s="4">
        <f t="shared" si="131"/>
        <v>0.57664233576642332</v>
      </c>
      <c r="R1668" s="2" t="str">
        <f t="shared" si="132"/>
        <v>Inefficient</v>
      </c>
      <c r="S1668" s="2" t="str">
        <f t="shared" si="133"/>
        <v>Very Long</v>
      </c>
      <c r="T1668" s="2" t="str">
        <f t="shared" si="134"/>
        <v>Major Delay</v>
      </c>
    </row>
    <row r="1669" spans="1:20" x14ac:dyDescent="0.35">
      <c r="A1669" s="2" t="s">
        <v>3521</v>
      </c>
      <c r="B1669" s="2" t="s">
        <v>51</v>
      </c>
      <c r="C1669" s="2" t="s">
        <v>3522</v>
      </c>
      <c r="D1669" s="2" t="s">
        <v>44</v>
      </c>
      <c r="E1669" s="2" t="s">
        <v>38</v>
      </c>
      <c r="F1669" s="2" t="s">
        <v>34</v>
      </c>
      <c r="G1669" s="2" t="s">
        <v>210</v>
      </c>
      <c r="H1669" s="3">
        <v>45384.130555555559</v>
      </c>
      <c r="I1669" s="3">
        <v>45384.35</v>
      </c>
      <c r="J1669" s="2">
        <v>215</v>
      </c>
      <c r="K1669" s="2">
        <v>316</v>
      </c>
      <c r="L1669" s="2">
        <v>1</v>
      </c>
      <c r="M1669" s="2" t="s">
        <v>22</v>
      </c>
      <c r="N1669" s="2">
        <v>9</v>
      </c>
      <c r="O1669" s="2">
        <v>285.31</v>
      </c>
      <c r="P1669" s="2">
        <f t="shared" si="130"/>
        <v>101</v>
      </c>
      <c r="Q1669" s="4">
        <f t="shared" si="131"/>
        <v>0.680379746835443</v>
      </c>
      <c r="R1669" s="2" t="str">
        <f t="shared" si="132"/>
        <v>Inefficient</v>
      </c>
      <c r="S1669" s="2" t="str">
        <f t="shared" si="133"/>
        <v>Very Long</v>
      </c>
      <c r="T1669" s="2" t="str">
        <f t="shared" si="134"/>
        <v>Major Delay</v>
      </c>
    </row>
    <row r="1670" spans="1:20" x14ac:dyDescent="0.35">
      <c r="A1670" s="2" t="s">
        <v>3523</v>
      </c>
      <c r="B1670" s="2" t="s">
        <v>31</v>
      </c>
      <c r="C1670" s="2" t="s">
        <v>3524</v>
      </c>
      <c r="D1670" s="2" t="s">
        <v>48</v>
      </c>
      <c r="E1670" s="2" t="s">
        <v>33</v>
      </c>
      <c r="F1670" s="2" t="s">
        <v>57</v>
      </c>
      <c r="G1670" s="2" t="s">
        <v>296</v>
      </c>
      <c r="H1670" s="3">
        <v>45554.786111111112</v>
      </c>
      <c r="I1670" s="3">
        <v>45554.876388888886</v>
      </c>
      <c r="J1670" s="2">
        <v>100</v>
      </c>
      <c r="K1670" s="2">
        <v>130</v>
      </c>
      <c r="L1670" s="2">
        <v>1</v>
      </c>
      <c r="M1670" s="2" t="s">
        <v>29</v>
      </c>
      <c r="N1670" s="2">
        <v>10</v>
      </c>
      <c r="O1670" s="2">
        <v>393.91</v>
      </c>
      <c r="P1670" s="2">
        <f t="shared" si="130"/>
        <v>30</v>
      </c>
      <c r="Q1670" s="4">
        <f t="shared" si="131"/>
        <v>0.76923076923076927</v>
      </c>
      <c r="R1670" s="2" t="str">
        <f t="shared" si="132"/>
        <v>Inefficient</v>
      </c>
      <c r="S1670" s="2" t="str">
        <f t="shared" si="133"/>
        <v>Very Long</v>
      </c>
      <c r="T1670" s="2" t="str">
        <f t="shared" si="134"/>
        <v>Minor Delay</v>
      </c>
    </row>
    <row r="1671" spans="1:20" x14ac:dyDescent="0.35">
      <c r="A1671" s="2" t="s">
        <v>3525</v>
      </c>
      <c r="B1671" s="2" t="s">
        <v>24</v>
      </c>
      <c r="C1671" s="2" t="s">
        <v>3526</v>
      </c>
      <c r="D1671" s="2" t="s">
        <v>44</v>
      </c>
      <c r="E1671" s="2" t="s">
        <v>33</v>
      </c>
      <c r="F1671" s="2" t="s">
        <v>27</v>
      </c>
      <c r="G1671" s="2" t="s">
        <v>321</v>
      </c>
      <c r="H1671" s="3">
        <v>45630.434027777781</v>
      </c>
      <c r="I1671" s="3">
        <v>45630.675000000003</v>
      </c>
      <c r="J1671" s="2">
        <v>232</v>
      </c>
      <c r="K1671" s="2">
        <v>347</v>
      </c>
      <c r="L1671" s="2">
        <v>1</v>
      </c>
      <c r="M1671" s="2" t="s">
        <v>41</v>
      </c>
      <c r="N1671" s="2">
        <v>10</v>
      </c>
      <c r="O1671" s="2">
        <v>258.57</v>
      </c>
      <c r="P1671" s="2">
        <f t="shared" si="130"/>
        <v>115</v>
      </c>
      <c r="Q1671" s="4">
        <f t="shared" si="131"/>
        <v>0.66858789625360227</v>
      </c>
      <c r="R1671" s="2" t="str">
        <f t="shared" si="132"/>
        <v>Inefficient</v>
      </c>
      <c r="S1671" s="2" t="str">
        <f t="shared" si="133"/>
        <v>Very Long</v>
      </c>
      <c r="T1671" s="2" t="str">
        <f t="shared" si="134"/>
        <v>Major Delay</v>
      </c>
    </row>
    <row r="1672" spans="1:20" x14ac:dyDescent="0.35">
      <c r="A1672" s="2" t="s">
        <v>3527</v>
      </c>
      <c r="B1672" s="2" t="s">
        <v>16</v>
      </c>
      <c r="C1672" s="2" t="s">
        <v>3528</v>
      </c>
      <c r="D1672" s="2" t="s">
        <v>26</v>
      </c>
      <c r="E1672" s="2" t="s">
        <v>85</v>
      </c>
      <c r="F1672" s="2" t="s">
        <v>20</v>
      </c>
      <c r="G1672" s="2" t="s">
        <v>207</v>
      </c>
      <c r="H1672" s="3">
        <v>45505.631249999999</v>
      </c>
      <c r="I1672" s="3">
        <v>45505.770833333336</v>
      </c>
      <c r="J1672" s="2">
        <v>190</v>
      </c>
      <c r="K1672" s="2">
        <v>201</v>
      </c>
      <c r="L1672" s="2">
        <v>1</v>
      </c>
      <c r="M1672" s="2" t="s">
        <v>22</v>
      </c>
      <c r="N1672" s="2">
        <v>6</v>
      </c>
      <c r="O1672" s="2">
        <v>243.88</v>
      </c>
      <c r="P1672" s="2">
        <f t="shared" si="130"/>
        <v>11</v>
      </c>
      <c r="Q1672" s="4">
        <f t="shared" si="131"/>
        <v>0.94527363184079605</v>
      </c>
      <c r="R1672" s="2" t="str">
        <f t="shared" si="132"/>
        <v>Inefficient</v>
      </c>
      <c r="S1672" s="2" t="str">
        <f t="shared" si="133"/>
        <v>Very Long</v>
      </c>
      <c r="T1672" s="2" t="str">
        <f t="shared" si="134"/>
        <v>Minor Delay</v>
      </c>
    </row>
    <row r="1673" spans="1:20" x14ac:dyDescent="0.35">
      <c r="A1673" s="2" t="s">
        <v>3529</v>
      </c>
      <c r="B1673" s="2" t="s">
        <v>51</v>
      </c>
      <c r="C1673" s="2" t="s">
        <v>3530</v>
      </c>
      <c r="D1673" s="2" t="s">
        <v>44</v>
      </c>
      <c r="E1673" s="2" t="s">
        <v>38</v>
      </c>
      <c r="F1673" s="2" t="s">
        <v>39</v>
      </c>
      <c r="G1673" s="2" t="s">
        <v>97</v>
      </c>
      <c r="H1673" s="3">
        <v>45386.678472222222</v>
      </c>
      <c r="I1673" s="3">
        <v>45386.863888888889</v>
      </c>
      <c r="J1673" s="2">
        <v>154</v>
      </c>
      <c r="K1673" s="2">
        <v>267</v>
      </c>
      <c r="L1673" s="2">
        <v>1</v>
      </c>
      <c r="M1673" s="2" t="s">
        <v>22</v>
      </c>
      <c r="N1673" s="2">
        <v>6</v>
      </c>
      <c r="O1673" s="2">
        <v>422.18</v>
      </c>
      <c r="P1673" s="2">
        <f t="shared" si="130"/>
        <v>113</v>
      </c>
      <c r="Q1673" s="4">
        <f t="shared" si="131"/>
        <v>0.57677902621722843</v>
      </c>
      <c r="R1673" s="2" t="str">
        <f t="shared" si="132"/>
        <v>Inefficient</v>
      </c>
      <c r="S1673" s="2" t="str">
        <f t="shared" si="133"/>
        <v>Very Long</v>
      </c>
      <c r="T1673" s="2" t="str">
        <f t="shared" si="134"/>
        <v>Major Delay</v>
      </c>
    </row>
    <row r="1674" spans="1:20" x14ac:dyDescent="0.35">
      <c r="A1674" s="2" t="s">
        <v>3531</v>
      </c>
      <c r="B1674" s="2" t="s">
        <v>63</v>
      </c>
      <c r="C1674" s="2" t="s">
        <v>3532</v>
      </c>
      <c r="D1674" s="2" t="s">
        <v>18</v>
      </c>
      <c r="E1674" s="2" t="s">
        <v>38</v>
      </c>
      <c r="F1674" s="2" t="s">
        <v>57</v>
      </c>
      <c r="G1674" s="2" t="s">
        <v>1413</v>
      </c>
      <c r="H1674" s="3">
        <v>45347.065972222219</v>
      </c>
      <c r="I1674" s="3">
        <v>45347.188888888886</v>
      </c>
      <c r="J1674" s="2">
        <v>84</v>
      </c>
      <c r="K1674" s="2">
        <v>177</v>
      </c>
      <c r="L1674" s="2">
        <v>1</v>
      </c>
      <c r="M1674" s="2" t="s">
        <v>41</v>
      </c>
      <c r="N1674" s="2">
        <v>6</v>
      </c>
      <c r="O1674" s="2">
        <v>63.69</v>
      </c>
      <c r="P1674" s="2">
        <f t="shared" si="130"/>
        <v>93</v>
      </c>
      <c r="Q1674" s="4">
        <f t="shared" si="131"/>
        <v>0.47457627118644069</v>
      </c>
      <c r="R1674" s="2" t="str">
        <f t="shared" si="132"/>
        <v>Inefficient</v>
      </c>
      <c r="S1674" s="2" t="str">
        <f t="shared" si="133"/>
        <v>Very Long</v>
      </c>
      <c r="T1674" s="2" t="str">
        <f t="shared" si="134"/>
        <v>Major Delay</v>
      </c>
    </row>
    <row r="1675" spans="1:20" x14ac:dyDescent="0.35">
      <c r="A1675" s="2" t="s">
        <v>3533</v>
      </c>
      <c r="B1675" s="2" t="s">
        <v>24</v>
      </c>
      <c r="C1675" s="2" t="s">
        <v>3534</v>
      </c>
      <c r="D1675" s="2" t="s">
        <v>26</v>
      </c>
      <c r="E1675" s="2" t="s">
        <v>33</v>
      </c>
      <c r="F1675" s="2" t="s">
        <v>27</v>
      </c>
      <c r="G1675" s="2" t="s">
        <v>158</v>
      </c>
      <c r="H1675" s="3">
        <v>45333.347222222219</v>
      </c>
      <c r="I1675" s="3">
        <v>45333.432638888888</v>
      </c>
      <c r="J1675" s="2">
        <v>76</v>
      </c>
      <c r="K1675" s="2">
        <v>123</v>
      </c>
      <c r="L1675" s="2">
        <v>1</v>
      </c>
      <c r="M1675" s="2" t="s">
        <v>41</v>
      </c>
      <c r="N1675" s="2">
        <v>6</v>
      </c>
      <c r="O1675" s="2">
        <v>439.44</v>
      </c>
      <c r="P1675" s="2">
        <f t="shared" si="130"/>
        <v>47</v>
      </c>
      <c r="Q1675" s="4">
        <f t="shared" si="131"/>
        <v>0.61788617886178865</v>
      </c>
      <c r="R1675" s="2" t="str">
        <f t="shared" si="132"/>
        <v>Inefficient</v>
      </c>
      <c r="S1675" s="2" t="str">
        <f t="shared" si="133"/>
        <v>Very Long</v>
      </c>
      <c r="T1675" s="2" t="str">
        <f t="shared" si="134"/>
        <v>Major Delay</v>
      </c>
    </row>
    <row r="1676" spans="1:20" x14ac:dyDescent="0.35">
      <c r="A1676" s="2" t="s">
        <v>3535</v>
      </c>
      <c r="B1676" s="2" t="s">
        <v>31</v>
      </c>
      <c r="C1676" s="2" t="s">
        <v>3536</v>
      </c>
      <c r="D1676" s="2" t="s">
        <v>56</v>
      </c>
      <c r="E1676" s="2" t="s">
        <v>33</v>
      </c>
      <c r="F1676" s="2" t="s">
        <v>20</v>
      </c>
      <c r="G1676" s="2" t="s">
        <v>371</v>
      </c>
      <c r="H1676" s="3">
        <v>45461.260416666664</v>
      </c>
      <c r="I1676" s="3">
        <v>45461.315972222219</v>
      </c>
      <c r="J1676" s="2">
        <v>29</v>
      </c>
      <c r="K1676" s="2">
        <v>80</v>
      </c>
      <c r="L1676" s="2">
        <v>1</v>
      </c>
      <c r="M1676" s="2" t="s">
        <v>41</v>
      </c>
      <c r="N1676" s="2">
        <v>8</v>
      </c>
      <c r="O1676" s="2">
        <v>425.89</v>
      </c>
      <c r="P1676" s="2">
        <f t="shared" si="130"/>
        <v>51</v>
      </c>
      <c r="Q1676" s="4">
        <f t="shared" si="131"/>
        <v>0.36249999999999999</v>
      </c>
      <c r="R1676" s="2" t="str">
        <f t="shared" si="132"/>
        <v>Inefficient</v>
      </c>
      <c r="S1676" s="2" t="str">
        <f t="shared" si="133"/>
        <v>Long</v>
      </c>
      <c r="T1676" s="2" t="str">
        <f t="shared" si="134"/>
        <v>Major Delay</v>
      </c>
    </row>
    <row r="1677" spans="1:20" x14ac:dyDescent="0.35">
      <c r="A1677" s="2" t="s">
        <v>3537</v>
      </c>
      <c r="B1677" s="2" t="s">
        <v>63</v>
      </c>
      <c r="C1677" s="2" t="s">
        <v>3538</v>
      </c>
      <c r="D1677" s="2" t="s">
        <v>56</v>
      </c>
      <c r="E1677" s="2" t="s">
        <v>85</v>
      </c>
      <c r="F1677" s="2" t="s">
        <v>39</v>
      </c>
      <c r="G1677" s="2" t="s">
        <v>330</v>
      </c>
      <c r="H1677" s="3">
        <v>45525.863888888889</v>
      </c>
      <c r="I1677" s="3">
        <v>45525.92083333333</v>
      </c>
      <c r="J1677" s="2">
        <v>12</v>
      </c>
      <c r="K1677" s="2">
        <v>82</v>
      </c>
      <c r="L1677" s="2">
        <v>1</v>
      </c>
      <c r="M1677" s="2" t="s">
        <v>22</v>
      </c>
      <c r="N1677" s="2">
        <v>2</v>
      </c>
      <c r="O1677" s="2">
        <v>409.84</v>
      </c>
      <c r="P1677" s="2">
        <f t="shared" si="130"/>
        <v>70</v>
      </c>
      <c r="Q1677" s="4">
        <f t="shared" si="131"/>
        <v>0.14634146341463414</v>
      </c>
      <c r="R1677" s="2" t="str">
        <f t="shared" si="132"/>
        <v>Inefficient</v>
      </c>
      <c r="S1677" s="2" t="str">
        <f t="shared" si="133"/>
        <v>Long</v>
      </c>
      <c r="T1677" s="2" t="str">
        <f t="shared" si="134"/>
        <v>Major Delay</v>
      </c>
    </row>
    <row r="1678" spans="1:20" x14ac:dyDescent="0.35">
      <c r="A1678" s="2" t="s">
        <v>3539</v>
      </c>
      <c r="B1678" s="2" t="s">
        <v>16</v>
      </c>
      <c r="C1678" s="2" t="s">
        <v>3540</v>
      </c>
      <c r="D1678" s="2" t="s">
        <v>44</v>
      </c>
      <c r="E1678" s="2" t="s">
        <v>19</v>
      </c>
      <c r="F1678" s="2" t="s">
        <v>27</v>
      </c>
      <c r="G1678" s="2" t="s">
        <v>237</v>
      </c>
      <c r="H1678" s="3">
        <v>45381</v>
      </c>
      <c r="I1678" s="3">
        <v>45381.068749999999</v>
      </c>
      <c r="J1678" s="2">
        <v>67</v>
      </c>
      <c r="K1678" s="2">
        <v>99</v>
      </c>
      <c r="L1678" s="2">
        <v>1</v>
      </c>
      <c r="M1678" s="2" t="s">
        <v>22</v>
      </c>
      <c r="N1678" s="2">
        <v>8</v>
      </c>
      <c r="O1678" s="2">
        <v>242.12</v>
      </c>
      <c r="P1678" s="2">
        <f t="shared" si="130"/>
        <v>32</v>
      </c>
      <c r="Q1678" s="4">
        <f t="shared" si="131"/>
        <v>0.6767676767676768</v>
      </c>
      <c r="R1678" s="2" t="str">
        <f t="shared" si="132"/>
        <v>Inefficient</v>
      </c>
      <c r="S1678" s="2" t="str">
        <f t="shared" si="133"/>
        <v>Long</v>
      </c>
      <c r="T1678" s="2" t="str">
        <f t="shared" si="134"/>
        <v>Major Delay</v>
      </c>
    </row>
    <row r="1679" spans="1:20" x14ac:dyDescent="0.35">
      <c r="A1679" s="2" t="s">
        <v>3541</v>
      </c>
      <c r="B1679" s="2" t="s">
        <v>51</v>
      </c>
      <c r="C1679" s="2" t="s">
        <v>3542</v>
      </c>
      <c r="D1679" s="2" t="s">
        <v>56</v>
      </c>
      <c r="E1679" s="2" t="s">
        <v>19</v>
      </c>
      <c r="F1679" s="2" t="s">
        <v>27</v>
      </c>
      <c r="G1679" s="2" t="s">
        <v>164</v>
      </c>
      <c r="H1679" s="3">
        <v>45335.37222222222</v>
      </c>
      <c r="I1679" s="3">
        <v>45335.46875</v>
      </c>
      <c r="J1679" s="2">
        <v>110</v>
      </c>
      <c r="K1679" s="2">
        <v>139</v>
      </c>
      <c r="L1679" s="2">
        <v>1</v>
      </c>
      <c r="M1679" s="2" t="s">
        <v>22</v>
      </c>
      <c r="N1679" s="2">
        <v>2</v>
      </c>
      <c r="O1679" s="2">
        <v>123.54</v>
      </c>
      <c r="P1679" s="2">
        <f t="shared" si="130"/>
        <v>29</v>
      </c>
      <c r="Q1679" s="4">
        <f t="shared" si="131"/>
        <v>0.79136690647482011</v>
      </c>
      <c r="R1679" s="2" t="str">
        <f t="shared" si="132"/>
        <v>Inefficient</v>
      </c>
      <c r="S1679" s="2" t="str">
        <f t="shared" si="133"/>
        <v>Very Long</v>
      </c>
      <c r="T1679" s="2" t="str">
        <f t="shared" si="134"/>
        <v>Minor Delay</v>
      </c>
    </row>
    <row r="1680" spans="1:20" x14ac:dyDescent="0.35">
      <c r="A1680" s="2" t="s">
        <v>3543</v>
      </c>
      <c r="B1680" s="2" t="s">
        <v>24</v>
      </c>
      <c r="C1680" s="2" t="s">
        <v>3544</v>
      </c>
      <c r="D1680" s="2" t="s">
        <v>18</v>
      </c>
      <c r="E1680" s="2" t="s">
        <v>85</v>
      </c>
      <c r="F1680" s="2" t="s">
        <v>27</v>
      </c>
      <c r="G1680" s="2" t="s">
        <v>149</v>
      </c>
      <c r="H1680" s="3">
        <v>45314.427083333336</v>
      </c>
      <c r="I1680" s="3">
        <v>45314.612500000003</v>
      </c>
      <c r="J1680" s="2">
        <v>155</v>
      </c>
      <c r="K1680" s="2">
        <v>267</v>
      </c>
      <c r="L1680" s="2">
        <v>1</v>
      </c>
      <c r="M1680" s="2" t="s">
        <v>41</v>
      </c>
      <c r="N1680" s="2">
        <v>7</v>
      </c>
      <c r="O1680" s="2">
        <v>409.29</v>
      </c>
      <c r="P1680" s="2">
        <f t="shared" si="130"/>
        <v>112</v>
      </c>
      <c r="Q1680" s="4">
        <f t="shared" si="131"/>
        <v>0.58052434456928836</v>
      </c>
      <c r="R1680" s="2" t="str">
        <f t="shared" si="132"/>
        <v>Inefficient</v>
      </c>
      <c r="S1680" s="2" t="str">
        <f t="shared" si="133"/>
        <v>Very Long</v>
      </c>
      <c r="T1680" s="2" t="str">
        <f t="shared" si="134"/>
        <v>Major Delay</v>
      </c>
    </row>
    <row r="1681" spans="1:20" x14ac:dyDescent="0.35">
      <c r="A1681" s="2" t="s">
        <v>3545</v>
      </c>
      <c r="B1681" s="2" t="s">
        <v>24</v>
      </c>
      <c r="C1681" s="2" t="s">
        <v>3546</v>
      </c>
      <c r="D1681" s="2" t="s">
        <v>48</v>
      </c>
      <c r="E1681" s="2" t="s">
        <v>19</v>
      </c>
      <c r="F1681" s="2" t="s">
        <v>39</v>
      </c>
      <c r="G1681" s="2" t="s">
        <v>397</v>
      </c>
      <c r="H1681" s="3">
        <v>45602.868750000001</v>
      </c>
      <c r="I1681" s="3">
        <v>45603.067361111112</v>
      </c>
      <c r="J1681" s="2">
        <v>232</v>
      </c>
      <c r="K1681" s="2">
        <v>286</v>
      </c>
      <c r="L1681" s="2">
        <v>1</v>
      </c>
      <c r="M1681" s="2" t="s">
        <v>29</v>
      </c>
      <c r="N1681" s="2">
        <v>1</v>
      </c>
      <c r="O1681" s="2">
        <v>141.79</v>
      </c>
      <c r="P1681" s="2">
        <f t="shared" si="130"/>
        <v>54</v>
      </c>
      <c r="Q1681" s="4">
        <f t="shared" si="131"/>
        <v>0.81118881118881114</v>
      </c>
      <c r="R1681" s="2" t="str">
        <f t="shared" si="132"/>
        <v>Inefficient</v>
      </c>
      <c r="S1681" s="2" t="str">
        <f t="shared" si="133"/>
        <v>Very Long</v>
      </c>
      <c r="T1681" s="2" t="str">
        <f t="shared" si="134"/>
        <v>Major Delay</v>
      </c>
    </row>
    <row r="1682" spans="1:20" x14ac:dyDescent="0.35">
      <c r="A1682" s="2" t="s">
        <v>3547</v>
      </c>
      <c r="B1682" s="2" t="s">
        <v>51</v>
      </c>
      <c r="C1682" s="2" t="s">
        <v>3548</v>
      </c>
      <c r="D1682" s="2" t="s">
        <v>18</v>
      </c>
      <c r="E1682" s="2" t="s">
        <v>85</v>
      </c>
      <c r="F1682" s="2" t="s">
        <v>39</v>
      </c>
      <c r="G1682" s="2" t="s">
        <v>299</v>
      </c>
      <c r="H1682" s="3">
        <v>45514.129861111112</v>
      </c>
      <c r="I1682" s="3">
        <v>45514.24722222222</v>
      </c>
      <c r="J1682" s="2">
        <v>121</v>
      </c>
      <c r="K1682" s="2">
        <v>169</v>
      </c>
      <c r="L1682" s="2">
        <v>1</v>
      </c>
      <c r="M1682" s="2" t="s">
        <v>41</v>
      </c>
      <c r="N1682" s="2">
        <v>9</v>
      </c>
      <c r="O1682" s="2">
        <v>372.59</v>
      </c>
      <c r="P1682" s="2">
        <f t="shared" si="130"/>
        <v>48</v>
      </c>
      <c r="Q1682" s="4">
        <f t="shared" si="131"/>
        <v>0.71597633136094674</v>
      </c>
      <c r="R1682" s="2" t="str">
        <f t="shared" si="132"/>
        <v>Inefficient</v>
      </c>
      <c r="S1682" s="2" t="str">
        <f t="shared" si="133"/>
        <v>Very Long</v>
      </c>
      <c r="T1682" s="2" t="str">
        <f t="shared" si="134"/>
        <v>Major Delay</v>
      </c>
    </row>
    <row r="1683" spans="1:20" x14ac:dyDescent="0.35">
      <c r="A1683" s="2" t="s">
        <v>3549</v>
      </c>
      <c r="B1683" s="2" t="s">
        <v>63</v>
      </c>
      <c r="C1683" s="2" t="s">
        <v>3550</v>
      </c>
      <c r="D1683" s="2" t="s">
        <v>48</v>
      </c>
      <c r="E1683" s="2" t="s">
        <v>19</v>
      </c>
      <c r="F1683" s="2" t="s">
        <v>39</v>
      </c>
      <c r="G1683" s="2" t="s">
        <v>21</v>
      </c>
      <c r="H1683" s="3">
        <v>45571.189583333333</v>
      </c>
      <c r="I1683" s="3">
        <v>45571.282638888886</v>
      </c>
      <c r="J1683" s="2">
        <v>127</v>
      </c>
      <c r="K1683" s="2">
        <v>134</v>
      </c>
      <c r="L1683" s="2">
        <v>1</v>
      </c>
      <c r="M1683" s="2" t="s">
        <v>22</v>
      </c>
      <c r="N1683" s="2">
        <v>1</v>
      </c>
      <c r="O1683" s="2">
        <v>317.33</v>
      </c>
      <c r="P1683" s="2">
        <f t="shared" si="130"/>
        <v>7</v>
      </c>
      <c r="Q1683" s="4">
        <f t="shared" si="131"/>
        <v>0.94776119402985071</v>
      </c>
      <c r="R1683" s="2" t="str">
        <f t="shared" si="132"/>
        <v>Inefficient</v>
      </c>
      <c r="S1683" s="2" t="str">
        <f t="shared" si="133"/>
        <v>Very Long</v>
      </c>
      <c r="T1683" s="2" t="str">
        <f t="shared" si="134"/>
        <v>Minor Delay</v>
      </c>
    </row>
    <row r="1684" spans="1:20" x14ac:dyDescent="0.35">
      <c r="A1684" s="2" t="s">
        <v>3551</v>
      </c>
      <c r="B1684" s="2" t="s">
        <v>63</v>
      </c>
      <c r="C1684" s="2" t="s">
        <v>3552</v>
      </c>
      <c r="D1684" s="2" t="s">
        <v>56</v>
      </c>
      <c r="E1684" s="2" t="s">
        <v>19</v>
      </c>
      <c r="F1684" s="2" t="s">
        <v>57</v>
      </c>
      <c r="G1684" s="2" t="s">
        <v>418</v>
      </c>
      <c r="H1684" s="3">
        <v>45440.864583333336</v>
      </c>
      <c r="I1684" s="3">
        <v>45441.009722222225</v>
      </c>
      <c r="J1684" s="2">
        <v>211</v>
      </c>
      <c r="K1684" s="2">
        <v>209</v>
      </c>
      <c r="L1684" s="2">
        <v>0</v>
      </c>
      <c r="M1684" s="2" t="s">
        <v>29</v>
      </c>
      <c r="N1684" s="2">
        <v>6</v>
      </c>
      <c r="O1684" s="2">
        <v>306.33999999999997</v>
      </c>
      <c r="P1684" s="2">
        <f t="shared" si="130"/>
        <v>-2</v>
      </c>
      <c r="Q1684" s="4">
        <f t="shared" si="131"/>
        <v>1.0095693779904307</v>
      </c>
      <c r="R1684" s="2" t="str">
        <f t="shared" si="132"/>
        <v>Efficient</v>
      </c>
      <c r="S1684" s="2" t="str">
        <f t="shared" si="133"/>
        <v>Very Long</v>
      </c>
      <c r="T1684" s="2" t="str">
        <f t="shared" si="134"/>
        <v>On Time</v>
      </c>
    </row>
    <row r="1685" spans="1:20" x14ac:dyDescent="0.35">
      <c r="A1685" s="2" t="s">
        <v>3553</v>
      </c>
      <c r="B1685" s="2" t="s">
        <v>51</v>
      </c>
      <c r="C1685" s="2" t="s">
        <v>3554</v>
      </c>
      <c r="D1685" s="2" t="s">
        <v>56</v>
      </c>
      <c r="E1685" s="2" t="s">
        <v>19</v>
      </c>
      <c r="F1685" s="2" t="s">
        <v>27</v>
      </c>
      <c r="G1685" s="2" t="s">
        <v>265</v>
      </c>
      <c r="H1685" s="3">
        <v>45605.773611111108</v>
      </c>
      <c r="I1685" s="3">
        <v>45605.854861111111</v>
      </c>
      <c r="J1685" s="2">
        <v>111</v>
      </c>
      <c r="K1685" s="2">
        <v>117</v>
      </c>
      <c r="L1685" s="2">
        <v>1</v>
      </c>
      <c r="M1685" s="2" t="s">
        <v>22</v>
      </c>
      <c r="N1685" s="2">
        <v>6</v>
      </c>
      <c r="O1685" s="2">
        <v>299.97000000000003</v>
      </c>
      <c r="P1685" s="2">
        <f t="shared" si="130"/>
        <v>6</v>
      </c>
      <c r="Q1685" s="4">
        <f t="shared" si="131"/>
        <v>0.94871794871794868</v>
      </c>
      <c r="R1685" s="2" t="str">
        <f t="shared" si="132"/>
        <v>Inefficient</v>
      </c>
      <c r="S1685" s="2" t="str">
        <f t="shared" si="133"/>
        <v>Long</v>
      </c>
      <c r="T1685" s="2" t="str">
        <f t="shared" si="134"/>
        <v>Minor Delay</v>
      </c>
    </row>
    <row r="1686" spans="1:20" x14ac:dyDescent="0.35">
      <c r="A1686" s="2" t="s">
        <v>3555</v>
      </c>
      <c r="B1686" s="2" t="s">
        <v>63</v>
      </c>
      <c r="C1686" s="2" t="s">
        <v>3556</v>
      </c>
      <c r="D1686" s="2" t="s">
        <v>56</v>
      </c>
      <c r="E1686" s="2" t="s">
        <v>85</v>
      </c>
      <c r="F1686" s="2" t="s">
        <v>27</v>
      </c>
      <c r="G1686" s="2" t="s">
        <v>68</v>
      </c>
      <c r="H1686" s="3">
        <v>45569.835416666669</v>
      </c>
      <c r="I1686" s="3">
        <v>45570.013194444444</v>
      </c>
      <c r="J1686" s="2">
        <v>207</v>
      </c>
      <c r="K1686" s="2">
        <v>256</v>
      </c>
      <c r="L1686" s="2">
        <v>1</v>
      </c>
      <c r="M1686" s="2" t="s">
        <v>41</v>
      </c>
      <c r="N1686" s="2">
        <v>5</v>
      </c>
      <c r="O1686" s="2">
        <v>209.53</v>
      </c>
      <c r="P1686" s="2">
        <f t="shared" si="130"/>
        <v>49</v>
      </c>
      <c r="Q1686" s="4">
        <f t="shared" si="131"/>
        <v>0.80859375</v>
      </c>
      <c r="R1686" s="2" t="str">
        <f t="shared" si="132"/>
        <v>Inefficient</v>
      </c>
      <c r="S1686" s="2" t="str">
        <f t="shared" si="133"/>
        <v>Very Long</v>
      </c>
      <c r="T1686" s="2" t="str">
        <f t="shared" si="134"/>
        <v>Major Delay</v>
      </c>
    </row>
    <row r="1687" spans="1:20" x14ac:dyDescent="0.35">
      <c r="A1687" s="2" t="s">
        <v>3557</v>
      </c>
      <c r="B1687" s="2" t="s">
        <v>63</v>
      </c>
      <c r="C1687" s="2" t="s">
        <v>3558</v>
      </c>
      <c r="D1687" s="2" t="s">
        <v>18</v>
      </c>
      <c r="E1687" s="2" t="s">
        <v>19</v>
      </c>
      <c r="F1687" s="2" t="s">
        <v>39</v>
      </c>
      <c r="G1687" s="2" t="s">
        <v>602</v>
      </c>
      <c r="H1687" s="3">
        <v>45590.613888888889</v>
      </c>
      <c r="I1687" s="3">
        <v>45590.780555555553</v>
      </c>
      <c r="J1687" s="2">
        <v>147</v>
      </c>
      <c r="K1687" s="2">
        <v>240</v>
      </c>
      <c r="L1687" s="2">
        <v>1</v>
      </c>
      <c r="M1687" s="2" t="s">
        <v>41</v>
      </c>
      <c r="N1687" s="2">
        <v>3</v>
      </c>
      <c r="O1687" s="2">
        <v>190.88</v>
      </c>
      <c r="P1687" s="2">
        <f t="shared" si="130"/>
        <v>93</v>
      </c>
      <c r="Q1687" s="4">
        <f t="shared" si="131"/>
        <v>0.61250000000000004</v>
      </c>
      <c r="R1687" s="2" t="str">
        <f t="shared" si="132"/>
        <v>Inefficient</v>
      </c>
      <c r="S1687" s="2" t="str">
        <f t="shared" si="133"/>
        <v>Very Long</v>
      </c>
      <c r="T1687" s="2" t="str">
        <f t="shared" si="134"/>
        <v>Major Delay</v>
      </c>
    </row>
    <row r="1688" spans="1:20" x14ac:dyDescent="0.35">
      <c r="A1688" s="2" t="s">
        <v>3559</v>
      </c>
      <c r="B1688" s="2" t="s">
        <v>16</v>
      </c>
      <c r="C1688" s="2" t="s">
        <v>3560</v>
      </c>
      <c r="D1688" s="2" t="s">
        <v>48</v>
      </c>
      <c r="E1688" s="2" t="s">
        <v>19</v>
      </c>
      <c r="F1688" s="2" t="s">
        <v>57</v>
      </c>
      <c r="G1688" s="2" t="s">
        <v>213</v>
      </c>
      <c r="H1688" s="3">
        <v>45336.745138888888</v>
      </c>
      <c r="I1688" s="3">
        <v>45336.823611111111</v>
      </c>
      <c r="J1688" s="2">
        <v>93</v>
      </c>
      <c r="K1688" s="2">
        <v>113</v>
      </c>
      <c r="L1688" s="2">
        <v>1</v>
      </c>
      <c r="M1688" s="2" t="s">
        <v>41</v>
      </c>
      <c r="N1688" s="2">
        <v>9</v>
      </c>
      <c r="O1688" s="2">
        <v>272.49</v>
      </c>
      <c r="P1688" s="2">
        <f t="shared" si="130"/>
        <v>20</v>
      </c>
      <c r="Q1688" s="4">
        <f t="shared" si="131"/>
        <v>0.82300884955752207</v>
      </c>
      <c r="R1688" s="2" t="str">
        <f t="shared" si="132"/>
        <v>Inefficient</v>
      </c>
      <c r="S1688" s="2" t="str">
        <f t="shared" si="133"/>
        <v>Long</v>
      </c>
      <c r="T1688" s="2" t="str">
        <f t="shared" si="134"/>
        <v>Minor Delay</v>
      </c>
    </row>
    <row r="1689" spans="1:20" x14ac:dyDescent="0.35">
      <c r="A1689" s="2" t="s">
        <v>3561</v>
      </c>
      <c r="B1689" s="2" t="s">
        <v>31</v>
      </c>
      <c r="C1689" s="2" t="s">
        <v>3562</v>
      </c>
      <c r="D1689" s="2" t="s">
        <v>18</v>
      </c>
      <c r="E1689" s="2" t="s">
        <v>19</v>
      </c>
      <c r="F1689" s="2" t="s">
        <v>27</v>
      </c>
      <c r="G1689" s="2" t="s">
        <v>207</v>
      </c>
      <c r="H1689" s="3">
        <v>45498.506249999999</v>
      </c>
      <c r="I1689" s="3">
        <v>45498.545138888891</v>
      </c>
      <c r="J1689" s="2">
        <v>30</v>
      </c>
      <c r="K1689" s="2">
        <v>56</v>
      </c>
      <c r="L1689" s="2">
        <v>1</v>
      </c>
      <c r="M1689" s="2" t="s">
        <v>29</v>
      </c>
      <c r="N1689" s="2">
        <v>9</v>
      </c>
      <c r="O1689" s="2">
        <v>294.8</v>
      </c>
      <c r="P1689" s="2">
        <f t="shared" si="130"/>
        <v>26</v>
      </c>
      <c r="Q1689" s="4">
        <f t="shared" si="131"/>
        <v>0.5357142857142857</v>
      </c>
      <c r="R1689" s="2" t="str">
        <f t="shared" si="132"/>
        <v>Inefficient</v>
      </c>
      <c r="S1689" s="2" t="str">
        <f t="shared" si="133"/>
        <v>Medium</v>
      </c>
      <c r="T1689" s="2" t="str">
        <f t="shared" si="134"/>
        <v>Minor Delay</v>
      </c>
    </row>
    <row r="1690" spans="1:20" x14ac:dyDescent="0.35">
      <c r="A1690" s="2" t="s">
        <v>3563</v>
      </c>
      <c r="B1690" s="2" t="s">
        <v>51</v>
      </c>
      <c r="C1690" s="2" t="s">
        <v>3564</v>
      </c>
      <c r="D1690" s="2" t="s">
        <v>48</v>
      </c>
      <c r="E1690" s="2" t="s">
        <v>19</v>
      </c>
      <c r="F1690" s="2" t="s">
        <v>34</v>
      </c>
      <c r="G1690" s="2" t="s">
        <v>228</v>
      </c>
      <c r="H1690" s="3">
        <v>45345.006249999999</v>
      </c>
      <c r="I1690" s="3">
        <v>45345.135416666664</v>
      </c>
      <c r="J1690" s="2">
        <v>108</v>
      </c>
      <c r="K1690" s="2">
        <v>186</v>
      </c>
      <c r="L1690" s="2">
        <v>1</v>
      </c>
      <c r="M1690" s="2" t="s">
        <v>41</v>
      </c>
      <c r="N1690" s="2">
        <v>7</v>
      </c>
      <c r="O1690" s="2">
        <v>234.46</v>
      </c>
      <c r="P1690" s="2">
        <f t="shared" si="130"/>
        <v>78</v>
      </c>
      <c r="Q1690" s="4">
        <f t="shared" si="131"/>
        <v>0.58064516129032262</v>
      </c>
      <c r="R1690" s="2" t="str">
        <f t="shared" si="132"/>
        <v>Inefficient</v>
      </c>
      <c r="S1690" s="2" t="str">
        <f t="shared" si="133"/>
        <v>Very Long</v>
      </c>
      <c r="T1690" s="2" t="str">
        <f t="shared" si="134"/>
        <v>Major Delay</v>
      </c>
    </row>
    <row r="1691" spans="1:20" x14ac:dyDescent="0.35">
      <c r="A1691" s="2" t="s">
        <v>3565</v>
      </c>
      <c r="B1691" s="2" t="s">
        <v>63</v>
      </c>
      <c r="C1691" s="2" t="s">
        <v>3566</v>
      </c>
      <c r="D1691" s="2" t="s">
        <v>48</v>
      </c>
      <c r="E1691" s="2" t="s">
        <v>38</v>
      </c>
      <c r="F1691" s="2" t="s">
        <v>20</v>
      </c>
      <c r="G1691" s="2" t="s">
        <v>91</v>
      </c>
      <c r="H1691" s="3">
        <v>45441.92291666667</v>
      </c>
      <c r="I1691" s="3">
        <v>45442.09097222222</v>
      </c>
      <c r="J1691" s="2">
        <v>168</v>
      </c>
      <c r="K1691" s="2">
        <v>242</v>
      </c>
      <c r="L1691" s="2">
        <v>1</v>
      </c>
      <c r="M1691" s="2" t="s">
        <v>41</v>
      </c>
      <c r="N1691" s="2">
        <v>5</v>
      </c>
      <c r="O1691" s="2">
        <v>307.81</v>
      </c>
      <c r="P1691" s="2">
        <f t="shared" si="130"/>
        <v>74</v>
      </c>
      <c r="Q1691" s="4">
        <f t="shared" si="131"/>
        <v>0.69421487603305787</v>
      </c>
      <c r="R1691" s="2" t="str">
        <f t="shared" si="132"/>
        <v>Inefficient</v>
      </c>
      <c r="S1691" s="2" t="str">
        <f t="shared" si="133"/>
        <v>Very Long</v>
      </c>
      <c r="T1691" s="2" t="str">
        <f t="shared" si="134"/>
        <v>Major Delay</v>
      </c>
    </row>
    <row r="1692" spans="1:20" x14ac:dyDescent="0.35">
      <c r="A1692" s="2" t="s">
        <v>3567</v>
      </c>
      <c r="B1692" s="2" t="s">
        <v>16</v>
      </c>
      <c r="C1692" s="2" t="s">
        <v>3568</v>
      </c>
      <c r="D1692" s="2" t="s">
        <v>44</v>
      </c>
      <c r="E1692" s="2" t="s">
        <v>38</v>
      </c>
      <c r="F1692" s="2" t="s">
        <v>57</v>
      </c>
      <c r="G1692" s="2" t="s">
        <v>359</v>
      </c>
      <c r="H1692" s="3">
        <v>45451.065972222219</v>
      </c>
      <c r="I1692" s="3">
        <v>45451.12222222222</v>
      </c>
      <c r="J1692" s="2">
        <v>59</v>
      </c>
      <c r="K1692" s="2">
        <v>81</v>
      </c>
      <c r="L1692" s="2">
        <v>1</v>
      </c>
      <c r="M1692" s="2" t="s">
        <v>29</v>
      </c>
      <c r="N1692" s="2">
        <v>10</v>
      </c>
      <c r="O1692" s="2">
        <v>439.27</v>
      </c>
      <c r="P1692" s="2">
        <f t="shared" si="130"/>
        <v>22</v>
      </c>
      <c r="Q1692" s="4">
        <f t="shared" si="131"/>
        <v>0.72839506172839508</v>
      </c>
      <c r="R1692" s="2" t="str">
        <f t="shared" si="132"/>
        <v>Inefficient</v>
      </c>
      <c r="S1692" s="2" t="str">
        <f t="shared" si="133"/>
        <v>Long</v>
      </c>
      <c r="T1692" s="2" t="str">
        <f t="shared" si="134"/>
        <v>Minor Delay</v>
      </c>
    </row>
    <row r="1693" spans="1:20" x14ac:dyDescent="0.35">
      <c r="A1693" s="2" t="s">
        <v>3569</v>
      </c>
      <c r="B1693" s="2" t="s">
        <v>24</v>
      </c>
      <c r="C1693" s="2" t="s">
        <v>3570</v>
      </c>
      <c r="D1693" s="2" t="s">
        <v>48</v>
      </c>
      <c r="E1693" s="2" t="s">
        <v>33</v>
      </c>
      <c r="F1693" s="2" t="s">
        <v>57</v>
      </c>
      <c r="G1693" s="2" t="s">
        <v>316</v>
      </c>
      <c r="H1693" s="3">
        <v>45344.061805555553</v>
      </c>
      <c r="I1693" s="3">
        <v>45344.215277777781</v>
      </c>
      <c r="J1693" s="2">
        <v>114</v>
      </c>
      <c r="K1693" s="2">
        <v>221</v>
      </c>
      <c r="L1693" s="2">
        <v>1</v>
      </c>
      <c r="M1693" s="2" t="s">
        <v>22</v>
      </c>
      <c r="N1693" s="2">
        <v>8</v>
      </c>
      <c r="O1693" s="2">
        <v>412.75</v>
      </c>
      <c r="P1693" s="2">
        <f t="shared" si="130"/>
        <v>107</v>
      </c>
      <c r="Q1693" s="4">
        <f t="shared" si="131"/>
        <v>0.51583710407239824</v>
      </c>
      <c r="R1693" s="2" t="str">
        <f t="shared" si="132"/>
        <v>Inefficient</v>
      </c>
      <c r="S1693" s="2" t="str">
        <f t="shared" si="133"/>
        <v>Very Long</v>
      </c>
      <c r="T1693" s="2" t="str">
        <f t="shared" si="134"/>
        <v>Major Delay</v>
      </c>
    </row>
    <row r="1694" spans="1:20" x14ac:dyDescent="0.35">
      <c r="A1694" s="2" t="s">
        <v>3571</v>
      </c>
      <c r="B1694" s="2" t="s">
        <v>31</v>
      </c>
      <c r="C1694" s="2" t="s">
        <v>3572</v>
      </c>
      <c r="D1694" s="2" t="s">
        <v>56</v>
      </c>
      <c r="E1694" s="2" t="s">
        <v>19</v>
      </c>
      <c r="F1694" s="2" t="s">
        <v>39</v>
      </c>
      <c r="G1694" s="2" t="s">
        <v>894</v>
      </c>
      <c r="H1694" s="3">
        <v>45452.995138888888</v>
      </c>
      <c r="I1694" s="3">
        <v>45453.170138888891</v>
      </c>
      <c r="J1694" s="2">
        <v>184</v>
      </c>
      <c r="K1694" s="2">
        <v>252</v>
      </c>
      <c r="L1694" s="2">
        <v>1</v>
      </c>
      <c r="M1694" s="2" t="s">
        <v>22</v>
      </c>
      <c r="N1694" s="2">
        <v>4</v>
      </c>
      <c r="O1694" s="2">
        <v>204.76</v>
      </c>
      <c r="P1694" s="2">
        <f t="shared" si="130"/>
        <v>68</v>
      </c>
      <c r="Q1694" s="4">
        <f t="shared" si="131"/>
        <v>0.73015873015873012</v>
      </c>
      <c r="R1694" s="2" t="str">
        <f t="shared" si="132"/>
        <v>Inefficient</v>
      </c>
      <c r="S1694" s="2" t="str">
        <f t="shared" si="133"/>
        <v>Very Long</v>
      </c>
      <c r="T1694" s="2" t="str">
        <f t="shared" si="134"/>
        <v>Major Delay</v>
      </c>
    </row>
    <row r="1695" spans="1:20" x14ac:dyDescent="0.35">
      <c r="A1695" s="2" t="s">
        <v>3573</v>
      </c>
      <c r="B1695" s="2" t="s">
        <v>16</v>
      </c>
      <c r="C1695" s="2" t="s">
        <v>3574</v>
      </c>
      <c r="D1695" s="2" t="s">
        <v>48</v>
      </c>
      <c r="E1695" s="2" t="s">
        <v>19</v>
      </c>
      <c r="F1695" s="2" t="s">
        <v>27</v>
      </c>
      <c r="G1695" s="2" t="s">
        <v>158</v>
      </c>
      <c r="H1695" s="3">
        <v>45345.171527777777</v>
      </c>
      <c r="I1695" s="3">
        <v>45345.333333333336</v>
      </c>
      <c r="J1695" s="2">
        <v>198</v>
      </c>
      <c r="K1695" s="2">
        <v>233</v>
      </c>
      <c r="L1695" s="2">
        <v>1</v>
      </c>
      <c r="M1695" s="2" t="s">
        <v>29</v>
      </c>
      <c r="N1695" s="2">
        <v>4</v>
      </c>
      <c r="O1695" s="2">
        <v>273.56</v>
      </c>
      <c r="P1695" s="2">
        <f t="shared" si="130"/>
        <v>35</v>
      </c>
      <c r="Q1695" s="4">
        <f t="shared" si="131"/>
        <v>0.84978540772532185</v>
      </c>
      <c r="R1695" s="2" t="str">
        <f t="shared" si="132"/>
        <v>Inefficient</v>
      </c>
      <c r="S1695" s="2" t="str">
        <f t="shared" si="133"/>
        <v>Very Long</v>
      </c>
      <c r="T1695" s="2" t="str">
        <f t="shared" si="134"/>
        <v>Major Delay</v>
      </c>
    </row>
    <row r="1696" spans="1:20" x14ac:dyDescent="0.35">
      <c r="A1696" s="2" t="s">
        <v>3575</v>
      </c>
      <c r="B1696" s="2" t="s">
        <v>16</v>
      </c>
      <c r="C1696" s="2" t="s">
        <v>3576</v>
      </c>
      <c r="D1696" s="2" t="s">
        <v>44</v>
      </c>
      <c r="E1696" s="2" t="s">
        <v>19</v>
      </c>
      <c r="F1696" s="2" t="s">
        <v>20</v>
      </c>
      <c r="G1696" s="2" t="s">
        <v>397</v>
      </c>
      <c r="H1696" s="3">
        <v>45342.26458333333</v>
      </c>
      <c r="I1696" s="3">
        <v>45342.375</v>
      </c>
      <c r="J1696" s="2">
        <v>118</v>
      </c>
      <c r="K1696" s="2">
        <v>159</v>
      </c>
      <c r="L1696" s="2">
        <v>1</v>
      </c>
      <c r="M1696" s="2" t="s">
        <v>22</v>
      </c>
      <c r="N1696" s="2">
        <v>4</v>
      </c>
      <c r="O1696" s="2">
        <v>269.75</v>
      </c>
      <c r="P1696" s="2">
        <f t="shared" si="130"/>
        <v>41</v>
      </c>
      <c r="Q1696" s="4">
        <f t="shared" si="131"/>
        <v>0.74213836477987416</v>
      </c>
      <c r="R1696" s="2" t="str">
        <f t="shared" si="132"/>
        <v>Inefficient</v>
      </c>
      <c r="S1696" s="2" t="str">
        <f t="shared" si="133"/>
        <v>Very Long</v>
      </c>
      <c r="T1696" s="2" t="str">
        <f t="shared" si="134"/>
        <v>Major Delay</v>
      </c>
    </row>
    <row r="1697" spans="1:20" x14ac:dyDescent="0.35">
      <c r="A1697" s="2" t="s">
        <v>3577</v>
      </c>
      <c r="B1697" s="2" t="s">
        <v>31</v>
      </c>
      <c r="C1697" s="2" t="s">
        <v>3578</v>
      </c>
      <c r="D1697" s="2" t="s">
        <v>48</v>
      </c>
      <c r="E1697" s="2" t="s">
        <v>85</v>
      </c>
      <c r="F1697" s="2" t="s">
        <v>34</v>
      </c>
      <c r="G1697" s="2" t="s">
        <v>228</v>
      </c>
      <c r="H1697" s="3">
        <v>45323.258333333331</v>
      </c>
      <c r="I1697" s="3">
        <v>45323.40625</v>
      </c>
      <c r="J1697" s="2">
        <v>140</v>
      </c>
      <c r="K1697" s="2">
        <v>213</v>
      </c>
      <c r="L1697" s="2">
        <v>1</v>
      </c>
      <c r="M1697" s="2" t="s">
        <v>41</v>
      </c>
      <c r="N1697" s="2">
        <v>4</v>
      </c>
      <c r="O1697" s="2">
        <v>441.9</v>
      </c>
      <c r="P1697" s="2">
        <f t="shared" si="130"/>
        <v>73</v>
      </c>
      <c r="Q1697" s="4">
        <f t="shared" si="131"/>
        <v>0.65727699530516437</v>
      </c>
      <c r="R1697" s="2" t="str">
        <f t="shared" si="132"/>
        <v>Inefficient</v>
      </c>
      <c r="S1697" s="2" t="str">
        <f t="shared" si="133"/>
        <v>Very Long</v>
      </c>
      <c r="T1697" s="2" t="str">
        <f t="shared" si="134"/>
        <v>Major Delay</v>
      </c>
    </row>
    <row r="1698" spans="1:20" x14ac:dyDescent="0.35">
      <c r="A1698" s="2" t="s">
        <v>3579</v>
      </c>
      <c r="B1698" s="2" t="s">
        <v>16</v>
      </c>
      <c r="C1698" s="2" t="s">
        <v>3580</v>
      </c>
      <c r="D1698" s="2" t="s">
        <v>26</v>
      </c>
      <c r="E1698" s="2" t="s">
        <v>85</v>
      </c>
      <c r="F1698" s="2" t="s">
        <v>20</v>
      </c>
      <c r="G1698" s="2" t="s">
        <v>79</v>
      </c>
      <c r="H1698" s="3">
        <v>45623.621527777781</v>
      </c>
      <c r="I1698" s="3">
        <v>45623.755555555559</v>
      </c>
      <c r="J1698" s="2">
        <v>109</v>
      </c>
      <c r="K1698" s="2">
        <v>193</v>
      </c>
      <c r="L1698" s="2">
        <v>1</v>
      </c>
      <c r="M1698" s="2" t="s">
        <v>29</v>
      </c>
      <c r="N1698" s="2">
        <v>10</v>
      </c>
      <c r="O1698" s="2">
        <v>441.74</v>
      </c>
      <c r="P1698" s="2">
        <f t="shared" si="130"/>
        <v>84</v>
      </c>
      <c r="Q1698" s="4">
        <f t="shared" si="131"/>
        <v>0.56476683937823835</v>
      </c>
      <c r="R1698" s="2" t="str">
        <f t="shared" si="132"/>
        <v>Inefficient</v>
      </c>
      <c r="S1698" s="2" t="str">
        <f t="shared" si="133"/>
        <v>Very Long</v>
      </c>
      <c r="T1698" s="2" t="str">
        <f t="shared" si="134"/>
        <v>Major Delay</v>
      </c>
    </row>
    <row r="1699" spans="1:20" x14ac:dyDescent="0.35">
      <c r="A1699" s="2" t="s">
        <v>3581</v>
      </c>
      <c r="B1699" s="2" t="s">
        <v>24</v>
      </c>
      <c r="C1699" s="2" t="s">
        <v>3582</v>
      </c>
      <c r="D1699" s="2" t="s">
        <v>44</v>
      </c>
      <c r="E1699" s="2" t="s">
        <v>33</v>
      </c>
      <c r="F1699" s="2" t="s">
        <v>20</v>
      </c>
      <c r="G1699" s="2" t="s">
        <v>288</v>
      </c>
      <c r="H1699" s="3">
        <v>45546.642361111109</v>
      </c>
      <c r="I1699" s="3">
        <v>45546.746527777781</v>
      </c>
      <c r="J1699" s="2">
        <v>104</v>
      </c>
      <c r="K1699" s="2">
        <v>150</v>
      </c>
      <c r="L1699" s="2">
        <v>1</v>
      </c>
      <c r="M1699" s="2" t="s">
        <v>41</v>
      </c>
      <c r="N1699" s="2">
        <v>5</v>
      </c>
      <c r="O1699" s="2">
        <v>379.57</v>
      </c>
      <c r="P1699" s="2">
        <f t="shared" si="130"/>
        <v>46</v>
      </c>
      <c r="Q1699" s="4">
        <f t="shared" si="131"/>
        <v>0.69333333333333336</v>
      </c>
      <c r="R1699" s="2" t="str">
        <f t="shared" si="132"/>
        <v>Inefficient</v>
      </c>
      <c r="S1699" s="2" t="str">
        <f t="shared" si="133"/>
        <v>Very Long</v>
      </c>
      <c r="T1699" s="2" t="str">
        <f t="shared" si="134"/>
        <v>Major Delay</v>
      </c>
    </row>
    <row r="1700" spans="1:20" x14ac:dyDescent="0.35">
      <c r="A1700" s="2" t="s">
        <v>3583</v>
      </c>
      <c r="B1700" s="2" t="s">
        <v>31</v>
      </c>
      <c r="C1700" s="2" t="s">
        <v>3584</v>
      </c>
      <c r="D1700" s="2" t="s">
        <v>44</v>
      </c>
      <c r="E1700" s="2" t="s">
        <v>38</v>
      </c>
      <c r="F1700" s="2" t="s">
        <v>57</v>
      </c>
      <c r="G1700" s="2" t="s">
        <v>330</v>
      </c>
      <c r="H1700" s="3">
        <v>45579.045138888891</v>
      </c>
      <c r="I1700" s="3">
        <v>45579.138888888891</v>
      </c>
      <c r="J1700" s="2">
        <v>91</v>
      </c>
      <c r="K1700" s="2">
        <v>135</v>
      </c>
      <c r="L1700" s="2">
        <v>1</v>
      </c>
      <c r="M1700" s="2" t="s">
        <v>22</v>
      </c>
      <c r="N1700" s="2">
        <v>7</v>
      </c>
      <c r="O1700" s="2">
        <v>449.47</v>
      </c>
      <c r="P1700" s="2">
        <f t="shared" si="130"/>
        <v>44</v>
      </c>
      <c r="Q1700" s="4">
        <f t="shared" si="131"/>
        <v>0.67407407407407405</v>
      </c>
      <c r="R1700" s="2" t="str">
        <f t="shared" si="132"/>
        <v>Inefficient</v>
      </c>
      <c r="S1700" s="2" t="str">
        <f t="shared" si="133"/>
        <v>Very Long</v>
      </c>
      <c r="T1700" s="2" t="str">
        <f t="shared" si="134"/>
        <v>Major Delay</v>
      </c>
    </row>
    <row r="1701" spans="1:20" x14ac:dyDescent="0.35">
      <c r="A1701" s="2" t="s">
        <v>3585</v>
      </c>
      <c r="B1701" s="2" t="s">
        <v>51</v>
      </c>
      <c r="C1701" s="2" t="s">
        <v>3586</v>
      </c>
      <c r="D1701" s="2" t="s">
        <v>44</v>
      </c>
      <c r="E1701" s="2" t="s">
        <v>19</v>
      </c>
      <c r="F1701" s="2" t="s">
        <v>27</v>
      </c>
      <c r="G1701" s="2" t="s">
        <v>777</v>
      </c>
      <c r="H1701" s="3">
        <v>45524.604166666664</v>
      </c>
      <c r="I1701" s="3">
        <v>45524.65902777778</v>
      </c>
      <c r="J1701" s="2">
        <v>56</v>
      </c>
      <c r="K1701" s="2">
        <v>79</v>
      </c>
      <c r="L1701" s="2">
        <v>1</v>
      </c>
      <c r="M1701" s="2" t="s">
        <v>41</v>
      </c>
      <c r="N1701" s="2">
        <v>3</v>
      </c>
      <c r="O1701" s="2">
        <v>451.72</v>
      </c>
      <c r="P1701" s="2">
        <f t="shared" si="130"/>
        <v>23</v>
      </c>
      <c r="Q1701" s="4">
        <f t="shared" si="131"/>
        <v>0.70886075949367089</v>
      </c>
      <c r="R1701" s="2" t="str">
        <f t="shared" si="132"/>
        <v>Inefficient</v>
      </c>
      <c r="S1701" s="2" t="str">
        <f t="shared" si="133"/>
        <v>Long</v>
      </c>
      <c r="T1701" s="2" t="str">
        <f t="shared" si="134"/>
        <v>Minor Delay</v>
      </c>
    </row>
    <row r="1702" spans="1:20" x14ac:dyDescent="0.35">
      <c r="A1702" s="2" t="s">
        <v>3587</v>
      </c>
      <c r="B1702" s="2" t="s">
        <v>51</v>
      </c>
      <c r="C1702" s="2" t="s">
        <v>3588</v>
      </c>
      <c r="D1702" s="2" t="s">
        <v>56</v>
      </c>
      <c r="E1702" s="2" t="s">
        <v>33</v>
      </c>
      <c r="F1702" s="2" t="s">
        <v>57</v>
      </c>
      <c r="G1702" s="2" t="s">
        <v>842</v>
      </c>
      <c r="H1702" s="3">
        <v>45325.452777777777</v>
      </c>
      <c r="I1702" s="3">
        <v>45325.65347222222</v>
      </c>
      <c r="J1702" s="2">
        <v>178</v>
      </c>
      <c r="K1702" s="2">
        <v>289</v>
      </c>
      <c r="L1702" s="2">
        <v>1</v>
      </c>
      <c r="M1702" s="2" t="s">
        <v>41</v>
      </c>
      <c r="N1702" s="2">
        <v>3</v>
      </c>
      <c r="O1702" s="2">
        <v>381.24</v>
      </c>
      <c r="P1702" s="2">
        <f t="shared" si="130"/>
        <v>111</v>
      </c>
      <c r="Q1702" s="4">
        <f t="shared" si="131"/>
        <v>0.61591695501730104</v>
      </c>
      <c r="R1702" s="2" t="str">
        <f t="shared" si="132"/>
        <v>Inefficient</v>
      </c>
      <c r="S1702" s="2" t="str">
        <f t="shared" si="133"/>
        <v>Very Long</v>
      </c>
      <c r="T1702" s="2" t="str">
        <f t="shared" si="134"/>
        <v>Major Delay</v>
      </c>
    </row>
    <row r="1703" spans="1:20" x14ac:dyDescent="0.35">
      <c r="A1703" s="2" t="s">
        <v>3589</v>
      </c>
      <c r="B1703" s="2" t="s">
        <v>63</v>
      </c>
      <c r="C1703" s="2" t="s">
        <v>3590</v>
      </c>
      <c r="D1703" s="2" t="s">
        <v>44</v>
      </c>
      <c r="E1703" s="2" t="s">
        <v>33</v>
      </c>
      <c r="F1703" s="2" t="s">
        <v>39</v>
      </c>
      <c r="G1703" s="2" t="s">
        <v>164</v>
      </c>
      <c r="H1703" s="3">
        <v>45594.286111111112</v>
      </c>
      <c r="I1703" s="3">
        <v>45594.477777777778</v>
      </c>
      <c r="J1703" s="2">
        <v>191</v>
      </c>
      <c r="K1703" s="2">
        <v>276</v>
      </c>
      <c r="L1703" s="2">
        <v>1</v>
      </c>
      <c r="M1703" s="2" t="s">
        <v>41</v>
      </c>
      <c r="N1703" s="2">
        <v>7</v>
      </c>
      <c r="O1703" s="2">
        <v>244.13</v>
      </c>
      <c r="P1703" s="2">
        <f t="shared" si="130"/>
        <v>85</v>
      </c>
      <c r="Q1703" s="4">
        <f t="shared" si="131"/>
        <v>0.69202898550724634</v>
      </c>
      <c r="R1703" s="2" t="str">
        <f t="shared" si="132"/>
        <v>Inefficient</v>
      </c>
      <c r="S1703" s="2" t="str">
        <f t="shared" si="133"/>
        <v>Very Long</v>
      </c>
      <c r="T1703" s="2" t="str">
        <f t="shared" si="134"/>
        <v>Major Delay</v>
      </c>
    </row>
    <row r="1704" spans="1:20" x14ac:dyDescent="0.35">
      <c r="A1704" s="2" t="s">
        <v>3591</v>
      </c>
      <c r="B1704" s="2" t="s">
        <v>51</v>
      </c>
      <c r="C1704" s="2" t="s">
        <v>3592</v>
      </c>
      <c r="D1704" s="2" t="s">
        <v>26</v>
      </c>
      <c r="E1704" s="2" t="s">
        <v>85</v>
      </c>
      <c r="F1704" s="2" t="s">
        <v>39</v>
      </c>
      <c r="G1704" s="2" t="s">
        <v>1187</v>
      </c>
      <c r="H1704" s="3">
        <v>45346.959722222222</v>
      </c>
      <c r="I1704" s="3">
        <v>45346.979861111111</v>
      </c>
      <c r="J1704" s="2">
        <v>26</v>
      </c>
      <c r="K1704" s="2">
        <v>29</v>
      </c>
      <c r="L1704" s="2">
        <v>1</v>
      </c>
      <c r="M1704" s="2" t="s">
        <v>29</v>
      </c>
      <c r="N1704" s="2">
        <v>7</v>
      </c>
      <c r="O1704" s="2">
        <v>167.92</v>
      </c>
      <c r="P1704" s="2">
        <f t="shared" si="130"/>
        <v>3</v>
      </c>
      <c r="Q1704" s="4">
        <f t="shared" si="131"/>
        <v>0.89655172413793105</v>
      </c>
      <c r="R1704" s="2" t="str">
        <f t="shared" si="132"/>
        <v>Inefficient</v>
      </c>
      <c r="S1704" s="2" t="str">
        <f t="shared" si="133"/>
        <v>Short</v>
      </c>
      <c r="T1704" s="2" t="str">
        <f t="shared" si="134"/>
        <v>Minor Delay</v>
      </c>
    </row>
    <row r="1705" spans="1:20" x14ac:dyDescent="0.35">
      <c r="A1705" s="2" t="s">
        <v>3593</v>
      </c>
      <c r="B1705" s="2" t="s">
        <v>16</v>
      </c>
      <c r="C1705" s="2" t="s">
        <v>3594</v>
      </c>
      <c r="D1705" s="2" t="s">
        <v>44</v>
      </c>
      <c r="E1705" s="2" t="s">
        <v>33</v>
      </c>
      <c r="F1705" s="2" t="s">
        <v>20</v>
      </c>
      <c r="G1705" s="2" t="s">
        <v>335</v>
      </c>
      <c r="H1705" s="3">
        <v>45477.625</v>
      </c>
      <c r="I1705" s="3">
        <v>45477.65</v>
      </c>
      <c r="J1705" s="2">
        <v>39</v>
      </c>
      <c r="K1705" s="2">
        <v>36</v>
      </c>
      <c r="L1705" s="2">
        <v>0</v>
      </c>
      <c r="M1705" s="2" t="s">
        <v>22</v>
      </c>
      <c r="N1705" s="2">
        <v>8</v>
      </c>
      <c r="O1705" s="2">
        <v>198.72</v>
      </c>
      <c r="P1705" s="2">
        <f t="shared" si="130"/>
        <v>-3</v>
      </c>
      <c r="Q1705" s="4">
        <f t="shared" si="131"/>
        <v>1.0833333333333333</v>
      </c>
      <c r="R1705" s="2" t="str">
        <f t="shared" si="132"/>
        <v>Efficient</v>
      </c>
      <c r="S1705" s="2" t="str">
        <f t="shared" si="133"/>
        <v>Medium</v>
      </c>
      <c r="T1705" s="2" t="str">
        <f t="shared" si="134"/>
        <v>On Time</v>
      </c>
    </row>
    <row r="1706" spans="1:20" x14ac:dyDescent="0.35">
      <c r="A1706" s="2" t="s">
        <v>3595</v>
      </c>
      <c r="B1706" s="2" t="s">
        <v>31</v>
      </c>
      <c r="C1706" s="2" t="s">
        <v>3596</v>
      </c>
      <c r="D1706" s="2" t="s">
        <v>44</v>
      </c>
      <c r="E1706" s="2" t="s">
        <v>38</v>
      </c>
      <c r="F1706" s="2" t="s">
        <v>20</v>
      </c>
      <c r="G1706" s="2" t="s">
        <v>526</v>
      </c>
      <c r="H1706" s="3">
        <v>45406.256249999999</v>
      </c>
      <c r="I1706" s="3">
        <v>45406.324999999997</v>
      </c>
      <c r="J1706" s="2">
        <v>40</v>
      </c>
      <c r="K1706" s="2">
        <v>99</v>
      </c>
      <c r="L1706" s="2">
        <v>1</v>
      </c>
      <c r="M1706" s="2" t="s">
        <v>29</v>
      </c>
      <c r="N1706" s="2">
        <v>1</v>
      </c>
      <c r="O1706" s="2">
        <v>489.7</v>
      </c>
      <c r="P1706" s="2">
        <f t="shared" si="130"/>
        <v>59</v>
      </c>
      <c r="Q1706" s="4">
        <f t="shared" si="131"/>
        <v>0.40404040404040403</v>
      </c>
      <c r="R1706" s="2" t="str">
        <f t="shared" si="132"/>
        <v>Inefficient</v>
      </c>
      <c r="S1706" s="2" t="str">
        <f t="shared" si="133"/>
        <v>Long</v>
      </c>
      <c r="T1706" s="2" t="str">
        <f t="shared" si="134"/>
        <v>Major Delay</v>
      </c>
    </row>
    <row r="1707" spans="1:20" x14ac:dyDescent="0.35">
      <c r="A1707" s="2" t="s">
        <v>3597</v>
      </c>
      <c r="B1707" s="2" t="s">
        <v>31</v>
      </c>
      <c r="C1707" s="2" t="s">
        <v>3598</v>
      </c>
      <c r="D1707" s="2" t="s">
        <v>26</v>
      </c>
      <c r="E1707" s="2" t="s">
        <v>19</v>
      </c>
      <c r="F1707" s="2" t="s">
        <v>34</v>
      </c>
      <c r="G1707" s="2" t="s">
        <v>359</v>
      </c>
      <c r="H1707" s="3">
        <v>45544.502083333333</v>
      </c>
      <c r="I1707" s="3">
        <v>45544.609027777777</v>
      </c>
      <c r="J1707" s="2">
        <v>68</v>
      </c>
      <c r="K1707" s="2">
        <v>154</v>
      </c>
      <c r="L1707" s="2">
        <v>1</v>
      </c>
      <c r="M1707" s="2" t="s">
        <v>22</v>
      </c>
      <c r="N1707" s="2">
        <v>2</v>
      </c>
      <c r="O1707" s="2">
        <v>196.1</v>
      </c>
      <c r="P1707" s="2">
        <f t="shared" si="130"/>
        <v>86</v>
      </c>
      <c r="Q1707" s="4">
        <f t="shared" si="131"/>
        <v>0.44155844155844154</v>
      </c>
      <c r="R1707" s="2" t="str">
        <f t="shared" si="132"/>
        <v>Inefficient</v>
      </c>
      <c r="S1707" s="2" t="str">
        <f t="shared" si="133"/>
        <v>Very Long</v>
      </c>
      <c r="T1707" s="2" t="str">
        <f t="shared" si="134"/>
        <v>Major Delay</v>
      </c>
    </row>
    <row r="1708" spans="1:20" x14ac:dyDescent="0.35">
      <c r="A1708" s="2" t="s">
        <v>3599</v>
      </c>
      <c r="B1708" s="2" t="s">
        <v>16</v>
      </c>
      <c r="C1708" s="2" t="s">
        <v>3600</v>
      </c>
      <c r="D1708" s="2" t="s">
        <v>56</v>
      </c>
      <c r="E1708" s="2" t="s">
        <v>19</v>
      </c>
      <c r="F1708" s="2" t="s">
        <v>34</v>
      </c>
      <c r="G1708" s="2" t="s">
        <v>293</v>
      </c>
      <c r="H1708" s="3">
        <v>45543.636805555558</v>
      </c>
      <c r="I1708" s="3">
        <v>45543.799305555556</v>
      </c>
      <c r="J1708" s="2">
        <v>152</v>
      </c>
      <c r="K1708" s="2">
        <v>234</v>
      </c>
      <c r="L1708" s="2">
        <v>1</v>
      </c>
      <c r="M1708" s="2" t="s">
        <v>22</v>
      </c>
      <c r="N1708" s="2">
        <v>9</v>
      </c>
      <c r="O1708" s="2">
        <v>98.66</v>
      </c>
      <c r="P1708" s="2">
        <f t="shared" si="130"/>
        <v>82</v>
      </c>
      <c r="Q1708" s="4">
        <f t="shared" si="131"/>
        <v>0.6495726495726496</v>
      </c>
      <c r="R1708" s="2" t="str">
        <f t="shared" si="132"/>
        <v>Inefficient</v>
      </c>
      <c r="S1708" s="2" t="str">
        <f t="shared" si="133"/>
        <v>Very Long</v>
      </c>
      <c r="T1708" s="2" t="str">
        <f t="shared" si="134"/>
        <v>Major Delay</v>
      </c>
    </row>
    <row r="1709" spans="1:20" x14ac:dyDescent="0.35">
      <c r="A1709" s="2" t="s">
        <v>3601</v>
      </c>
      <c r="B1709" s="2" t="s">
        <v>31</v>
      </c>
      <c r="C1709" s="2" t="s">
        <v>3602</v>
      </c>
      <c r="D1709" s="2" t="s">
        <v>26</v>
      </c>
      <c r="E1709" s="2" t="s">
        <v>33</v>
      </c>
      <c r="F1709" s="2" t="s">
        <v>27</v>
      </c>
      <c r="G1709" s="2" t="s">
        <v>817</v>
      </c>
      <c r="H1709" s="3">
        <v>45529.281944444447</v>
      </c>
      <c r="I1709" s="3">
        <v>45529.293749999997</v>
      </c>
      <c r="J1709" s="2">
        <v>17</v>
      </c>
      <c r="K1709" s="2">
        <v>17</v>
      </c>
      <c r="L1709" s="2">
        <v>0</v>
      </c>
      <c r="M1709" s="2" t="s">
        <v>29</v>
      </c>
      <c r="N1709" s="2">
        <v>3</v>
      </c>
      <c r="O1709" s="2">
        <v>129.81</v>
      </c>
      <c r="P1709" s="2">
        <f t="shared" si="130"/>
        <v>0</v>
      </c>
      <c r="Q1709" s="4">
        <f t="shared" si="131"/>
        <v>1</v>
      </c>
      <c r="R1709" s="2" t="str">
        <f t="shared" si="132"/>
        <v>On Target</v>
      </c>
      <c r="S1709" s="2" t="str">
        <f t="shared" si="133"/>
        <v>Short</v>
      </c>
      <c r="T1709" s="2" t="str">
        <f t="shared" si="134"/>
        <v>On Time</v>
      </c>
    </row>
    <row r="1710" spans="1:20" x14ac:dyDescent="0.35">
      <c r="A1710" s="2" t="s">
        <v>3603</v>
      </c>
      <c r="B1710" s="2" t="s">
        <v>63</v>
      </c>
      <c r="C1710" s="2" t="s">
        <v>3604</v>
      </c>
      <c r="D1710" s="2" t="s">
        <v>44</v>
      </c>
      <c r="E1710" s="2" t="s">
        <v>33</v>
      </c>
      <c r="F1710" s="2" t="s">
        <v>27</v>
      </c>
      <c r="G1710" s="2" t="s">
        <v>68</v>
      </c>
      <c r="H1710" s="3">
        <v>45578.777777777781</v>
      </c>
      <c r="I1710" s="3">
        <v>45578.934027777781</v>
      </c>
      <c r="J1710" s="2">
        <v>139</v>
      </c>
      <c r="K1710" s="2">
        <v>225</v>
      </c>
      <c r="L1710" s="2">
        <v>1</v>
      </c>
      <c r="M1710" s="2" t="s">
        <v>22</v>
      </c>
      <c r="N1710" s="2">
        <v>5</v>
      </c>
      <c r="O1710" s="2">
        <v>148.91</v>
      </c>
      <c r="P1710" s="2">
        <f t="shared" si="130"/>
        <v>86</v>
      </c>
      <c r="Q1710" s="4">
        <f t="shared" si="131"/>
        <v>0.61777777777777776</v>
      </c>
      <c r="R1710" s="2" t="str">
        <f t="shared" si="132"/>
        <v>Inefficient</v>
      </c>
      <c r="S1710" s="2" t="str">
        <f t="shared" si="133"/>
        <v>Very Long</v>
      </c>
      <c r="T1710" s="2" t="str">
        <f t="shared" si="134"/>
        <v>Major Delay</v>
      </c>
    </row>
    <row r="1711" spans="1:20" x14ac:dyDescent="0.35">
      <c r="A1711" s="2" t="s">
        <v>3605</v>
      </c>
      <c r="B1711" s="2" t="s">
        <v>16</v>
      </c>
      <c r="C1711" s="2" t="s">
        <v>3606</v>
      </c>
      <c r="D1711" s="2" t="s">
        <v>18</v>
      </c>
      <c r="E1711" s="2" t="s">
        <v>33</v>
      </c>
      <c r="F1711" s="2" t="s">
        <v>39</v>
      </c>
      <c r="G1711" s="2" t="s">
        <v>222</v>
      </c>
      <c r="H1711" s="3">
        <v>45519.818055555559</v>
      </c>
      <c r="I1711" s="3">
        <v>45519.918055555558</v>
      </c>
      <c r="J1711" s="2">
        <v>68</v>
      </c>
      <c r="K1711" s="2">
        <v>144</v>
      </c>
      <c r="L1711" s="2">
        <v>1</v>
      </c>
      <c r="M1711" s="2" t="s">
        <v>41</v>
      </c>
      <c r="N1711" s="2">
        <v>10</v>
      </c>
      <c r="O1711" s="2">
        <v>160.35</v>
      </c>
      <c r="P1711" s="2">
        <f t="shared" si="130"/>
        <v>76</v>
      </c>
      <c r="Q1711" s="4">
        <f t="shared" si="131"/>
        <v>0.47222222222222221</v>
      </c>
      <c r="R1711" s="2" t="str">
        <f t="shared" si="132"/>
        <v>Inefficient</v>
      </c>
      <c r="S1711" s="2" t="str">
        <f t="shared" si="133"/>
        <v>Very Long</v>
      </c>
      <c r="T1711" s="2" t="str">
        <f t="shared" si="134"/>
        <v>Major Delay</v>
      </c>
    </row>
    <row r="1712" spans="1:20" x14ac:dyDescent="0.35">
      <c r="A1712" s="2" t="s">
        <v>3607</v>
      </c>
      <c r="B1712" s="2" t="s">
        <v>31</v>
      </c>
      <c r="C1712" s="2" t="s">
        <v>3608</v>
      </c>
      <c r="D1712" s="2" t="s">
        <v>26</v>
      </c>
      <c r="E1712" s="2" t="s">
        <v>85</v>
      </c>
      <c r="F1712" s="2" t="s">
        <v>27</v>
      </c>
      <c r="G1712" s="2" t="s">
        <v>88</v>
      </c>
      <c r="H1712" s="3">
        <v>45622.191666666666</v>
      </c>
      <c r="I1712" s="3">
        <v>45622.234722222223</v>
      </c>
      <c r="J1712" s="2">
        <v>39</v>
      </c>
      <c r="K1712" s="2">
        <v>62</v>
      </c>
      <c r="L1712" s="2">
        <v>1</v>
      </c>
      <c r="M1712" s="2" t="s">
        <v>41</v>
      </c>
      <c r="N1712" s="2">
        <v>2</v>
      </c>
      <c r="O1712" s="2">
        <v>332.05</v>
      </c>
      <c r="P1712" s="2">
        <f t="shared" si="130"/>
        <v>23</v>
      </c>
      <c r="Q1712" s="4">
        <f t="shared" si="131"/>
        <v>0.62903225806451613</v>
      </c>
      <c r="R1712" s="2" t="str">
        <f t="shared" si="132"/>
        <v>Inefficient</v>
      </c>
      <c r="S1712" s="2" t="str">
        <f t="shared" si="133"/>
        <v>Long</v>
      </c>
      <c r="T1712" s="2" t="str">
        <f t="shared" si="134"/>
        <v>Minor Delay</v>
      </c>
    </row>
    <row r="1713" spans="1:20" x14ac:dyDescent="0.35">
      <c r="A1713" s="2" t="s">
        <v>3609</v>
      </c>
      <c r="B1713" s="2" t="s">
        <v>24</v>
      </c>
      <c r="C1713" s="2" t="s">
        <v>3610</v>
      </c>
      <c r="D1713" s="2" t="s">
        <v>56</v>
      </c>
      <c r="E1713" s="2" t="s">
        <v>33</v>
      </c>
      <c r="F1713" s="2" t="s">
        <v>20</v>
      </c>
      <c r="G1713" s="2" t="s">
        <v>485</v>
      </c>
      <c r="H1713" s="3">
        <v>45443.606249999997</v>
      </c>
      <c r="I1713" s="3">
        <v>45443.69027777778</v>
      </c>
      <c r="J1713" s="2">
        <v>113</v>
      </c>
      <c r="K1713" s="2">
        <v>121</v>
      </c>
      <c r="L1713" s="2">
        <v>1</v>
      </c>
      <c r="M1713" s="2" t="s">
        <v>41</v>
      </c>
      <c r="N1713" s="2">
        <v>9</v>
      </c>
      <c r="O1713" s="2">
        <v>80.19</v>
      </c>
      <c r="P1713" s="2">
        <f t="shared" si="130"/>
        <v>8</v>
      </c>
      <c r="Q1713" s="4">
        <f t="shared" si="131"/>
        <v>0.93388429752066116</v>
      </c>
      <c r="R1713" s="2" t="str">
        <f t="shared" si="132"/>
        <v>Inefficient</v>
      </c>
      <c r="S1713" s="2" t="str">
        <f t="shared" si="133"/>
        <v>Very Long</v>
      </c>
      <c r="T1713" s="2" t="str">
        <f t="shared" si="134"/>
        <v>Minor Delay</v>
      </c>
    </row>
    <row r="1714" spans="1:20" x14ac:dyDescent="0.35">
      <c r="A1714" s="2" t="s">
        <v>3611</v>
      </c>
      <c r="B1714" s="2" t="s">
        <v>51</v>
      </c>
      <c r="C1714" s="2" t="s">
        <v>3612</v>
      </c>
      <c r="D1714" s="2" t="s">
        <v>56</v>
      </c>
      <c r="E1714" s="2" t="s">
        <v>85</v>
      </c>
      <c r="F1714" s="2" t="s">
        <v>57</v>
      </c>
      <c r="G1714" s="2" t="s">
        <v>123</v>
      </c>
      <c r="H1714" s="3">
        <v>45439.039583333331</v>
      </c>
      <c r="I1714" s="3">
        <v>45439.079861111109</v>
      </c>
      <c r="J1714" s="2">
        <v>48</v>
      </c>
      <c r="K1714" s="2">
        <v>58</v>
      </c>
      <c r="L1714" s="2">
        <v>1</v>
      </c>
      <c r="M1714" s="2" t="s">
        <v>22</v>
      </c>
      <c r="N1714" s="2">
        <v>9</v>
      </c>
      <c r="O1714" s="2">
        <v>317.62</v>
      </c>
      <c r="P1714" s="2">
        <f t="shared" si="130"/>
        <v>10</v>
      </c>
      <c r="Q1714" s="4">
        <f t="shared" si="131"/>
        <v>0.82758620689655171</v>
      </c>
      <c r="R1714" s="2" t="str">
        <f t="shared" si="132"/>
        <v>Inefficient</v>
      </c>
      <c r="S1714" s="2" t="str">
        <f t="shared" si="133"/>
        <v>Medium</v>
      </c>
      <c r="T1714" s="2" t="str">
        <f t="shared" si="134"/>
        <v>Minor Delay</v>
      </c>
    </row>
    <row r="1715" spans="1:20" x14ac:dyDescent="0.35">
      <c r="A1715" s="2" t="s">
        <v>3613</v>
      </c>
      <c r="B1715" s="2" t="s">
        <v>31</v>
      </c>
      <c r="C1715" s="2" t="s">
        <v>3614</v>
      </c>
      <c r="D1715" s="2" t="s">
        <v>44</v>
      </c>
      <c r="E1715" s="2" t="s">
        <v>33</v>
      </c>
      <c r="F1715" s="2" t="s">
        <v>34</v>
      </c>
      <c r="G1715" s="2" t="s">
        <v>1125</v>
      </c>
      <c r="H1715" s="3">
        <v>45292.111111111109</v>
      </c>
      <c r="I1715" s="3">
        <v>45292.224999999999</v>
      </c>
      <c r="J1715" s="2">
        <v>55</v>
      </c>
      <c r="K1715" s="2">
        <v>164</v>
      </c>
      <c r="L1715" s="2">
        <v>1</v>
      </c>
      <c r="M1715" s="2" t="s">
        <v>41</v>
      </c>
      <c r="N1715" s="2">
        <v>4</v>
      </c>
      <c r="O1715" s="2">
        <v>309.56</v>
      </c>
      <c r="P1715" s="2">
        <f t="shared" si="130"/>
        <v>109</v>
      </c>
      <c r="Q1715" s="4">
        <f t="shared" si="131"/>
        <v>0.33536585365853661</v>
      </c>
      <c r="R1715" s="2" t="str">
        <f t="shared" si="132"/>
        <v>Inefficient</v>
      </c>
      <c r="S1715" s="2" t="str">
        <f t="shared" si="133"/>
        <v>Very Long</v>
      </c>
      <c r="T1715" s="2" t="str">
        <f t="shared" si="134"/>
        <v>Major Delay</v>
      </c>
    </row>
    <row r="1716" spans="1:20" x14ac:dyDescent="0.35">
      <c r="A1716" s="2" t="s">
        <v>3615</v>
      </c>
      <c r="B1716" s="2" t="s">
        <v>24</v>
      </c>
      <c r="C1716" s="2" t="s">
        <v>3616</v>
      </c>
      <c r="D1716" s="2" t="s">
        <v>18</v>
      </c>
      <c r="E1716" s="2" t="s">
        <v>38</v>
      </c>
      <c r="F1716" s="2" t="s">
        <v>27</v>
      </c>
      <c r="G1716" s="2" t="s">
        <v>152</v>
      </c>
      <c r="H1716" s="3">
        <v>45488.794444444444</v>
      </c>
      <c r="I1716" s="3">
        <v>45488.864583333336</v>
      </c>
      <c r="J1716" s="2">
        <v>64</v>
      </c>
      <c r="K1716" s="2">
        <v>101</v>
      </c>
      <c r="L1716" s="2">
        <v>1</v>
      </c>
      <c r="M1716" s="2" t="s">
        <v>41</v>
      </c>
      <c r="N1716" s="2">
        <v>6</v>
      </c>
      <c r="O1716" s="2">
        <v>345.38</v>
      </c>
      <c r="P1716" s="2">
        <f t="shared" si="130"/>
        <v>37</v>
      </c>
      <c r="Q1716" s="4">
        <f t="shared" si="131"/>
        <v>0.63366336633663367</v>
      </c>
      <c r="R1716" s="2" t="str">
        <f t="shared" si="132"/>
        <v>Inefficient</v>
      </c>
      <c r="S1716" s="2" t="str">
        <f t="shared" si="133"/>
        <v>Long</v>
      </c>
      <c r="T1716" s="2" t="str">
        <f t="shared" si="134"/>
        <v>Major Delay</v>
      </c>
    </row>
    <row r="1717" spans="1:20" x14ac:dyDescent="0.35">
      <c r="A1717" s="2" t="s">
        <v>3617</v>
      </c>
      <c r="B1717" s="2" t="s">
        <v>16</v>
      </c>
      <c r="C1717" s="2" t="s">
        <v>3618</v>
      </c>
      <c r="D1717" s="2" t="s">
        <v>18</v>
      </c>
      <c r="E1717" s="2" t="s">
        <v>19</v>
      </c>
      <c r="F1717" s="2" t="s">
        <v>20</v>
      </c>
      <c r="G1717" s="2" t="s">
        <v>410</v>
      </c>
      <c r="H1717" s="3">
        <v>45550.574999999997</v>
      </c>
      <c r="I1717" s="3">
        <v>45550.684027777781</v>
      </c>
      <c r="J1717" s="2">
        <v>58</v>
      </c>
      <c r="K1717" s="2">
        <v>157</v>
      </c>
      <c r="L1717" s="2">
        <v>1</v>
      </c>
      <c r="M1717" s="2" t="s">
        <v>41</v>
      </c>
      <c r="N1717" s="2">
        <v>4</v>
      </c>
      <c r="O1717" s="2">
        <v>378.51</v>
      </c>
      <c r="P1717" s="2">
        <f t="shared" si="130"/>
        <v>99</v>
      </c>
      <c r="Q1717" s="4">
        <f t="shared" si="131"/>
        <v>0.36942675159235666</v>
      </c>
      <c r="R1717" s="2" t="str">
        <f t="shared" si="132"/>
        <v>Inefficient</v>
      </c>
      <c r="S1717" s="2" t="str">
        <f t="shared" si="133"/>
        <v>Very Long</v>
      </c>
      <c r="T1717" s="2" t="str">
        <f t="shared" si="134"/>
        <v>Major Delay</v>
      </c>
    </row>
    <row r="1718" spans="1:20" x14ac:dyDescent="0.35">
      <c r="A1718" s="2" t="s">
        <v>3619</v>
      </c>
      <c r="B1718" s="2" t="s">
        <v>51</v>
      </c>
      <c r="C1718" s="2" t="s">
        <v>3620</v>
      </c>
      <c r="D1718" s="2" t="s">
        <v>18</v>
      </c>
      <c r="E1718" s="2" t="s">
        <v>38</v>
      </c>
      <c r="F1718" s="2" t="s">
        <v>20</v>
      </c>
      <c r="G1718" s="2" t="s">
        <v>231</v>
      </c>
      <c r="H1718" s="3">
        <v>45531.06527777778</v>
      </c>
      <c r="I1718" s="3">
        <v>45531.211111111108</v>
      </c>
      <c r="J1718" s="2">
        <v>174</v>
      </c>
      <c r="K1718" s="2">
        <v>210</v>
      </c>
      <c r="L1718" s="2">
        <v>1</v>
      </c>
      <c r="M1718" s="2" t="s">
        <v>41</v>
      </c>
      <c r="N1718" s="2">
        <v>6</v>
      </c>
      <c r="O1718" s="2">
        <v>90.85</v>
      </c>
      <c r="P1718" s="2">
        <f t="shared" si="130"/>
        <v>36</v>
      </c>
      <c r="Q1718" s="4">
        <f t="shared" si="131"/>
        <v>0.82857142857142863</v>
      </c>
      <c r="R1718" s="2" t="str">
        <f t="shared" si="132"/>
        <v>Inefficient</v>
      </c>
      <c r="S1718" s="2" t="str">
        <f t="shared" si="133"/>
        <v>Very Long</v>
      </c>
      <c r="T1718" s="2" t="str">
        <f t="shared" si="134"/>
        <v>Major Delay</v>
      </c>
    </row>
    <row r="1719" spans="1:20" x14ac:dyDescent="0.35">
      <c r="A1719" s="2" t="s">
        <v>3621</v>
      </c>
      <c r="B1719" s="2" t="s">
        <v>31</v>
      </c>
      <c r="C1719" s="2" t="s">
        <v>3622</v>
      </c>
      <c r="D1719" s="2" t="s">
        <v>26</v>
      </c>
      <c r="E1719" s="2" t="s">
        <v>19</v>
      </c>
      <c r="F1719" s="2" t="s">
        <v>27</v>
      </c>
      <c r="G1719" s="2" t="s">
        <v>94</v>
      </c>
      <c r="H1719" s="3">
        <v>45472.259027777778</v>
      </c>
      <c r="I1719" s="3">
        <v>45472.383333333331</v>
      </c>
      <c r="J1719" s="2">
        <v>72</v>
      </c>
      <c r="K1719" s="2">
        <v>179</v>
      </c>
      <c r="L1719" s="2">
        <v>1</v>
      </c>
      <c r="M1719" s="2" t="s">
        <v>29</v>
      </c>
      <c r="N1719" s="2">
        <v>8</v>
      </c>
      <c r="O1719" s="2">
        <v>244.06</v>
      </c>
      <c r="P1719" s="2">
        <f t="shared" si="130"/>
        <v>107</v>
      </c>
      <c r="Q1719" s="4">
        <f t="shared" si="131"/>
        <v>0.4022346368715084</v>
      </c>
      <c r="R1719" s="2" t="str">
        <f t="shared" si="132"/>
        <v>Inefficient</v>
      </c>
      <c r="S1719" s="2" t="str">
        <f t="shared" si="133"/>
        <v>Very Long</v>
      </c>
      <c r="T1719" s="2" t="str">
        <f t="shared" si="134"/>
        <v>Major Delay</v>
      </c>
    </row>
    <row r="1720" spans="1:20" x14ac:dyDescent="0.35">
      <c r="A1720" s="2" t="s">
        <v>3623</v>
      </c>
      <c r="B1720" s="2" t="s">
        <v>16</v>
      </c>
      <c r="C1720" s="2" t="s">
        <v>3624</v>
      </c>
      <c r="D1720" s="2" t="s">
        <v>18</v>
      </c>
      <c r="E1720" s="2" t="s">
        <v>33</v>
      </c>
      <c r="F1720" s="2" t="s">
        <v>57</v>
      </c>
      <c r="G1720" s="2" t="s">
        <v>155</v>
      </c>
      <c r="H1720" s="3">
        <v>45507.924305555556</v>
      </c>
      <c r="I1720" s="3">
        <v>45508.080555555556</v>
      </c>
      <c r="J1720" s="2">
        <v>129</v>
      </c>
      <c r="K1720" s="2">
        <v>225</v>
      </c>
      <c r="L1720" s="2">
        <v>1</v>
      </c>
      <c r="M1720" s="2" t="s">
        <v>22</v>
      </c>
      <c r="N1720" s="2">
        <v>3</v>
      </c>
      <c r="O1720" s="2">
        <v>413.71</v>
      </c>
      <c r="P1720" s="2">
        <f t="shared" si="130"/>
        <v>96</v>
      </c>
      <c r="Q1720" s="4">
        <f t="shared" si="131"/>
        <v>0.57333333333333336</v>
      </c>
      <c r="R1720" s="2" t="str">
        <f t="shared" si="132"/>
        <v>Inefficient</v>
      </c>
      <c r="S1720" s="2" t="str">
        <f t="shared" si="133"/>
        <v>Very Long</v>
      </c>
      <c r="T1720" s="2" t="str">
        <f t="shared" si="134"/>
        <v>Major Delay</v>
      </c>
    </row>
    <row r="1721" spans="1:20" x14ac:dyDescent="0.35">
      <c r="A1721" s="2" t="s">
        <v>3625</v>
      </c>
      <c r="B1721" s="2" t="s">
        <v>16</v>
      </c>
      <c r="C1721" s="2" t="s">
        <v>3626</v>
      </c>
      <c r="D1721" s="2" t="s">
        <v>44</v>
      </c>
      <c r="E1721" s="2" t="s">
        <v>19</v>
      </c>
      <c r="F1721" s="2" t="s">
        <v>57</v>
      </c>
      <c r="G1721" s="2" t="s">
        <v>473</v>
      </c>
      <c r="H1721" s="3">
        <v>45491.668055555558</v>
      </c>
      <c r="I1721" s="3">
        <v>45491.870138888888</v>
      </c>
      <c r="J1721" s="2">
        <v>191</v>
      </c>
      <c r="K1721" s="2">
        <v>291</v>
      </c>
      <c r="L1721" s="2">
        <v>1</v>
      </c>
      <c r="M1721" s="2" t="s">
        <v>29</v>
      </c>
      <c r="N1721" s="2">
        <v>7</v>
      </c>
      <c r="O1721" s="2">
        <v>437.16</v>
      </c>
      <c r="P1721" s="2">
        <f t="shared" si="130"/>
        <v>100</v>
      </c>
      <c r="Q1721" s="4">
        <f t="shared" si="131"/>
        <v>0.6563573883161512</v>
      </c>
      <c r="R1721" s="2" t="str">
        <f t="shared" si="132"/>
        <v>Inefficient</v>
      </c>
      <c r="S1721" s="2" t="str">
        <f t="shared" si="133"/>
        <v>Very Long</v>
      </c>
      <c r="T1721" s="2" t="str">
        <f t="shared" si="134"/>
        <v>Major Delay</v>
      </c>
    </row>
    <row r="1722" spans="1:20" x14ac:dyDescent="0.35">
      <c r="A1722" s="2" t="s">
        <v>3627</v>
      </c>
      <c r="B1722" s="2" t="s">
        <v>31</v>
      </c>
      <c r="C1722" s="2" t="s">
        <v>3628</v>
      </c>
      <c r="D1722" s="2" t="s">
        <v>44</v>
      </c>
      <c r="E1722" s="2" t="s">
        <v>38</v>
      </c>
      <c r="F1722" s="2" t="s">
        <v>27</v>
      </c>
      <c r="G1722" s="2" t="s">
        <v>123</v>
      </c>
      <c r="H1722" s="3">
        <v>45586.632638888892</v>
      </c>
      <c r="I1722" s="3">
        <v>45586.714583333334</v>
      </c>
      <c r="J1722" s="2">
        <v>89</v>
      </c>
      <c r="K1722" s="2">
        <v>118</v>
      </c>
      <c r="L1722" s="2">
        <v>1</v>
      </c>
      <c r="M1722" s="2" t="s">
        <v>29</v>
      </c>
      <c r="N1722" s="2">
        <v>5</v>
      </c>
      <c r="O1722" s="2">
        <v>470.19</v>
      </c>
      <c r="P1722" s="2">
        <f t="shared" si="130"/>
        <v>29</v>
      </c>
      <c r="Q1722" s="4">
        <f t="shared" si="131"/>
        <v>0.75423728813559321</v>
      </c>
      <c r="R1722" s="2" t="str">
        <f t="shared" si="132"/>
        <v>Inefficient</v>
      </c>
      <c r="S1722" s="2" t="str">
        <f t="shared" si="133"/>
        <v>Long</v>
      </c>
      <c r="T1722" s="2" t="str">
        <f t="shared" si="134"/>
        <v>Minor Delay</v>
      </c>
    </row>
    <row r="1723" spans="1:20" x14ac:dyDescent="0.35">
      <c r="A1723" s="2" t="s">
        <v>3629</v>
      </c>
      <c r="B1723" s="2" t="s">
        <v>16</v>
      </c>
      <c r="C1723" s="2" t="s">
        <v>3630</v>
      </c>
      <c r="D1723" s="2" t="s">
        <v>56</v>
      </c>
      <c r="E1723" s="2" t="s">
        <v>38</v>
      </c>
      <c r="F1723" s="2" t="s">
        <v>34</v>
      </c>
      <c r="G1723" s="2" t="s">
        <v>470</v>
      </c>
      <c r="H1723" s="3">
        <v>45328.113888888889</v>
      </c>
      <c r="I1723" s="3">
        <v>45328.227083333331</v>
      </c>
      <c r="J1723" s="2">
        <v>54</v>
      </c>
      <c r="K1723" s="2">
        <v>163</v>
      </c>
      <c r="L1723" s="2">
        <v>1</v>
      </c>
      <c r="M1723" s="2" t="s">
        <v>29</v>
      </c>
      <c r="N1723" s="2">
        <v>1</v>
      </c>
      <c r="O1723" s="2">
        <v>150.21</v>
      </c>
      <c r="P1723" s="2">
        <f t="shared" si="130"/>
        <v>109</v>
      </c>
      <c r="Q1723" s="4">
        <f t="shared" si="131"/>
        <v>0.33128834355828218</v>
      </c>
      <c r="R1723" s="2" t="str">
        <f t="shared" si="132"/>
        <v>Inefficient</v>
      </c>
      <c r="S1723" s="2" t="str">
        <f t="shared" si="133"/>
        <v>Very Long</v>
      </c>
      <c r="T1723" s="2" t="str">
        <f t="shared" si="134"/>
        <v>Major Delay</v>
      </c>
    </row>
    <row r="1724" spans="1:20" x14ac:dyDescent="0.35">
      <c r="A1724" s="2" t="s">
        <v>3631</v>
      </c>
      <c r="B1724" s="2" t="s">
        <v>63</v>
      </c>
      <c r="C1724" s="2" t="s">
        <v>3632</v>
      </c>
      <c r="D1724" s="2" t="s">
        <v>56</v>
      </c>
      <c r="E1724" s="2" t="s">
        <v>19</v>
      </c>
      <c r="F1724" s="2" t="s">
        <v>34</v>
      </c>
      <c r="G1724" s="2" t="s">
        <v>61</v>
      </c>
      <c r="H1724" s="3">
        <v>45432.879861111112</v>
      </c>
      <c r="I1724" s="3">
        <v>45433.037499999999</v>
      </c>
      <c r="J1724" s="2">
        <v>205</v>
      </c>
      <c r="K1724" s="2">
        <v>227</v>
      </c>
      <c r="L1724" s="2">
        <v>1</v>
      </c>
      <c r="M1724" s="2" t="s">
        <v>29</v>
      </c>
      <c r="N1724" s="2">
        <v>9</v>
      </c>
      <c r="O1724" s="2">
        <v>62.06</v>
      </c>
      <c r="P1724" s="2">
        <f t="shared" si="130"/>
        <v>22</v>
      </c>
      <c r="Q1724" s="4">
        <f t="shared" si="131"/>
        <v>0.90308370044052866</v>
      </c>
      <c r="R1724" s="2" t="str">
        <f t="shared" si="132"/>
        <v>Inefficient</v>
      </c>
      <c r="S1724" s="2" t="str">
        <f t="shared" si="133"/>
        <v>Very Long</v>
      </c>
      <c r="T1724" s="2" t="str">
        <f t="shared" si="134"/>
        <v>Minor Delay</v>
      </c>
    </row>
    <row r="1725" spans="1:20" x14ac:dyDescent="0.35">
      <c r="A1725" s="2" t="s">
        <v>3633</v>
      </c>
      <c r="B1725" s="2" t="s">
        <v>31</v>
      </c>
      <c r="C1725" s="2" t="s">
        <v>3634</v>
      </c>
      <c r="D1725" s="2" t="s">
        <v>48</v>
      </c>
      <c r="E1725" s="2" t="s">
        <v>33</v>
      </c>
      <c r="F1725" s="2" t="s">
        <v>39</v>
      </c>
      <c r="G1725" s="2" t="s">
        <v>817</v>
      </c>
      <c r="H1725" s="3">
        <v>45514.82708333333</v>
      </c>
      <c r="I1725" s="3">
        <v>45514.908333333333</v>
      </c>
      <c r="J1725" s="2">
        <v>77</v>
      </c>
      <c r="K1725" s="2">
        <v>117</v>
      </c>
      <c r="L1725" s="2">
        <v>1</v>
      </c>
      <c r="M1725" s="2" t="s">
        <v>29</v>
      </c>
      <c r="N1725" s="2">
        <v>5</v>
      </c>
      <c r="O1725" s="2">
        <v>212.11</v>
      </c>
      <c r="P1725" s="2">
        <f t="shared" si="130"/>
        <v>40</v>
      </c>
      <c r="Q1725" s="4">
        <f t="shared" si="131"/>
        <v>0.65811965811965811</v>
      </c>
      <c r="R1725" s="2" t="str">
        <f t="shared" si="132"/>
        <v>Inefficient</v>
      </c>
      <c r="S1725" s="2" t="str">
        <f t="shared" si="133"/>
        <v>Long</v>
      </c>
      <c r="T1725" s="2" t="str">
        <f t="shared" si="134"/>
        <v>Major Delay</v>
      </c>
    </row>
    <row r="1726" spans="1:20" x14ac:dyDescent="0.35">
      <c r="A1726" s="2" t="s">
        <v>3635</v>
      </c>
      <c r="B1726" s="2" t="s">
        <v>63</v>
      </c>
      <c r="C1726" s="2" t="s">
        <v>3636</v>
      </c>
      <c r="D1726" s="2" t="s">
        <v>26</v>
      </c>
      <c r="E1726" s="2" t="s">
        <v>19</v>
      </c>
      <c r="F1726" s="2" t="s">
        <v>34</v>
      </c>
      <c r="G1726" s="2" t="s">
        <v>120</v>
      </c>
      <c r="H1726" s="3">
        <v>45593.197916666664</v>
      </c>
      <c r="I1726" s="3">
        <v>45593.415972222225</v>
      </c>
      <c r="J1726" s="2">
        <v>209</v>
      </c>
      <c r="K1726" s="2">
        <v>314</v>
      </c>
      <c r="L1726" s="2">
        <v>1</v>
      </c>
      <c r="M1726" s="2" t="s">
        <v>41</v>
      </c>
      <c r="N1726" s="2">
        <v>5</v>
      </c>
      <c r="O1726" s="2">
        <v>66.760000000000005</v>
      </c>
      <c r="P1726" s="2">
        <f t="shared" si="130"/>
        <v>105</v>
      </c>
      <c r="Q1726" s="4">
        <f t="shared" si="131"/>
        <v>0.66560509554140124</v>
      </c>
      <c r="R1726" s="2" t="str">
        <f t="shared" si="132"/>
        <v>Inefficient</v>
      </c>
      <c r="S1726" s="2" t="str">
        <f t="shared" si="133"/>
        <v>Very Long</v>
      </c>
      <c r="T1726" s="2" t="str">
        <f t="shared" si="134"/>
        <v>Major Delay</v>
      </c>
    </row>
    <row r="1727" spans="1:20" x14ac:dyDescent="0.35">
      <c r="A1727" s="2" t="s">
        <v>3637</v>
      </c>
      <c r="B1727" s="2" t="s">
        <v>63</v>
      </c>
      <c r="C1727" s="2" t="s">
        <v>3638</v>
      </c>
      <c r="D1727" s="2" t="s">
        <v>18</v>
      </c>
      <c r="E1727" s="2" t="s">
        <v>33</v>
      </c>
      <c r="F1727" s="2" t="s">
        <v>34</v>
      </c>
      <c r="G1727" s="2" t="s">
        <v>170</v>
      </c>
      <c r="H1727" s="3">
        <v>45374.965277777781</v>
      </c>
      <c r="I1727" s="3">
        <v>45375.054861111108</v>
      </c>
      <c r="J1727" s="2">
        <v>118</v>
      </c>
      <c r="K1727" s="2">
        <v>129</v>
      </c>
      <c r="L1727" s="2">
        <v>1</v>
      </c>
      <c r="M1727" s="2" t="s">
        <v>22</v>
      </c>
      <c r="N1727" s="2">
        <v>8</v>
      </c>
      <c r="O1727" s="2">
        <v>387.55</v>
      </c>
      <c r="P1727" s="2">
        <f t="shared" si="130"/>
        <v>11</v>
      </c>
      <c r="Q1727" s="4">
        <f t="shared" si="131"/>
        <v>0.9147286821705426</v>
      </c>
      <c r="R1727" s="2" t="str">
        <f t="shared" si="132"/>
        <v>Inefficient</v>
      </c>
      <c r="S1727" s="2" t="str">
        <f t="shared" si="133"/>
        <v>Very Long</v>
      </c>
      <c r="T1727" s="2" t="str">
        <f t="shared" si="134"/>
        <v>Minor Delay</v>
      </c>
    </row>
    <row r="1728" spans="1:20" x14ac:dyDescent="0.35">
      <c r="A1728" s="2" t="s">
        <v>3639</v>
      </c>
      <c r="B1728" s="2" t="s">
        <v>63</v>
      </c>
      <c r="C1728" s="2" t="s">
        <v>3640</v>
      </c>
      <c r="D1728" s="2" t="s">
        <v>18</v>
      </c>
      <c r="E1728" s="2" t="s">
        <v>38</v>
      </c>
      <c r="F1728" s="2" t="s">
        <v>57</v>
      </c>
      <c r="G1728" s="2" t="s">
        <v>526</v>
      </c>
      <c r="H1728" s="3">
        <v>45494.770138888889</v>
      </c>
      <c r="I1728" s="3">
        <v>45494.855555555558</v>
      </c>
      <c r="J1728" s="2">
        <v>82</v>
      </c>
      <c r="K1728" s="2">
        <v>123</v>
      </c>
      <c r="L1728" s="2">
        <v>1</v>
      </c>
      <c r="M1728" s="2" t="s">
        <v>41</v>
      </c>
      <c r="N1728" s="2">
        <v>5</v>
      </c>
      <c r="O1728" s="2">
        <v>212.24</v>
      </c>
      <c r="P1728" s="2">
        <f t="shared" si="130"/>
        <v>41</v>
      </c>
      <c r="Q1728" s="4">
        <f t="shared" si="131"/>
        <v>0.66666666666666663</v>
      </c>
      <c r="R1728" s="2" t="str">
        <f t="shared" si="132"/>
        <v>Inefficient</v>
      </c>
      <c r="S1728" s="2" t="str">
        <f t="shared" si="133"/>
        <v>Very Long</v>
      </c>
      <c r="T1728" s="2" t="str">
        <f t="shared" si="134"/>
        <v>Major Delay</v>
      </c>
    </row>
    <row r="1729" spans="1:20" x14ac:dyDescent="0.35">
      <c r="A1729" s="2" t="s">
        <v>3641</v>
      </c>
      <c r="B1729" s="2" t="s">
        <v>24</v>
      </c>
      <c r="C1729" s="2" t="s">
        <v>3642</v>
      </c>
      <c r="D1729" s="2" t="s">
        <v>26</v>
      </c>
      <c r="E1729" s="2" t="s">
        <v>33</v>
      </c>
      <c r="F1729" s="2" t="s">
        <v>27</v>
      </c>
      <c r="G1729" s="2" t="s">
        <v>691</v>
      </c>
      <c r="H1729" s="3">
        <v>45520.29791666667</v>
      </c>
      <c r="I1729" s="3">
        <v>45520.413888888892</v>
      </c>
      <c r="J1729" s="2">
        <v>62</v>
      </c>
      <c r="K1729" s="2">
        <v>167</v>
      </c>
      <c r="L1729" s="2">
        <v>1</v>
      </c>
      <c r="M1729" s="2" t="s">
        <v>22</v>
      </c>
      <c r="N1729" s="2">
        <v>2</v>
      </c>
      <c r="O1729" s="2">
        <v>440.75</v>
      </c>
      <c r="P1729" s="2">
        <f t="shared" si="130"/>
        <v>105</v>
      </c>
      <c r="Q1729" s="4">
        <f t="shared" si="131"/>
        <v>0.3712574850299401</v>
      </c>
      <c r="R1729" s="2" t="str">
        <f t="shared" si="132"/>
        <v>Inefficient</v>
      </c>
      <c r="S1729" s="2" t="str">
        <f t="shared" si="133"/>
        <v>Very Long</v>
      </c>
      <c r="T1729" s="2" t="str">
        <f t="shared" si="134"/>
        <v>Major Delay</v>
      </c>
    </row>
    <row r="1730" spans="1:20" x14ac:dyDescent="0.35">
      <c r="A1730" s="2" t="s">
        <v>3643</v>
      </c>
      <c r="B1730" s="2" t="s">
        <v>51</v>
      </c>
      <c r="C1730" s="2" t="s">
        <v>3644</v>
      </c>
      <c r="D1730" s="2" t="s">
        <v>48</v>
      </c>
      <c r="E1730" s="2" t="s">
        <v>85</v>
      </c>
      <c r="F1730" s="2" t="s">
        <v>39</v>
      </c>
      <c r="G1730" s="2" t="s">
        <v>170</v>
      </c>
      <c r="H1730" s="3">
        <v>45399.740972222222</v>
      </c>
      <c r="I1730" s="3">
        <v>45399.924305555556</v>
      </c>
      <c r="J1730" s="2">
        <v>229</v>
      </c>
      <c r="K1730" s="2">
        <v>264</v>
      </c>
      <c r="L1730" s="2">
        <v>1</v>
      </c>
      <c r="M1730" s="2" t="s">
        <v>29</v>
      </c>
      <c r="N1730" s="2">
        <v>3</v>
      </c>
      <c r="O1730" s="2">
        <v>104.51</v>
      </c>
      <c r="P1730" s="2">
        <f t="shared" si="130"/>
        <v>35</v>
      </c>
      <c r="Q1730" s="4">
        <f t="shared" si="131"/>
        <v>0.86742424242424243</v>
      </c>
      <c r="R1730" s="2" t="str">
        <f t="shared" si="132"/>
        <v>Inefficient</v>
      </c>
      <c r="S1730" s="2" t="str">
        <f t="shared" si="133"/>
        <v>Very Long</v>
      </c>
      <c r="T1730" s="2" t="str">
        <f t="shared" si="134"/>
        <v>Major Delay</v>
      </c>
    </row>
    <row r="1731" spans="1:20" x14ac:dyDescent="0.35">
      <c r="A1731" s="2" t="s">
        <v>3645</v>
      </c>
      <c r="B1731" s="2" t="s">
        <v>16</v>
      </c>
      <c r="C1731" s="2" t="s">
        <v>3646</v>
      </c>
      <c r="D1731" s="2" t="s">
        <v>56</v>
      </c>
      <c r="E1731" s="2" t="s">
        <v>38</v>
      </c>
      <c r="F1731" s="2" t="s">
        <v>39</v>
      </c>
      <c r="G1731" s="2" t="s">
        <v>188</v>
      </c>
      <c r="H1731" s="3">
        <v>45518.020833333336</v>
      </c>
      <c r="I1731" s="3">
        <v>45518.168055555558</v>
      </c>
      <c r="J1731" s="2">
        <v>105</v>
      </c>
      <c r="K1731" s="2">
        <v>212</v>
      </c>
      <c r="L1731" s="2">
        <v>1</v>
      </c>
      <c r="M1731" s="2" t="s">
        <v>29</v>
      </c>
      <c r="N1731" s="2">
        <v>4</v>
      </c>
      <c r="O1731" s="2">
        <v>228.52</v>
      </c>
      <c r="P1731" s="2">
        <f t="shared" ref="P1731:P1794" si="135">K1731-J1731</f>
        <v>107</v>
      </c>
      <c r="Q1731" s="4">
        <f t="shared" ref="Q1731:Q1794" si="136">J1731/K1731</f>
        <v>0.49528301886792453</v>
      </c>
      <c r="R1731" s="2" t="str">
        <f t="shared" ref="R1731:R1794" si="137">IF(Q1731&gt;1,"Efficient",
IF(Q1731=1,"On Target","Inefficient"))</f>
        <v>Inefficient</v>
      </c>
      <c r="S1731" s="2" t="str">
        <f t="shared" ref="S1731:S1794" si="138">IF(K1731&lt;30,"Short",
IF(K1731&lt;60,"Medium",
IF(K1731&lt;120,"Long","Very Long")))</f>
        <v>Very Long</v>
      </c>
      <c r="T1731" s="2" t="str">
        <f t="shared" ref="T1731:T1794" si="139">IF(K1731&lt;=J1731,"On Time",
IF(K1731-J1731&lt;=30,"Minor Delay","Major Delay"))</f>
        <v>Major Delay</v>
      </c>
    </row>
    <row r="1732" spans="1:20" x14ac:dyDescent="0.35">
      <c r="A1732" s="2" t="s">
        <v>3647</v>
      </c>
      <c r="B1732" s="2" t="s">
        <v>31</v>
      </c>
      <c r="C1732" s="2" t="s">
        <v>3648</v>
      </c>
      <c r="D1732" s="2" t="s">
        <v>44</v>
      </c>
      <c r="E1732" s="2" t="s">
        <v>33</v>
      </c>
      <c r="F1732" s="2" t="s">
        <v>39</v>
      </c>
      <c r="G1732" s="2" t="s">
        <v>222</v>
      </c>
      <c r="H1732" s="3">
        <v>45572.5</v>
      </c>
      <c r="I1732" s="3">
        <v>45572.554166666669</v>
      </c>
      <c r="J1732" s="2">
        <v>57</v>
      </c>
      <c r="K1732" s="2">
        <v>78</v>
      </c>
      <c r="L1732" s="2">
        <v>1</v>
      </c>
      <c r="M1732" s="2" t="s">
        <v>22</v>
      </c>
      <c r="N1732" s="2">
        <v>10</v>
      </c>
      <c r="O1732" s="2">
        <v>253.08</v>
      </c>
      <c r="P1732" s="2">
        <f t="shared" si="135"/>
        <v>21</v>
      </c>
      <c r="Q1732" s="4">
        <f t="shared" si="136"/>
        <v>0.73076923076923073</v>
      </c>
      <c r="R1732" s="2" t="str">
        <f t="shared" si="137"/>
        <v>Inefficient</v>
      </c>
      <c r="S1732" s="2" t="str">
        <f t="shared" si="138"/>
        <v>Long</v>
      </c>
      <c r="T1732" s="2" t="str">
        <f t="shared" si="139"/>
        <v>Minor Delay</v>
      </c>
    </row>
    <row r="1733" spans="1:20" x14ac:dyDescent="0.35">
      <c r="A1733" s="2" t="s">
        <v>3649</v>
      </c>
      <c r="B1733" s="2" t="s">
        <v>51</v>
      </c>
      <c r="C1733" s="2" t="s">
        <v>3650</v>
      </c>
      <c r="D1733" s="2" t="s">
        <v>48</v>
      </c>
      <c r="E1733" s="2" t="s">
        <v>33</v>
      </c>
      <c r="F1733" s="2" t="s">
        <v>20</v>
      </c>
      <c r="G1733" s="2" t="s">
        <v>916</v>
      </c>
      <c r="H1733" s="3">
        <v>45393.572916666664</v>
      </c>
      <c r="I1733" s="3">
        <v>45393.728472222225</v>
      </c>
      <c r="J1733" s="2">
        <v>151</v>
      </c>
      <c r="K1733" s="2">
        <v>224</v>
      </c>
      <c r="L1733" s="2">
        <v>1</v>
      </c>
      <c r="M1733" s="2" t="s">
        <v>22</v>
      </c>
      <c r="N1733" s="2">
        <v>4</v>
      </c>
      <c r="O1733" s="2">
        <v>492.13</v>
      </c>
      <c r="P1733" s="2">
        <f t="shared" si="135"/>
        <v>73</v>
      </c>
      <c r="Q1733" s="4">
        <f t="shared" si="136"/>
        <v>0.6741071428571429</v>
      </c>
      <c r="R1733" s="2" t="str">
        <f t="shared" si="137"/>
        <v>Inefficient</v>
      </c>
      <c r="S1733" s="2" t="str">
        <f t="shared" si="138"/>
        <v>Very Long</v>
      </c>
      <c r="T1733" s="2" t="str">
        <f t="shared" si="139"/>
        <v>Major Delay</v>
      </c>
    </row>
    <row r="1734" spans="1:20" x14ac:dyDescent="0.35">
      <c r="A1734" s="2" t="s">
        <v>3651</v>
      </c>
      <c r="B1734" s="2" t="s">
        <v>16</v>
      </c>
      <c r="C1734" s="2" t="s">
        <v>3652</v>
      </c>
      <c r="D1734" s="2" t="s">
        <v>26</v>
      </c>
      <c r="E1734" s="2" t="s">
        <v>33</v>
      </c>
      <c r="F1734" s="2" t="s">
        <v>39</v>
      </c>
      <c r="G1734" s="2" t="s">
        <v>155</v>
      </c>
      <c r="H1734" s="3">
        <v>45434.402083333334</v>
      </c>
      <c r="I1734" s="3">
        <v>45434.645833333336</v>
      </c>
      <c r="J1734" s="2">
        <v>238</v>
      </c>
      <c r="K1734" s="2">
        <v>351</v>
      </c>
      <c r="L1734" s="2">
        <v>1</v>
      </c>
      <c r="M1734" s="2" t="s">
        <v>29</v>
      </c>
      <c r="N1734" s="2">
        <v>4</v>
      </c>
      <c r="O1734" s="2">
        <v>118.73</v>
      </c>
      <c r="P1734" s="2">
        <f t="shared" si="135"/>
        <v>113</v>
      </c>
      <c r="Q1734" s="4">
        <f t="shared" si="136"/>
        <v>0.67806267806267806</v>
      </c>
      <c r="R1734" s="2" t="str">
        <f t="shared" si="137"/>
        <v>Inefficient</v>
      </c>
      <c r="S1734" s="2" t="str">
        <f t="shared" si="138"/>
        <v>Very Long</v>
      </c>
      <c r="T1734" s="2" t="str">
        <f t="shared" si="139"/>
        <v>Major Delay</v>
      </c>
    </row>
    <row r="1735" spans="1:20" x14ac:dyDescent="0.35">
      <c r="A1735" s="2" t="s">
        <v>3653</v>
      </c>
      <c r="B1735" s="2" t="s">
        <v>24</v>
      </c>
      <c r="C1735" s="2" t="s">
        <v>3654</v>
      </c>
      <c r="D1735" s="2" t="s">
        <v>44</v>
      </c>
      <c r="E1735" s="2" t="s">
        <v>38</v>
      </c>
      <c r="F1735" s="2" t="s">
        <v>20</v>
      </c>
      <c r="G1735" s="2" t="s">
        <v>207</v>
      </c>
      <c r="H1735" s="3">
        <v>45531.960416666669</v>
      </c>
      <c r="I1735" s="3">
        <v>45532.029166666667</v>
      </c>
      <c r="J1735" s="2">
        <v>17</v>
      </c>
      <c r="K1735" s="2">
        <v>99</v>
      </c>
      <c r="L1735" s="2">
        <v>1</v>
      </c>
      <c r="M1735" s="2" t="s">
        <v>41</v>
      </c>
      <c r="N1735" s="2">
        <v>10</v>
      </c>
      <c r="O1735" s="2">
        <v>90.55</v>
      </c>
      <c r="P1735" s="2">
        <f t="shared" si="135"/>
        <v>82</v>
      </c>
      <c r="Q1735" s="4">
        <f t="shared" si="136"/>
        <v>0.17171717171717171</v>
      </c>
      <c r="R1735" s="2" t="str">
        <f t="shared" si="137"/>
        <v>Inefficient</v>
      </c>
      <c r="S1735" s="2" t="str">
        <f t="shared" si="138"/>
        <v>Long</v>
      </c>
      <c r="T1735" s="2" t="str">
        <f t="shared" si="139"/>
        <v>Major Delay</v>
      </c>
    </row>
    <row r="1736" spans="1:20" x14ac:dyDescent="0.35">
      <c r="A1736" s="2" t="s">
        <v>3655</v>
      </c>
      <c r="B1736" s="2" t="s">
        <v>51</v>
      </c>
      <c r="C1736" s="2" t="s">
        <v>3656</v>
      </c>
      <c r="D1736" s="2" t="s">
        <v>18</v>
      </c>
      <c r="E1736" s="2" t="s">
        <v>33</v>
      </c>
      <c r="F1736" s="2" t="s">
        <v>34</v>
      </c>
      <c r="G1736" s="2" t="s">
        <v>268</v>
      </c>
      <c r="H1736" s="3">
        <v>45515.393750000003</v>
      </c>
      <c r="I1736" s="3">
        <v>45515.561805555553</v>
      </c>
      <c r="J1736" s="2">
        <v>163</v>
      </c>
      <c r="K1736" s="2">
        <v>242</v>
      </c>
      <c r="L1736" s="2">
        <v>1</v>
      </c>
      <c r="M1736" s="2" t="s">
        <v>41</v>
      </c>
      <c r="N1736" s="2">
        <v>8</v>
      </c>
      <c r="O1736" s="2">
        <v>374.27</v>
      </c>
      <c r="P1736" s="2">
        <f t="shared" si="135"/>
        <v>79</v>
      </c>
      <c r="Q1736" s="4">
        <f t="shared" si="136"/>
        <v>0.67355371900826444</v>
      </c>
      <c r="R1736" s="2" t="str">
        <f t="shared" si="137"/>
        <v>Inefficient</v>
      </c>
      <c r="S1736" s="2" t="str">
        <f t="shared" si="138"/>
        <v>Very Long</v>
      </c>
      <c r="T1736" s="2" t="str">
        <f t="shared" si="139"/>
        <v>Major Delay</v>
      </c>
    </row>
    <row r="1737" spans="1:20" x14ac:dyDescent="0.35">
      <c r="A1737" s="2" t="s">
        <v>3657</v>
      </c>
      <c r="B1737" s="2" t="s">
        <v>63</v>
      </c>
      <c r="C1737" s="2" t="s">
        <v>3658</v>
      </c>
      <c r="D1737" s="2" t="s">
        <v>18</v>
      </c>
      <c r="E1737" s="2" t="s">
        <v>19</v>
      </c>
      <c r="F1737" s="2" t="s">
        <v>57</v>
      </c>
      <c r="G1737" s="2" t="s">
        <v>777</v>
      </c>
      <c r="H1737" s="3">
        <v>45339.134027777778</v>
      </c>
      <c r="I1737" s="3">
        <v>45339.302777777775</v>
      </c>
      <c r="J1737" s="2">
        <v>210</v>
      </c>
      <c r="K1737" s="2">
        <v>243</v>
      </c>
      <c r="L1737" s="2">
        <v>1</v>
      </c>
      <c r="M1737" s="2" t="s">
        <v>41</v>
      </c>
      <c r="N1737" s="2">
        <v>5</v>
      </c>
      <c r="O1737" s="2">
        <v>399.54</v>
      </c>
      <c r="P1737" s="2">
        <f t="shared" si="135"/>
        <v>33</v>
      </c>
      <c r="Q1737" s="4">
        <f t="shared" si="136"/>
        <v>0.86419753086419748</v>
      </c>
      <c r="R1737" s="2" t="str">
        <f t="shared" si="137"/>
        <v>Inefficient</v>
      </c>
      <c r="S1737" s="2" t="str">
        <f t="shared" si="138"/>
        <v>Very Long</v>
      </c>
      <c r="T1737" s="2" t="str">
        <f t="shared" si="139"/>
        <v>Major Delay</v>
      </c>
    </row>
    <row r="1738" spans="1:20" x14ac:dyDescent="0.35">
      <c r="A1738" s="2" t="s">
        <v>3659</v>
      </c>
      <c r="B1738" s="2" t="s">
        <v>31</v>
      </c>
      <c r="C1738" s="2" t="s">
        <v>3660</v>
      </c>
      <c r="D1738" s="2" t="s">
        <v>44</v>
      </c>
      <c r="E1738" s="2" t="s">
        <v>19</v>
      </c>
      <c r="F1738" s="2" t="s">
        <v>39</v>
      </c>
      <c r="G1738" s="2" t="s">
        <v>470</v>
      </c>
      <c r="H1738" s="3">
        <v>45617.738194444442</v>
      </c>
      <c r="I1738" s="3">
        <v>45617.907638888886</v>
      </c>
      <c r="J1738" s="2">
        <v>206</v>
      </c>
      <c r="K1738" s="2">
        <v>244</v>
      </c>
      <c r="L1738" s="2">
        <v>1</v>
      </c>
      <c r="M1738" s="2" t="s">
        <v>29</v>
      </c>
      <c r="N1738" s="2">
        <v>8</v>
      </c>
      <c r="O1738" s="2">
        <v>398.92</v>
      </c>
      <c r="P1738" s="2">
        <f t="shared" si="135"/>
        <v>38</v>
      </c>
      <c r="Q1738" s="4">
        <f t="shared" si="136"/>
        <v>0.84426229508196726</v>
      </c>
      <c r="R1738" s="2" t="str">
        <f t="shared" si="137"/>
        <v>Inefficient</v>
      </c>
      <c r="S1738" s="2" t="str">
        <f t="shared" si="138"/>
        <v>Very Long</v>
      </c>
      <c r="T1738" s="2" t="str">
        <f t="shared" si="139"/>
        <v>Major Delay</v>
      </c>
    </row>
    <row r="1739" spans="1:20" x14ac:dyDescent="0.35">
      <c r="A1739" s="2" t="s">
        <v>3661</v>
      </c>
      <c r="B1739" s="2" t="s">
        <v>16</v>
      </c>
      <c r="C1739" s="2" t="s">
        <v>3662</v>
      </c>
      <c r="D1739" s="2" t="s">
        <v>26</v>
      </c>
      <c r="E1739" s="2" t="s">
        <v>19</v>
      </c>
      <c r="F1739" s="2" t="s">
        <v>57</v>
      </c>
      <c r="G1739" s="2" t="s">
        <v>126</v>
      </c>
      <c r="H1739" s="3">
        <v>45437.045138888891</v>
      </c>
      <c r="I1739" s="3">
        <v>45437.245138888888</v>
      </c>
      <c r="J1739" s="2">
        <v>203</v>
      </c>
      <c r="K1739" s="2">
        <v>288</v>
      </c>
      <c r="L1739" s="2">
        <v>1</v>
      </c>
      <c r="M1739" s="2" t="s">
        <v>22</v>
      </c>
      <c r="N1739" s="2">
        <v>9</v>
      </c>
      <c r="O1739" s="2">
        <v>131.01</v>
      </c>
      <c r="P1739" s="2">
        <f t="shared" si="135"/>
        <v>85</v>
      </c>
      <c r="Q1739" s="4">
        <f t="shared" si="136"/>
        <v>0.70486111111111116</v>
      </c>
      <c r="R1739" s="2" t="str">
        <f t="shared" si="137"/>
        <v>Inefficient</v>
      </c>
      <c r="S1739" s="2" t="str">
        <f t="shared" si="138"/>
        <v>Very Long</v>
      </c>
      <c r="T1739" s="2" t="str">
        <f t="shared" si="139"/>
        <v>Major Delay</v>
      </c>
    </row>
    <row r="1740" spans="1:20" x14ac:dyDescent="0.35">
      <c r="A1740" s="2" t="s">
        <v>3663</v>
      </c>
      <c r="B1740" s="2" t="s">
        <v>63</v>
      </c>
      <c r="C1740" s="2" t="s">
        <v>3664</v>
      </c>
      <c r="D1740" s="2" t="s">
        <v>44</v>
      </c>
      <c r="E1740" s="2" t="s">
        <v>38</v>
      </c>
      <c r="F1740" s="2" t="s">
        <v>57</v>
      </c>
      <c r="G1740" s="2" t="s">
        <v>321</v>
      </c>
      <c r="H1740" s="3">
        <v>45427.814583333333</v>
      </c>
      <c r="I1740" s="3">
        <v>45427.984027777777</v>
      </c>
      <c r="J1740" s="2">
        <v>147</v>
      </c>
      <c r="K1740" s="2">
        <v>244</v>
      </c>
      <c r="L1740" s="2">
        <v>1</v>
      </c>
      <c r="M1740" s="2" t="s">
        <v>22</v>
      </c>
      <c r="N1740" s="2">
        <v>9</v>
      </c>
      <c r="O1740" s="2">
        <v>79.739999999999995</v>
      </c>
      <c r="P1740" s="2">
        <f t="shared" si="135"/>
        <v>97</v>
      </c>
      <c r="Q1740" s="4">
        <f t="shared" si="136"/>
        <v>0.60245901639344257</v>
      </c>
      <c r="R1740" s="2" t="str">
        <f t="shared" si="137"/>
        <v>Inefficient</v>
      </c>
      <c r="S1740" s="2" t="str">
        <f t="shared" si="138"/>
        <v>Very Long</v>
      </c>
      <c r="T1740" s="2" t="str">
        <f t="shared" si="139"/>
        <v>Major Delay</v>
      </c>
    </row>
    <row r="1741" spans="1:20" x14ac:dyDescent="0.35">
      <c r="A1741" s="2" t="s">
        <v>3665</v>
      </c>
      <c r="B1741" s="2" t="s">
        <v>51</v>
      </c>
      <c r="C1741" s="2" t="s">
        <v>3666</v>
      </c>
      <c r="D1741" s="2" t="s">
        <v>48</v>
      </c>
      <c r="E1741" s="2" t="s">
        <v>85</v>
      </c>
      <c r="F1741" s="2" t="s">
        <v>39</v>
      </c>
      <c r="G1741" s="2" t="s">
        <v>288</v>
      </c>
      <c r="H1741" s="3">
        <v>45487.138194444444</v>
      </c>
      <c r="I1741" s="3">
        <v>45487.23333333333</v>
      </c>
      <c r="J1741" s="2">
        <v>136</v>
      </c>
      <c r="K1741" s="2">
        <v>137</v>
      </c>
      <c r="L1741" s="2">
        <v>1</v>
      </c>
      <c r="M1741" s="2" t="s">
        <v>29</v>
      </c>
      <c r="N1741" s="2">
        <v>6</v>
      </c>
      <c r="O1741" s="2">
        <v>406.32</v>
      </c>
      <c r="P1741" s="2">
        <f t="shared" si="135"/>
        <v>1</v>
      </c>
      <c r="Q1741" s="4">
        <f t="shared" si="136"/>
        <v>0.99270072992700731</v>
      </c>
      <c r="R1741" s="2" t="str">
        <f t="shared" si="137"/>
        <v>Inefficient</v>
      </c>
      <c r="S1741" s="2" t="str">
        <f t="shared" si="138"/>
        <v>Very Long</v>
      </c>
      <c r="T1741" s="2" t="str">
        <f t="shared" si="139"/>
        <v>Minor Delay</v>
      </c>
    </row>
    <row r="1742" spans="1:20" x14ac:dyDescent="0.35">
      <c r="A1742" s="2" t="s">
        <v>3667</v>
      </c>
      <c r="B1742" s="2" t="s">
        <v>16</v>
      </c>
      <c r="C1742" s="2" t="s">
        <v>3668</v>
      </c>
      <c r="D1742" s="2" t="s">
        <v>26</v>
      </c>
      <c r="E1742" s="2" t="s">
        <v>33</v>
      </c>
      <c r="F1742" s="2" t="s">
        <v>39</v>
      </c>
      <c r="G1742" s="2" t="s">
        <v>149</v>
      </c>
      <c r="H1742" s="3">
        <v>45349.488194444442</v>
      </c>
      <c r="I1742" s="3">
        <v>45349.72152777778</v>
      </c>
      <c r="J1742" s="2">
        <v>240</v>
      </c>
      <c r="K1742" s="2">
        <v>336</v>
      </c>
      <c r="L1742" s="2">
        <v>1</v>
      </c>
      <c r="M1742" s="2" t="s">
        <v>29</v>
      </c>
      <c r="N1742" s="2">
        <v>5</v>
      </c>
      <c r="O1742" s="2">
        <v>207.81</v>
      </c>
      <c r="P1742" s="2">
        <f t="shared" si="135"/>
        <v>96</v>
      </c>
      <c r="Q1742" s="4">
        <f t="shared" si="136"/>
        <v>0.7142857142857143</v>
      </c>
      <c r="R1742" s="2" t="str">
        <f t="shared" si="137"/>
        <v>Inefficient</v>
      </c>
      <c r="S1742" s="2" t="str">
        <f t="shared" si="138"/>
        <v>Very Long</v>
      </c>
      <c r="T1742" s="2" t="str">
        <f t="shared" si="139"/>
        <v>Major Delay</v>
      </c>
    </row>
    <row r="1743" spans="1:20" x14ac:dyDescent="0.35">
      <c r="A1743" s="2" t="s">
        <v>3669</v>
      </c>
      <c r="B1743" s="2" t="s">
        <v>51</v>
      </c>
      <c r="C1743" s="2" t="s">
        <v>3670</v>
      </c>
      <c r="D1743" s="2" t="s">
        <v>18</v>
      </c>
      <c r="E1743" s="2" t="s">
        <v>19</v>
      </c>
      <c r="F1743" s="2" t="s">
        <v>34</v>
      </c>
      <c r="G1743" s="2" t="s">
        <v>222</v>
      </c>
      <c r="H1743" s="3">
        <v>45403.549305555556</v>
      </c>
      <c r="I1743" s="3">
        <v>45403.645138888889</v>
      </c>
      <c r="J1743" s="2">
        <v>90</v>
      </c>
      <c r="K1743" s="2">
        <v>138</v>
      </c>
      <c r="L1743" s="2">
        <v>1</v>
      </c>
      <c r="M1743" s="2" t="s">
        <v>29</v>
      </c>
      <c r="N1743" s="2">
        <v>1</v>
      </c>
      <c r="O1743" s="2">
        <v>363.77</v>
      </c>
      <c r="P1743" s="2">
        <f t="shared" si="135"/>
        <v>48</v>
      </c>
      <c r="Q1743" s="4">
        <f t="shared" si="136"/>
        <v>0.65217391304347827</v>
      </c>
      <c r="R1743" s="2" t="str">
        <f t="shared" si="137"/>
        <v>Inefficient</v>
      </c>
      <c r="S1743" s="2" t="str">
        <f t="shared" si="138"/>
        <v>Very Long</v>
      </c>
      <c r="T1743" s="2" t="str">
        <f t="shared" si="139"/>
        <v>Major Delay</v>
      </c>
    </row>
    <row r="1744" spans="1:20" x14ac:dyDescent="0.35">
      <c r="A1744" s="2" t="s">
        <v>3671</v>
      </c>
      <c r="B1744" s="2" t="s">
        <v>31</v>
      </c>
      <c r="C1744" s="2" t="s">
        <v>3672</v>
      </c>
      <c r="D1744" s="2" t="s">
        <v>44</v>
      </c>
      <c r="E1744" s="2" t="s">
        <v>19</v>
      </c>
      <c r="F1744" s="2" t="s">
        <v>27</v>
      </c>
      <c r="G1744" s="2" t="s">
        <v>473</v>
      </c>
      <c r="H1744" s="3">
        <v>45512.761805555558</v>
      </c>
      <c r="I1744" s="3">
        <v>45512.843055555553</v>
      </c>
      <c r="J1744" s="2">
        <v>16</v>
      </c>
      <c r="K1744" s="2">
        <v>117</v>
      </c>
      <c r="L1744" s="2">
        <v>1</v>
      </c>
      <c r="M1744" s="2" t="s">
        <v>29</v>
      </c>
      <c r="N1744" s="2">
        <v>6</v>
      </c>
      <c r="O1744" s="2">
        <v>268.47000000000003</v>
      </c>
      <c r="P1744" s="2">
        <f t="shared" si="135"/>
        <v>101</v>
      </c>
      <c r="Q1744" s="4">
        <f t="shared" si="136"/>
        <v>0.13675213675213677</v>
      </c>
      <c r="R1744" s="2" t="str">
        <f t="shared" si="137"/>
        <v>Inefficient</v>
      </c>
      <c r="S1744" s="2" t="str">
        <f t="shared" si="138"/>
        <v>Long</v>
      </c>
      <c r="T1744" s="2" t="str">
        <f t="shared" si="139"/>
        <v>Major Delay</v>
      </c>
    </row>
    <row r="1745" spans="1:20" x14ac:dyDescent="0.35">
      <c r="A1745" s="2" t="s">
        <v>3673</v>
      </c>
      <c r="B1745" s="2" t="s">
        <v>24</v>
      </c>
      <c r="C1745" s="2" t="s">
        <v>3674</v>
      </c>
      <c r="D1745" s="2" t="s">
        <v>44</v>
      </c>
      <c r="E1745" s="2" t="s">
        <v>85</v>
      </c>
      <c r="F1745" s="2" t="s">
        <v>57</v>
      </c>
      <c r="G1745" s="2" t="s">
        <v>476</v>
      </c>
      <c r="H1745" s="3">
        <v>45354.932638888888</v>
      </c>
      <c r="I1745" s="3">
        <v>45355.113194444442</v>
      </c>
      <c r="J1745" s="2">
        <v>195</v>
      </c>
      <c r="K1745" s="2">
        <v>260</v>
      </c>
      <c r="L1745" s="2">
        <v>1</v>
      </c>
      <c r="M1745" s="2" t="s">
        <v>29</v>
      </c>
      <c r="N1745" s="2">
        <v>4</v>
      </c>
      <c r="O1745" s="2">
        <v>201.17</v>
      </c>
      <c r="P1745" s="2">
        <f t="shared" si="135"/>
        <v>65</v>
      </c>
      <c r="Q1745" s="4">
        <f t="shared" si="136"/>
        <v>0.75</v>
      </c>
      <c r="R1745" s="2" t="str">
        <f t="shared" si="137"/>
        <v>Inefficient</v>
      </c>
      <c r="S1745" s="2" t="str">
        <f t="shared" si="138"/>
        <v>Very Long</v>
      </c>
      <c r="T1745" s="2" t="str">
        <f t="shared" si="139"/>
        <v>Major Delay</v>
      </c>
    </row>
    <row r="1746" spans="1:20" x14ac:dyDescent="0.35">
      <c r="A1746" s="2" t="s">
        <v>3675</v>
      </c>
      <c r="B1746" s="2" t="s">
        <v>63</v>
      </c>
      <c r="C1746" s="2" t="s">
        <v>3676</v>
      </c>
      <c r="D1746" s="2" t="s">
        <v>18</v>
      </c>
      <c r="E1746" s="2" t="s">
        <v>33</v>
      </c>
      <c r="F1746" s="2" t="s">
        <v>27</v>
      </c>
      <c r="G1746" s="2" t="s">
        <v>49</v>
      </c>
      <c r="H1746" s="3">
        <v>45295.649305555555</v>
      </c>
      <c r="I1746" s="3">
        <v>45295.715277777781</v>
      </c>
      <c r="J1746" s="2">
        <v>47</v>
      </c>
      <c r="K1746" s="2">
        <v>95</v>
      </c>
      <c r="L1746" s="2">
        <v>1</v>
      </c>
      <c r="M1746" s="2" t="s">
        <v>29</v>
      </c>
      <c r="N1746" s="2">
        <v>5</v>
      </c>
      <c r="O1746" s="2">
        <v>367.56</v>
      </c>
      <c r="P1746" s="2">
        <f t="shared" si="135"/>
        <v>48</v>
      </c>
      <c r="Q1746" s="4">
        <f t="shared" si="136"/>
        <v>0.49473684210526314</v>
      </c>
      <c r="R1746" s="2" t="str">
        <f t="shared" si="137"/>
        <v>Inefficient</v>
      </c>
      <c r="S1746" s="2" t="str">
        <f t="shared" si="138"/>
        <v>Long</v>
      </c>
      <c r="T1746" s="2" t="str">
        <f t="shared" si="139"/>
        <v>Major Delay</v>
      </c>
    </row>
    <row r="1747" spans="1:20" x14ac:dyDescent="0.35">
      <c r="A1747" s="2" t="s">
        <v>3677</v>
      </c>
      <c r="B1747" s="2" t="s">
        <v>24</v>
      </c>
      <c r="C1747" s="2" t="s">
        <v>3678</v>
      </c>
      <c r="D1747" s="2" t="s">
        <v>48</v>
      </c>
      <c r="E1747" s="2" t="s">
        <v>85</v>
      </c>
      <c r="F1747" s="2" t="s">
        <v>27</v>
      </c>
      <c r="G1747" s="2" t="s">
        <v>397</v>
      </c>
      <c r="H1747" s="3">
        <v>45359.484027777777</v>
      </c>
      <c r="I1747" s="3">
        <v>45359.59375</v>
      </c>
      <c r="J1747" s="2">
        <v>80</v>
      </c>
      <c r="K1747" s="2">
        <v>158</v>
      </c>
      <c r="L1747" s="2">
        <v>1</v>
      </c>
      <c r="M1747" s="2" t="s">
        <v>41</v>
      </c>
      <c r="N1747" s="2">
        <v>2</v>
      </c>
      <c r="O1747" s="2">
        <v>433.93</v>
      </c>
      <c r="P1747" s="2">
        <f t="shared" si="135"/>
        <v>78</v>
      </c>
      <c r="Q1747" s="4">
        <f t="shared" si="136"/>
        <v>0.50632911392405067</v>
      </c>
      <c r="R1747" s="2" t="str">
        <f t="shared" si="137"/>
        <v>Inefficient</v>
      </c>
      <c r="S1747" s="2" t="str">
        <f t="shared" si="138"/>
        <v>Very Long</v>
      </c>
      <c r="T1747" s="2" t="str">
        <f t="shared" si="139"/>
        <v>Major Delay</v>
      </c>
    </row>
    <row r="1748" spans="1:20" x14ac:dyDescent="0.35">
      <c r="A1748" s="2" t="s">
        <v>3679</v>
      </c>
      <c r="B1748" s="2" t="s">
        <v>16</v>
      </c>
      <c r="C1748" s="2" t="s">
        <v>3680</v>
      </c>
      <c r="D1748" s="2" t="s">
        <v>26</v>
      </c>
      <c r="E1748" s="2" t="s">
        <v>19</v>
      </c>
      <c r="F1748" s="2" t="s">
        <v>27</v>
      </c>
      <c r="G1748" s="2" t="s">
        <v>293</v>
      </c>
      <c r="H1748" s="3">
        <v>45428.890972222223</v>
      </c>
      <c r="I1748" s="3">
        <v>45429.018750000003</v>
      </c>
      <c r="J1748" s="2">
        <v>84</v>
      </c>
      <c r="K1748" s="2">
        <v>184</v>
      </c>
      <c r="L1748" s="2">
        <v>1</v>
      </c>
      <c r="M1748" s="2" t="s">
        <v>41</v>
      </c>
      <c r="N1748" s="2">
        <v>10</v>
      </c>
      <c r="O1748" s="2">
        <v>414.42</v>
      </c>
      <c r="P1748" s="2">
        <f t="shared" si="135"/>
        <v>100</v>
      </c>
      <c r="Q1748" s="4">
        <f t="shared" si="136"/>
        <v>0.45652173913043476</v>
      </c>
      <c r="R1748" s="2" t="str">
        <f t="shared" si="137"/>
        <v>Inefficient</v>
      </c>
      <c r="S1748" s="2" t="str">
        <f t="shared" si="138"/>
        <v>Very Long</v>
      </c>
      <c r="T1748" s="2" t="str">
        <f t="shared" si="139"/>
        <v>Major Delay</v>
      </c>
    </row>
    <row r="1749" spans="1:20" x14ac:dyDescent="0.35">
      <c r="A1749" s="2" t="s">
        <v>3681</v>
      </c>
      <c r="B1749" s="2" t="s">
        <v>31</v>
      </c>
      <c r="C1749" s="2" t="s">
        <v>3682</v>
      </c>
      <c r="D1749" s="2" t="s">
        <v>18</v>
      </c>
      <c r="E1749" s="2" t="s">
        <v>19</v>
      </c>
      <c r="F1749" s="2" t="s">
        <v>27</v>
      </c>
      <c r="G1749" s="2" t="s">
        <v>359</v>
      </c>
      <c r="H1749" s="3">
        <v>45413.323611111111</v>
      </c>
      <c r="I1749" s="3">
        <v>45413.488888888889</v>
      </c>
      <c r="J1749" s="2">
        <v>136</v>
      </c>
      <c r="K1749" s="2">
        <v>238</v>
      </c>
      <c r="L1749" s="2">
        <v>1</v>
      </c>
      <c r="M1749" s="2" t="s">
        <v>29</v>
      </c>
      <c r="N1749" s="2">
        <v>7</v>
      </c>
      <c r="O1749" s="2">
        <v>455.17</v>
      </c>
      <c r="P1749" s="2">
        <f t="shared" si="135"/>
        <v>102</v>
      </c>
      <c r="Q1749" s="4">
        <f t="shared" si="136"/>
        <v>0.5714285714285714</v>
      </c>
      <c r="R1749" s="2" t="str">
        <f t="shared" si="137"/>
        <v>Inefficient</v>
      </c>
      <c r="S1749" s="2" t="str">
        <f t="shared" si="138"/>
        <v>Very Long</v>
      </c>
      <c r="T1749" s="2" t="str">
        <f t="shared" si="139"/>
        <v>Major Delay</v>
      </c>
    </row>
    <row r="1750" spans="1:20" x14ac:dyDescent="0.35">
      <c r="A1750" s="2" t="s">
        <v>3683</v>
      </c>
      <c r="B1750" s="2" t="s">
        <v>63</v>
      </c>
      <c r="C1750" s="2" t="s">
        <v>3684</v>
      </c>
      <c r="D1750" s="2" t="s">
        <v>44</v>
      </c>
      <c r="E1750" s="2" t="s">
        <v>38</v>
      </c>
      <c r="F1750" s="2" t="s">
        <v>27</v>
      </c>
      <c r="G1750" s="2" t="s">
        <v>749</v>
      </c>
      <c r="H1750" s="3">
        <v>45318.313888888886</v>
      </c>
      <c r="I1750" s="3">
        <v>45318.534722222219</v>
      </c>
      <c r="J1750" s="2">
        <v>211</v>
      </c>
      <c r="K1750" s="2">
        <v>318</v>
      </c>
      <c r="L1750" s="2">
        <v>1</v>
      </c>
      <c r="M1750" s="2" t="s">
        <v>22</v>
      </c>
      <c r="N1750" s="2">
        <v>3</v>
      </c>
      <c r="O1750" s="2">
        <v>214.89</v>
      </c>
      <c r="P1750" s="2">
        <f t="shared" si="135"/>
        <v>107</v>
      </c>
      <c r="Q1750" s="4">
        <f t="shared" si="136"/>
        <v>0.66352201257861632</v>
      </c>
      <c r="R1750" s="2" t="str">
        <f t="shared" si="137"/>
        <v>Inefficient</v>
      </c>
      <c r="S1750" s="2" t="str">
        <f t="shared" si="138"/>
        <v>Very Long</v>
      </c>
      <c r="T1750" s="2" t="str">
        <f t="shared" si="139"/>
        <v>Major Delay</v>
      </c>
    </row>
    <row r="1751" spans="1:20" x14ac:dyDescent="0.35">
      <c r="A1751" s="2" t="s">
        <v>3685</v>
      </c>
      <c r="B1751" s="2" t="s">
        <v>24</v>
      </c>
      <c r="C1751" s="2" t="s">
        <v>3686</v>
      </c>
      <c r="D1751" s="2" t="s">
        <v>48</v>
      </c>
      <c r="E1751" s="2" t="s">
        <v>19</v>
      </c>
      <c r="F1751" s="2" t="s">
        <v>20</v>
      </c>
      <c r="G1751" s="2" t="s">
        <v>459</v>
      </c>
      <c r="H1751" s="3">
        <v>45386.052777777775</v>
      </c>
      <c r="I1751" s="3">
        <v>45386.205555555556</v>
      </c>
      <c r="J1751" s="2">
        <v>121</v>
      </c>
      <c r="K1751" s="2">
        <v>220</v>
      </c>
      <c r="L1751" s="2">
        <v>1</v>
      </c>
      <c r="M1751" s="2" t="s">
        <v>29</v>
      </c>
      <c r="N1751" s="2">
        <v>10</v>
      </c>
      <c r="O1751" s="2">
        <v>247.79</v>
      </c>
      <c r="P1751" s="2">
        <f t="shared" si="135"/>
        <v>99</v>
      </c>
      <c r="Q1751" s="4">
        <f t="shared" si="136"/>
        <v>0.55000000000000004</v>
      </c>
      <c r="R1751" s="2" t="str">
        <f t="shared" si="137"/>
        <v>Inefficient</v>
      </c>
      <c r="S1751" s="2" t="str">
        <f t="shared" si="138"/>
        <v>Very Long</v>
      </c>
      <c r="T1751" s="2" t="str">
        <f t="shared" si="139"/>
        <v>Major Delay</v>
      </c>
    </row>
    <row r="1752" spans="1:20" x14ac:dyDescent="0.35">
      <c r="A1752" s="2" t="s">
        <v>3687</v>
      </c>
      <c r="B1752" s="2" t="s">
        <v>31</v>
      </c>
      <c r="C1752" s="2" t="s">
        <v>3688</v>
      </c>
      <c r="D1752" s="2" t="s">
        <v>26</v>
      </c>
      <c r="E1752" s="2" t="s">
        <v>85</v>
      </c>
      <c r="F1752" s="2" t="s">
        <v>34</v>
      </c>
      <c r="G1752" s="2" t="s">
        <v>94</v>
      </c>
      <c r="H1752" s="3">
        <v>45583.011111111111</v>
      </c>
      <c r="I1752" s="3">
        <v>45583.215277777781</v>
      </c>
      <c r="J1752" s="2">
        <v>205</v>
      </c>
      <c r="K1752" s="2">
        <v>294</v>
      </c>
      <c r="L1752" s="2">
        <v>1</v>
      </c>
      <c r="M1752" s="2" t="s">
        <v>22</v>
      </c>
      <c r="N1752" s="2">
        <v>5</v>
      </c>
      <c r="O1752" s="2">
        <v>185.35</v>
      </c>
      <c r="P1752" s="2">
        <f t="shared" si="135"/>
        <v>89</v>
      </c>
      <c r="Q1752" s="4">
        <f t="shared" si="136"/>
        <v>0.69727891156462585</v>
      </c>
      <c r="R1752" s="2" t="str">
        <f t="shared" si="137"/>
        <v>Inefficient</v>
      </c>
      <c r="S1752" s="2" t="str">
        <f t="shared" si="138"/>
        <v>Very Long</v>
      </c>
      <c r="T1752" s="2" t="str">
        <f t="shared" si="139"/>
        <v>Major Delay</v>
      </c>
    </row>
    <row r="1753" spans="1:20" x14ac:dyDescent="0.35">
      <c r="A1753" s="2" t="s">
        <v>3689</v>
      </c>
      <c r="B1753" s="2" t="s">
        <v>63</v>
      </c>
      <c r="C1753" s="2" t="s">
        <v>3690</v>
      </c>
      <c r="D1753" s="2" t="s">
        <v>44</v>
      </c>
      <c r="E1753" s="2" t="s">
        <v>33</v>
      </c>
      <c r="F1753" s="2" t="s">
        <v>20</v>
      </c>
      <c r="G1753" s="2" t="s">
        <v>45</v>
      </c>
      <c r="H1753" s="3">
        <v>45295.250694444447</v>
      </c>
      <c r="I1753" s="3">
        <v>45295.275000000001</v>
      </c>
      <c r="J1753" s="2">
        <v>21</v>
      </c>
      <c r="K1753" s="2">
        <v>35</v>
      </c>
      <c r="L1753" s="2">
        <v>1</v>
      </c>
      <c r="M1753" s="2" t="s">
        <v>41</v>
      </c>
      <c r="N1753" s="2">
        <v>10</v>
      </c>
      <c r="O1753" s="2">
        <v>300.88</v>
      </c>
      <c r="P1753" s="2">
        <f t="shared" si="135"/>
        <v>14</v>
      </c>
      <c r="Q1753" s="4">
        <f t="shared" si="136"/>
        <v>0.6</v>
      </c>
      <c r="R1753" s="2" t="str">
        <f t="shared" si="137"/>
        <v>Inefficient</v>
      </c>
      <c r="S1753" s="2" t="str">
        <f t="shared" si="138"/>
        <v>Medium</v>
      </c>
      <c r="T1753" s="2" t="str">
        <f t="shared" si="139"/>
        <v>Minor Delay</v>
      </c>
    </row>
    <row r="1754" spans="1:20" x14ac:dyDescent="0.35">
      <c r="A1754" s="2" t="s">
        <v>3691</v>
      </c>
      <c r="B1754" s="2" t="s">
        <v>31</v>
      </c>
      <c r="C1754" s="2" t="s">
        <v>3692</v>
      </c>
      <c r="D1754" s="2" t="s">
        <v>44</v>
      </c>
      <c r="E1754" s="2" t="s">
        <v>33</v>
      </c>
      <c r="F1754" s="2" t="s">
        <v>34</v>
      </c>
      <c r="G1754" s="2" t="s">
        <v>521</v>
      </c>
      <c r="H1754" s="3">
        <v>45575.432638888888</v>
      </c>
      <c r="I1754" s="3">
        <v>45575.622916666667</v>
      </c>
      <c r="J1754" s="2">
        <v>233</v>
      </c>
      <c r="K1754" s="2">
        <v>274</v>
      </c>
      <c r="L1754" s="2">
        <v>1</v>
      </c>
      <c r="M1754" s="2" t="s">
        <v>29</v>
      </c>
      <c r="N1754" s="2">
        <v>8</v>
      </c>
      <c r="O1754" s="2">
        <v>375.89</v>
      </c>
      <c r="P1754" s="2">
        <f t="shared" si="135"/>
        <v>41</v>
      </c>
      <c r="Q1754" s="4">
        <f t="shared" si="136"/>
        <v>0.85036496350364965</v>
      </c>
      <c r="R1754" s="2" t="str">
        <f t="shared" si="137"/>
        <v>Inefficient</v>
      </c>
      <c r="S1754" s="2" t="str">
        <f t="shared" si="138"/>
        <v>Very Long</v>
      </c>
      <c r="T1754" s="2" t="str">
        <f t="shared" si="139"/>
        <v>Major Delay</v>
      </c>
    </row>
    <row r="1755" spans="1:20" x14ac:dyDescent="0.35">
      <c r="A1755" s="2" t="s">
        <v>3693</v>
      </c>
      <c r="B1755" s="2" t="s">
        <v>51</v>
      </c>
      <c r="C1755" s="2" t="s">
        <v>3694</v>
      </c>
      <c r="D1755" s="2" t="s">
        <v>26</v>
      </c>
      <c r="E1755" s="2" t="s">
        <v>38</v>
      </c>
      <c r="F1755" s="2" t="s">
        <v>57</v>
      </c>
      <c r="G1755" s="2" t="s">
        <v>137</v>
      </c>
      <c r="H1755" s="3">
        <v>45364.354166666664</v>
      </c>
      <c r="I1755" s="3">
        <v>45364.488194444442</v>
      </c>
      <c r="J1755" s="2">
        <v>100</v>
      </c>
      <c r="K1755" s="2">
        <v>193</v>
      </c>
      <c r="L1755" s="2">
        <v>1</v>
      </c>
      <c r="M1755" s="2" t="s">
        <v>22</v>
      </c>
      <c r="N1755" s="2">
        <v>7</v>
      </c>
      <c r="O1755" s="2">
        <v>377.33</v>
      </c>
      <c r="P1755" s="2">
        <f t="shared" si="135"/>
        <v>93</v>
      </c>
      <c r="Q1755" s="4">
        <f t="shared" si="136"/>
        <v>0.51813471502590669</v>
      </c>
      <c r="R1755" s="2" t="str">
        <f t="shared" si="137"/>
        <v>Inefficient</v>
      </c>
      <c r="S1755" s="2" t="str">
        <f t="shared" si="138"/>
        <v>Very Long</v>
      </c>
      <c r="T1755" s="2" t="str">
        <f t="shared" si="139"/>
        <v>Major Delay</v>
      </c>
    </row>
    <row r="1756" spans="1:20" x14ac:dyDescent="0.35">
      <c r="A1756" s="2" t="s">
        <v>3695</v>
      </c>
      <c r="B1756" s="2" t="s">
        <v>31</v>
      </c>
      <c r="C1756" s="2" t="s">
        <v>3696</v>
      </c>
      <c r="D1756" s="2" t="s">
        <v>44</v>
      </c>
      <c r="E1756" s="2" t="s">
        <v>38</v>
      </c>
      <c r="F1756" s="2" t="s">
        <v>20</v>
      </c>
      <c r="G1756" s="2" t="s">
        <v>94</v>
      </c>
      <c r="H1756" s="3">
        <v>45485.317361111112</v>
      </c>
      <c r="I1756" s="3">
        <v>45485.393750000003</v>
      </c>
      <c r="J1756" s="2">
        <v>110</v>
      </c>
      <c r="K1756" s="2">
        <v>110</v>
      </c>
      <c r="L1756" s="2">
        <v>0</v>
      </c>
      <c r="M1756" s="2" t="s">
        <v>22</v>
      </c>
      <c r="N1756" s="2">
        <v>4</v>
      </c>
      <c r="O1756" s="2">
        <v>298.31</v>
      </c>
      <c r="P1756" s="2">
        <f t="shared" si="135"/>
        <v>0</v>
      </c>
      <c r="Q1756" s="4">
        <f t="shared" si="136"/>
        <v>1</v>
      </c>
      <c r="R1756" s="2" t="str">
        <f t="shared" si="137"/>
        <v>On Target</v>
      </c>
      <c r="S1756" s="2" t="str">
        <f t="shared" si="138"/>
        <v>Long</v>
      </c>
      <c r="T1756" s="2" t="str">
        <f t="shared" si="139"/>
        <v>On Time</v>
      </c>
    </row>
    <row r="1757" spans="1:20" x14ac:dyDescent="0.35">
      <c r="A1757" s="2" t="s">
        <v>3697</v>
      </c>
      <c r="B1757" s="2" t="s">
        <v>31</v>
      </c>
      <c r="C1757" s="2" t="s">
        <v>3698</v>
      </c>
      <c r="D1757" s="2" t="s">
        <v>26</v>
      </c>
      <c r="E1757" s="2" t="s">
        <v>38</v>
      </c>
      <c r="F1757" s="2" t="s">
        <v>57</v>
      </c>
      <c r="G1757" s="2" t="s">
        <v>415</v>
      </c>
      <c r="H1757" s="3">
        <v>45338.567361111112</v>
      </c>
      <c r="I1757" s="3">
        <v>45338.761805555558</v>
      </c>
      <c r="J1757" s="2">
        <v>214</v>
      </c>
      <c r="K1757" s="2">
        <v>280</v>
      </c>
      <c r="L1757" s="2">
        <v>1</v>
      </c>
      <c r="M1757" s="2" t="s">
        <v>29</v>
      </c>
      <c r="N1757" s="2">
        <v>3</v>
      </c>
      <c r="O1757" s="2">
        <v>392.42</v>
      </c>
      <c r="P1757" s="2">
        <f t="shared" si="135"/>
        <v>66</v>
      </c>
      <c r="Q1757" s="4">
        <f t="shared" si="136"/>
        <v>0.76428571428571423</v>
      </c>
      <c r="R1757" s="2" t="str">
        <f t="shared" si="137"/>
        <v>Inefficient</v>
      </c>
      <c r="S1757" s="2" t="str">
        <f t="shared" si="138"/>
        <v>Very Long</v>
      </c>
      <c r="T1757" s="2" t="str">
        <f t="shared" si="139"/>
        <v>Major Delay</v>
      </c>
    </row>
    <row r="1758" spans="1:20" x14ac:dyDescent="0.35">
      <c r="A1758" s="2" t="s">
        <v>3699</v>
      </c>
      <c r="B1758" s="2" t="s">
        <v>51</v>
      </c>
      <c r="C1758" s="2" t="s">
        <v>3700</v>
      </c>
      <c r="D1758" s="2" t="s">
        <v>18</v>
      </c>
      <c r="E1758" s="2" t="s">
        <v>38</v>
      </c>
      <c r="F1758" s="2" t="s">
        <v>34</v>
      </c>
      <c r="G1758" s="2" t="s">
        <v>204</v>
      </c>
      <c r="H1758" s="3">
        <v>45638.948611111111</v>
      </c>
      <c r="I1758" s="3">
        <v>45639.042361111111</v>
      </c>
      <c r="J1758" s="2">
        <v>71</v>
      </c>
      <c r="K1758" s="2">
        <v>135</v>
      </c>
      <c r="L1758" s="2">
        <v>1</v>
      </c>
      <c r="M1758" s="2" t="s">
        <v>29</v>
      </c>
      <c r="N1758" s="2">
        <v>10</v>
      </c>
      <c r="O1758" s="2">
        <v>458.81</v>
      </c>
      <c r="P1758" s="2">
        <f t="shared" si="135"/>
        <v>64</v>
      </c>
      <c r="Q1758" s="4">
        <f t="shared" si="136"/>
        <v>0.52592592592592591</v>
      </c>
      <c r="R1758" s="2" t="str">
        <f t="shared" si="137"/>
        <v>Inefficient</v>
      </c>
      <c r="S1758" s="2" t="str">
        <f t="shared" si="138"/>
        <v>Very Long</v>
      </c>
      <c r="T1758" s="2" t="str">
        <f t="shared" si="139"/>
        <v>Major Delay</v>
      </c>
    </row>
    <row r="1759" spans="1:20" x14ac:dyDescent="0.35">
      <c r="A1759" s="2" t="s">
        <v>3701</v>
      </c>
      <c r="B1759" s="2" t="s">
        <v>16</v>
      </c>
      <c r="C1759" s="2" t="s">
        <v>3702</v>
      </c>
      <c r="D1759" s="2" t="s">
        <v>18</v>
      </c>
      <c r="E1759" s="2" t="s">
        <v>85</v>
      </c>
      <c r="F1759" s="2" t="s">
        <v>20</v>
      </c>
      <c r="G1759" s="2" t="s">
        <v>188</v>
      </c>
      <c r="H1759" s="3">
        <v>45524.177083333336</v>
      </c>
      <c r="I1759" s="3">
        <v>45524.293055555558</v>
      </c>
      <c r="J1759" s="2">
        <v>119</v>
      </c>
      <c r="K1759" s="2">
        <v>167</v>
      </c>
      <c r="L1759" s="2">
        <v>1</v>
      </c>
      <c r="M1759" s="2" t="s">
        <v>29</v>
      </c>
      <c r="N1759" s="2">
        <v>1</v>
      </c>
      <c r="O1759" s="2">
        <v>50.75</v>
      </c>
      <c r="P1759" s="2">
        <f t="shared" si="135"/>
        <v>48</v>
      </c>
      <c r="Q1759" s="4">
        <f t="shared" si="136"/>
        <v>0.71257485029940115</v>
      </c>
      <c r="R1759" s="2" t="str">
        <f t="shared" si="137"/>
        <v>Inefficient</v>
      </c>
      <c r="S1759" s="2" t="str">
        <f t="shared" si="138"/>
        <v>Very Long</v>
      </c>
      <c r="T1759" s="2" t="str">
        <f t="shared" si="139"/>
        <v>Major Delay</v>
      </c>
    </row>
    <row r="1760" spans="1:20" x14ac:dyDescent="0.35">
      <c r="A1760" s="2" t="s">
        <v>3703</v>
      </c>
      <c r="B1760" s="2" t="s">
        <v>24</v>
      </c>
      <c r="C1760" s="2" t="s">
        <v>3704</v>
      </c>
      <c r="D1760" s="2" t="s">
        <v>26</v>
      </c>
      <c r="E1760" s="2" t="s">
        <v>33</v>
      </c>
      <c r="F1760" s="2" t="s">
        <v>20</v>
      </c>
      <c r="G1760" s="2" t="s">
        <v>647</v>
      </c>
      <c r="H1760" s="3">
        <v>45308.146527777775</v>
      </c>
      <c r="I1760" s="3">
        <v>45308.19027777778</v>
      </c>
      <c r="J1760" s="2">
        <v>55</v>
      </c>
      <c r="K1760" s="2">
        <v>63</v>
      </c>
      <c r="L1760" s="2">
        <v>1</v>
      </c>
      <c r="M1760" s="2" t="s">
        <v>41</v>
      </c>
      <c r="N1760" s="2">
        <v>5</v>
      </c>
      <c r="O1760" s="2">
        <v>317.43</v>
      </c>
      <c r="P1760" s="2">
        <f t="shared" si="135"/>
        <v>8</v>
      </c>
      <c r="Q1760" s="4">
        <f t="shared" si="136"/>
        <v>0.87301587301587302</v>
      </c>
      <c r="R1760" s="2" t="str">
        <f t="shared" si="137"/>
        <v>Inefficient</v>
      </c>
      <c r="S1760" s="2" t="str">
        <f t="shared" si="138"/>
        <v>Long</v>
      </c>
      <c r="T1760" s="2" t="str">
        <f t="shared" si="139"/>
        <v>Minor Delay</v>
      </c>
    </row>
    <row r="1761" spans="1:20" x14ac:dyDescent="0.35">
      <c r="A1761" s="2" t="s">
        <v>3705</v>
      </c>
      <c r="B1761" s="2" t="s">
        <v>24</v>
      </c>
      <c r="C1761" s="2" t="s">
        <v>3706</v>
      </c>
      <c r="D1761" s="2" t="s">
        <v>48</v>
      </c>
      <c r="E1761" s="2" t="s">
        <v>85</v>
      </c>
      <c r="F1761" s="2" t="s">
        <v>20</v>
      </c>
      <c r="G1761" s="2" t="s">
        <v>158</v>
      </c>
      <c r="H1761" s="3">
        <v>45588.552083333336</v>
      </c>
      <c r="I1761" s="3">
        <v>45588.712500000001</v>
      </c>
      <c r="J1761" s="2">
        <v>174</v>
      </c>
      <c r="K1761" s="2">
        <v>231</v>
      </c>
      <c r="L1761" s="2">
        <v>1</v>
      </c>
      <c r="M1761" s="2" t="s">
        <v>29</v>
      </c>
      <c r="N1761" s="2">
        <v>1</v>
      </c>
      <c r="O1761" s="2">
        <v>135.18</v>
      </c>
      <c r="P1761" s="2">
        <f t="shared" si="135"/>
        <v>57</v>
      </c>
      <c r="Q1761" s="4">
        <f t="shared" si="136"/>
        <v>0.75324675324675328</v>
      </c>
      <c r="R1761" s="2" t="str">
        <f t="shared" si="137"/>
        <v>Inefficient</v>
      </c>
      <c r="S1761" s="2" t="str">
        <f t="shared" si="138"/>
        <v>Very Long</v>
      </c>
      <c r="T1761" s="2" t="str">
        <f t="shared" si="139"/>
        <v>Major Delay</v>
      </c>
    </row>
    <row r="1762" spans="1:20" x14ac:dyDescent="0.35">
      <c r="A1762" s="2" t="s">
        <v>3707</v>
      </c>
      <c r="B1762" s="2" t="s">
        <v>63</v>
      </c>
      <c r="C1762" s="2" t="s">
        <v>3708</v>
      </c>
      <c r="D1762" s="2" t="s">
        <v>56</v>
      </c>
      <c r="E1762" s="2" t="s">
        <v>19</v>
      </c>
      <c r="F1762" s="2" t="s">
        <v>20</v>
      </c>
      <c r="G1762" s="2" t="s">
        <v>126</v>
      </c>
      <c r="H1762" s="3">
        <v>45456.924305555556</v>
      </c>
      <c r="I1762" s="3">
        <v>45456.989583333336</v>
      </c>
      <c r="J1762" s="2">
        <v>27</v>
      </c>
      <c r="K1762" s="2">
        <v>94</v>
      </c>
      <c r="L1762" s="2">
        <v>1</v>
      </c>
      <c r="M1762" s="2" t="s">
        <v>29</v>
      </c>
      <c r="N1762" s="2">
        <v>4</v>
      </c>
      <c r="O1762" s="2">
        <v>239.77</v>
      </c>
      <c r="P1762" s="2">
        <f t="shared" si="135"/>
        <v>67</v>
      </c>
      <c r="Q1762" s="4">
        <f t="shared" si="136"/>
        <v>0.28723404255319152</v>
      </c>
      <c r="R1762" s="2" t="str">
        <f t="shared" si="137"/>
        <v>Inefficient</v>
      </c>
      <c r="S1762" s="2" t="str">
        <f t="shared" si="138"/>
        <v>Long</v>
      </c>
      <c r="T1762" s="2" t="str">
        <f t="shared" si="139"/>
        <v>Major Delay</v>
      </c>
    </row>
    <row r="1763" spans="1:20" x14ac:dyDescent="0.35">
      <c r="A1763" s="2" t="s">
        <v>3709</v>
      </c>
      <c r="B1763" s="2" t="s">
        <v>24</v>
      </c>
      <c r="C1763" s="2" t="s">
        <v>3710</v>
      </c>
      <c r="D1763" s="2" t="s">
        <v>18</v>
      </c>
      <c r="E1763" s="2" t="s">
        <v>85</v>
      </c>
      <c r="F1763" s="2" t="s">
        <v>20</v>
      </c>
      <c r="G1763" s="2" t="s">
        <v>182</v>
      </c>
      <c r="H1763" s="3">
        <v>45482.919444444444</v>
      </c>
      <c r="I1763" s="3">
        <v>45483.06527777778</v>
      </c>
      <c r="J1763" s="2">
        <v>185</v>
      </c>
      <c r="K1763" s="2">
        <v>210</v>
      </c>
      <c r="L1763" s="2">
        <v>1</v>
      </c>
      <c r="M1763" s="2" t="s">
        <v>29</v>
      </c>
      <c r="N1763" s="2">
        <v>6</v>
      </c>
      <c r="O1763" s="2">
        <v>326.16000000000003</v>
      </c>
      <c r="P1763" s="2">
        <f t="shared" si="135"/>
        <v>25</v>
      </c>
      <c r="Q1763" s="4">
        <f t="shared" si="136"/>
        <v>0.88095238095238093</v>
      </c>
      <c r="R1763" s="2" t="str">
        <f t="shared" si="137"/>
        <v>Inefficient</v>
      </c>
      <c r="S1763" s="2" t="str">
        <f t="shared" si="138"/>
        <v>Very Long</v>
      </c>
      <c r="T1763" s="2" t="str">
        <f t="shared" si="139"/>
        <v>Minor Delay</v>
      </c>
    </row>
    <row r="1764" spans="1:20" x14ac:dyDescent="0.35">
      <c r="A1764" s="2" t="s">
        <v>3711</v>
      </c>
      <c r="B1764" s="2" t="s">
        <v>51</v>
      </c>
      <c r="C1764" s="2" t="s">
        <v>3712</v>
      </c>
      <c r="D1764" s="2" t="s">
        <v>18</v>
      </c>
      <c r="E1764" s="2" t="s">
        <v>19</v>
      </c>
      <c r="F1764" s="2" t="s">
        <v>20</v>
      </c>
      <c r="G1764" s="2" t="s">
        <v>316</v>
      </c>
      <c r="H1764" s="3">
        <v>45600.905555555553</v>
      </c>
      <c r="I1764" s="3">
        <v>45601</v>
      </c>
      <c r="J1764" s="2">
        <v>96</v>
      </c>
      <c r="K1764" s="2">
        <v>136</v>
      </c>
      <c r="L1764" s="2">
        <v>1</v>
      </c>
      <c r="M1764" s="2" t="s">
        <v>41</v>
      </c>
      <c r="N1764" s="2">
        <v>7</v>
      </c>
      <c r="O1764" s="2">
        <v>88.07</v>
      </c>
      <c r="P1764" s="2">
        <f t="shared" si="135"/>
        <v>40</v>
      </c>
      <c r="Q1764" s="4">
        <f t="shared" si="136"/>
        <v>0.70588235294117652</v>
      </c>
      <c r="R1764" s="2" t="str">
        <f t="shared" si="137"/>
        <v>Inefficient</v>
      </c>
      <c r="S1764" s="2" t="str">
        <f t="shared" si="138"/>
        <v>Very Long</v>
      </c>
      <c r="T1764" s="2" t="str">
        <f t="shared" si="139"/>
        <v>Major Delay</v>
      </c>
    </row>
    <row r="1765" spans="1:20" x14ac:dyDescent="0.35">
      <c r="A1765" s="2" t="s">
        <v>3713</v>
      </c>
      <c r="B1765" s="2" t="s">
        <v>16</v>
      </c>
      <c r="C1765" s="2" t="s">
        <v>3714</v>
      </c>
      <c r="D1765" s="2" t="s">
        <v>26</v>
      </c>
      <c r="E1765" s="2" t="s">
        <v>85</v>
      </c>
      <c r="F1765" s="2" t="s">
        <v>27</v>
      </c>
      <c r="G1765" s="2" t="s">
        <v>225</v>
      </c>
      <c r="H1765" s="3">
        <v>45424.427083333336</v>
      </c>
      <c r="I1765" s="3">
        <v>45424.502083333333</v>
      </c>
      <c r="J1765" s="2">
        <v>96</v>
      </c>
      <c r="K1765" s="2">
        <v>108</v>
      </c>
      <c r="L1765" s="2">
        <v>1</v>
      </c>
      <c r="M1765" s="2" t="s">
        <v>22</v>
      </c>
      <c r="N1765" s="2">
        <v>6</v>
      </c>
      <c r="O1765" s="2">
        <v>316</v>
      </c>
      <c r="P1765" s="2">
        <f t="shared" si="135"/>
        <v>12</v>
      </c>
      <c r="Q1765" s="4">
        <f t="shared" si="136"/>
        <v>0.88888888888888884</v>
      </c>
      <c r="R1765" s="2" t="str">
        <f t="shared" si="137"/>
        <v>Inefficient</v>
      </c>
      <c r="S1765" s="2" t="str">
        <f t="shared" si="138"/>
        <v>Long</v>
      </c>
      <c r="T1765" s="2" t="str">
        <f t="shared" si="139"/>
        <v>Minor Delay</v>
      </c>
    </row>
    <row r="1766" spans="1:20" x14ac:dyDescent="0.35">
      <c r="A1766" s="2" t="s">
        <v>3715</v>
      </c>
      <c r="B1766" s="2" t="s">
        <v>51</v>
      </c>
      <c r="C1766" s="2" t="s">
        <v>3716</v>
      </c>
      <c r="D1766" s="2" t="s">
        <v>18</v>
      </c>
      <c r="E1766" s="2" t="s">
        <v>19</v>
      </c>
      <c r="F1766" s="2" t="s">
        <v>39</v>
      </c>
      <c r="G1766" s="2" t="s">
        <v>308</v>
      </c>
      <c r="H1766" s="3">
        <v>45501.109027777777</v>
      </c>
      <c r="I1766" s="3">
        <v>45501.271527777775</v>
      </c>
      <c r="J1766" s="2">
        <v>141</v>
      </c>
      <c r="K1766" s="2">
        <v>234</v>
      </c>
      <c r="L1766" s="2">
        <v>1</v>
      </c>
      <c r="M1766" s="2" t="s">
        <v>29</v>
      </c>
      <c r="N1766" s="2">
        <v>6</v>
      </c>
      <c r="O1766" s="2">
        <v>120.04</v>
      </c>
      <c r="P1766" s="2">
        <f t="shared" si="135"/>
        <v>93</v>
      </c>
      <c r="Q1766" s="4">
        <f t="shared" si="136"/>
        <v>0.60256410256410253</v>
      </c>
      <c r="R1766" s="2" t="str">
        <f t="shared" si="137"/>
        <v>Inefficient</v>
      </c>
      <c r="S1766" s="2" t="str">
        <f t="shared" si="138"/>
        <v>Very Long</v>
      </c>
      <c r="T1766" s="2" t="str">
        <f t="shared" si="139"/>
        <v>Major Delay</v>
      </c>
    </row>
    <row r="1767" spans="1:20" x14ac:dyDescent="0.35">
      <c r="A1767" s="2" t="s">
        <v>3717</v>
      </c>
      <c r="B1767" s="2" t="s">
        <v>31</v>
      </c>
      <c r="C1767" s="2" t="s">
        <v>3718</v>
      </c>
      <c r="D1767" s="2" t="s">
        <v>56</v>
      </c>
      <c r="E1767" s="2" t="s">
        <v>85</v>
      </c>
      <c r="F1767" s="2" t="s">
        <v>34</v>
      </c>
      <c r="G1767" s="2" t="s">
        <v>152</v>
      </c>
      <c r="H1767" s="3">
        <v>45536.076388888891</v>
      </c>
      <c r="I1767" s="3">
        <v>45536.20416666667</v>
      </c>
      <c r="J1767" s="2">
        <v>139</v>
      </c>
      <c r="K1767" s="2">
        <v>184</v>
      </c>
      <c r="L1767" s="2">
        <v>1</v>
      </c>
      <c r="M1767" s="2" t="s">
        <v>22</v>
      </c>
      <c r="N1767" s="2">
        <v>3</v>
      </c>
      <c r="O1767" s="2">
        <v>322.83999999999997</v>
      </c>
      <c r="P1767" s="2">
        <f t="shared" si="135"/>
        <v>45</v>
      </c>
      <c r="Q1767" s="4">
        <f t="shared" si="136"/>
        <v>0.75543478260869568</v>
      </c>
      <c r="R1767" s="2" t="str">
        <f t="shared" si="137"/>
        <v>Inefficient</v>
      </c>
      <c r="S1767" s="2" t="str">
        <f t="shared" si="138"/>
        <v>Very Long</v>
      </c>
      <c r="T1767" s="2" t="str">
        <f t="shared" si="139"/>
        <v>Major Delay</v>
      </c>
    </row>
    <row r="1768" spans="1:20" x14ac:dyDescent="0.35">
      <c r="A1768" s="2" t="s">
        <v>3719</v>
      </c>
      <c r="B1768" s="2" t="s">
        <v>16</v>
      </c>
      <c r="C1768" s="2" t="s">
        <v>3720</v>
      </c>
      <c r="D1768" s="2" t="s">
        <v>48</v>
      </c>
      <c r="E1768" s="2" t="s">
        <v>38</v>
      </c>
      <c r="F1768" s="2" t="s">
        <v>34</v>
      </c>
      <c r="G1768" s="2" t="s">
        <v>1030</v>
      </c>
      <c r="H1768" s="3">
        <v>45565.272916666669</v>
      </c>
      <c r="I1768" s="3">
        <v>45565.32916666667</v>
      </c>
      <c r="J1768" s="2">
        <v>16</v>
      </c>
      <c r="K1768" s="2">
        <v>81</v>
      </c>
      <c r="L1768" s="2">
        <v>1</v>
      </c>
      <c r="M1768" s="2" t="s">
        <v>41</v>
      </c>
      <c r="N1768" s="2">
        <v>3</v>
      </c>
      <c r="O1768" s="2">
        <v>421.59</v>
      </c>
      <c r="P1768" s="2">
        <f t="shared" si="135"/>
        <v>65</v>
      </c>
      <c r="Q1768" s="4">
        <f t="shared" si="136"/>
        <v>0.19753086419753085</v>
      </c>
      <c r="R1768" s="2" t="str">
        <f t="shared" si="137"/>
        <v>Inefficient</v>
      </c>
      <c r="S1768" s="2" t="str">
        <f t="shared" si="138"/>
        <v>Long</v>
      </c>
      <c r="T1768" s="2" t="str">
        <f t="shared" si="139"/>
        <v>Major Delay</v>
      </c>
    </row>
    <row r="1769" spans="1:20" x14ac:dyDescent="0.35">
      <c r="A1769" s="2" t="s">
        <v>3721</v>
      </c>
      <c r="B1769" s="2" t="s">
        <v>16</v>
      </c>
      <c r="C1769" s="2" t="s">
        <v>3722</v>
      </c>
      <c r="D1769" s="2" t="s">
        <v>44</v>
      </c>
      <c r="E1769" s="2" t="s">
        <v>85</v>
      </c>
      <c r="F1769" s="2" t="s">
        <v>34</v>
      </c>
      <c r="G1769" s="2" t="s">
        <v>700</v>
      </c>
      <c r="H1769" s="3">
        <v>45295.302083333336</v>
      </c>
      <c r="I1769" s="3">
        <v>45295.411111111112</v>
      </c>
      <c r="J1769" s="2">
        <v>81</v>
      </c>
      <c r="K1769" s="2">
        <v>157</v>
      </c>
      <c r="L1769" s="2">
        <v>1</v>
      </c>
      <c r="M1769" s="2" t="s">
        <v>41</v>
      </c>
      <c r="N1769" s="2">
        <v>5</v>
      </c>
      <c r="O1769" s="2">
        <v>381.05</v>
      </c>
      <c r="P1769" s="2">
        <f t="shared" si="135"/>
        <v>76</v>
      </c>
      <c r="Q1769" s="4">
        <f t="shared" si="136"/>
        <v>0.51592356687898089</v>
      </c>
      <c r="R1769" s="2" t="str">
        <f t="shared" si="137"/>
        <v>Inefficient</v>
      </c>
      <c r="S1769" s="2" t="str">
        <f t="shared" si="138"/>
        <v>Very Long</v>
      </c>
      <c r="T1769" s="2" t="str">
        <f t="shared" si="139"/>
        <v>Major Delay</v>
      </c>
    </row>
    <row r="1770" spans="1:20" x14ac:dyDescent="0.35">
      <c r="A1770" s="2" t="s">
        <v>3723</v>
      </c>
      <c r="B1770" s="2" t="s">
        <v>16</v>
      </c>
      <c r="C1770" s="2" t="s">
        <v>3724</v>
      </c>
      <c r="D1770" s="2" t="s">
        <v>26</v>
      </c>
      <c r="E1770" s="2" t="s">
        <v>33</v>
      </c>
      <c r="F1770" s="2" t="s">
        <v>34</v>
      </c>
      <c r="G1770" s="2" t="s">
        <v>521</v>
      </c>
      <c r="H1770" s="3">
        <v>45542.465277777781</v>
      </c>
      <c r="I1770" s="3">
        <v>45542.578472222223</v>
      </c>
      <c r="J1770" s="2">
        <v>100</v>
      </c>
      <c r="K1770" s="2">
        <v>163</v>
      </c>
      <c r="L1770" s="2">
        <v>1</v>
      </c>
      <c r="M1770" s="2" t="s">
        <v>41</v>
      </c>
      <c r="N1770" s="2">
        <v>1</v>
      </c>
      <c r="O1770" s="2">
        <v>76.48</v>
      </c>
      <c r="P1770" s="2">
        <f t="shared" si="135"/>
        <v>63</v>
      </c>
      <c r="Q1770" s="4">
        <f t="shared" si="136"/>
        <v>0.61349693251533743</v>
      </c>
      <c r="R1770" s="2" t="str">
        <f t="shared" si="137"/>
        <v>Inefficient</v>
      </c>
      <c r="S1770" s="2" t="str">
        <f t="shared" si="138"/>
        <v>Very Long</v>
      </c>
      <c r="T1770" s="2" t="str">
        <f t="shared" si="139"/>
        <v>Major Delay</v>
      </c>
    </row>
    <row r="1771" spans="1:20" x14ac:dyDescent="0.35">
      <c r="A1771" s="2" t="s">
        <v>3725</v>
      </c>
      <c r="B1771" s="2" t="s">
        <v>63</v>
      </c>
      <c r="C1771" s="2" t="s">
        <v>3726</v>
      </c>
      <c r="D1771" s="2" t="s">
        <v>56</v>
      </c>
      <c r="E1771" s="2" t="s">
        <v>33</v>
      </c>
      <c r="F1771" s="2" t="s">
        <v>20</v>
      </c>
      <c r="G1771" s="2" t="s">
        <v>338</v>
      </c>
      <c r="H1771" s="3">
        <v>45644.081944444442</v>
      </c>
      <c r="I1771" s="3">
        <v>45644.196527777778</v>
      </c>
      <c r="J1771" s="2">
        <v>168</v>
      </c>
      <c r="K1771" s="2">
        <v>165</v>
      </c>
      <c r="L1771" s="2">
        <v>0</v>
      </c>
      <c r="M1771" s="2" t="s">
        <v>41</v>
      </c>
      <c r="N1771" s="2">
        <v>6</v>
      </c>
      <c r="O1771" s="2">
        <v>242.98</v>
      </c>
      <c r="P1771" s="2">
        <f t="shared" si="135"/>
        <v>-3</v>
      </c>
      <c r="Q1771" s="4">
        <f t="shared" si="136"/>
        <v>1.0181818181818181</v>
      </c>
      <c r="R1771" s="2" t="str">
        <f t="shared" si="137"/>
        <v>Efficient</v>
      </c>
      <c r="S1771" s="2" t="str">
        <f t="shared" si="138"/>
        <v>Very Long</v>
      </c>
      <c r="T1771" s="2" t="str">
        <f t="shared" si="139"/>
        <v>On Time</v>
      </c>
    </row>
    <row r="1772" spans="1:20" x14ac:dyDescent="0.35">
      <c r="A1772" s="2" t="s">
        <v>3727</v>
      </c>
      <c r="B1772" s="2" t="s">
        <v>31</v>
      </c>
      <c r="C1772" s="2" t="s">
        <v>3728</v>
      </c>
      <c r="D1772" s="2" t="s">
        <v>26</v>
      </c>
      <c r="E1772" s="2" t="s">
        <v>19</v>
      </c>
      <c r="F1772" s="2" t="s">
        <v>39</v>
      </c>
      <c r="G1772" s="2" t="s">
        <v>526</v>
      </c>
      <c r="H1772" s="3">
        <v>45567.268750000003</v>
      </c>
      <c r="I1772" s="3">
        <v>45567.310416666667</v>
      </c>
      <c r="J1772" s="2">
        <v>45</v>
      </c>
      <c r="K1772" s="2">
        <v>60</v>
      </c>
      <c r="L1772" s="2">
        <v>1</v>
      </c>
      <c r="M1772" s="2" t="s">
        <v>41</v>
      </c>
      <c r="N1772" s="2">
        <v>5</v>
      </c>
      <c r="O1772" s="2">
        <v>273.43</v>
      </c>
      <c r="P1772" s="2">
        <f t="shared" si="135"/>
        <v>15</v>
      </c>
      <c r="Q1772" s="4">
        <f t="shared" si="136"/>
        <v>0.75</v>
      </c>
      <c r="R1772" s="2" t="str">
        <f t="shared" si="137"/>
        <v>Inefficient</v>
      </c>
      <c r="S1772" s="2" t="str">
        <f t="shared" si="138"/>
        <v>Long</v>
      </c>
      <c r="T1772" s="2" t="str">
        <f t="shared" si="139"/>
        <v>Minor Delay</v>
      </c>
    </row>
    <row r="1773" spans="1:20" x14ac:dyDescent="0.35">
      <c r="A1773" s="2" t="s">
        <v>3729</v>
      </c>
      <c r="B1773" s="2" t="s">
        <v>16</v>
      </c>
      <c r="C1773" s="2" t="s">
        <v>3730</v>
      </c>
      <c r="D1773" s="2" t="s">
        <v>26</v>
      </c>
      <c r="E1773" s="2" t="s">
        <v>38</v>
      </c>
      <c r="F1773" s="2" t="s">
        <v>20</v>
      </c>
      <c r="G1773" s="2" t="s">
        <v>338</v>
      </c>
      <c r="H1773" s="3">
        <v>45452.070138888892</v>
      </c>
      <c r="I1773" s="3">
        <v>45452.100694444445</v>
      </c>
      <c r="J1773" s="2">
        <v>23</v>
      </c>
      <c r="K1773" s="2">
        <v>44</v>
      </c>
      <c r="L1773" s="2">
        <v>1</v>
      </c>
      <c r="M1773" s="2" t="s">
        <v>29</v>
      </c>
      <c r="N1773" s="2">
        <v>1</v>
      </c>
      <c r="O1773" s="2">
        <v>289.26</v>
      </c>
      <c r="P1773" s="2">
        <f t="shared" si="135"/>
        <v>21</v>
      </c>
      <c r="Q1773" s="4">
        <f t="shared" si="136"/>
        <v>0.52272727272727271</v>
      </c>
      <c r="R1773" s="2" t="str">
        <f t="shared" si="137"/>
        <v>Inefficient</v>
      </c>
      <c r="S1773" s="2" t="str">
        <f t="shared" si="138"/>
        <v>Medium</v>
      </c>
      <c r="T1773" s="2" t="str">
        <f t="shared" si="139"/>
        <v>Minor Delay</v>
      </c>
    </row>
    <row r="1774" spans="1:20" x14ac:dyDescent="0.35">
      <c r="A1774" s="2" t="s">
        <v>3731</v>
      </c>
      <c r="B1774" s="2" t="s">
        <v>63</v>
      </c>
      <c r="C1774" s="2" t="s">
        <v>3732</v>
      </c>
      <c r="D1774" s="2" t="s">
        <v>44</v>
      </c>
      <c r="E1774" s="2" t="s">
        <v>38</v>
      </c>
      <c r="F1774" s="2" t="s">
        <v>20</v>
      </c>
      <c r="G1774" s="2" t="s">
        <v>268</v>
      </c>
      <c r="H1774" s="3">
        <v>45460.060416666667</v>
      </c>
      <c r="I1774" s="3">
        <v>45460.242361111108</v>
      </c>
      <c r="J1774" s="2">
        <v>170</v>
      </c>
      <c r="K1774" s="2">
        <v>262</v>
      </c>
      <c r="L1774" s="2">
        <v>1</v>
      </c>
      <c r="M1774" s="2" t="s">
        <v>29</v>
      </c>
      <c r="N1774" s="2">
        <v>8</v>
      </c>
      <c r="O1774" s="2">
        <v>111.64</v>
      </c>
      <c r="P1774" s="2">
        <f t="shared" si="135"/>
        <v>92</v>
      </c>
      <c r="Q1774" s="4">
        <f t="shared" si="136"/>
        <v>0.64885496183206104</v>
      </c>
      <c r="R1774" s="2" t="str">
        <f t="shared" si="137"/>
        <v>Inefficient</v>
      </c>
      <c r="S1774" s="2" t="str">
        <f t="shared" si="138"/>
        <v>Very Long</v>
      </c>
      <c r="T1774" s="2" t="str">
        <f t="shared" si="139"/>
        <v>Major Delay</v>
      </c>
    </row>
    <row r="1775" spans="1:20" x14ac:dyDescent="0.35">
      <c r="A1775" s="2" t="s">
        <v>3733</v>
      </c>
      <c r="B1775" s="2" t="s">
        <v>63</v>
      </c>
      <c r="C1775" s="2" t="s">
        <v>3734</v>
      </c>
      <c r="D1775" s="2" t="s">
        <v>56</v>
      </c>
      <c r="E1775" s="2" t="s">
        <v>19</v>
      </c>
      <c r="F1775" s="2" t="s">
        <v>39</v>
      </c>
      <c r="G1775" s="2" t="s">
        <v>185</v>
      </c>
      <c r="H1775" s="3">
        <v>45345.73541666667</v>
      </c>
      <c r="I1775" s="3">
        <v>45345.885416666664</v>
      </c>
      <c r="J1775" s="2">
        <v>155</v>
      </c>
      <c r="K1775" s="2">
        <v>216</v>
      </c>
      <c r="L1775" s="2">
        <v>1</v>
      </c>
      <c r="M1775" s="2" t="s">
        <v>22</v>
      </c>
      <c r="N1775" s="2">
        <v>10</v>
      </c>
      <c r="O1775" s="2">
        <v>99.08</v>
      </c>
      <c r="P1775" s="2">
        <f t="shared" si="135"/>
        <v>61</v>
      </c>
      <c r="Q1775" s="4">
        <f t="shared" si="136"/>
        <v>0.71759259259259256</v>
      </c>
      <c r="R1775" s="2" t="str">
        <f t="shared" si="137"/>
        <v>Inefficient</v>
      </c>
      <c r="S1775" s="2" t="str">
        <f t="shared" si="138"/>
        <v>Very Long</v>
      </c>
      <c r="T1775" s="2" t="str">
        <f t="shared" si="139"/>
        <v>Major Delay</v>
      </c>
    </row>
    <row r="1776" spans="1:20" x14ac:dyDescent="0.35">
      <c r="A1776" s="2" t="s">
        <v>3735</v>
      </c>
      <c r="B1776" s="2" t="s">
        <v>63</v>
      </c>
      <c r="C1776" s="2" t="s">
        <v>3736</v>
      </c>
      <c r="D1776" s="2" t="s">
        <v>18</v>
      </c>
      <c r="E1776" s="2" t="s">
        <v>19</v>
      </c>
      <c r="F1776" s="2" t="s">
        <v>34</v>
      </c>
      <c r="G1776" s="2" t="s">
        <v>1125</v>
      </c>
      <c r="H1776" s="3">
        <v>45315.238888888889</v>
      </c>
      <c r="I1776" s="3">
        <v>45315.270833333336</v>
      </c>
      <c r="J1776" s="2">
        <v>31</v>
      </c>
      <c r="K1776" s="2">
        <v>46</v>
      </c>
      <c r="L1776" s="2">
        <v>1</v>
      </c>
      <c r="M1776" s="2" t="s">
        <v>29</v>
      </c>
      <c r="N1776" s="2">
        <v>10</v>
      </c>
      <c r="O1776" s="2">
        <v>458.58</v>
      </c>
      <c r="P1776" s="2">
        <f t="shared" si="135"/>
        <v>15</v>
      </c>
      <c r="Q1776" s="4">
        <f t="shared" si="136"/>
        <v>0.67391304347826086</v>
      </c>
      <c r="R1776" s="2" t="str">
        <f t="shared" si="137"/>
        <v>Inefficient</v>
      </c>
      <c r="S1776" s="2" t="str">
        <f t="shared" si="138"/>
        <v>Medium</v>
      </c>
      <c r="T1776" s="2" t="str">
        <f t="shared" si="139"/>
        <v>Minor Delay</v>
      </c>
    </row>
    <row r="1777" spans="1:20" x14ac:dyDescent="0.35">
      <c r="A1777" s="2" t="s">
        <v>3737</v>
      </c>
      <c r="B1777" s="2" t="s">
        <v>31</v>
      </c>
      <c r="C1777" s="2" t="s">
        <v>3738</v>
      </c>
      <c r="D1777" s="2" t="s">
        <v>18</v>
      </c>
      <c r="E1777" s="2" t="s">
        <v>85</v>
      </c>
      <c r="F1777" s="2" t="s">
        <v>39</v>
      </c>
      <c r="G1777" s="2" t="s">
        <v>129</v>
      </c>
      <c r="H1777" s="3">
        <v>45378.57916666667</v>
      </c>
      <c r="I1777" s="3">
        <v>45378.76458333333</v>
      </c>
      <c r="J1777" s="2">
        <v>226</v>
      </c>
      <c r="K1777" s="2">
        <v>267</v>
      </c>
      <c r="L1777" s="2">
        <v>1</v>
      </c>
      <c r="M1777" s="2" t="s">
        <v>22</v>
      </c>
      <c r="N1777" s="2">
        <v>8</v>
      </c>
      <c r="O1777" s="2">
        <v>438.62</v>
      </c>
      <c r="P1777" s="2">
        <f t="shared" si="135"/>
        <v>41</v>
      </c>
      <c r="Q1777" s="4">
        <f t="shared" si="136"/>
        <v>0.84644194756554303</v>
      </c>
      <c r="R1777" s="2" t="str">
        <f t="shared" si="137"/>
        <v>Inefficient</v>
      </c>
      <c r="S1777" s="2" t="str">
        <f t="shared" si="138"/>
        <v>Very Long</v>
      </c>
      <c r="T1777" s="2" t="str">
        <f t="shared" si="139"/>
        <v>Major Delay</v>
      </c>
    </row>
    <row r="1778" spans="1:20" x14ac:dyDescent="0.35">
      <c r="A1778" s="2" t="s">
        <v>3739</v>
      </c>
      <c r="B1778" s="2" t="s">
        <v>51</v>
      </c>
      <c r="C1778" s="2" t="s">
        <v>3740</v>
      </c>
      <c r="D1778" s="2" t="s">
        <v>18</v>
      </c>
      <c r="E1778" s="2" t="s">
        <v>85</v>
      </c>
      <c r="F1778" s="2" t="s">
        <v>20</v>
      </c>
      <c r="G1778" s="2" t="s">
        <v>462</v>
      </c>
      <c r="H1778" s="3">
        <v>45604.268750000003</v>
      </c>
      <c r="I1778" s="3">
        <v>45604.338888888888</v>
      </c>
      <c r="J1778" s="2">
        <v>35</v>
      </c>
      <c r="K1778" s="2">
        <v>101</v>
      </c>
      <c r="L1778" s="2">
        <v>1</v>
      </c>
      <c r="M1778" s="2" t="s">
        <v>22</v>
      </c>
      <c r="N1778" s="2">
        <v>1</v>
      </c>
      <c r="O1778" s="2">
        <v>350</v>
      </c>
      <c r="P1778" s="2">
        <f t="shared" si="135"/>
        <v>66</v>
      </c>
      <c r="Q1778" s="4">
        <f t="shared" si="136"/>
        <v>0.34653465346534651</v>
      </c>
      <c r="R1778" s="2" t="str">
        <f t="shared" si="137"/>
        <v>Inefficient</v>
      </c>
      <c r="S1778" s="2" t="str">
        <f t="shared" si="138"/>
        <v>Long</v>
      </c>
      <c r="T1778" s="2" t="str">
        <f t="shared" si="139"/>
        <v>Major Delay</v>
      </c>
    </row>
    <row r="1779" spans="1:20" x14ac:dyDescent="0.35">
      <c r="A1779" s="2" t="s">
        <v>3741</v>
      </c>
      <c r="B1779" s="2" t="s">
        <v>24</v>
      </c>
      <c r="C1779" s="2" t="s">
        <v>3742</v>
      </c>
      <c r="D1779" s="2" t="s">
        <v>44</v>
      </c>
      <c r="E1779" s="2" t="s">
        <v>38</v>
      </c>
      <c r="F1779" s="2" t="s">
        <v>39</v>
      </c>
      <c r="G1779" s="2" t="s">
        <v>445</v>
      </c>
      <c r="H1779" s="3">
        <v>45638.70208333333</v>
      </c>
      <c r="I1779" s="3">
        <v>45638.79791666667</v>
      </c>
      <c r="J1779" s="2">
        <v>125</v>
      </c>
      <c r="K1779" s="2">
        <v>138</v>
      </c>
      <c r="L1779" s="2">
        <v>1</v>
      </c>
      <c r="M1779" s="2" t="s">
        <v>29</v>
      </c>
      <c r="N1779" s="2">
        <v>1</v>
      </c>
      <c r="O1779" s="2">
        <v>242.14</v>
      </c>
      <c r="P1779" s="2">
        <f t="shared" si="135"/>
        <v>13</v>
      </c>
      <c r="Q1779" s="4">
        <f t="shared" si="136"/>
        <v>0.90579710144927539</v>
      </c>
      <c r="R1779" s="2" t="str">
        <f t="shared" si="137"/>
        <v>Inefficient</v>
      </c>
      <c r="S1779" s="2" t="str">
        <f t="shared" si="138"/>
        <v>Very Long</v>
      </c>
      <c r="T1779" s="2" t="str">
        <f t="shared" si="139"/>
        <v>Minor Delay</v>
      </c>
    </row>
    <row r="1780" spans="1:20" x14ac:dyDescent="0.35">
      <c r="A1780" s="2" t="s">
        <v>3743</v>
      </c>
      <c r="B1780" s="2" t="s">
        <v>63</v>
      </c>
      <c r="C1780" s="2" t="s">
        <v>3744</v>
      </c>
      <c r="D1780" s="2" t="s">
        <v>26</v>
      </c>
      <c r="E1780" s="2" t="s">
        <v>38</v>
      </c>
      <c r="F1780" s="2" t="s">
        <v>57</v>
      </c>
      <c r="G1780" s="2" t="s">
        <v>82</v>
      </c>
      <c r="H1780" s="3">
        <v>45562.15347222222</v>
      </c>
      <c r="I1780" s="3">
        <v>45562.288888888892</v>
      </c>
      <c r="J1780" s="2">
        <v>161</v>
      </c>
      <c r="K1780" s="2">
        <v>195</v>
      </c>
      <c r="L1780" s="2">
        <v>1</v>
      </c>
      <c r="M1780" s="2" t="s">
        <v>29</v>
      </c>
      <c r="N1780" s="2">
        <v>9</v>
      </c>
      <c r="O1780" s="2">
        <v>224.93</v>
      </c>
      <c r="P1780" s="2">
        <f t="shared" si="135"/>
        <v>34</v>
      </c>
      <c r="Q1780" s="4">
        <f t="shared" si="136"/>
        <v>0.82564102564102559</v>
      </c>
      <c r="R1780" s="2" t="str">
        <f t="shared" si="137"/>
        <v>Inefficient</v>
      </c>
      <c r="S1780" s="2" t="str">
        <f t="shared" si="138"/>
        <v>Very Long</v>
      </c>
      <c r="T1780" s="2" t="str">
        <f t="shared" si="139"/>
        <v>Major Delay</v>
      </c>
    </row>
    <row r="1781" spans="1:20" x14ac:dyDescent="0.35">
      <c r="A1781" s="2" t="s">
        <v>3745</v>
      </c>
      <c r="B1781" s="2" t="s">
        <v>24</v>
      </c>
      <c r="C1781" s="2" t="s">
        <v>3746</v>
      </c>
      <c r="D1781" s="2" t="s">
        <v>26</v>
      </c>
      <c r="E1781" s="2" t="s">
        <v>85</v>
      </c>
      <c r="F1781" s="2" t="s">
        <v>39</v>
      </c>
      <c r="G1781" s="2" t="s">
        <v>684</v>
      </c>
      <c r="H1781" s="3">
        <v>45294.678472222222</v>
      </c>
      <c r="I1781" s="3">
        <v>45294.772222222222</v>
      </c>
      <c r="J1781" s="2">
        <v>24</v>
      </c>
      <c r="K1781" s="2">
        <v>135</v>
      </c>
      <c r="L1781" s="2">
        <v>1</v>
      </c>
      <c r="M1781" s="2" t="s">
        <v>22</v>
      </c>
      <c r="N1781" s="2">
        <v>4</v>
      </c>
      <c r="O1781" s="2">
        <v>64.86</v>
      </c>
      <c r="P1781" s="2">
        <f t="shared" si="135"/>
        <v>111</v>
      </c>
      <c r="Q1781" s="4">
        <f t="shared" si="136"/>
        <v>0.17777777777777778</v>
      </c>
      <c r="R1781" s="2" t="str">
        <f t="shared" si="137"/>
        <v>Inefficient</v>
      </c>
      <c r="S1781" s="2" t="str">
        <f t="shared" si="138"/>
        <v>Very Long</v>
      </c>
      <c r="T1781" s="2" t="str">
        <f t="shared" si="139"/>
        <v>Major Delay</v>
      </c>
    </row>
    <row r="1782" spans="1:20" x14ac:dyDescent="0.35">
      <c r="A1782" s="2" t="s">
        <v>3747</v>
      </c>
      <c r="B1782" s="2" t="s">
        <v>63</v>
      </c>
      <c r="C1782" s="2" t="s">
        <v>3748</v>
      </c>
      <c r="D1782" s="2" t="s">
        <v>44</v>
      </c>
      <c r="E1782" s="2" t="s">
        <v>33</v>
      </c>
      <c r="F1782" s="2" t="s">
        <v>34</v>
      </c>
      <c r="G1782" s="2" t="s">
        <v>1719</v>
      </c>
      <c r="H1782" s="3">
        <v>45386.13958333333</v>
      </c>
      <c r="I1782" s="3">
        <v>45386.283333333333</v>
      </c>
      <c r="J1782" s="2">
        <v>119</v>
      </c>
      <c r="K1782" s="2">
        <v>207</v>
      </c>
      <c r="L1782" s="2">
        <v>1</v>
      </c>
      <c r="M1782" s="2" t="s">
        <v>29</v>
      </c>
      <c r="N1782" s="2">
        <v>8</v>
      </c>
      <c r="O1782" s="2">
        <v>476.91</v>
      </c>
      <c r="P1782" s="2">
        <f t="shared" si="135"/>
        <v>88</v>
      </c>
      <c r="Q1782" s="4">
        <f t="shared" si="136"/>
        <v>0.5748792270531401</v>
      </c>
      <c r="R1782" s="2" t="str">
        <f t="shared" si="137"/>
        <v>Inefficient</v>
      </c>
      <c r="S1782" s="2" t="str">
        <f t="shared" si="138"/>
        <v>Very Long</v>
      </c>
      <c r="T1782" s="2" t="str">
        <f t="shared" si="139"/>
        <v>Major Delay</v>
      </c>
    </row>
    <row r="1783" spans="1:20" x14ac:dyDescent="0.35">
      <c r="A1783" s="2" t="s">
        <v>3749</v>
      </c>
      <c r="B1783" s="2" t="s">
        <v>16</v>
      </c>
      <c r="C1783" s="2" t="s">
        <v>3750</v>
      </c>
      <c r="D1783" s="2" t="s">
        <v>18</v>
      </c>
      <c r="E1783" s="2" t="s">
        <v>85</v>
      </c>
      <c r="F1783" s="2" t="s">
        <v>20</v>
      </c>
      <c r="G1783" s="2" t="s">
        <v>204</v>
      </c>
      <c r="H1783" s="3">
        <v>45629.611111111109</v>
      </c>
      <c r="I1783" s="3">
        <v>45629.770138888889</v>
      </c>
      <c r="J1783" s="2">
        <v>111</v>
      </c>
      <c r="K1783" s="2">
        <v>229</v>
      </c>
      <c r="L1783" s="2">
        <v>1</v>
      </c>
      <c r="M1783" s="2" t="s">
        <v>41</v>
      </c>
      <c r="N1783" s="2">
        <v>4</v>
      </c>
      <c r="O1783" s="2">
        <v>261.62</v>
      </c>
      <c r="P1783" s="2">
        <f t="shared" si="135"/>
        <v>118</v>
      </c>
      <c r="Q1783" s="4">
        <f t="shared" si="136"/>
        <v>0.48471615720524019</v>
      </c>
      <c r="R1783" s="2" t="str">
        <f t="shared" si="137"/>
        <v>Inefficient</v>
      </c>
      <c r="S1783" s="2" t="str">
        <f t="shared" si="138"/>
        <v>Very Long</v>
      </c>
      <c r="T1783" s="2" t="str">
        <f t="shared" si="139"/>
        <v>Major Delay</v>
      </c>
    </row>
    <row r="1784" spans="1:20" x14ac:dyDescent="0.35">
      <c r="A1784" s="2" t="s">
        <v>3751</v>
      </c>
      <c r="B1784" s="2" t="s">
        <v>31</v>
      </c>
      <c r="C1784" s="2" t="s">
        <v>3752</v>
      </c>
      <c r="D1784" s="2" t="s">
        <v>44</v>
      </c>
      <c r="E1784" s="2" t="s">
        <v>85</v>
      </c>
      <c r="F1784" s="2" t="s">
        <v>57</v>
      </c>
      <c r="G1784" s="2" t="s">
        <v>476</v>
      </c>
      <c r="H1784" s="3">
        <v>45438.879166666666</v>
      </c>
      <c r="I1784" s="3">
        <v>45438.930555555555</v>
      </c>
      <c r="J1784" s="2">
        <v>72</v>
      </c>
      <c r="K1784" s="2">
        <v>74</v>
      </c>
      <c r="L1784" s="2">
        <v>1</v>
      </c>
      <c r="M1784" s="2" t="s">
        <v>22</v>
      </c>
      <c r="N1784" s="2">
        <v>5</v>
      </c>
      <c r="O1784" s="2">
        <v>474.65</v>
      </c>
      <c r="P1784" s="2">
        <f t="shared" si="135"/>
        <v>2</v>
      </c>
      <c r="Q1784" s="4">
        <f t="shared" si="136"/>
        <v>0.97297297297297303</v>
      </c>
      <c r="R1784" s="2" t="str">
        <f t="shared" si="137"/>
        <v>Inefficient</v>
      </c>
      <c r="S1784" s="2" t="str">
        <f t="shared" si="138"/>
        <v>Long</v>
      </c>
      <c r="T1784" s="2" t="str">
        <f t="shared" si="139"/>
        <v>Minor Delay</v>
      </c>
    </row>
    <row r="1785" spans="1:20" x14ac:dyDescent="0.35">
      <c r="A1785" s="2" t="s">
        <v>3753</v>
      </c>
      <c r="B1785" s="2" t="s">
        <v>51</v>
      </c>
      <c r="C1785" s="2" t="s">
        <v>3754</v>
      </c>
      <c r="D1785" s="2" t="s">
        <v>18</v>
      </c>
      <c r="E1785" s="2" t="s">
        <v>33</v>
      </c>
      <c r="F1785" s="2" t="s">
        <v>34</v>
      </c>
      <c r="G1785" s="2" t="s">
        <v>512</v>
      </c>
      <c r="H1785" s="3">
        <v>45534.037499999999</v>
      </c>
      <c r="I1785" s="3">
        <v>45534.146527777775</v>
      </c>
      <c r="J1785" s="2">
        <v>150</v>
      </c>
      <c r="K1785" s="2">
        <v>157</v>
      </c>
      <c r="L1785" s="2">
        <v>1</v>
      </c>
      <c r="M1785" s="2" t="s">
        <v>41</v>
      </c>
      <c r="N1785" s="2">
        <v>5</v>
      </c>
      <c r="O1785" s="2">
        <v>60.9</v>
      </c>
      <c r="P1785" s="2">
        <f t="shared" si="135"/>
        <v>7</v>
      </c>
      <c r="Q1785" s="4">
        <f t="shared" si="136"/>
        <v>0.95541401273885351</v>
      </c>
      <c r="R1785" s="2" t="str">
        <f t="shared" si="137"/>
        <v>Inefficient</v>
      </c>
      <c r="S1785" s="2" t="str">
        <f t="shared" si="138"/>
        <v>Very Long</v>
      </c>
      <c r="T1785" s="2" t="str">
        <f t="shared" si="139"/>
        <v>Minor Delay</v>
      </c>
    </row>
    <row r="1786" spans="1:20" x14ac:dyDescent="0.35">
      <c r="A1786" s="2" t="s">
        <v>3755</v>
      </c>
      <c r="B1786" s="2" t="s">
        <v>51</v>
      </c>
      <c r="C1786" s="2" t="s">
        <v>3756</v>
      </c>
      <c r="D1786" s="2" t="s">
        <v>44</v>
      </c>
      <c r="E1786" s="2" t="s">
        <v>33</v>
      </c>
      <c r="F1786" s="2" t="s">
        <v>27</v>
      </c>
      <c r="G1786" s="2" t="s">
        <v>456</v>
      </c>
      <c r="H1786" s="3">
        <v>45534.696527777778</v>
      </c>
      <c r="I1786" s="3">
        <v>45534.79583333333</v>
      </c>
      <c r="J1786" s="2">
        <v>85</v>
      </c>
      <c r="K1786" s="2">
        <v>143</v>
      </c>
      <c r="L1786" s="2">
        <v>1</v>
      </c>
      <c r="M1786" s="2" t="s">
        <v>22</v>
      </c>
      <c r="N1786" s="2">
        <v>2</v>
      </c>
      <c r="O1786" s="2">
        <v>470.43</v>
      </c>
      <c r="P1786" s="2">
        <f t="shared" si="135"/>
        <v>58</v>
      </c>
      <c r="Q1786" s="4">
        <f t="shared" si="136"/>
        <v>0.59440559440559437</v>
      </c>
      <c r="R1786" s="2" t="str">
        <f t="shared" si="137"/>
        <v>Inefficient</v>
      </c>
      <c r="S1786" s="2" t="str">
        <f t="shared" si="138"/>
        <v>Very Long</v>
      </c>
      <c r="T1786" s="2" t="str">
        <f t="shared" si="139"/>
        <v>Major Delay</v>
      </c>
    </row>
    <row r="1787" spans="1:20" x14ac:dyDescent="0.35">
      <c r="A1787" s="2" t="s">
        <v>3757</v>
      </c>
      <c r="B1787" s="2" t="s">
        <v>24</v>
      </c>
      <c r="C1787" s="2" t="s">
        <v>3758</v>
      </c>
      <c r="D1787" s="2" t="s">
        <v>48</v>
      </c>
      <c r="E1787" s="2" t="s">
        <v>19</v>
      </c>
      <c r="F1787" s="2" t="s">
        <v>34</v>
      </c>
      <c r="G1787" s="2" t="s">
        <v>999</v>
      </c>
      <c r="H1787" s="3">
        <v>45339.025000000001</v>
      </c>
      <c r="I1787" s="3">
        <v>45339.120138888888</v>
      </c>
      <c r="J1787" s="2">
        <v>50</v>
      </c>
      <c r="K1787" s="2">
        <v>137</v>
      </c>
      <c r="L1787" s="2">
        <v>1</v>
      </c>
      <c r="M1787" s="2" t="s">
        <v>29</v>
      </c>
      <c r="N1787" s="2">
        <v>4</v>
      </c>
      <c r="O1787" s="2">
        <v>449.83</v>
      </c>
      <c r="P1787" s="2">
        <f t="shared" si="135"/>
        <v>87</v>
      </c>
      <c r="Q1787" s="4">
        <f t="shared" si="136"/>
        <v>0.36496350364963503</v>
      </c>
      <c r="R1787" s="2" t="str">
        <f t="shared" si="137"/>
        <v>Inefficient</v>
      </c>
      <c r="S1787" s="2" t="str">
        <f t="shared" si="138"/>
        <v>Very Long</v>
      </c>
      <c r="T1787" s="2" t="str">
        <f t="shared" si="139"/>
        <v>Major Delay</v>
      </c>
    </row>
    <row r="1788" spans="1:20" x14ac:dyDescent="0.35">
      <c r="A1788" s="2" t="s">
        <v>3759</v>
      </c>
      <c r="B1788" s="2" t="s">
        <v>51</v>
      </c>
      <c r="C1788" s="2" t="s">
        <v>3760</v>
      </c>
      <c r="D1788" s="2" t="s">
        <v>18</v>
      </c>
      <c r="E1788" s="2" t="s">
        <v>85</v>
      </c>
      <c r="F1788" s="2" t="s">
        <v>34</v>
      </c>
      <c r="G1788" s="2" t="s">
        <v>640</v>
      </c>
      <c r="H1788" s="3">
        <v>45559.972222222219</v>
      </c>
      <c r="I1788" s="3">
        <v>45560.018055555556</v>
      </c>
      <c r="J1788" s="2">
        <v>33</v>
      </c>
      <c r="K1788" s="2">
        <v>66</v>
      </c>
      <c r="L1788" s="2">
        <v>1</v>
      </c>
      <c r="M1788" s="2" t="s">
        <v>41</v>
      </c>
      <c r="N1788" s="2">
        <v>2</v>
      </c>
      <c r="O1788" s="2">
        <v>301.48</v>
      </c>
      <c r="P1788" s="2">
        <f t="shared" si="135"/>
        <v>33</v>
      </c>
      <c r="Q1788" s="4">
        <f t="shared" si="136"/>
        <v>0.5</v>
      </c>
      <c r="R1788" s="2" t="str">
        <f t="shared" si="137"/>
        <v>Inefficient</v>
      </c>
      <c r="S1788" s="2" t="str">
        <f t="shared" si="138"/>
        <v>Long</v>
      </c>
      <c r="T1788" s="2" t="str">
        <f t="shared" si="139"/>
        <v>Major Delay</v>
      </c>
    </row>
    <row r="1789" spans="1:20" x14ac:dyDescent="0.35">
      <c r="A1789" s="2" t="s">
        <v>3761</v>
      </c>
      <c r="B1789" s="2" t="s">
        <v>24</v>
      </c>
      <c r="C1789" s="2" t="s">
        <v>3762</v>
      </c>
      <c r="D1789" s="2" t="s">
        <v>26</v>
      </c>
      <c r="E1789" s="2" t="s">
        <v>19</v>
      </c>
      <c r="F1789" s="2" t="s">
        <v>27</v>
      </c>
      <c r="G1789" s="2" t="s">
        <v>146</v>
      </c>
      <c r="H1789" s="3">
        <v>45630.950694444444</v>
      </c>
      <c r="I1789" s="3">
        <v>45631.088194444441</v>
      </c>
      <c r="J1789" s="2">
        <v>129</v>
      </c>
      <c r="K1789" s="2">
        <v>198</v>
      </c>
      <c r="L1789" s="2">
        <v>1</v>
      </c>
      <c r="M1789" s="2" t="s">
        <v>41</v>
      </c>
      <c r="N1789" s="2">
        <v>4</v>
      </c>
      <c r="O1789" s="2">
        <v>496.2</v>
      </c>
      <c r="P1789" s="2">
        <f t="shared" si="135"/>
        <v>69</v>
      </c>
      <c r="Q1789" s="4">
        <f t="shared" si="136"/>
        <v>0.65151515151515149</v>
      </c>
      <c r="R1789" s="2" t="str">
        <f t="shared" si="137"/>
        <v>Inefficient</v>
      </c>
      <c r="S1789" s="2" t="str">
        <f t="shared" si="138"/>
        <v>Very Long</v>
      </c>
      <c r="T1789" s="2" t="str">
        <f t="shared" si="139"/>
        <v>Major Delay</v>
      </c>
    </row>
    <row r="1790" spans="1:20" x14ac:dyDescent="0.35">
      <c r="A1790" s="2" t="s">
        <v>3763</v>
      </c>
      <c r="B1790" s="2" t="s">
        <v>31</v>
      </c>
      <c r="C1790" s="2" t="s">
        <v>3764</v>
      </c>
      <c r="D1790" s="2" t="s">
        <v>18</v>
      </c>
      <c r="E1790" s="2" t="s">
        <v>38</v>
      </c>
      <c r="F1790" s="2" t="s">
        <v>20</v>
      </c>
      <c r="G1790" s="2" t="s">
        <v>161</v>
      </c>
      <c r="H1790" s="3">
        <v>45323.192361111112</v>
      </c>
      <c r="I1790" s="3">
        <v>45323.323611111111</v>
      </c>
      <c r="J1790" s="2">
        <v>73</v>
      </c>
      <c r="K1790" s="2">
        <v>189</v>
      </c>
      <c r="L1790" s="2">
        <v>1</v>
      </c>
      <c r="M1790" s="2" t="s">
        <v>22</v>
      </c>
      <c r="N1790" s="2">
        <v>2</v>
      </c>
      <c r="O1790" s="2">
        <v>284.60000000000002</v>
      </c>
      <c r="P1790" s="2">
        <f t="shared" si="135"/>
        <v>116</v>
      </c>
      <c r="Q1790" s="4">
        <f t="shared" si="136"/>
        <v>0.38624338624338622</v>
      </c>
      <c r="R1790" s="2" t="str">
        <f t="shared" si="137"/>
        <v>Inefficient</v>
      </c>
      <c r="S1790" s="2" t="str">
        <f t="shared" si="138"/>
        <v>Very Long</v>
      </c>
      <c r="T1790" s="2" t="str">
        <f t="shared" si="139"/>
        <v>Major Delay</v>
      </c>
    </row>
    <row r="1791" spans="1:20" x14ac:dyDescent="0.35">
      <c r="A1791" s="2" t="s">
        <v>3765</v>
      </c>
      <c r="B1791" s="2" t="s">
        <v>51</v>
      </c>
      <c r="C1791" s="2" t="s">
        <v>3766</v>
      </c>
      <c r="D1791" s="2" t="s">
        <v>18</v>
      </c>
      <c r="E1791" s="2" t="s">
        <v>33</v>
      </c>
      <c r="F1791" s="2" t="s">
        <v>27</v>
      </c>
      <c r="G1791" s="2" t="s">
        <v>254</v>
      </c>
      <c r="H1791" s="3">
        <v>45524.208333333336</v>
      </c>
      <c r="I1791" s="3">
        <v>45524.320138888892</v>
      </c>
      <c r="J1791" s="2">
        <v>44</v>
      </c>
      <c r="K1791" s="2">
        <v>161</v>
      </c>
      <c r="L1791" s="2">
        <v>1</v>
      </c>
      <c r="M1791" s="2" t="s">
        <v>41</v>
      </c>
      <c r="N1791" s="2">
        <v>7</v>
      </c>
      <c r="O1791" s="2">
        <v>85.38</v>
      </c>
      <c r="P1791" s="2">
        <f t="shared" si="135"/>
        <v>117</v>
      </c>
      <c r="Q1791" s="4">
        <f t="shared" si="136"/>
        <v>0.27329192546583853</v>
      </c>
      <c r="R1791" s="2" t="str">
        <f t="shared" si="137"/>
        <v>Inefficient</v>
      </c>
      <c r="S1791" s="2" t="str">
        <f t="shared" si="138"/>
        <v>Very Long</v>
      </c>
      <c r="T1791" s="2" t="str">
        <f t="shared" si="139"/>
        <v>Major Delay</v>
      </c>
    </row>
    <row r="1792" spans="1:20" x14ac:dyDescent="0.35">
      <c r="A1792" s="2" t="s">
        <v>3767</v>
      </c>
      <c r="B1792" s="2" t="s">
        <v>16</v>
      </c>
      <c r="C1792" s="2" t="s">
        <v>3768</v>
      </c>
      <c r="D1792" s="2" t="s">
        <v>56</v>
      </c>
      <c r="E1792" s="2" t="s">
        <v>19</v>
      </c>
      <c r="F1792" s="2" t="s">
        <v>20</v>
      </c>
      <c r="G1792" s="2" t="s">
        <v>231</v>
      </c>
      <c r="H1792" s="3">
        <v>45292.507638888892</v>
      </c>
      <c r="I1792" s="3">
        <v>45292.629166666666</v>
      </c>
      <c r="J1792" s="2">
        <v>60</v>
      </c>
      <c r="K1792" s="2">
        <v>175</v>
      </c>
      <c r="L1792" s="2">
        <v>1</v>
      </c>
      <c r="M1792" s="2" t="s">
        <v>29</v>
      </c>
      <c r="N1792" s="2">
        <v>10</v>
      </c>
      <c r="O1792" s="2">
        <v>453.27</v>
      </c>
      <c r="P1792" s="2">
        <f t="shared" si="135"/>
        <v>115</v>
      </c>
      <c r="Q1792" s="4">
        <f t="shared" si="136"/>
        <v>0.34285714285714286</v>
      </c>
      <c r="R1792" s="2" t="str">
        <f t="shared" si="137"/>
        <v>Inefficient</v>
      </c>
      <c r="S1792" s="2" t="str">
        <f t="shared" si="138"/>
        <v>Very Long</v>
      </c>
      <c r="T1792" s="2" t="str">
        <f t="shared" si="139"/>
        <v>Major Delay</v>
      </c>
    </row>
    <row r="1793" spans="1:20" x14ac:dyDescent="0.35">
      <c r="A1793" s="2" t="s">
        <v>3769</v>
      </c>
      <c r="B1793" s="2" t="s">
        <v>16</v>
      </c>
      <c r="C1793" s="2" t="s">
        <v>3770</v>
      </c>
      <c r="D1793" s="2" t="s">
        <v>56</v>
      </c>
      <c r="E1793" s="2" t="s">
        <v>85</v>
      </c>
      <c r="F1793" s="2" t="s">
        <v>20</v>
      </c>
      <c r="G1793" s="2" t="s">
        <v>120</v>
      </c>
      <c r="H1793" s="3">
        <v>45458.243055555555</v>
      </c>
      <c r="I1793" s="3">
        <v>45458.322916666664</v>
      </c>
      <c r="J1793" s="2">
        <v>107</v>
      </c>
      <c r="K1793" s="2">
        <v>115</v>
      </c>
      <c r="L1793" s="2">
        <v>1</v>
      </c>
      <c r="M1793" s="2" t="s">
        <v>41</v>
      </c>
      <c r="N1793" s="2">
        <v>6</v>
      </c>
      <c r="O1793" s="2">
        <v>476.28</v>
      </c>
      <c r="P1793" s="2">
        <f t="shared" si="135"/>
        <v>8</v>
      </c>
      <c r="Q1793" s="4">
        <f t="shared" si="136"/>
        <v>0.93043478260869561</v>
      </c>
      <c r="R1793" s="2" t="str">
        <f t="shared" si="137"/>
        <v>Inefficient</v>
      </c>
      <c r="S1793" s="2" t="str">
        <f t="shared" si="138"/>
        <v>Long</v>
      </c>
      <c r="T1793" s="2" t="str">
        <f t="shared" si="139"/>
        <v>Minor Delay</v>
      </c>
    </row>
    <row r="1794" spans="1:20" x14ac:dyDescent="0.35">
      <c r="A1794" s="2" t="s">
        <v>3771</v>
      </c>
      <c r="B1794" s="2" t="s">
        <v>31</v>
      </c>
      <c r="C1794" s="2" t="s">
        <v>3772</v>
      </c>
      <c r="D1794" s="2" t="s">
        <v>18</v>
      </c>
      <c r="E1794" s="2" t="s">
        <v>38</v>
      </c>
      <c r="F1794" s="2" t="s">
        <v>27</v>
      </c>
      <c r="G1794" s="2" t="s">
        <v>445</v>
      </c>
      <c r="H1794" s="3">
        <v>45365.527083333334</v>
      </c>
      <c r="I1794" s="3">
        <v>45365.652777777781</v>
      </c>
      <c r="J1794" s="2">
        <v>112</v>
      </c>
      <c r="K1794" s="2">
        <v>181</v>
      </c>
      <c r="L1794" s="2">
        <v>1</v>
      </c>
      <c r="M1794" s="2" t="s">
        <v>22</v>
      </c>
      <c r="N1794" s="2">
        <v>2</v>
      </c>
      <c r="O1794" s="2">
        <v>207.36</v>
      </c>
      <c r="P1794" s="2">
        <f t="shared" si="135"/>
        <v>69</v>
      </c>
      <c r="Q1794" s="4">
        <f t="shared" si="136"/>
        <v>0.61878453038674031</v>
      </c>
      <c r="R1794" s="2" t="str">
        <f t="shared" si="137"/>
        <v>Inefficient</v>
      </c>
      <c r="S1794" s="2" t="str">
        <f t="shared" si="138"/>
        <v>Very Long</v>
      </c>
      <c r="T1794" s="2" t="str">
        <f t="shared" si="139"/>
        <v>Major Delay</v>
      </c>
    </row>
    <row r="1795" spans="1:20" x14ac:dyDescent="0.35">
      <c r="A1795" s="2" t="s">
        <v>3773</v>
      </c>
      <c r="B1795" s="2" t="s">
        <v>63</v>
      </c>
      <c r="C1795" s="2" t="s">
        <v>3774</v>
      </c>
      <c r="D1795" s="2" t="s">
        <v>56</v>
      </c>
      <c r="E1795" s="2" t="s">
        <v>85</v>
      </c>
      <c r="F1795" s="2" t="s">
        <v>39</v>
      </c>
      <c r="G1795" s="2" t="s">
        <v>299</v>
      </c>
      <c r="H1795" s="3">
        <v>45556.375694444447</v>
      </c>
      <c r="I1795" s="3">
        <v>45556.421527777777</v>
      </c>
      <c r="J1795" s="2">
        <v>12</v>
      </c>
      <c r="K1795" s="2">
        <v>66</v>
      </c>
      <c r="L1795" s="2">
        <v>1</v>
      </c>
      <c r="M1795" s="2" t="s">
        <v>41</v>
      </c>
      <c r="N1795" s="2">
        <v>6</v>
      </c>
      <c r="O1795" s="2">
        <v>142.35</v>
      </c>
      <c r="P1795" s="2">
        <f t="shared" ref="P1795:P1858" si="140">K1795-J1795</f>
        <v>54</v>
      </c>
      <c r="Q1795" s="4">
        <f t="shared" ref="Q1795:Q1858" si="141">J1795/K1795</f>
        <v>0.18181818181818182</v>
      </c>
      <c r="R1795" s="2" t="str">
        <f t="shared" ref="R1795:R1858" si="142">IF(Q1795&gt;1,"Efficient",
IF(Q1795=1,"On Target","Inefficient"))</f>
        <v>Inefficient</v>
      </c>
      <c r="S1795" s="2" t="str">
        <f t="shared" ref="S1795:S1858" si="143">IF(K1795&lt;30,"Short",
IF(K1795&lt;60,"Medium",
IF(K1795&lt;120,"Long","Very Long")))</f>
        <v>Long</v>
      </c>
      <c r="T1795" s="2" t="str">
        <f t="shared" ref="T1795:T1858" si="144">IF(K1795&lt;=J1795,"On Time",
IF(K1795-J1795&lt;=30,"Minor Delay","Major Delay"))</f>
        <v>Major Delay</v>
      </c>
    </row>
    <row r="1796" spans="1:20" x14ac:dyDescent="0.35">
      <c r="A1796" s="2" t="s">
        <v>3775</v>
      </c>
      <c r="B1796" s="2" t="s">
        <v>16</v>
      </c>
      <c r="C1796" s="2" t="s">
        <v>3776</v>
      </c>
      <c r="D1796" s="2" t="s">
        <v>48</v>
      </c>
      <c r="E1796" s="2" t="s">
        <v>85</v>
      </c>
      <c r="F1796" s="2" t="s">
        <v>34</v>
      </c>
      <c r="G1796" s="2" t="s">
        <v>283</v>
      </c>
      <c r="H1796" s="3">
        <v>45408.151388888888</v>
      </c>
      <c r="I1796" s="3">
        <v>45408.220138888886</v>
      </c>
      <c r="J1796" s="2">
        <v>55</v>
      </c>
      <c r="K1796" s="2">
        <v>99</v>
      </c>
      <c r="L1796" s="2">
        <v>1</v>
      </c>
      <c r="M1796" s="2" t="s">
        <v>22</v>
      </c>
      <c r="N1796" s="2">
        <v>3</v>
      </c>
      <c r="O1796" s="2">
        <v>266.88</v>
      </c>
      <c r="P1796" s="2">
        <f t="shared" si="140"/>
        <v>44</v>
      </c>
      <c r="Q1796" s="4">
        <f t="shared" si="141"/>
        <v>0.55555555555555558</v>
      </c>
      <c r="R1796" s="2" t="str">
        <f t="shared" si="142"/>
        <v>Inefficient</v>
      </c>
      <c r="S1796" s="2" t="str">
        <f t="shared" si="143"/>
        <v>Long</v>
      </c>
      <c r="T1796" s="2" t="str">
        <f t="shared" si="144"/>
        <v>Major Delay</v>
      </c>
    </row>
    <row r="1797" spans="1:20" x14ac:dyDescent="0.35">
      <c r="A1797" s="2" t="s">
        <v>3777</v>
      </c>
      <c r="B1797" s="2" t="s">
        <v>24</v>
      </c>
      <c r="C1797" s="2" t="s">
        <v>3778</v>
      </c>
      <c r="D1797" s="2" t="s">
        <v>18</v>
      </c>
      <c r="E1797" s="2" t="s">
        <v>33</v>
      </c>
      <c r="F1797" s="2" t="s">
        <v>27</v>
      </c>
      <c r="G1797" s="2" t="s">
        <v>1172</v>
      </c>
      <c r="H1797" s="3">
        <v>45413.765277777777</v>
      </c>
      <c r="I1797" s="3">
        <v>45413.970138888886</v>
      </c>
      <c r="J1797" s="2">
        <v>226</v>
      </c>
      <c r="K1797" s="2">
        <v>295</v>
      </c>
      <c r="L1797" s="2">
        <v>1</v>
      </c>
      <c r="M1797" s="2" t="s">
        <v>41</v>
      </c>
      <c r="N1797" s="2">
        <v>5</v>
      </c>
      <c r="O1797" s="2">
        <v>357.19</v>
      </c>
      <c r="P1797" s="2">
        <f t="shared" si="140"/>
        <v>69</v>
      </c>
      <c r="Q1797" s="4">
        <f t="shared" si="141"/>
        <v>0.76610169491525426</v>
      </c>
      <c r="R1797" s="2" t="str">
        <f t="shared" si="142"/>
        <v>Inefficient</v>
      </c>
      <c r="S1797" s="2" t="str">
        <f t="shared" si="143"/>
        <v>Very Long</v>
      </c>
      <c r="T1797" s="2" t="str">
        <f t="shared" si="144"/>
        <v>Major Delay</v>
      </c>
    </row>
    <row r="1798" spans="1:20" x14ac:dyDescent="0.35">
      <c r="A1798" s="2" t="s">
        <v>3779</v>
      </c>
      <c r="B1798" s="2" t="s">
        <v>51</v>
      </c>
      <c r="C1798" s="2" t="s">
        <v>3780</v>
      </c>
      <c r="D1798" s="2" t="s">
        <v>48</v>
      </c>
      <c r="E1798" s="2" t="s">
        <v>19</v>
      </c>
      <c r="F1798" s="2" t="s">
        <v>39</v>
      </c>
      <c r="G1798" s="2" t="s">
        <v>669</v>
      </c>
      <c r="H1798" s="3">
        <v>45538.748611111114</v>
      </c>
      <c r="I1798" s="3">
        <v>45538.866666666669</v>
      </c>
      <c r="J1798" s="2">
        <v>169</v>
      </c>
      <c r="K1798" s="2">
        <v>170</v>
      </c>
      <c r="L1798" s="2">
        <v>1</v>
      </c>
      <c r="M1798" s="2" t="s">
        <v>29</v>
      </c>
      <c r="N1798" s="2">
        <v>9</v>
      </c>
      <c r="O1798" s="2">
        <v>353.05</v>
      </c>
      <c r="P1798" s="2">
        <f t="shared" si="140"/>
        <v>1</v>
      </c>
      <c r="Q1798" s="4">
        <f t="shared" si="141"/>
        <v>0.99411764705882355</v>
      </c>
      <c r="R1798" s="2" t="str">
        <f t="shared" si="142"/>
        <v>Inefficient</v>
      </c>
      <c r="S1798" s="2" t="str">
        <f t="shared" si="143"/>
        <v>Very Long</v>
      </c>
      <c r="T1798" s="2" t="str">
        <f t="shared" si="144"/>
        <v>Minor Delay</v>
      </c>
    </row>
    <row r="1799" spans="1:20" x14ac:dyDescent="0.35">
      <c r="A1799" s="2" t="s">
        <v>3781</v>
      </c>
      <c r="B1799" s="2" t="s">
        <v>24</v>
      </c>
      <c r="C1799" s="2" t="s">
        <v>3782</v>
      </c>
      <c r="D1799" s="2" t="s">
        <v>44</v>
      </c>
      <c r="E1799" s="2" t="s">
        <v>33</v>
      </c>
      <c r="F1799" s="2" t="s">
        <v>39</v>
      </c>
      <c r="G1799" s="2" t="s">
        <v>402</v>
      </c>
      <c r="H1799" s="3">
        <v>45295.073611111111</v>
      </c>
      <c r="I1799" s="3">
        <v>45295.177777777775</v>
      </c>
      <c r="J1799" s="2">
        <v>148</v>
      </c>
      <c r="K1799" s="2">
        <v>150</v>
      </c>
      <c r="L1799" s="2">
        <v>1</v>
      </c>
      <c r="M1799" s="2" t="s">
        <v>22</v>
      </c>
      <c r="N1799" s="2">
        <v>1</v>
      </c>
      <c r="O1799" s="2">
        <v>410.48</v>
      </c>
      <c r="P1799" s="2">
        <f t="shared" si="140"/>
        <v>2</v>
      </c>
      <c r="Q1799" s="4">
        <f t="shared" si="141"/>
        <v>0.98666666666666669</v>
      </c>
      <c r="R1799" s="2" t="str">
        <f t="shared" si="142"/>
        <v>Inefficient</v>
      </c>
      <c r="S1799" s="2" t="str">
        <f t="shared" si="143"/>
        <v>Very Long</v>
      </c>
      <c r="T1799" s="2" t="str">
        <f t="shared" si="144"/>
        <v>Minor Delay</v>
      </c>
    </row>
    <row r="1800" spans="1:20" x14ac:dyDescent="0.35">
      <c r="A1800" s="2" t="s">
        <v>3783</v>
      </c>
      <c r="B1800" s="2" t="s">
        <v>24</v>
      </c>
      <c r="C1800" s="2" t="s">
        <v>3784</v>
      </c>
      <c r="D1800" s="2" t="s">
        <v>56</v>
      </c>
      <c r="E1800" s="2" t="s">
        <v>33</v>
      </c>
      <c r="F1800" s="2" t="s">
        <v>34</v>
      </c>
      <c r="G1800" s="2" t="s">
        <v>647</v>
      </c>
      <c r="H1800" s="3">
        <v>45593.027777777781</v>
      </c>
      <c r="I1800" s="3">
        <v>45593.142361111109</v>
      </c>
      <c r="J1800" s="2">
        <v>120</v>
      </c>
      <c r="K1800" s="2">
        <v>165</v>
      </c>
      <c r="L1800" s="2">
        <v>1</v>
      </c>
      <c r="M1800" s="2" t="s">
        <v>41</v>
      </c>
      <c r="N1800" s="2">
        <v>4</v>
      </c>
      <c r="O1800" s="2">
        <v>228.09</v>
      </c>
      <c r="P1800" s="2">
        <f t="shared" si="140"/>
        <v>45</v>
      </c>
      <c r="Q1800" s="4">
        <f t="shared" si="141"/>
        <v>0.72727272727272729</v>
      </c>
      <c r="R1800" s="2" t="str">
        <f t="shared" si="142"/>
        <v>Inefficient</v>
      </c>
      <c r="S1800" s="2" t="str">
        <f t="shared" si="143"/>
        <v>Very Long</v>
      </c>
      <c r="T1800" s="2" t="str">
        <f t="shared" si="144"/>
        <v>Major Delay</v>
      </c>
    </row>
    <row r="1801" spans="1:20" x14ac:dyDescent="0.35">
      <c r="A1801" s="2" t="s">
        <v>3785</v>
      </c>
      <c r="B1801" s="2" t="s">
        <v>24</v>
      </c>
      <c r="C1801" s="2" t="s">
        <v>3786</v>
      </c>
      <c r="D1801" s="2" t="s">
        <v>26</v>
      </c>
      <c r="E1801" s="2" t="s">
        <v>38</v>
      </c>
      <c r="F1801" s="2" t="s">
        <v>20</v>
      </c>
      <c r="G1801" s="2" t="s">
        <v>622</v>
      </c>
      <c r="H1801" s="3">
        <v>45381.037499999999</v>
      </c>
      <c r="I1801" s="3">
        <v>45381.119444444441</v>
      </c>
      <c r="J1801" s="2">
        <v>49</v>
      </c>
      <c r="K1801" s="2">
        <v>118</v>
      </c>
      <c r="L1801" s="2">
        <v>1</v>
      </c>
      <c r="M1801" s="2" t="s">
        <v>22</v>
      </c>
      <c r="N1801" s="2">
        <v>10</v>
      </c>
      <c r="O1801" s="2">
        <v>223</v>
      </c>
      <c r="P1801" s="2">
        <f t="shared" si="140"/>
        <v>69</v>
      </c>
      <c r="Q1801" s="4">
        <f t="shared" si="141"/>
        <v>0.4152542372881356</v>
      </c>
      <c r="R1801" s="2" t="str">
        <f t="shared" si="142"/>
        <v>Inefficient</v>
      </c>
      <c r="S1801" s="2" t="str">
        <f t="shared" si="143"/>
        <v>Long</v>
      </c>
      <c r="T1801" s="2" t="str">
        <f t="shared" si="144"/>
        <v>Major Delay</v>
      </c>
    </row>
    <row r="1802" spans="1:20" x14ac:dyDescent="0.35">
      <c r="A1802" s="2" t="s">
        <v>3787</v>
      </c>
      <c r="B1802" s="2" t="s">
        <v>31</v>
      </c>
      <c r="C1802" s="2" t="s">
        <v>3788</v>
      </c>
      <c r="D1802" s="2" t="s">
        <v>56</v>
      </c>
      <c r="E1802" s="2" t="s">
        <v>85</v>
      </c>
      <c r="F1802" s="2" t="s">
        <v>57</v>
      </c>
      <c r="G1802" s="2" t="s">
        <v>459</v>
      </c>
      <c r="H1802" s="3">
        <v>45418.395138888889</v>
      </c>
      <c r="I1802" s="3">
        <v>45418.457638888889</v>
      </c>
      <c r="J1802" s="2">
        <v>32</v>
      </c>
      <c r="K1802" s="2">
        <v>90</v>
      </c>
      <c r="L1802" s="2">
        <v>1</v>
      </c>
      <c r="M1802" s="2" t="s">
        <v>29</v>
      </c>
      <c r="N1802" s="2">
        <v>7</v>
      </c>
      <c r="O1802" s="2">
        <v>499.92</v>
      </c>
      <c r="P1802" s="2">
        <f t="shared" si="140"/>
        <v>58</v>
      </c>
      <c r="Q1802" s="4">
        <f t="shared" si="141"/>
        <v>0.35555555555555557</v>
      </c>
      <c r="R1802" s="2" t="str">
        <f t="shared" si="142"/>
        <v>Inefficient</v>
      </c>
      <c r="S1802" s="2" t="str">
        <f t="shared" si="143"/>
        <v>Long</v>
      </c>
      <c r="T1802" s="2" t="str">
        <f t="shared" si="144"/>
        <v>Major Delay</v>
      </c>
    </row>
    <row r="1803" spans="1:20" x14ac:dyDescent="0.35">
      <c r="A1803" s="2" t="s">
        <v>3789</v>
      </c>
      <c r="B1803" s="2" t="s">
        <v>31</v>
      </c>
      <c r="C1803" s="2" t="s">
        <v>3790</v>
      </c>
      <c r="D1803" s="2" t="s">
        <v>18</v>
      </c>
      <c r="E1803" s="2" t="s">
        <v>33</v>
      </c>
      <c r="F1803" s="2" t="s">
        <v>20</v>
      </c>
      <c r="G1803" s="2" t="s">
        <v>810</v>
      </c>
      <c r="H1803" s="3">
        <v>45462.823611111111</v>
      </c>
      <c r="I1803" s="3">
        <v>45463.006249999999</v>
      </c>
      <c r="J1803" s="2">
        <v>166</v>
      </c>
      <c r="K1803" s="2">
        <v>263</v>
      </c>
      <c r="L1803" s="2">
        <v>1</v>
      </c>
      <c r="M1803" s="2" t="s">
        <v>29</v>
      </c>
      <c r="N1803" s="2">
        <v>1</v>
      </c>
      <c r="O1803" s="2">
        <v>490.78</v>
      </c>
      <c r="P1803" s="2">
        <f t="shared" si="140"/>
        <v>97</v>
      </c>
      <c r="Q1803" s="4">
        <f t="shared" si="141"/>
        <v>0.63117870722433456</v>
      </c>
      <c r="R1803" s="2" t="str">
        <f t="shared" si="142"/>
        <v>Inefficient</v>
      </c>
      <c r="S1803" s="2" t="str">
        <f t="shared" si="143"/>
        <v>Very Long</v>
      </c>
      <c r="T1803" s="2" t="str">
        <f t="shared" si="144"/>
        <v>Major Delay</v>
      </c>
    </row>
    <row r="1804" spans="1:20" x14ac:dyDescent="0.35">
      <c r="A1804" s="2" t="s">
        <v>3791</v>
      </c>
      <c r="B1804" s="2" t="s">
        <v>24</v>
      </c>
      <c r="C1804" s="2" t="s">
        <v>3792</v>
      </c>
      <c r="D1804" s="2" t="s">
        <v>18</v>
      </c>
      <c r="E1804" s="2" t="s">
        <v>33</v>
      </c>
      <c r="F1804" s="2" t="s">
        <v>39</v>
      </c>
      <c r="G1804" s="2" t="s">
        <v>749</v>
      </c>
      <c r="H1804" s="3">
        <v>45508.25277777778</v>
      </c>
      <c r="I1804" s="3">
        <v>45508.395833333336</v>
      </c>
      <c r="J1804" s="2">
        <v>86</v>
      </c>
      <c r="K1804" s="2">
        <v>206</v>
      </c>
      <c r="L1804" s="2">
        <v>1</v>
      </c>
      <c r="M1804" s="2" t="s">
        <v>29</v>
      </c>
      <c r="N1804" s="2">
        <v>3</v>
      </c>
      <c r="O1804" s="2">
        <v>112.01</v>
      </c>
      <c r="P1804" s="2">
        <f t="shared" si="140"/>
        <v>120</v>
      </c>
      <c r="Q1804" s="4">
        <f t="shared" si="141"/>
        <v>0.41747572815533979</v>
      </c>
      <c r="R1804" s="2" t="str">
        <f t="shared" si="142"/>
        <v>Inefficient</v>
      </c>
      <c r="S1804" s="2" t="str">
        <f t="shared" si="143"/>
        <v>Very Long</v>
      </c>
      <c r="T1804" s="2" t="str">
        <f t="shared" si="144"/>
        <v>Major Delay</v>
      </c>
    </row>
    <row r="1805" spans="1:20" x14ac:dyDescent="0.35">
      <c r="A1805" s="2" t="s">
        <v>3793</v>
      </c>
      <c r="B1805" s="2" t="s">
        <v>51</v>
      </c>
      <c r="C1805" s="2" t="s">
        <v>3794</v>
      </c>
      <c r="D1805" s="2" t="s">
        <v>44</v>
      </c>
      <c r="E1805" s="2" t="s">
        <v>33</v>
      </c>
      <c r="F1805" s="2" t="s">
        <v>27</v>
      </c>
      <c r="G1805" s="2" t="s">
        <v>577</v>
      </c>
      <c r="H1805" s="3">
        <v>45485.761111111111</v>
      </c>
      <c r="I1805" s="3">
        <v>45485.863194444442</v>
      </c>
      <c r="J1805" s="2">
        <v>132</v>
      </c>
      <c r="K1805" s="2">
        <v>147</v>
      </c>
      <c r="L1805" s="2">
        <v>1</v>
      </c>
      <c r="M1805" s="2" t="s">
        <v>29</v>
      </c>
      <c r="N1805" s="2">
        <v>7</v>
      </c>
      <c r="O1805" s="2">
        <v>129.63999999999999</v>
      </c>
      <c r="P1805" s="2">
        <f t="shared" si="140"/>
        <v>15</v>
      </c>
      <c r="Q1805" s="4">
        <f t="shared" si="141"/>
        <v>0.89795918367346939</v>
      </c>
      <c r="R1805" s="2" t="str">
        <f t="shared" si="142"/>
        <v>Inefficient</v>
      </c>
      <c r="S1805" s="2" t="str">
        <f t="shared" si="143"/>
        <v>Very Long</v>
      </c>
      <c r="T1805" s="2" t="str">
        <f t="shared" si="144"/>
        <v>Minor Delay</v>
      </c>
    </row>
    <row r="1806" spans="1:20" x14ac:dyDescent="0.35">
      <c r="A1806" s="2" t="s">
        <v>3795</v>
      </c>
      <c r="B1806" s="2" t="s">
        <v>31</v>
      </c>
      <c r="C1806" s="2" t="s">
        <v>3796</v>
      </c>
      <c r="D1806" s="2" t="s">
        <v>48</v>
      </c>
      <c r="E1806" s="2" t="s">
        <v>85</v>
      </c>
      <c r="F1806" s="2" t="s">
        <v>34</v>
      </c>
      <c r="G1806" s="2" t="s">
        <v>1030</v>
      </c>
      <c r="H1806" s="3">
        <v>45593.275694444441</v>
      </c>
      <c r="I1806" s="3">
        <v>45593.46875</v>
      </c>
      <c r="J1806" s="2">
        <v>210</v>
      </c>
      <c r="K1806" s="2">
        <v>278</v>
      </c>
      <c r="L1806" s="2">
        <v>1</v>
      </c>
      <c r="M1806" s="2" t="s">
        <v>22</v>
      </c>
      <c r="N1806" s="2">
        <v>7</v>
      </c>
      <c r="O1806" s="2">
        <v>376.91</v>
      </c>
      <c r="P1806" s="2">
        <f t="shared" si="140"/>
        <v>68</v>
      </c>
      <c r="Q1806" s="4">
        <f t="shared" si="141"/>
        <v>0.75539568345323738</v>
      </c>
      <c r="R1806" s="2" t="str">
        <f t="shared" si="142"/>
        <v>Inefficient</v>
      </c>
      <c r="S1806" s="2" t="str">
        <f t="shared" si="143"/>
        <v>Very Long</v>
      </c>
      <c r="T1806" s="2" t="str">
        <f t="shared" si="144"/>
        <v>Major Delay</v>
      </c>
    </row>
    <row r="1807" spans="1:20" x14ac:dyDescent="0.35">
      <c r="A1807" s="2" t="s">
        <v>3797</v>
      </c>
      <c r="B1807" s="2" t="s">
        <v>16</v>
      </c>
      <c r="C1807" s="2" t="s">
        <v>3798</v>
      </c>
      <c r="D1807" s="2" t="s">
        <v>48</v>
      </c>
      <c r="E1807" s="2" t="s">
        <v>38</v>
      </c>
      <c r="F1807" s="2" t="s">
        <v>34</v>
      </c>
      <c r="G1807" s="2" t="s">
        <v>445</v>
      </c>
      <c r="H1807" s="3">
        <v>45340.967361111114</v>
      </c>
      <c r="I1807" s="3">
        <v>45341.167361111111</v>
      </c>
      <c r="J1807" s="2">
        <v>240</v>
      </c>
      <c r="K1807" s="2">
        <v>288</v>
      </c>
      <c r="L1807" s="2">
        <v>1</v>
      </c>
      <c r="M1807" s="2" t="s">
        <v>29</v>
      </c>
      <c r="N1807" s="2">
        <v>9</v>
      </c>
      <c r="O1807" s="2">
        <v>143.47</v>
      </c>
      <c r="P1807" s="2">
        <f t="shared" si="140"/>
        <v>48</v>
      </c>
      <c r="Q1807" s="4">
        <f t="shared" si="141"/>
        <v>0.83333333333333337</v>
      </c>
      <c r="R1807" s="2" t="str">
        <f t="shared" si="142"/>
        <v>Inefficient</v>
      </c>
      <c r="S1807" s="2" t="str">
        <f t="shared" si="143"/>
        <v>Very Long</v>
      </c>
      <c r="T1807" s="2" t="str">
        <f t="shared" si="144"/>
        <v>Major Delay</v>
      </c>
    </row>
    <row r="1808" spans="1:20" x14ac:dyDescent="0.35">
      <c r="A1808" s="2" t="s">
        <v>3799</v>
      </c>
      <c r="B1808" s="2" t="s">
        <v>31</v>
      </c>
      <c r="C1808" s="2" t="s">
        <v>3800</v>
      </c>
      <c r="D1808" s="2" t="s">
        <v>48</v>
      </c>
      <c r="E1808" s="2" t="s">
        <v>19</v>
      </c>
      <c r="F1808" s="2" t="s">
        <v>27</v>
      </c>
      <c r="G1808" s="2" t="s">
        <v>231</v>
      </c>
      <c r="H1808" s="3">
        <v>45492.239583333336</v>
      </c>
      <c r="I1808" s="3">
        <v>45492.443055555559</v>
      </c>
      <c r="J1808" s="2">
        <v>196</v>
      </c>
      <c r="K1808" s="2">
        <v>293</v>
      </c>
      <c r="L1808" s="2">
        <v>1</v>
      </c>
      <c r="M1808" s="2" t="s">
        <v>22</v>
      </c>
      <c r="N1808" s="2">
        <v>5</v>
      </c>
      <c r="O1808" s="2">
        <v>88.24</v>
      </c>
      <c r="P1808" s="2">
        <f t="shared" si="140"/>
        <v>97</v>
      </c>
      <c r="Q1808" s="4">
        <f t="shared" si="141"/>
        <v>0.66894197952218426</v>
      </c>
      <c r="R1808" s="2" t="str">
        <f t="shared" si="142"/>
        <v>Inefficient</v>
      </c>
      <c r="S1808" s="2" t="str">
        <f t="shared" si="143"/>
        <v>Very Long</v>
      </c>
      <c r="T1808" s="2" t="str">
        <f t="shared" si="144"/>
        <v>Major Delay</v>
      </c>
    </row>
    <row r="1809" spans="1:20" x14ac:dyDescent="0.35">
      <c r="A1809" s="2" t="s">
        <v>3801</v>
      </c>
      <c r="B1809" s="2" t="s">
        <v>63</v>
      </c>
      <c r="C1809" s="2" t="s">
        <v>3802</v>
      </c>
      <c r="D1809" s="2" t="s">
        <v>18</v>
      </c>
      <c r="E1809" s="2" t="s">
        <v>38</v>
      </c>
      <c r="F1809" s="2" t="s">
        <v>39</v>
      </c>
      <c r="G1809" s="2" t="s">
        <v>45</v>
      </c>
      <c r="H1809" s="3">
        <v>45610.245138888888</v>
      </c>
      <c r="I1809" s="3">
        <v>45610.381944444445</v>
      </c>
      <c r="J1809" s="2">
        <v>81</v>
      </c>
      <c r="K1809" s="2">
        <v>197</v>
      </c>
      <c r="L1809" s="2">
        <v>1</v>
      </c>
      <c r="M1809" s="2" t="s">
        <v>41</v>
      </c>
      <c r="N1809" s="2">
        <v>6</v>
      </c>
      <c r="O1809" s="2">
        <v>358.89</v>
      </c>
      <c r="P1809" s="2">
        <f t="shared" si="140"/>
        <v>116</v>
      </c>
      <c r="Q1809" s="4">
        <f t="shared" si="141"/>
        <v>0.41116751269035534</v>
      </c>
      <c r="R1809" s="2" t="str">
        <f t="shared" si="142"/>
        <v>Inefficient</v>
      </c>
      <c r="S1809" s="2" t="str">
        <f t="shared" si="143"/>
        <v>Very Long</v>
      </c>
      <c r="T1809" s="2" t="str">
        <f t="shared" si="144"/>
        <v>Major Delay</v>
      </c>
    </row>
    <row r="1810" spans="1:20" x14ac:dyDescent="0.35">
      <c r="A1810" s="2" t="s">
        <v>3803</v>
      </c>
      <c r="B1810" s="2" t="s">
        <v>51</v>
      </c>
      <c r="C1810" s="2" t="s">
        <v>3804</v>
      </c>
      <c r="D1810" s="2" t="s">
        <v>48</v>
      </c>
      <c r="E1810" s="2" t="s">
        <v>85</v>
      </c>
      <c r="F1810" s="2" t="s">
        <v>39</v>
      </c>
      <c r="G1810" s="2" t="s">
        <v>577</v>
      </c>
      <c r="H1810" s="3">
        <v>45524.525000000001</v>
      </c>
      <c r="I1810" s="3">
        <v>45524.555555555555</v>
      </c>
      <c r="J1810" s="2">
        <v>22</v>
      </c>
      <c r="K1810" s="2">
        <v>44</v>
      </c>
      <c r="L1810" s="2">
        <v>1</v>
      </c>
      <c r="M1810" s="2" t="s">
        <v>29</v>
      </c>
      <c r="N1810" s="2">
        <v>3</v>
      </c>
      <c r="O1810" s="2">
        <v>463.92</v>
      </c>
      <c r="P1810" s="2">
        <f t="shared" si="140"/>
        <v>22</v>
      </c>
      <c r="Q1810" s="4">
        <f t="shared" si="141"/>
        <v>0.5</v>
      </c>
      <c r="R1810" s="2" t="str">
        <f t="shared" si="142"/>
        <v>Inefficient</v>
      </c>
      <c r="S1810" s="2" t="str">
        <f t="shared" si="143"/>
        <v>Medium</v>
      </c>
      <c r="T1810" s="2" t="str">
        <f t="shared" si="144"/>
        <v>Minor Delay</v>
      </c>
    </row>
    <row r="1811" spans="1:20" x14ac:dyDescent="0.35">
      <c r="A1811" s="2" t="s">
        <v>3805</v>
      </c>
      <c r="B1811" s="2" t="s">
        <v>63</v>
      </c>
      <c r="C1811" s="2" t="s">
        <v>3806</v>
      </c>
      <c r="D1811" s="2" t="s">
        <v>18</v>
      </c>
      <c r="E1811" s="2" t="s">
        <v>38</v>
      </c>
      <c r="F1811" s="2" t="s">
        <v>20</v>
      </c>
      <c r="G1811" s="2" t="s">
        <v>140</v>
      </c>
      <c r="H1811" s="3">
        <v>45485.537499999999</v>
      </c>
      <c r="I1811" s="3">
        <v>45485.649305555555</v>
      </c>
      <c r="J1811" s="2">
        <v>123</v>
      </c>
      <c r="K1811" s="2">
        <v>161</v>
      </c>
      <c r="L1811" s="2">
        <v>1</v>
      </c>
      <c r="M1811" s="2" t="s">
        <v>29</v>
      </c>
      <c r="N1811" s="2">
        <v>7</v>
      </c>
      <c r="O1811" s="2">
        <v>314.11</v>
      </c>
      <c r="P1811" s="2">
        <f t="shared" si="140"/>
        <v>38</v>
      </c>
      <c r="Q1811" s="4">
        <f t="shared" si="141"/>
        <v>0.7639751552795031</v>
      </c>
      <c r="R1811" s="2" t="str">
        <f t="shared" si="142"/>
        <v>Inefficient</v>
      </c>
      <c r="S1811" s="2" t="str">
        <f t="shared" si="143"/>
        <v>Very Long</v>
      </c>
      <c r="T1811" s="2" t="str">
        <f t="shared" si="144"/>
        <v>Major Delay</v>
      </c>
    </row>
    <row r="1812" spans="1:20" x14ac:dyDescent="0.35">
      <c r="A1812" s="2" t="s">
        <v>3807</v>
      </c>
      <c r="B1812" s="2" t="s">
        <v>51</v>
      </c>
      <c r="C1812" s="2" t="s">
        <v>3808</v>
      </c>
      <c r="D1812" s="2" t="s">
        <v>26</v>
      </c>
      <c r="E1812" s="2" t="s">
        <v>33</v>
      </c>
      <c r="F1812" s="2" t="s">
        <v>39</v>
      </c>
      <c r="G1812" s="2" t="s">
        <v>622</v>
      </c>
      <c r="H1812" s="3">
        <v>45635.394444444442</v>
      </c>
      <c r="I1812" s="3">
        <v>45635.558333333334</v>
      </c>
      <c r="J1812" s="2">
        <v>169</v>
      </c>
      <c r="K1812" s="2">
        <v>236</v>
      </c>
      <c r="L1812" s="2">
        <v>1</v>
      </c>
      <c r="M1812" s="2" t="s">
        <v>22</v>
      </c>
      <c r="N1812" s="2">
        <v>5</v>
      </c>
      <c r="O1812" s="2">
        <v>380.78</v>
      </c>
      <c r="P1812" s="2">
        <f t="shared" si="140"/>
        <v>67</v>
      </c>
      <c r="Q1812" s="4">
        <f t="shared" si="141"/>
        <v>0.71610169491525422</v>
      </c>
      <c r="R1812" s="2" t="str">
        <f t="shared" si="142"/>
        <v>Inefficient</v>
      </c>
      <c r="S1812" s="2" t="str">
        <f t="shared" si="143"/>
        <v>Very Long</v>
      </c>
      <c r="T1812" s="2" t="str">
        <f t="shared" si="144"/>
        <v>Major Delay</v>
      </c>
    </row>
    <row r="1813" spans="1:20" x14ac:dyDescent="0.35">
      <c r="A1813" s="2" t="s">
        <v>3809</v>
      </c>
      <c r="B1813" s="2" t="s">
        <v>24</v>
      </c>
      <c r="C1813" s="2" t="s">
        <v>3810</v>
      </c>
      <c r="D1813" s="2" t="s">
        <v>56</v>
      </c>
      <c r="E1813" s="2" t="s">
        <v>19</v>
      </c>
      <c r="F1813" s="2" t="s">
        <v>39</v>
      </c>
      <c r="G1813" s="2" t="s">
        <v>155</v>
      </c>
      <c r="H1813" s="3">
        <v>45333.652777777781</v>
      </c>
      <c r="I1813" s="3">
        <v>45333.738194444442</v>
      </c>
      <c r="J1813" s="2">
        <v>125</v>
      </c>
      <c r="K1813" s="2">
        <v>123</v>
      </c>
      <c r="L1813" s="2">
        <v>0</v>
      </c>
      <c r="M1813" s="2" t="s">
        <v>41</v>
      </c>
      <c r="N1813" s="2">
        <v>9</v>
      </c>
      <c r="O1813" s="2">
        <v>305.35000000000002</v>
      </c>
      <c r="P1813" s="2">
        <f t="shared" si="140"/>
        <v>-2</v>
      </c>
      <c r="Q1813" s="4">
        <f t="shared" si="141"/>
        <v>1.0162601626016261</v>
      </c>
      <c r="R1813" s="2" t="str">
        <f t="shared" si="142"/>
        <v>Efficient</v>
      </c>
      <c r="S1813" s="2" t="str">
        <f t="shared" si="143"/>
        <v>Very Long</v>
      </c>
      <c r="T1813" s="2" t="str">
        <f t="shared" si="144"/>
        <v>On Time</v>
      </c>
    </row>
    <row r="1814" spans="1:20" x14ac:dyDescent="0.35">
      <c r="A1814" s="2" t="s">
        <v>3811</v>
      </c>
      <c r="B1814" s="2" t="s">
        <v>16</v>
      </c>
      <c r="C1814" s="2" t="s">
        <v>3812</v>
      </c>
      <c r="D1814" s="2" t="s">
        <v>56</v>
      </c>
      <c r="E1814" s="2" t="s">
        <v>33</v>
      </c>
      <c r="F1814" s="2" t="s">
        <v>57</v>
      </c>
      <c r="G1814" s="2" t="s">
        <v>188</v>
      </c>
      <c r="H1814" s="3">
        <v>45345.222222222219</v>
      </c>
      <c r="I1814" s="3">
        <v>45345.270833333336</v>
      </c>
      <c r="J1814" s="2">
        <v>15</v>
      </c>
      <c r="K1814" s="2">
        <v>70</v>
      </c>
      <c r="L1814" s="2">
        <v>1</v>
      </c>
      <c r="M1814" s="2" t="s">
        <v>29</v>
      </c>
      <c r="N1814" s="2">
        <v>5</v>
      </c>
      <c r="O1814" s="2">
        <v>344.2</v>
      </c>
      <c r="P1814" s="2">
        <f t="shared" si="140"/>
        <v>55</v>
      </c>
      <c r="Q1814" s="4">
        <f t="shared" si="141"/>
        <v>0.21428571428571427</v>
      </c>
      <c r="R1814" s="2" t="str">
        <f t="shared" si="142"/>
        <v>Inefficient</v>
      </c>
      <c r="S1814" s="2" t="str">
        <f t="shared" si="143"/>
        <v>Long</v>
      </c>
      <c r="T1814" s="2" t="str">
        <f t="shared" si="144"/>
        <v>Major Delay</v>
      </c>
    </row>
    <row r="1815" spans="1:20" x14ac:dyDescent="0.35">
      <c r="A1815" s="2" t="s">
        <v>3813</v>
      </c>
      <c r="B1815" s="2" t="s">
        <v>31</v>
      </c>
      <c r="C1815" s="2" t="s">
        <v>3814</v>
      </c>
      <c r="D1815" s="2" t="s">
        <v>44</v>
      </c>
      <c r="E1815" s="2" t="s">
        <v>19</v>
      </c>
      <c r="F1815" s="2" t="s">
        <v>34</v>
      </c>
      <c r="G1815" s="2" t="s">
        <v>810</v>
      </c>
      <c r="H1815" s="3">
        <v>45614.227777777778</v>
      </c>
      <c r="I1815" s="3">
        <v>45614.34097222222</v>
      </c>
      <c r="J1815" s="2">
        <v>140</v>
      </c>
      <c r="K1815" s="2">
        <v>163</v>
      </c>
      <c r="L1815" s="2">
        <v>1</v>
      </c>
      <c r="M1815" s="2" t="s">
        <v>29</v>
      </c>
      <c r="N1815" s="2">
        <v>10</v>
      </c>
      <c r="O1815" s="2">
        <v>486.63</v>
      </c>
      <c r="P1815" s="2">
        <f t="shared" si="140"/>
        <v>23</v>
      </c>
      <c r="Q1815" s="4">
        <f t="shared" si="141"/>
        <v>0.85889570552147243</v>
      </c>
      <c r="R1815" s="2" t="str">
        <f t="shared" si="142"/>
        <v>Inefficient</v>
      </c>
      <c r="S1815" s="2" t="str">
        <f t="shared" si="143"/>
        <v>Very Long</v>
      </c>
      <c r="T1815" s="2" t="str">
        <f t="shared" si="144"/>
        <v>Minor Delay</v>
      </c>
    </row>
    <row r="1816" spans="1:20" x14ac:dyDescent="0.35">
      <c r="A1816" s="2" t="s">
        <v>3815</v>
      </c>
      <c r="B1816" s="2" t="s">
        <v>63</v>
      </c>
      <c r="C1816" s="2" t="s">
        <v>3816</v>
      </c>
      <c r="D1816" s="2" t="s">
        <v>26</v>
      </c>
      <c r="E1816" s="2" t="s">
        <v>85</v>
      </c>
      <c r="F1816" s="2" t="s">
        <v>57</v>
      </c>
      <c r="G1816" s="2" t="s">
        <v>383</v>
      </c>
      <c r="H1816" s="3">
        <v>45396.553472222222</v>
      </c>
      <c r="I1816" s="3">
        <v>45396.638888888891</v>
      </c>
      <c r="J1816" s="2">
        <v>23</v>
      </c>
      <c r="K1816" s="2">
        <v>123</v>
      </c>
      <c r="L1816" s="2">
        <v>1</v>
      </c>
      <c r="M1816" s="2" t="s">
        <v>22</v>
      </c>
      <c r="N1816" s="2">
        <v>3</v>
      </c>
      <c r="O1816" s="2">
        <v>450.74</v>
      </c>
      <c r="P1816" s="2">
        <f t="shared" si="140"/>
        <v>100</v>
      </c>
      <c r="Q1816" s="4">
        <f t="shared" si="141"/>
        <v>0.18699186991869918</v>
      </c>
      <c r="R1816" s="2" t="str">
        <f t="shared" si="142"/>
        <v>Inefficient</v>
      </c>
      <c r="S1816" s="2" t="str">
        <f t="shared" si="143"/>
        <v>Very Long</v>
      </c>
      <c r="T1816" s="2" t="str">
        <f t="shared" si="144"/>
        <v>Major Delay</v>
      </c>
    </row>
    <row r="1817" spans="1:20" x14ac:dyDescent="0.35">
      <c r="A1817" s="2" t="s">
        <v>3817</v>
      </c>
      <c r="B1817" s="2" t="s">
        <v>51</v>
      </c>
      <c r="C1817" s="2" t="s">
        <v>3818</v>
      </c>
      <c r="D1817" s="2" t="s">
        <v>56</v>
      </c>
      <c r="E1817" s="2" t="s">
        <v>19</v>
      </c>
      <c r="F1817" s="2" t="s">
        <v>57</v>
      </c>
      <c r="G1817" s="2" t="s">
        <v>1719</v>
      </c>
      <c r="H1817" s="3">
        <v>45493.438888888886</v>
      </c>
      <c r="I1817" s="3">
        <v>45493.612500000003</v>
      </c>
      <c r="J1817" s="2">
        <v>131</v>
      </c>
      <c r="K1817" s="2">
        <v>250</v>
      </c>
      <c r="L1817" s="2">
        <v>1</v>
      </c>
      <c r="M1817" s="2" t="s">
        <v>22</v>
      </c>
      <c r="N1817" s="2">
        <v>10</v>
      </c>
      <c r="O1817" s="2">
        <v>114.87</v>
      </c>
      <c r="P1817" s="2">
        <f t="shared" si="140"/>
        <v>119</v>
      </c>
      <c r="Q1817" s="4">
        <f t="shared" si="141"/>
        <v>0.52400000000000002</v>
      </c>
      <c r="R1817" s="2" t="str">
        <f t="shared" si="142"/>
        <v>Inefficient</v>
      </c>
      <c r="S1817" s="2" t="str">
        <f t="shared" si="143"/>
        <v>Very Long</v>
      </c>
      <c r="T1817" s="2" t="str">
        <f t="shared" si="144"/>
        <v>Major Delay</v>
      </c>
    </row>
    <row r="1818" spans="1:20" x14ac:dyDescent="0.35">
      <c r="A1818" s="2" t="s">
        <v>3819</v>
      </c>
      <c r="B1818" s="2" t="s">
        <v>24</v>
      </c>
      <c r="C1818" s="2" t="s">
        <v>3820</v>
      </c>
      <c r="D1818" s="2" t="s">
        <v>56</v>
      </c>
      <c r="E1818" s="2" t="s">
        <v>38</v>
      </c>
      <c r="F1818" s="2" t="s">
        <v>57</v>
      </c>
      <c r="G1818" s="2" t="s">
        <v>40</v>
      </c>
      <c r="H1818" s="3">
        <v>45339.133333333331</v>
      </c>
      <c r="I1818" s="3">
        <v>45339.188194444447</v>
      </c>
      <c r="J1818" s="2">
        <v>43</v>
      </c>
      <c r="K1818" s="2">
        <v>79</v>
      </c>
      <c r="L1818" s="2">
        <v>1</v>
      </c>
      <c r="M1818" s="2" t="s">
        <v>41</v>
      </c>
      <c r="N1818" s="2">
        <v>2</v>
      </c>
      <c r="O1818" s="2">
        <v>75.55</v>
      </c>
      <c r="P1818" s="2">
        <f t="shared" si="140"/>
        <v>36</v>
      </c>
      <c r="Q1818" s="4">
        <f t="shared" si="141"/>
        <v>0.54430379746835444</v>
      </c>
      <c r="R1818" s="2" t="str">
        <f t="shared" si="142"/>
        <v>Inefficient</v>
      </c>
      <c r="S1818" s="2" t="str">
        <f t="shared" si="143"/>
        <v>Long</v>
      </c>
      <c r="T1818" s="2" t="str">
        <f t="shared" si="144"/>
        <v>Major Delay</v>
      </c>
    </row>
    <row r="1819" spans="1:20" x14ac:dyDescent="0.35">
      <c r="A1819" s="2" t="s">
        <v>3821</v>
      </c>
      <c r="B1819" s="2" t="s">
        <v>63</v>
      </c>
      <c r="C1819" s="2" t="s">
        <v>3822</v>
      </c>
      <c r="D1819" s="2" t="s">
        <v>18</v>
      </c>
      <c r="E1819" s="2" t="s">
        <v>38</v>
      </c>
      <c r="F1819" s="2" t="s">
        <v>27</v>
      </c>
      <c r="G1819" s="2" t="s">
        <v>58</v>
      </c>
      <c r="H1819" s="3">
        <v>45296.29583333333</v>
      </c>
      <c r="I1819" s="3">
        <v>45296.347916666666</v>
      </c>
      <c r="J1819" s="2">
        <v>16</v>
      </c>
      <c r="K1819" s="2">
        <v>75</v>
      </c>
      <c r="L1819" s="2">
        <v>1</v>
      </c>
      <c r="M1819" s="2" t="s">
        <v>22</v>
      </c>
      <c r="N1819" s="2">
        <v>2</v>
      </c>
      <c r="O1819" s="2">
        <v>270.04000000000002</v>
      </c>
      <c r="P1819" s="2">
        <f t="shared" si="140"/>
        <v>59</v>
      </c>
      <c r="Q1819" s="4">
        <f t="shared" si="141"/>
        <v>0.21333333333333335</v>
      </c>
      <c r="R1819" s="2" t="str">
        <f t="shared" si="142"/>
        <v>Inefficient</v>
      </c>
      <c r="S1819" s="2" t="str">
        <f t="shared" si="143"/>
        <v>Long</v>
      </c>
      <c r="T1819" s="2" t="str">
        <f t="shared" si="144"/>
        <v>Major Delay</v>
      </c>
    </row>
    <row r="1820" spans="1:20" x14ac:dyDescent="0.35">
      <c r="A1820" s="2" t="s">
        <v>3823</v>
      </c>
      <c r="B1820" s="2" t="s">
        <v>16</v>
      </c>
      <c r="C1820" s="2" t="s">
        <v>3824</v>
      </c>
      <c r="D1820" s="2" t="s">
        <v>56</v>
      </c>
      <c r="E1820" s="2" t="s">
        <v>33</v>
      </c>
      <c r="F1820" s="2" t="s">
        <v>57</v>
      </c>
      <c r="G1820" s="2" t="s">
        <v>615</v>
      </c>
      <c r="H1820" s="3">
        <v>45438.466666666667</v>
      </c>
      <c r="I1820" s="3">
        <v>45438.51666666667</v>
      </c>
      <c r="J1820" s="2">
        <v>60</v>
      </c>
      <c r="K1820" s="2">
        <v>72</v>
      </c>
      <c r="L1820" s="2">
        <v>1</v>
      </c>
      <c r="M1820" s="2" t="s">
        <v>29</v>
      </c>
      <c r="N1820" s="2">
        <v>1</v>
      </c>
      <c r="O1820" s="2">
        <v>333.84</v>
      </c>
      <c r="P1820" s="2">
        <f t="shared" si="140"/>
        <v>12</v>
      </c>
      <c r="Q1820" s="4">
        <f t="shared" si="141"/>
        <v>0.83333333333333337</v>
      </c>
      <c r="R1820" s="2" t="str">
        <f t="shared" si="142"/>
        <v>Inefficient</v>
      </c>
      <c r="S1820" s="2" t="str">
        <f t="shared" si="143"/>
        <v>Long</v>
      </c>
      <c r="T1820" s="2" t="str">
        <f t="shared" si="144"/>
        <v>Minor Delay</v>
      </c>
    </row>
    <row r="1821" spans="1:20" x14ac:dyDescent="0.35">
      <c r="A1821" s="2" t="s">
        <v>3825</v>
      </c>
      <c r="B1821" s="2" t="s">
        <v>63</v>
      </c>
      <c r="C1821" s="2" t="s">
        <v>3826</v>
      </c>
      <c r="D1821" s="2" t="s">
        <v>56</v>
      </c>
      <c r="E1821" s="2" t="s">
        <v>85</v>
      </c>
      <c r="F1821" s="2" t="s">
        <v>20</v>
      </c>
      <c r="G1821" s="2" t="s">
        <v>338</v>
      </c>
      <c r="H1821" s="3">
        <v>45384.219444444447</v>
      </c>
      <c r="I1821" s="3">
        <v>45384.371527777781</v>
      </c>
      <c r="J1821" s="2">
        <v>149</v>
      </c>
      <c r="K1821" s="2">
        <v>219</v>
      </c>
      <c r="L1821" s="2">
        <v>1</v>
      </c>
      <c r="M1821" s="2" t="s">
        <v>22</v>
      </c>
      <c r="N1821" s="2">
        <v>8</v>
      </c>
      <c r="O1821" s="2">
        <v>404.39</v>
      </c>
      <c r="P1821" s="2">
        <f t="shared" si="140"/>
        <v>70</v>
      </c>
      <c r="Q1821" s="4">
        <f t="shared" si="141"/>
        <v>0.68036529680365299</v>
      </c>
      <c r="R1821" s="2" t="str">
        <f t="shared" si="142"/>
        <v>Inefficient</v>
      </c>
      <c r="S1821" s="2" t="str">
        <f t="shared" si="143"/>
        <v>Very Long</v>
      </c>
      <c r="T1821" s="2" t="str">
        <f t="shared" si="144"/>
        <v>Major Delay</v>
      </c>
    </row>
    <row r="1822" spans="1:20" x14ac:dyDescent="0.35">
      <c r="A1822" s="2" t="s">
        <v>3827</v>
      </c>
      <c r="B1822" s="2" t="s">
        <v>24</v>
      </c>
      <c r="C1822" s="2" t="s">
        <v>3828</v>
      </c>
      <c r="D1822" s="2" t="s">
        <v>44</v>
      </c>
      <c r="E1822" s="2" t="s">
        <v>33</v>
      </c>
      <c r="F1822" s="2" t="s">
        <v>39</v>
      </c>
      <c r="G1822" s="2" t="s">
        <v>500</v>
      </c>
      <c r="H1822" s="3">
        <v>45610.712500000001</v>
      </c>
      <c r="I1822" s="3">
        <v>45610.856944444444</v>
      </c>
      <c r="J1822" s="2">
        <v>174</v>
      </c>
      <c r="K1822" s="2">
        <v>208</v>
      </c>
      <c r="L1822" s="2">
        <v>1</v>
      </c>
      <c r="M1822" s="2" t="s">
        <v>22</v>
      </c>
      <c r="N1822" s="2">
        <v>7</v>
      </c>
      <c r="O1822" s="2">
        <v>114.29</v>
      </c>
      <c r="P1822" s="2">
        <f t="shared" si="140"/>
        <v>34</v>
      </c>
      <c r="Q1822" s="4">
        <f t="shared" si="141"/>
        <v>0.83653846153846156</v>
      </c>
      <c r="R1822" s="2" t="str">
        <f t="shared" si="142"/>
        <v>Inefficient</v>
      </c>
      <c r="S1822" s="2" t="str">
        <f t="shared" si="143"/>
        <v>Very Long</v>
      </c>
      <c r="T1822" s="2" t="str">
        <f t="shared" si="144"/>
        <v>Major Delay</v>
      </c>
    </row>
    <row r="1823" spans="1:20" x14ac:dyDescent="0.35">
      <c r="A1823" s="2" t="s">
        <v>3829</v>
      </c>
      <c r="B1823" s="2" t="s">
        <v>63</v>
      </c>
      <c r="C1823" s="2" t="s">
        <v>3830</v>
      </c>
      <c r="D1823" s="2" t="s">
        <v>56</v>
      </c>
      <c r="E1823" s="2" t="s">
        <v>85</v>
      </c>
      <c r="F1823" s="2" t="s">
        <v>57</v>
      </c>
      <c r="G1823" s="2" t="s">
        <v>231</v>
      </c>
      <c r="H1823" s="3">
        <v>45431.938888888886</v>
      </c>
      <c r="I1823" s="3">
        <v>45432.100694444445</v>
      </c>
      <c r="J1823" s="2">
        <v>174</v>
      </c>
      <c r="K1823" s="2">
        <v>233</v>
      </c>
      <c r="L1823" s="2">
        <v>1</v>
      </c>
      <c r="M1823" s="2" t="s">
        <v>22</v>
      </c>
      <c r="N1823" s="2">
        <v>5</v>
      </c>
      <c r="O1823" s="2">
        <v>285.24</v>
      </c>
      <c r="P1823" s="2">
        <f t="shared" si="140"/>
        <v>59</v>
      </c>
      <c r="Q1823" s="4">
        <f t="shared" si="141"/>
        <v>0.74678111587982832</v>
      </c>
      <c r="R1823" s="2" t="str">
        <f t="shared" si="142"/>
        <v>Inefficient</v>
      </c>
      <c r="S1823" s="2" t="str">
        <f t="shared" si="143"/>
        <v>Very Long</v>
      </c>
      <c r="T1823" s="2" t="str">
        <f t="shared" si="144"/>
        <v>Major Delay</v>
      </c>
    </row>
    <row r="1824" spans="1:20" x14ac:dyDescent="0.35">
      <c r="A1824" s="2" t="s">
        <v>3831</v>
      </c>
      <c r="B1824" s="2" t="s">
        <v>24</v>
      </c>
      <c r="C1824" s="2" t="s">
        <v>3832</v>
      </c>
      <c r="D1824" s="2" t="s">
        <v>26</v>
      </c>
      <c r="E1824" s="2" t="s">
        <v>85</v>
      </c>
      <c r="F1824" s="2" t="s">
        <v>27</v>
      </c>
      <c r="G1824" s="2" t="s">
        <v>1413</v>
      </c>
      <c r="H1824" s="3">
        <v>45347.051388888889</v>
      </c>
      <c r="I1824" s="3">
        <v>45347.224999999999</v>
      </c>
      <c r="J1824" s="2">
        <v>220</v>
      </c>
      <c r="K1824" s="2">
        <v>250</v>
      </c>
      <c r="L1824" s="2">
        <v>1</v>
      </c>
      <c r="M1824" s="2" t="s">
        <v>29</v>
      </c>
      <c r="N1824" s="2">
        <v>9</v>
      </c>
      <c r="O1824" s="2">
        <v>497.42</v>
      </c>
      <c r="P1824" s="2">
        <f t="shared" si="140"/>
        <v>30</v>
      </c>
      <c r="Q1824" s="4">
        <f t="shared" si="141"/>
        <v>0.88</v>
      </c>
      <c r="R1824" s="2" t="str">
        <f t="shared" si="142"/>
        <v>Inefficient</v>
      </c>
      <c r="S1824" s="2" t="str">
        <f t="shared" si="143"/>
        <v>Very Long</v>
      </c>
      <c r="T1824" s="2" t="str">
        <f t="shared" si="144"/>
        <v>Minor Delay</v>
      </c>
    </row>
    <row r="1825" spans="1:20" x14ac:dyDescent="0.35">
      <c r="A1825" s="2" t="s">
        <v>3833</v>
      </c>
      <c r="B1825" s="2" t="s">
        <v>24</v>
      </c>
      <c r="C1825" s="2" t="s">
        <v>3834</v>
      </c>
      <c r="D1825" s="2" t="s">
        <v>18</v>
      </c>
      <c r="E1825" s="2" t="s">
        <v>85</v>
      </c>
      <c r="F1825" s="2" t="s">
        <v>57</v>
      </c>
      <c r="G1825" s="2" t="s">
        <v>640</v>
      </c>
      <c r="H1825" s="3">
        <v>45638.44027777778</v>
      </c>
      <c r="I1825" s="3">
        <v>45638.540277777778</v>
      </c>
      <c r="J1825" s="2">
        <v>67</v>
      </c>
      <c r="K1825" s="2">
        <v>144</v>
      </c>
      <c r="L1825" s="2">
        <v>1</v>
      </c>
      <c r="M1825" s="2" t="s">
        <v>22</v>
      </c>
      <c r="N1825" s="2">
        <v>8</v>
      </c>
      <c r="O1825" s="2">
        <v>387.21</v>
      </c>
      <c r="P1825" s="2">
        <f t="shared" si="140"/>
        <v>77</v>
      </c>
      <c r="Q1825" s="4">
        <f t="shared" si="141"/>
        <v>0.46527777777777779</v>
      </c>
      <c r="R1825" s="2" t="str">
        <f t="shared" si="142"/>
        <v>Inefficient</v>
      </c>
      <c r="S1825" s="2" t="str">
        <f t="shared" si="143"/>
        <v>Very Long</v>
      </c>
      <c r="T1825" s="2" t="str">
        <f t="shared" si="144"/>
        <v>Major Delay</v>
      </c>
    </row>
    <row r="1826" spans="1:20" x14ac:dyDescent="0.35">
      <c r="A1826" s="2" t="s">
        <v>3835</v>
      </c>
      <c r="B1826" s="2" t="s">
        <v>51</v>
      </c>
      <c r="C1826" s="2" t="s">
        <v>3836</v>
      </c>
      <c r="D1826" s="2" t="s">
        <v>18</v>
      </c>
      <c r="E1826" s="2" t="s">
        <v>33</v>
      </c>
      <c r="F1826" s="2" t="s">
        <v>27</v>
      </c>
      <c r="G1826" s="2" t="s">
        <v>299</v>
      </c>
      <c r="H1826" s="3">
        <v>45506.712500000001</v>
      </c>
      <c r="I1826" s="3">
        <v>45506.805555555555</v>
      </c>
      <c r="J1826" s="2">
        <v>81</v>
      </c>
      <c r="K1826" s="2">
        <v>134</v>
      </c>
      <c r="L1826" s="2">
        <v>1</v>
      </c>
      <c r="M1826" s="2" t="s">
        <v>22</v>
      </c>
      <c r="N1826" s="2">
        <v>5</v>
      </c>
      <c r="O1826" s="2">
        <v>357.09</v>
      </c>
      <c r="P1826" s="2">
        <f t="shared" si="140"/>
        <v>53</v>
      </c>
      <c r="Q1826" s="4">
        <f t="shared" si="141"/>
        <v>0.60447761194029848</v>
      </c>
      <c r="R1826" s="2" t="str">
        <f t="shared" si="142"/>
        <v>Inefficient</v>
      </c>
      <c r="S1826" s="2" t="str">
        <f t="shared" si="143"/>
        <v>Very Long</v>
      </c>
      <c r="T1826" s="2" t="str">
        <f t="shared" si="144"/>
        <v>Major Delay</v>
      </c>
    </row>
    <row r="1827" spans="1:20" x14ac:dyDescent="0.35">
      <c r="A1827" s="2" t="s">
        <v>3837</v>
      </c>
      <c r="B1827" s="2" t="s">
        <v>16</v>
      </c>
      <c r="C1827" s="2" t="s">
        <v>3838</v>
      </c>
      <c r="D1827" s="2" t="s">
        <v>48</v>
      </c>
      <c r="E1827" s="2" t="s">
        <v>33</v>
      </c>
      <c r="F1827" s="2" t="s">
        <v>57</v>
      </c>
      <c r="G1827" s="2" t="s">
        <v>65</v>
      </c>
      <c r="H1827" s="3">
        <v>45647.931250000001</v>
      </c>
      <c r="I1827" s="3">
        <v>45648.149305555555</v>
      </c>
      <c r="J1827" s="2">
        <v>206</v>
      </c>
      <c r="K1827" s="2">
        <v>314</v>
      </c>
      <c r="L1827" s="2">
        <v>1</v>
      </c>
      <c r="M1827" s="2" t="s">
        <v>22</v>
      </c>
      <c r="N1827" s="2">
        <v>4</v>
      </c>
      <c r="O1827" s="2">
        <v>267.07</v>
      </c>
      <c r="P1827" s="2">
        <f t="shared" si="140"/>
        <v>108</v>
      </c>
      <c r="Q1827" s="4">
        <f t="shared" si="141"/>
        <v>0.6560509554140127</v>
      </c>
      <c r="R1827" s="2" t="str">
        <f t="shared" si="142"/>
        <v>Inefficient</v>
      </c>
      <c r="S1827" s="2" t="str">
        <f t="shared" si="143"/>
        <v>Very Long</v>
      </c>
      <c r="T1827" s="2" t="str">
        <f t="shared" si="144"/>
        <v>Major Delay</v>
      </c>
    </row>
    <row r="1828" spans="1:20" x14ac:dyDescent="0.35">
      <c r="A1828" s="2" t="s">
        <v>3839</v>
      </c>
      <c r="B1828" s="2" t="s">
        <v>31</v>
      </c>
      <c r="C1828" s="2" t="s">
        <v>3840</v>
      </c>
      <c r="D1828" s="2" t="s">
        <v>56</v>
      </c>
      <c r="E1828" s="2" t="s">
        <v>38</v>
      </c>
      <c r="F1828" s="2" t="s">
        <v>39</v>
      </c>
      <c r="G1828" s="2" t="s">
        <v>161</v>
      </c>
      <c r="H1828" s="3">
        <v>45593.943749999999</v>
      </c>
      <c r="I1828" s="3">
        <v>45594.045138888891</v>
      </c>
      <c r="J1828" s="2">
        <v>135</v>
      </c>
      <c r="K1828" s="2">
        <v>146</v>
      </c>
      <c r="L1828" s="2">
        <v>1</v>
      </c>
      <c r="M1828" s="2" t="s">
        <v>22</v>
      </c>
      <c r="N1828" s="2">
        <v>7</v>
      </c>
      <c r="O1828" s="2">
        <v>65.95</v>
      </c>
      <c r="P1828" s="2">
        <f t="shared" si="140"/>
        <v>11</v>
      </c>
      <c r="Q1828" s="4">
        <f t="shared" si="141"/>
        <v>0.92465753424657537</v>
      </c>
      <c r="R1828" s="2" t="str">
        <f t="shared" si="142"/>
        <v>Inefficient</v>
      </c>
      <c r="S1828" s="2" t="str">
        <f t="shared" si="143"/>
        <v>Very Long</v>
      </c>
      <c r="T1828" s="2" t="str">
        <f t="shared" si="144"/>
        <v>Minor Delay</v>
      </c>
    </row>
    <row r="1829" spans="1:20" x14ac:dyDescent="0.35">
      <c r="A1829" s="2" t="s">
        <v>3841</v>
      </c>
      <c r="B1829" s="2" t="s">
        <v>16</v>
      </c>
      <c r="C1829" s="2" t="s">
        <v>3842</v>
      </c>
      <c r="D1829" s="2" t="s">
        <v>44</v>
      </c>
      <c r="E1829" s="2" t="s">
        <v>85</v>
      </c>
      <c r="F1829" s="2" t="s">
        <v>34</v>
      </c>
      <c r="G1829" s="2" t="s">
        <v>1719</v>
      </c>
      <c r="H1829" s="3">
        <v>45465.219444444447</v>
      </c>
      <c r="I1829" s="3">
        <v>45465.448611111111</v>
      </c>
      <c r="J1829" s="2">
        <v>213</v>
      </c>
      <c r="K1829" s="2">
        <v>330</v>
      </c>
      <c r="L1829" s="2">
        <v>1</v>
      </c>
      <c r="M1829" s="2" t="s">
        <v>41</v>
      </c>
      <c r="N1829" s="2">
        <v>5</v>
      </c>
      <c r="O1829" s="2">
        <v>189.64</v>
      </c>
      <c r="P1829" s="2">
        <f t="shared" si="140"/>
        <v>117</v>
      </c>
      <c r="Q1829" s="4">
        <f t="shared" si="141"/>
        <v>0.6454545454545455</v>
      </c>
      <c r="R1829" s="2" t="str">
        <f t="shared" si="142"/>
        <v>Inefficient</v>
      </c>
      <c r="S1829" s="2" t="str">
        <f t="shared" si="143"/>
        <v>Very Long</v>
      </c>
      <c r="T1829" s="2" t="str">
        <f t="shared" si="144"/>
        <v>Major Delay</v>
      </c>
    </row>
    <row r="1830" spans="1:20" x14ac:dyDescent="0.35">
      <c r="A1830" s="2" t="s">
        <v>3843</v>
      </c>
      <c r="B1830" s="2" t="s">
        <v>24</v>
      </c>
      <c r="C1830" s="2" t="s">
        <v>3844</v>
      </c>
      <c r="D1830" s="2" t="s">
        <v>44</v>
      </c>
      <c r="E1830" s="2" t="s">
        <v>38</v>
      </c>
      <c r="F1830" s="2" t="s">
        <v>27</v>
      </c>
      <c r="G1830" s="2" t="s">
        <v>1187</v>
      </c>
      <c r="H1830" s="3">
        <v>45373.815972222219</v>
      </c>
      <c r="I1830" s="3">
        <v>45373.927777777775</v>
      </c>
      <c r="J1830" s="2">
        <v>106</v>
      </c>
      <c r="K1830" s="2">
        <v>161</v>
      </c>
      <c r="L1830" s="2">
        <v>1</v>
      </c>
      <c r="M1830" s="2" t="s">
        <v>29</v>
      </c>
      <c r="N1830" s="2">
        <v>1</v>
      </c>
      <c r="O1830" s="2">
        <v>299.63</v>
      </c>
      <c r="P1830" s="2">
        <f t="shared" si="140"/>
        <v>55</v>
      </c>
      <c r="Q1830" s="4">
        <f t="shared" si="141"/>
        <v>0.65838509316770188</v>
      </c>
      <c r="R1830" s="2" t="str">
        <f t="shared" si="142"/>
        <v>Inefficient</v>
      </c>
      <c r="S1830" s="2" t="str">
        <f t="shared" si="143"/>
        <v>Very Long</v>
      </c>
      <c r="T1830" s="2" t="str">
        <f t="shared" si="144"/>
        <v>Major Delay</v>
      </c>
    </row>
    <row r="1831" spans="1:20" x14ac:dyDescent="0.35">
      <c r="A1831" s="2" t="s">
        <v>3845</v>
      </c>
      <c r="B1831" s="2" t="s">
        <v>31</v>
      </c>
      <c r="C1831" s="2" t="s">
        <v>3846</v>
      </c>
      <c r="D1831" s="2" t="s">
        <v>48</v>
      </c>
      <c r="E1831" s="2" t="s">
        <v>38</v>
      </c>
      <c r="F1831" s="2" t="s">
        <v>39</v>
      </c>
      <c r="G1831" s="2" t="s">
        <v>293</v>
      </c>
      <c r="H1831" s="3">
        <v>45420.052777777775</v>
      </c>
      <c r="I1831" s="3">
        <v>45420.142361111109</v>
      </c>
      <c r="J1831" s="2">
        <v>81</v>
      </c>
      <c r="K1831" s="2">
        <v>129</v>
      </c>
      <c r="L1831" s="2">
        <v>1</v>
      </c>
      <c r="M1831" s="2" t="s">
        <v>41</v>
      </c>
      <c r="N1831" s="2">
        <v>4</v>
      </c>
      <c r="O1831" s="2">
        <v>99.66</v>
      </c>
      <c r="P1831" s="2">
        <f t="shared" si="140"/>
        <v>48</v>
      </c>
      <c r="Q1831" s="4">
        <f t="shared" si="141"/>
        <v>0.62790697674418605</v>
      </c>
      <c r="R1831" s="2" t="str">
        <f t="shared" si="142"/>
        <v>Inefficient</v>
      </c>
      <c r="S1831" s="2" t="str">
        <f t="shared" si="143"/>
        <v>Very Long</v>
      </c>
      <c r="T1831" s="2" t="str">
        <f t="shared" si="144"/>
        <v>Major Delay</v>
      </c>
    </row>
    <row r="1832" spans="1:20" x14ac:dyDescent="0.35">
      <c r="A1832" s="2" t="s">
        <v>3847</v>
      </c>
      <c r="B1832" s="2" t="s">
        <v>51</v>
      </c>
      <c r="C1832" s="2" t="s">
        <v>3848</v>
      </c>
      <c r="D1832" s="2" t="s">
        <v>56</v>
      </c>
      <c r="E1832" s="2" t="s">
        <v>85</v>
      </c>
      <c r="F1832" s="2" t="s">
        <v>39</v>
      </c>
      <c r="G1832" s="2" t="s">
        <v>1413</v>
      </c>
      <c r="H1832" s="3">
        <v>45646.87777777778</v>
      </c>
      <c r="I1832" s="3">
        <v>45647.056250000001</v>
      </c>
      <c r="J1832" s="2">
        <v>222</v>
      </c>
      <c r="K1832" s="2">
        <v>257</v>
      </c>
      <c r="L1832" s="2">
        <v>1</v>
      </c>
      <c r="M1832" s="2" t="s">
        <v>22</v>
      </c>
      <c r="N1832" s="2">
        <v>10</v>
      </c>
      <c r="O1832" s="2">
        <v>165.58</v>
      </c>
      <c r="P1832" s="2">
        <f t="shared" si="140"/>
        <v>35</v>
      </c>
      <c r="Q1832" s="4">
        <f t="shared" si="141"/>
        <v>0.86381322957198448</v>
      </c>
      <c r="R1832" s="2" t="str">
        <f t="shared" si="142"/>
        <v>Inefficient</v>
      </c>
      <c r="S1832" s="2" t="str">
        <f t="shared" si="143"/>
        <v>Very Long</v>
      </c>
      <c r="T1832" s="2" t="str">
        <f t="shared" si="144"/>
        <v>Major Delay</v>
      </c>
    </row>
    <row r="1833" spans="1:20" x14ac:dyDescent="0.35">
      <c r="A1833" s="2" t="s">
        <v>3849</v>
      </c>
      <c r="B1833" s="2" t="s">
        <v>31</v>
      </c>
      <c r="C1833" s="2" t="s">
        <v>3850</v>
      </c>
      <c r="D1833" s="2" t="s">
        <v>18</v>
      </c>
      <c r="E1833" s="2" t="s">
        <v>33</v>
      </c>
      <c r="F1833" s="2" t="s">
        <v>39</v>
      </c>
      <c r="G1833" s="2" t="s">
        <v>94</v>
      </c>
      <c r="H1833" s="3">
        <v>45436.561111111114</v>
      </c>
      <c r="I1833" s="3">
        <v>45436.676388888889</v>
      </c>
      <c r="J1833" s="2">
        <v>109</v>
      </c>
      <c r="K1833" s="2">
        <v>166</v>
      </c>
      <c r="L1833" s="2">
        <v>1</v>
      </c>
      <c r="M1833" s="2" t="s">
        <v>41</v>
      </c>
      <c r="N1833" s="2">
        <v>2</v>
      </c>
      <c r="O1833" s="2">
        <v>317.27999999999997</v>
      </c>
      <c r="P1833" s="2">
        <f t="shared" si="140"/>
        <v>57</v>
      </c>
      <c r="Q1833" s="4">
        <f t="shared" si="141"/>
        <v>0.65662650602409633</v>
      </c>
      <c r="R1833" s="2" t="str">
        <f t="shared" si="142"/>
        <v>Inefficient</v>
      </c>
      <c r="S1833" s="2" t="str">
        <f t="shared" si="143"/>
        <v>Very Long</v>
      </c>
      <c r="T1833" s="2" t="str">
        <f t="shared" si="144"/>
        <v>Major Delay</v>
      </c>
    </row>
    <row r="1834" spans="1:20" x14ac:dyDescent="0.35">
      <c r="A1834" s="2" t="s">
        <v>3851</v>
      </c>
      <c r="B1834" s="2" t="s">
        <v>63</v>
      </c>
      <c r="C1834" s="2" t="s">
        <v>3852</v>
      </c>
      <c r="D1834" s="2" t="s">
        <v>18</v>
      </c>
      <c r="E1834" s="2" t="s">
        <v>38</v>
      </c>
      <c r="F1834" s="2" t="s">
        <v>57</v>
      </c>
      <c r="G1834" s="2" t="s">
        <v>418</v>
      </c>
      <c r="H1834" s="3">
        <v>45491.966666666667</v>
      </c>
      <c r="I1834" s="3">
        <v>45492.050694444442</v>
      </c>
      <c r="J1834" s="2">
        <v>104</v>
      </c>
      <c r="K1834" s="2">
        <v>121</v>
      </c>
      <c r="L1834" s="2">
        <v>1</v>
      </c>
      <c r="M1834" s="2" t="s">
        <v>29</v>
      </c>
      <c r="N1834" s="2">
        <v>2</v>
      </c>
      <c r="O1834" s="2">
        <v>267.83999999999997</v>
      </c>
      <c r="P1834" s="2">
        <f t="shared" si="140"/>
        <v>17</v>
      </c>
      <c r="Q1834" s="4">
        <f t="shared" si="141"/>
        <v>0.85950413223140498</v>
      </c>
      <c r="R1834" s="2" t="str">
        <f t="shared" si="142"/>
        <v>Inefficient</v>
      </c>
      <c r="S1834" s="2" t="str">
        <f t="shared" si="143"/>
        <v>Very Long</v>
      </c>
      <c r="T1834" s="2" t="str">
        <f t="shared" si="144"/>
        <v>Minor Delay</v>
      </c>
    </row>
    <row r="1835" spans="1:20" x14ac:dyDescent="0.35">
      <c r="A1835" s="2" t="s">
        <v>3853</v>
      </c>
      <c r="B1835" s="2" t="s">
        <v>63</v>
      </c>
      <c r="C1835" s="2" t="s">
        <v>3854</v>
      </c>
      <c r="D1835" s="2" t="s">
        <v>26</v>
      </c>
      <c r="E1835" s="2" t="s">
        <v>38</v>
      </c>
      <c r="F1835" s="2" t="s">
        <v>39</v>
      </c>
      <c r="G1835" s="2" t="s">
        <v>782</v>
      </c>
      <c r="H1835" s="3">
        <v>45599.884027777778</v>
      </c>
      <c r="I1835" s="3">
        <v>45600.010416666664</v>
      </c>
      <c r="J1835" s="2">
        <v>157</v>
      </c>
      <c r="K1835" s="2">
        <v>182</v>
      </c>
      <c r="L1835" s="2">
        <v>1</v>
      </c>
      <c r="M1835" s="2" t="s">
        <v>41</v>
      </c>
      <c r="N1835" s="2">
        <v>2</v>
      </c>
      <c r="O1835" s="2">
        <v>497.73</v>
      </c>
      <c r="P1835" s="2">
        <f t="shared" si="140"/>
        <v>25</v>
      </c>
      <c r="Q1835" s="4">
        <f t="shared" si="141"/>
        <v>0.86263736263736268</v>
      </c>
      <c r="R1835" s="2" t="str">
        <f t="shared" si="142"/>
        <v>Inefficient</v>
      </c>
      <c r="S1835" s="2" t="str">
        <f t="shared" si="143"/>
        <v>Very Long</v>
      </c>
      <c r="T1835" s="2" t="str">
        <f t="shared" si="144"/>
        <v>Minor Delay</v>
      </c>
    </row>
    <row r="1836" spans="1:20" x14ac:dyDescent="0.35">
      <c r="A1836" s="2" t="s">
        <v>3855</v>
      </c>
      <c r="B1836" s="2" t="s">
        <v>24</v>
      </c>
      <c r="C1836" s="2" t="s">
        <v>3856</v>
      </c>
      <c r="D1836" s="2" t="s">
        <v>56</v>
      </c>
      <c r="E1836" s="2" t="s">
        <v>19</v>
      </c>
      <c r="F1836" s="2" t="s">
        <v>20</v>
      </c>
      <c r="G1836" s="2" t="s">
        <v>82</v>
      </c>
      <c r="H1836" s="3">
        <v>45378.695833333331</v>
      </c>
      <c r="I1836" s="3">
        <v>45378.816666666666</v>
      </c>
      <c r="J1836" s="2">
        <v>56</v>
      </c>
      <c r="K1836" s="2">
        <v>174</v>
      </c>
      <c r="L1836" s="2">
        <v>1</v>
      </c>
      <c r="M1836" s="2" t="s">
        <v>22</v>
      </c>
      <c r="N1836" s="2">
        <v>7</v>
      </c>
      <c r="O1836" s="2">
        <v>422.24</v>
      </c>
      <c r="P1836" s="2">
        <f t="shared" si="140"/>
        <v>118</v>
      </c>
      <c r="Q1836" s="4">
        <f t="shared" si="141"/>
        <v>0.32183908045977011</v>
      </c>
      <c r="R1836" s="2" t="str">
        <f t="shared" si="142"/>
        <v>Inefficient</v>
      </c>
      <c r="S1836" s="2" t="str">
        <f t="shared" si="143"/>
        <v>Very Long</v>
      </c>
      <c r="T1836" s="2" t="str">
        <f t="shared" si="144"/>
        <v>Major Delay</v>
      </c>
    </row>
    <row r="1837" spans="1:20" x14ac:dyDescent="0.35">
      <c r="A1837" s="2" t="s">
        <v>3857</v>
      </c>
      <c r="B1837" s="2" t="s">
        <v>31</v>
      </c>
      <c r="C1837" s="2" t="s">
        <v>3858</v>
      </c>
      <c r="D1837" s="2" t="s">
        <v>44</v>
      </c>
      <c r="E1837" s="2" t="s">
        <v>33</v>
      </c>
      <c r="F1837" s="2" t="s">
        <v>27</v>
      </c>
      <c r="G1837" s="2" t="s">
        <v>299</v>
      </c>
      <c r="H1837" s="3">
        <v>45310.98333333333</v>
      </c>
      <c r="I1837" s="3">
        <v>45311.154166666667</v>
      </c>
      <c r="J1837" s="2">
        <v>227</v>
      </c>
      <c r="K1837" s="2">
        <v>246</v>
      </c>
      <c r="L1837" s="2">
        <v>1</v>
      </c>
      <c r="M1837" s="2" t="s">
        <v>29</v>
      </c>
      <c r="N1837" s="2">
        <v>3</v>
      </c>
      <c r="O1837" s="2">
        <v>347.69</v>
      </c>
      <c r="P1837" s="2">
        <f t="shared" si="140"/>
        <v>19</v>
      </c>
      <c r="Q1837" s="4">
        <f t="shared" si="141"/>
        <v>0.92276422764227639</v>
      </c>
      <c r="R1837" s="2" t="str">
        <f t="shared" si="142"/>
        <v>Inefficient</v>
      </c>
      <c r="S1837" s="2" t="str">
        <f t="shared" si="143"/>
        <v>Very Long</v>
      </c>
      <c r="T1837" s="2" t="str">
        <f t="shared" si="144"/>
        <v>Minor Delay</v>
      </c>
    </row>
    <row r="1838" spans="1:20" x14ac:dyDescent="0.35">
      <c r="A1838" s="2" t="s">
        <v>3859</v>
      </c>
      <c r="B1838" s="2" t="s">
        <v>63</v>
      </c>
      <c r="C1838" s="2" t="s">
        <v>3860</v>
      </c>
      <c r="D1838" s="2" t="s">
        <v>56</v>
      </c>
      <c r="E1838" s="2" t="s">
        <v>19</v>
      </c>
      <c r="F1838" s="2" t="s">
        <v>39</v>
      </c>
      <c r="G1838" s="2" t="s">
        <v>785</v>
      </c>
      <c r="H1838" s="3">
        <v>45444.384722222225</v>
      </c>
      <c r="I1838" s="3">
        <v>45444.574305555558</v>
      </c>
      <c r="J1838" s="2">
        <v>219</v>
      </c>
      <c r="K1838" s="2">
        <v>273</v>
      </c>
      <c r="L1838" s="2">
        <v>1</v>
      </c>
      <c r="M1838" s="2" t="s">
        <v>29</v>
      </c>
      <c r="N1838" s="2">
        <v>5</v>
      </c>
      <c r="O1838" s="2">
        <v>164.5</v>
      </c>
      <c r="P1838" s="2">
        <f t="shared" si="140"/>
        <v>54</v>
      </c>
      <c r="Q1838" s="4">
        <f t="shared" si="141"/>
        <v>0.80219780219780223</v>
      </c>
      <c r="R1838" s="2" t="str">
        <f t="shared" si="142"/>
        <v>Inefficient</v>
      </c>
      <c r="S1838" s="2" t="str">
        <f t="shared" si="143"/>
        <v>Very Long</v>
      </c>
      <c r="T1838" s="2" t="str">
        <f t="shared" si="144"/>
        <v>Major Delay</v>
      </c>
    </row>
    <row r="1839" spans="1:20" x14ac:dyDescent="0.35">
      <c r="A1839" s="2" t="s">
        <v>3861</v>
      </c>
      <c r="B1839" s="2" t="s">
        <v>63</v>
      </c>
      <c r="C1839" s="2" t="s">
        <v>3862</v>
      </c>
      <c r="D1839" s="2" t="s">
        <v>44</v>
      </c>
      <c r="E1839" s="2" t="s">
        <v>38</v>
      </c>
      <c r="F1839" s="2" t="s">
        <v>57</v>
      </c>
      <c r="G1839" s="2" t="s">
        <v>1030</v>
      </c>
      <c r="H1839" s="3">
        <v>45416.281944444447</v>
      </c>
      <c r="I1839" s="3">
        <v>45416.374305555553</v>
      </c>
      <c r="J1839" s="2">
        <v>126</v>
      </c>
      <c r="K1839" s="2">
        <v>133</v>
      </c>
      <c r="L1839" s="2">
        <v>1</v>
      </c>
      <c r="M1839" s="2" t="s">
        <v>29</v>
      </c>
      <c r="N1839" s="2">
        <v>5</v>
      </c>
      <c r="O1839" s="2">
        <v>250.37</v>
      </c>
      <c r="P1839" s="2">
        <f t="shared" si="140"/>
        <v>7</v>
      </c>
      <c r="Q1839" s="4">
        <f t="shared" si="141"/>
        <v>0.94736842105263153</v>
      </c>
      <c r="R1839" s="2" t="str">
        <f t="shared" si="142"/>
        <v>Inefficient</v>
      </c>
      <c r="S1839" s="2" t="str">
        <f t="shared" si="143"/>
        <v>Very Long</v>
      </c>
      <c r="T1839" s="2" t="str">
        <f t="shared" si="144"/>
        <v>Minor Delay</v>
      </c>
    </row>
    <row r="1840" spans="1:20" x14ac:dyDescent="0.35">
      <c r="A1840" s="2" t="s">
        <v>3863</v>
      </c>
      <c r="B1840" s="2" t="s">
        <v>31</v>
      </c>
      <c r="C1840" s="2" t="s">
        <v>3864</v>
      </c>
      <c r="D1840" s="2" t="s">
        <v>18</v>
      </c>
      <c r="E1840" s="2" t="s">
        <v>85</v>
      </c>
      <c r="F1840" s="2" t="s">
        <v>20</v>
      </c>
      <c r="G1840" s="2" t="s">
        <v>97</v>
      </c>
      <c r="H1840" s="3">
        <v>45456.944444444445</v>
      </c>
      <c r="I1840" s="3">
        <v>45457.023611111108</v>
      </c>
      <c r="J1840" s="2">
        <v>106</v>
      </c>
      <c r="K1840" s="2">
        <v>114</v>
      </c>
      <c r="L1840" s="2">
        <v>1</v>
      </c>
      <c r="M1840" s="2" t="s">
        <v>29</v>
      </c>
      <c r="N1840" s="2">
        <v>6</v>
      </c>
      <c r="O1840" s="2">
        <v>398.78</v>
      </c>
      <c r="P1840" s="2">
        <f t="shared" si="140"/>
        <v>8</v>
      </c>
      <c r="Q1840" s="4">
        <f t="shared" si="141"/>
        <v>0.92982456140350878</v>
      </c>
      <c r="R1840" s="2" t="str">
        <f t="shared" si="142"/>
        <v>Inefficient</v>
      </c>
      <c r="S1840" s="2" t="str">
        <f t="shared" si="143"/>
        <v>Long</v>
      </c>
      <c r="T1840" s="2" t="str">
        <f t="shared" si="144"/>
        <v>Minor Delay</v>
      </c>
    </row>
    <row r="1841" spans="1:20" x14ac:dyDescent="0.35">
      <c r="A1841" s="2" t="s">
        <v>3865</v>
      </c>
      <c r="B1841" s="2" t="s">
        <v>63</v>
      </c>
      <c r="C1841" s="2" t="s">
        <v>3866</v>
      </c>
      <c r="D1841" s="2" t="s">
        <v>48</v>
      </c>
      <c r="E1841" s="2" t="s">
        <v>85</v>
      </c>
      <c r="F1841" s="2" t="s">
        <v>27</v>
      </c>
      <c r="G1841" s="2" t="s">
        <v>669</v>
      </c>
      <c r="H1841" s="3">
        <v>45411.07916666667</v>
      </c>
      <c r="I1841" s="3">
        <v>45411.172222222223</v>
      </c>
      <c r="J1841" s="2">
        <v>118</v>
      </c>
      <c r="K1841" s="2">
        <v>134</v>
      </c>
      <c r="L1841" s="2">
        <v>1</v>
      </c>
      <c r="M1841" s="2" t="s">
        <v>22</v>
      </c>
      <c r="N1841" s="2">
        <v>8</v>
      </c>
      <c r="O1841" s="2">
        <v>458.89</v>
      </c>
      <c r="P1841" s="2">
        <f t="shared" si="140"/>
        <v>16</v>
      </c>
      <c r="Q1841" s="4">
        <f t="shared" si="141"/>
        <v>0.88059701492537312</v>
      </c>
      <c r="R1841" s="2" t="str">
        <f t="shared" si="142"/>
        <v>Inefficient</v>
      </c>
      <c r="S1841" s="2" t="str">
        <f t="shared" si="143"/>
        <v>Very Long</v>
      </c>
      <c r="T1841" s="2" t="str">
        <f t="shared" si="144"/>
        <v>Minor Delay</v>
      </c>
    </row>
    <row r="1842" spans="1:20" x14ac:dyDescent="0.35">
      <c r="A1842" s="2" t="s">
        <v>3867</v>
      </c>
      <c r="B1842" s="2" t="s">
        <v>31</v>
      </c>
      <c r="C1842" s="2" t="s">
        <v>3868</v>
      </c>
      <c r="D1842" s="2" t="s">
        <v>18</v>
      </c>
      <c r="E1842" s="2" t="s">
        <v>38</v>
      </c>
      <c r="F1842" s="2" t="s">
        <v>20</v>
      </c>
      <c r="G1842" s="2" t="s">
        <v>500</v>
      </c>
      <c r="H1842" s="3">
        <v>45528.00277777778</v>
      </c>
      <c r="I1842" s="3">
        <v>45528.197222222225</v>
      </c>
      <c r="J1842" s="2">
        <v>226</v>
      </c>
      <c r="K1842" s="2">
        <v>280</v>
      </c>
      <c r="L1842" s="2">
        <v>1</v>
      </c>
      <c r="M1842" s="2" t="s">
        <v>41</v>
      </c>
      <c r="N1842" s="2">
        <v>1</v>
      </c>
      <c r="O1842" s="2">
        <v>233.05</v>
      </c>
      <c r="P1842" s="2">
        <f t="shared" si="140"/>
        <v>54</v>
      </c>
      <c r="Q1842" s="4">
        <f t="shared" si="141"/>
        <v>0.80714285714285716</v>
      </c>
      <c r="R1842" s="2" t="str">
        <f t="shared" si="142"/>
        <v>Inefficient</v>
      </c>
      <c r="S1842" s="2" t="str">
        <f t="shared" si="143"/>
        <v>Very Long</v>
      </c>
      <c r="T1842" s="2" t="str">
        <f t="shared" si="144"/>
        <v>Major Delay</v>
      </c>
    </row>
    <row r="1843" spans="1:20" x14ac:dyDescent="0.35">
      <c r="A1843" s="2" t="s">
        <v>3869</v>
      </c>
      <c r="B1843" s="2" t="s">
        <v>63</v>
      </c>
      <c r="C1843" s="2" t="s">
        <v>3870</v>
      </c>
      <c r="D1843" s="2" t="s">
        <v>48</v>
      </c>
      <c r="E1843" s="2" t="s">
        <v>85</v>
      </c>
      <c r="F1843" s="2" t="s">
        <v>27</v>
      </c>
      <c r="G1843" s="2" t="s">
        <v>691</v>
      </c>
      <c r="H1843" s="3">
        <v>45650.584722222222</v>
      </c>
      <c r="I1843" s="3">
        <v>45650.615277777775</v>
      </c>
      <c r="J1843" s="2">
        <v>20</v>
      </c>
      <c r="K1843" s="2">
        <v>44</v>
      </c>
      <c r="L1843" s="2">
        <v>1</v>
      </c>
      <c r="M1843" s="2" t="s">
        <v>29</v>
      </c>
      <c r="N1843" s="2">
        <v>10</v>
      </c>
      <c r="O1843" s="2">
        <v>299.11</v>
      </c>
      <c r="P1843" s="2">
        <f t="shared" si="140"/>
        <v>24</v>
      </c>
      <c r="Q1843" s="4">
        <f t="shared" si="141"/>
        <v>0.45454545454545453</v>
      </c>
      <c r="R1843" s="2" t="str">
        <f t="shared" si="142"/>
        <v>Inefficient</v>
      </c>
      <c r="S1843" s="2" t="str">
        <f t="shared" si="143"/>
        <v>Medium</v>
      </c>
      <c r="T1843" s="2" t="str">
        <f t="shared" si="144"/>
        <v>Minor Delay</v>
      </c>
    </row>
    <row r="1844" spans="1:20" x14ac:dyDescent="0.35">
      <c r="A1844" s="2" t="s">
        <v>3871</v>
      </c>
      <c r="B1844" s="2" t="s">
        <v>24</v>
      </c>
      <c r="C1844" s="2" t="s">
        <v>3872</v>
      </c>
      <c r="D1844" s="2" t="s">
        <v>44</v>
      </c>
      <c r="E1844" s="2" t="s">
        <v>85</v>
      </c>
      <c r="F1844" s="2" t="s">
        <v>34</v>
      </c>
      <c r="G1844" s="2" t="s">
        <v>410</v>
      </c>
      <c r="H1844" s="3">
        <v>45650.652777777781</v>
      </c>
      <c r="I1844" s="3">
        <v>45650.847916666666</v>
      </c>
      <c r="J1844" s="2">
        <v>234</v>
      </c>
      <c r="K1844" s="2">
        <v>281</v>
      </c>
      <c r="L1844" s="2">
        <v>1</v>
      </c>
      <c r="M1844" s="2" t="s">
        <v>22</v>
      </c>
      <c r="N1844" s="2">
        <v>4</v>
      </c>
      <c r="O1844" s="2">
        <v>144.69999999999999</v>
      </c>
      <c r="P1844" s="2">
        <f t="shared" si="140"/>
        <v>47</v>
      </c>
      <c r="Q1844" s="4">
        <f t="shared" si="141"/>
        <v>0.83274021352313166</v>
      </c>
      <c r="R1844" s="2" t="str">
        <f t="shared" si="142"/>
        <v>Inefficient</v>
      </c>
      <c r="S1844" s="2" t="str">
        <f t="shared" si="143"/>
        <v>Very Long</v>
      </c>
      <c r="T1844" s="2" t="str">
        <f t="shared" si="144"/>
        <v>Major Delay</v>
      </c>
    </row>
    <row r="1845" spans="1:20" x14ac:dyDescent="0.35">
      <c r="A1845" s="2" t="s">
        <v>3873</v>
      </c>
      <c r="B1845" s="2" t="s">
        <v>31</v>
      </c>
      <c r="C1845" s="2" t="s">
        <v>3874</v>
      </c>
      <c r="D1845" s="2" t="s">
        <v>44</v>
      </c>
      <c r="E1845" s="2" t="s">
        <v>19</v>
      </c>
      <c r="F1845" s="2" t="s">
        <v>20</v>
      </c>
      <c r="G1845" s="2" t="s">
        <v>810</v>
      </c>
      <c r="H1845" s="3">
        <v>45597.84652777778</v>
      </c>
      <c r="I1845" s="3">
        <v>45598.077777777777</v>
      </c>
      <c r="J1845" s="2">
        <v>227</v>
      </c>
      <c r="K1845" s="2">
        <v>333</v>
      </c>
      <c r="L1845" s="2">
        <v>1</v>
      </c>
      <c r="M1845" s="2" t="s">
        <v>41</v>
      </c>
      <c r="N1845" s="2">
        <v>9</v>
      </c>
      <c r="O1845" s="2">
        <v>105.68</v>
      </c>
      <c r="P1845" s="2">
        <f t="shared" si="140"/>
        <v>106</v>
      </c>
      <c r="Q1845" s="4">
        <f t="shared" si="141"/>
        <v>0.68168168168168164</v>
      </c>
      <c r="R1845" s="2" t="str">
        <f t="shared" si="142"/>
        <v>Inefficient</v>
      </c>
      <c r="S1845" s="2" t="str">
        <f t="shared" si="143"/>
        <v>Very Long</v>
      </c>
      <c r="T1845" s="2" t="str">
        <f t="shared" si="144"/>
        <v>Major Delay</v>
      </c>
    </row>
    <row r="1846" spans="1:20" x14ac:dyDescent="0.35">
      <c r="A1846" s="2" t="s">
        <v>3875</v>
      </c>
      <c r="B1846" s="2" t="s">
        <v>63</v>
      </c>
      <c r="C1846" s="2" t="s">
        <v>3876</v>
      </c>
      <c r="D1846" s="2" t="s">
        <v>26</v>
      </c>
      <c r="E1846" s="2" t="s">
        <v>85</v>
      </c>
      <c r="F1846" s="2" t="s">
        <v>27</v>
      </c>
      <c r="G1846" s="2" t="s">
        <v>505</v>
      </c>
      <c r="H1846" s="3">
        <v>45319.713194444441</v>
      </c>
      <c r="I1846" s="3">
        <v>45319.886111111111</v>
      </c>
      <c r="J1846" s="2">
        <v>215</v>
      </c>
      <c r="K1846" s="2">
        <v>249</v>
      </c>
      <c r="L1846" s="2">
        <v>1</v>
      </c>
      <c r="M1846" s="2" t="s">
        <v>29</v>
      </c>
      <c r="N1846" s="2">
        <v>4</v>
      </c>
      <c r="O1846" s="2">
        <v>181.8</v>
      </c>
      <c r="P1846" s="2">
        <f t="shared" si="140"/>
        <v>34</v>
      </c>
      <c r="Q1846" s="4">
        <f t="shared" si="141"/>
        <v>0.86345381526104414</v>
      </c>
      <c r="R1846" s="2" t="str">
        <f t="shared" si="142"/>
        <v>Inefficient</v>
      </c>
      <c r="S1846" s="2" t="str">
        <f t="shared" si="143"/>
        <v>Very Long</v>
      </c>
      <c r="T1846" s="2" t="str">
        <f t="shared" si="144"/>
        <v>Major Delay</v>
      </c>
    </row>
    <row r="1847" spans="1:20" x14ac:dyDescent="0.35">
      <c r="A1847" s="2" t="s">
        <v>3877</v>
      </c>
      <c r="B1847" s="2" t="s">
        <v>51</v>
      </c>
      <c r="C1847" s="2" t="s">
        <v>3878</v>
      </c>
      <c r="D1847" s="2" t="s">
        <v>26</v>
      </c>
      <c r="E1847" s="2" t="s">
        <v>19</v>
      </c>
      <c r="F1847" s="2" t="s">
        <v>57</v>
      </c>
      <c r="G1847" s="2" t="s">
        <v>521</v>
      </c>
      <c r="H1847" s="3">
        <v>45339.206944444442</v>
      </c>
      <c r="I1847" s="3">
        <v>45339.433333333334</v>
      </c>
      <c r="J1847" s="2">
        <v>239</v>
      </c>
      <c r="K1847" s="2">
        <v>326</v>
      </c>
      <c r="L1847" s="2">
        <v>1</v>
      </c>
      <c r="M1847" s="2" t="s">
        <v>29</v>
      </c>
      <c r="N1847" s="2">
        <v>2</v>
      </c>
      <c r="O1847" s="2">
        <v>482.94</v>
      </c>
      <c r="P1847" s="2">
        <f t="shared" si="140"/>
        <v>87</v>
      </c>
      <c r="Q1847" s="4">
        <f t="shared" si="141"/>
        <v>0.73312883435582821</v>
      </c>
      <c r="R1847" s="2" t="str">
        <f t="shared" si="142"/>
        <v>Inefficient</v>
      </c>
      <c r="S1847" s="2" t="str">
        <f t="shared" si="143"/>
        <v>Very Long</v>
      </c>
      <c r="T1847" s="2" t="str">
        <f t="shared" si="144"/>
        <v>Major Delay</v>
      </c>
    </row>
    <row r="1848" spans="1:20" x14ac:dyDescent="0.35">
      <c r="A1848" s="2" t="s">
        <v>3879</v>
      </c>
      <c r="B1848" s="2" t="s">
        <v>31</v>
      </c>
      <c r="C1848" s="2" t="s">
        <v>3880</v>
      </c>
      <c r="D1848" s="2" t="s">
        <v>44</v>
      </c>
      <c r="E1848" s="2" t="s">
        <v>33</v>
      </c>
      <c r="F1848" s="2" t="s">
        <v>57</v>
      </c>
      <c r="G1848" s="2" t="s">
        <v>546</v>
      </c>
      <c r="H1848" s="3">
        <v>45501.197222222225</v>
      </c>
      <c r="I1848" s="3">
        <v>45501.348611111112</v>
      </c>
      <c r="J1848" s="2">
        <v>107</v>
      </c>
      <c r="K1848" s="2">
        <v>218</v>
      </c>
      <c r="L1848" s="2">
        <v>1</v>
      </c>
      <c r="M1848" s="2" t="s">
        <v>29</v>
      </c>
      <c r="N1848" s="2">
        <v>10</v>
      </c>
      <c r="O1848" s="2">
        <v>440.72</v>
      </c>
      <c r="P1848" s="2">
        <f t="shared" si="140"/>
        <v>111</v>
      </c>
      <c r="Q1848" s="4">
        <f t="shared" si="141"/>
        <v>0.49082568807339449</v>
      </c>
      <c r="R1848" s="2" t="str">
        <f t="shared" si="142"/>
        <v>Inefficient</v>
      </c>
      <c r="S1848" s="2" t="str">
        <f t="shared" si="143"/>
        <v>Very Long</v>
      </c>
      <c r="T1848" s="2" t="str">
        <f t="shared" si="144"/>
        <v>Major Delay</v>
      </c>
    </row>
    <row r="1849" spans="1:20" x14ac:dyDescent="0.35">
      <c r="A1849" s="2" t="s">
        <v>3881</v>
      </c>
      <c r="B1849" s="2" t="s">
        <v>63</v>
      </c>
      <c r="C1849" s="2" t="s">
        <v>3882</v>
      </c>
      <c r="D1849" s="2" t="s">
        <v>44</v>
      </c>
      <c r="E1849" s="2" t="s">
        <v>33</v>
      </c>
      <c r="F1849" s="2" t="s">
        <v>27</v>
      </c>
      <c r="G1849" s="2" t="s">
        <v>149</v>
      </c>
      <c r="H1849" s="3">
        <v>45445.769444444442</v>
      </c>
      <c r="I1849" s="3">
        <v>45445.914583333331</v>
      </c>
      <c r="J1849" s="2">
        <v>127</v>
      </c>
      <c r="K1849" s="2">
        <v>209</v>
      </c>
      <c r="L1849" s="2">
        <v>1</v>
      </c>
      <c r="M1849" s="2" t="s">
        <v>29</v>
      </c>
      <c r="N1849" s="2">
        <v>6</v>
      </c>
      <c r="O1849" s="2">
        <v>67.180000000000007</v>
      </c>
      <c r="P1849" s="2">
        <f t="shared" si="140"/>
        <v>82</v>
      </c>
      <c r="Q1849" s="4">
        <f t="shared" si="141"/>
        <v>0.60765550239234445</v>
      </c>
      <c r="R1849" s="2" t="str">
        <f t="shared" si="142"/>
        <v>Inefficient</v>
      </c>
      <c r="S1849" s="2" t="str">
        <f t="shared" si="143"/>
        <v>Very Long</v>
      </c>
      <c r="T1849" s="2" t="str">
        <f t="shared" si="144"/>
        <v>Major Delay</v>
      </c>
    </row>
    <row r="1850" spans="1:20" x14ac:dyDescent="0.35">
      <c r="A1850" s="2" t="s">
        <v>3883</v>
      </c>
      <c r="B1850" s="2" t="s">
        <v>63</v>
      </c>
      <c r="C1850" s="2" t="s">
        <v>3884</v>
      </c>
      <c r="D1850" s="2" t="s">
        <v>18</v>
      </c>
      <c r="E1850" s="2" t="s">
        <v>38</v>
      </c>
      <c r="F1850" s="2" t="s">
        <v>27</v>
      </c>
      <c r="G1850" s="2" t="s">
        <v>73</v>
      </c>
      <c r="H1850" s="3">
        <v>45616.703472222223</v>
      </c>
      <c r="I1850" s="3">
        <v>45616.833333333336</v>
      </c>
      <c r="J1850" s="2">
        <v>155</v>
      </c>
      <c r="K1850" s="2">
        <v>187</v>
      </c>
      <c r="L1850" s="2">
        <v>1</v>
      </c>
      <c r="M1850" s="2" t="s">
        <v>22</v>
      </c>
      <c r="N1850" s="2">
        <v>8</v>
      </c>
      <c r="O1850" s="2">
        <v>69.53</v>
      </c>
      <c r="P1850" s="2">
        <f t="shared" si="140"/>
        <v>32</v>
      </c>
      <c r="Q1850" s="4">
        <f t="shared" si="141"/>
        <v>0.82887700534759357</v>
      </c>
      <c r="R1850" s="2" t="str">
        <f t="shared" si="142"/>
        <v>Inefficient</v>
      </c>
      <c r="S1850" s="2" t="str">
        <f t="shared" si="143"/>
        <v>Very Long</v>
      </c>
      <c r="T1850" s="2" t="str">
        <f t="shared" si="144"/>
        <v>Major Delay</v>
      </c>
    </row>
    <row r="1851" spans="1:20" x14ac:dyDescent="0.35">
      <c r="A1851" s="2" t="s">
        <v>3885</v>
      </c>
      <c r="B1851" s="2" t="s">
        <v>16</v>
      </c>
      <c r="C1851" s="2" t="s">
        <v>3886</v>
      </c>
      <c r="D1851" s="2" t="s">
        <v>18</v>
      </c>
      <c r="E1851" s="2" t="s">
        <v>33</v>
      </c>
      <c r="F1851" s="2" t="s">
        <v>34</v>
      </c>
      <c r="G1851" s="2" t="s">
        <v>299</v>
      </c>
      <c r="H1851" s="3">
        <v>45435.165972222225</v>
      </c>
      <c r="I1851" s="3">
        <v>45435.270138888889</v>
      </c>
      <c r="J1851" s="2">
        <v>33</v>
      </c>
      <c r="K1851" s="2">
        <v>150</v>
      </c>
      <c r="L1851" s="2">
        <v>1</v>
      </c>
      <c r="M1851" s="2" t="s">
        <v>41</v>
      </c>
      <c r="N1851" s="2">
        <v>4</v>
      </c>
      <c r="O1851" s="2">
        <v>198.36</v>
      </c>
      <c r="P1851" s="2">
        <f t="shared" si="140"/>
        <v>117</v>
      </c>
      <c r="Q1851" s="4">
        <f t="shared" si="141"/>
        <v>0.22</v>
      </c>
      <c r="R1851" s="2" t="str">
        <f t="shared" si="142"/>
        <v>Inefficient</v>
      </c>
      <c r="S1851" s="2" t="str">
        <f t="shared" si="143"/>
        <v>Very Long</v>
      </c>
      <c r="T1851" s="2" t="str">
        <f t="shared" si="144"/>
        <v>Major Delay</v>
      </c>
    </row>
    <row r="1852" spans="1:20" x14ac:dyDescent="0.35">
      <c r="A1852" s="2" t="s">
        <v>3887</v>
      </c>
      <c r="B1852" s="2" t="s">
        <v>31</v>
      </c>
      <c r="C1852" s="2" t="s">
        <v>3888</v>
      </c>
      <c r="D1852" s="2" t="s">
        <v>26</v>
      </c>
      <c r="E1852" s="2" t="s">
        <v>33</v>
      </c>
      <c r="F1852" s="2" t="s">
        <v>27</v>
      </c>
      <c r="G1852" s="2" t="s">
        <v>259</v>
      </c>
      <c r="H1852" s="3">
        <v>45592.869444444441</v>
      </c>
      <c r="I1852" s="3">
        <v>45592.958333333336</v>
      </c>
      <c r="J1852" s="2">
        <v>54</v>
      </c>
      <c r="K1852" s="2">
        <v>128</v>
      </c>
      <c r="L1852" s="2">
        <v>1</v>
      </c>
      <c r="M1852" s="2" t="s">
        <v>22</v>
      </c>
      <c r="N1852" s="2">
        <v>8</v>
      </c>
      <c r="O1852" s="2">
        <v>374.65</v>
      </c>
      <c r="P1852" s="2">
        <f t="shared" si="140"/>
        <v>74</v>
      </c>
      <c r="Q1852" s="4">
        <f t="shared" si="141"/>
        <v>0.421875</v>
      </c>
      <c r="R1852" s="2" t="str">
        <f t="shared" si="142"/>
        <v>Inefficient</v>
      </c>
      <c r="S1852" s="2" t="str">
        <f t="shared" si="143"/>
        <v>Very Long</v>
      </c>
      <c r="T1852" s="2" t="str">
        <f t="shared" si="144"/>
        <v>Major Delay</v>
      </c>
    </row>
    <row r="1853" spans="1:20" x14ac:dyDescent="0.35">
      <c r="A1853" s="2" t="s">
        <v>3889</v>
      </c>
      <c r="B1853" s="2" t="s">
        <v>51</v>
      </c>
      <c r="C1853" s="2" t="s">
        <v>3890</v>
      </c>
      <c r="D1853" s="2" t="s">
        <v>44</v>
      </c>
      <c r="E1853" s="2" t="s">
        <v>19</v>
      </c>
      <c r="F1853" s="2" t="s">
        <v>39</v>
      </c>
      <c r="G1853" s="2" t="s">
        <v>120</v>
      </c>
      <c r="H1853" s="3">
        <v>45353.535416666666</v>
      </c>
      <c r="I1853" s="3">
        <v>45353.676388888889</v>
      </c>
      <c r="J1853" s="2">
        <v>104</v>
      </c>
      <c r="K1853" s="2">
        <v>203</v>
      </c>
      <c r="L1853" s="2">
        <v>1</v>
      </c>
      <c r="M1853" s="2" t="s">
        <v>29</v>
      </c>
      <c r="N1853" s="2">
        <v>7</v>
      </c>
      <c r="O1853" s="2">
        <v>138.97</v>
      </c>
      <c r="P1853" s="2">
        <f t="shared" si="140"/>
        <v>99</v>
      </c>
      <c r="Q1853" s="4">
        <f t="shared" si="141"/>
        <v>0.51231527093596063</v>
      </c>
      <c r="R1853" s="2" t="str">
        <f t="shared" si="142"/>
        <v>Inefficient</v>
      </c>
      <c r="S1853" s="2" t="str">
        <f t="shared" si="143"/>
        <v>Very Long</v>
      </c>
      <c r="T1853" s="2" t="str">
        <f t="shared" si="144"/>
        <v>Major Delay</v>
      </c>
    </row>
    <row r="1854" spans="1:20" x14ac:dyDescent="0.35">
      <c r="A1854" s="2" t="s">
        <v>3891</v>
      </c>
      <c r="B1854" s="2" t="s">
        <v>63</v>
      </c>
      <c r="C1854" s="2" t="s">
        <v>3892</v>
      </c>
      <c r="D1854" s="2" t="s">
        <v>56</v>
      </c>
      <c r="E1854" s="2" t="s">
        <v>38</v>
      </c>
      <c r="F1854" s="2" t="s">
        <v>34</v>
      </c>
      <c r="G1854" s="2" t="s">
        <v>251</v>
      </c>
      <c r="H1854" s="3">
        <v>45376.936805555553</v>
      </c>
      <c r="I1854" s="3">
        <v>45376.977083333331</v>
      </c>
      <c r="J1854" s="2">
        <v>51</v>
      </c>
      <c r="K1854" s="2">
        <v>58</v>
      </c>
      <c r="L1854" s="2">
        <v>1</v>
      </c>
      <c r="M1854" s="2" t="s">
        <v>41</v>
      </c>
      <c r="N1854" s="2">
        <v>7</v>
      </c>
      <c r="O1854" s="2">
        <v>75.599999999999994</v>
      </c>
      <c r="P1854" s="2">
        <f t="shared" si="140"/>
        <v>7</v>
      </c>
      <c r="Q1854" s="4">
        <f t="shared" si="141"/>
        <v>0.87931034482758619</v>
      </c>
      <c r="R1854" s="2" t="str">
        <f t="shared" si="142"/>
        <v>Inefficient</v>
      </c>
      <c r="S1854" s="2" t="str">
        <f t="shared" si="143"/>
        <v>Medium</v>
      </c>
      <c r="T1854" s="2" t="str">
        <f t="shared" si="144"/>
        <v>Minor Delay</v>
      </c>
    </row>
    <row r="1855" spans="1:20" x14ac:dyDescent="0.35">
      <c r="A1855" s="2" t="s">
        <v>3893</v>
      </c>
      <c r="B1855" s="2" t="s">
        <v>51</v>
      </c>
      <c r="C1855" s="2" t="s">
        <v>3894</v>
      </c>
      <c r="D1855" s="2" t="s">
        <v>26</v>
      </c>
      <c r="E1855" s="2" t="s">
        <v>19</v>
      </c>
      <c r="F1855" s="2" t="s">
        <v>27</v>
      </c>
      <c r="G1855" s="2" t="s">
        <v>296</v>
      </c>
      <c r="H1855" s="3">
        <v>45411.925000000003</v>
      </c>
      <c r="I1855" s="3">
        <v>45412.031944444447</v>
      </c>
      <c r="J1855" s="2">
        <v>90</v>
      </c>
      <c r="K1855" s="2">
        <v>154</v>
      </c>
      <c r="L1855" s="2">
        <v>1</v>
      </c>
      <c r="M1855" s="2" t="s">
        <v>41</v>
      </c>
      <c r="N1855" s="2">
        <v>5</v>
      </c>
      <c r="O1855" s="2">
        <v>447.63</v>
      </c>
      <c r="P1855" s="2">
        <f t="shared" si="140"/>
        <v>64</v>
      </c>
      <c r="Q1855" s="4">
        <f t="shared" si="141"/>
        <v>0.58441558441558439</v>
      </c>
      <c r="R1855" s="2" t="str">
        <f t="shared" si="142"/>
        <v>Inefficient</v>
      </c>
      <c r="S1855" s="2" t="str">
        <f t="shared" si="143"/>
        <v>Very Long</v>
      </c>
      <c r="T1855" s="2" t="str">
        <f t="shared" si="144"/>
        <v>Major Delay</v>
      </c>
    </row>
    <row r="1856" spans="1:20" x14ac:dyDescent="0.35">
      <c r="A1856" s="2" t="s">
        <v>3895</v>
      </c>
      <c r="B1856" s="2" t="s">
        <v>63</v>
      </c>
      <c r="C1856" s="2" t="s">
        <v>3896</v>
      </c>
      <c r="D1856" s="2" t="s">
        <v>56</v>
      </c>
      <c r="E1856" s="2" t="s">
        <v>38</v>
      </c>
      <c r="F1856" s="2" t="s">
        <v>57</v>
      </c>
      <c r="G1856" s="2" t="s">
        <v>58</v>
      </c>
      <c r="H1856" s="3">
        <v>45442.852777777778</v>
      </c>
      <c r="I1856" s="3">
        <v>45442.897916666669</v>
      </c>
      <c r="J1856" s="2">
        <v>40</v>
      </c>
      <c r="K1856" s="2">
        <v>65</v>
      </c>
      <c r="L1856" s="2">
        <v>1</v>
      </c>
      <c r="M1856" s="2" t="s">
        <v>22</v>
      </c>
      <c r="N1856" s="2">
        <v>1</v>
      </c>
      <c r="O1856" s="2">
        <v>440.14</v>
      </c>
      <c r="P1856" s="2">
        <f t="shared" si="140"/>
        <v>25</v>
      </c>
      <c r="Q1856" s="4">
        <f t="shared" si="141"/>
        <v>0.61538461538461542</v>
      </c>
      <c r="R1856" s="2" t="str">
        <f t="shared" si="142"/>
        <v>Inefficient</v>
      </c>
      <c r="S1856" s="2" t="str">
        <f t="shared" si="143"/>
        <v>Long</v>
      </c>
      <c r="T1856" s="2" t="str">
        <f t="shared" si="144"/>
        <v>Minor Delay</v>
      </c>
    </row>
    <row r="1857" spans="1:20" x14ac:dyDescent="0.35">
      <c r="A1857" s="2" t="s">
        <v>3897</v>
      </c>
      <c r="B1857" s="2" t="s">
        <v>51</v>
      </c>
      <c r="C1857" s="2" t="s">
        <v>3898</v>
      </c>
      <c r="D1857" s="2" t="s">
        <v>44</v>
      </c>
      <c r="E1857" s="2" t="s">
        <v>85</v>
      </c>
      <c r="F1857" s="2" t="s">
        <v>57</v>
      </c>
      <c r="G1857" s="2" t="s">
        <v>100</v>
      </c>
      <c r="H1857" s="3">
        <v>45308.356249999997</v>
      </c>
      <c r="I1857" s="3">
        <v>45308.554166666669</v>
      </c>
      <c r="J1857" s="2">
        <v>236</v>
      </c>
      <c r="K1857" s="2">
        <v>285</v>
      </c>
      <c r="L1857" s="2">
        <v>1</v>
      </c>
      <c r="M1857" s="2" t="s">
        <v>22</v>
      </c>
      <c r="N1857" s="2">
        <v>3</v>
      </c>
      <c r="O1857" s="2">
        <v>235.07</v>
      </c>
      <c r="P1857" s="2">
        <f t="shared" si="140"/>
        <v>49</v>
      </c>
      <c r="Q1857" s="4">
        <f t="shared" si="141"/>
        <v>0.82807017543859651</v>
      </c>
      <c r="R1857" s="2" t="str">
        <f t="shared" si="142"/>
        <v>Inefficient</v>
      </c>
      <c r="S1857" s="2" t="str">
        <f t="shared" si="143"/>
        <v>Very Long</v>
      </c>
      <c r="T1857" s="2" t="str">
        <f t="shared" si="144"/>
        <v>Major Delay</v>
      </c>
    </row>
    <row r="1858" spans="1:20" x14ac:dyDescent="0.35">
      <c r="A1858" s="2" t="s">
        <v>3899</v>
      </c>
      <c r="B1858" s="2" t="s">
        <v>31</v>
      </c>
      <c r="C1858" s="2" t="s">
        <v>3900</v>
      </c>
      <c r="D1858" s="2" t="s">
        <v>56</v>
      </c>
      <c r="E1858" s="2" t="s">
        <v>85</v>
      </c>
      <c r="F1858" s="2" t="s">
        <v>39</v>
      </c>
      <c r="G1858" s="2" t="s">
        <v>376</v>
      </c>
      <c r="H1858" s="3">
        <v>45576.347916666666</v>
      </c>
      <c r="I1858" s="3">
        <v>45576.424305555556</v>
      </c>
      <c r="J1858" s="2">
        <v>56</v>
      </c>
      <c r="K1858" s="2">
        <v>110</v>
      </c>
      <c r="L1858" s="2">
        <v>1</v>
      </c>
      <c r="M1858" s="2" t="s">
        <v>41</v>
      </c>
      <c r="N1858" s="2">
        <v>9</v>
      </c>
      <c r="O1858" s="2">
        <v>104.83</v>
      </c>
      <c r="P1858" s="2">
        <f t="shared" si="140"/>
        <v>54</v>
      </c>
      <c r="Q1858" s="4">
        <f t="shared" si="141"/>
        <v>0.50909090909090904</v>
      </c>
      <c r="R1858" s="2" t="str">
        <f t="shared" si="142"/>
        <v>Inefficient</v>
      </c>
      <c r="S1858" s="2" t="str">
        <f t="shared" si="143"/>
        <v>Long</v>
      </c>
      <c r="T1858" s="2" t="str">
        <f t="shared" si="144"/>
        <v>Major Delay</v>
      </c>
    </row>
    <row r="1859" spans="1:20" x14ac:dyDescent="0.35">
      <c r="A1859" s="2" t="s">
        <v>3901</v>
      </c>
      <c r="B1859" s="2" t="s">
        <v>24</v>
      </c>
      <c r="C1859" s="2" t="s">
        <v>3902</v>
      </c>
      <c r="D1859" s="2" t="s">
        <v>48</v>
      </c>
      <c r="E1859" s="2" t="s">
        <v>38</v>
      </c>
      <c r="F1859" s="2" t="s">
        <v>39</v>
      </c>
      <c r="G1859" s="2" t="s">
        <v>91</v>
      </c>
      <c r="H1859" s="3">
        <v>45477.818055555559</v>
      </c>
      <c r="I1859" s="3">
        <v>45477.906944444447</v>
      </c>
      <c r="J1859" s="2">
        <v>91</v>
      </c>
      <c r="K1859" s="2">
        <v>128</v>
      </c>
      <c r="L1859" s="2">
        <v>1</v>
      </c>
      <c r="M1859" s="2" t="s">
        <v>41</v>
      </c>
      <c r="N1859" s="2">
        <v>2</v>
      </c>
      <c r="O1859" s="2">
        <v>313.86</v>
      </c>
      <c r="P1859" s="2">
        <f t="shared" ref="P1859:P1922" si="145">K1859-J1859</f>
        <v>37</v>
      </c>
      <c r="Q1859" s="4">
        <f t="shared" ref="Q1859:Q1922" si="146">J1859/K1859</f>
        <v>0.7109375</v>
      </c>
      <c r="R1859" s="2" t="str">
        <f t="shared" ref="R1859:R1922" si="147">IF(Q1859&gt;1,"Efficient",
IF(Q1859=1,"On Target","Inefficient"))</f>
        <v>Inefficient</v>
      </c>
      <c r="S1859" s="2" t="str">
        <f t="shared" ref="S1859:S1922" si="148">IF(K1859&lt;30,"Short",
IF(K1859&lt;60,"Medium",
IF(K1859&lt;120,"Long","Very Long")))</f>
        <v>Very Long</v>
      </c>
      <c r="T1859" s="2" t="str">
        <f t="shared" ref="T1859:T1922" si="149">IF(K1859&lt;=J1859,"On Time",
IF(K1859-J1859&lt;=30,"Minor Delay","Major Delay"))</f>
        <v>Major Delay</v>
      </c>
    </row>
    <row r="1860" spans="1:20" x14ac:dyDescent="0.35">
      <c r="A1860" s="2" t="s">
        <v>3903</v>
      </c>
      <c r="B1860" s="2" t="s">
        <v>16</v>
      </c>
      <c r="C1860" s="2" t="s">
        <v>3904</v>
      </c>
      <c r="D1860" s="2" t="s">
        <v>18</v>
      </c>
      <c r="E1860" s="2" t="s">
        <v>19</v>
      </c>
      <c r="F1860" s="2" t="s">
        <v>27</v>
      </c>
      <c r="G1860" s="2" t="s">
        <v>207</v>
      </c>
      <c r="H1860" s="3">
        <v>45478.15902777778</v>
      </c>
      <c r="I1860" s="3">
        <v>45478.318749999999</v>
      </c>
      <c r="J1860" s="2">
        <v>191</v>
      </c>
      <c r="K1860" s="2">
        <v>230</v>
      </c>
      <c r="L1860" s="2">
        <v>1</v>
      </c>
      <c r="M1860" s="2" t="s">
        <v>22</v>
      </c>
      <c r="N1860" s="2">
        <v>8</v>
      </c>
      <c r="O1860" s="2">
        <v>98.75</v>
      </c>
      <c r="P1860" s="2">
        <f t="shared" si="145"/>
        <v>39</v>
      </c>
      <c r="Q1860" s="4">
        <f t="shared" si="146"/>
        <v>0.83043478260869563</v>
      </c>
      <c r="R1860" s="2" t="str">
        <f t="shared" si="147"/>
        <v>Inefficient</v>
      </c>
      <c r="S1860" s="2" t="str">
        <f t="shared" si="148"/>
        <v>Very Long</v>
      </c>
      <c r="T1860" s="2" t="str">
        <f t="shared" si="149"/>
        <v>Major Delay</v>
      </c>
    </row>
    <row r="1861" spans="1:20" x14ac:dyDescent="0.35">
      <c r="A1861" s="2" t="s">
        <v>3905</v>
      </c>
      <c r="B1861" s="2" t="s">
        <v>31</v>
      </c>
      <c r="C1861" s="2" t="s">
        <v>3906</v>
      </c>
      <c r="D1861" s="2" t="s">
        <v>44</v>
      </c>
      <c r="E1861" s="2" t="s">
        <v>38</v>
      </c>
      <c r="F1861" s="2" t="s">
        <v>27</v>
      </c>
      <c r="G1861" s="2" t="s">
        <v>58</v>
      </c>
      <c r="H1861" s="3">
        <v>45365.048611111109</v>
      </c>
      <c r="I1861" s="3">
        <v>45365.179861111108</v>
      </c>
      <c r="J1861" s="2">
        <v>84</v>
      </c>
      <c r="K1861" s="2">
        <v>189</v>
      </c>
      <c r="L1861" s="2">
        <v>1</v>
      </c>
      <c r="M1861" s="2" t="s">
        <v>41</v>
      </c>
      <c r="N1861" s="2">
        <v>3</v>
      </c>
      <c r="O1861" s="2">
        <v>390</v>
      </c>
      <c r="P1861" s="2">
        <f t="shared" si="145"/>
        <v>105</v>
      </c>
      <c r="Q1861" s="4">
        <f t="shared" si="146"/>
        <v>0.44444444444444442</v>
      </c>
      <c r="R1861" s="2" t="str">
        <f t="shared" si="147"/>
        <v>Inefficient</v>
      </c>
      <c r="S1861" s="2" t="str">
        <f t="shared" si="148"/>
        <v>Very Long</v>
      </c>
      <c r="T1861" s="2" t="str">
        <f t="shared" si="149"/>
        <v>Major Delay</v>
      </c>
    </row>
    <row r="1862" spans="1:20" x14ac:dyDescent="0.35">
      <c r="A1862" s="2" t="s">
        <v>3907</v>
      </c>
      <c r="B1862" s="2" t="s">
        <v>51</v>
      </c>
      <c r="C1862" s="2" t="s">
        <v>3908</v>
      </c>
      <c r="D1862" s="2" t="s">
        <v>26</v>
      </c>
      <c r="E1862" s="2" t="s">
        <v>85</v>
      </c>
      <c r="F1862" s="2" t="s">
        <v>27</v>
      </c>
      <c r="G1862" s="2" t="s">
        <v>228</v>
      </c>
      <c r="H1862" s="3">
        <v>45577.468055555553</v>
      </c>
      <c r="I1862" s="3">
        <v>45577.670138888891</v>
      </c>
      <c r="J1862" s="2">
        <v>182</v>
      </c>
      <c r="K1862" s="2">
        <v>291</v>
      </c>
      <c r="L1862" s="2">
        <v>1</v>
      </c>
      <c r="M1862" s="2" t="s">
        <v>41</v>
      </c>
      <c r="N1862" s="2">
        <v>5</v>
      </c>
      <c r="O1862" s="2">
        <v>339.24</v>
      </c>
      <c r="P1862" s="2">
        <f t="shared" si="145"/>
        <v>109</v>
      </c>
      <c r="Q1862" s="4">
        <f t="shared" si="146"/>
        <v>0.62542955326460481</v>
      </c>
      <c r="R1862" s="2" t="str">
        <f t="shared" si="147"/>
        <v>Inefficient</v>
      </c>
      <c r="S1862" s="2" t="str">
        <f t="shared" si="148"/>
        <v>Very Long</v>
      </c>
      <c r="T1862" s="2" t="str">
        <f t="shared" si="149"/>
        <v>Major Delay</v>
      </c>
    </row>
    <row r="1863" spans="1:20" x14ac:dyDescent="0.35">
      <c r="A1863" s="2" t="s">
        <v>3909</v>
      </c>
      <c r="B1863" s="2" t="s">
        <v>63</v>
      </c>
      <c r="C1863" s="2" t="s">
        <v>3910</v>
      </c>
      <c r="D1863" s="2" t="s">
        <v>56</v>
      </c>
      <c r="E1863" s="2" t="s">
        <v>33</v>
      </c>
      <c r="F1863" s="2" t="s">
        <v>39</v>
      </c>
      <c r="G1863" s="2" t="s">
        <v>288</v>
      </c>
      <c r="H1863" s="3">
        <v>45608.214583333334</v>
      </c>
      <c r="I1863" s="3">
        <v>45608.273611111108</v>
      </c>
      <c r="J1863" s="2">
        <v>89</v>
      </c>
      <c r="K1863" s="2">
        <v>85</v>
      </c>
      <c r="L1863" s="2">
        <v>0</v>
      </c>
      <c r="M1863" s="2" t="s">
        <v>29</v>
      </c>
      <c r="N1863" s="2">
        <v>5</v>
      </c>
      <c r="O1863" s="2">
        <v>58.16</v>
      </c>
      <c r="P1863" s="2">
        <f t="shared" si="145"/>
        <v>-4</v>
      </c>
      <c r="Q1863" s="4">
        <f t="shared" si="146"/>
        <v>1.0470588235294118</v>
      </c>
      <c r="R1863" s="2" t="str">
        <f t="shared" si="147"/>
        <v>Efficient</v>
      </c>
      <c r="S1863" s="2" t="str">
        <f t="shared" si="148"/>
        <v>Long</v>
      </c>
      <c r="T1863" s="2" t="str">
        <f t="shared" si="149"/>
        <v>On Time</v>
      </c>
    </row>
    <row r="1864" spans="1:20" x14ac:dyDescent="0.35">
      <c r="A1864" s="2" t="s">
        <v>3911</v>
      </c>
      <c r="B1864" s="2" t="s">
        <v>63</v>
      </c>
      <c r="C1864" s="2" t="s">
        <v>3912</v>
      </c>
      <c r="D1864" s="2" t="s">
        <v>44</v>
      </c>
      <c r="E1864" s="2" t="s">
        <v>38</v>
      </c>
      <c r="F1864" s="2" t="s">
        <v>27</v>
      </c>
      <c r="G1864" s="2" t="s">
        <v>45</v>
      </c>
      <c r="H1864" s="3">
        <v>45440.195138888892</v>
      </c>
      <c r="I1864" s="3">
        <v>45440.40347222222</v>
      </c>
      <c r="J1864" s="2">
        <v>184</v>
      </c>
      <c r="K1864" s="2">
        <v>300</v>
      </c>
      <c r="L1864" s="2">
        <v>1</v>
      </c>
      <c r="M1864" s="2" t="s">
        <v>41</v>
      </c>
      <c r="N1864" s="2">
        <v>1</v>
      </c>
      <c r="O1864" s="2">
        <v>260.38</v>
      </c>
      <c r="P1864" s="2">
        <f t="shared" si="145"/>
        <v>116</v>
      </c>
      <c r="Q1864" s="4">
        <f t="shared" si="146"/>
        <v>0.61333333333333329</v>
      </c>
      <c r="R1864" s="2" t="str">
        <f t="shared" si="147"/>
        <v>Inefficient</v>
      </c>
      <c r="S1864" s="2" t="str">
        <f t="shared" si="148"/>
        <v>Very Long</v>
      </c>
      <c r="T1864" s="2" t="str">
        <f t="shared" si="149"/>
        <v>Major Delay</v>
      </c>
    </row>
    <row r="1865" spans="1:20" x14ac:dyDescent="0.35">
      <c r="A1865" s="2" t="s">
        <v>3913</v>
      </c>
      <c r="B1865" s="2" t="s">
        <v>51</v>
      </c>
      <c r="C1865" s="2" t="s">
        <v>3914</v>
      </c>
      <c r="D1865" s="2" t="s">
        <v>56</v>
      </c>
      <c r="E1865" s="2" t="s">
        <v>85</v>
      </c>
      <c r="F1865" s="2" t="s">
        <v>39</v>
      </c>
      <c r="G1865" s="2" t="s">
        <v>126</v>
      </c>
      <c r="H1865" s="3">
        <v>45524.936111111114</v>
      </c>
      <c r="I1865" s="3">
        <v>45525.09097222222</v>
      </c>
      <c r="J1865" s="2">
        <v>194</v>
      </c>
      <c r="K1865" s="2">
        <v>223</v>
      </c>
      <c r="L1865" s="2">
        <v>1</v>
      </c>
      <c r="M1865" s="2" t="s">
        <v>29</v>
      </c>
      <c r="N1865" s="2">
        <v>9</v>
      </c>
      <c r="O1865" s="2">
        <v>459.44</v>
      </c>
      <c r="P1865" s="2">
        <f t="shared" si="145"/>
        <v>29</v>
      </c>
      <c r="Q1865" s="4">
        <f t="shared" si="146"/>
        <v>0.8699551569506726</v>
      </c>
      <c r="R1865" s="2" t="str">
        <f t="shared" si="147"/>
        <v>Inefficient</v>
      </c>
      <c r="S1865" s="2" t="str">
        <f t="shared" si="148"/>
        <v>Very Long</v>
      </c>
      <c r="T1865" s="2" t="str">
        <f t="shared" si="149"/>
        <v>Minor Delay</v>
      </c>
    </row>
    <row r="1866" spans="1:20" x14ac:dyDescent="0.35">
      <c r="A1866" s="2" t="s">
        <v>3915</v>
      </c>
      <c r="B1866" s="2" t="s">
        <v>63</v>
      </c>
      <c r="C1866" s="2" t="s">
        <v>3916</v>
      </c>
      <c r="D1866" s="2" t="s">
        <v>26</v>
      </c>
      <c r="E1866" s="2" t="s">
        <v>85</v>
      </c>
      <c r="F1866" s="2" t="s">
        <v>57</v>
      </c>
      <c r="G1866" s="2" t="s">
        <v>473</v>
      </c>
      <c r="H1866" s="3">
        <v>45558.802083333336</v>
      </c>
      <c r="I1866" s="3">
        <v>45558.952777777777</v>
      </c>
      <c r="J1866" s="2">
        <v>133</v>
      </c>
      <c r="K1866" s="2">
        <v>217</v>
      </c>
      <c r="L1866" s="2">
        <v>1</v>
      </c>
      <c r="M1866" s="2" t="s">
        <v>29</v>
      </c>
      <c r="N1866" s="2">
        <v>10</v>
      </c>
      <c r="O1866" s="2">
        <v>453.24</v>
      </c>
      <c r="P1866" s="2">
        <f t="shared" si="145"/>
        <v>84</v>
      </c>
      <c r="Q1866" s="4">
        <f t="shared" si="146"/>
        <v>0.61290322580645162</v>
      </c>
      <c r="R1866" s="2" t="str">
        <f t="shared" si="147"/>
        <v>Inefficient</v>
      </c>
      <c r="S1866" s="2" t="str">
        <f t="shared" si="148"/>
        <v>Very Long</v>
      </c>
      <c r="T1866" s="2" t="str">
        <f t="shared" si="149"/>
        <v>Major Delay</v>
      </c>
    </row>
    <row r="1867" spans="1:20" x14ac:dyDescent="0.35">
      <c r="A1867" s="2" t="s">
        <v>3917</v>
      </c>
      <c r="B1867" s="2" t="s">
        <v>31</v>
      </c>
      <c r="C1867" s="2" t="s">
        <v>3918</v>
      </c>
      <c r="D1867" s="2" t="s">
        <v>26</v>
      </c>
      <c r="E1867" s="2" t="s">
        <v>38</v>
      </c>
      <c r="F1867" s="2" t="s">
        <v>20</v>
      </c>
      <c r="G1867" s="2" t="s">
        <v>916</v>
      </c>
      <c r="H1867" s="3">
        <v>45429.590277777781</v>
      </c>
      <c r="I1867" s="3">
        <v>45429.657638888886</v>
      </c>
      <c r="J1867" s="2">
        <v>97</v>
      </c>
      <c r="K1867" s="2">
        <v>97</v>
      </c>
      <c r="L1867" s="2">
        <v>0</v>
      </c>
      <c r="M1867" s="2" t="s">
        <v>41</v>
      </c>
      <c r="N1867" s="2">
        <v>10</v>
      </c>
      <c r="O1867" s="2">
        <v>181.25</v>
      </c>
      <c r="P1867" s="2">
        <f t="shared" si="145"/>
        <v>0</v>
      </c>
      <c r="Q1867" s="4">
        <f t="shared" si="146"/>
        <v>1</v>
      </c>
      <c r="R1867" s="2" t="str">
        <f t="shared" si="147"/>
        <v>On Target</v>
      </c>
      <c r="S1867" s="2" t="str">
        <f t="shared" si="148"/>
        <v>Long</v>
      </c>
      <c r="T1867" s="2" t="str">
        <f t="shared" si="149"/>
        <v>On Time</v>
      </c>
    </row>
    <row r="1868" spans="1:20" x14ac:dyDescent="0.35">
      <c r="A1868" s="2" t="s">
        <v>3919</v>
      </c>
      <c r="B1868" s="2" t="s">
        <v>51</v>
      </c>
      <c r="C1868" s="2" t="s">
        <v>3920</v>
      </c>
      <c r="D1868" s="2" t="s">
        <v>18</v>
      </c>
      <c r="E1868" s="2" t="s">
        <v>33</v>
      </c>
      <c r="F1868" s="2" t="s">
        <v>34</v>
      </c>
      <c r="G1868" s="2" t="s">
        <v>430</v>
      </c>
      <c r="H1868" s="3">
        <v>45377.915972222225</v>
      </c>
      <c r="I1868" s="3">
        <v>45378.04791666667</v>
      </c>
      <c r="J1868" s="2">
        <v>70</v>
      </c>
      <c r="K1868" s="2">
        <v>190</v>
      </c>
      <c r="L1868" s="2">
        <v>1</v>
      </c>
      <c r="M1868" s="2" t="s">
        <v>41</v>
      </c>
      <c r="N1868" s="2">
        <v>7</v>
      </c>
      <c r="O1868" s="2">
        <v>191.91</v>
      </c>
      <c r="P1868" s="2">
        <f t="shared" si="145"/>
        <v>120</v>
      </c>
      <c r="Q1868" s="4">
        <f t="shared" si="146"/>
        <v>0.36842105263157893</v>
      </c>
      <c r="R1868" s="2" t="str">
        <f t="shared" si="147"/>
        <v>Inefficient</v>
      </c>
      <c r="S1868" s="2" t="str">
        <f t="shared" si="148"/>
        <v>Very Long</v>
      </c>
      <c r="T1868" s="2" t="str">
        <f t="shared" si="149"/>
        <v>Major Delay</v>
      </c>
    </row>
    <row r="1869" spans="1:20" x14ac:dyDescent="0.35">
      <c r="A1869" s="2" t="s">
        <v>3921</v>
      </c>
      <c r="B1869" s="2" t="s">
        <v>24</v>
      </c>
      <c r="C1869" s="2" t="s">
        <v>3922</v>
      </c>
      <c r="D1869" s="2" t="s">
        <v>26</v>
      </c>
      <c r="E1869" s="2" t="s">
        <v>33</v>
      </c>
      <c r="F1869" s="2" t="s">
        <v>57</v>
      </c>
      <c r="G1869" s="2" t="s">
        <v>283</v>
      </c>
      <c r="H1869" s="3">
        <v>45434.338194444441</v>
      </c>
      <c r="I1869" s="3">
        <v>45434.515277777777</v>
      </c>
      <c r="J1869" s="2">
        <v>136</v>
      </c>
      <c r="K1869" s="2">
        <v>255</v>
      </c>
      <c r="L1869" s="2">
        <v>1</v>
      </c>
      <c r="M1869" s="2" t="s">
        <v>22</v>
      </c>
      <c r="N1869" s="2">
        <v>6</v>
      </c>
      <c r="O1869" s="2">
        <v>242.6</v>
      </c>
      <c r="P1869" s="2">
        <f t="shared" si="145"/>
        <v>119</v>
      </c>
      <c r="Q1869" s="4">
        <f t="shared" si="146"/>
        <v>0.53333333333333333</v>
      </c>
      <c r="R1869" s="2" t="str">
        <f t="shared" si="147"/>
        <v>Inefficient</v>
      </c>
      <c r="S1869" s="2" t="str">
        <f t="shared" si="148"/>
        <v>Very Long</v>
      </c>
      <c r="T1869" s="2" t="str">
        <f t="shared" si="149"/>
        <v>Major Delay</v>
      </c>
    </row>
    <row r="1870" spans="1:20" x14ac:dyDescent="0.35">
      <c r="A1870" s="2" t="s">
        <v>3923</v>
      </c>
      <c r="B1870" s="2" t="s">
        <v>63</v>
      </c>
      <c r="C1870" s="2" t="s">
        <v>3924</v>
      </c>
      <c r="D1870" s="2" t="s">
        <v>48</v>
      </c>
      <c r="E1870" s="2" t="s">
        <v>85</v>
      </c>
      <c r="F1870" s="2" t="s">
        <v>57</v>
      </c>
      <c r="G1870" s="2" t="s">
        <v>137</v>
      </c>
      <c r="H1870" s="3">
        <v>45348.707638888889</v>
      </c>
      <c r="I1870" s="3">
        <v>45348.818749999999</v>
      </c>
      <c r="J1870" s="2">
        <v>100</v>
      </c>
      <c r="K1870" s="2">
        <v>160</v>
      </c>
      <c r="L1870" s="2">
        <v>1</v>
      </c>
      <c r="M1870" s="2" t="s">
        <v>41</v>
      </c>
      <c r="N1870" s="2">
        <v>2</v>
      </c>
      <c r="O1870" s="2">
        <v>329.38</v>
      </c>
      <c r="P1870" s="2">
        <f t="shared" si="145"/>
        <v>60</v>
      </c>
      <c r="Q1870" s="4">
        <f t="shared" si="146"/>
        <v>0.625</v>
      </c>
      <c r="R1870" s="2" t="str">
        <f t="shared" si="147"/>
        <v>Inefficient</v>
      </c>
      <c r="S1870" s="2" t="str">
        <f t="shared" si="148"/>
        <v>Very Long</v>
      </c>
      <c r="T1870" s="2" t="str">
        <f t="shared" si="149"/>
        <v>Major Delay</v>
      </c>
    </row>
    <row r="1871" spans="1:20" x14ac:dyDescent="0.35">
      <c r="A1871" s="2" t="s">
        <v>3925</v>
      </c>
      <c r="B1871" s="2" t="s">
        <v>16</v>
      </c>
      <c r="C1871" s="2" t="s">
        <v>3926</v>
      </c>
      <c r="D1871" s="2" t="s">
        <v>18</v>
      </c>
      <c r="E1871" s="2" t="s">
        <v>38</v>
      </c>
      <c r="F1871" s="2" t="s">
        <v>34</v>
      </c>
      <c r="G1871" s="2" t="s">
        <v>388</v>
      </c>
      <c r="H1871" s="3">
        <v>45497.500694444447</v>
      </c>
      <c r="I1871" s="3">
        <v>45497.604861111111</v>
      </c>
      <c r="J1871" s="2">
        <v>70</v>
      </c>
      <c r="K1871" s="2">
        <v>150</v>
      </c>
      <c r="L1871" s="2">
        <v>1</v>
      </c>
      <c r="M1871" s="2" t="s">
        <v>41</v>
      </c>
      <c r="N1871" s="2">
        <v>4</v>
      </c>
      <c r="O1871" s="2">
        <v>183.11</v>
      </c>
      <c r="P1871" s="2">
        <f t="shared" si="145"/>
        <v>80</v>
      </c>
      <c r="Q1871" s="4">
        <f t="shared" si="146"/>
        <v>0.46666666666666667</v>
      </c>
      <c r="R1871" s="2" t="str">
        <f t="shared" si="147"/>
        <v>Inefficient</v>
      </c>
      <c r="S1871" s="2" t="str">
        <f t="shared" si="148"/>
        <v>Very Long</v>
      </c>
      <c r="T1871" s="2" t="str">
        <f t="shared" si="149"/>
        <v>Major Delay</v>
      </c>
    </row>
    <row r="1872" spans="1:20" x14ac:dyDescent="0.35">
      <c r="A1872" s="2" t="s">
        <v>3927</v>
      </c>
      <c r="B1872" s="2" t="s">
        <v>31</v>
      </c>
      <c r="C1872" s="2" t="s">
        <v>3928</v>
      </c>
      <c r="D1872" s="2" t="s">
        <v>56</v>
      </c>
      <c r="E1872" s="2" t="s">
        <v>38</v>
      </c>
      <c r="F1872" s="2" t="s">
        <v>20</v>
      </c>
      <c r="G1872" s="2" t="s">
        <v>308</v>
      </c>
      <c r="H1872" s="3">
        <v>45651.731944444444</v>
      </c>
      <c r="I1872" s="3">
        <v>45651.850694444445</v>
      </c>
      <c r="J1872" s="2">
        <v>107</v>
      </c>
      <c r="K1872" s="2">
        <v>171</v>
      </c>
      <c r="L1872" s="2">
        <v>1</v>
      </c>
      <c r="M1872" s="2" t="s">
        <v>29</v>
      </c>
      <c r="N1872" s="2">
        <v>10</v>
      </c>
      <c r="O1872" s="2">
        <v>462.11</v>
      </c>
      <c r="P1872" s="2">
        <f t="shared" si="145"/>
        <v>64</v>
      </c>
      <c r="Q1872" s="4">
        <f t="shared" si="146"/>
        <v>0.6257309941520468</v>
      </c>
      <c r="R1872" s="2" t="str">
        <f t="shared" si="147"/>
        <v>Inefficient</v>
      </c>
      <c r="S1872" s="2" t="str">
        <f t="shared" si="148"/>
        <v>Very Long</v>
      </c>
      <c r="T1872" s="2" t="str">
        <f t="shared" si="149"/>
        <v>Major Delay</v>
      </c>
    </row>
    <row r="1873" spans="1:20" x14ac:dyDescent="0.35">
      <c r="A1873" s="2" t="s">
        <v>3929</v>
      </c>
      <c r="B1873" s="2" t="s">
        <v>51</v>
      </c>
      <c r="C1873" s="2" t="s">
        <v>3930</v>
      </c>
      <c r="D1873" s="2" t="s">
        <v>26</v>
      </c>
      <c r="E1873" s="2" t="s">
        <v>19</v>
      </c>
      <c r="F1873" s="2" t="s">
        <v>57</v>
      </c>
      <c r="G1873" s="2" t="s">
        <v>521</v>
      </c>
      <c r="H1873" s="3">
        <v>45606.063194444447</v>
      </c>
      <c r="I1873" s="3">
        <v>45606.22152777778</v>
      </c>
      <c r="J1873" s="2">
        <v>210</v>
      </c>
      <c r="K1873" s="2">
        <v>228</v>
      </c>
      <c r="L1873" s="2">
        <v>1</v>
      </c>
      <c r="M1873" s="2" t="s">
        <v>22</v>
      </c>
      <c r="N1873" s="2">
        <v>8</v>
      </c>
      <c r="O1873" s="2">
        <v>488.31</v>
      </c>
      <c r="P1873" s="2">
        <f t="shared" si="145"/>
        <v>18</v>
      </c>
      <c r="Q1873" s="4">
        <f t="shared" si="146"/>
        <v>0.92105263157894735</v>
      </c>
      <c r="R1873" s="2" t="str">
        <f t="shared" si="147"/>
        <v>Inefficient</v>
      </c>
      <c r="S1873" s="2" t="str">
        <f t="shared" si="148"/>
        <v>Very Long</v>
      </c>
      <c r="T1873" s="2" t="str">
        <f t="shared" si="149"/>
        <v>Minor Delay</v>
      </c>
    </row>
    <row r="1874" spans="1:20" x14ac:dyDescent="0.35">
      <c r="A1874" s="2" t="s">
        <v>3931</v>
      </c>
      <c r="B1874" s="2" t="s">
        <v>51</v>
      </c>
      <c r="C1874" s="2" t="s">
        <v>3932</v>
      </c>
      <c r="D1874" s="2" t="s">
        <v>56</v>
      </c>
      <c r="E1874" s="2" t="s">
        <v>85</v>
      </c>
      <c r="F1874" s="2" t="s">
        <v>39</v>
      </c>
      <c r="G1874" s="2" t="s">
        <v>210</v>
      </c>
      <c r="H1874" s="3">
        <v>45648.201388888891</v>
      </c>
      <c r="I1874" s="3">
        <v>45648.315972222219</v>
      </c>
      <c r="J1874" s="2">
        <v>51</v>
      </c>
      <c r="K1874" s="2">
        <v>165</v>
      </c>
      <c r="L1874" s="2">
        <v>1</v>
      </c>
      <c r="M1874" s="2" t="s">
        <v>41</v>
      </c>
      <c r="N1874" s="2">
        <v>7</v>
      </c>
      <c r="O1874" s="2">
        <v>410.86</v>
      </c>
      <c r="P1874" s="2">
        <f t="shared" si="145"/>
        <v>114</v>
      </c>
      <c r="Q1874" s="4">
        <f t="shared" si="146"/>
        <v>0.30909090909090908</v>
      </c>
      <c r="R1874" s="2" t="str">
        <f t="shared" si="147"/>
        <v>Inefficient</v>
      </c>
      <c r="S1874" s="2" t="str">
        <f t="shared" si="148"/>
        <v>Very Long</v>
      </c>
      <c r="T1874" s="2" t="str">
        <f t="shared" si="149"/>
        <v>Major Delay</v>
      </c>
    </row>
    <row r="1875" spans="1:20" x14ac:dyDescent="0.35">
      <c r="A1875" s="2" t="s">
        <v>3933</v>
      </c>
      <c r="B1875" s="2" t="s">
        <v>24</v>
      </c>
      <c r="C1875" s="2" t="s">
        <v>3934</v>
      </c>
      <c r="D1875" s="2" t="s">
        <v>26</v>
      </c>
      <c r="E1875" s="2" t="s">
        <v>38</v>
      </c>
      <c r="F1875" s="2" t="s">
        <v>39</v>
      </c>
      <c r="G1875" s="2" t="s">
        <v>132</v>
      </c>
      <c r="H1875" s="3">
        <v>45500.441666666666</v>
      </c>
      <c r="I1875" s="3">
        <v>45500.550694444442</v>
      </c>
      <c r="J1875" s="2">
        <v>154</v>
      </c>
      <c r="K1875" s="2">
        <v>157</v>
      </c>
      <c r="L1875" s="2">
        <v>1</v>
      </c>
      <c r="M1875" s="2" t="s">
        <v>41</v>
      </c>
      <c r="N1875" s="2">
        <v>2</v>
      </c>
      <c r="O1875" s="2">
        <v>496.1</v>
      </c>
      <c r="P1875" s="2">
        <f t="shared" si="145"/>
        <v>3</v>
      </c>
      <c r="Q1875" s="4">
        <f t="shared" si="146"/>
        <v>0.98089171974522293</v>
      </c>
      <c r="R1875" s="2" t="str">
        <f t="shared" si="147"/>
        <v>Inefficient</v>
      </c>
      <c r="S1875" s="2" t="str">
        <f t="shared" si="148"/>
        <v>Very Long</v>
      </c>
      <c r="T1875" s="2" t="str">
        <f t="shared" si="149"/>
        <v>Minor Delay</v>
      </c>
    </row>
    <row r="1876" spans="1:20" x14ac:dyDescent="0.35">
      <c r="A1876" s="2" t="s">
        <v>3935</v>
      </c>
      <c r="B1876" s="2" t="s">
        <v>24</v>
      </c>
      <c r="C1876" s="2" t="s">
        <v>3936</v>
      </c>
      <c r="D1876" s="2" t="s">
        <v>44</v>
      </c>
      <c r="E1876" s="2" t="s">
        <v>38</v>
      </c>
      <c r="F1876" s="2" t="s">
        <v>34</v>
      </c>
      <c r="G1876" s="2" t="s">
        <v>335</v>
      </c>
      <c r="H1876" s="3">
        <v>45513.561111111114</v>
      </c>
      <c r="I1876" s="3">
        <v>45513.727777777778</v>
      </c>
      <c r="J1876" s="2">
        <v>177</v>
      </c>
      <c r="K1876" s="2">
        <v>240</v>
      </c>
      <c r="L1876" s="2">
        <v>1</v>
      </c>
      <c r="M1876" s="2" t="s">
        <v>41</v>
      </c>
      <c r="N1876" s="2">
        <v>5</v>
      </c>
      <c r="O1876" s="2">
        <v>183.72</v>
      </c>
      <c r="P1876" s="2">
        <f t="shared" si="145"/>
        <v>63</v>
      </c>
      <c r="Q1876" s="4">
        <f t="shared" si="146"/>
        <v>0.73750000000000004</v>
      </c>
      <c r="R1876" s="2" t="str">
        <f t="shared" si="147"/>
        <v>Inefficient</v>
      </c>
      <c r="S1876" s="2" t="str">
        <f t="shared" si="148"/>
        <v>Very Long</v>
      </c>
      <c r="T1876" s="2" t="str">
        <f t="shared" si="149"/>
        <v>Major Delay</v>
      </c>
    </row>
    <row r="1877" spans="1:20" x14ac:dyDescent="0.35">
      <c r="A1877" s="2" t="s">
        <v>3937</v>
      </c>
      <c r="B1877" s="2" t="s">
        <v>51</v>
      </c>
      <c r="C1877" s="2" t="s">
        <v>3938</v>
      </c>
      <c r="D1877" s="2" t="s">
        <v>26</v>
      </c>
      <c r="E1877" s="2" t="s">
        <v>19</v>
      </c>
      <c r="F1877" s="2" t="s">
        <v>27</v>
      </c>
      <c r="G1877" s="2" t="s">
        <v>383</v>
      </c>
      <c r="H1877" s="3">
        <v>45476.86041666667</v>
      </c>
      <c r="I1877" s="3">
        <v>45476.927083333336</v>
      </c>
      <c r="J1877" s="2">
        <v>21</v>
      </c>
      <c r="K1877" s="2">
        <v>96</v>
      </c>
      <c r="L1877" s="2">
        <v>1</v>
      </c>
      <c r="M1877" s="2" t="s">
        <v>29</v>
      </c>
      <c r="N1877" s="2">
        <v>1</v>
      </c>
      <c r="O1877" s="2">
        <v>299.16000000000003</v>
      </c>
      <c r="P1877" s="2">
        <f t="shared" si="145"/>
        <v>75</v>
      </c>
      <c r="Q1877" s="4">
        <f t="shared" si="146"/>
        <v>0.21875</v>
      </c>
      <c r="R1877" s="2" t="str">
        <f t="shared" si="147"/>
        <v>Inefficient</v>
      </c>
      <c r="S1877" s="2" t="str">
        <f t="shared" si="148"/>
        <v>Long</v>
      </c>
      <c r="T1877" s="2" t="str">
        <f t="shared" si="149"/>
        <v>Major Delay</v>
      </c>
    </row>
    <row r="1878" spans="1:20" x14ac:dyDescent="0.35">
      <c r="A1878" s="2" t="s">
        <v>3939</v>
      </c>
      <c r="B1878" s="2" t="s">
        <v>16</v>
      </c>
      <c r="C1878" s="2" t="s">
        <v>3940</v>
      </c>
      <c r="D1878" s="2" t="s">
        <v>44</v>
      </c>
      <c r="E1878" s="2" t="s">
        <v>19</v>
      </c>
      <c r="F1878" s="2" t="s">
        <v>27</v>
      </c>
      <c r="G1878" s="2" t="s">
        <v>262</v>
      </c>
      <c r="H1878" s="3">
        <v>45389.388888888891</v>
      </c>
      <c r="I1878" s="3">
        <v>45389.496527777781</v>
      </c>
      <c r="J1878" s="2">
        <v>126</v>
      </c>
      <c r="K1878" s="2">
        <v>155</v>
      </c>
      <c r="L1878" s="2">
        <v>1</v>
      </c>
      <c r="M1878" s="2" t="s">
        <v>41</v>
      </c>
      <c r="N1878" s="2">
        <v>7</v>
      </c>
      <c r="O1878" s="2">
        <v>499.48</v>
      </c>
      <c r="P1878" s="2">
        <f t="shared" si="145"/>
        <v>29</v>
      </c>
      <c r="Q1878" s="4">
        <f t="shared" si="146"/>
        <v>0.81290322580645158</v>
      </c>
      <c r="R1878" s="2" t="str">
        <f t="shared" si="147"/>
        <v>Inefficient</v>
      </c>
      <c r="S1878" s="2" t="str">
        <f t="shared" si="148"/>
        <v>Very Long</v>
      </c>
      <c r="T1878" s="2" t="str">
        <f t="shared" si="149"/>
        <v>Minor Delay</v>
      </c>
    </row>
    <row r="1879" spans="1:20" x14ac:dyDescent="0.35">
      <c r="A1879" s="2" t="s">
        <v>3941</v>
      </c>
      <c r="B1879" s="2" t="s">
        <v>63</v>
      </c>
      <c r="C1879" s="2" t="s">
        <v>3942</v>
      </c>
      <c r="D1879" s="2" t="s">
        <v>26</v>
      </c>
      <c r="E1879" s="2" t="s">
        <v>19</v>
      </c>
      <c r="F1879" s="2" t="s">
        <v>39</v>
      </c>
      <c r="G1879" s="2" t="s">
        <v>265</v>
      </c>
      <c r="H1879" s="3">
        <v>45504.218055555553</v>
      </c>
      <c r="I1879" s="3">
        <v>45504.338194444441</v>
      </c>
      <c r="J1879" s="2">
        <v>75</v>
      </c>
      <c r="K1879" s="2">
        <v>173</v>
      </c>
      <c r="L1879" s="2">
        <v>1</v>
      </c>
      <c r="M1879" s="2" t="s">
        <v>29</v>
      </c>
      <c r="N1879" s="2">
        <v>9</v>
      </c>
      <c r="O1879" s="2">
        <v>496.54</v>
      </c>
      <c r="P1879" s="2">
        <f t="shared" si="145"/>
        <v>98</v>
      </c>
      <c r="Q1879" s="4">
        <f t="shared" si="146"/>
        <v>0.43352601156069365</v>
      </c>
      <c r="R1879" s="2" t="str">
        <f t="shared" si="147"/>
        <v>Inefficient</v>
      </c>
      <c r="S1879" s="2" t="str">
        <f t="shared" si="148"/>
        <v>Very Long</v>
      </c>
      <c r="T1879" s="2" t="str">
        <f t="shared" si="149"/>
        <v>Major Delay</v>
      </c>
    </row>
    <row r="1880" spans="1:20" x14ac:dyDescent="0.35">
      <c r="A1880" s="2" t="s">
        <v>3943</v>
      </c>
      <c r="B1880" s="2" t="s">
        <v>16</v>
      </c>
      <c r="C1880" s="2" t="s">
        <v>3944</v>
      </c>
      <c r="D1880" s="2" t="s">
        <v>26</v>
      </c>
      <c r="E1880" s="2" t="s">
        <v>33</v>
      </c>
      <c r="F1880" s="2" t="s">
        <v>20</v>
      </c>
      <c r="G1880" s="2" t="s">
        <v>185</v>
      </c>
      <c r="H1880" s="3">
        <v>45588.920138888891</v>
      </c>
      <c r="I1880" s="3">
        <v>45588.954861111109</v>
      </c>
      <c r="J1880" s="2">
        <v>17</v>
      </c>
      <c r="K1880" s="2">
        <v>50</v>
      </c>
      <c r="L1880" s="2">
        <v>1</v>
      </c>
      <c r="M1880" s="2" t="s">
        <v>22</v>
      </c>
      <c r="N1880" s="2">
        <v>5</v>
      </c>
      <c r="O1880" s="2">
        <v>364.96</v>
      </c>
      <c r="P1880" s="2">
        <f t="shared" si="145"/>
        <v>33</v>
      </c>
      <c r="Q1880" s="4">
        <f t="shared" si="146"/>
        <v>0.34</v>
      </c>
      <c r="R1880" s="2" t="str">
        <f t="shared" si="147"/>
        <v>Inefficient</v>
      </c>
      <c r="S1880" s="2" t="str">
        <f t="shared" si="148"/>
        <v>Medium</v>
      </c>
      <c r="T1880" s="2" t="str">
        <f t="shared" si="149"/>
        <v>Major Delay</v>
      </c>
    </row>
    <row r="1881" spans="1:20" x14ac:dyDescent="0.35">
      <c r="A1881" s="2" t="s">
        <v>3945</v>
      </c>
      <c r="B1881" s="2" t="s">
        <v>63</v>
      </c>
      <c r="C1881" s="2" t="s">
        <v>3946</v>
      </c>
      <c r="D1881" s="2" t="s">
        <v>26</v>
      </c>
      <c r="E1881" s="2" t="s">
        <v>19</v>
      </c>
      <c r="F1881" s="2" t="s">
        <v>39</v>
      </c>
      <c r="G1881" s="2" t="s">
        <v>262</v>
      </c>
      <c r="H1881" s="3">
        <v>45395.620833333334</v>
      </c>
      <c r="I1881" s="3">
        <v>45395.804861111108</v>
      </c>
      <c r="J1881" s="2">
        <v>193</v>
      </c>
      <c r="K1881" s="2">
        <v>265</v>
      </c>
      <c r="L1881" s="2">
        <v>1</v>
      </c>
      <c r="M1881" s="2" t="s">
        <v>22</v>
      </c>
      <c r="N1881" s="2">
        <v>5</v>
      </c>
      <c r="O1881" s="2">
        <v>96.18</v>
      </c>
      <c r="P1881" s="2">
        <f t="shared" si="145"/>
        <v>72</v>
      </c>
      <c r="Q1881" s="4">
        <f t="shared" si="146"/>
        <v>0.72830188679245278</v>
      </c>
      <c r="R1881" s="2" t="str">
        <f t="shared" si="147"/>
        <v>Inefficient</v>
      </c>
      <c r="S1881" s="2" t="str">
        <f t="shared" si="148"/>
        <v>Very Long</v>
      </c>
      <c r="T1881" s="2" t="str">
        <f t="shared" si="149"/>
        <v>Major Delay</v>
      </c>
    </row>
    <row r="1882" spans="1:20" x14ac:dyDescent="0.35">
      <c r="A1882" s="2" t="s">
        <v>3947</v>
      </c>
      <c r="B1882" s="2" t="s">
        <v>51</v>
      </c>
      <c r="C1882" s="2" t="s">
        <v>3948</v>
      </c>
      <c r="D1882" s="2" t="s">
        <v>44</v>
      </c>
      <c r="E1882" s="2" t="s">
        <v>85</v>
      </c>
      <c r="F1882" s="2" t="s">
        <v>34</v>
      </c>
      <c r="G1882" s="2" t="s">
        <v>676</v>
      </c>
      <c r="H1882" s="3">
        <v>45493.046527777777</v>
      </c>
      <c r="I1882" s="3">
        <v>45493.203472222223</v>
      </c>
      <c r="J1882" s="2">
        <v>175</v>
      </c>
      <c r="K1882" s="2">
        <v>226</v>
      </c>
      <c r="L1882" s="2">
        <v>1</v>
      </c>
      <c r="M1882" s="2" t="s">
        <v>41</v>
      </c>
      <c r="N1882" s="2">
        <v>8</v>
      </c>
      <c r="O1882" s="2">
        <v>466.27</v>
      </c>
      <c r="P1882" s="2">
        <f t="shared" si="145"/>
        <v>51</v>
      </c>
      <c r="Q1882" s="4">
        <f t="shared" si="146"/>
        <v>0.77433628318584069</v>
      </c>
      <c r="R1882" s="2" t="str">
        <f t="shared" si="147"/>
        <v>Inefficient</v>
      </c>
      <c r="S1882" s="2" t="str">
        <f t="shared" si="148"/>
        <v>Very Long</v>
      </c>
      <c r="T1882" s="2" t="str">
        <f t="shared" si="149"/>
        <v>Major Delay</v>
      </c>
    </row>
    <row r="1883" spans="1:20" x14ac:dyDescent="0.35">
      <c r="A1883" s="2" t="s">
        <v>3949</v>
      </c>
      <c r="B1883" s="2" t="s">
        <v>51</v>
      </c>
      <c r="C1883" s="2" t="s">
        <v>3950</v>
      </c>
      <c r="D1883" s="2" t="s">
        <v>48</v>
      </c>
      <c r="E1883" s="2" t="s">
        <v>19</v>
      </c>
      <c r="F1883" s="2" t="s">
        <v>57</v>
      </c>
      <c r="G1883" s="2" t="s">
        <v>49</v>
      </c>
      <c r="H1883" s="3">
        <v>45573.896527777775</v>
      </c>
      <c r="I1883" s="3">
        <v>45573.96597222222</v>
      </c>
      <c r="J1883" s="2">
        <v>87</v>
      </c>
      <c r="K1883" s="2">
        <v>100</v>
      </c>
      <c r="L1883" s="2">
        <v>1</v>
      </c>
      <c r="M1883" s="2" t="s">
        <v>22</v>
      </c>
      <c r="N1883" s="2">
        <v>1</v>
      </c>
      <c r="O1883" s="2">
        <v>67.709999999999994</v>
      </c>
      <c r="P1883" s="2">
        <f t="shared" si="145"/>
        <v>13</v>
      </c>
      <c r="Q1883" s="4">
        <f t="shared" si="146"/>
        <v>0.87</v>
      </c>
      <c r="R1883" s="2" t="str">
        <f t="shared" si="147"/>
        <v>Inefficient</v>
      </c>
      <c r="S1883" s="2" t="str">
        <f t="shared" si="148"/>
        <v>Long</v>
      </c>
      <c r="T1883" s="2" t="str">
        <f t="shared" si="149"/>
        <v>Minor Delay</v>
      </c>
    </row>
    <row r="1884" spans="1:20" x14ac:dyDescent="0.35">
      <c r="A1884" s="2" t="s">
        <v>3951</v>
      </c>
      <c r="B1884" s="2" t="s">
        <v>16</v>
      </c>
      <c r="C1884" s="2" t="s">
        <v>3952</v>
      </c>
      <c r="D1884" s="2" t="s">
        <v>26</v>
      </c>
      <c r="E1884" s="2" t="s">
        <v>19</v>
      </c>
      <c r="F1884" s="2" t="s">
        <v>57</v>
      </c>
      <c r="G1884" s="2" t="s">
        <v>120</v>
      </c>
      <c r="H1884" s="3">
        <v>45367.279166666667</v>
      </c>
      <c r="I1884" s="3">
        <v>45367.438194444447</v>
      </c>
      <c r="J1884" s="2">
        <v>218</v>
      </c>
      <c r="K1884" s="2">
        <v>229</v>
      </c>
      <c r="L1884" s="2">
        <v>1</v>
      </c>
      <c r="M1884" s="2" t="s">
        <v>22</v>
      </c>
      <c r="N1884" s="2">
        <v>4</v>
      </c>
      <c r="O1884" s="2">
        <v>279.24</v>
      </c>
      <c r="P1884" s="2">
        <f t="shared" si="145"/>
        <v>11</v>
      </c>
      <c r="Q1884" s="4">
        <f t="shared" si="146"/>
        <v>0.95196506550218341</v>
      </c>
      <c r="R1884" s="2" t="str">
        <f t="shared" si="147"/>
        <v>Inefficient</v>
      </c>
      <c r="S1884" s="2" t="str">
        <f t="shared" si="148"/>
        <v>Very Long</v>
      </c>
      <c r="T1884" s="2" t="str">
        <f t="shared" si="149"/>
        <v>Minor Delay</v>
      </c>
    </row>
    <row r="1885" spans="1:20" x14ac:dyDescent="0.35">
      <c r="A1885" s="2" t="s">
        <v>3953</v>
      </c>
      <c r="B1885" s="2" t="s">
        <v>31</v>
      </c>
      <c r="C1885" s="2" t="s">
        <v>3954</v>
      </c>
      <c r="D1885" s="2" t="s">
        <v>26</v>
      </c>
      <c r="E1885" s="2" t="s">
        <v>85</v>
      </c>
      <c r="F1885" s="2" t="s">
        <v>34</v>
      </c>
      <c r="G1885" s="2" t="s">
        <v>388</v>
      </c>
      <c r="H1885" s="3">
        <v>45301.59652777778</v>
      </c>
      <c r="I1885" s="3">
        <v>45301.777083333334</v>
      </c>
      <c r="J1885" s="2">
        <v>143</v>
      </c>
      <c r="K1885" s="2">
        <v>260</v>
      </c>
      <c r="L1885" s="2">
        <v>1</v>
      </c>
      <c r="M1885" s="2" t="s">
        <v>29</v>
      </c>
      <c r="N1885" s="2">
        <v>6</v>
      </c>
      <c r="O1885" s="2">
        <v>270.89999999999998</v>
      </c>
      <c r="P1885" s="2">
        <f t="shared" si="145"/>
        <v>117</v>
      </c>
      <c r="Q1885" s="4">
        <f t="shared" si="146"/>
        <v>0.55000000000000004</v>
      </c>
      <c r="R1885" s="2" t="str">
        <f t="shared" si="147"/>
        <v>Inefficient</v>
      </c>
      <c r="S1885" s="2" t="str">
        <f t="shared" si="148"/>
        <v>Very Long</v>
      </c>
      <c r="T1885" s="2" t="str">
        <f t="shared" si="149"/>
        <v>Major Delay</v>
      </c>
    </row>
    <row r="1886" spans="1:20" x14ac:dyDescent="0.35">
      <c r="A1886" s="2" t="s">
        <v>3955</v>
      </c>
      <c r="B1886" s="2" t="s">
        <v>16</v>
      </c>
      <c r="C1886" s="2" t="s">
        <v>3956</v>
      </c>
      <c r="D1886" s="2" t="s">
        <v>18</v>
      </c>
      <c r="E1886" s="2" t="s">
        <v>19</v>
      </c>
      <c r="F1886" s="2" t="s">
        <v>34</v>
      </c>
      <c r="G1886" s="2" t="s">
        <v>65</v>
      </c>
      <c r="H1886" s="3">
        <v>45449.101388888892</v>
      </c>
      <c r="I1886" s="3">
        <v>45449.193055555559</v>
      </c>
      <c r="J1886" s="2">
        <v>68</v>
      </c>
      <c r="K1886" s="2">
        <v>132</v>
      </c>
      <c r="L1886" s="2">
        <v>1</v>
      </c>
      <c r="M1886" s="2" t="s">
        <v>22</v>
      </c>
      <c r="N1886" s="2">
        <v>9</v>
      </c>
      <c r="O1886" s="2">
        <v>66.599999999999994</v>
      </c>
      <c r="P1886" s="2">
        <f t="shared" si="145"/>
        <v>64</v>
      </c>
      <c r="Q1886" s="4">
        <f t="shared" si="146"/>
        <v>0.51515151515151514</v>
      </c>
      <c r="R1886" s="2" t="str">
        <f t="shared" si="147"/>
        <v>Inefficient</v>
      </c>
      <c r="S1886" s="2" t="str">
        <f t="shared" si="148"/>
        <v>Very Long</v>
      </c>
      <c r="T1886" s="2" t="str">
        <f t="shared" si="149"/>
        <v>Major Delay</v>
      </c>
    </row>
    <row r="1887" spans="1:20" x14ac:dyDescent="0.35">
      <c r="A1887" s="2" t="s">
        <v>3957</v>
      </c>
      <c r="B1887" s="2" t="s">
        <v>51</v>
      </c>
      <c r="C1887" s="2" t="s">
        <v>3958</v>
      </c>
      <c r="D1887" s="2" t="s">
        <v>44</v>
      </c>
      <c r="E1887" s="2" t="s">
        <v>33</v>
      </c>
      <c r="F1887" s="2" t="s">
        <v>34</v>
      </c>
      <c r="G1887" s="2" t="s">
        <v>810</v>
      </c>
      <c r="H1887" s="3">
        <v>45372.336111111108</v>
      </c>
      <c r="I1887" s="3">
        <v>45372.463888888888</v>
      </c>
      <c r="J1887" s="2">
        <v>82</v>
      </c>
      <c r="K1887" s="2">
        <v>184</v>
      </c>
      <c r="L1887" s="2">
        <v>1</v>
      </c>
      <c r="M1887" s="2" t="s">
        <v>29</v>
      </c>
      <c r="N1887" s="2">
        <v>6</v>
      </c>
      <c r="O1887" s="2">
        <v>351.31</v>
      </c>
      <c r="P1887" s="2">
        <f t="shared" si="145"/>
        <v>102</v>
      </c>
      <c r="Q1887" s="4">
        <f t="shared" si="146"/>
        <v>0.44565217391304346</v>
      </c>
      <c r="R1887" s="2" t="str">
        <f t="shared" si="147"/>
        <v>Inefficient</v>
      </c>
      <c r="S1887" s="2" t="str">
        <f t="shared" si="148"/>
        <v>Very Long</v>
      </c>
      <c r="T1887" s="2" t="str">
        <f t="shared" si="149"/>
        <v>Major Delay</v>
      </c>
    </row>
    <row r="1888" spans="1:20" x14ac:dyDescent="0.35">
      <c r="A1888" s="2" t="s">
        <v>3959</v>
      </c>
      <c r="B1888" s="2" t="s">
        <v>24</v>
      </c>
      <c r="C1888" s="2" t="s">
        <v>3960</v>
      </c>
      <c r="D1888" s="2" t="s">
        <v>56</v>
      </c>
      <c r="E1888" s="2" t="s">
        <v>19</v>
      </c>
      <c r="F1888" s="2" t="s">
        <v>34</v>
      </c>
      <c r="G1888" s="2" t="s">
        <v>647</v>
      </c>
      <c r="H1888" s="3">
        <v>45351.588194444441</v>
      </c>
      <c r="I1888" s="3">
        <v>45351.76458333333</v>
      </c>
      <c r="J1888" s="2">
        <v>187</v>
      </c>
      <c r="K1888" s="2">
        <v>254</v>
      </c>
      <c r="L1888" s="2">
        <v>1</v>
      </c>
      <c r="M1888" s="2" t="s">
        <v>22</v>
      </c>
      <c r="N1888" s="2">
        <v>5</v>
      </c>
      <c r="O1888" s="2">
        <v>60.75</v>
      </c>
      <c r="P1888" s="2">
        <f t="shared" si="145"/>
        <v>67</v>
      </c>
      <c r="Q1888" s="4">
        <f t="shared" si="146"/>
        <v>0.73622047244094491</v>
      </c>
      <c r="R1888" s="2" t="str">
        <f t="shared" si="147"/>
        <v>Inefficient</v>
      </c>
      <c r="S1888" s="2" t="str">
        <f t="shared" si="148"/>
        <v>Very Long</v>
      </c>
      <c r="T1888" s="2" t="str">
        <f t="shared" si="149"/>
        <v>Major Delay</v>
      </c>
    </row>
    <row r="1889" spans="1:20" x14ac:dyDescent="0.35">
      <c r="A1889" s="2" t="s">
        <v>3961</v>
      </c>
      <c r="B1889" s="2" t="s">
        <v>16</v>
      </c>
      <c r="C1889" s="2" t="s">
        <v>3962</v>
      </c>
      <c r="D1889" s="2" t="s">
        <v>56</v>
      </c>
      <c r="E1889" s="2" t="s">
        <v>33</v>
      </c>
      <c r="F1889" s="2" t="s">
        <v>27</v>
      </c>
      <c r="G1889" s="2" t="s">
        <v>254</v>
      </c>
      <c r="H1889" s="3">
        <v>45581.443749999999</v>
      </c>
      <c r="I1889" s="3">
        <v>45581.527083333334</v>
      </c>
      <c r="J1889" s="2">
        <v>116</v>
      </c>
      <c r="K1889" s="2">
        <v>120</v>
      </c>
      <c r="L1889" s="2">
        <v>1</v>
      </c>
      <c r="M1889" s="2" t="s">
        <v>22</v>
      </c>
      <c r="N1889" s="2">
        <v>10</v>
      </c>
      <c r="O1889" s="2">
        <v>387.57</v>
      </c>
      <c r="P1889" s="2">
        <f t="shared" si="145"/>
        <v>4</v>
      </c>
      <c r="Q1889" s="4">
        <f t="shared" si="146"/>
        <v>0.96666666666666667</v>
      </c>
      <c r="R1889" s="2" t="str">
        <f t="shared" si="147"/>
        <v>Inefficient</v>
      </c>
      <c r="S1889" s="2" t="str">
        <f t="shared" si="148"/>
        <v>Very Long</v>
      </c>
      <c r="T1889" s="2" t="str">
        <f t="shared" si="149"/>
        <v>Minor Delay</v>
      </c>
    </row>
    <row r="1890" spans="1:20" x14ac:dyDescent="0.35">
      <c r="A1890" s="2" t="s">
        <v>3963</v>
      </c>
      <c r="B1890" s="2" t="s">
        <v>24</v>
      </c>
      <c r="C1890" s="2" t="s">
        <v>3964</v>
      </c>
      <c r="D1890" s="2" t="s">
        <v>18</v>
      </c>
      <c r="E1890" s="2" t="s">
        <v>38</v>
      </c>
      <c r="F1890" s="2" t="s">
        <v>27</v>
      </c>
      <c r="G1890" s="2" t="s">
        <v>1278</v>
      </c>
      <c r="H1890" s="3">
        <v>45312.456250000003</v>
      </c>
      <c r="I1890" s="3">
        <v>45312.618750000001</v>
      </c>
      <c r="J1890" s="2">
        <v>222</v>
      </c>
      <c r="K1890" s="2">
        <v>234</v>
      </c>
      <c r="L1890" s="2">
        <v>1</v>
      </c>
      <c r="M1890" s="2" t="s">
        <v>41</v>
      </c>
      <c r="N1890" s="2">
        <v>7</v>
      </c>
      <c r="O1890" s="2">
        <v>115.84</v>
      </c>
      <c r="P1890" s="2">
        <f t="shared" si="145"/>
        <v>12</v>
      </c>
      <c r="Q1890" s="4">
        <f t="shared" si="146"/>
        <v>0.94871794871794868</v>
      </c>
      <c r="R1890" s="2" t="str">
        <f t="shared" si="147"/>
        <v>Inefficient</v>
      </c>
      <c r="S1890" s="2" t="str">
        <f t="shared" si="148"/>
        <v>Very Long</v>
      </c>
      <c r="T1890" s="2" t="str">
        <f t="shared" si="149"/>
        <v>Minor Delay</v>
      </c>
    </row>
    <row r="1891" spans="1:20" x14ac:dyDescent="0.35">
      <c r="A1891" s="2" t="s">
        <v>3965</v>
      </c>
      <c r="B1891" s="2" t="s">
        <v>31</v>
      </c>
      <c r="C1891" s="2" t="s">
        <v>3966</v>
      </c>
      <c r="D1891" s="2" t="s">
        <v>44</v>
      </c>
      <c r="E1891" s="2" t="s">
        <v>19</v>
      </c>
      <c r="F1891" s="2" t="s">
        <v>20</v>
      </c>
      <c r="G1891" s="2" t="s">
        <v>21</v>
      </c>
      <c r="H1891" s="3">
        <v>45503.838194444441</v>
      </c>
      <c r="I1891" s="3">
        <v>45503.895833333336</v>
      </c>
      <c r="J1891" s="2">
        <v>36</v>
      </c>
      <c r="K1891" s="2">
        <v>83</v>
      </c>
      <c r="L1891" s="2">
        <v>1</v>
      </c>
      <c r="M1891" s="2" t="s">
        <v>29</v>
      </c>
      <c r="N1891" s="2">
        <v>4</v>
      </c>
      <c r="O1891" s="2">
        <v>376.18</v>
      </c>
      <c r="P1891" s="2">
        <f t="shared" si="145"/>
        <v>47</v>
      </c>
      <c r="Q1891" s="4">
        <f t="shared" si="146"/>
        <v>0.43373493975903615</v>
      </c>
      <c r="R1891" s="2" t="str">
        <f t="shared" si="147"/>
        <v>Inefficient</v>
      </c>
      <c r="S1891" s="2" t="str">
        <f t="shared" si="148"/>
        <v>Long</v>
      </c>
      <c r="T1891" s="2" t="str">
        <f t="shared" si="149"/>
        <v>Major Delay</v>
      </c>
    </row>
    <row r="1892" spans="1:20" x14ac:dyDescent="0.35">
      <c r="A1892" s="2" t="s">
        <v>3967</v>
      </c>
      <c r="B1892" s="2" t="s">
        <v>16</v>
      </c>
      <c r="C1892" s="2" t="s">
        <v>3968</v>
      </c>
      <c r="D1892" s="2" t="s">
        <v>26</v>
      </c>
      <c r="E1892" s="2" t="s">
        <v>33</v>
      </c>
      <c r="F1892" s="2" t="s">
        <v>34</v>
      </c>
      <c r="G1892" s="2" t="s">
        <v>204</v>
      </c>
      <c r="H1892" s="3">
        <v>45394.863888888889</v>
      </c>
      <c r="I1892" s="3">
        <v>45394.960416666669</v>
      </c>
      <c r="J1892" s="2">
        <v>109</v>
      </c>
      <c r="K1892" s="2">
        <v>139</v>
      </c>
      <c r="L1892" s="2">
        <v>1</v>
      </c>
      <c r="M1892" s="2" t="s">
        <v>22</v>
      </c>
      <c r="N1892" s="2">
        <v>7</v>
      </c>
      <c r="O1892" s="2">
        <v>244.33</v>
      </c>
      <c r="P1892" s="2">
        <f t="shared" si="145"/>
        <v>30</v>
      </c>
      <c r="Q1892" s="4">
        <f t="shared" si="146"/>
        <v>0.78417266187050361</v>
      </c>
      <c r="R1892" s="2" t="str">
        <f t="shared" si="147"/>
        <v>Inefficient</v>
      </c>
      <c r="S1892" s="2" t="str">
        <f t="shared" si="148"/>
        <v>Very Long</v>
      </c>
      <c r="T1892" s="2" t="str">
        <f t="shared" si="149"/>
        <v>Minor Delay</v>
      </c>
    </row>
    <row r="1893" spans="1:20" x14ac:dyDescent="0.35">
      <c r="A1893" s="2" t="s">
        <v>3969</v>
      </c>
      <c r="B1893" s="2" t="s">
        <v>63</v>
      </c>
      <c r="C1893" s="2" t="s">
        <v>3970</v>
      </c>
      <c r="D1893" s="2" t="s">
        <v>18</v>
      </c>
      <c r="E1893" s="2" t="s">
        <v>85</v>
      </c>
      <c r="F1893" s="2" t="s">
        <v>20</v>
      </c>
      <c r="G1893" s="2" t="s">
        <v>194</v>
      </c>
      <c r="H1893" s="3">
        <v>45343.892361111109</v>
      </c>
      <c r="I1893" s="3">
        <v>45344.068055555559</v>
      </c>
      <c r="J1893" s="2">
        <v>224</v>
      </c>
      <c r="K1893" s="2">
        <v>253</v>
      </c>
      <c r="L1893" s="2">
        <v>1</v>
      </c>
      <c r="M1893" s="2" t="s">
        <v>22</v>
      </c>
      <c r="N1893" s="2">
        <v>5</v>
      </c>
      <c r="O1893" s="2">
        <v>359.69</v>
      </c>
      <c r="P1893" s="2">
        <f t="shared" si="145"/>
        <v>29</v>
      </c>
      <c r="Q1893" s="4">
        <f t="shared" si="146"/>
        <v>0.88537549407114624</v>
      </c>
      <c r="R1893" s="2" t="str">
        <f t="shared" si="147"/>
        <v>Inefficient</v>
      </c>
      <c r="S1893" s="2" t="str">
        <f t="shared" si="148"/>
        <v>Very Long</v>
      </c>
      <c r="T1893" s="2" t="str">
        <f t="shared" si="149"/>
        <v>Minor Delay</v>
      </c>
    </row>
    <row r="1894" spans="1:20" x14ac:dyDescent="0.35">
      <c r="A1894" s="2" t="s">
        <v>3971</v>
      </c>
      <c r="B1894" s="2" t="s">
        <v>63</v>
      </c>
      <c r="C1894" s="2" t="s">
        <v>3972</v>
      </c>
      <c r="D1894" s="2" t="s">
        <v>56</v>
      </c>
      <c r="E1894" s="2" t="s">
        <v>38</v>
      </c>
      <c r="F1894" s="2" t="s">
        <v>39</v>
      </c>
      <c r="G1894" s="2" t="s">
        <v>251</v>
      </c>
      <c r="H1894" s="3">
        <v>45347.258333333331</v>
      </c>
      <c r="I1894" s="3">
        <v>45347.409722222219</v>
      </c>
      <c r="J1894" s="2">
        <v>131</v>
      </c>
      <c r="K1894" s="2">
        <v>218</v>
      </c>
      <c r="L1894" s="2">
        <v>1</v>
      </c>
      <c r="M1894" s="2" t="s">
        <v>41</v>
      </c>
      <c r="N1894" s="2">
        <v>2</v>
      </c>
      <c r="O1894" s="2">
        <v>419.65</v>
      </c>
      <c r="P1894" s="2">
        <f t="shared" si="145"/>
        <v>87</v>
      </c>
      <c r="Q1894" s="4">
        <f t="shared" si="146"/>
        <v>0.6009174311926605</v>
      </c>
      <c r="R1894" s="2" t="str">
        <f t="shared" si="147"/>
        <v>Inefficient</v>
      </c>
      <c r="S1894" s="2" t="str">
        <f t="shared" si="148"/>
        <v>Very Long</v>
      </c>
      <c r="T1894" s="2" t="str">
        <f t="shared" si="149"/>
        <v>Major Delay</v>
      </c>
    </row>
    <row r="1895" spans="1:20" x14ac:dyDescent="0.35">
      <c r="A1895" s="2" t="s">
        <v>3973</v>
      </c>
      <c r="B1895" s="2" t="s">
        <v>63</v>
      </c>
      <c r="C1895" s="2" t="s">
        <v>3974</v>
      </c>
      <c r="D1895" s="2" t="s">
        <v>44</v>
      </c>
      <c r="E1895" s="2" t="s">
        <v>19</v>
      </c>
      <c r="F1895" s="2" t="s">
        <v>27</v>
      </c>
      <c r="G1895" s="2" t="s">
        <v>167</v>
      </c>
      <c r="H1895" s="3">
        <v>45426.7</v>
      </c>
      <c r="I1895" s="3">
        <v>45426.926388888889</v>
      </c>
      <c r="J1895" s="2">
        <v>210</v>
      </c>
      <c r="K1895" s="2">
        <v>326</v>
      </c>
      <c r="L1895" s="2">
        <v>1</v>
      </c>
      <c r="M1895" s="2" t="s">
        <v>22</v>
      </c>
      <c r="N1895" s="2">
        <v>8</v>
      </c>
      <c r="O1895" s="2">
        <v>310.62</v>
      </c>
      <c r="P1895" s="2">
        <f t="shared" si="145"/>
        <v>116</v>
      </c>
      <c r="Q1895" s="4">
        <f t="shared" si="146"/>
        <v>0.64417177914110424</v>
      </c>
      <c r="R1895" s="2" t="str">
        <f t="shared" si="147"/>
        <v>Inefficient</v>
      </c>
      <c r="S1895" s="2" t="str">
        <f t="shared" si="148"/>
        <v>Very Long</v>
      </c>
      <c r="T1895" s="2" t="str">
        <f t="shared" si="149"/>
        <v>Major Delay</v>
      </c>
    </row>
    <row r="1896" spans="1:20" x14ac:dyDescent="0.35">
      <c r="A1896" s="2" t="s">
        <v>3975</v>
      </c>
      <c r="B1896" s="2" t="s">
        <v>24</v>
      </c>
      <c r="C1896" s="2" t="s">
        <v>3976</v>
      </c>
      <c r="D1896" s="2" t="s">
        <v>18</v>
      </c>
      <c r="E1896" s="2" t="s">
        <v>38</v>
      </c>
      <c r="F1896" s="2" t="s">
        <v>57</v>
      </c>
      <c r="G1896" s="2" t="s">
        <v>140</v>
      </c>
      <c r="H1896" s="3">
        <v>45447.913194444445</v>
      </c>
      <c r="I1896" s="3">
        <v>45448.006944444445</v>
      </c>
      <c r="J1896" s="2">
        <v>81</v>
      </c>
      <c r="K1896" s="2">
        <v>135</v>
      </c>
      <c r="L1896" s="2">
        <v>1</v>
      </c>
      <c r="M1896" s="2" t="s">
        <v>29</v>
      </c>
      <c r="N1896" s="2">
        <v>2</v>
      </c>
      <c r="O1896" s="2">
        <v>292.14</v>
      </c>
      <c r="P1896" s="2">
        <f t="shared" si="145"/>
        <v>54</v>
      </c>
      <c r="Q1896" s="4">
        <f t="shared" si="146"/>
        <v>0.6</v>
      </c>
      <c r="R1896" s="2" t="str">
        <f t="shared" si="147"/>
        <v>Inefficient</v>
      </c>
      <c r="S1896" s="2" t="str">
        <f t="shared" si="148"/>
        <v>Very Long</v>
      </c>
      <c r="T1896" s="2" t="str">
        <f t="shared" si="149"/>
        <v>Major Delay</v>
      </c>
    </row>
    <row r="1897" spans="1:20" x14ac:dyDescent="0.35">
      <c r="A1897" s="2" t="s">
        <v>3977</v>
      </c>
      <c r="B1897" s="2" t="s">
        <v>63</v>
      </c>
      <c r="C1897" s="2" t="s">
        <v>3978</v>
      </c>
      <c r="D1897" s="2" t="s">
        <v>18</v>
      </c>
      <c r="E1897" s="2" t="s">
        <v>85</v>
      </c>
      <c r="F1897" s="2" t="s">
        <v>20</v>
      </c>
      <c r="G1897" s="2" t="s">
        <v>316</v>
      </c>
      <c r="H1897" s="3">
        <v>45358.154166666667</v>
      </c>
      <c r="I1897" s="3">
        <v>45358.371527777781</v>
      </c>
      <c r="J1897" s="2">
        <v>216</v>
      </c>
      <c r="K1897" s="2">
        <v>313</v>
      </c>
      <c r="L1897" s="2">
        <v>1</v>
      </c>
      <c r="M1897" s="2" t="s">
        <v>22</v>
      </c>
      <c r="N1897" s="2">
        <v>4</v>
      </c>
      <c r="O1897" s="2">
        <v>445.15</v>
      </c>
      <c r="P1897" s="2">
        <f t="shared" si="145"/>
        <v>97</v>
      </c>
      <c r="Q1897" s="4">
        <f t="shared" si="146"/>
        <v>0.69009584664536738</v>
      </c>
      <c r="R1897" s="2" t="str">
        <f t="shared" si="147"/>
        <v>Inefficient</v>
      </c>
      <c r="S1897" s="2" t="str">
        <f t="shared" si="148"/>
        <v>Very Long</v>
      </c>
      <c r="T1897" s="2" t="str">
        <f t="shared" si="149"/>
        <v>Major Delay</v>
      </c>
    </row>
    <row r="1898" spans="1:20" x14ac:dyDescent="0.35">
      <c r="A1898" s="2" t="s">
        <v>3979</v>
      </c>
      <c r="B1898" s="2" t="s">
        <v>51</v>
      </c>
      <c r="C1898" s="2" t="s">
        <v>3980</v>
      </c>
      <c r="D1898" s="2" t="s">
        <v>44</v>
      </c>
      <c r="E1898" s="2" t="s">
        <v>38</v>
      </c>
      <c r="F1898" s="2" t="s">
        <v>20</v>
      </c>
      <c r="G1898" s="2" t="s">
        <v>194</v>
      </c>
      <c r="H1898" s="3">
        <v>45355.820833333331</v>
      </c>
      <c r="I1898" s="3">
        <v>45355.888888888891</v>
      </c>
      <c r="J1898" s="2">
        <v>51</v>
      </c>
      <c r="K1898" s="2">
        <v>98</v>
      </c>
      <c r="L1898" s="2">
        <v>1</v>
      </c>
      <c r="M1898" s="2" t="s">
        <v>41</v>
      </c>
      <c r="N1898" s="2">
        <v>7</v>
      </c>
      <c r="O1898" s="2">
        <v>197.16</v>
      </c>
      <c r="P1898" s="2">
        <f t="shared" si="145"/>
        <v>47</v>
      </c>
      <c r="Q1898" s="4">
        <f t="shared" si="146"/>
        <v>0.52040816326530615</v>
      </c>
      <c r="R1898" s="2" t="str">
        <f t="shared" si="147"/>
        <v>Inefficient</v>
      </c>
      <c r="S1898" s="2" t="str">
        <f t="shared" si="148"/>
        <v>Long</v>
      </c>
      <c r="T1898" s="2" t="str">
        <f t="shared" si="149"/>
        <v>Major Delay</v>
      </c>
    </row>
    <row r="1899" spans="1:20" x14ac:dyDescent="0.35">
      <c r="A1899" s="2" t="s">
        <v>3981</v>
      </c>
      <c r="B1899" s="2" t="s">
        <v>31</v>
      </c>
      <c r="C1899" s="2" t="s">
        <v>3982</v>
      </c>
      <c r="D1899" s="2" t="s">
        <v>44</v>
      </c>
      <c r="E1899" s="2" t="s">
        <v>33</v>
      </c>
      <c r="F1899" s="2" t="s">
        <v>34</v>
      </c>
      <c r="G1899" s="2" t="s">
        <v>650</v>
      </c>
      <c r="H1899" s="3">
        <v>45535.697222222225</v>
      </c>
      <c r="I1899" s="3">
        <v>45535.730555555558</v>
      </c>
      <c r="J1899" s="2">
        <v>49</v>
      </c>
      <c r="K1899" s="2">
        <v>48</v>
      </c>
      <c r="L1899" s="2">
        <v>0</v>
      </c>
      <c r="M1899" s="2" t="s">
        <v>29</v>
      </c>
      <c r="N1899" s="2">
        <v>1</v>
      </c>
      <c r="O1899" s="2">
        <v>295.20999999999998</v>
      </c>
      <c r="P1899" s="2">
        <f t="shared" si="145"/>
        <v>-1</v>
      </c>
      <c r="Q1899" s="4">
        <f t="shared" si="146"/>
        <v>1.0208333333333333</v>
      </c>
      <c r="R1899" s="2" t="str">
        <f t="shared" si="147"/>
        <v>Efficient</v>
      </c>
      <c r="S1899" s="2" t="str">
        <f t="shared" si="148"/>
        <v>Medium</v>
      </c>
      <c r="T1899" s="2" t="str">
        <f t="shared" si="149"/>
        <v>On Time</v>
      </c>
    </row>
    <row r="1900" spans="1:20" x14ac:dyDescent="0.35">
      <c r="A1900" s="2" t="s">
        <v>3983</v>
      </c>
      <c r="B1900" s="2" t="s">
        <v>31</v>
      </c>
      <c r="C1900" s="2" t="s">
        <v>3984</v>
      </c>
      <c r="D1900" s="2" t="s">
        <v>48</v>
      </c>
      <c r="E1900" s="2" t="s">
        <v>38</v>
      </c>
      <c r="F1900" s="2" t="s">
        <v>27</v>
      </c>
      <c r="G1900" s="2" t="s">
        <v>53</v>
      </c>
      <c r="H1900" s="3">
        <v>45462.679166666669</v>
      </c>
      <c r="I1900" s="3">
        <v>45462.868055555555</v>
      </c>
      <c r="J1900" s="2">
        <v>208</v>
      </c>
      <c r="K1900" s="2">
        <v>272</v>
      </c>
      <c r="L1900" s="2">
        <v>1</v>
      </c>
      <c r="M1900" s="2" t="s">
        <v>29</v>
      </c>
      <c r="N1900" s="2">
        <v>9</v>
      </c>
      <c r="O1900" s="2">
        <v>82.97</v>
      </c>
      <c r="P1900" s="2">
        <f t="shared" si="145"/>
        <v>64</v>
      </c>
      <c r="Q1900" s="4">
        <f t="shared" si="146"/>
        <v>0.76470588235294112</v>
      </c>
      <c r="R1900" s="2" t="str">
        <f t="shared" si="147"/>
        <v>Inefficient</v>
      </c>
      <c r="S1900" s="2" t="str">
        <f t="shared" si="148"/>
        <v>Very Long</v>
      </c>
      <c r="T1900" s="2" t="str">
        <f t="shared" si="149"/>
        <v>Major Delay</v>
      </c>
    </row>
    <row r="1901" spans="1:20" x14ac:dyDescent="0.35">
      <c r="A1901" s="2" t="s">
        <v>3985</v>
      </c>
      <c r="B1901" s="2" t="s">
        <v>24</v>
      </c>
      <c r="C1901" s="2" t="s">
        <v>3986</v>
      </c>
      <c r="D1901" s="2" t="s">
        <v>18</v>
      </c>
      <c r="E1901" s="2" t="s">
        <v>33</v>
      </c>
      <c r="F1901" s="2" t="s">
        <v>34</v>
      </c>
      <c r="G1901" s="2" t="s">
        <v>251</v>
      </c>
      <c r="H1901" s="3">
        <v>45495.271527777775</v>
      </c>
      <c r="I1901" s="3">
        <v>45495.333333333336</v>
      </c>
      <c r="J1901" s="2">
        <v>11</v>
      </c>
      <c r="K1901" s="2">
        <v>89</v>
      </c>
      <c r="L1901" s="2">
        <v>1</v>
      </c>
      <c r="M1901" s="2" t="s">
        <v>29</v>
      </c>
      <c r="N1901" s="2">
        <v>4</v>
      </c>
      <c r="O1901" s="2">
        <v>96.31</v>
      </c>
      <c r="P1901" s="2">
        <f t="shared" si="145"/>
        <v>78</v>
      </c>
      <c r="Q1901" s="4">
        <f t="shared" si="146"/>
        <v>0.12359550561797752</v>
      </c>
      <c r="R1901" s="2" t="str">
        <f t="shared" si="147"/>
        <v>Inefficient</v>
      </c>
      <c r="S1901" s="2" t="str">
        <f t="shared" si="148"/>
        <v>Long</v>
      </c>
      <c r="T1901" s="2" t="str">
        <f t="shared" si="149"/>
        <v>Major Delay</v>
      </c>
    </row>
    <row r="1902" spans="1:20" x14ac:dyDescent="0.35">
      <c r="A1902" s="2" t="s">
        <v>3987</v>
      </c>
      <c r="B1902" s="2" t="s">
        <v>16</v>
      </c>
      <c r="C1902" s="2" t="s">
        <v>3988</v>
      </c>
      <c r="D1902" s="2" t="s">
        <v>48</v>
      </c>
      <c r="E1902" s="2" t="s">
        <v>38</v>
      </c>
      <c r="F1902" s="2" t="s">
        <v>27</v>
      </c>
      <c r="G1902" s="2" t="s">
        <v>88</v>
      </c>
      <c r="H1902" s="3">
        <v>45477.856944444444</v>
      </c>
      <c r="I1902" s="3">
        <v>45477.921527777777</v>
      </c>
      <c r="J1902" s="2">
        <v>55</v>
      </c>
      <c r="K1902" s="2">
        <v>93</v>
      </c>
      <c r="L1902" s="2">
        <v>1</v>
      </c>
      <c r="M1902" s="2" t="s">
        <v>22</v>
      </c>
      <c r="N1902" s="2">
        <v>1</v>
      </c>
      <c r="O1902" s="2">
        <v>65.430000000000007</v>
      </c>
      <c r="P1902" s="2">
        <f t="shared" si="145"/>
        <v>38</v>
      </c>
      <c r="Q1902" s="4">
        <f t="shared" si="146"/>
        <v>0.59139784946236562</v>
      </c>
      <c r="R1902" s="2" t="str">
        <f t="shared" si="147"/>
        <v>Inefficient</v>
      </c>
      <c r="S1902" s="2" t="str">
        <f t="shared" si="148"/>
        <v>Long</v>
      </c>
      <c r="T1902" s="2" t="str">
        <f t="shared" si="149"/>
        <v>Major Delay</v>
      </c>
    </row>
    <row r="1903" spans="1:20" x14ac:dyDescent="0.35">
      <c r="A1903" s="2" t="s">
        <v>3989</v>
      </c>
      <c r="B1903" s="2" t="s">
        <v>31</v>
      </c>
      <c r="C1903" s="2" t="s">
        <v>3990</v>
      </c>
      <c r="D1903" s="2" t="s">
        <v>48</v>
      </c>
      <c r="E1903" s="2" t="s">
        <v>33</v>
      </c>
      <c r="F1903" s="2" t="s">
        <v>20</v>
      </c>
      <c r="G1903" s="2" t="s">
        <v>259</v>
      </c>
      <c r="H1903" s="3">
        <v>45519.685416666667</v>
      </c>
      <c r="I1903" s="3">
        <v>45519.802777777775</v>
      </c>
      <c r="J1903" s="2">
        <v>77</v>
      </c>
      <c r="K1903" s="2">
        <v>169</v>
      </c>
      <c r="L1903" s="2">
        <v>1</v>
      </c>
      <c r="M1903" s="2" t="s">
        <v>29</v>
      </c>
      <c r="N1903" s="2">
        <v>1</v>
      </c>
      <c r="O1903" s="2">
        <v>201.38</v>
      </c>
      <c r="P1903" s="2">
        <f t="shared" si="145"/>
        <v>92</v>
      </c>
      <c r="Q1903" s="4">
        <f t="shared" si="146"/>
        <v>0.45562130177514792</v>
      </c>
      <c r="R1903" s="2" t="str">
        <f t="shared" si="147"/>
        <v>Inefficient</v>
      </c>
      <c r="S1903" s="2" t="str">
        <f t="shared" si="148"/>
        <v>Very Long</v>
      </c>
      <c r="T1903" s="2" t="str">
        <f t="shared" si="149"/>
        <v>Major Delay</v>
      </c>
    </row>
    <row r="1904" spans="1:20" x14ac:dyDescent="0.35">
      <c r="A1904" s="2" t="s">
        <v>3991</v>
      </c>
      <c r="B1904" s="2" t="s">
        <v>63</v>
      </c>
      <c r="C1904" s="2" t="s">
        <v>3992</v>
      </c>
      <c r="D1904" s="2" t="s">
        <v>18</v>
      </c>
      <c r="E1904" s="2" t="s">
        <v>85</v>
      </c>
      <c r="F1904" s="2" t="s">
        <v>39</v>
      </c>
      <c r="G1904" s="2" t="s">
        <v>669</v>
      </c>
      <c r="H1904" s="3">
        <v>45441.629166666666</v>
      </c>
      <c r="I1904" s="3">
        <v>45441.828472222223</v>
      </c>
      <c r="J1904" s="2">
        <v>192</v>
      </c>
      <c r="K1904" s="2">
        <v>287</v>
      </c>
      <c r="L1904" s="2">
        <v>1</v>
      </c>
      <c r="M1904" s="2" t="s">
        <v>22</v>
      </c>
      <c r="N1904" s="2">
        <v>2</v>
      </c>
      <c r="O1904" s="2">
        <v>188.4</v>
      </c>
      <c r="P1904" s="2">
        <f t="shared" si="145"/>
        <v>95</v>
      </c>
      <c r="Q1904" s="4">
        <f t="shared" si="146"/>
        <v>0.66898954703832758</v>
      </c>
      <c r="R1904" s="2" t="str">
        <f t="shared" si="147"/>
        <v>Inefficient</v>
      </c>
      <c r="S1904" s="2" t="str">
        <f t="shared" si="148"/>
        <v>Very Long</v>
      </c>
      <c r="T1904" s="2" t="str">
        <f t="shared" si="149"/>
        <v>Major Delay</v>
      </c>
    </row>
    <row r="1905" spans="1:20" x14ac:dyDescent="0.35">
      <c r="A1905" s="2" t="s">
        <v>3993</v>
      </c>
      <c r="B1905" s="2" t="s">
        <v>24</v>
      </c>
      <c r="C1905" s="2" t="s">
        <v>3994</v>
      </c>
      <c r="D1905" s="2" t="s">
        <v>44</v>
      </c>
      <c r="E1905" s="2" t="s">
        <v>85</v>
      </c>
      <c r="F1905" s="2" t="s">
        <v>34</v>
      </c>
      <c r="G1905" s="2" t="s">
        <v>170</v>
      </c>
      <c r="H1905" s="3">
        <v>45363.363888888889</v>
      </c>
      <c r="I1905" s="3">
        <v>45363.481944444444</v>
      </c>
      <c r="J1905" s="2">
        <v>64</v>
      </c>
      <c r="K1905" s="2">
        <v>170</v>
      </c>
      <c r="L1905" s="2">
        <v>1</v>
      </c>
      <c r="M1905" s="2" t="s">
        <v>41</v>
      </c>
      <c r="N1905" s="2">
        <v>8</v>
      </c>
      <c r="O1905" s="2">
        <v>342.09</v>
      </c>
      <c r="P1905" s="2">
        <f t="shared" si="145"/>
        <v>106</v>
      </c>
      <c r="Q1905" s="4">
        <f t="shared" si="146"/>
        <v>0.37647058823529411</v>
      </c>
      <c r="R1905" s="2" t="str">
        <f t="shared" si="147"/>
        <v>Inefficient</v>
      </c>
      <c r="S1905" s="2" t="str">
        <f t="shared" si="148"/>
        <v>Very Long</v>
      </c>
      <c r="T1905" s="2" t="str">
        <f t="shared" si="149"/>
        <v>Major Delay</v>
      </c>
    </row>
    <row r="1906" spans="1:20" x14ac:dyDescent="0.35">
      <c r="A1906" s="2" t="s">
        <v>3995</v>
      </c>
      <c r="B1906" s="2" t="s">
        <v>51</v>
      </c>
      <c r="C1906" s="2" t="s">
        <v>3996</v>
      </c>
      <c r="D1906" s="2" t="s">
        <v>26</v>
      </c>
      <c r="E1906" s="2" t="s">
        <v>85</v>
      </c>
      <c r="F1906" s="2" t="s">
        <v>57</v>
      </c>
      <c r="G1906" s="2" t="s">
        <v>445</v>
      </c>
      <c r="H1906" s="3">
        <v>45452.167361111111</v>
      </c>
      <c r="I1906" s="3">
        <v>45452.3</v>
      </c>
      <c r="J1906" s="2">
        <v>187</v>
      </c>
      <c r="K1906" s="2">
        <v>191</v>
      </c>
      <c r="L1906" s="2">
        <v>1</v>
      </c>
      <c r="M1906" s="2" t="s">
        <v>22</v>
      </c>
      <c r="N1906" s="2">
        <v>4</v>
      </c>
      <c r="O1906" s="2">
        <v>412.01</v>
      </c>
      <c r="P1906" s="2">
        <f t="shared" si="145"/>
        <v>4</v>
      </c>
      <c r="Q1906" s="4">
        <f t="shared" si="146"/>
        <v>0.97905759162303663</v>
      </c>
      <c r="R1906" s="2" t="str">
        <f t="shared" si="147"/>
        <v>Inefficient</v>
      </c>
      <c r="S1906" s="2" t="str">
        <f t="shared" si="148"/>
        <v>Very Long</v>
      </c>
      <c r="T1906" s="2" t="str">
        <f t="shared" si="149"/>
        <v>Minor Delay</v>
      </c>
    </row>
    <row r="1907" spans="1:20" x14ac:dyDescent="0.35">
      <c r="A1907" s="2" t="s">
        <v>3997</v>
      </c>
      <c r="B1907" s="2" t="s">
        <v>31</v>
      </c>
      <c r="C1907" s="2" t="s">
        <v>3998</v>
      </c>
      <c r="D1907" s="2" t="s">
        <v>48</v>
      </c>
      <c r="E1907" s="2" t="s">
        <v>33</v>
      </c>
      <c r="F1907" s="2" t="s">
        <v>57</v>
      </c>
      <c r="G1907" s="2" t="s">
        <v>418</v>
      </c>
      <c r="H1907" s="3">
        <v>45443.15347222222</v>
      </c>
      <c r="I1907" s="3">
        <v>45443.345833333333</v>
      </c>
      <c r="J1907" s="2">
        <v>180</v>
      </c>
      <c r="K1907" s="2">
        <v>277</v>
      </c>
      <c r="L1907" s="2">
        <v>1</v>
      </c>
      <c r="M1907" s="2" t="s">
        <v>22</v>
      </c>
      <c r="N1907" s="2">
        <v>6</v>
      </c>
      <c r="O1907" s="2">
        <v>347.26</v>
      </c>
      <c r="P1907" s="2">
        <f t="shared" si="145"/>
        <v>97</v>
      </c>
      <c r="Q1907" s="4">
        <f t="shared" si="146"/>
        <v>0.64981949458483756</v>
      </c>
      <c r="R1907" s="2" t="str">
        <f t="shared" si="147"/>
        <v>Inefficient</v>
      </c>
      <c r="S1907" s="2" t="str">
        <f t="shared" si="148"/>
        <v>Very Long</v>
      </c>
      <c r="T1907" s="2" t="str">
        <f t="shared" si="149"/>
        <v>Major Delay</v>
      </c>
    </row>
    <row r="1908" spans="1:20" x14ac:dyDescent="0.35">
      <c r="A1908" s="2" t="s">
        <v>3999</v>
      </c>
      <c r="B1908" s="2" t="s">
        <v>16</v>
      </c>
      <c r="C1908" s="2" t="s">
        <v>4000</v>
      </c>
      <c r="D1908" s="2" t="s">
        <v>56</v>
      </c>
      <c r="E1908" s="2" t="s">
        <v>33</v>
      </c>
      <c r="F1908" s="2" t="s">
        <v>27</v>
      </c>
      <c r="G1908" s="2" t="s">
        <v>615</v>
      </c>
      <c r="H1908" s="3">
        <v>45459.135416666664</v>
      </c>
      <c r="I1908" s="3">
        <v>45459.205555555556</v>
      </c>
      <c r="J1908" s="2">
        <v>76</v>
      </c>
      <c r="K1908" s="2">
        <v>101</v>
      </c>
      <c r="L1908" s="2">
        <v>1</v>
      </c>
      <c r="M1908" s="2" t="s">
        <v>22</v>
      </c>
      <c r="N1908" s="2">
        <v>5</v>
      </c>
      <c r="O1908" s="2">
        <v>89.84</v>
      </c>
      <c r="P1908" s="2">
        <f t="shared" si="145"/>
        <v>25</v>
      </c>
      <c r="Q1908" s="4">
        <f t="shared" si="146"/>
        <v>0.75247524752475248</v>
      </c>
      <c r="R1908" s="2" t="str">
        <f t="shared" si="147"/>
        <v>Inefficient</v>
      </c>
      <c r="S1908" s="2" t="str">
        <f t="shared" si="148"/>
        <v>Long</v>
      </c>
      <c r="T1908" s="2" t="str">
        <f t="shared" si="149"/>
        <v>Minor Delay</v>
      </c>
    </row>
    <row r="1909" spans="1:20" x14ac:dyDescent="0.35">
      <c r="A1909" s="2" t="s">
        <v>4001</v>
      </c>
      <c r="B1909" s="2" t="s">
        <v>24</v>
      </c>
      <c r="C1909" s="2" t="s">
        <v>4002</v>
      </c>
      <c r="D1909" s="2" t="s">
        <v>44</v>
      </c>
      <c r="E1909" s="2" t="s">
        <v>33</v>
      </c>
      <c r="F1909" s="2" t="s">
        <v>39</v>
      </c>
      <c r="G1909" s="2" t="s">
        <v>111</v>
      </c>
      <c r="H1909" s="3">
        <v>45358.759722222225</v>
      </c>
      <c r="I1909" s="3">
        <v>45358.890972222223</v>
      </c>
      <c r="J1909" s="2">
        <v>69</v>
      </c>
      <c r="K1909" s="2">
        <v>189</v>
      </c>
      <c r="L1909" s="2">
        <v>1</v>
      </c>
      <c r="M1909" s="2" t="s">
        <v>29</v>
      </c>
      <c r="N1909" s="2">
        <v>4</v>
      </c>
      <c r="O1909" s="2">
        <v>164.08</v>
      </c>
      <c r="P1909" s="2">
        <f t="shared" si="145"/>
        <v>120</v>
      </c>
      <c r="Q1909" s="4">
        <f t="shared" si="146"/>
        <v>0.36507936507936506</v>
      </c>
      <c r="R1909" s="2" t="str">
        <f t="shared" si="147"/>
        <v>Inefficient</v>
      </c>
      <c r="S1909" s="2" t="str">
        <f t="shared" si="148"/>
        <v>Very Long</v>
      </c>
      <c r="T1909" s="2" t="str">
        <f t="shared" si="149"/>
        <v>Major Delay</v>
      </c>
    </row>
    <row r="1910" spans="1:20" x14ac:dyDescent="0.35">
      <c r="A1910" s="2" t="s">
        <v>4003</v>
      </c>
      <c r="B1910" s="2" t="s">
        <v>31</v>
      </c>
      <c r="C1910" s="2" t="s">
        <v>4004</v>
      </c>
      <c r="D1910" s="2" t="s">
        <v>48</v>
      </c>
      <c r="E1910" s="2" t="s">
        <v>85</v>
      </c>
      <c r="F1910" s="2" t="s">
        <v>39</v>
      </c>
      <c r="G1910" s="2" t="s">
        <v>376</v>
      </c>
      <c r="H1910" s="3">
        <v>45534.32708333333</v>
      </c>
      <c r="I1910" s="3">
        <v>45534.474999999999</v>
      </c>
      <c r="J1910" s="2">
        <v>208</v>
      </c>
      <c r="K1910" s="2">
        <v>213</v>
      </c>
      <c r="L1910" s="2">
        <v>1</v>
      </c>
      <c r="M1910" s="2" t="s">
        <v>29</v>
      </c>
      <c r="N1910" s="2">
        <v>5</v>
      </c>
      <c r="O1910" s="2">
        <v>251.03</v>
      </c>
      <c r="P1910" s="2">
        <f t="shared" si="145"/>
        <v>5</v>
      </c>
      <c r="Q1910" s="4">
        <f t="shared" si="146"/>
        <v>0.97652582159624413</v>
      </c>
      <c r="R1910" s="2" t="str">
        <f t="shared" si="147"/>
        <v>Inefficient</v>
      </c>
      <c r="S1910" s="2" t="str">
        <f t="shared" si="148"/>
        <v>Very Long</v>
      </c>
      <c r="T1910" s="2" t="str">
        <f t="shared" si="149"/>
        <v>Minor Delay</v>
      </c>
    </row>
    <row r="1911" spans="1:20" x14ac:dyDescent="0.35">
      <c r="A1911" s="2" t="s">
        <v>4005</v>
      </c>
      <c r="B1911" s="2" t="s">
        <v>16</v>
      </c>
      <c r="C1911" s="2" t="s">
        <v>4006</v>
      </c>
      <c r="D1911" s="2" t="s">
        <v>44</v>
      </c>
      <c r="E1911" s="2" t="s">
        <v>38</v>
      </c>
      <c r="F1911" s="2" t="s">
        <v>39</v>
      </c>
      <c r="G1911" s="2" t="s">
        <v>782</v>
      </c>
      <c r="H1911" s="3">
        <v>45570.78125</v>
      </c>
      <c r="I1911" s="3">
        <v>45570.944444444445</v>
      </c>
      <c r="J1911" s="2">
        <v>145</v>
      </c>
      <c r="K1911" s="2">
        <v>235</v>
      </c>
      <c r="L1911" s="2">
        <v>1</v>
      </c>
      <c r="M1911" s="2" t="s">
        <v>29</v>
      </c>
      <c r="N1911" s="2">
        <v>1</v>
      </c>
      <c r="O1911" s="2">
        <v>245.32</v>
      </c>
      <c r="P1911" s="2">
        <f t="shared" si="145"/>
        <v>90</v>
      </c>
      <c r="Q1911" s="4">
        <f t="shared" si="146"/>
        <v>0.61702127659574468</v>
      </c>
      <c r="R1911" s="2" t="str">
        <f t="shared" si="147"/>
        <v>Inefficient</v>
      </c>
      <c r="S1911" s="2" t="str">
        <f t="shared" si="148"/>
        <v>Very Long</v>
      </c>
      <c r="T1911" s="2" t="str">
        <f t="shared" si="149"/>
        <v>Major Delay</v>
      </c>
    </row>
    <row r="1912" spans="1:20" x14ac:dyDescent="0.35">
      <c r="A1912" s="2" t="s">
        <v>4007</v>
      </c>
      <c r="B1912" s="2" t="s">
        <v>16</v>
      </c>
      <c r="C1912" s="2" t="s">
        <v>4008</v>
      </c>
      <c r="D1912" s="2" t="s">
        <v>44</v>
      </c>
      <c r="E1912" s="2" t="s">
        <v>33</v>
      </c>
      <c r="F1912" s="2" t="s">
        <v>27</v>
      </c>
      <c r="G1912" s="2" t="s">
        <v>602</v>
      </c>
      <c r="H1912" s="3">
        <v>45352.230555555558</v>
      </c>
      <c r="I1912" s="3">
        <v>45352.425694444442</v>
      </c>
      <c r="J1912" s="2">
        <v>201</v>
      </c>
      <c r="K1912" s="2">
        <v>281</v>
      </c>
      <c r="L1912" s="2">
        <v>1</v>
      </c>
      <c r="M1912" s="2" t="s">
        <v>29</v>
      </c>
      <c r="N1912" s="2">
        <v>6</v>
      </c>
      <c r="O1912" s="2">
        <v>427.55</v>
      </c>
      <c r="P1912" s="2">
        <f t="shared" si="145"/>
        <v>80</v>
      </c>
      <c r="Q1912" s="4">
        <f t="shared" si="146"/>
        <v>0.71530249110320288</v>
      </c>
      <c r="R1912" s="2" t="str">
        <f t="shared" si="147"/>
        <v>Inefficient</v>
      </c>
      <c r="S1912" s="2" t="str">
        <f t="shared" si="148"/>
        <v>Very Long</v>
      </c>
      <c r="T1912" s="2" t="str">
        <f t="shared" si="149"/>
        <v>Major Delay</v>
      </c>
    </row>
    <row r="1913" spans="1:20" x14ac:dyDescent="0.35">
      <c r="A1913" s="2" t="s">
        <v>4009</v>
      </c>
      <c r="B1913" s="2" t="s">
        <v>31</v>
      </c>
      <c r="C1913" s="2" t="s">
        <v>4010</v>
      </c>
      <c r="D1913" s="2" t="s">
        <v>26</v>
      </c>
      <c r="E1913" s="2" t="s">
        <v>19</v>
      </c>
      <c r="F1913" s="2" t="s">
        <v>27</v>
      </c>
      <c r="G1913" s="2" t="s">
        <v>140</v>
      </c>
      <c r="H1913" s="3">
        <v>45302.649305555555</v>
      </c>
      <c r="I1913" s="3">
        <v>45302.835416666669</v>
      </c>
      <c r="J1913" s="2">
        <v>218</v>
      </c>
      <c r="K1913" s="2">
        <v>268</v>
      </c>
      <c r="L1913" s="2">
        <v>1</v>
      </c>
      <c r="M1913" s="2" t="s">
        <v>22</v>
      </c>
      <c r="N1913" s="2">
        <v>9</v>
      </c>
      <c r="O1913" s="2">
        <v>187.9</v>
      </c>
      <c r="P1913" s="2">
        <f t="shared" si="145"/>
        <v>50</v>
      </c>
      <c r="Q1913" s="4">
        <f t="shared" si="146"/>
        <v>0.81343283582089554</v>
      </c>
      <c r="R1913" s="2" t="str">
        <f t="shared" si="147"/>
        <v>Inefficient</v>
      </c>
      <c r="S1913" s="2" t="str">
        <f t="shared" si="148"/>
        <v>Very Long</v>
      </c>
      <c r="T1913" s="2" t="str">
        <f t="shared" si="149"/>
        <v>Major Delay</v>
      </c>
    </row>
    <row r="1914" spans="1:20" x14ac:dyDescent="0.35">
      <c r="A1914" s="2" t="s">
        <v>4011</v>
      </c>
      <c r="B1914" s="2" t="s">
        <v>51</v>
      </c>
      <c r="C1914" s="2" t="s">
        <v>4012</v>
      </c>
      <c r="D1914" s="2" t="s">
        <v>48</v>
      </c>
      <c r="E1914" s="2" t="s">
        <v>33</v>
      </c>
      <c r="F1914" s="2" t="s">
        <v>57</v>
      </c>
      <c r="G1914" s="2" t="s">
        <v>288</v>
      </c>
      <c r="H1914" s="3">
        <v>45552.742361111108</v>
      </c>
      <c r="I1914" s="3">
        <v>45552.861111111109</v>
      </c>
      <c r="J1914" s="2">
        <v>119</v>
      </c>
      <c r="K1914" s="2">
        <v>171</v>
      </c>
      <c r="L1914" s="2">
        <v>1</v>
      </c>
      <c r="M1914" s="2" t="s">
        <v>22</v>
      </c>
      <c r="N1914" s="2">
        <v>10</v>
      </c>
      <c r="O1914" s="2">
        <v>78.52</v>
      </c>
      <c r="P1914" s="2">
        <f t="shared" si="145"/>
        <v>52</v>
      </c>
      <c r="Q1914" s="4">
        <f t="shared" si="146"/>
        <v>0.69590643274853803</v>
      </c>
      <c r="R1914" s="2" t="str">
        <f t="shared" si="147"/>
        <v>Inefficient</v>
      </c>
      <c r="S1914" s="2" t="str">
        <f t="shared" si="148"/>
        <v>Very Long</v>
      </c>
      <c r="T1914" s="2" t="str">
        <f t="shared" si="149"/>
        <v>Major Delay</v>
      </c>
    </row>
    <row r="1915" spans="1:20" x14ac:dyDescent="0.35">
      <c r="A1915" s="2" t="s">
        <v>4013</v>
      </c>
      <c r="B1915" s="2" t="s">
        <v>63</v>
      </c>
      <c r="C1915" s="2" t="s">
        <v>4014</v>
      </c>
      <c r="D1915" s="2" t="s">
        <v>26</v>
      </c>
      <c r="E1915" s="2" t="s">
        <v>19</v>
      </c>
      <c r="F1915" s="2" t="s">
        <v>34</v>
      </c>
      <c r="G1915" s="2" t="s">
        <v>1187</v>
      </c>
      <c r="H1915" s="3">
        <v>45510.614583333336</v>
      </c>
      <c r="I1915" s="3">
        <v>45510.662499999999</v>
      </c>
      <c r="J1915" s="2">
        <v>60</v>
      </c>
      <c r="K1915" s="2">
        <v>69</v>
      </c>
      <c r="L1915" s="2">
        <v>1</v>
      </c>
      <c r="M1915" s="2" t="s">
        <v>41</v>
      </c>
      <c r="N1915" s="2">
        <v>1</v>
      </c>
      <c r="O1915" s="2">
        <v>435.24</v>
      </c>
      <c r="P1915" s="2">
        <f t="shared" si="145"/>
        <v>9</v>
      </c>
      <c r="Q1915" s="4">
        <f t="shared" si="146"/>
        <v>0.86956521739130432</v>
      </c>
      <c r="R1915" s="2" t="str">
        <f t="shared" si="147"/>
        <v>Inefficient</v>
      </c>
      <c r="S1915" s="2" t="str">
        <f t="shared" si="148"/>
        <v>Long</v>
      </c>
      <c r="T1915" s="2" t="str">
        <f t="shared" si="149"/>
        <v>Minor Delay</v>
      </c>
    </row>
    <row r="1916" spans="1:20" x14ac:dyDescent="0.35">
      <c r="A1916" s="2" t="s">
        <v>4015</v>
      </c>
      <c r="B1916" s="2" t="s">
        <v>51</v>
      </c>
      <c r="C1916" s="2" t="s">
        <v>4016</v>
      </c>
      <c r="D1916" s="2" t="s">
        <v>26</v>
      </c>
      <c r="E1916" s="2" t="s">
        <v>85</v>
      </c>
      <c r="F1916" s="2" t="s">
        <v>57</v>
      </c>
      <c r="G1916" s="2" t="s">
        <v>191</v>
      </c>
      <c r="H1916" s="3">
        <v>45491.831250000003</v>
      </c>
      <c r="I1916" s="3">
        <v>45491.956250000003</v>
      </c>
      <c r="J1916" s="2">
        <v>97</v>
      </c>
      <c r="K1916" s="2">
        <v>180</v>
      </c>
      <c r="L1916" s="2">
        <v>1</v>
      </c>
      <c r="M1916" s="2" t="s">
        <v>29</v>
      </c>
      <c r="N1916" s="2">
        <v>7</v>
      </c>
      <c r="O1916" s="2">
        <v>379.64</v>
      </c>
      <c r="P1916" s="2">
        <f t="shared" si="145"/>
        <v>83</v>
      </c>
      <c r="Q1916" s="4">
        <f t="shared" si="146"/>
        <v>0.53888888888888886</v>
      </c>
      <c r="R1916" s="2" t="str">
        <f t="shared" si="147"/>
        <v>Inefficient</v>
      </c>
      <c r="S1916" s="2" t="str">
        <f t="shared" si="148"/>
        <v>Very Long</v>
      </c>
      <c r="T1916" s="2" t="str">
        <f t="shared" si="149"/>
        <v>Major Delay</v>
      </c>
    </row>
    <row r="1917" spans="1:20" x14ac:dyDescent="0.35">
      <c r="A1917" s="2" t="s">
        <v>4017</v>
      </c>
      <c r="B1917" s="2" t="s">
        <v>24</v>
      </c>
      <c r="C1917" s="2" t="s">
        <v>4018</v>
      </c>
      <c r="D1917" s="2" t="s">
        <v>56</v>
      </c>
      <c r="E1917" s="2" t="s">
        <v>85</v>
      </c>
      <c r="F1917" s="2" t="s">
        <v>34</v>
      </c>
      <c r="G1917" s="2" t="s">
        <v>143</v>
      </c>
      <c r="H1917" s="3">
        <v>45301.396527777775</v>
      </c>
      <c r="I1917" s="3">
        <v>45301.527777777781</v>
      </c>
      <c r="J1917" s="2">
        <v>80</v>
      </c>
      <c r="K1917" s="2">
        <v>189</v>
      </c>
      <c r="L1917" s="2">
        <v>1</v>
      </c>
      <c r="M1917" s="2" t="s">
        <v>29</v>
      </c>
      <c r="N1917" s="2">
        <v>10</v>
      </c>
      <c r="O1917" s="2">
        <v>437.71</v>
      </c>
      <c r="P1917" s="2">
        <f t="shared" si="145"/>
        <v>109</v>
      </c>
      <c r="Q1917" s="4">
        <f t="shared" si="146"/>
        <v>0.42328042328042326</v>
      </c>
      <c r="R1917" s="2" t="str">
        <f t="shared" si="147"/>
        <v>Inefficient</v>
      </c>
      <c r="S1917" s="2" t="str">
        <f t="shared" si="148"/>
        <v>Very Long</v>
      </c>
      <c r="T1917" s="2" t="str">
        <f t="shared" si="149"/>
        <v>Major Delay</v>
      </c>
    </row>
    <row r="1918" spans="1:20" x14ac:dyDescent="0.35">
      <c r="A1918" s="2" t="s">
        <v>4019</v>
      </c>
      <c r="B1918" s="2" t="s">
        <v>31</v>
      </c>
      <c r="C1918" s="2" t="s">
        <v>4020</v>
      </c>
      <c r="D1918" s="2" t="s">
        <v>26</v>
      </c>
      <c r="E1918" s="2" t="s">
        <v>33</v>
      </c>
      <c r="F1918" s="2" t="s">
        <v>34</v>
      </c>
      <c r="G1918" s="2" t="s">
        <v>79</v>
      </c>
      <c r="H1918" s="3">
        <v>45352.989583333336</v>
      </c>
      <c r="I1918" s="3">
        <v>45353.01458333333</v>
      </c>
      <c r="J1918" s="2">
        <v>16</v>
      </c>
      <c r="K1918" s="2">
        <v>36</v>
      </c>
      <c r="L1918" s="2">
        <v>1</v>
      </c>
      <c r="M1918" s="2" t="s">
        <v>29</v>
      </c>
      <c r="N1918" s="2">
        <v>10</v>
      </c>
      <c r="O1918" s="2">
        <v>304.67</v>
      </c>
      <c r="P1918" s="2">
        <f t="shared" si="145"/>
        <v>20</v>
      </c>
      <c r="Q1918" s="4">
        <f t="shared" si="146"/>
        <v>0.44444444444444442</v>
      </c>
      <c r="R1918" s="2" t="str">
        <f t="shared" si="147"/>
        <v>Inefficient</v>
      </c>
      <c r="S1918" s="2" t="str">
        <f t="shared" si="148"/>
        <v>Medium</v>
      </c>
      <c r="T1918" s="2" t="str">
        <f t="shared" si="149"/>
        <v>Minor Delay</v>
      </c>
    </row>
    <row r="1919" spans="1:20" x14ac:dyDescent="0.35">
      <c r="A1919" s="2" t="s">
        <v>4021</v>
      </c>
      <c r="B1919" s="2" t="s">
        <v>31</v>
      </c>
      <c r="C1919" s="2" t="s">
        <v>4022</v>
      </c>
      <c r="D1919" s="2" t="s">
        <v>48</v>
      </c>
      <c r="E1919" s="2" t="s">
        <v>19</v>
      </c>
      <c r="F1919" s="2" t="s">
        <v>20</v>
      </c>
      <c r="G1919" s="2" t="s">
        <v>316</v>
      </c>
      <c r="H1919" s="3">
        <v>45603.674305555556</v>
      </c>
      <c r="I1919" s="3">
        <v>45603.791666666664</v>
      </c>
      <c r="J1919" s="2">
        <v>94</v>
      </c>
      <c r="K1919" s="2">
        <v>169</v>
      </c>
      <c r="L1919" s="2">
        <v>1</v>
      </c>
      <c r="M1919" s="2" t="s">
        <v>29</v>
      </c>
      <c r="N1919" s="2">
        <v>1</v>
      </c>
      <c r="O1919" s="2">
        <v>163.57</v>
      </c>
      <c r="P1919" s="2">
        <f t="shared" si="145"/>
        <v>75</v>
      </c>
      <c r="Q1919" s="4">
        <f t="shared" si="146"/>
        <v>0.55621301775147924</v>
      </c>
      <c r="R1919" s="2" t="str">
        <f t="shared" si="147"/>
        <v>Inefficient</v>
      </c>
      <c r="S1919" s="2" t="str">
        <f t="shared" si="148"/>
        <v>Very Long</v>
      </c>
      <c r="T1919" s="2" t="str">
        <f t="shared" si="149"/>
        <v>Major Delay</v>
      </c>
    </row>
    <row r="1920" spans="1:20" x14ac:dyDescent="0.35">
      <c r="A1920" s="2" t="s">
        <v>4023</v>
      </c>
      <c r="B1920" s="2" t="s">
        <v>63</v>
      </c>
      <c r="C1920" s="2" t="s">
        <v>4024</v>
      </c>
      <c r="D1920" s="2" t="s">
        <v>48</v>
      </c>
      <c r="E1920" s="2" t="s">
        <v>38</v>
      </c>
      <c r="F1920" s="2" t="s">
        <v>57</v>
      </c>
      <c r="G1920" s="2" t="s">
        <v>676</v>
      </c>
      <c r="H1920" s="3">
        <v>45597.741666666669</v>
      </c>
      <c r="I1920" s="3">
        <v>45597.904861111114</v>
      </c>
      <c r="J1920" s="2">
        <v>183</v>
      </c>
      <c r="K1920" s="2">
        <v>235</v>
      </c>
      <c r="L1920" s="2">
        <v>1</v>
      </c>
      <c r="M1920" s="2" t="s">
        <v>29</v>
      </c>
      <c r="N1920" s="2">
        <v>8</v>
      </c>
      <c r="O1920" s="2">
        <v>219.98</v>
      </c>
      <c r="P1920" s="2">
        <f t="shared" si="145"/>
        <v>52</v>
      </c>
      <c r="Q1920" s="4">
        <f t="shared" si="146"/>
        <v>0.77872340425531916</v>
      </c>
      <c r="R1920" s="2" t="str">
        <f t="shared" si="147"/>
        <v>Inefficient</v>
      </c>
      <c r="S1920" s="2" t="str">
        <f t="shared" si="148"/>
        <v>Very Long</v>
      </c>
      <c r="T1920" s="2" t="str">
        <f t="shared" si="149"/>
        <v>Major Delay</v>
      </c>
    </row>
    <row r="1921" spans="1:20" x14ac:dyDescent="0.35">
      <c r="A1921" s="2" t="s">
        <v>4025</v>
      </c>
      <c r="B1921" s="2" t="s">
        <v>31</v>
      </c>
      <c r="C1921" s="2" t="s">
        <v>4026</v>
      </c>
      <c r="D1921" s="2" t="s">
        <v>44</v>
      </c>
      <c r="E1921" s="2" t="s">
        <v>19</v>
      </c>
      <c r="F1921" s="2" t="s">
        <v>39</v>
      </c>
      <c r="G1921" s="2" t="s">
        <v>988</v>
      </c>
      <c r="H1921" s="3">
        <v>45647.76458333333</v>
      </c>
      <c r="I1921" s="3">
        <v>45647.821527777778</v>
      </c>
      <c r="J1921" s="2">
        <v>24</v>
      </c>
      <c r="K1921" s="2">
        <v>82</v>
      </c>
      <c r="L1921" s="2">
        <v>1</v>
      </c>
      <c r="M1921" s="2" t="s">
        <v>22</v>
      </c>
      <c r="N1921" s="2">
        <v>1</v>
      </c>
      <c r="O1921" s="2">
        <v>157.1</v>
      </c>
      <c r="P1921" s="2">
        <f t="shared" si="145"/>
        <v>58</v>
      </c>
      <c r="Q1921" s="4">
        <f t="shared" si="146"/>
        <v>0.29268292682926828</v>
      </c>
      <c r="R1921" s="2" t="str">
        <f t="shared" si="147"/>
        <v>Inefficient</v>
      </c>
      <c r="S1921" s="2" t="str">
        <f t="shared" si="148"/>
        <v>Long</v>
      </c>
      <c r="T1921" s="2" t="str">
        <f t="shared" si="149"/>
        <v>Major Delay</v>
      </c>
    </row>
    <row r="1922" spans="1:20" x14ac:dyDescent="0.35">
      <c r="A1922" s="2" t="s">
        <v>4027</v>
      </c>
      <c r="B1922" s="2" t="s">
        <v>63</v>
      </c>
      <c r="C1922" s="2" t="s">
        <v>4028</v>
      </c>
      <c r="D1922" s="2" t="s">
        <v>56</v>
      </c>
      <c r="E1922" s="2" t="s">
        <v>85</v>
      </c>
      <c r="F1922" s="2" t="s">
        <v>57</v>
      </c>
      <c r="G1922" s="2" t="s">
        <v>1622</v>
      </c>
      <c r="H1922" s="3">
        <v>45652.496527777781</v>
      </c>
      <c r="I1922" s="3">
        <v>45652.630555555559</v>
      </c>
      <c r="J1922" s="2">
        <v>191</v>
      </c>
      <c r="K1922" s="2">
        <v>193</v>
      </c>
      <c r="L1922" s="2">
        <v>1</v>
      </c>
      <c r="M1922" s="2" t="s">
        <v>41</v>
      </c>
      <c r="N1922" s="2">
        <v>5</v>
      </c>
      <c r="O1922" s="2">
        <v>387.61</v>
      </c>
      <c r="P1922" s="2">
        <f t="shared" si="145"/>
        <v>2</v>
      </c>
      <c r="Q1922" s="4">
        <f t="shared" si="146"/>
        <v>0.98963730569948183</v>
      </c>
      <c r="R1922" s="2" t="str">
        <f t="shared" si="147"/>
        <v>Inefficient</v>
      </c>
      <c r="S1922" s="2" t="str">
        <f t="shared" si="148"/>
        <v>Very Long</v>
      </c>
      <c r="T1922" s="2" t="str">
        <f t="shared" si="149"/>
        <v>Minor Delay</v>
      </c>
    </row>
    <row r="1923" spans="1:20" x14ac:dyDescent="0.35">
      <c r="A1923" s="2" t="s">
        <v>4029</v>
      </c>
      <c r="B1923" s="2" t="s">
        <v>24</v>
      </c>
      <c r="C1923" s="2" t="s">
        <v>4030</v>
      </c>
      <c r="D1923" s="2" t="s">
        <v>18</v>
      </c>
      <c r="E1923" s="2" t="s">
        <v>85</v>
      </c>
      <c r="F1923" s="2" t="s">
        <v>20</v>
      </c>
      <c r="G1923" s="2" t="s">
        <v>283</v>
      </c>
      <c r="H1923" s="3">
        <v>45365.25</v>
      </c>
      <c r="I1923" s="3">
        <v>45365.341666666667</v>
      </c>
      <c r="J1923" s="2">
        <v>29</v>
      </c>
      <c r="K1923" s="2">
        <v>132</v>
      </c>
      <c r="L1923" s="2">
        <v>1</v>
      </c>
      <c r="M1923" s="2" t="s">
        <v>41</v>
      </c>
      <c r="N1923" s="2">
        <v>2</v>
      </c>
      <c r="O1923" s="2">
        <v>171.98</v>
      </c>
      <c r="P1923" s="2">
        <f t="shared" ref="P1923:P1986" si="150">K1923-J1923</f>
        <v>103</v>
      </c>
      <c r="Q1923" s="4">
        <f t="shared" ref="Q1923:Q1986" si="151">J1923/K1923</f>
        <v>0.2196969696969697</v>
      </c>
      <c r="R1923" s="2" t="str">
        <f t="shared" ref="R1923:R1986" si="152">IF(Q1923&gt;1,"Efficient",
IF(Q1923=1,"On Target","Inefficient"))</f>
        <v>Inefficient</v>
      </c>
      <c r="S1923" s="2" t="str">
        <f t="shared" ref="S1923:S1986" si="153">IF(K1923&lt;30,"Short",
IF(K1923&lt;60,"Medium",
IF(K1923&lt;120,"Long","Very Long")))</f>
        <v>Very Long</v>
      </c>
      <c r="T1923" s="2" t="str">
        <f t="shared" ref="T1923:T1986" si="154">IF(K1923&lt;=J1923,"On Time",
IF(K1923-J1923&lt;=30,"Minor Delay","Major Delay"))</f>
        <v>Major Delay</v>
      </c>
    </row>
    <row r="1924" spans="1:20" x14ac:dyDescent="0.35">
      <c r="A1924" s="2" t="s">
        <v>4031</v>
      </c>
      <c r="B1924" s="2" t="s">
        <v>16</v>
      </c>
      <c r="C1924" s="2" t="s">
        <v>4032</v>
      </c>
      <c r="D1924" s="2" t="s">
        <v>56</v>
      </c>
      <c r="E1924" s="2" t="s">
        <v>38</v>
      </c>
      <c r="F1924" s="2" t="s">
        <v>20</v>
      </c>
      <c r="G1924" s="2" t="s">
        <v>316</v>
      </c>
      <c r="H1924" s="3">
        <v>45504.063194444447</v>
      </c>
      <c r="I1924" s="3">
        <v>45504.136805555558</v>
      </c>
      <c r="J1924" s="2">
        <v>41</v>
      </c>
      <c r="K1924" s="2">
        <v>106</v>
      </c>
      <c r="L1924" s="2">
        <v>1</v>
      </c>
      <c r="M1924" s="2" t="s">
        <v>22</v>
      </c>
      <c r="N1924" s="2">
        <v>1</v>
      </c>
      <c r="O1924" s="2">
        <v>57.54</v>
      </c>
      <c r="P1924" s="2">
        <f t="shared" si="150"/>
        <v>65</v>
      </c>
      <c r="Q1924" s="4">
        <f t="shared" si="151"/>
        <v>0.3867924528301887</v>
      </c>
      <c r="R1924" s="2" t="str">
        <f t="shared" si="152"/>
        <v>Inefficient</v>
      </c>
      <c r="S1924" s="2" t="str">
        <f t="shared" si="153"/>
        <v>Long</v>
      </c>
      <c r="T1924" s="2" t="str">
        <f t="shared" si="154"/>
        <v>Major Delay</v>
      </c>
    </row>
    <row r="1925" spans="1:20" x14ac:dyDescent="0.35">
      <c r="A1925" s="2" t="s">
        <v>4033</v>
      </c>
      <c r="B1925" s="2" t="s">
        <v>24</v>
      </c>
      <c r="C1925" s="2" t="s">
        <v>4034</v>
      </c>
      <c r="D1925" s="2" t="s">
        <v>56</v>
      </c>
      <c r="E1925" s="2" t="s">
        <v>38</v>
      </c>
      <c r="F1925" s="2" t="s">
        <v>39</v>
      </c>
      <c r="G1925" s="2" t="s">
        <v>754</v>
      </c>
      <c r="H1925" s="3">
        <v>45318.452777777777</v>
      </c>
      <c r="I1925" s="3">
        <v>45318.663888888892</v>
      </c>
      <c r="J1925" s="2">
        <v>204</v>
      </c>
      <c r="K1925" s="2">
        <v>304</v>
      </c>
      <c r="L1925" s="2">
        <v>1</v>
      </c>
      <c r="M1925" s="2" t="s">
        <v>22</v>
      </c>
      <c r="N1925" s="2">
        <v>3</v>
      </c>
      <c r="O1925" s="2">
        <v>246.76</v>
      </c>
      <c r="P1925" s="2">
        <f t="shared" si="150"/>
        <v>100</v>
      </c>
      <c r="Q1925" s="4">
        <f t="shared" si="151"/>
        <v>0.67105263157894735</v>
      </c>
      <c r="R1925" s="2" t="str">
        <f t="shared" si="152"/>
        <v>Inefficient</v>
      </c>
      <c r="S1925" s="2" t="str">
        <f t="shared" si="153"/>
        <v>Very Long</v>
      </c>
      <c r="T1925" s="2" t="str">
        <f t="shared" si="154"/>
        <v>Major Delay</v>
      </c>
    </row>
    <row r="1926" spans="1:20" x14ac:dyDescent="0.35">
      <c r="A1926" s="2" t="s">
        <v>4035</v>
      </c>
      <c r="B1926" s="2" t="s">
        <v>63</v>
      </c>
      <c r="C1926" s="2" t="s">
        <v>4036</v>
      </c>
      <c r="D1926" s="2" t="s">
        <v>48</v>
      </c>
      <c r="E1926" s="2" t="s">
        <v>38</v>
      </c>
      <c r="F1926" s="2" t="s">
        <v>57</v>
      </c>
      <c r="G1926" s="2" t="s">
        <v>330</v>
      </c>
      <c r="H1926" s="3">
        <v>45352.876388888886</v>
      </c>
      <c r="I1926" s="3">
        <v>45353.004861111112</v>
      </c>
      <c r="J1926" s="2">
        <v>174</v>
      </c>
      <c r="K1926" s="2">
        <v>185</v>
      </c>
      <c r="L1926" s="2">
        <v>1</v>
      </c>
      <c r="M1926" s="2" t="s">
        <v>41</v>
      </c>
      <c r="N1926" s="2">
        <v>6</v>
      </c>
      <c r="O1926" s="2">
        <v>274.64</v>
      </c>
      <c r="P1926" s="2">
        <f t="shared" si="150"/>
        <v>11</v>
      </c>
      <c r="Q1926" s="4">
        <f t="shared" si="151"/>
        <v>0.94054054054054059</v>
      </c>
      <c r="R1926" s="2" t="str">
        <f t="shared" si="152"/>
        <v>Inefficient</v>
      </c>
      <c r="S1926" s="2" t="str">
        <f t="shared" si="153"/>
        <v>Very Long</v>
      </c>
      <c r="T1926" s="2" t="str">
        <f t="shared" si="154"/>
        <v>Minor Delay</v>
      </c>
    </row>
    <row r="1927" spans="1:20" x14ac:dyDescent="0.35">
      <c r="A1927" s="2" t="s">
        <v>4037</v>
      </c>
      <c r="B1927" s="2" t="s">
        <v>63</v>
      </c>
      <c r="C1927" s="2" t="s">
        <v>4038</v>
      </c>
      <c r="D1927" s="2" t="s">
        <v>18</v>
      </c>
      <c r="E1927" s="2" t="s">
        <v>38</v>
      </c>
      <c r="F1927" s="2" t="s">
        <v>20</v>
      </c>
      <c r="G1927" s="2" t="s">
        <v>782</v>
      </c>
      <c r="H1927" s="3">
        <v>45608.420138888891</v>
      </c>
      <c r="I1927" s="3">
        <v>45608.482638888891</v>
      </c>
      <c r="J1927" s="2">
        <v>20</v>
      </c>
      <c r="K1927" s="2">
        <v>90</v>
      </c>
      <c r="L1927" s="2">
        <v>1</v>
      </c>
      <c r="M1927" s="2" t="s">
        <v>22</v>
      </c>
      <c r="N1927" s="2">
        <v>10</v>
      </c>
      <c r="O1927" s="2">
        <v>70.02</v>
      </c>
      <c r="P1927" s="2">
        <f t="shared" si="150"/>
        <v>70</v>
      </c>
      <c r="Q1927" s="4">
        <f t="shared" si="151"/>
        <v>0.22222222222222221</v>
      </c>
      <c r="R1927" s="2" t="str">
        <f t="shared" si="152"/>
        <v>Inefficient</v>
      </c>
      <c r="S1927" s="2" t="str">
        <f t="shared" si="153"/>
        <v>Long</v>
      </c>
      <c r="T1927" s="2" t="str">
        <f t="shared" si="154"/>
        <v>Major Delay</v>
      </c>
    </row>
    <row r="1928" spans="1:20" x14ac:dyDescent="0.35">
      <c r="A1928" s="2" t="s">
        <v>4039</v>
      </c>
      <c r="B1928" s="2" t="s">
        <v>24</v>
      </c>
      <c r="C1928" s="2" t="s">
        <v>4040</v>
      </c>
      <c r="D1928" s="2" t="s">
        <v>18</v>
      </c>
      <c r="E1928" s="2" t="s">
        <v>33</v>
      </c>
      <c r="F1928" s="2" t="s">
        <v>27</v>
      </c>
      <c r="G1928" s="2" t="s">
        <v>120</v>
      </c>
      <c r="H1928" s="3">
        <v>45499.262499999997</v>
      </c>
      <c r="I1928" s="3">
        <v>45499.32708333333</v>
      </c>
      <c r="J1928" s="2">
        <v>37</v>
      </c>
      <c r="K1928" s="2">
        <v>93</v>
      </c>
      <c r="L1928" s="2">
        <v>1</v>
      </c>
      <c r="M1928" s="2" t="s">
        <v>22</v>
      </c>
      <c r="N1928" s="2">
        <v>4</v>
      </c>
      <c r="O1928" s="2">
        <v>65.63</v>
      </c>
      <c r="P1928" s="2">
        <f t="shared" si="150"/>
        <v>56</v>
      </c>
      <c r="Q1928" s="4">
        <f t="shared" si="151"/>
        <v>0.39784946236559138</v>
      </c>
      <c r="R1928" s="2" t="str">
        <f t="shared" si="152"/>
        <v>Inefficient</v>
      </c>
      <c r="S1928" s="2" t="str">
        <f t="shared" si="153"/>
        <v>Long</v>
      </c>
      <c r="T1928" s="2" t="str">
        <f t="shared" si="154"/>
        <v>Major Delay</v>
      </c>
    </row>
    <row r="1929" spans="1:20" x14ac:dyDescent="0.35">
      <c r="A1929" s="2" t="s">
        <v>4041</v>
      </c>
      <c r="B1929" s="2" t="s">
        <v>51</v>
      </c>
      <c r="C1929" s="2" t="s">
        <v>4042</v>
      </c>
      <c r="D1929" s="2" t="s">
        <v>48</v>
      </c>
      <c r="E1929" s="2" t="s">
        <v>85</v>
      </c>
      <c r="F1929" s="2" t="s">
        <v>34</v>
      </c>
      <c r="G1929" s="2" t="s">
        <v>35</v>
      </c>
      <c r="H1929" s="3">
        <v>45519.936111111114</v>
      </c>
      <c r="I1929" s="3">
        <v>45520.018750000003</v>
      </c>
      <c r="J1929" s="2">
        <v>122</v>
      </c>
      <c r="K1929" s="2">
        <v>119</v>
      </c>
      <c r="L1929" s="2">
        <v>0</v>
      </c>
      <c r="M1929" s="2" t="s">
        <v>29</v>
      </c>
      <c r="N1929" s="2">
        <v>10</v>
      </c>
      <c r="O1929" s="2">
        <v>497.34</v>
      </c>
      <c r="P1929" s="2">
        <f t="shared" si="150"/>
        <v>-3</v>
      </c>
      <c r="Q1929" s="4">
        <f t="shared" si="151"/>
        <v>1.0252100840336134</v>
      </c>
      <c r="R1929" s="2" t="str">
        <f t="shared" si="152"/>
        <v>Efficient</v>
      </c>
      <c r="S1929" s="2" t="str">
        <f t="shared" si="153"/>
        <v>Long</v>
      </c>
      <c r="T1929" s="2" t="str">
        <f t="shared" si="154"/>
        <v>On Time</v>
      </c>
    </row>
    <row r="1930" spans="1:20" x14ac:dyDescent="0.35">
      <c r="A1930" s="2" t="s">
        <v>4043</v>
      </c>
      <c r="B1930" s="2" t="s">
        <v>63</v>
      </c>
      <c r="C1930" s="2" t="s">
        <v>4044</v>
      </c>
      <c r="D1930" s="2" t="s">
        <v>56</v>
      </c>
      <c r="E1930" s="2" t="s">
        <v>19</v>
      </c>
      <c r="F1930" s="2" t="s">
        <v>57</v>
      </c>
      <c r="G1930" s="2" t="s">
        <v>316</v>
      </c>
      <c r="H1930" s="3">
        <v>45583.990972222222</v>
      </c>
      <c r="I1930" s="3">
        <v>45584.0625</v>
      </c>
      <c r="J1930" s="2">
        <v>88</v>
      </c>
      <c r="K1930" s="2">
        <v>103</v>
      </c>
      <c r="L1930" s="2">
        <v>1</v>
      </c>
      <c r="M1930" s="2" t="s">
        <v>41</v>
      </c>
      <c r="N1930" s="2">
        <v>4</v>
      </c>
      <c r="O1930" s="2">
        <v>496.87</v>
      </c>
      <c r="P1930" s="2">
        <f t="shared" si="150"/>
        <v>15</v>
      </c>
      <c r="Q1930" s="4">
        <f t="shared" si="151"/>
        <v>0.85436893203883491</v>
      </c>
      <c r="R1930" s="2" t="str">
        <f t="shared" si="152"/>
        <v>Inefficient</v>
      </c>
      <c r="S1930" s="2" t="str">
        <f t="shared" si="153"/>
        <v>Long</v>
      </c>
      <c r="T1930" s="2" t="str">
        <f t="shared" si="154"/>
        <v>Minor Delay</v>
      </c>
    </row>
    <row r="1931" spans="1:20" x14ac:dyDescent="0.35">
      <c r="A1931" s="2" t="s">
        <v>4045</v>
      </c>
      <c r="B1931" s="2" t="s">
        <v>51</v>
      </c>
      <c r="C1931" s="2" t="s">
        <v>4046</v>
      </c>
      <c r="D1931" s="2" t="s">
        <v>26</v>
      </c>
      <c r="E1931" s="2" t="s">
        <v>19</v>
      </c>
      <c r="F1931" s="2" t="s">
        <v>27</v>
      </c>
      <c r="G1931" s="2" t="s">
        <v>308</v>
      </c>
      <c r="H1931" s="3">
        <v>45489.859722222223</v>
      </c>
      <c r="I1931" s="3">
        <v>45490.061805555553</v>
      </c>
      <c r="J1931" s="2">
        <v>238</v>
      </c>
      <c r="K1931" s="2">
        <v>291</v>
      </c>
      <c r="L1931" s="2">
        <v>1</v>
      </c>
      <c r="M1931" s="2" t="s">
        <v>29</v>
      </c>
      <c r="N1931" s="2">
        <v>4</v>
      </c>
      <c r="O1931" s="2">
        <v>187.97</v>
      </c>
      <c r="P1931" s="2">
        <f t="shared" si="150"/>
        <v>53</v>
      </c>
      <c r="Q1931" s="4">
        <f t="shared" si="151"/>
        <v>0.81786941580756012</v>
      </c>
      <c r="R1931" s="2" t="str">
        <f t="shared" si="152"/>
        <v>Inefficient</v>
      </c>
      <c r="S1931" s="2" t="str">
        <f t="shared" si="153"/>
        <v>Very Long</v>
      </c>
      <c r="T1931" s="2" t="str">
        <f t="shared" si="154"/>
        <v>Major Delay</v>
      </c>
    </row>
    <row r="1932" spans="1:20" x14ac:dyDescent="0.35">
      <c r="A1932" s="2" t="s">
        <v>4047</v>
      </c>
      <c r="B1932" s="2" t="s">
        <v>63</v>
      </c>
      <c r="C1932" s="2" t="s">
        <v>4048</v>
      </c>
      <c r="D1932" s="2" t="s">
        <v>18</v>
      </c>
      <c r="E1932" s="2" t="s">
        <v>19</v>
      </c>
      <c r="F1932" s="2" t="s">
        <v>57</v>
      </c>
      <c r="G1932" s="2" t="s">
        <v>296</v>
      </c>
      <c r="H1932" s="3">
        <v>45349.388888888891</v>
      </c>
      <c r="I1932" s="3">
        <v>45349.486805555556</v>
      </c>
      <c r="J1932" s="2">
        <v>139</v>
      </c>
      <c r="K1932" s="2">
        <v>141</v>
      </c>
      <c r="L1932" s="2">
        <v>1</v>
      </c>
      <c r="M1932" s="2" t="s">
        <v>22</v>
      </c>
      <c r="N1932" s="2">
        <v>7</v>
      </c>
      <c r="O1932" s="2">
        <v>199.63</v>
      </c>
      <c r="P1932" s="2">
        <f t="shared" si="150"/>
        <v>2</v>
      </c>
      <c r="Q1932" s="4">
        <f t="shared" si="151"/>
        <v>0.98581560283687941</v>
      </c>
      <c r="R1932" s="2" t="str">
        <f t="shared" si="152"/>
        <v>Inefficient</v>
      </c>
      <c r="S1932" s="2" t="str">
        <f t="shared" si="153"/>
        <v>Very Long</v>
      </c>
      <c r="T1932" s="2" t="str">
        <f t="shared" si="154"/>
        <v>Minor Delay</v>
      </c>
    </row>
    <row r="1933" spans="1:20" x14ac:dyDescent="0.35">
      <c r="A1933" s="2" t="s">
        <v>4049</v>
      </c>
      <c r="B1933" s="2" t="s">
        <v>31</v>
      </c>
      <c r="C1933" s="2" t="s">
        <v>4050</v>
      </c>
      <c r="D1933" s="2" t="s">
        <v>48</v>
      </c>
      <c r="E1933" s="2" t="s">
        <v>19</v>
      </c>
      <c r="F1933" s="2" t="s">
        <v>57</v>
      </c>
      <c r="G1933" s="2" t="s">
        <v>676</v>
      </c>
      <c r="H1933" s="3">
        <v>45541.964583333334</v>
      </c>
      <c r="I1933" s="3">
        <v>45542.067361111112</v>
      </c>
      <c r="J1933" s="2">
        <v>125</v>
      </c>
      <c r="K1933" s="2">
        <v>148</v>
      </c>
      <c r="L1933" s="2">
        <v>1</v>
      </c>
      <c r="M1933" s="2" t="s">
        <v>22</v>
      </c>
      <c r="N1933" s="2">
        <v>5</v>
      </c>
      <c r="O1933" s="2">
        <v>159.66999999999999</v>
      </c>
      <c r="P1933" s="2">
        <f t="shared" si="150"/>
        <v>23</v>
      </c>
      <c r="Q1933" s="4">
        <f t="shared" si="151"/>
        <v>0.84459459459459463</v>
      </c>
      <c r="R1933" s="2" t="str">
        <f t="shared" si="152"/>
        <v>Inefficient</v>
      </c>
      <c r="S1933" s="2" t="str">
        <f t="shared" si="153"/>
        <v>Very Long</v>
      </c>
      <c r="T1933" s="2" t="str">
        <f t="shared" si="154"/>
        <v>Minor Delay</v>
      </c>
    </row>
    <row r="1934" spans="1:20" x14ac:dyDescent="0.35">
      <c r="A1934" s="2" t="s">
        <v>4051</v>
      </c>
      <c r="B1934" s="2" t="s">
        <v>24</v>
      </c>
      <c r="C1934" s="2" t="s">
        <v>4052</v>
      </c>
      <c r="D1934" s="2" t="s">
        <v>18</v>
      </c>
      <c r="E1934" s="2" t="s">
        <v>85</v>
      </c>
      <c r="F1934" s="2" t="s">
        <v>20</v>
      </c>
      <c r="G1934" s="2" t="s">
        <v>681</v>
      </c>
      <c r="H1934" s="3">
        <v>45539.390277777777</v>
      </c>
      <c r="I1934" s="3">
        <v>45539.555555555555</v>
      </c>
      <c r="J1934" s="2">
        <v>202</v>
      </c>
      <c r="K1934" s="2">
        <v>238</v>
      </c>
      <c r="L1934" s="2">
        <v>1</v>
      </c>
      <c r="M1934" s="2" t="s">
        <v>29</v>
      </c>
      <c r="N1934" s="2">
        <v>6</v>
      </c>
      <c r="O1934" s="2">
        <v>271.58</v>
      </c>
      <c r="P1934" s="2">
        <f t="shared" si="150"/>
        <v>36</v>
      </c>
      <c r="Q1934" s="4">
        <f t="shared" si="151"/>
        <v>0.84873949579831931</v>
      </c>
      <c r="R1934" s="2" t="str">
        <f t="shared" si="152"/>
        <v>Inefficient</v>
      </c>
      <c r="S1934" s="2" t="str">
        <f t="shared" si="153"/>
        <v>Very Long</v>
      </c>
      <c r="T1934" s="2" t="str">
        <f t="shared" si="154"/>
        <v>Major Delay</v>
      </c>
    </row>
    <row r="1935" spans="1:20" x14ac:dyDescent="0.35">
      <c r="A1935" s="2" t="s">
        <v>4053</v>
      </c>
      <c r="B1935" s="2" t="s">
        <v>31</v>
      </c>
      <c r="C1935" s="2" t="s">
        <v>4054</v>
      </c>
      <c r="D1935" s="2" t="s">
        <v>44</v>
      </c>
      <c r="E1935" s="2" t="s">
        <v>33</v>
      </c>
      <c r="F1935" s="2" t="s">
        <v>27</v>
      </c>
      <c r="G1935" s="2" t="s">
        <v>622</v>
      </c>
      <c r="H1935" s="3">
        <v>45359.332638888889</v>
      </c>
      <c r="I1935" s="3">
        <v>45359.402083333334</v>
      </c>
      <c r="J1935" s="2">
        <v>94</v>
      </c>
      <c r="K1935" s="2">
        <v>100</v>
      </c>
      <c r="L1935" s="2">
        <v>1</v>
      </c>
      <c r="M1935" s="2" t="s">
        <v>29</v>
      </c>
      <c r="N1935" s="2">
        <v>7</v>
      </c>
      <c r="O1935" s="2">
        <v>329.72</v>
      </c>
      <c r="P1935" s="2">
        <f t="shared" si="150"/>
        <v>6</v>
      </c>
      <c r="Q1935" s="4">
        <f t="shared" si="151"/>
        <v>0.94</v>
      </c>
      <c r="R1935" s="2" t="str">
        <f t="shared" si="152"/>
        <v>Inefficient</v>
      </c>
      <c r="S1935" s="2" t="str">
        <f t="shared" si="153"/>
        <v>Long</v>
      </c>
      <c r="T1935" s="2" t="str">
        <f t="shared" si="154"/>
        <v>Minor Delay</v>
      </c>
    </row>
    <row r="1936" spans="1:20" x14ac:dyDescent="0.35">
      <c r="A1936" s="2" t="s">
        <v>4055</v>
      </c>
      <c r="B1936" s="2" t="s">
        <v>31</v>
      </c>
      <c r="C1936" s="2" t="s">
        <v>4056</v>
      </c>
      <c r="D1936" s="2" t="s">
        <v>44</v>
      </c>
      <c r="E1936" s="2" t="s">
        <v>85</v>
      </c>
      <c r="F1936" s="2" t="s">
        <v>20</v>
      </c>
      <c r="G1936" s="2" t="s">
        <v>146</v>
      </c>
      <c r="H1936" s="3">
        <v>45565.272916666669</v>
      </c>
      <c r="I1936" s="3">
        <v>45565.388888888891</v>
      </c>
      <c r="J1936" s="2">
        <v>66</v>
      </c>
      <c r="K1936" s="2">
        <v>167</v>
      </c>
      <c r="L1936" s="2">
        <v>1</v>
      </c>
      <c r="M1936" s="2" t="s">
        <v>29</v>
      </c>
      <c r="N1936" s="2">
        <v>10</v>
      </c>
      <c r="O1936" s="2">
        <v>114.48</v>
      </c>
      <c r="P1936" s="2">
        <f t="shared" si="150"/>
        <v>101</v>
      </c>
      <c r="Q1936" s="4">
        <f t="shared" si="151"/>
        <v>0.39520958083832336</v>
      </c>
      <c r="R1936" s="2" t="str">
        <f t="shared" si="152"/>
        <v>Inefficient</v>
      </c>
      <c r="S1936" s="2" t="str">
        <f t="shared" si="153"/>
        <v>Very Long</v>
      </c>
      <c r="T1936" s="2" t="str">
        <f t="shared" si="154"/>
        <v>Major Delay</v>
      </c>
    </row>
    <row r="1937" spans="1:20" x14ac:dyDescent="0.35">
      <c r="A1937" s="2" t="s">
        <v>4057</v>
      </c>
      <c r="B1937" s="2" t="s">
        <v>24</v>
      </c>
      <c r="C1937" s="2" t="s">
        <v>4058</v>
      </c>
      <c r="D1937" s="2" t="s">
        <v>18</v>
      </c>
      <c r="E1937" s="2" t="s">
        <v>85</v>
      </c>
      <c r="F1937" s="2" t="s">
        <v>39</v>
      </c>
      <c r="G1937" s="2" t="s">
        <v>76</v>
      </c>
      <c r="H1937" s="3">
        <v>45654.948611111111</v>
      </c>
      <c r="I1937" s="3">
        <v>45655.120138888888</v>
      </c>
      <c r="J1937" s="2">
        <v>175</v>
      </c>
      <c r="K1937" s="2">
        <v>247</v>
      </c>
      <c r="L1937" s="2">
        <v>1</v>
      </c>
      <c r="M1937" s="2" t="s">
        <v>29</v>
      </c>
      <c r="N1937" s="2">
        <v>6</v>
      </c>
      <c r="O1937" s="2">
        <v>103.09</v>
      </c>
      <c r="P1937" s="2">
        <f t="shared" si="150"/>
        <v>72</v>
      </c>
      <c r="Q1937" s="4">
        <f t="shared" si="151"/>
        <v>0.708502024291498</v>
      </c>
      <c r="R1937" s="2" t="str">
        <f t="shared" si="152"/>
        <v>Inefficient</v>
      </c>
      <c r="S1937" s="2" t="str">
        <f t="shared" si="153"/>
        <v>Very Long</v>
      </c>
      <c r="T1937" s="2" t="str">
        <f t="shared" si="154"/>
        <v>Major Delay</v>
      </c>
    </row>
    <row r="1938" spans="1:20" x14ac:dyDescent="0.35">
      <c r="A1938" s="2" t="s">
        <v>4059</v>
      </c>
      <c r="B1938" s="2" t="s">
        <v>31</v>
      </c>
      <c r="C1938" s="2" t="s">
        <v>4060</v>
      </c>
      <c r="D1938" s="2" t="s">
        <v>48</v>
      </c>
      <c r="E1938" s="2" t="s">
        <v>38</v>
      </c>
      <c r="F1938" s="2" t="s">
        <v>39</v>
      </c>
      <c r="G1938" s="2" t="s">
        <v>650</v>
      </c>
      <c r="H1938" s="3">
        <v>45293.979166666664</v>
      </c>
      <c r="I1938" s="3">
        <v>45294.10833333333</v>
      </c>
      <c r="J1938" s="2">
        <v>174</v>
      </c>
      <c r="K1938" s="2">
        <v>186</v>
      </c>
      <c r="L1938" s="2">
        <v>1</v>
      </c>
      <c r="M1938" s="2" t="s">
        <v>22</v>
      </c>
      <c r="N1938" s="2">
        <v>1</v>
      </c>
      <c r="O1938" s="2">
        <v>273.97000000000003</v>
      </c>
      <c r="P1938" s="2">
        <f t="shared" si="150"/>
        <v>12</v>
      </c>
      <c r="Q1938" s="4">
        <f t="shared" si="151"/>
        <v>0.93548387096774188</v>
      </c>
      <c r="R1938" s="2" t="str">
        <f t="shared" si="152"/>
        <v>Inefficient</v>
      </c>
      <c r="S1938" s="2" t="str">
        <f t="shared" si="153"/>
        <v>Very Long</v>
      </c>
      <c r="T1938" s="2" t="str">
        <f t="shared" si="154"/>
        <v>Minor Delay</v>
      </c>
    </row>
    <row r="1939" spans="1:20" x14ac:dyDescent="0.35">
      <c r="A1939" s="2" t="s">
        <v>4061</v>
      </c>
      <c r="B1939" s="2" t="s">
        <v>31</v>
      </c>
      <c r="C1939" s="2" t="s">
        <v>4062</v>
      </c>
      <c r="D1939" s="2" t="s">
        <v>18</v>
      </c>
      <c r="E1939" s="2" t="s">
        <v>19</v>
      </c>
      <c r="F1939" s="2" t="s">
        <v>20</v>
      </c>
      <c r="G1939" s="2" t="s">
        <v>126</v>
      </c>
      <c r="H1939" s="3">
        <v>45596.412499999999</v>
      </c>
      <c r="I1939" s="3">
        <v>45596.540972222225</v>
      </c>
      <c r="J1939" s="2">
        <v>117</v>
      </c>
      <c r="K1939" s="2">
        <v>185</v>
      </c>
      <c r="L1939" s="2">
        <v>1</v>
      </c>
      <c r="M1939" s="2" t="s">
        <v>41</v>
      </c>
      <c r="N1939" s="2">
        <v>6</v>
      </c>
      <c r="O1939" s="2">
        <v>474.3</v>
      </c>
      <c r="P1939" s="2">
        <f t="shared" si="150"/>
        <v>68</v>
      </c>
      <c r="Q1939" s="4">
        <f t="shared" si="151"/>
        <v>0.63243243243243241</v>
      </c>
      <c r="R1939" s="2" t="str">
        <f t="shared" si="152"/>
        <v>Inefficient</v>
      </c>
      <c r="S1939" s="2" t="str">
        <f t="shared" si="153"/>
        <v>Very Long</v>
      </c>
      <c r="T1939" s="2" t="str">
        <f t="shared" si="154"/>
        <v>Major Delay</v>
      </c>
    </row>
    <row r="1940" spans="1:20" x14ac:dyDescent="0.35">
      <c r="A1940" s="2" t="s">
        <v>4063</v>
      </c>
      <c r="B1940" s="2" t="s">
        <v>24</v>
      </c>
      <c r="C1940" s="2" t="s">
        <v>4064</v>
      </c>
      <c r="D1940" s="2" t="s">
        <v>18</v>
      </c>
      <c r="E1940" s="2" t="s">
        <v>38</v>
      </c>
      <c r="F1940" s="2" t="s">
        <v>20</v>
      </c>
      <c r="G1940" s="2" t="s">
        <v>73</v>
      </c>
      <c r="H1940" s="3">
        <v>45320.595138888886</v>
      </c>
      <c r="I1940" s="3">
        <v>45320.703472222223</v>
      </c>
      <c r="J1940" s="2">
        <v>131</v>
      </c>
      <c r="K1940" s="2">
        <v>156</v>
      </c>
      <c r="L1940" s="2">
        <v>1</v>
      </c>
      <c r="M1940" s="2" t="s">
        <v>41</v>
      </c>
      <c r="N1940" s="2">
        <v>5</v>
      </c>
      <c r="O1940" s="2">
        <v>153.79</v>
      </c>
      <c r="P1940" s="2">
        <f t="shared" si="150"/>
        <v>25</v>
      </c>
      <c r="Q1940" s="4">
        <f t="shared" si="151"/>
        <v>0.83974358974358976</v>
      </c>
      <c r="R1940" s="2" t="str">
        <f t="shared" si="152"/>
        <v>Inefficient</v>
      </c>
      <c r="S1940" s="2" t="str">
        <f t="shared" si="153"/>
        <v>Very Long</v>
      </c>
      <c r="T1940" s="2" t="str">
        <f t="shared" si="154"/>
        <v>Minor Delay</v>
      </c>
    </row>
    <row r="1941" spans="1:20" x14ac:dyDescent="0.35">
      <c r="A1941" s="2" t="s">
        <v>4065</v>
      </c>
      <c r="B1941" s="2" t="s">
        <v>51</v>
      </c>
      <c r="C1941" s="2" t="s">
        <v>4066</v>
      </c>
      <c r="D1941" s="2" t="s">
        <v>56</v>
      </c>
      <c r="E1941" s="2" t="s">
        <v>19</v>
      </c>
      <c r="F1941" s="2" t="s">
        <v>57</v>
      </c>
      <c r="G1941" s="2" t="s">
        <v>103</v>
      </c>
      <c r="H1941" s="3">
        <v>45647.727083333331</v>
      </c>
      <c r="I1941" s="3">
        <v>45647.85833333333</v>
      </c>
      <c r="J1941" s="2">
        <v>185</v>
      </c>
      <c r="K1941" s="2">
        <v>189</v>
      </c>
      <c r="L1941" s="2">
        <v>1</v>
      </c>
      <c r="M1941" s="2" t="s">
        <v>29</v>
      </c>
      <c r="N1941" s="2">
        <v>4</v>
      </c>
      <c r="O1941" s="2">
        <v>86.7</v>
      </c>
      <c r="P1941" s="2">
        <f t="shared" si="150"/>
        <v>4</v>
      </c>
      <c r="Q1941" s="4">
        <f t="shared" si="151"/>
        <v>0.97883597883597884</v>
      </c>
      <c r="R1941" s="2" t="str">
        <f t="shared" si="152"/>
        <v>Inefficient</v>
      </c>
      <c r="S1941" s="2" t="str">
        <f t="shared" si="153"/>
        <v>Very Long</v>
      </c>
      <c r="T1941" s="2" t="str">
        <f t="shared" si="154"/>
        <v>Minor Delay</v>
      </c>
    </row>
    <row r="1942" spans="1:20" x14ac:dyDescent="0.35">
      <c r="A1942" s="2" t="s">
        <v>4067</v>
      </c>
      <c r="B1942" s="2" t="s">
        <v>51</v>
      </c>
      <c r="C1942" s="2" t="s">
        <v>4068</v>
      </c>
      <c r="D1942" s="2" t="s">
        <v>56</v>
      </c>
      <c r="E1942" s="2" t="s">
        <v>38</v>
      </c>
      <c r="F1942" s="2" t="s">
        <v>39</v>
      </c>
      <c r="G1942" s="2" t="s">
        <v>521</v>
      </c>
      <c r="H1942" s="3">
        <v>45312.840277777781</v>
      </c>
      <c r="I1942" s="3">
        <v>45312.885416666664</v>
      </c>
      <c r="J1942" s="2">
        <v>20</v>
      </c>
      <c r="K1942" s="2">
        <v>65</v>
      </c>
      <c r="L1942" s="2">
        <v>1</v>
      </c>
      <c r="M1942" s="2" t="s">
        <v>41</v>
      </c>
      <c r="N1942" s="2">
        <v>6</v>
      </c>
      <c r="O1942" s="2">
        <v>58.47</v>
      </c>
      <c r="P1942" s="2">
        <f t="shared" si="150"/>
        <v>45</v>
      </c>
      <c r="Q1942" s="4">
        <f t="shared" si="151"/>
        <v>0.30769230769230771</v>
      </c>
      <c r="R1942" s="2" t="str">
        <f t="shared" si="152"/>
        <v>Inefficient</v>
      </c>
      <c r="S1942" s="2" t="str">
        <f t="shared" si="153"/>
        <v>Long</v>
      </c>
      <c r="T1942" s="2" t="str">
        <f t="shared" si="154"/>
        <v>Major Delay</v>
      </c>
    </row>
    <row r="1943" spans="1:20" x14ac:dyDescent="0.35">
      <c r="A1943" s="2" t="s">
        <v>4069</v>
      </c>
      <c r="B1943" s="2" t="s">
        <v>16</v>
      </c>
      <c r="C1943" s="2" t="s">
        <v>4070</v>
      </c>
      <c r="D1943" s="2" t="s">
        <v>48</v>
      </c>
      <c r="E1943" s="2" t="s">
        <v>38</v>
      </c>
      <c r="F1943" s="2" t="s">
        <v>27</v>
      </c>
      <c r="G1943" s="2" t="s">
        <v>999</v>
      </c>
      <c r="H1943" s="3">
        <v>45604.257638888892</v>
      </c>
      <c r="I1943" s="3">
        <v>45604.385416666664</v>
      </c>
      <c r="J1943" s="2">
        <v>187</v>
      </c>
      <c r="K1943" s="2">
        <v>184</v>
      </c>
      <c r="L1943" s="2">
        <v>0</v>
      </c>
      <c r="M1943" s="2" t="s">
        <v>29</v>
      </c>
      <c r="N1943" s="2">
        <v>7</v>
      </c>
      <c r="O1943" s="2">
        <v>207.73</v>
      </c>
      <c r="P1943" s="2">
        <f t="shared" si="150"/>
        <v>-3</v>
      </c>
      <c r="Q1943" s="4">
        <f t="shared" si="151"/>
        <v>1.0163043478260869</v>
      </c>
      <c r="R1943" s="2" t="str">
        <f t="shared" si="152"/>
        <v>Efficient</v>
      </c>
      <c r="S1943" s="2" t="str">
        <f t="shared" si="153"/>
        <v>Very Long</v>
      </c>
      <c r="T1943" s="2" t="str">
        <f t="shared" si="154"/>
        <v>On Time</v>
      </c>
    </row>
    <row r="1944" spans="1:20" x14ac:dyDescent="0.35">
      <c r="A1944" s="2" t="s">
        <v>4071</v>
      </c>
      <c r="B1944" s="2" t="s">
        <v>51</v>
      </c>
      <c r="C1944" s="2" t="s">
        <v>4072</v>
      </c>
      <c r="D1944" s="2" t="s">
        <v>26</v>
      </c>
      <c r="E1944" s="2" t="s">
        <v>85</v>
      </c>
      <c r="F1944" s="2" t="s">
        <v>34</v>
      </c>
      <c r="G1944" s="2" t="s">
        <v>810</v>
      </c>
      <c r="H1944" s="3">
        <v>45390.20208333333</v>
      </c>
      <c r="I1944" s="3">
        <v>45390.385416666664</v>
      </c>
      <c r="J1944" s="2">
        <v>193</v>
      </c>
      <c r="K1944" s="2">
        <v>264</v>
      </c>
      <c r="L1944" s="2">
        <v>1</v>
      </c>
      <c r="M1944" s="2" t="s">
        <v>41</v>
      </c>
      <c r="N1944" s="2">
        <v>8</v>
      </c>
      <c r="O1944" s="2">
        <v>477.34</v>
      </c>
      <c r="P1944" s="2">
        <f t="shared" si="150"/>
        <v>71</v>
      </c>
      <c r="Q1944" s="4">
        <f t="shared" si="151"/>
        <v>0.73106060606060608</v>
      </c>
      <c r="R1944" s="2" t="str">
        <f t="shared" si="152"/>
        <v>Inefficient</v>
      </c>
      <c r="S1944" s="2" t="str">
        <f t="shared" si="153"/>
        <v>Very Long</v>
      </c>
      <c r="T1944" s="2" t="str">
        <f t="shared" si="154"/>
        <v>Major Delay</v>
      </c>
    </row>
    <row r="1945" spans="1:20" x14ac:dyDescent="0.35">
      <c r="A1945" s="2" t="s">
        <v>4073</v>
      </c>
      <c r="B1945" s="2" t="s">
        <v>16</v>
      </c>
      <c r="C1945" s="2" t="s">
        <v>4074</v>
      </c>
      <c r="D1945" s="2" t="s">
        <v>26</v>
      </c>
      <c r="E1945" s="2" t="s">
        <v>38</v>
      </c>
      <c r="F1945" s="2" t="s">
        <v>34</v>
      </c>
      <c r="G1945" s="2" t="s">
        <v>383</v>
      </c>
      <c r="H1945" s="3">
        <v>45308.583333333336</v>
      </c>
      <c r="I1945" s="3">
        <v>45308.783333333333</v>
      </c>
      <c r="J1945" s="2">
        <v>223</v>
      </c>
      <c r="K1945" s="2">
        <v>288</v>
      </c>
      <c r="L1945" s="2">
        <v>1</v>
      </c>
      <c r="M1945" s="2" t="s">
        <v>22</v>
      </c>
      <c r="N1945" s="2">
        <v>7</v>
      </c>
      <c r="O1945" s="2">
        <v>367.22</v>
      </c>
      <c r="P1945" s="2">
        <f t="shared" si="150"/>
        <v>65</v>
      </c>
      <c r="Q1945" s="4">
        <f t="shared" si="151"/>
        <v>0.77430555555555558</v>
      </c>
      <c r="R1945" s="2" t="str">
        <f t="shared" si="152"/>
        <v>Inefficient</v>
      </c>
      <c r="S1945" s="2" t="str">
        <f t="shared" si="153"/>
        <v>Very Long</v>
      </c>
      <c r="T1945" s="2" t="str">
        <f t="shared" si="154"/>
        <v>Major Delay</v>
      </c>
    </row>
    <row r="1946" spans="1:20" x14ac:dyDescent="0.35">
      <c r="A1946" s="2" t="s">
        <v>4075</v>
      </c>
      <c r="B1946" s="2" t="s">
        <v>16</v>
      </c>
      <c r="C1946" s="2" t="s">
        <v>4076</v>
      </c>
      <c r="D1946" s="2" t="s">
        <v>44</v>
      </c>
      <c r="E1946" s="2" t="s">
        <v>19</v>
      </c>
      <c r="F1946" s="2" t="s">
        <v>20</v>
      </c>
      <c r="G1946" s="2" t="s">
        <v>539</v>
      </c>
      <c r="H1946" s="3">
        <v>45486.515972222223</v>
      </c>
      <c r="I1946" s="3">
        <v>45486.585416666669</v>
      </c>
      <c r="J1946" s="2">
        <v>24</v>
      </c>
      <c r="K1946" s="2">
        <v>100</v>
      </c>
      <c r="L1946" s="2">
        <v>1</v>
      </c>
      <c r="M1946" s="2" t="s">
        <v>29</v>
      </c>
      <c r="N1946" s="2">
        <v>7</v>
      </c>
      <c r="O1946" s="2">
        <v>236.07</v>
      </c>
      <c r="P1946" s="2">
        <f t="shared" si="150"/>
        <v>76</v>
      </c>
      <c r="Q1946" s="4">
        <f t="shared" si="151"/>
        <v>0.24</v>
      </c>
      <c r="R1946" s="2" t="str">
        <f t="shared" si="152"/>
        <v>Inefficient</v>
      </c>
      <c r="S1946" s="2" t="str">
        <f t="shared" si="153"/>
        <v>Long</v>
      </c>
      <c r="T1946" s="2" t="str">
        <f t="shared" si="154"/>
        <v>Major Delay</v>
      </c>
    </row>
    <row r="1947" spans="1:20" x14ac:dyDescent="0.35">
      <c r="A1947" s="2" t="s">
        <v>4077</v>
      </c>
      <c r="B1947" s="2" t="s">
        <v>16</v>
      </c>
      <c r="C1947" s="2" t="s">
        <v>4078</v>
      </c>
      <c r="D1947" s="2" t="s">
        <v>18</v>
      </c>
      <c r="E1947" s="2" t="s">
        <v>19</v>
      </c>
      <c r="F1947" s="2" t="s">
        <v>57</v>
      </c>
      <c r="G1947" s="2" t="s">
        <v>1719</v>
      </c>
      <c r="H1947" s="3">
        <v>45576.37777777778</v>
      </c>
      <c r="I1947" s="3">
        <v>45576.534722222219</v>
      </c>
      <c r="J1947" s="2">
        <v>193</v>
      </c>
      <c r="K1947" s="2">
        <v>226</v>
      </c>
      <c r="L1947" s="2">
        <v>1</v>
      </c>
      <c r="M1947" s="2" t="s">
        <v>29</v>
      </c>
      <c r="N1947" s="2">
        <v>6</v>
      </c>
      <c r="O1947" s="2">
        <v>257.5</v>
      </c>
      <c r="P1947" s="2">
        <f t="shared" si="150"/>
        <v>33</v>
      </c>
      <c r="Q1947" s="4">
        <f t="shared" si="151"/>
        <v>0.85398230088495575</v>
      </c>
      <c r="R1947" s="2" t="str">
        <f t="shared" si="152"/>
        <v>Inefficient</v>
      </c>
      <c r="S1947" s="2" t="str">
        <f t="shared" si="153"/>
        <v>Very Long</v>
      </c>
      <c r="T1947" s="2" t="str">
        <f t="shared" si="154"/>
        <v>Major Delay</v>
      </c>
    </row>
    <row r="1948" spans="1:20" x14ac:dyDescent="0.35">
      <c r="A1948" s="2" t="s">
        <v>4079</v>
      </c>
      <c r="B1948" s="2" t="s">
        <v>63</v>
      </c>
      <c r="C1948" s="2" t="s">
        <v>4080</v>
      </c>
      <c r="D1948" s="2" t="s">
        <v>44</v>
      </c>
      <c r="E1948" s="2" t="s">
        <v>33</v>
      </c>
      <c r="F1948" s="2" t="s">
        <v>34</v>
      </c>
      <c r="G1948" s="2" t="s">
        <v>49</v>
      </c>
      <c r="H1948" s="3">
        <v>45626.685416666667</v>
      </c>
      <c r="I1948" s="3">
        <v>45626.815972222219</v>
      </c>
      <c r="J1948" s="2">
        <v>115</v>
      </c>
      <c r="K1948" s="2">
        <v>188</v>
      </c>
      <c r="L1948" s="2">
        <v>1</v>
      </c>
      <c r="M1948" s="2" t="s">
        <v>41</v>
      </c>
      <c r="N1948" s="2">
        <v>3</v>
      </c>
      <c r="O1948" s="2">
        <v>341.57</v>
      </c>
      <c r="P1948" s="2">
        <f t="shared" si="150"/>
        <v>73</v>
      </c>
      <c r="Q1948" s="4">
        <f t="shared" si="151"/>
        <v>0.61170212765957444</v>
      </c>
      <c r="R1948" s="2" t="str">
        <f t="shared" si="152"/>
        <v>Inefficient</v>
      </c>
      <c r="S1948" s="2" t="str">
        <f t="shared" si="153"/>
        <v>Very Long</v>
      </c>
      <c r="T1948" s="2" t="str">
        <f t="shared" si="154"/>
        <v>Major Delay</v>
      </c>
    </row>
    <row r="1949" spans="1:20" x14ac:dyDescent="0.35">
      <c r="A1949" s="2" t="s">
        <v>4081</v>
      </c>
      <c r="B1949" s="2" t="s">
        <v>51</v>
      </c>
      <c r="C1949" s="2" t="s">
        <v>4082</v>
      </c>
      <c r="D1949" s="2" t="s">
        <v>26</v>
      </c>
      <c r="E1949" s="2" t="s">
        <v>85</v>
      </c>
      <c r="F1949" s="2" t="s">
        <v>39</v>
      </c>
      <c r="G1949" s="2" t="s">
        <v>137</v>
      </c>
      <c r="H1949" s="3">
        <v>45525.560416666667</v>
      </c>
      <c r="I1949" s="3">
        <v>45525.738194444442</v>
      </c>
      <c r="J1949" s="2">
        <v>204</v>
      </c>
      <c r="K1949" s="2">
        <v>256</v>
      </c>
      <c r="L1949" s="2">
        <v>1</v>
      </c>
      <c r="M1949" s="2" t="s">
        <v>22</v>
      </c>
      <c r="N1949" s="2">
        <v>4</v>
      </c>
      <c r="O1949" s="2">
        <v>164.47</v>
      </c>
      <c r="P1949" s="2">
        <f t="shared" si="150"/>
        <v>52</v>
      </c>
      <c r="Q1949" s="4">
        <f t="shared" si="151"/>
        <v>0.796875</v>
      </c>
      <c r="R1949" s="2" t="str">
        <f t="shared" si="152"/>
        <v>Inefficient</v>
      </c>
      <c r="S1949" s="2" t="str">
        <f t="shared" si="153"/>
        <v>Very Long</v>
      </c>
      <c r="T1949" s="2" t="str">
        <f t="shared" si="154"/>
        <v>Major Delay</v>
      </c>
    </row>
    <row r="1950" spans="1:20" x14ac:dyDescent="0.35">
      <c r="A1950" s="2" t="s">
        <v>4083</v>
      </c>
      <c r="B1950" s="2" t="s">
        <v>51</v>
      </c>
      <c r="C1950" s="2" t="s">
        <v>4084</v>
      </c>
      <c r="D1950" s="2" t="s">
        <v>44</v>
      </c>
      <c r="E1950" s="2" t="s">
        <v>38</v>
      </c>
      <c r="F1950" s="2" t="s">
        <v>34</v>
      </c>
      <c r="G1950" s="2" t="s">
        <v>182</v>
      </c>
      <c r="H1950" s="3">
        <v>45468.241666666669</v>
      </c>
      <c r="I1950" s="3">
        <v>45468.311111111114</v>
      </c>
      <c r="J1950" s="2">
        <v>42</v>
      </c>
      <c r="K1950" s="2">
        <v>100</v>
      </c>
      <c r="L1950" s="2">
        <v>1</v>
      </c>
      <c r="M1950" s="2" t="s">
        <v>41</v>
      </c>
      <c r="N1950" s="2">
        <v>4</v>
      </c>
      <c r="O1950" s="2">
        <v>480.92</v>
      </c>
      <c r="P1950" s="2">
        <f t="shared" si="150"/>
        <v>58</v>
      </c>
      <c r="Q1950" s="4">
        <f t="shared" si="151"/>
        <v>0.42</v>
      </c>
      <c r="R1950" s="2" t="str">
        <f t="shared" si="152"/>
        <v>Inefficient</v>
      </c>
      <c r="S1950" s="2" t="str">
        <f t="shared" si="153"/>
        <v>Long</v>
      </c>
      <c r="T1950" s="2" t="str">
        <f t="shared" si="154"/>
        <v>Major Delay</v>
      </c>
    </row>
    <row r="1951" spans="1:20" x14ac:dyDescent="0.35">
      <c r="A1951" s="2" t="s">
        <v>4085</v>
      </c>
      <c r="B1951" s="2" t="s">
        <v>63</v>
      </c>
      <c r="C1951" s="2" t="s">
        <v>4086</v>
      </c>
      <c r="D1951" s="2" t="s">
        <v>26</v>
      </c>
      <c r="E1951" s="2" t="s">
        <v>19</v>
      </c>
      <c r="F1951" s="2" t="s">
        <v>39</v>
      </c>
      <c r="G1951" s="2" t="s">
        <v>28</v>
      </c>
      <c r="H1951" s="3">
        <v>45655.707638888889</v>
      </c>
      <c r="I1951" s="3">
        <v>45655.861805555556</v>
      </c>
      <c r="J1951" s="2">
        <v>121</v>
      </c>
      <c r="K1951" s="2">
        <v>222</v>
      </c>
      <c r="L1951" s="2">
        <v>1</v>
      </c>
      <c r="M1951" s="2" t="s">
        <v>41</v>
      </c>
      <c r="N1951" s="2">
        <v>5</v>
      </c>
      <c r="O1951" s="2">
        <v>362.96</v>
      </c>
      <c r="P1951" s="2">
        <f t="shared" si="150"/>
        <v>101</v>
      </c>
      <c r="Q1951" s="4">
        <f t="shared" si="151"/>
        <v>0.54504504504504503</v>
      </c>
      <c r="R1951" s="2" t="str">
        <f t="shared" si="152"/>
        <v>Inefficient</v>
      </c>
      <c r="S1951" s="2" t="str">
        <f t="shared" si="153"/>
        <v>Very Long</v>
      </c>
      <c r="T1951" s="2" t="str">
        <f t="shared" si="154"/>
        <v>Major Delay</v>
      </c>
    </row>
    <row r="1952" spans="1:20" x14ac:dyDescent="0.35">
      <c r="A1952" s="2" t="s">
        <v>4087</v>
      </c>
      <c r="B1952" s="2" t="s">
        <v>31</v>
      </c>
      <c r="C1952" s="2" t="s">
        <v>4088</v>
      </c>
      <c r="D1952" s="2" t="s">
        <v>44</v>
      </c>
      <c r="E1952" s="2" t="s">
        <v>38</v>
      </c>
      <c r="F1952" s="2" t="s">
        <v>27</v>
      </c>
      <c r="G1952" s="2" t="s">
        <v>296</v>
      </c>
      <c r="H1952" s="3">
        <v>45646.613194444442</v>
      </c>
      <c r="I1952" s="3">
        <v>45646.772916666669</v>
      </c>
      <c r="J1952" s="2">
        <v>189</v>
      </c>
      <c r="K1952" s="2">
        <v>230</v>
      </c>
      <c r="L1952" s="2">
        <v>1</v>
      </c>
      <c r="M1952" s="2" t="s">
        <v>29</v>
      </c>
      <c r="N1952" s="2">
        <v>6</v>
      </c>
      <c r="O1952" s="2">
        <v>156.52000000000001</v>
      </c>
      <c r="P1952" s="2">
        <f t="shared" si="150"/>
        <v>41</v>
      </c>
      <c r="Q1952" s="4">
        <f t="shared" si="151"/>
        <v>0.82173913043478264</v>
      </c>
      <c r="R1952" s="2" t="str">
        <f t="shared" si="152"/>
        <v>Inefficient</v>
      </c>
      <c r="S1952" s="2" t="str">
        <f t="shared" si="153"/>
        <v>Very Long</v>
      </c>
      <c r="T1952" s="2" t="str">
        <f t="shared" si="154"/>
        <v>Major Delay</v>
      </c>
    </row>
    <row r="1953" spans="1:20" x14ac:dyDescent="0.35">
      <c r="A1953" s="2" t="s">
        <v>4089</v>
      </c>
      <c r="B1953" s="2" t="s">
        <v>24</v>
      </c>
      <c r="C1953" s="2" t="s">
        <v>4090</v>
      </c>
      <c r="D1953" s="2" t="s">
        <v>56</v>
      </c>
      <c r="E1953" s="2" t="s">
        <v>38</v>
      </c>
      <c r="F1953" s="2" t="s">
        <v>34</v>
      </c>
      <c r="G1953" s="2" t="s">
        <v>397</v>
      </c>
      <c r="H1953" s="3">
        <v>45335.777777777781</v>
      </c>
      <c r="I1953" s="3">
        <v>45335.89166666667</v>
      </c>
      <c r="J1953" s="2">
        <v>159</v>
      </c>
      <c r="K1953" s="2">
        <v>164</v>
      </c>
      <c r="L1953" s="2">
        <v>1</v>
      </c>
      <c r="M1953" s="2" t="s">
        <v>22</v>
      </c>
      <c r="N1953" s="2">
        <v>9</v>
      </c>
      <c r="O1953" s="2">
        <v>291.52</v>
      </c>
      <c r="P1953" s="2">
        <f t="shared" si="150"/>
        <v>5</v>
      </c>
      <c r="Q1953" s="4">
        <f t="shared" si="151"/>
        <v>0.96951219512195119</v>
      </c>
      <c r="R1953" s="2" t="str">
        <f t="shared" si="152"/>
        <v>Inefficient</v>
      </c>
      <c r="S1953" s="2" t="str">
        <f t="shared" si="153"/>
        <v>Very Long</v>
      </c>
      <c r="T1953" s="2" t="str">
        <f t="shared" si="154"/>
        <v>Minor Delay</v>
      </c>
    </row>
    <row r="1954" spans="1:20" x14ac:dyDescent="0.35">
      <c r="A1954" s="2" t="s">
        <v>4091</v>
      </c>
      <c r="B1954" s="2" t="s">
        <v>16</v>
      </c>
      <c r="C1954" s="2" t="s">
        <v>4092</v>
      </c>
      <c r="D1954" s="2" t="s">
        <v>56</v>
      </c>
      <c r="E1954" s="2" t="s">
        <v>33</v>
      </c>
      <c r="F1954" s="2" t="s">
        <v>20</v>
      </c>
      <c r="G1954" s="2" t="s">
        <v>234</v>
      </c>
      <c r="H1954" s="3">
        <v>45339.839583333334</v>
      </c>
      <c r="I1954" s="3">
        <v>45340.074999999997</v>
      </c>
      <c r="J1954" s="2">
        <v>232</v>
      </c>
      <c r="K1954" s="2">
        <v>339</v>
      </c>
      <c r="L1954" s="2">
        <v>1</v>
      </c>
      <c r="M1954" s="2" t="s">
        <v>29</v>
      </c>
      <c r="N1954" s="2">
        <v>1</v>
      </c>
      <c r="O1954" s="2">
        <v>330.63</v>
      </c>
      <c r="P1954" s="2">
        <f t="shared" si="150"/>
        <v>107</v>
      </c>
      <c r="Q1954" s="4">
        <f t="shared" si="151"/>
        <v>0.68436578171091444</v>
      </c>
      <c r="R1954" s="2" t="str">
        <f t="shared" si="152"/>
        <v>Inefficient</v>
      </c>
      <c r="S1954" s="2" t="str">
        <f t="shared" si="153"/>
        <v>Very Long</v>
      </c>
      <c r="T1954" s="2" t="str">
        <f t="shared" si="154"/>
        <v>Major Delay</v>
      </c>
    </row>
    <row r="1955" spans="1:20" x14ac:dyDescent="0.35">
      <c r="A1955" s="2" t="s">
        <v>4093</v>
      </c>
      <c r="B1955" s="2" t="s">
        <v>24</v>
      </c>
      <c r="C1955" s="2" t="s">
        <v>4094</v>
      </c>
      <c r="D1955" s="2" t="s">
        <v>44</v>
      </c>
      <c r="E1955" s="2" t="s">
        <v>38</v>
      </c>
      <c r="F1955" s="2" t="s">
        <v>34</v>
      </c>
      <c r="G1955" s="2" t="s">
        <v>126</v>
      </c>
      <c r="H1955" s="3">
        <v>45296.534722222219</v>
      </c>
      <c r="I1955" s="3">
        <v>45296.69027777778</v>
      </c>
      <c r="J1955" s="2">
        <v>222</v>
      </c>
      <c r="K1955" s="2">
        <v>224</v>
      </c>
      <c r="L1955" s="2">
        <v>1</v>
      </c>
      <c r="M1955" s="2" t="s">
        <v>41</v>
      </c>
      <c r="N1955" s="2">
        <v>8</v>
      </c>
      <c r="O1955" s="2">
        <v>328.95</v>
      </c>
      <c r="P1955" s="2">
        <f t="shared" si="150"/>
        <v>2</v>
      </c>
      <c r="Q1955" s="4">
        <f t="shared" si="151"/>
        <v>0.9910714285714286</v>
      </c>
      <c r="R1955" s="2" t="str">
        <f t="shared" si="152"/>
        <v>Inefficient</v>
      </c>
      <c r="S1955" s="2" t="str">
        <f t="shared" si="153"/>
        <v>Very Long</v>
      </c>
      <c r="T1955" s="2" t="str">
        <f t="shared" si="154"/>
        <v>Minor Delay</v>
      </c>
    </row>
    <row r="1956" spans="1:20" x14ac:dyDescent="0.35">
      <c r="A1956" s="2" t="s">
        <v>4095</v>
      </c>
      <c r="B1956" s="2" t="s">
        <v>31</v>
      </c>
      <c r="C1956" s="2" t="s">
        <v>4096</v>
      </c>
      <c r="D1956" s="2" t="s">
        <v>48</v>
      </c>
      <c r="E1956" s="2" t="s">
        <v>38</v>
      </c>
      <c r="F1956" s="2" t="s">
        <v>57</v>
      </c>
      <c r="G1956" s="2" t="s">
        <v>185</v>
      </c>
      <c r="H1956" s="3">
        <v>45579.194444444445</v>
      </c>
      <c r="I1956" s="3">
        <v>45579.313194444447</v>
      </c>
      <c r="J1956" s="2">
        <v>95</v>
      </c>
      <c r="K1956" s="2">
        <v>171</v>
      </c>
      <c r="L1956" s="2">
        <v>1</v>
      </c>
      <c r="M1956" s="2" t="s">
        <v>29</v>
      </c>
      <c r="N1956" s="2">
        <v>7</v>
      </c>
      <c r="O1956" s="2">
        <v>219.52</v>
      </c>
      <c r="P1956" s="2">
        <f t="shared" si="150"/>
        <v>76</v>
      </c>
      <c r="Q1956" s="4">
        <f t="shared" si="151"/>
        <v>0.55555555555555558</v>
      </c>
      <c r="R1956" s="2" t="str">
        <f t="shared" si="152"/>
        <v>Inefficient</v>
      </c>
      <c r="S1956" s="2" t="str">
        <f t="shared" si="153"/>
        <v>Very Long</v>
      </c>
      <c r="T1956" s="2" t="str">
        <f t="shared" si="154"/>
        <v>Major Delay</v>
      </c>
    </row>
    <row r="1957" spans="1:20" x14ac:dyDescent="0.35">
      <c r="A1957" s="2" t="s">
        <v>4097</v>
      </c>
      <c r="B1957" s="2" t="s">
        <v>63</v>
      </c>
      <c r="C1957" s="2" t="s">
        <v>4098</v>
      </c>
      <c r="D1957" s="2" t="s">
        <v>18</v>
      </c>
      <c r="E1957" s="2" t="s">
        <v>33</v>
      </c>
      <c r="F1957" s="2" t="s">
        <v>34</v>
      </c>
      <c r="G1957" s="2" t="s">
        <v>231</v>
      </c>
      <c r="H1957" s="3">
        <v>45476.816666666666</v>
      </c>
      <c r="I1957" s="3">
        <v>45476.932638888888</v>
      </c>
      <c r="J1957" s="2">
        <v>150</v>
      </c>
      <c r="K1957" s="2">
        <v>167</v>
      </c>
      <c r="L1957" s="2">
        <v>1</v>
      </c>
      <c r="M1957" s="2" t="s">
        <v>41</v>
      </c>
      <c r="N1957" s="2">
        <v>8</v>
      </c>
      <c r="O1957" s="2">
        <v>261.73</v>
      </c>
      <c r="P1957" s="2">
        <f t="shared" si="150"/>
        <v>17</v>
      </c>
      <c r="Q1957" s="4">
        <f t="shared" si="151"/>
        <v>0.89820359281437123</v>
      </c>
      <c r="R1957" s="2" t="str">
        <f t="shared" si="152"/>
        <v>Inefficient</v>
      </c>
      <c r="S1957" s="2" t="str">
        <f t="shared" si="153"/>
        <v>Very Long</v>
      </c>
      <c r="T1957" s="2" t="str">
        <f t="shared" si="154"/>
        <v>Minor Delay</v>
      </c>
    </row>
    <row r="1958" spans="1:20" x14ac:dyDescent="0.35">
      <c r="A1958" s="2" t="s">
        <v>4099</v>
      </c>
      <c r="B1958" s="2" t="s">
        <v>63</v>
      </c>
      <c r="C1958" s="2" t="s">
        <v>4100</v>
      </c>
      <c r="D1958" s="2" t="s">
        <v>26</v>
      </c>
      <c r="E1958" s="2" t="s">
        <v>33</v>
      </c>
      <c r="F1958" s="2" t="s">
        <v>39</v>
      </c>
      <c r="G1958" s="2" t="s">
        <v>152</v>
      </c>
      <c r="H1958" s="3">
        <v>45537.785416666666</v>
      </c>
      <c r="I1958" s="3">
        <v>45537.84652777778</v>
      </c>
      <c r="J1958" s="2">
        <v>33</v>
      </c>
      <c r="K1958" s="2">
        <v>88</v>
      </c>
      <c r="L1958" s="2">
        <v>1</v>
      </c>
      <c r="M1958" s="2" t="s">
        <v>29</v>
      </c>
      <c r="N1958" s="2">
        <v>5</v>
      </c>
      <c r="O1958" s="2">
        <v>428.58</v>
      </c>
      <c r="P1958" s="2">
        <f t="shared" si="150"/>
        <v>55</v>
      </c>
      <c r="Q1958" s="4">
        <f t="shared" si="151"/>
        <v>0.375</v>
      </c>
      <c r="R1958" s="2" t="str">
        <f t="shared" si="152"/>
        <v>Inefficient</v>
      </c>
      <c r="S1958" s="2" t="str">
        <f t="shared" si="153"/>
        <v>Long</v>
      </c>
      <c r="T1958" s="2" t="str">
        <f t="shared" si="154"/>
        <v>Major Delay</v>
      </c>
    </row>
    <row r="1959" spans="1:20" x14ac:dyDescent="0.35">
      <c r="A1959" s="2" t="s">
        <v>4101</v>
      </c>
      <c r="B1959" s="2" t="s">
        <v>63</v>
      </c>
      <c r="C1959" s="2" t="s">
        <v>4102</v>
      </c>
      <c r="D1959" s="2" t="s">
        <v>18</v>
      </c>
      <c r="E1959" s="2" t="s">
        <v>33</v>
      </c>
      <c r="F1959" s="2" t="s">
        <v>20</v>
      </c>
      <c r="G1959" s="2" t="s">
        <v>234</v>
      </c>
      <c r="H1959" s="3">
        <v>45449.982638888891</v>
      </c>
      <c r="I1959" s="3">
        <v>45450.072222222225</v>
      </c>
      <c r="J1959" s="2">
        <v>46</v>
      </c>
      <c r="K1959" s="2">
        <v>129</v>
      </c>
      <c r="L1959" s="2">
        <v>1</v>
      </c>
      <c r="M1959" s="2" t="s">
        <v>22</v>
      </c>
      <c r="N1959" s="2">
        <v>8</v>
      </c>
      <c r="O1959" s="2">
        <v>275.95999999999998</v>
      </c>
      <c r="P1959" s="2">
        <f t="shared" si="150"/>
        <v>83</v>
      </c>
      <c r="Q1959" s="4">
        <f t="shared" si="151"/>
        <v>0.35658914728682173</v>
      </c>
      <c r="R1959" s="2" t="str">
        <f t="shared" si="152"/>
        <v>Inefficient</v>
      </c>
      <c r="S1959" s="2" t="str">
        <f t="shared" si="153"/>
        <v>Very Long</v>
      </c>
      <c r="T1959" s="2" t="str">
        <f t="shared" si="154"/>
        <v>Major Delay</v>
      </c>
    </row>
    <row r="1960" spans="1:20" x14ac:dyDescent="0.35">
      <c r="A1960" s="2" t="s">
        <v>4103</v>
      </c>
      <c r="B1960" s="2" t="s">
        <v>31</v>
      </c>
      <c r="C1960" s="2" t="s">
        <v>4104</v>
      </c>
      <c r="D1960" s="2" t="s">
        <v>18</v>
      </c>
      <c r="E1960" s="2" t="s">
        <v>19</v>
      </c>
      <c r="F1960" s="2" t="s">
        <v>39</v>
      </c>
      <c r="G1960" s="2" t="s">
        <v>462</v>
      </c>
      <c r="H1960" s="3">
        <v>45528.772916666669</v>
      </c>
      <c r="I1960" s="3">
        <v>45528.943749999999</v>
      </c>
      <c r="J1960" s="2">
        <v>126</v>
      </c>
      <c r="K1960" s="2">
        <v>246</v>
      </c>
      <c r="L1960" s="2">
        <v>1</v>
      </c>
      <c r="M1960" s="2" t="s">
        <v>29</v>
      </c>
      <c r="N1960" s="2">
        <v>3</v>
      </c>
      <c r="O1960" s="2">
        <v>79.849999999999994</v>
      </c>
      <c r="P1960" s="2">
        <f t="shared" si="150"/>
        <v>120</v>
      </c>
      <c r="Q1960" s="4">
        <f t="shared" si="151"/>
        <v>0.51219512195121952</v>
      </c>
      <c r="R1960" s="2" t="str">
        <f t="shared" si="152"/>
        <v>Inefficient</v>
      </c>
      <c r="S1960" s="2" t="str">
        <f t="shared" si="153"/>
        <v>Very Long</v>
      </c>
      <c r="T1960" s="2" t="str">
        <f t="shared" si="154"/>
        <v>Major Delay</v>
      </c>
    </row>
    <row r="1961" spans="1:20" x14ac:dyDescent="0.35">
      <c r="A1961" s="2" t="s">
        <v>4105</v>
      </c>
      <c r="B1961" s="2" t="s">
        <v>63</v>
      </c>
      <c r="C1961" s="2" t="s">
        <v>4106</v>
      </c>
      <c r="D1961" s="2" t="s">
        <v>18</v>
      </c>
      <c r="E1961" s="2" t="s">
        <v>38</v>
      </c>
      <c r="F1961" s="2" t="s">
        <v>34</v>
      </c>
      <c r="G1961" s="2" t="s">
        <v>35</v>
      </c>
      <c r="H1961" s="3">
        <v>45329.522916666669</v>
      </c>
      <c r="I1961" s="3">
        <v>45329.722222222219</v>
      </c>
      <c r="J1961" s="2">
        <v>197</v>
      </c>
      <c r="K1961" s="2">
        <v>287</v>
      </c>
      <c r="L1961" s="2">
        <v>1</v>
      </c>
      <c r="M1961" s="2" t="s">
        <v>41</v>
      </c>
      <c r="N1961" s="2">
        <v>3</v>
      </c>
      <c r="O1961" s="2">
        <v>173.67</v>
      </c>
      <c r="P1961" s="2">
        <f t="shared" si="150"/>
        <v>90</v>
      </c>
      <c r="Q1961" s="4">
        <f t="shared" si="151"/>
        <v>0.68641114982578399</v>
      </c>
      <c r="R1961" s="2" t="str">
        <f t="shared" si="152"/>
        <v>Inefficient</v>
      </c>
      <c r="S1961" s="2" t="str">
        <f t="shared" si="153"/>
        <v>Very Long</v>
      </c>
      <c r="T1961" s="2" t="str">
        <f t="shared" si="154"/>
        <v>Major Delay</v>
      </c>
    </row>
    <row r="1962" spans="1:20" x14ac:dyDescent="0.35">
      <c r="A1962" s="2" t="s">
        <v>4107</v>
      </c>
      <c r="B1962" s="2" t="s">
        <v>16</v>
      </c>
      <c r="C1962" s="2" t="s">
        <v>4108</v>
      </c>
      <c r="D1962" s="2" t="s">
        <v>44</v>
      </c>
      <c r="E1962" s="2" t="s">
        <v>85</v>
      </c>
      <c r="F1962" s="2" t="s">
        <v>34</v>
      </c>
      <c r="G1962" s="2" t="s">
        <v>191</v>
      </c>
      <c r="H1962" s="3">
        <v>45440.769444444442</v>
      </c>
      <c r="I1962" s="3">
        <v>45440.921527777777</v>
      </c>
      <c r="J1962" s="2">
        <v>203</v>
      </c>
      <c r="K1962" s="2">
        <v>219</v>
      </c>
      <c r="L1962" s="2">
        <v>1</v>
      </c>
      <c r="M1962" s="2" t="s">
        <v>41</v>
      </c>
      <c r="N1962" s="2">
        <v>2</v>
      </c>
      <c r="O1962" s="2">
        <v>464.42</v>
      </c>
      <c r="P1962" s="2">
        <f t="shared" si="150"/>
        <v>16</v>
      </c>
      <c r="Q1962" s="4">
        <f t="shared" si="151"/>
        <v>0.9269406392694064</v>
      </c>
      <c r="R1962" s="2" t="str">
        <f t="shared" si="152"/>
        <v>Inefficient</v>
      </c>
      <c r="S1962" s="2" t="str">
        <f t="shared" si="153"/>
        <v>Very Long</v>
      </c>
      <c r="T1962" s="2" t="str">
        <f t="shared" si="154"/>
        <v>Minor Delay</v>
      </c>
    </row>
    <row r="1963" spans="1:20" x14ac:dyDescent="0.35">
      <c r="A1963" s="2" t="s">
        <v>4109</v>
      </c>
      <c r="B1963" s="2" t="s">
        <v>24</v>
      </c>
      <c r="C1963" s="2" t="s">
        <v>4110</v>
      </c>
      <c r="D1963" s="2" t="s">
        <v>48</v>
      </c>
      <c r="E1963" s="2" t="s">
        <v>19</v>
      </c>
      <c r="F1963" s="2" t="s">
        <v>57</v>
      </c>
      <c r="G1963" s="2" t="s">
        <v>782</v>
      </c>
      <c r="H1963" s="3">
        <v>45342.698611111111</v>
      </c>
      <c r="I1963" s="3">
        <v>45342.831944444442</v>
      </c>
      <c r="J1963" s="2">
        <v>132</v>
      </c>
      <c r="K1963" s="2">
        <v>192</v>
      </c>
      <c r="L1963" s="2">
        <v>1</v>
      </c>
      <c r="M1963" s="2" t="s">
        <v>29</v>
      </c>
      <c r="N1963" s="2">
        <v>1</v>
      </c>
      <c r="O1963" s="2">
        <v>266.27</v>
      </c>
      <c r="P1963" s="2">
        <f t="shared" si="150"/>
        <v>60</v>
      </c>
      <c r="Q1963" s="4">
        <f t="shared" si="151"/>
        <v>0.6875</v>
      </c>
      <c r="R1963" s="2" t="str">
        <f t="shared" si="152"/>
        <v>Inefficient</v>
      </c>
      <c r="S1963" s="2" t="str">
        <f t="shared" si="153"/>
        <v>Very Long</v>
      </c>
      <c r="T1963" s="2" t="str">
        <f t="shared" si="154"/>
        <v>Major Delay</v>
      </c>
    </row>
    <row r="1964" spans="1:20" x14ac:dyDescent="0.35">
      <c r="A1964" s="2" t="s">
        <v>4111</v>
      </c>
      <c r="B1964" s="2" t="s">
        <v>51</v>
      </c>
      <c r="C1964" s="2" t="s">
        <v>4112</v>
      </c>
      <c r="D1964" s="2" t="s">
        <v>56</v>
      </c>
      <c r="E1964" s="2" t="s">
        <v>19</v>
      </c>
      <c r="F1964" s="2" t="s">
        <v>39</v>
      </c>
      <c r="G1964" s="2" t="s">
        <v>330</v>
      </c>
      <c r="H1964" s="3">
        <v>45440.174305555556</v>
      </c>
      <c r="I1964" s="3">
        <v>45440.282638888886</v>
      </c>
      <c r="J1964" s="2">
        <v>94</v>
      </c>
      <c r="K1964" s="2">
        <v>156</v>
      </c>
      <c r="L1964" s="2">
        <v>1</v>
      </c>
      <c r="M1964" s="2" t="s">
        <v>22</v>
      </c>
      <c r="N1964" s="2">
        <v>2</v>
      </c>
      <c r="O1964" s="2">
        <v>87.98</v>
      </c>
      <c r="P1964" s="2">
        <f t="shared" si="150"/>
        <v>62</v>
      </c>
      <c r="Q1964" s="4">
        <f t="shared" si="151"/>
        <v>0.60256410256410253</v>
      </c>
      <c r="R1964" s="2" t="str">
        <f t="shared" si="152"/>
        <v>Inefficient</v>
      </c>
      <c r="S1964" s="2" t="str">
        <f t="shared" si="153"/>
        <v>Very Long</v>
      </c>
      <c r="T1964" s="2" t="str">
        <f t="shared" si="154"/>
        <v>Major Delay</v>
      </c>
    </row>
    <row r="1965" spans="1:20" x14ac:dyDescent="0.35">
      <c r="A1965" s="2" t="s">
        <v>4113</v>
      </c>
      <c r="B1965" s="2" t="s">
        <v>63</v>
      </c>
      <c r="C1965" s="2" t="s">
        <v>4114</v>
      </c>
      <c r="D1965" s="2" t="s">
        <v>18</v>
      </c>
      <c r="E1965" s="2" t="s">
        <v>19</v>
      </c>
      <c r="F1965" s="2" t="s">
        <v>57</v>
      </c>
      <c r="G1965" s="2" t="s">
        <v>126</v>
      </c>
      <c r="H1965" s="3">
        <v>45440.580555555556</v>
      </c>
      <c r="I1965" s="3">
        <v>45440.761111111111</v>
      </c>
      <c r="J1965" s="2">
        <v>166</v>
      </c>
      <c r="K1965" s="2">
        <v>260</v>
      </c>
      <c r="L1965" s="2">
        <v>1</v>
      </c>
      <c r="M1965" s="2" t="s">
        <v>41</v>
      </c>
      <c r="N1965" s="2">
        <v>6</v>
      </c>
      <c r="O1965" s="2">
        <v>135.94</v>
      </c>
      <c r="P1965" s="2">
        <f t="shared" si="150"/>
        <v>94</v>
      </c>
      <c r="Q1965" s="4">
        <f t="shared" si="151"/>
        <v>0.63846153846153841</v>
      </c>
      <c r="R1965" s="2" t="str">
        <f t="shared" si="152"/>
        <v>Inefficient</v>
      </c>
      <c r="S1965" s="2" t="str">
        <f t="shared" si="153"/>
        <v>Very Long</v>
      </c>
      <c r="T1965" s="2" t="str">
        <f t="shared" si="154"/>
        <v>Major Delay</v>
      </c>
    </row>
    <row r="1966" spans="1:20" x14ac:dyDescent="0.35">
      <c r="A1966" s="2" t="s">
        <v>4115</v>
      </c>
      <c r="B1966" s="2" t="s">
        <v>16</v>
      </c>
      <c r="C1966" s="2" t="s">
        <v>4116</v>
      </c>
      <c r="D1966" s="2" t="s">
        <v>44</v>
      </c>
      <c r="E1966" s="2" t="s">
        <v>19</v>
      </c>
      <c r="F1966" s="2" t="s">
        <v>57</v>
      </c>
      <c r="G1966" s="2" t="s">
        <v>500</v>
      </c>
      <c r="H1966" s="3">
        <v>45340.357638888891</v>
      </c>
      <c r="I1966" s="3">
        <v>45340.500694444447</v>
      </c>
      <c r="J1966" s="2">
        <v>97</v>
      </c>
      <c r="K1966" s="2">
        <v>206</v>
      </c>
      <c r="L1966" s="2">
        <v>1</v>
      </c>
      <c r="M1966" s="2" t="s">
        <v>41</v>
      </c>
      <c r="N1966" s="2">
        <v>9</v>
      </c>
      <c r="O1966" s="2">
        <v>373.72</v>
      </c>
      <c r="P1966" s="2">
        <f t="shared" si="150"/>
        <v>109</v>
      </c>
      <c r="Q1966" s="4">
        <f t="shared" si="151"/>
        <v>0.470873786407767</v>
      </c>
      <c r="R1966" s="2" t="str">
        <f t="shared" si="152"/>
        <v>Inefficient</v>
      </c>
      <c r="S1966" s="2" t="str">
        <f t="shared" si="153"/>
        <v>Very Long</v>
      </c>
      <c r="T1966" s="2" t="str">
        <f t="shared" si="154"/>
        <v>Major Delay</v>
      </c>
    </row>
    <row r="1967" spans="1:20" x14ac:dyDescent="0.35">
      <c r="A1967" s="2" t="s">
        <v>4117</v>
      </c>
      <c r="B1967" s="2" t="s">
        <v>63</v>
      </c>
      <c r="C1967" s="2" t="s">
        <v>4118</v>
      </c>
      <c r="D1967" s="2" t="s">
        <v>18</v>
      </c>
      <c r="E1967" s="2" t="s">
        <v>19</v>
      </c>
      <c r="F1967" s="2" t="s">
        <v>57</v>
      </c>
      <c r="G1967" s="2" t="s">
        <v>61</v>
      </c>
      <c r="H1967" s="3">
        <v>45615.688888888886</v>
      </c>
      <c r="I1967" s="3">
        <v>45615.859027777777</v>
      </c>
      <c r="J1967" s="2">
        <v>146</v>
      </c>
      <c r="K1967" s="2">
        <v>245</v>
      </c>
      <c r="L1967" s="2">
        <v>1</v>
      </c>
      <c r="M1967" s="2" t="s">
        <v>41</v>
      </c>
      <c r="N1967" s="2">
        <v>7</v>
      </c>
      <c r="O1967" s="2">
        <v>138.56</v>
      </c>
      <c r="P1967" s="2">
        <f t="shared" si="150"/>
        <v>99</v>
      </c>
      <c r="Q1967" s="4">
        <f t="shared" si="151"/>
        <v>0.59591836734693882</v>
      </c>
      <c r="R1967" s="2" t="str">
        <f t="shared" si="152"/>
        <v>Inefficient</v>
      </c>
      <c r="S1967" s="2" t="str">
        <f t="shared" si="153"/>
        <v>Very Long</v>
      </c>
      <c r="T1967" s="2" t="str">
        <f t="shared" si="154"/>
        <v>Major Delay</v>
      </c>
    </row>
    <row r="1968" spans="1:20" x14ac:dyDescent="0.35">
      <c r="A1968" s="2" t="s">
        <v>4119</v>
      </c>
      <c r="B1968" s="2" t="s">
        <v>31</v>
      </c>
      <c r="C1968" s="2" t="s">
        <v>4120</v>
      </c>
      <c r="D1968" s="2" t="s">
        <v>56</v>
      </c>
      <c r="E1968" s="2" t="s">
        <v>85</v>
      </c>
      <c r="F1968" s="2" t="s">
        <v>57</v>
      </c>
      <c r="G1968" s="2" t="s">
        <v>299</v>
      </c>
      <c r="H1968" s="3">
        <v>45355.640277777777</v>
      </c>
      <c r="I1968" s="3">
        <v>45355.886111111111</v>
      </c>
      <c r="J1968" s="2">
        <v>237</v>
      </c>
      <c r="K1968" s="2">
        <v>354</v>
      </c>
      <c r="L1968" s="2">
        <v>1</v>
      </c>
      <c r="M1968" s="2" t="s">
        <v>29</v>
      </c>
      <c r="N1968" s="2">
        <v>10</v>
      </c>
      <c r="O1968" s="2">
        <v>258.76</v>
      </c>
      <c r="P1968" s="2">
        <f t="shared" si="150"/>
        <v>117</v>
      </c>
      <c r="Q1968" s="4">
        <f t="shared" si="151"/>
        <v>0.66949152542372881</v>
      </c>
      <c r="R1968" s="2" t="str">
        <f t="shared" si="152"/>
        <v>Inefficient</v>
      </c>
      <c r="S1968" s="2" t="str">
        <f t="shared" si="153"/>
        <v>Very Long</v>
      </c>
      <c r="T1968" s="2" t="str">
        <f t="shared" si="154"/>
        <v>Major Delay</v>
      </c>
    </row>
    <row r="1969" spans="1:20" x14ac:dyDescent="0.35">
      <c r="A1969" s="2" t="s">
        <v>4121</v>
      </c>
      <c r="B1969" s="2" t="s">
        <v>63</v>
      </c>
      <c r="C1969" s="2" t="s">
        <v>4122</v>
      </c>
      <c r="D1969" s="2" t="s">
        <v>26</v>
      </c>
      <c r="E1969" s="2" t="s">
        <v>38</v>
      </c>
      <c r="F1969" s="2" t="s">
        <v>57</v>
      </c>
      <c r="G1969" s="2" t="s">
        <v>684</v>
      </c>
      <c r="H1969" s="3">
        <v>45641.77847222222</v>
      </c>
      <c r="I1969" s="3">
        <v>45641.822916666664</v>
      </c>
      <c r="J1969" s="2">
        <v>42</v>
      </c>
      <c r="K1969" s="2">
        <v>64</v>
      </c>
      <c r="L1969" s="2">
        <v>1</v>
      </c>
      <c r="M1969" s="2" t="s">
        <v>41</v>
      </c>
      <c r="N1969" s="2">
        <v>10</v>
      </c>
      <c r="O1969" s="2">
        <v>170.86</v>
      </c>
      <c r="P1969" s="2">
        <f t="shared" si="150"/>
        <v>22</v>
      </c>
      <c r="Q1969" s="4">
        <f t="shared" si="151"/>
        <v>0.65625</v>
      </c>
      <c r="R1969" s="2" t="str">
        <f t="shared" si="152"/>
        <v>Inefficient</v>
      </c>
      <c r="S1969" s="2" t="str">
        <f t="shared" si="153"/>
        <v>Long</v>
      </c>
      <c r="T1969" s="2" t="str">
        <f t="shared" si="154"/>
        <v>Minor Delay</v>
      </c>
    </row>
    <row r="1970" spans="1:20" x14ac:dyDescent="0.35">
      <c r="A1970" s="2" t="s">
        <v>4123</v>
      </c>
      <c r="B1970" s="2" t="s">
        <v>51</v>
      </c>
      <c r="C1970" s="2" t="s">
        <v>4124</v>
      </c>
      <c r="D1970" s="2" t="s">
        <v>44</v>
      </c>
      <c r="E1970" s="2" t="s">
        <v>85</v>
      </c>
      <c r="F1970" s="2" t="s">
        <v>57</v>
      </c>
      <c r="G1970" s="2" t="s">
        <v>140</v>
      </c>
      <c r="H1970" s="3">
        <v>45530.930555555555</v>
      </c>
      <c r="I1970" s="3">
        <v>45531.101388888892</v>
      </c>
      <c r="J1970" s="2">
        <v>188</v>
      </c>
      <c r="K1970" s="2">
        <v>246</v>
      </c>
      <c r="L1970" s="2">
        <v>1</v>
      </c>
      <c r="M1970" s="2" t="s">
        <v>22</v>
      </c>
      <c r="N1970" s="2">
        <v>4</v>
      </c>
      <c r="O1970" s="2">
        <v>258.86</v>
      </c>
      <c r="P1970" s="2">
        <f t="shared" si="150"/>
        <v>58</v>
      </c>
      <c r="Q1970" s="4">
        <f t="shared" si="151"/>
        <v>0.76422764227642281</v>
      </c>
      <c r="R1970" s="2" t="str">
        <f t="shared" si="152"/>
        <v>Inefficient</v>
      </c>
      <c r="S1970" s="2" t="str">
        <f t="shared" si="153"/>
        <v>Very Long</v>
      </c>
      <c r="T1970" s="2" t="str">
        <f t="shared" si="154"/>
        <v>Major Delay</v>
      </c>
    </row>
    <row r="1971" spans="1:20" x14ac:dyDescent="0.35">
      <c r="A1971" s="2" t="s">
        <v>4125</v>
      </c>
      <c r="B1971" s="2" t="s">
        <v>16</v>
      </c>
      <c r="C1971" s="2" t="s">
        <v>4126</v>
      </c>
      <c r="D1971" s="2" t="s">
        <v>56</v>
      </c>
      <c r="E1971" s="2" t="s">
        <v>85</v>
      </c>
      <c r="F1971" s="2" t="s">
        <v>20</v>
      </c>
      <c r="G1971" s="2" t="s">
        <v>445</v>
      </c>
      <c r="H1971" s="3">
        <v>45359.795138888891</v>
      </c>
      <c r="I1971" s="3">
        <v>45359.964583333334</v>
      </c>
      <c r="J1971" s="2">
        <v>234</v>
      </c>
      <c r="K1971" s="2">
        <v>244</v>
      </c>
      <c r="L1971" s="2">
        <v>1</v>
      </c>
      <c r="M1971" s="2" t="s">
        <v>22</v>
      </c>
      <c r="N1971" s="2">
        <v>2</v>
      </c>
      <c r="O1971" s="2">
        <v>369.89</v>
      </c>
      <c r="P1971" s="2">
        <f t="shared" si="150"/>
        <v>10</v>
      </c>
      <c r="Q1971" s="4">
        <f t="shared" si="151"/>
        <v>0.95901639344262291</v>
      </c>
      <c r="R1971" s="2" t="str">
        <f t="shared" si="152"/>
        <v>Inefficient</v>
      </c>
      <c r="S1971" s="2" t="str">
        <f t="shared" si="153"/>
        <v>Very Long</v>
      </c>
      <c r="T1971" s="2" t="str">
        <f t="shared" si="154"/>
        <v>Minor Delay</v>
      </c>
    </row>
    <row r="1972" spans="1:20" x14ac:dyDescent="0.35">
      <c r="A1972" s="2" t="s">
        <v>4127</v>
      </c>
      <c r="B1972" s="2" t="s">
        <v>24</v>
      </c>
      <c r="C1972" s="2" t="s">
        <v>4128</v>
      </c>
      <c r="D1972" s="2" t="s">
        <v>56</v>
      </c>
      <c r="E1972" s="2" t="s">
        <v>85</v>
      </c>
      <c r="F1972" s="2" t="s">
        <v>39</v>
      </c>
      <c r="G1972" s="2" t="s">
        <v>311</v>
      </c>
      <c r="H1972" s="3">
        <v>45575.457638888889</v>
      </c>
      <c r="I1972" s="3">
        <v>45575.536111111112</v>
      </c>
      <c r="J1972" s="2">
        <v>114</v>
      </c>
      <c r="K1972" s="2">
        <v>113</v>
      </c>
      <c r="L1972" s="2">
        <v>0</v>
      </c>
      <c r="M1972" s="2" t="s">
        <v>29</v>
      </c>
      <c r="N1972" s="2">
        <v>7</v>
      </c>
      <c r="O1972" s="2">
        <v>452.75</v>
      </c>
      <c r="P1972" s="2">
        <f t="shared" si="150"/>
        <v>-1</v>
      </c>
      <c r="Q1972" s="4">
        <f t="shared" si="151"/>
        <v>1.0088495575221239</v>
      </c>
      <c r="R1972" s="2" t="str">
        <f t="shared" si="152"/>
        <v>Efficient</v>
      </c>
      <c r="S1972" s="2" t="str">
        <f t="shared" si="153"/>
        <v>Long</v>
      </c>
      <c r="T1972" s="2" t="str">
        <f t="shared" si="154"/>
        <v>On Time</v>
      </c>
    </row>
    <row r="1973" spans="1:20" x14ac:dyDescent="0.35">
      <c r="A1973" s="2" t="s">
        <v>4129</v>
      </c>
      <c r="B1973" s="2" t="s">
        <v>16</v>
      </c>
      <c r="C1973" s="2" t="s">
        <v>4130</v>
      </c>
      <c r="D1973" s="2" t="s">
        <v>48</v>
      </c>
      <c r="E1973" s="2" t="s">
        <v>19</v>
      </c>
      <c r="F1973" s="2" t="s">
        <v>34</v>
      </c>
      <c r="G1973" s="2" t="s">
        <v>82</v>
      </c>
      <c r="H1973" s="3">
        <v>45457.893750000003</v>
      </c>
      <c r="I1973" s="3">
        <v>45458.022916666669</v>
      </c>
      <c r="J1973" s="2">
        <v>112</v>
      </c>
      <c r="K1973" s="2">
        <v>186</v>
      </c>
      <c r="L1973" s="2">
        <v>1</v>
      </c>
      <c r="M1973" s="2" t="s">
        <v>29</v>
      </c>
      <c r="N1973" s="2">
        <v>5</v>
      </c>
      <c r="O1973" s="2">
        <v>324.07</v>
      </c>
      <c r="P1973" s="2">
        <f t="shared" si="150"/>
        <v>74</v>
      </c>
      <c r="Q1973" s="4">
        <f t="shared" si="151"/>
        <v>0.60215053763440862</v>
      </c>
      <c r="R1973" s="2" t="str">
        <f t="shared" si="152"/>
        <v>Inefficient</v>
      </c>
      <c r="S1973" s="2" t="str">
        <f t="shared" si="153"/>
        <v>Very Long</v>
      </c>
      <c r="T1973" s="2" t="str">
        <f t="shared" si="154"/>
        <v>Major Delay</v>
      </c>
    </row>
    <row r="1974" spans="1:20" x14ac:dyDescent="0.35">
      <c r="A1974" s="2" t="s">
        <v>4131</v>
      </c>
      <c r="B1974" s="2" t="s">
        <v>16</v>
      </c>
      <c r="C1974" s="2" t="s">
        <v>4132</v>
      </c>
      <c r="D1974" s="2" t="s">
        <v>26</v>
      </c>
      <c r="E1974" s="2" t="s">
        <v>19</v>
      </c>
      <c r="F1974" s="2" t="s">
        <v>20</v>
      </c>
      <c r="G1974" s="2" t="s">
        <v>170</v>
      </c>
      <c r="H1974" s="3">
        <v>45388.844444444447</v>
      </c>
      <c r="I1974" s="3">
        <v>45388.909722222219</v>
      </c>
      <c r="J1974" s="2">
        <v>97</v>
      </c>
      <c r="K1974" s="2">
        <v>94</v>
      </c>
      <c r="L1974" s="2">
        <v>0</v>
      </c>
      <c r="M1974" s="2" t="s">
        <v>29</v>
      </c>
      <c r="N1974" s="2">
        <v>7</v>
      </c>
      <c r="O1974" s="2">
        <v>298.56</v>
      </c>
      <c r="P1974" s="2">
        <f t="shared" si="150"/>
        <v>-3</v>
      </c>
      <c r="Q1974" s="4">
        <f t="shared" si="151"/>
        <v>1.0319148936170213</v>
      </c>
      <c r="R1974" s="2" t="str">
        <f t="shared" si="152"/>
        <v>Efficient</v>
      </c>
      <c r="S1974" s="2" t="str">
        <f t="shared" si="153"/>
        <v>Long</v>
      </c>
      <c r="T1974" s="2" t="str">
        <f t="shared" si="154"/>
        <v>On Time</v>
      </c>
    </row>
    <row r="1975" spans="1:20" x14ac:dyDescent="0.35">
      <c r="A1975" s="2" t="s">
        <v>4133</v>
      </c>
      <c r="B1975" s="2" t="s">
        <v>16</v>
      </c>
      <c r="C1975" s="2" t="s">
        <v>4134</v>
      </c>
      <c r="D1975" s="2" t="s">
        <v>44</v>
      </c>
      <c r="E1975" s="2" t="s">
        <v>33</v>
      </c>
      <c r="F1975" s="2" t="s">
        <v>57</v>
      </c>
      <c r="G1975" s="2" t="s">
        <v>82</v>
      </c>
      <c r="H1975" s="3">
        <v>45391.543055555558</v>
      </c>
      <c r="I1975" s="3">
        <v>45391.724999999999</v>
      </c>
      <c r="J1975" s="2">
        <v>156</v>
      </c>
      <c r="K1975" s="2">
        <v>262</v>
      </c>
      <c r="L1975" s="2">
        <v>1</v>
      </c>
      <c r="M1975" s="2" t="s">
        <v>29</v>
      </c>
      <c r="N1975" s="2">
        <v>10</v>
      </c>
      <c r="O1975" s="2">
        <v>432.97</v>
      </c>
      <c r="P1975" s="2">
        <f t="shared" si="150"/>
        <v>106</v>
      </c>
      <c r="Q1975" s="4">
        <f t="shared" si="151"/>
        <v>0.59541984732824427</v>
      </c>
      <c r="R1975" s="2" t="str">
        <f t="shared" si="152"/>
        <v>Inefficient</v>
      </c>
      <c r="S1975" s="2" t="str">
        <f t="shared" si="153"/>
        <v>Very Long</v>
      </c>
      <c r="T1975" s="2" t="str">
        <f t="shared" si="154"/>
        <v>Major Delay</v>
      </c>
    </row>
    <row r="1976" spans="1:20" x14ac:dyDescent="0.35">
      <c r="A1976" s="2" t="s">
        <v>4135</v>
      </c>
      <c r="B1976" s="2" t="s">
        <v>24</v>
      </c>
      <c r="C1976" s="2" t="s">
        <v>4136</v>
      </c>
      <c r="D1976" s="2" t="s">
        <v>56</v>
      </c>
      <c r="E1976" s="2" t="s">
        <v>38</v>
      </c>
      <c r="F1976" s="2" t="s">
        <v>20</v>
      </c>
      <c r="G1976" s="2" t="s">
        <v>427</v>
      </c>
      <c r="H1976" s="3">
        <v>45399.118055555555</v>
      </c>
      <c r="I1976" s="3">
        <v>45399.30972222222</v>
      </c>
      <c r="J1976" s="2">
        <v>156</v>
      </c>
      <c r="K1976" s="2">
        <v>276</v>
      </c>
      <c r="L1976" s="2">
        <v>1</v>
      </c>
      <c r="M1976" s="2" t="s">
        <v>22</v>
      </c>
      <c r="N1976" s="2">
        <v>3</v>
      </c>
      <c r="O1976" s="2">
        <v>448.35</v>
      </c>
      <c r="P1976" s="2">
        <f t="shared" si="150"/>
        <v>120</v>
      </c>
      <c r="Q1976" s="4">
        <f t="shared" si="151"/>
        <v>0.56521739130434778</v>
      </c>
      <c r="R1976" s="2" t="str">
        <f t="shared" si="152"/>
        <v>Inefficient</v>
      </c>
      <c r="S1976" s="2" t="str">
        <f t="shared" si="153"/>
        <v>Very Long</v>
      </c>
      <c r="T1976" s="2" t="str">
        <f t="shared" si="154"/>
        <v>Major Delay</v>
      </c>
    </row>
    <row r="1977" spans="1:20" x14ac:dyDescent="0.35">
      <c r="A1977" s="2" t="s">
        <v>4137</v>
      </c>
      <c r="B1977" s="2" t="s">
        <v>24</v>
      </c>
      <c r="C1977" s="2" t="s">
        <v>4138</v>
      </c>
      <c r="D1977" s="2" t="s">
        <v>56</v>
      </c>
      <c r="E1977" s="2" t="s">
        <v>38</v>
      </c>
      <c r="F1977" s="2" t="s">
        <v>20</v>
      </c>
      <c r="G1977" s="2" t="s">
        <v>103</v>
      </c>
      <c r="H1977" s="3">
        <v>45559.24722222222</v>
      </c>
      <c r="I1977" s="3">
        <v>45559.304166666669</v>
      </c>
      <c r="J1977" s="2">
        <v>37</v>
      </c>
      <c r="K1977" s="2">
        <v>82</v>
      </c>
      <c r="L1977" s="2">
        <v>1</v>
      </c>
      <c r="M1977" s="2" t="s">
        <v>29</v>
      </c>
      <c r="N1977" s="2">
        <v>9</v>
      </c>
      <c r="O1977" s="2">
        <v>393.88</v>
      </c>
      <c r="P1977" s="2">
        <f t="shared" si="150"/>
        <v>45</v>
      </c>
      <c r="Q1977" s="4">
        <f t="shared" si="151"/>
        <v>0.45121951219512196</v>
      </c>
      <c r="R1977" s="2" t="str">
        <f t="shared" si="152"/>
        <v>Inefficient</v>
      </c>
      <c r="S1977" s="2" t="str">
        <f t="shared" si="153"/>
        <v>Long</v>
      </c>
      <c r="T1977" s="2" t="str">
        <f t="shared" si="154"/>
        <v>Major Delay</v>
      </c>
    </row>
    <row r="1978" spans="1:20" x14ac:dyDescent="0.35">
      <c r="A1978" s="2" t="s">
        <v>4139</v>
      </c>
      <c r="B1978" s="2" t="s">
        <v>16</v>
      </c>
      <c r="C1978" s="2" t="s">
        <v>4140</v>
      </c>
      <c r="D1978" s="2" t="s">
        <v>56</v>
      </c>
      <c r="E1978" s="2" t="s">
        <v>19</v>
      </c>
      <c r="F1978" s="2" t="s">
        <v>39</v>
      </c>
      <c r="G1978" s="2" t="s">
        <v>173</v>
      </c>
      <c r="H1978" s="3">
        <v>45428.622916666667</v>
      </c>
      <c r="I1978" s="3">
        <v>45428.686111111114</v>
      </c>
      <c r="J1978" s="2">
        <v>17</v>
      </c>
      <c r="K1978" s="2">
        <v>91</v>
      </c>
      <c r="L1978" s="2">
        <v>1</v>
      </c>
      <c r="M1978" s="2" t="s">
        <v>29</v>
      </c>
      <c r="N1978" s="2">
        <v>9</v>
      </c>
      <c r="O1978" s="2">
        <v>59.35</v>
      </c>
      <c r="P1978" s="2">
        <f t="shared" si="150"/>
        <v>74</v>
      </c>
      <c r="Q1978" s="4">
        <f t="shared" si="151"/>
        <v>0.18681318681318682</v>
      </c>
      <c r="R1978" s="2" t="str">
        <f t="shared" si="152"/>
        <v>Inefficient</v>
      </c>
      <c r="S1978" s="2" t="str">
        <f t="shared" si="153"/>
        <v>Long</v>
      </c>
      <c r="T1978" s="2" t="str">
        <f t="shared" si="154"/>
        <v>Major Delay</v>
      </c>
    </row>
    <row r="1979" spans="1:20" x14ac:dyDescent="0.35">
      <c r="A1979" s="2" t="s">
        <v>4141</v>
      </c>
      <c r="B1979" s="2" t="s">
        <v>63</v>
      </c>
      <c r="C1979" s="2" t="s">
        <v>4142</v>
      </c>
      <c r="D1979" s="2" t="s">
        <v>56</v>
      </c>
      <c r="E1979" s="2" t="s">
        <v>85</v>
      </c>
      <c r="F1979" s="2" t="s">
        <v>27</v>
      </c>
      <c r="G1979" s="2" t="s">
        <v>415</v>
      </c>
      <c r="H1979" s="3">
        <v>45387.502083333333</v>
      </c>
      <c r="I1979" s="3">
        <v>45387.636805555558</v>
      </c>
      <c r="J1979" s="2">
        <v>169</v>
      </c>
      <c r="K1979" s="2">
        <v>194</v>
      </c>
      <c r="L1979" s="2">
        <v>1</v>
      </c>
      <c r="M1979" s="2" t="s">
        <v>29</v>
      </c>
      <c r="N1979" s="2">
        <v>9</v>
      </c>
      <c r="O1979" s="2">
        <v>471.39</v>
      </c>
      <c r="P1979" s="2">
        <f t="shared" si="150"/>
        <v>25</v>
      </c>
      <c r="Q1979" s="4">
        <f t="shared" si="151"/>
        <v>0.87113402061855671</v>
      </c>
      <c r="R1979" s="2" t="str">
        <f t="shared" si="152"/>
        <v>Inefficient</v>
      </c>
      <c r="S1979" s="2" t="str">
        <f t="shared" si="153"/>
        <v>Very Long</v>
      </c>
      <c r="T1979" s="2" t="str">
        <f t="shared" si="154"/>
        <v>Minor Delay</v>
      </c>
    </row>
    <row r="1980" spans="1:20" x14ac:dyDescent="0.35">
      <c r="A1980" s="2" t="s">
        <v>4143</v>
      </c>
      <c r="B1980" s="2" t="s">
        <v>24</v>
      </c>
      <c r="C1980" s="2" t="s">
        <v>4144</v>
      </c>
      <c r="D1980" s="2" t="s">
        <v>56</v>
      </c>
      <c r="E1980" s="2" t="s">
        <v>38</v>
      </c>
      <c r="F1980" s="2" t="s">
        <v>34</v>
      </c>
      <c r="G1980" s="2" t="s">
        <v>476</v>
      </c>
      <c r="H1980" s="3">
        <v>45423.500694444447</v>
      </c>
      <c r="I1980" s="3">
        <v>45423.563888888886</v>
      </c>
      <c r="J1980" s="2">
        <v>63</v>
      </c>
      <c r="K1980" s="2">
        <v>91</v>
      </c>
      <c r="L1980" s="2">
        <v>1</v>
      </c>
      <c r="M1980" s="2" t="s">
        <v>29</v>
      </c>
      <c r="N1980" s="2">
        <v>10</v>
      </c>
      <c r="O1980" s="2">
        <v>154.38999999999999</v>
      </c>
      <c r="P1980" s="2">
        <f t="shared" si="150"/>
        <v>28</v>
      </c>
      <c r="Q1980" s="4">
        <f t="shared" si="151"/>
        <v>0.69230769230769229</v>
      </c>
      <c r="R1980" s="2" t="str">
        <f t="shared" si="152"/>
        <v>Inefficient</v>
      </c>
      <c r="S1980" s="2" t="str">
        <f t="shared" si="153"/>
        <v>Long</v>
      </c>
      <c r="T1980" s="2" t="str">
        <f t="shared" si="154"/>
        <v>Minor Delay</v>
      </c>
    </row>
    <row r="1981" spans="1:20" x14ac:dyDescent="0.35">
      <c r="A1981" s="2" t="s">
        <v>4145</v>
      </c>
      <c r="B1981" s="2" t="s">
        <v>51</v>
      </c>
      <c r="C1981" s="2" t="s">
        <v>4146</v>
      </c>
      <c r="D1981" s="2" t="s">
        <v>56</v>
      </c>
      <c r="E1981" s="2" t="s">
        <v>38</v>
      </c>
      <c r="F1981" s="2" t="s">
        <v>27</v>
      </c>
      <c r="G1981" s="2" t="s">
        <v>473</v>
      </c>
      <c r="H1981" s="3">
        <v>45322.512499999997</v>
      </c>
      <c r="I1981" s="3">
        <v>45322.643055555556</v>
      </c>
      <c r="J1981" s="2">
        <v>90</v>
      </c>
      <c r="K1981" s="2">
        <v>188</v>
      </c>
      <c r="L1981" s="2">
        <v>1</v>
      </c>
      <c r="M1981" s="2" t="s">
        <v>22</v>
      </c>
      <c r="N1981" s="2">
        <v>8</v>
      </c>
      <c r="O1981" s="2">
        <v>331.84</v>
      </c>
      <c r="P1981" s="2">
        <f t="shared" si="150"/>
        <v>98</v>
      </c>
      <c r="Q1981" s="4">
        <f t="shared" si="151"/>
        <v>0.47872340425531917</v>
      </c>
      <c r="R1981" s="2" t="str">
        <f t="shared" si="152"/>
        <v>Inefficient</v>
      </c>
      <c r="S1981" s="2" t="str">
        <f t="shared" si="153"/>
        <v>Very Long</v>
      </c>
      <c r="T1981" s="2" t="str">
        <f t="shared" si="154"/>
        <v>Major Delay</v>
      </c>
    </row>
    <row r="1982" spans="1:20" x14ac:dyDescent="0.35">
      <c r="A1982" s="2" t="s">
        <v>4147</v>
      </c>
      <c r="B1982" s="2" t="s">
        <v>24</v>
      </c>
      <c r="C1982" s="2" t="s">
        <v>4148</v>
      </c>
      <c r="D1982" s="2" t="s">
        <v>56</v>
      </c>
      <c r="E1982" s="2" t="s">
        <v>33</v>
      </c>
      <c r="F1982" s="2" t="s">
        <v>34</v>
      </c>
      <c r="G1982" s="2" t="s">
        <v>49</v>
      </c>
      <c r="H1982" s="3">
        <v>45626.94027777778</v>
      </c>
      <c r="I1982" s="3">
        <v>45627.076388888891</v>
      </c>
      <c r="J1982" s="2">
        <v>118</v>
      </c>
      <c r="K1982" s="2">
        <v>196</v>
      </c>
      <c r="L1982" s="2">
        <v>1</v>
      </c>
      <c r="M1982" s="2" t="s">
        <v>41</v>
      </c>
      <c r="N1982" s="2">
        <v>5</v>
      </c>
      <c r="O1982" s="2">
        <v>68.239999999999995</v>
      </c>
      <c r="P1982" s="2">
        <f t="shared" si="150"/>
        <v>78</v>
      </c>
      <c r="Q1982" s="4">
        <f t="shared" si="151"/>
        <v>0.60204081632653061</v>
      </c>
      <c r="R1982" s="2" t="str">
        <f t="shared" si="152"/>
        <v>Inefficient</v>
      </c>
      <c r="S1982" s="2" t="str">
        <f t="shared" si="153"/>
        <v>Very Long</v>
      </c>
      <c r="T1982" s="2" t="str">
        <f t="shared" si="154"/>
        <v>Major Delay</v>
      </c>
    </row>
    <row r="1983" spans="1:20" x14ac:dyDescent="0.35">
      <c r="A1983" s="2" t="s">
        <v>4149</v>
      </c>
      <c r="B1983" s="2" t="s">
        <v>24</v>
      </c>
      <c r="C1983" s="2" t="s">
        <v>4150</v>
      </c>
      <c r="D1983" s="2" t="s">
        <v>56</v>
      </c>
      <c r="E1983" s="2" t="s">
        <v>33</v>
      </c>
      <c r="F1983" s="2" t="s">
        <v>57</v>
      </c>
      <c r="G1983" s="2" t="s">
        <v>418</v>
      </c>
      <c r="H1983" s="3">
        <v>45509.291666666664</v>
      </c>
      <c r="I1983" s="3">
        <v>45509.523611111108</v>
      </c>
      <c r="J1983" s="2">
        <v>214</v>
      </c>
      <c r="K1983" s="2">
        <v>334</v>
      </c>
      <c r="L1983" s="2">
        <v>1</v>
      </c>
      <c r="M1983" s="2" t="s">
        <v>41</v>
      </c>
      <c r="N1983" s="2">
        <v>9</v>
      </c>
      <c r="O1983" s="2">
        <v>225.4</v>
      </c>
      <c r="P1983" s="2">
        <f t="shared" si="150"/>
        <v>120</v>
      </c>
      <c r="Q1983" s="4">
        <f t="shared" si="151"/>
        <v>0.64071856287425155</v>
      </c>
      <c r="R1983" s="2" t="str">
        <f t="shared" si="152"/>
        <v>Inefficient</v>
      </c>
      <c r="S1983" s="2" t="str">
        <f t="shared" si="153"/>
        <v>Very Long</v>
      </c>
      <c r="T1983" s="2" t="str">
        <f t="shared" si="154"/>
        <v>Major Delay</v>
      </c>
    </row>
    <row r="1984" spans="1:20" x14ac:dyDescent="0.35">
      <c r="A1984" s="2" t="s">
        <v>4151</v>
      </c>
      <c r="B1984" s="2" t="s">
        <v>31</v>
      </c>
      <c r="C1984" s="2" t="s">
        <v>4152</v>
      </c>
      <c r="D1984" s="2" t="s">
        <v>26</v>
      </c>
      <c r="E1984" s="2" t="s">
        <v>38</v>
      </c>
      <c r="F1984" s="2" t="s">
        <v>20</v>
      </c>
      <c r="G1984" s="2" t="s">
        <v>254</v>
      </c>
      <c r="H1984" s="3">
        <v>45570.882638888892</v>
      </c>
      <c r="I1984" s="3">
        <v>45571.053472222222</v>
      </c>
      <c r="J1984" s="2">
        <v>173</v>
      </c>
      <c r="K1984" s="2">
        <v>246</v>
      </c>
      <c r="L1984" s="2">
        <v>1</v>
      </c>
      <c r="M1984" s="2" t="s">
        <v>41</v>
      </c>
      <c r="N1984" s="2">
        <v>9</v>
      </c>
      <c r="O1984" s="2">
        <v>323.35000000000002</v>
      </c>
      <c r="P1984" s="2">
        <f t="shared" si="150"/>
        <v>73</v>
      </c>
      <c r="Q1984" s="4">
        <f t="shared" si="151"/>
        <v>0.7032520325203252</v>
      </c>
      <c r="R1984" s="2" t="str">
        <f t="shared" si="152"/>
        <v>Inefficient</v>
      </c>
      <c r="S1984" s="2" t="str">
        <f t="shared" si="153"/>
        <v>Very Long</v>
      </c>
      <c r="T1984" s="2" t="str">
        <f t="shared" si="154"/>
        <v>Major Delay</v>
      </c>
    </row>
    <row r="1985" spans="1:20" x14ac:dyDescent="0.35">
      <c r="A1985" s="2" t="s">
        <v>4153</v>
      </c>
      <c r="B1985" s="2" t="s">
        <v>16</v>
      </c>
      <c r="C1985" s="2" t="s">
        <v>4154</v>
      </c>
      <c r="D1985" s="2" t="s">
        <v>44</v>
      </c>
      <c r="E1985" s="2" t="s">
        <v>85</v>
      </c>
      <c r="F1985" s="2" t="s">
        <v>57</v>
      </c>
      <c r="G1985" s="2" t="s">
        <v>1730</v>
      </c>
      <c r="H1985" s="3">
        <v>45628.322222222225</v>
      </c>
      <c r="I1985" s="3">
        <v>45628.559027777781</v>
      </c>
      <c r="J1985" s="2">
        <v>230</v>
      </c>
      <c r="K1985" s="2">
        <v>341</v>
      </c>
      <c r="L1985" s="2">
        <v>1</v>
      </c>
      <c r="M1985" s="2" t="s">
        <v>22</v>
      </c>
      <c r="N1985" s="2">
        <v>2</v>
      </c>
      <c r="O1985" s="2">
        <v>353.33</v>
      </c>
      <c r="P1985" s="2">
        <f t="shared" si="150"/>
        <v>111</v>
      </c>
      <c r="Q1985" s="4">
        <f t="shared" si="151"/>
        <v>0.67448680351906154</v>
      </c>
      <c r="R1985" s="2" t="str">
        <f t="shared" si="152"/>
        <v>Inefficient</v>
      </c>
      <c r="S1985" s="2" t="str">
        <f t="shared" si="153"/>
        <v>Very Long</v>
      </c>
      <c r="T1985" s="2" t="str">
        <f t="shared" si="154"/>
        <v>Major Delay</v>
      </c>
    </row>
    <row r="1986" spans="1:20" x14ac:dyDescent="0.35">
      <c r="A1986" s="2" t="s">
        <v>4155</v>
      </c>
      <c r="B1986" s="2" t="s">
        <v>24</v>
      </c>
      <c r="C1986" s="2" t="s">
        <v>4156</v>
      </c>
      <c r="D1986" s="2" t="s">
        <v>18</v>
      </c>
      <c r="E1986" s="2" t="s">
        <v>19</v>
      </c>
      <c r="F1986" s="2" t="s">
        <v>57</v>
      </c>
      <c r="G1986" s="2" t="s">
        <v>65</v>
      </c>
      <c r="H1986" s="3">
        <v>45365.968055555553</v>
      </c>
      <c r="I1986" s="3">
        <v>45366.061805555553</v>
      </c>
      <c r="J1986" s="2">
        <v>38</v>
      </c>
      <c r="K1986" s="2">
        <v>135</v>
      </c>
      <c r="L1986" s="2">
        <v>1</v>
      </c>
      <c r="M1986" s="2" t="s">
        <v>29</v>
      </c>
      <c r="N1986" s="2">
        <v>1</v>
      </c>
      <c r="O1986" s="2">
        <v>439.46</v>
      </c>
      <c r="P1986" s="2">
        <f t="shared" si="150"/>
        <v>97</v>
      </c>
      <c r="Q1986" s="4">
        <f t="shared" si="151"/>
        <v>0.2814814814814815</v>
      </c>
      <c r="R1986" s="2" t="str">
        <f t="shared" si="152"/>
        <v>Inefficient</v>
      </c>
      <c r="S1986" s="2" t="str">
        <f t="shared" si="153"/>
        <v>Very Long</v>
      </c>
      <c r="T1986" s="2" t="str">
        <f t="shared" si="154"/>
        <v>Major Delay</v>
      </c>
    </row>
    <row r="1987" spans="1:20" x14ac:dyDescent="0.35">
      <c r="A1987" s="2" t="s">
        <v>4157</v>
      </c>
      <c r="B1987" s="2" t="s">
        <v>31</v>
      </c>
      <c r="C1987" s="2" t="s">
        <v>4158</v>
      </c>
      <c r="D1987" s="2" t="s">
        <v>56</v>
      </c>
      <c r="E1987" s="2" t="s">
        <v>33</v>
      </c>
      <c r="F1987" s="2" t="s">
        <v>39</v>
      </c>
      <c r="G1987" s="2" t="s">
        <v>669</v>
      </c>
      <c r="H1987" s="3">
        <v>45397.112500000003</v>
      </c>
      <c r="I1987" s="3">
        <v>45397.250694444447</v>
      </c>
      <c r="J1987" s="2">
        <v>176</v>
      </c>
      <c r="K1987" s="2">
        <v>199</v>
      </c>
      <c r="L1987" s="2">
        <v>1</v>
      </c>
      <c r="M1987" s="2" t="s">
        <v>41</v>
      </c>
      <c r="N1987" s="2">
        <v>4</v>
      </c>
      <c r="O1987" s="2">
        <v>457.66</v>
      </c>
      <c r="P1987" s="2">
        <f t="shared" ref="P1987:P2050" si="155">K1987-J1987</f>
        <v>23</v>
      </c>
      <c r="Q1987" s="4">
        <f t="shared" ref="Q1987:Q2050" si="156">J1987/K1987</f>
        <v>0.88442211055276387</v>
      </c>
      <c r="R1987" s="2" t="str">
        <f t="shared" ref="R1987:R2050" si="157">IF(Q1987&gt;1,"Efficient",
IF(Q1987=1,"On Target","Inefficient"))</f>
        <v>Inefficient</v>
      </c>
      <c r="S1987" s="2" t="str">
        <f t="shared" ref="S1987:S2050" si="158">IF(K1987&lt;30,"Short",
IF(K1987&lt;60,"Medium",
IF(K1987&lt;120,"Long","Very Long")))</f>
        <v>Very Long</v>
      </c>
      <c r="T1987" s="2" t="str">
        <f t="shared" ref="T1987:T2050" si="159">IF(K1987&lt;=J1987,"On Time",
IF(K1987-J1987&lt;=30,"Minor Delay","Major Delay"))</f>
        <v>Minor Delay</v>
      </c>
    </row>
    <row r="1988" spans="1:20" x14ac:dyDescent="0.35">
      <c r="A1988" s="2" t="s">
        <v>4159</v>
      </c>
      <c r="B1988" s="2" t="s">
        <v>31</v>
      </c>
      <c r="C1988" s="2" t="s">
        <v>4160</v>
      </c>
      <c r="D1988" s="2" t="s">
        <v>18</v>
      </c>
      <c r="E1988" s="2" t="s">
        <v>19</v>
      </c>
      <c r="F1988" s="2" t="s">
        <v>39</v>
      </c>
      <c r="G1988" s="2" t="s">
        <v>691</v>
      </c>
      <c r="H1988" s="3">
        <v>45363.390972222223</v>
      </c>
      <c r="I1988" s="3">
        <v>45363.513194444444</v>
      </c>
      <c r="J1988" s="2">
        <v>175</v>
      </c>
      <c r="K1988" s="2">
        <v>176</v>
      </c>
      <c r="L1988" s="2">
        <v>1</v>
      </c>
      <c r="M1988" s="2" t="s">
        <v>22</v>
      </c>
      <c r="N1988" s="2">
        <v>7</v>
      </c>
      <c r="O1988" s="2">
        <v>234.13</v>
      </c>
      <c r="P1988" s="2">
        <f t="shared" si="155"/>
        <v>1</v>
      </c>
      <c r="Q1988" s="4">
        <f t="shared" si="156"/>
        <v>0.99431818181818177</v>
      </c>
      <c r="R1988" s="2" t="str">
        <f t="shared" si="157"/>
        <v>Inefficient</v>
      </c>
      <c r="S1988" s="2" t="str">
        <f t="shared" si="158"/>
        <v>Very Long</v>
      </c>
      <c r="T1988" s="2" t="str">
        <f t="shared" si="159"/>
        <v>Minor Delay</v>
      </c>
    </row>
    <row r="1989" spans="1:20" x14ac:dyDescent="0.35">
      <c r="A1989" s="2" t="s">
        <v>4161</v>
      </c>
      <c r="B1989" s="2" t="s">
        <v>63</v>
      </c>
      <c r="C1989" s="2" t="s">
        <v>4162</v>
      </c>
      <c r="D1989" s="2" t="s">
        <v>56</v>
      </c>
      <c r="E1989" s="2" t="s">
        <v>85</v>
      </c>
      <c r="F1989" s="2" t="s">
        <v>27</v>
      </c>
      <c r="G1989" s="2" t="s">
        <v>61</v>
      </c>
      <c r="H1989" s="3">
        <v>45566.097222222219</v>
      </c>
      <c r="I1989" s="3">
        <v>45566.183333333334</v>
      </c>
      <c r="J1989" s="2">
        <v>50</v>
      </c>
      <c r="K1989" s="2">
        <v>124</v>
      </c>
      <c r="L1989" s="2">
        <v>1</v>
      </c>
      <c r="M1989" s="2" t="s">
        <v>29</v>
      </c>
      <c r="N1989" s="2">
        <v>10</v>
      </c>
      <c r="O1989" s="2">
        <v>258.68</v>
      </c>
      <c r="P1989" s="2">
        <f t="shared" si="155"/>
        <v>74</v>
      </c>
      <c r="Q1989" s="4">
        <f t="shared" si="156"/>
        <v>0.40322580645161288</v>
      </c>
      <c r="R1989" s="2" t="str">
        <f t="shared" si="157"/>
        <v>Inefficient</v>
      </c>
      <c r="S1989" s="2" t="str">
        <f t="shared" si="158"/>
        <v>Very Long</v>
      </c>
      <c r="T1989" s="2" t="str">
        <f t="shared" si="159"/>
        <v>Major Delay</v>
      </c>
    </row>
    <row r="1990" spans="1:20" x14ac:dyDescent="0.35">
      <c r="A1990" s="2" t="s">
        <v>4163</v>
      </c>
      <c r="B1990" s="2" t="s">
        <v>63</v>
      </c>
      <c r="C1990" s="2" t="s">
        <v>4164</v>
      </c>
      <c r="D1990" s="2" t="s">
        <v>26</v>
      </c>
      <c r="E1990" s="2" t="s">
        <v>85</v>
      </c>
      <c r="F1990" s="2" t="s">
        <v>39</v>
      </c>
      <c r="G1990" s="2" t="s">
        <v>476</v>
      </c>
      <c r="H1990" s="3">
        <v>45527.620138888888</v>
      </c>
      <c r="I1990" s="3">
        <v>45527.736111111109</v>
      </c>
      <c r="J1990" s="2">
        <v>155</v>
      </c>
      <c r="K1990" s="2">
        <v>167</v>
      </c>
      <c r="L1990" s="2">
        <v>1</v>
      </c>
      <c r="M1990" s="2" t="s">
        <v>41</v>
      </c>
      <c r="N1990" s="2">
        <v>6</v>
      </c>
      <c r="O1990" s="2">
        <v>377.81</v>
      </c>
      <c r="P1990" s="2">
        <f t="shared" si="155"/>
        <v>12</v>
      </c>
      <c r="Q1990" s="4">
        <f t="shared" si="156"/>
        <v>0.92814371257485029</v>
      </c>
      <c r="R1990" s="2" t="str">
        <f t="shared" si="157"/>
        <v>Inefficient</v>
      </c>
      <c r="S1990" s="2" t="str">
        <f t="shared" si="158"/>
        <v>Very Long</v>
      </c>
      <c r="T1990" s="2" t="str">
        <f t="shared" si="159"/>
        <v>Minor Delay</v>
      </c>
    </row>
    <row r="1991" spans="1:20" x14ac:dyDescent="0.35">
      <c r="A1991" s="2" t="s">
        <v>4165</v>
      </c>
      <c r="B1991" s="2" t="s">
        <v>24</v>
      </c>
      <c r="C1991" s="2" t="s">
        <v>4166</v>
      </c>
      <c r="D1991" s="2" t="s">
        <v>18</v>
      </c>
      <c r="E1991" s="2" t="s">
        <v>19</v>
      </c>
      <c r="F1991" s="2" t="s">
        <v>57</v>
      </c>
      <c r="G1991" s="2" t="s">
        <v>126</v>
      </c>
      <c r="H1991" s="3">
        <v>45472.896527777775</v>
      </c>
      <c r="I1991" s="3">
        <v>45472.928472222222</v>
      </c>
      <c r="J1991" s="2">
        <v>46</v>
      </c>
      <c r="K1991" s="2">
        <v>46</v>
      </c>
      <c r="L1991" s="2">
        <v>0</v>
      </c>
      <c r="M1991" s="2" t="s">
        <v>41</v>
      </c>
      <c r="N1991" s="2">
        <v>7</v>
      </c>
      <c r="O1991" s="2">
        <v>406.31</v>
      </c>
      <c r="P1991" s="2">
        <f t="shared" si="155"/>
        <v>0</v>
      </c>
      <c r="Q1991" s="4">
        <f t="shared" si="156"/>
        <v>1</v>
      </c>
      <c r="R1991" s="2" t="str">
        <f t="shared" si="157"/>
        <v>On Target</v>
      </c>
      <c r="S1991" s="2" t="str">
        <f t="shared" si="158"/>
        <v>Medium</v>
      </c>
      <c r="T1991" s="2" t="str">
        <f t="shared" si="159"/>
        <v>On Time</v>
      </c>
    </row>
    <row r="1992" spans="1:20" x14ac:dyDescent="0.35">
      <c r="A1992" s="2" t="s">
        <v>4167</v>
      </c>
      <c r="B1992" s="2" t="s">
        <v>16</v>
      </c>
      <c r="C1992" s="2" t="s">
        <v>4168</v>
      </c>
      <c r="D1992" s="2" t="s">
        <v>44</v>
      </c>
      <c r="E1992" s="2" t="s">
        <v>38</v>
      </c>
      <c r="F1992" s="2" t="s">
        <v>57</v>
      </c>
      <c r="G1992" s="2" t="s">
        <v>61</v>
      </c>
      <c r="H1992" s="3">
        <v>45366.056944444441</v>
      </c>
      <c r="I1992" s="3">
        <v>45366.134722222225</v>
      </c>
      <c r="J1992" s="2">
        <v>81</v>
      </c>
      <c r="K1992" s="2">
        <v>112</v>
      </c>
      <c r="L1992" s="2">
        <v>1</v>
      </c>
      <c r="M1992" s="2" t="s">
        <v>41</v>
      </c>
      <c r="N1992" s="2">
        <v>5</v>
      </c>
      <c r="O1992" s="2">
        <v>87.58</v>
      </c>
      <c r="P1992" s="2">
        <f t="shared" si="155"/>
        <v>31</v>
      </c>
      <c r="Q1992" s="4">
        <f t="shared" si="156"/>
        <v>0.7232142857142857</v>
      </c>
      <c r="R1992" s="2" t="str">
        <f t="shared" si="157"/>
        <v>Inefficient</v>
      </c>
      <c r="S1992" s="2" t="str">
        <f t="shared" si="158"/>
        <v>Long</v>
      </c>
      <c r="T1992" s="2" t="str">
        <f t="shared" si="159"/>
        <v>Major Delay</v>
      </c>
    </row>
    <row r="1993" spans="1:20" x14ac:dyDescent="0.35">
      <c r="A1993" s="2" t="s">
        <v>4169</v>
      </c>
      <c r="B1993" s="2" t="s">
        <v>16</v>
      </c>
      <c r="C1993" s="2" t="s">
        <v>4170</v>
      </c>
      <c r="D1993" s="2" t="s">
        <v>56</v>
      </c>
      <c r="E1993" s="2" t="s">
        <v>33</v>
      </c>
      <c r="F1993" s="2" t="s">
        <v>57</v>
      </c>
      <c r="G1993" s="2" t="s">
        <v>364</v>
      </c>
      <c r="H1993" s="3">
        <v>45412.411111111112</v>
      </c>
      <c r="I1993" s="3">
        <v>45412.632638888892</v>
      </c>
      <c r="J1993" s="2">
        <v>213</v>
      </c>
      <c r="K1993" s="2">
        <v>319</v>
      </c>
      <c r="L1993" s="2">
        <v>1</v>
      </c>
      <c r="M1993" s="2" t="s">
        <v>22</v>
      </c>
      <c r="N1993" s="2">
        <v>5</v>
      </c>
      <c r="O1993" s="2">
        <v>274.01</v>
      </c>
      <c r="P1993" s="2">
        <f t="shared" si="155"/>
        <v>106</v>
      </c>
      <c r="Q1993" s="4">
        <f t="shared" si="156"/>
        <v>0.66771159874608155</v>
      </c>
      <c r="R1993" s="2" t="str">
        <f t="shared" si="157"/>
        <v>Inefficient</v>
      </c>
      <c r="S1993" s="2" t="str">
        <f t="shared" si="158"/>
        <v>Very Long</v>
      </c>
      <c r="T1993" s="2" t="str">
        <f t="shared" si="159"/>
        <v>Major Delay</v>
      </c>
    </row>
    <row r="1994" spans="1:20" x14ac:dyDescent="0.35">
      <c r="A1994" s="2" t="s">
        <v>4171</v>
      </c>
      <c r="B1994" s="2" t="s">
        <v>31</v>
      </c>
      <c r="C1994" s="2" t="s">
        <v>4172</v>
      </c>
      <c r="D1994" s="2" t="s">
        <v>26</v>
      </c>
      <c r="E1994" s="2" t="s">
        <v>19</v>
      </c>
      <c r="F1994" s="2" t="s">
        <v>27</v>
      </c>
      <c r="G1994" s="2" t="s">
        <v>293</v>
      </c>
      <c r="H1994" s="3">
        <v>45337.080555555556</v>
      </c>
      <c r="I1994" s="3">
        <v>45337.202777777777</v>
      </c>
      <c r="J1994" s="2">
        <v>84</v>
      </c>
      <c r="K1994" s="2">
        <v>176</v>
      </c>
      <c r="L1994" s="2">
        <v>1</v>
      </c>
      <c r="M1994" s="2" t="s">
        <v>41</v>
      </c>
      <c r="N1994" s="2">
        <v>8</v>
      </c>
      <c r="O1994" s="2">
        <v>80.709999999999994</v>
      </c>
      <c r="P1994" s="2">
        <f t="shared" si="155"/>
        <v>92</v>
      </c>
      <c r="Q1994" s="4">
        <f t="shared" si="156"/>
        <v>0.47727272727272729</v>
      </c>
      <c r="R1994" s="2" t="str">
        <f t="shared" si="157"/>
        <v>Inefficient</v>
      </c>
      <c r="S1994" s="2" t="str">
        <f t="shared" si="158"/>
        <v>Very Long</v>
      </c>
      <c r="T1994" s="2" t="str">
        <f t="shared" si="159"/>
        <v>Major Delay</v>
      </c>
    </row>
    <row r="1995" spans="1:20" x14ac:dyDescent="0.35">
      <c r="A1995" s="2" t="s">
        <v>4173</v>
      </c>
      <c r="B1995" s="2" t="s">
        <v>31</v>
      </c>
      <c r="C1995" s="2" t="s">
        <v>4174</v>
      </c>
      <c r="D1995" s="2" t="s">
        <v>18</v>
      </c>
      <c r="E1995" s="2" t="s">
        <v>85</v>
      </c>
      <c r="F1995" s="2" t="s">
        <v>39</v>
      </c>
      <c r="G1995" s="2" t="s">
        <v>123</v>
      </c>
      <c r="H1995" s="3">
        <v>45366.836805555555</v>
      </c>
      <c r="I1995" s="3">
        <v>45366.90625</v>
      </c>
      <c r="J1995" s="2">
        <v>21</v>
      </c>
      <c r="K1995" s="2">
        <v>100</v>
      </c>
      <c r="L1995" s="2">
        <v>1</v>
      </c>
      <c r="M1995" s="2" t="s">
        <v>22</v>
      </c>
      <c r="N1995" s="2">
        <v>1</v>
      </c>
      <c r="O1995" s="2">
        <v>234.6</v>
      </c>
      <c r="P1995" s="2">
        <f t="shared" si="155"/>
        <v>79</v>
      </c>
      <c r="Q1995" s="4">
        <f t="shared" si="156"/>
        <v>0.21</v>
      </c>
      <c r="R1995" s="2" t="str">
        <f t="shared" si="157"/>
        <v>Inefficient</v>
      </c>
      <c r="S1995" s="2" t="str">
        <f t="shared" si="158"/>
        <v>Long</v>
      </c>
      <c r="T1995" s="2" t="str">
        <f t="shared" si="159"/>
        <v>Major Delay</v>
      </c>
    </row>
    <row r="1996" spans="1:20" x14ac:dyDescent="0.35">
      <c r="A1996" s="2" t="s">
        <v>4175</v>
      </c>
      <c r="B1996" s="2" t="s">
        <v>51</v>
      </c>
      <c r="C1996" s="2" t="s">
        <v>4176</v>
      </c>
      <c r="D1996" s="2" t="s">
        <v>26</v>
      </c>
      <c r="E1996" s="2" t="s">
        <v>19</v>
      </c>
      <c r="F1996" s="2" t="s">
        <v>57</v>
      </c>
      <c r="G1996" s="2" t="s">
        <v>173</v>
      </c>
      <c r="H1996" s="3">
        <v>45393.143055555556</v>
      </c>
      <c r="I1996" s="3">
        <v>45393.319444444445</v>
      </c>
      <c r="J1996" s="2">
        <v>215</v>
      </c>
      <c r="K1996" s="2">
        <v>254</v>
      </c>
      <c r="L1996" s="2">
        <v>1</v>
      </c>
      <c r="M1996" s="2" t="s">
        <v>29</v>
      </c>
      <c r="N1996" s="2">
        <v>5</v>
      </c>
      <c r="O1996" s="2">
        <v>246.4</v>
      </c>
      <c r="P1996" s="2">
        <f t="shared" si="155"/>
        <v>39</v>
      </c>
      <c r="Q1996" s="4">
        <f t="shared" si="156"/>
        <v>0.84645669291338588</v>
      </c>
      <c r="R1996" s="2" t="str">
        <f t="shared" si="157"/>
        <v>Inefficient</v>
      </c>
      <c r="S1996" s="2" t="str">
        <f t="shared" si="158"/>
        <v>Very Long</v>
      </c>
      <c r="T1996" s="2" t="str">
        <f t="shared" si="159"/>
        <v>Major Delay</v>
      </c>
    </row>
    <row r="1997" spans="1:20" x14ac:dyDescent="0.35">
      <c r="A1997" s="2" t="s">
        <v>4177</v>
      </c>
      <c r="B1997" s="2" t="s">
        <v>31</v>
      </c>
      <c r="C1997" s="2" t="s">
        <v>4178</v>
      </c>
      <c r="D1997" s="2" t="s">
        <v>26</v>
      </c>
      <c r="E1997" s="2" t="s">
        <v>38</v>
      </c>
      <c r="F1997" s="2" t="s">
        <v>20</v>
      </c>
      <c r="G1997" s="2" t="s">
        <v>76</v>
      </c>
      <c r="H1997" s="3">
        <v>45620.257638888892</v>
      </c>
      <c r="I1997" s="3">
        <v>45620.397916666669</v>
      </c>
      <c r="J1997" s="2">
        <v>111</v>
      </c>
      <c r="K1997" s="2">
        <v>202</v>
      </c>
      <c r="L1997" s="2">
        <v>1</v>
      </c>
      <c r="M1997" s="2" t="s">
        <v>22</v>
      </c>
      <c r="N1997" s="2">
        <v>10</v>
      </c>
      <c r="O1997" s="2">
        <v>136.81</v>
      </c>
      <c r="P1997" s="2">
        <f t="shared" si="155"/>
        <v>91</v>
      </c>
      <c r="Q1997" s="4">
        <f t="shared" si="156"/>
        <v>0.54950495049504955</v>
      </c>
      <c r="R1997" s="2" t="str">
        <f t="shared" si="157"/>
        <v>Inefficient</v>
      </c>
      <c r="S1997" s="2" t="str">
        <f t="shared" si="158"/>
        <v>Very Long</v>
      </c>
      <c r="T1997" s="2" t="str">
        <f t="shared" si="159"/>
        <v>Major Delay</v>
      </c>
    </row>
    <row r="1998" spans="1:20" x14ac:dyDescent="0.35">
      <c r="A1998" s="2" t="s">
        <v>4179</v>
      </c>
      <c r="B1998" s="2" t="s">
        <v>16</v>
      </c>
      <c r="C1998" s="2" t="s">
        <v>4180</v>
      </c>
      <c r="D1998" s="2" t="s">
        <v>44</v>
      </c>
      <c r="E1998" s="2" t="s">
        <v>19</v>
      </c>
      <c r="F1998" s="2" t="s">
        <v>57</v>
      </c>
      <c r="G1998" s="2" t="s">
        <v>170</v>
      </c>
      <c r="H1998" s="3">
        <v>45406.835416666669</v>
      </c>
      <c r="I1998" s="3">
        <v>45406.92291666667</v>
      </c>
      <c r="J1998" s="2">
        <v>113</v>
      </c>
      <c r="K1998" s="2">
        <v>126</v>
      </c>
      <c r="L1998" s="2">
        <v>1</v>
      </c>
      <c r="M1998" s="2" t="s">
        <v>29</v>
      </c>
      <c r="N1998" s="2">
        <v>5</v>
      </c>
      <c r="O1998" s="2">
        <v>309.17</v>
      </c>
      <c r="P1998" s="2">
        <f t="shared" si="155"/>
        <v>13</v>
      </c>
      <c r="Q1998" s="4">
        <f t="shared" si="156"/>
        <v>0.89682539682539686</v>
      </c>
      <c r="R1998" s="2" t="str">
        <f t="shared" si="157"/>
        <v>Inefficient</v>
      </c>
      <c r="S1998" s="2" t="str">
        <f t="shared" si="158"/>
        <v>Very Long</v>
      </c>
      <c r="T1998" s="2" t="str">
        <f t="shared" si="159"/>
        <v>Minor Delay</v>
      </c>
    </row>
    <row r="1999" spans="1:20" x14ac:dyDescent="0.35">
      <c r="A1999" s="2" t="s">
        <v>4181</v>
      </c>
      <c r="B1999" s="2" t="s">
        <v>51</v>
      </c>
      <c r="C1999" s="2" t="s">
        <v>4182</v>
      </c>
      <c r="D1999" s="2" t="s">
        <v>56</v>
      </c>
      <c r="E1999" s="2" t="s">
        <v>33</v>
      </c>
      <c r="F1999" s="2" t="s">
        <v>27</v>
      </c>
      <c r="G1999" s="2" t="s">
        <v>684</v>
      </c>
      <c r="H1999" s="3">
        <v>45569.248611111114</v>
      </c>
      <c r="I1999" s="3">
        <v>45569.457638888889</v>
      </c>
      <c r="J1999" s="2">
        <v>196</v>
      </c>
      <c r="K1999" s="2">
        <v>301</v>
      </c>
      <c r="L1999" s="2">
        <v>1</v>
      </c>
      <c r="M1999" s="2" t="s">
        <v>41</v>
      </c>
      <c r="N1999" s="2">
        <v>6</v>
      </c>
      <c r="O1999" s="2">
        <v>361.97</v>
      </c>
      <c r="P1999" s="2">
        <f t="shared" si="155"/>
        <v>105</v>
      </c>
      <c r="Q1999" s="4">
        <f t="shared" si="156"/>
        <v>0.65116279069767447</v>
      </c>
      <c r="R1999" s="2" t="str">
        <f t="shared" si="157"/>
        <v>Inefficient</v>
      </c>
      <c r="S1999" s="2" t="str">
        <f t="shared" si="158"/>
        <v>Very Long</v>
      </c>
      <c r="T1999" s="2" t="str">
        <f t="shared" si="159"/>
        <v>Major Delay</v>
      </c>
    </row>
    <row r="2000" spans="1:20" x14ac:dyDescent="0.35">
      <c r="A2000" s="2" t="s">
        <v>4183</v>
      </c>
      <c r="B2000" s="2" t="s">
        <v>51</v>
      </c>
      <c r="C2000" s="2" t="s">
        <v>4184</v>
      </c>
      <c r="D2000" s="2" t="s">
        <v>48</v>
      </c>
      <c r="E2000" s="2" t="s">
        <v>38</v>
      </c>
      <c r="F2000" s="2" t="s">
        <v>20</v>
      </c>
      <c r="G2000" s="2" t="s">
        <v>476</v>
      </c>
      <c r="H2000" s="3">
        <v>45611.154166666667</v>
      </c>
      <c r="I2000" s="3">
        <v>45611.286805555559</v>
      </c>
      <c r="J2000" s="2">
        <v>185</v>
      </c>
      <c r="K2000" s="2">
        <v>191</v>
      </c>
      <c r="L2000" s="2">
        <v>1</v>
      </c>
      <c r="M2000" s="2" t="s">
        <v>29</v>
      </c>
      <c r="N2000" s="2">
        <v>2</v>
      </c>
      <c r="O2000" s="2">
        <v>428.48</v>
      </c>
      <c r="P2000" s="2">
        <f t="shared" si="155"/>
        <v>6</v>
      </c>
      <c r="Q2000" s="4">
        <f t="shared" si="156"/>
        <v>0.96858638743455494</v>
      </c>
      <c r="R2000" s="2" t="str">
        <f t="shared" si="157"/>
        <v>Inefficient</v>
      </c>
      <c r="S2000" s="2" t="str">
        <f t="shared" si="158"/>
        <v>Very Long</v>
      </c>
      <c r="T2000" s="2" t="str">
        <f t="shared" si="159"/>
        <v>Minor Delay</v>
      </c>
    </row>
    <row r="2001" spans="1:20" x14ac:dyDescent="0.35">
      <c r="A2001" s="2" t="s">
        <v>4185</v>
      </c>
      <c r="B2001" s="2" t="s">
        <v>24</v>
      </c>
      <c r="C2001" s="2" t="s">
        <v>4186</v>
      </c>
      <c r="D2001" s="2" t="s">
        <v>26</v>
      </c>
      <c r="E2001" s="2" t="s">
        <v>38</v>
      </c>
      <c r="F2001" s="2" t="s">
        <v>57</v>
      </c>
      <c r="G2001" s="2" t="s">
        <v>1622</v>
      </c>
      <c r="H2001" s="3">
        <v>45482.246527777781</v>
      </c>
      <c r="I2001" s="3">
        <v>45482.320138888892</v>
      </c>
      <c r="J2001" s="2">
        <v>46</v>
      </c>
      <c r="K2001" s="2">
        <v>106</v>
      </c>
      <c r="L2001" s="2">
        <v>1</v>
      </c>
      <c r="M2001" s="2" t="s">
        <v>41</v>
      </c>
      <c r="N2001" s="2">
        <v>3</v>
      </c>
      <c r="O2001" s="2">
        <v>368.66</v>
      </c>
      <c r="P2001" s="2">
        <f t="shared" si="155"/>
        <v>60</v>
      </c>
      <c r="Q2001" s="4">
        <f t="shared" si="156"/>
        <v>0.43396226415094341</v>
      </c>
      <c r="R2001" s="2" t="str">
        <f t="shared" si="157"/>
        <v>Inefficient</v>
      </c>
      <c r="S2001" s="2" t="str">
        <f t="shared" si="158"/>
        <v>Long</v>
      </c>
      <c r="T2001" s="2" t="str">
        <f t="shared" si="159"/>
        <v>Major Delay</v>
      </c>
    </row>
    <row r="2002" spans="1:20" x14ac:dyDescent="0.35">
      <c r="A2002" s="2" t="s">
        <v>4187</v>
      </c>
      <c r="B2002" s="2" t="s">
        <v>16</v>
      </c>
      <c r="C2002" s="2" t="s">
        <v>4188</v>
      </c>
      <c r="D2002" s="2" t="s">
        <v>56</v>
      </c>
      <c r="E2002" s="2" t="s">
        <v>19</v>
      </c>
      <c r="F2002" s="2" t="s">
        <v>57</v>
      </c>
      <c r="G2002" s="2" t="s">
        <v>262</v>
      </c>
      <c r="H2002" s="3">
        <v>45320.447916666664</v>
      </c>
      <c r="I2002" s="3">
        <v>45320.56527777778</v>
      </c>
      <c r="J2002" s="2">
        <v>123</v>
      </c>
      <c r="K2002" s="2">
        <v>169</v>
      </c>
      <c r="L2002" s="2">
        <v>1</v>
      </c>
      <c r="M2002" s="2" t="s">
        <v>22</v>
      </c>
      <c r="N2002" s="2">
        <v>5</v>
      </c>
      <c r="O2002" s="2">
        <v>387.53</v>
      </c>
      <c r="P2002" s="2">
        <f t="shared" si="155"/>
        <v>46</v>
      </c>
      <c r="Q2002" s="4">
        <f t="shared" si="156"/>
        <v>0.72781065088757402</v>
      </c>
      <c r="R2002" s="2" t="str">
        <f t="shared" si="157"/>
        <v>Inefficient</v>
      </c>
      <c r="S2002" s="2" t="str">
        <f t="shared" si="158"/>
        <v>Very Long</v>
      </c>
      <c r="T2002" s="2" t="str">
        <f t="shared" si="159"/>
        <v>Major Delay</v>
      </c>
    </row>
    <row r="2003" spans="1:20" x14ac:dyDescent="0.35">
      <c r="A2003" s="2" t="s">
        <v>4189</v>
      </c>
      <c r="B2003" s="2" t="s">
        <v>63</v>
      </c>
      <c r="C2003" s="2" t="s">
        <v>4190</v>
      </c>
      <c r="D2003" s="2" t="s">
        <v>44</v>
      </c>
      <c r="E2003" s="2" t="s">
        <v>19</v>
      </c>
      <c r="F2003" s="2" t="s">
        <v>34</v>
      </c>
      <c r="G2003" s="2" t="s">
        <v>76</v>
      </c>
      <c r="H2003" s="3">
        <v>45377.693749999999</v>
      </c>
      <c r="I2003" s="3">
        <v>45377.763194444444</v>
      </c>
      <c r="J2003" s="2">
        <v>19</v>
      </c>
      <c r="K2003" s="2">
        <v>100</v>
      </c>
      <c r="L2003" s="2">
        <v>1</v>
      </c>
      <c r="M2003" s="2" t="s">
        <v>29</v>
      </c>
      <c r="N2003" s="2">
        <v>2</v>
      </c>
      <c r="O2003" s="2">
        <v>301.56</v>
      </c>
      <c r="P2003" s="2">
        <f t="shared" si="155"/>
        <v>81</v>
      </c>
      <c r="Q2003" s="4">
        <f t="shared" si="156"/>
        <v>0.19</v>
      </c>
      <c r="R2003" s="2" t="str">
        <f t="shared" si="157"/>
        <v>Inefficient</v>
      </c>
      <c r="S2003" s="2" t="str">
        <f t="shared" si="158"/>
        <v>Long</v>
      </c>
      <c r="T2003" s="2" t="str">
        <f t="shared" si="159"/>
        <v>Major Delay</v>
      </c>
    </row>
    <row r="2004" spans="1:20" x14ac:dyDescent="0.35">
      <c r="A2004" s="2" t="s">
        <v>4191</v>
      </c>
      <c r="B2004" s="2" t="s">
        <v>24</v>
      </c>
      <c r="C2004" s="2" t="s">
        <v>4192</v>
      </c>
      <c r="D2004" s="2" t="s">
        <v>26</v>
      </c>
      <c r="E2004" s="2" t="s">
        <v>19</v>
      </c>
      <c r="F2004" s="2" t="s">
        <v>27</v>
      </c>
      <c r="G2004" s="2" t="s">
        <v>228</v>
      </c>
      <c r="H2004" s="3">
        <v>45303.65625</v>
      </c>
      <c r="I2004" s="3">
        <v>45303.853472222225</v>
      </c>
      <c r="J2004" s="2">
        <v>225</v>
      </c>
      <c r="K2004" s="2">
        <v>284</v>
      </c>
      <c r="L2004" s="2">
        <v>1</v>
      </c>
      <c r="M2004" s="2" t="s">
        <v>22</v>
      </c>
      <c r="N2004" s="2">
        <v>1</v>
      </c>
      <c r="O2004" s="2">
        <v>281.33999999999997</v>
      </c>
      <c r="P2004" s="2">
        <f t="shared" si="155"/>
        <v>59</v>
      </c>
      <c r="Q2004" s="4">
        <f t="shared" si="156"/>
        <v>0.79225352112676062</v>
      </c>
      <c r="R2004" s="2" t="str">
        <f t="shared" si="157"/>
        <v>Inefficient</v>
      </c>
      <c r="S2004" s="2" t="str">
        <f t="shared" si="158"/>
        <v>Very Long</v>
      </c>
      <c r="T2004" s="2" t="str">
        <f t="shared" si="159"/>
        <v>Major Delay</v>
      </c>
    </row>
    <row r="2005" spans="1:20" x14ac:dyDescent="0.35">
      <c r="A2005" s="2" t="s">
        <v>4193</v>
      </c>
      <c r="B2005" s="2" t="s">
        <v>24</v>
      </c>
      <c r="C2005" s="2" t="s">
        <v>4194</v>
      </c>
      <c r="D2005" s="2" t="s">
        <v>56</v>
      </c>
      <c r="E2005" s="2" t="s">
        <v>19</v>
      </c>
      <c r="F2005" s="2" t="s">
        <v>39</v>
      </c>
      <c r="G2005" s="2" t="s">
        <v>65</v>
      </c>
      <c r="H2005" s="3">
        <v>45539.967361111114</v>
      </c>
      <c r="I2005" s="3">
        <v>45540.168055555558</v>
      </c>
      <c r="J2005" s="2">
        <v>219</v>
      </c>
      <c r="K2005" s="2">
        <v>289</v>
      </c>
      <c r="L2005" s="2">
        <v>1</v>
      </c>
      <c r="M2005" s="2" t="s">
        <v>41</v>
      </c>
      <c r="N2005" s="2">
        <v>10</v>
      </c>
      <c r="O2005" s="2">
        <v>233.98</v>
      </c>
      <c r="P2005" s="2">
        <f t="shared" si="155"/>
        <v>70</v>
      </c>
      <c r="Q2005" s="4">
        <f t="shared" si="156"/>
        <v>0.75778546712802763</v>
      </c>
      <c r="R2005" s="2" t="str">
        <f t="shared" si="157"/>
        <v>Inefficient</v>
      </c>
      <c r="S2005" s="2" t="str">
        <f t="shared" si="158"/>
        <v>Very Long</v>
      </c>
      <c r="T2005" s="2" t="str">
        <f t="shared" si="159"/>
        <v>Major Delay</v>
      </c>
    </row>
    <row r="2006" spans="1:20" x14ac:dyDescent="0.35">
      <c r="A2006" s="2" t="s">
        <v>4195</v>
      </c>
      <c r="B2006" s="2" t="s">
        <v>24</v>
      </c>
      <c r="C2006" s="2" t="s">
        <v>4196</v>
      </c>
      <c r="D2006" s="2" t="s">
        <v>18</v>
      </c>
      <c r="E2006" s="2" t="s">
        <v>33</v>
      </c>
      <c r="F2006" s="2" t="s">
        <v>57</v>
      </c>
      <c r="G2006" s="2" t="s">
        <v>512</v>
      </c>
      <c r="H2006" s="3">
        <v>45593.39166666667</v>
      </c>
      <c r="I2006" s="3">
        <v>45593.511111111111</v>
      </c>
      <c r="J2006" s="2">
        <v>55</v>
      </c>
      <c r="K2006" s="2">
        <v>172</v>
      </c>
      <c r="L2006" s="2">
        <v>1</v>
      </c>
      <c r="M2006" s="2" t="s">
        <v>29</v>
      </c>
      <c r="N2006" s="2">
        <v>9</v>
      </c>
      <c r="O2006" s="2">
        <v>425.99</v>
      </c>
      <c r="P2006" s="2">
        <f t="shared" si="155"/>
        <v>117</v>
      </c>
      <c r="Q2006" s="4">
        <f t="shared" si="156"/>
        <v>0.31976744186046513</v>
      </c>
      <c r="R2006" s="2" t="str">
        <f t="shared" si="157"/>
        <v>Inefficient</v>
      </c>
      <c r="S2006" s="2" t="str">
        <f t="shared" si="158"/>
        <v>Very Long</v>
      </c>
      <c r="T2006" s="2" t="str">
        <f t="shared" si="159"/>
        <v>Major Delay</v>
      </c>
    </row>
    <row r="2007" spans="1:20" x14ac:dyDescent="0.35">
      <c r="A2007" s="2" t="s">
        <v>4197</v>
      </c>
      <c r="B2007" s="2" t="s">
        <v>51</v>
      </c>
      <c r="C2007" s="2" t="s">
        <v>4198</v>
      </c>
      <c r="D2007" s="2" t="s">
        <v>18</v>
      </c>
      <c r="E2007" s="2" t="s">
        <v>33</v>
      </c>
      <c r="F2007" s="2" t="s">
        <v>34</v>
      </c>
      <c r="G2007" s="2" t="s">
        <v>777</v>
      </c>
      <c r="H2007" s="3">
        <v>45446.460416666669</v>
      </c>
      <c r="I2007" s="3">
        <v>45446.510416666664</v>
      </c>
      <c r="J2007" s="2">
        <v>27</v>
      </c>
      <c r="K2007" s="2">
        <v>72</v>
      </c>
      <c r="L2007" s="2">
        <v>1</v>
      </c>
      <c r="M2007" s="2" t="s">
        <v>41</v>
      </c>
      <c r="N2007" s="2">
        <v>10</v>
      </c>
      <c r="O2007" s="2">
        <v>137.36000000000001</v>
      </c>
      <c r="P2007" s="2">
        <f t="shared" si="155"/>
        <v>45</v>
      </c>
      <c r="Q2007" s="4">
        <f t="shared" si="156"/>
        <v>0.375</v>
      </c>
      <c r="R2007" s="2" t="str">
        <f t="shared" si="157"/>
        <v>Inefficient</v>
      </c>
      <c r="S2007" s="2" t="str">
        <f t="shared" si="158"/>
        <v>Long</v>
      </c>
      <c r="T2007" s="2" t="str">
        <f t="shared" si="159"/>
        <v>Major Delay</v>
      </c>
    </row>
    <row r="2008" spans="1:20" x14ac:dyDescent="0.35">
      <c r="A2008" s="2" t="s">
        <v>4199</v>
      </c>
      <c r="B2008" s="2" t="s">
        <v>51</v>
      </c>
      <c r="C2008" s="2" t="s">
        <v>4200</v>
      </c>
      <c r="D2008" s="2" t="s">
        <v>44</v>
      </c>
      <c r="E2008" s="2" t="s">
        <v>33</v>
      </c>
      <c r="F2008" s="2" t="s">
        <v>27</v>
      </c>
      <c r="G2008" s="2" t="s">
        <v>330</v>
      </c>
      <c r="H2008" s="3">
        <v>45354.035416666666</v>
      </c>
      <c r="I2008" s="3">
        <v>45354.140277777777</v>
      </c>
      <c r="J2008" s="2">
        <v>63</v>
      </c>
      <c r="K2008" s="2">
        <v>151</v>
      </c>
      <c r="L2008" s="2">
        <v>1</v>
      </c>
      <c r="M2008" s="2" t="s">
        <v>41</v>
      </c>
      <c r="N2008" s="2">
        <v>1</v>
      </c>
      <c r="O2008" s="2">
        <v>54.21</v>
      </c>
      <c r="P2008" s="2">
        <f t="shared" si="155"/>
        <v>88</v>
      </c>
      <c r="Q2008" s="4">
        <f t="shared" si="156"/>
        <v>0.41721854304635764</v>
      </c>
      <c r="R2008" s="2" t="str">
        <f t="shared" si="157"/>
        <v>Inefficient</v>
      </c>
      <c r="S2008" s="2" t="str">
        <f t="shared" si="158"/>
        <v>Very Long</v>
      </c>
      <c r="T2008" s="2" t="str">
        <f t="shared" si="159"/>
        <v>Major Delay</v>
      </c>
    </row>
    <row r="2009" spans="1:20" x14ac:dyDescent="0.35">
      <c r="A2009" s="2" t="s">
        <v>4201</v>
      </c>
      <c r="B2009" s="2" t="s">
        <v>24</v>
      </c>
      <c r="C2009" s="2" t="s">
        <v>4202</v>
      </c>
      <c r="D2009" s="2" t="s">
        <v>26</v>
      </c>
      <c r="E2009" s="2" t="s">
        <v>33</v>
      </c>
      <c r="F2009" s="2" t="s">
        <v>57</v>
      </c>
      <c r="G2009" s="2" t="s">
        <v>68</v>
      </c>
      <c r="H2009" s="3">
        <v>45455.1875</v>
      </c>
      <c r="I2009" s="3">
        <v>45455.42291666667</v>
      </c>
      <c r="J2009" s="2">
        <v>222</v>
      </c>
      <c r="K2009" s="2">
        <v>339</v>
      </c>
      <c r="L2009" s="2">
        <v>1</v>
      </c>
      <c r="M2009" s="2" t="s">
        <v>29</v>
      </c>
      <c r="N2009" s="2">
        <v>6</v>
      </c>
      <c r="O2009" s="2">
        <v>308.66000000000003</v>
      </c>
      <c r="P2009" s="2">
        <f t="shared" si="155"/>
        <v>117</v>
      </c>
      <c r="Q2009" s="4">
        <f t="shared" si="156"/>
        <v>0.65486725663716816</v>
      </c>
      <c r="R2009" s="2" t="str">
        <f t="shared" si="157"/>
        <v>Inefficient</v>
      </c>
      <c r="S2009" s="2" t="str">
        <f t="shared" si="158"/>
        <v>Very Long</v>
      </c>
      <c r="T2009" s="2" t="str">
        <f t="shared" si="159"/>
        <v>Major Delay</v>
      </c>
    </row>
    <row r="2010" spans="1:20" x14ac:dyDescent="0.35">
      <c r="A2010" s="2" t="s">
        <v>4203</v>
      </c>
      <c r="B2010" s="2" t="s">
        <v>63</v>
      </c>
      <c r="C2010" s="2" t="s">
        <v>4204</v>
      </c>
      <c r="D2010" s="2" t="s">
        <v>18</v>
      </c>
      <c r="E2010" s="2" t="s">
        <v>33</v>
      </c>
      <c r="F2010" s="2" t="s">
        <v>34</v>
      </c>
      <c r="G2010" s="2" t="s">
        <v>546</v>
      </c>
      <c r="H2010" s="3">
        <v>45305.649305555555</v>
      </c>
      <c r="I2010" s="3">
        <v>45305.689583333333</v>
      </c>
      <c r="J2010" s="2">
        <v>18</v>
      </c>
      <c r="K2010" s="2">
        <v>58</v>
      </c>
      <c r="L2010" s="2">
        <v>1</v>
      </c>
      <c r="M2010" s="2" t="s">
        <v>41</v>
      </c>
      <c r="N2010" s="2">
        <v>3</v>
      </c>
      <c r="O2010" s="2">
        <v>454.29</v>
      </c>
      <c r="P2010" s="2">
        <f t="shared" si="155"/>
        <v>40</v>
      </c>
      <c r="Q2010" s="4">
        <f t="shared" si="156"/>
        <v>0.31034482758620691</v>
      </c>
      <c r="R2010" s="2" t="str">
        <f t="shared" si="157"/>
        <v>Inefficient</v>
      </c>
      <c r="S2010" s="2" t="str">
        <f t="shared" si="158"/>
        <v>Medium</v>
      </c>
      <c r="T2010" s="2" t="str">
        <f t="shared" si="159"/>
        <v>Major Delay</v>
      </c>
    </row>
    <row r="2011" spans="1:20" x14ac:dyDescent="0.35">
      <c r="A2011" s="2" t="s">
        <v>4205</v>
      </c>
      <c r="B2011" s="2" t="s">
        <v>63</v>
      </c>
      <c r="C2011" s="2" t="s">
        <v>4206</v>
      </c>
      <c r="D2011" s="2" t="s">
        <v>18</v>
      </c>
      <c r="E2011" s="2" t="s">
        <v>33</v>
      </c>
      <c r="F2011" s="2" t="s">
        <v>34</v>
      </c>
      <c r="G2011" s="2" t="s">
        <v>126</v>
      </c>
      <c r="H2011" s="3">
        <v>45385.220138888886</v>
      </c>
      <c r="I2011" s="3">
        <v>45385.332638888889</v>
      </c>
      <c r="J2011" s="2">
        <v>109</v>
      </c>
      <c r="K2011" s="2">
        <v>162</v>
      </c>
      <c r="L2011" s="2">
        <v>1</v>
      </c>
      <c r="M2011" s="2" t="s">
        <v>22</v>
      </c>
      <c r="N2011" s="2">
        <v>9</v>
      </c>
      <c r="O2011" s="2">
        <v>212.42</v>
      </c>
      <c r="P2011" s="2">
        <f t="shared" si="155"/>
        <v>53</v>
      </c>
      <c r="Q2011" s="4">
        <f t="shared" si="156"/>
        <v>0.6728395061728395</v>
      </c>
      <c r="R2011" s="2" t="str">
        <f t="shared" si="157"/>
        <v>Inefficient</v>
      </c>
      <c r="S2011" s="2" t="str">
        <f t="shared" si="158"/>
        <v>Very Long</v>
      </c>
      <c r="T2011" s="2" t="str">
        <f t="shared" si="159"/>
        <v>Major Delay</v>
      </c>
    </row>
    <row r="2012" spans="1:20" x14ac:dyDescent="0.35">
      <c r="A2012" s="2" t="s">
        <v>4207</v>
      </c>
      <c r="B2012" s="2" t="s">
        <v>24</v>
      </c>
      <c r="C2012" s="2" t="s">
        <v>4208</v>
      </c>
      <c r="D2012" s="2" t="s">
        <v>18</v>
      </c>
      <c r="E2012" s="2" t="s">
        <v>85</v>
      </c>
      <c r="F2012" s="2" t="s">
        <v>39</v>
      </c>
      <c r="G2012" s="2" t="s">
        <v>40</v>
      </c>
      <c r="H2012" s="3">
        <v>45383.193749999999</v>
      </c>
      <c r="I2012" s="3">
        <v>45383.245833333334</v>
      </c>
      <c r="J2012" s="2">
        <v>68</v>
      </c>
      <c r="K2012" s="2">
        <v>75</v>
      </c>
      <c r="L2012" s="2">
        <v>1</v>
      </c>
      <c r="M2012" s="2" t="s">
        <v>41</v>
      </c>
      <c r="N2012" s="2">
        <v>7</v>
      </c>
      <c r="O2012" s="2">
        <v>228.72</v>
      </c>
      <c r="P2012" s="2">
        <f t="shared" si="155"/>
        <v>7</v>
      </c>
      <c r="Q2012" s="4">
        <f t="shared" si="156"/>
        <v>0.90666666666666662</v>
      </c>
      <c r="R2012" s="2" t="str">
        <f t="shared" si="157"/>
        <v>Inefficient</v>
      </c>
      <c r="S2012" s="2" t="str">
        <f t="shared" si="158"/>
        <v>Long</v>
      </c>
      <c r="T2012" s="2" t="str">
        <f t="shared" si="159"/>
        <v>Minor Delay</v>
      </c>
    </row>
    <row r="2013" spans="1:20" x14ac:dyDescent="0.35">
      <c r="A2013" s="2" t="s">
        <v>4209</v>
      </c>
      <c r="B2013" s="2" t="s">
        <v>16</v>
      </c>
      <c r="C2013" s="2" t="s">
        <v>4210</v>
      </c>
      <c r="D2013" s="2" t="s">
        <v>26</v>
      </c>
      <c r="E2013" s="2" t="s">
        <v>85</v>
      </c>
      <c r="F2013" s="2" t="s">
        <v>57</v>
      </c>
      <c r="G2013" s="2" t="s">
        <v>383</v>
      </c>
      <c r="H2013" s="3">
        <v>45561.561805555553</v>
      </c>
      <c r="I2013" s="3">
        <v>45561.627083333333</v>
      </c>
      <c r="J2013" s="2">
        <v>94</v>
      </c>
      <c r="K2013" s="2">
        <v>94</v>
      </c>
      <c r="L2013" s="2">
        <v>0</v>
      </c>
      <c r="M2013" s="2" t="s">
        <v>22</v>
      </c>
      <c r="N2013" s="2">
        <v>1</v>
      </c>
      <c r="O2013" s="2">
        <v>213.22</v>
      </c>
      <c r="P2013" s="2">
        <f t="shared" si="155"/>
        <v>0</v>
      </c>
      <c r="Q2013" s="4">
        <f t="shared" si="156"/>
        <v>1</v>
      </c>
      <c r="R2013" s="2" t="str">
        <f t="shared" si="157"/>
        <v>On Target</v>
      </c>
      <c r="S2013" s="2" t="str">
        <f t="shared" si="158"/>
        <v>Long</v>
      </c>
      <c r="T2013" s="2" t="str">
        <f t="shared" si="159"/>
        <v>On Time</v>
      </c>
    </row>
    <row r="2014" spans="1:20" x14ac:dyDescent="0.35">
      <c r="A2014" s="2" t="s">
        <v>4211</v>
      </c>
      <c r="B2014" s="2" t="s">
        <v>31</v>
      </c>
      <c r="C2014" s="2" t="s">
        <v>4212</v>
      </c>
      <c r="D2014" s="2" t="s">
        <v>26</v>
      </c>
      <c r="E2014" s="2" t="s">
        <v>85</v>
      </c>
      <c r="F2014" s="2" t="s">
        <v>39</v>
      </c>
      <c r="G2014" s="2" t="s">
        <v>91</v>
      </c>
      <c r="H2014" s="3">
        <v>45354.518750000003</v>
      </c>
      <c r="I2014" s="3">
        <v>45354.627083333333</v>
      </c>
      <c r="J2014" s="2">
        <v>107</v>
      </c>
      <c r="K2014" s="2">
        <v>156</v>
      </c>
      <c r="L2014" s="2">
        <v>1</v>
      </c>
      <c r="M2014" s="2" t="s">
        <v>41</v>
      </c>
      <c r="N2014" s="2">
        <v>1</v>
      </c>
      <c r="O2014" s="2">
        <v>335.49</v>
      </c>
      <c r="P2014" s="2">
        <f t="shared" si="155"/>
        <v>49</v>
      </c>
      <c r="Q2014" s="4">
        <f t="shared" si="156"/>
        <v>0.6858974358974359</v>
      </c>
      <c r="R2014" s="2" t="str">
        <f t="shared" si="157"/>
        <v>Inefficient</v>
      </c>
      <c r="S2014" s="2" t="str">
        <f t="shared" si="158"/>
        <v>Very Long</v>
      </c>
      <c r="T2014" s="2" t="str">
        <f t="shared" si="159"/>
        <v>Major Delay</v>
      </c>
    </row>
    <row r="2015" spans="1:20" x14ac:dyDescent="0.35">
      <c r="A2015" s="2" t="s">
        <v>4213</v>
      </c>
      <c r="B2015" s="2" t="s">
        <v>51</v>
      </c>
      <c r="C2015" s="2" t="s">
        <v>4214</v>
      </c>
      <c r="D2015" s="2" t="s">
        <v>56</v>
      </c>
      <c r="E2015" s="2" t="s">
        <v>38</v>
      </c>
      <c r="F2015" s="2" t="s">
        <v>57</v>
      </c>
      <c r="G2015" s="2" t="s">
        <v>158</v>
      </c>
      <c r="H2015" s="3">
        <v>45512.216666666667</v>
      </c>
      <c r="I2015" s="3">
        <v>45512.444444444445</v>
      </c>
      <c r="J2015" s="2">
        <v>219</v>
      </c>
      <c r="K2015" s="2">
        <v>328</v>
      </c>
      <c r="L2015" s="2">
        <v>1</v>
      </c>
      <c r="M2015" s="2" t="s">
        <v>29</v>
      </c>
      <c r="N2015" s="2">
        <v>1</v>
      </c>
      <c r="O2015" s="2">
        <v>430.01</v>
      </c>
      <c r="P2015" s="2">
        <f t="shared" si="155"/>
        <v>109</v>
      </c>
      <c r="Q2015" s="4">
        <f t="shared" si="156"/>
        <v>0.66768292682926833</v>
      </c>
      <c r="R2015" s="2" t="str">
        <f t="shared" si="157"/>
        <v>Inefficient</v>
      </c>
      <c r="S2015" s="2" t="str">
        <f t="shared" si="158"/>
        <v>Very Long</v>
      </c>
      <c r="T2015" s="2" t="str">
        <f t="shared" si="159"/>
        <v>Major Delay</v>
      </c>
    </row>
    <row r="2016" spans="1:20" x14ac:dyDescent="0.35">
      <c r="A2016" s="2" t="s">
        <v>4215</v>
      </c>
      <c r="B2016" s="2" t="s">
        <v>24</v>
      </c>
      <c r="C2016" s="2" t="s">
        <v>4216</v>
      </c>
      <c r="D2016" s="2" t="s">
        <v>56</v>
      </c>
      <c r="E2016" s="2" t="s">
        <v>38</v>
      </c>
      <c r="F2016" s="2" t="s">
        <v>27</v>
      </c>
      <c r="G2016" s="2" t="s">
        <v>354</v>
      </c>
      <c r="H2016" s="3">
        <v>45537.856249999997</v>
      </c>
      <c r="I2016" s="3">
        <v>45537.981944444444</v>
      </c>
      <c r="J2016" s="2">
        <v>169</v>
      </c>
      <c r="K2016" s="2">
        <v>181</v>
      </c>
      <c r="L2016" s="2">
        <v>1</v>
      </c>
      <c r="M2016" s="2" t="s">
        <v>41</v>
      </c>
      <c r="N2016" s="2">
        <v>5</v>
      </c>
      <c r="O2016" s="2">
        <v>125.19</v>
      </c>
      <c r="P2016" s="2">
        <f t="shared" si="155"/>
        <v>12</v>
      </c>
      <c r="Q2016" s="4">
        <f t="shared" si="156"/>
        <v>0.93370165745856348</v>
      </c>
      <c r="R2016" s="2" t="str">
        <f t="shared" si="157"/>
        <v>Inefficient</v>
      </c>
      <c r="S2016" s="2" t="str">
        <f t="shared" si="158"/>
        <v>Very Long</v>
      </c>
      <c r="T2016" s="2" t="str">
        <f t="shared" si="159"/>
        <v>Minor Delay</v>
      </c>
    </row>
    <row r="2017" spans="1:20" x14ac:dyDescent="0.35">
      <c r="A2017" s="2" t="s">
        <v>4217</v>
      </c>
      <c r="B2017" s="2" t="s">
        <v>51</v>
      </c>
      <c r="C2017" s="2" t="s">
        <v>4218</v>
      </c>
      <c r="D2017" s="2" t="s">
        <v>18</v>
      </c>
      <c r="E2017" s="2" t="s">
        <v>19</v>
      </c>
      <c r="F2017" s="2" t="s">
        <v>34</v>
      </c>
      <c r="G2017" s="2" t="s">
        <v>631</v>
      </c>
      <c r="H2017" s="3">
        <v>45584.626388888886</v>
      </c>
      <c r="I2017" s="3">
        <v>45584.716666666667</v>
      </c>
      <c r="J2017" s="2">
        <v>53</v>
      </c>
      <c r="K2017" s="2">
        <v>130</v>
      </c>
      <c r="L2017" s="2">
        <v>1</v>
      </c>
      <c r="M2017" s="2" t="s">
        <v>22</v>
      </c>
      <c r="N2017" s="2">
        <v>9</v>
      </c>
      <c r="O2017" s="2">
        <v>389.08</v>
      </c>
      <c r="P2017" s="2">
        <f t="shared" si="155"/>
        <v>77</v>
      </c>
      <c r="Q2017" s="4">
        <f t="shared" si="156"/>
        <v>0.40769230769230769</v>
      </c>
      <c r="R2017" s="2" t="str">
        <f t="shared" si="157"/>
        <v>Inefficient</v>
      </c>
      <c r="S2017" s="2" t="str">
        <f t="shared" si="158"/>
        <v>Very Long</v>
      </c>
      <c r="T2017" s="2" t="str">
        <f t="shared" si="159"/>
        <v>Major Delay</v>
      </c>
    </row>
    <row r="2018" spans="1:20" x14ac:dyDescent="0.35">
      <c r="A2018" s="2" t="s">
        <v>4219</v>
      </c>
      <c r="B2018" s="2" t="s">
        <v>24</v>
      </c>
      <c r="C2018" s="2" t="s">
        <v>4220</v>
      </c>
      <c r="D2018" s="2" t="s">
        <v>48</v>
      </c>
      <c r="E2018" s="2" t="s">
        <v>85</v>
      </c>
      <c r="F2018" s="2" t="s">
        <v>57</v>
      </c>
      <c r="G2018" s="2" t="s">
        <v>512</v>
      </c>
      <c r="H2018" s="3">
        <v>45323.09375</v>
      </c>
      <c r="I2018" s="3">
        <v>45323.29583333333</v>
      </c>
      <c r="J2018" s="2">
        <v>180</v>
      </c>
      <c r="K2018" s="2">
        <v>291</v>
      </c>
      <c r="L2018" s="2">
        <v>1</v>
      </c>
      <c r="M2018" s="2" t="s">
        <v>41</v>
      </c>
      <c r="N2018" s="2">
        <v>9</v>
      </c>
      <c r="O2018" s="2">
        <v>130.97</v>
      </c>
      <c r="P2018" s="2">
        <f t="shared" si="155"/>
        <v>111</v>
      </c>
      <c r="Q2018" s="4">
        <f t="shared" si="156"/>
        <v>0.61855670103092786</v>
      </c>
      <c r="R2018" s="2" t="str">
        <f t="shared" si="157"/>
        <v>Inefficient</v>
      </c>
      <c r="S2018" s="2" t="str">
        <f t="shared" si="158"/>
        <v>Very Long</v>
      </c>
      <c r="T2018" s="2" t="str">
        <f t="shared" si="159"/>
        <v>Major Delay</v>
      </c>
    </row>
    <row r="2019" spans="1:20" x14ac:dyDescent="0.35">
      <c r="A2019" s="2" t="s">
        <v>4221</v>
      </c>
      <c r="B2019" s="2" t="s">
        <v>16</v>
      </c>
      <c r="C2019" s="2" t="s">
        <v>4222</v>
      </c>
      <c r="D2019" s="2" t="s">
        <v>26</v>
      </c>
      <c r="E2019" s="2" t="s">
        <v>85</v>
      </c>
      <c r="F2019" s="2" t="s">
        <v>57</v>
      </c>
      <c r="G2019" s="2" t="s">
        <v>782</v>
      </c>
      <c r="H2019" s="3">
        <v>45575.690972222219</v>
      </c>
      <c r="I2019" s="3">
        <v>45575.830555555556</v>
      </c>
      <c r="J2019" s="2">
        <v>145</v>
      </c>
      <c r="K2019" s="2">
        <v>201</v>
      </c>
      <c r="L2019" s="2">
        <v>1</v>
      </c>
      <c r="M2019" s="2" t="s">
        <v>22</v>
      </c>
      <c r="N2019" s="2">
        <v>7</v>
      </c>
      <c r="O2019" s="2">
        <v>327.20999999999998</v>
      </c>
      <c r="P2019" s="2">
        <f t="shared" si="155"/>
        <v>56</v>
      </c>
      <c r="Q2019" s="4">
        <f t="shared" si="156"/>
        <v>0.72139303482587069</v>
      </c>
      <c r="R2019" s="2" t="str">
        <f t="shared" si="157"/>
        <v>Inefficient</v>
      </c>
      <c r="S2019" s="2" t="str">
        <f t="shared" si="158"/>
        <v>Very Long</v>
      </c>
      <c r="T2019" s="2" t="str">
        <f t="shared" si="159"/>
        <v>Major Delay</v>
      </c>
    </row>
    <row r="2020" spans="1:20" x14ac:dyDescent="0.35">
      <c r="A2020" s="2" t="s">
        <v>4223</v>
      </c>
      <c r="B2020" s="2" t="s">
        <v>51</v>
      </c>
      <c r="C2020" s="2" t="s">
        <v>4224</v>
      </c>
      <c r="D2020" s="2" t="s">
        <v>56</v>
      </c>
      <c r="E2020" s="2" t="s">
        <v>19</v>
      </c>
      <c r="F2020" s="2" t="s">
        <v>27</v>
      </c>
      <c r="G2020" s="2" t="s">
        <v>397</v>
      </c>
      <c r="H2020" s="3">
        <v>45586.586805555555</v>
      </c>
      <c r="I2020" s="3">
        <v>45586.765277777777</v>
      </c>
      <c r="J2020" s="2">
        <v>232</v>
      </c>
      <c r="K2020" s="2">
        <v>257</v>
      </c>
      <c r="L2020" s="2">
        <v>1</v>
      </c>
      <c r="M2020" s="2" t="s">
        <v>29</v>
      </c>
      <c r="N2020" s="2">
        <v>7</v>
      </c>
      <c r="O2020" s="2">
        <v>409.06</v>
      </c>
      <c r="P2020" s="2">
        <f t="shared" si="155"/>
        <v>25</v>
      </c>
      <c r="Q2020" s="4">
        <f t="shared" si="156"/>
        <v>0.90272373540856032</v>
      </c>
      <c r="R2020" s="2" t="str">
        <f t="shared" si="157"/>
        <v>Inefficient</v>
      </c>
      <c r="S2020" s="2" t="str">
        <f t="shared" si="158"/>
        <v>Very Long</v>
      </c>
      <c r="T2020" s="2" t="str">
        <f t="shared" si="159"/>
        <v>Minor Delay</v>
      </c>
    </row>
    <row r="2021" spans="1:20" x14ac:dyDescent="0.35">
      <c r="A2021" s="2" t="s">
        <v>4225</v>
      </c>
      <c r="B2021" s="2" t="s">
        <v>31</v>
      </c>
      <c r="C2021" s="2" t="s">
        <v>4226</v>
      </c>
      <c r="D2021" s="2" t="s">
        <v>44</v>
      </c>
      <c r="E2021" s="2" t="s">
        <v>19</v>
      </c>
      <c r="F2021" s="2" t="s">
        <v>57</v>
      </c>
      <c r="G2021" s="2" t="s">
        <v>842</v>
      </c>
      <c r="H2021" s="3">
        <v>45627.190972222219</v>
      </c>
      <c r="I2021" s="3">
        <v>45627.386111111111</v>
      </c>
      <c r="J2021" s="2">
        <v>216</v>
      </c>
      <c r="K2021" s="2">
        <v>281</v>
      </c>
      <c r="L2021" s="2">
        <v>1</v>
      </c>
      <c r="M2021" s="2" t="s">
        <v>29</v>
      </c>
      <c r="N2021" s="2">
        <v>5</v>
      </c>
      <c r="O2021" s="2">
        <v>323.60000000000002</v>
      </c>
      <c r="P2021" s="2">
        <f t="shared" si="155"/>
        <v>65</v>
      </c>
      <c r="Q2021" s="4">
        <f t="shared" si="156"/>
        <v>0.76868327402135228</v>
      </c>
      <c r="R2021" s="2" t="str">
        <f t="shared" si="157"/>
        <v>Inefficient</v>
      </c>
      <c r="S2021" s="2" t="str">
        <f t="shared" si="158"/>
        <v>Very Long</v>
      </c>
      <c r="T2021" s="2" t="str">
        <f t="shared" si="159"/>
        <v>Major Delay</v>
      </c>
    </row>
    <row r="2022" spans="1:20" x14ac:dyDescent="0.35">
      <c r="A2022" s="2" t="s">
        <v>4227</v>
      </c>
      <c r="B2022" s="2" t="s">
        <v>63</v>
      </c>
      <c r="C2022" s="2" t="s">
        <v>4228</v>
      </c>
      <c r="D2022" s="2" t="s">
        <v>18</v>
      </c>
      <c r="E2022" s="2" t="s">
        <v>33</v>
      </c>
      <c r="F2022" s="2" t="s">
        <v>57</v>
      </c>
      <c r="G2022" s="2" t="s">
        <v>76</v>
      </c>
      <c r="H2022" s="3">
        <v>45594.06527777778</v>
      </c>
      <c r="I2022" s="3">
        <v>45594.225694444445</v>
      </c>
      <c r="J2022" s="2">
        <v>112</v>
      </c>
      <c r="K2022" s="2">
        <v>231</v>
      </c>
      <c r="L2022" s="2">
        <v>1</v>
      </c>
      <c r="M2022" s="2" t="s">
        <v>22</v>
      </c>
      <c r="N2022" s="2">
        <v>7</v>
      </c>
      <c r="O2022" s="2">
        <v>74.790000000000006</v>
      </c>
      <c r="P2022" s="2">
        <f t="shared" si="155"/>
        <v>119</v>
      </c>
      <c r="Q2022" s="4">
        <f t="shared" si="156"/>
        <v>0.48484848484848486</v>
      </c>
      <c r="R2022" s="2" t="str">
        <f t="shared" si="157"/>
        <v>Inefficient</v>
      </c>
      <c r="S2022" s="2" t="str">
        <f t="shared" si="158"/>
        <v>Very Long</v>
      </c>
      <c r="T2022" s="2" t="str">
        <f t="shared" si="159"/>
        <v>Major Delay</v>
      </c>
    </row>
    <row r="2023" spans="1:20" x14ac:dyDescent="0.35">
      <c r="A2023" s="2" t="s">
        <v>4229</v>
      </c>
      <c r="B2023" s="2" t="s">
        <v>24</v>
      </c>
      <c r="C2023" s="2" t="s">
        <v>4230</v>
      </c>
      <c r="D2023" s="2" t="s">
        <v>26</v>
      </c>
      <c r="E2023" s="2" t="s">
        <v>85</v>
      </c>
      <c r="F2023" s="2" t="s">
        <v>34</v>
      </c>
      <c r="G2023" s="2" t="s">
        <v>383</v>
      </c>
      <c r="H2023" s="3">
        <v>45554.965277777781</v>
      </c>
      <c r="I2023" s="3">
        <v>45555.037499999999</v>
      </c>
      <c r="J2023" s="2">
        <v>75</v>
      </c>
      <c r="K2023" s="2">
        <v>104</v>
      </c>
      <c r="L2023" s="2">
        <v>1</v>
      </c>
      <c r="M2023" s="2" t="s">
        <v>22</v>
      </c>
      <c r="N2023" s="2">
        <v>7</v>
      </c>
      <c r="O2023" s="2">
        <v>419.38</v>
      </c>
      <c r="P2023" s="2">
        <f t="shared" si="155"/>
        <v>29</v>
      </c>
      <c r="Q2023" s="4">
        <f t="shared" si="156"/>
        <v>0.72115384615384615</v>
      </c>
      <c r="R2023" s="2" t="str">
        <f t="shared" si="157"/>
        <v>Inefficient</v>
      </c>
      <c r="S2023" s="2" t="str">
        <f t="shared" si="158"/>
        <v>Long</v>
      </c>
      <c r="T2023" s="2" t="str">
        <f t="shared" si="159"/>
        <v>Minor Delay</v>
      </c>
    </row>
    <row r="2024" spans="1:20" x14ac:dyDescent="0.35">
      <c r="A2024" s="2" t="s">
        <v>4231</v>
      </c>
      <c r="B2024" s="2" t="s">
        <v>31</v>
      </c>
      <c r="C2024" s="2" t="s">
        <v>4232</v>
      </c>
      <c r="D2024" s="2" t="s">
        <v>18</v>
      </c>
      <c r="E2024" s="2" t="s">
        <v>85</v>
      </c>
      <c r="F2024" s="2" t="s">
        <v>27</v>
      </c>
      <c r="G2024" s="2" t="s">
        <v>49</v>
      </c>
      <c r="H2024" s="3">
        <v>45459.236111111109</v>
      </c>
      <c r="I2024" s="3">
        <v>45459.408333333333</v>
      </c>
      <c r="J2024" s="2">
        <v>169</v>
      </c>
      <c r="K2024" s="2">
        <v>248</v>
      </c>
      <c r="L2024" s="2">
        <v>1</v>
      </c>
      <c r="M2024" s="2" t="s">
        <v>41</v>
      </c>
      <c r="N2024" s="2">
        <v>2</v>
      </c>
      <c r="O2024" s="2">
        <v>425.42</v>
      </c>
      <c r="P2024" s="2">
        <f t="shared" si="155"/>
        <v>79</v>
      </c>
      <c r="Q2024" s="4">
        <f t="shared" si="156"/>
        <v>0.68145161290322576</v>
      </c>
      <c r="R2024" s="2" t="str">
        <f t="shared" si="157"/>
        <v>Inefficient</v>
      </c>
      <c r="S2024" s="2" t="str">
        <f t="shared" si="158"/>
        <v>Very Long</v>
      </c>
      <c r="T2024" s="2" t="str">
        <f t="shared" si="159"/>
        <v>Major Delay</v>
      </c>
    </row>
    <row r="2025" spans="1:20" x14ac:dyDescent="0.35">
      <c r="A2025" s="2" t="s">
        <v>4233</v>
      </c>
      <c r="B2025" s="2" t="s">
        <v>63</v>
      </c>
      <c r="C2025" s="2" t="s">
        <v>4234</v>
      </c>
      <c r="D2025" s="2" t="s">
        <v>48</v>
      </c>
      <c r="E2025" s="2" t="s">
        <v>19</v>
      </c>
      <c r="F2025" s="2" t="s">
        <v>57</v>
      </c>
      <c r="G2025" s="2" t="s">
        <v>137</v>
      </c>
      <c r="H2025" s="3">
        <v>45635.880555555559</v>
      </c>
      <c r="I2025" s="3">
        <v>45635.963888888888</v>
      </c>
      <c r="J2025" s="2">
        <v>116</v>
      </c>
      <c r="K2025" s="2">
        <v>120</v>
      </c>
      <c r="L2025" s="2">
        <v>1</v>
      </c>
      <c r="M2025" s="2" t="s">
        <v>22</v>
      </c>
      <c r="N2025" s="2">
        <v>9</v>
      </c>
      <c r="O2025" s="2">
        <v>495.29</v>
      </c>
      <c r="P2025" s="2">
        <f t="shared" si="155"/>
        <v>4</v>
      </c>
      <c r="Q2025" s="4">
        <f t="shared" si="156"/>
        <v>0.96666666666666667</v>
      </c>
      <c r="R2025" s="2" t="str">
        <f t="shared" si="157"/>
        <v>Inefficient</v>
      </c>
      <c r="S2025" s="2" t="str">
        <f t="shared" si="158"/>
        <v>Very Long</v>
      </c>
      <c r="T2025" s="2" t="str">
        <f t="shared" si="159"/>
        <v>Minor Delay</v>
      </c>
    </row>
    <row r="2026" spans="1:20" x14ac:dyDescent="0.35">
      <c r="A2026" s="2" t="s">
        <v>4235</v>
      </c>
      <c r="B2026" s="2" t="s">
        <v>24</v>
      </c>
      <c r="C2026" s="2" t="s">
        <v>4236</v>
      </c>
      <c r="D2026" s="2" t="s">
        <v>44</v>
      </c>
      <c r="E2026" s="2" t="s">
        <v>85</v>
      </c>
      <c r="F2026" s="2" t="s">
        <v>39</v>
      </c>
      <c r="G2026" s="2" t="s">
        <v>485</v>
      </c>
      <c r="H2026" s="3">
        <v>45311.038888888892</v>
      </c>
      <c r="I2026" s="3">
        <v>45311.104861111111</v>
      </c>
      <c r="J2026" s="2">
        <v>15</v>
      </c>
      <c r="K2026" s="2">
        <v>95</v>
      </c>
      <c r="L2026" s="2">
        <v>1</v>
      </c>
      <c r="M2026" s="2" t="s">
        <v>29</v>
      </c>
      <c r="N2026" s="2">
        <v>4</v>
      </c>
      <c r="O2026" s="2">
        <v>454.59</v>
      </c>
      <c r="P2026" s="2">
        <f t="shared" si="155"/>
        <v>80</v>
      </c>
      <c r="Q2026" s="4">
        <f t="shared" si="156"/>
        <v>0.15789473684210525</v>
      </c>
      <c r="R2026" s="2" t="str">
        <f t="shared" si="157"/>
        <v>Inefficient</v>
      </c>
      <c r="S2026" s="2" t="str">
        <f t="shared" si="158"/>
        <v>Long</v>
      </c>
      <c r="T2026" s="2" t="str">
        <f t="shared" si="159"/>
        <v>Major Delay</v>
      </c>
    </row>
    <row r="2027" spans="1:20" x14ac:dyDescent="0.35">
      <c r="A2027" s="2" t="s">
        <v>4237</v>
      </c>
      <c r="B2027" s="2" t="s">
        <v>63</v>
      </c>
      <c r="C2027" s="2" t="s">
        <v>4238</v>
      </c>
      <c r="D2027" s="2" t="s">
        <v>18</v>
      </c>
      <c r="E2027" s="2" t="s">
        <v>19</v>
      </c>
      <c r="F2027" s="2" t="s">
        <v>20</v>
      </c>
      <c r="G2027" s="2" t="s">
        <v>470</v>
      </c>
      <c r="H2027" s="3">
        <v>45510.625694444447</v>
      </c>
      <c r="I2027" s="3">
        <v>45510.725694444445</v>
      </c>
      <c r="J2027" s="2">
        <v>67</v>
      </c>
      <c r="K2027" s="2">
        <v>144</v>
      </c>
      <c r="L2027" s="2">
        <v>1</v>
      </c>
      <c r="M2027" s="2" t="s">
        <v>41</v>
      </c>
      <c r="N2027" s="2">
        <v>9</v>
      </c>
      <c r="O2027" s="2">
        <v>122.98</v>
      </c>
      <c r="P2027" s="2">
        <f t="shared" si="155"/>
        <v>77</v>
      </c>
      <c r="Q2027" s="4">
        <f t="shared" si="156"/>
        <v>0.46527777777777779</v>
      </c>
      <c r="R2027" s="2" t="str">
        <f t="shared" si="157"/>
        <v>Inefficient</v>
      </c>
      <c r="S2027" s="2" t="str">
        <f t="shared" si="158"/>
        <v>Very Long</v>
      </c>
      <c r="T2027" s="2" t="str">
        <f t="shared" si="159"/>
        <v>Major Delay</v>
      </c>
    </row>
    <row r="2028" spans="1:20" x14ac:dyDescent="0.35">
      <c r="A2028" s="2" t="s">
        <v>4239</v>
      </c>
      <c r="B2028" s="2" t="s">
        <v>24</v>
      </c>
      <c r="C2028" s="2" t="s">
        <v>4240</v>
      </c>
      <c r="D2028" s="2" t="s">
        <v>26</v>
      </c>
      <c r="E2028" s="2" t="s">
        <v>19</v>
      </c>
      <c r="F2028" s="2" t="s">
        <v>27</v>
      </c>
      <c r="G2028" s="2" t="s">
        <v>376</v>
      </c>
      <c r="H2028" s="3">
        <v>45538.589583333334</v>
      </c>
      <c r="I2028" s="3">
        <v>45538.662499999999</v>
      </c>
      <c r="J2028" s="2">
        <v>99</v>
      </c>
      <c r="K2028" s="2">
        <v>105</v>
      </c>
      <c r="L2028" s="2">
        <v>1</v>
      </c>
      <c r="M2028" s="2" t="s">
        <v>29</v>
      </c>
      <c r="N2028" s="2">
        <v>9</v>
      </c>
      <c r="O2028" s="2">
        <v>454.8</v>
      </c>
      <c r="P2028" s="2">
        <f t="shared" si="155"/>
        <v>6</v>
      </c>
      <c r="Q2028" s="4">
        <f t="shared" si="156"/>
        <v>0.94285714285714284</v>
      </c>
      <c r="R2028" s="2" t="str">
        <f t="shared" si="157"/>
        <v>Inefficient</v>
      </c>
      <c r="S2028" s="2" t="str">
        <f t="shared" si="158"/>
        <v>Long</v>
      </c>
      <c r="T2028" s="2" t="str">
        <f t="shared" si="159"/>
        <v>Minor Delay</v>
      </c>
    </row>
    <row r="2029" spans="1:20" x14ac:dyDescent="0.35">
      <c r="A2029" s="2" t="s">
        <v>4241</v>
      </c>
      <c r="B2029" s="2" t="s">
        <v>31</v>
      </c>
      <c r="C2029" s="2" t="s">
        <v>4242</v>
      </c>
      <c r="D2029" s="2" t="s">
        <v>56</v>
      </c>
      <c r="E2029" s="2" t="s">
        <v>33</v>
      </c>
      <c r="F2029" s="2" t="s">
        <v>34</v>
      </c>
      <c r="G2029" s="2" t="s">
        <v>546</v>
      </c>
      <c r="H2029" s="3">
        <v>45488.629861111112</v>
      </c>
      <c r="I2029" s="3">
        <v>45488.753472222219</v>
      </c>
      <c r="J2029" s="2">
        <v>86</v>
      </c>
      <c r="K2029" s="2">
        <v>178</v>
      </c>
      <c r="L2029" s="2">
        <v>1</v>
      </c>
      <c r="M2029" s="2" t="s">
        <v>22</v>
      </c>
      <c r="N2029" s="2">
        <v>4</v>
      </c>
      <c r="O2029" s="2">
        <v>169.4</v>
      </c>
      <c r="P2029" s="2">
        <f t="shared" si="155"/>
        <v>92</v>
      </c>
      <c r="Q2029" s="4">
        <f t="shared" si="156"/>
        <v>0.48314606741573035</v>
      </c>
      <c r="R2029" s="2" t="str">
        <f t="shared" si="157"/>
        <v>Inefficient</v>
      </c>
      <c r="S2029" s="2" t="str">
        <f t="shared" si="158"/>
        <v>Very Long</v>
      </c>
      <c r="T2029" s="2" t="str">
        <f t="shared" si="159"/>
        <v>Major Delay</v>
      </c>
    </row>
    <row r="2030" spans="1:20" x14ac:dyDescent="0.35">
      <c r="A2030" s="2" t="s">
        <v>4243</v>
      </c>
      <c r="B2030" s="2" t="s">
        <v>51</v>
      </c>
      <c r="C2030" s="2" t="s">
        <v>4244</v>
      </c>
      <c r="D2030" s="2" t="s">
        <v>26</v>
      </c>
      <c r="E2030" s="2" t="s">
        <v>85</v>
      </c>
      <c r="F2030" s="2" t="s">
        <v>20</v>
      </c>
      <c r="G2030" s="2" t="s">
        <v>213</v>
      </c>
      <c r="H2030" s="3">
        <v>45642.306944444441</v>
      </c>
      <c r="I2030" s="3">
        <v>45642.353472222225</v>
      </c>
      <c r="J2030" s="2">
        <v>10</v>
      </c>
      <c r="K2030" s="2">
        <v>67</v>
      </c>
      <c r="L2030" s="2">
        <v>1</v>
      </c>
      <c r="M2030" s="2" t="s">
        <v>29</v>
      </c>
      <c r="N2030" s="2">
        <v>7</v>
      </c>
      <c r="O2030" s="2">
        <v>394.25</v>
      </c>
      <c r="P2030" s="2">
        <f t="shared" si="155"/>
        <v>57</v>
      </c>
      <c r="Q2030" s="4">
        <f t="shared" si="156"/>
        <v>0.14925373134328357</v>
      </c>
      <c r="R2030" s="2" t="str">
        <f t="shared" si="157"/>
        <v>Inefficient</v>
      </c>
      <c r="S2030" s="2" t="str">
        <f t="shared" si="158"/>
        <v>Long</v>
      </c>
      <c r="T2030" s="2" t="str">
        <f t="shared" si="159"/>
        <v>Major Delay</v>
      </c>
    </row>
    <row r="2031" spans="1:20" x14ac:dyDescent="0.35">
      <c r="A2031" s="2" t="s">
        <v>4245</v>
      </c>
      <c r="B2031" s="2" t="s">
        <v>63</v>
      </c>
      <c r="C2031" s="2" t="s">
        <v>4246</v>
      </c>
      <c r="D2031" s="2" t="s">
        <v>48</v>
      </c>
      <c r="E2031" s="2" t="s">
        <v>33</v>
      </c>
      <c r="F2031" s="2" t="s">
        <v>34</v>
      </c>
      <c r="G2031" s="2" t="s">
        <v>108</v>
      </c>
      <c r="H2031" s="3">
        <v>45496.935416666667</v>
      </c>
      <c r="I2031" s="3">
        <v>45497.052083333336</v>
      </c>
      <c r="J2031" s="2">
        <v>96</v>
      </c>
      <c r="K2031" s="2">
        <v>168</v>
      </c>
      <c r="L2031" s="2">
        <v>1</v>
      </c>
      <c r="M2031" s="2" t="s">
        <v>29</v>
      </c>
      <c r="N2031" s="2">
        <v>1</v>
      </c>
      <c r="O2031" s="2">
        <v>249.36</v>
      </c>
      <c r="P2031" s="2">
        <f t="shared" si="155"/>
        <v>72</v>
      </c>
      <c r="Q2031" s="4">
        <f t="shared" si="156"/>
        <v>0.5714285714285714</v>
      </c>
      <c r="R2031" s="2" t="str">
        <f t="shared" si="157"/>
        <v>Inefficient</v>
      </c>
      <c r="S2031" s="2" t="str">
        <f t="shared" si="158"/>
        <v>Very Long</v>
      </c>
      <c r="T2031" s="2" t="str">
        <f t="shared" si="159"/>
        <v>Major Delay</v>
      </c>
    </row>
    <row r="2032" spans="1:20" x14ac:dyDescent="0.35">
      <c r="A2032" s="2" t="s">
        <v>4247</v>
      </c>
      <c r="B2032" s="2" t="s">
        <v>31</v>
      </c>
      <c r="C2032" s="2" t="s">
        <v>4248</v>
      </c>
      <c r="D2032" s="2" t="s">
        <v>56</v>
      </c>
      <c r="E2032" s="2" t="s">
        <v>85</v>
      </c>
      <c r="F2032" s="2" t="s">
        <v>34</v>
      </c>
      <c r="G2032" s="2" t="s">
        <v>288</v>
      </c>
      <c r="H2032" s="3">
        <v>45471.213888888888</v>
      </c>
      <c r="I2032" s="3">
        <v>45471.412499999999</v>
      </c>
      <c r="J2032" s="2">
        <v>197</v>
      </c>
      <c r="K2032" s="2">
        <v>286</v>
      </c>
      <c r="L2032" s="2">
        <v>1</v>
      </c>
      <c r="M2032" s="2" t="s">
        <v>22</v>
      </c>
      <c r="N2032" s="2">
        <v>8</v>
      </c>
      <c r="O2032" s="2">
        <v>145.82</v>
      </c>
      <c r="P2032" s="2">
        <f t="shared" si="155"/>
        <v>89</v>
      </c>
      <c r="Q2032" s="4">
        <f t="shared" si="156"/>
        <v>0.68881118881118886</v>
      </c>
      <c r="R2032" s="2" t="str">
        <f t="shared" si="157"/>
        <v>Inefficient</v>
      </c>
      <c r="S2032" s="2" t="str">
        <f t="shared" si="158"/>
        <v>Very Long</v>
      </c>
      <c r="T2032" s="2" t="str">
        <f t="shared" si="159"/>
        <v>Major Delay</v>
      </c>
    </row>
    <row r="2033" spans="1:20" x14ac:dyDescent="0.35">
      <c r="A2033" s="2" t="s">
        <v>4249</v>
      </c>
      <c r="B2033" s="2" t="s">
        <v>31</v>
      </c>
      <c r="C2033" s="2" t="s">
        <v>4250</v>
      </c>
      <c r="D2033" s="2" t="s">
        <v>44</v>
      </c>
      <c r="E2033" s="2" t="s">
        <v>85</v>
      </c>
      <c r="F2033" s="2" t="s">
        <v>34</v>
      </c>
      <c r="G2033" s="2" t="s">
        <v>376</v>
      </c>
      <c r="H2033" s="3">
        <v>45526.209722222222</v>
      </c>
      <c r="I2033" s="3">
        <v>45526.418749999997</v>
      </c>
      <c r="J2033" s="2">
        <v>228</v>
      </c>
      <c r="K2033" s="2">
        <v>301</v>
      </c>
      <c r="L2033" s="2">
        <v>1</v>
      </c>
      <c r="M2033" s="2" t="s">
        <v>29</v>
      </c>
      <c r="N2033" s="2">
        <v>4</v>
      </c>
      <c r="O2033" s="2">
        <v>300.62</v>
      </c>
      <c r="P2033" s="2">
        <f t="shared" si="155"/>
        <v>73</v>
      </c>
      <c r="Q2033" s="4">
        <f t="shared" si="156"/>
        <v>0.75747508305647837</v>
      </c>
      <c r="R2033" s="2" t="str">
        <f t="shared" si="157"/>
        <v>Inefficient</v>
      </c>
      <c r="S2033" s="2" t="str">
        <f t="shared" si="158"/>
        <v>Very Long</v>
      </c>
      <c r="T2033" s="2" t="str">
        <f t="shared" si="159"/>
        <v>Major Delay</v>
      </c>
    </row>
    <row r="2034" spans="1:20" x14ac:dyDescent="0.35">
      <c r="A2034" s="2" t="s">
        <v>4251</v>
      </c>
      <c r="B2034" s="2" t="s">
        <v>16</v>
      </c>
      <c r="C2034" s="2" t="s">
        <v>4252</v>
      </c>
      <c r="D2034" s="2" t="s">
        <v>56</v>
      </c>
      <c r="E2034" s="2" t="s">
        <v>19</v>
      </c>
      <c r="F2034" s="2" t="s">
        <v>20</v>
      </c>
      <c r="G2034" s="2" t="s">
        <v>842</v>
      </c>
      <c r="H2034" s="3">
        <v>45343.775694444441</v>
      </c>
      <c r="I2034" s="3">
        <v>45343.931250000001</v>
      </c>
      <c r="J2034" s="2">
        <v>142</v>
      </c>
      <c r="K2034" s="2">
        <v>224</v>
      </c>
      <c r="L2034" s="2">
        <v>1</v>
      </c>
      <c r="M2034" s="2" t="s">
        <v>29</v>
      </c>
      <c r="N2034" s="2">
        <v>6</v>
      </c>
      <c r="O2034" s="2">
        <v>264.08</v>
      </c>
      <c r="P2034" s="2">
        <f t="shared" si="155"/>
        <v>82</v>
      </c>
      <c r="Q2034" s="4">
        <f t="shared" si="156"/>
        <v>0.6339285714285714</v>
      </c>
      <c r="R2034" s="2" t="str">
        <f t="shared" si="157"/>
        <v>Inefficient</v>
      </c>
      <c r="S2034" s="2" t="str">
        <f t="shared" si="158"/>
        <v>Very Long</v>
      </c>
      <c r="T2034" s="2" t="str">
        <f t="shared" si="159"/>
        <v>Major Delay</v>
      </c>
    </row>
    <row r="2035" spans="1:20" x14ac:dyDescent="0.35">
      <c r="A2035" s="2" t="s">
        <v>4253</v>
      </c>
      <c r="B2035" s="2" t="s">
        <v>24</v>
      </c>
      <c r="C2035" s="2" t="s">
        <v>4254</v>
      </c>
      <c r="D2035" s="2" t="s">
        <v>56</v>
      </c>
      <c r="E2035" s="2" t="s">
        <v>33</v>
      </c>
      <c r="F2035" s="2" t="s">
        <v>57</v>
      </c>
      <c r="G2035" s="2" t="s">
        <v>191</v>
      </c>
      <c r="H2035" s="3">
        <v>45553.515972222223</v>
      </c>
      <c r="I2035" s="3">
        <v>45553.600694444445</v>
      </c>
      <c r="J2035" s="2">
        <v>73</v>
      </c>
      <c r="K2035" s="2">
        <v>122</v>
      </c>
      <c r="L2035" s="2">
        <v>1</v>
      </c>
      <c r="M2035" s="2" t="s">
        <v>29</v>
      </c>
      <c r="N2035" s="2">
        <v>5</v>
      </c>
      <c r="O2035" s="2">
        <v>194.28</v>
      </c>
      <c r="P2035" s="2">
        <f t="shared" si="155"/>
        <v>49</v>
      </c>
      <c r="Q2035" s="4">
        <f t="shared" si="156"/>
        <v>0.59836065573770492</v>
      </c>
      <c r="R2035" s="2" t="str">
        <f t="shared" si="157"/>
        <v>Inefficient</v>
      </c>
      <c r="S2035" s="2" t="str">
        <f t="shared" si="158"/>
        <v>Very Long</v>
      </c>
      <c r="T2035" s="2" t="str">
        <f t="shared" si="159"/>
        <v>Major Delay</v>
      </c>
    </row>
    <row r="2036" spans="1:20" x14ac:dyDescent="0.35">
      <c r="A2036" s="2" t="s">
        <v>4255</v>
      </c>
      <c r="B2036" s="2" t="s">
        <v>16</v>
      </c>
      <c r="C2036" s="2" t="s">
        <v>4256</v>
      </c>
      <c r="D2036" s="2" t="s">
        <v>18</v>
      </c>
      <c r="E2036" s="2" t="s">
        <v>38</v>
      </c>
      <c r="F2036" s="2" t="s">
        <v>27</v>
      </c>
      <c r="G2036" s="2" t="s">
        <v>222</v>
      </c>
      <c r="H2036" s="3">
        <v>45595.395833333336</v>
      </c>
      <c r="I2036" s="3">
        <v>45595.539583333331</v>
      </c>
      <c r="J2036" s="2">
        <v>99</v>
      </c>
      <c r="K2036" s="2">
        <v>207</v>
      </c>
      <c r="L2036" s="2">
        <v>1</v>
      </c>
      <c r="M2036" s="2" t="s">
        <v>22</v>
      </c>
      <c r="N2036" s="2">
        <v>2</v>
      </c>
      <c r="O2036" s="2">
        <v>335.59</v>
      </c>
      <c r="P2036" s="2">
        <f t="shared" si="155"/>
        <v>108</v>
      </c>
      <c r="Q2036" s="4">
        <f t="shared" si="156"/>
        <v>0.47826086956521741</v>
      </c>
      <c r="R2036" s="2" t="str">
        <f t="shared" si="157"/>
        <v>Inefficient</v>
      </c>
      <c r="S2036" s="2" t="str">
        <f t="shared" si="158"/>
        <v>Very Long</v>
      </c>
      <c r="T2036" s="2" t="str">
        <f t="shared" si="159"/>
        <v>Major Delay</v>
      </c>
    </row>
    <row r="2037" spans="1:20" x14ac:dyDescent="0.35">
      <c r="A2037" s="2" t="s">
        <v>4257</v>
      </c>
      <c r="B2037" s="2" t="s">
        <v>16</v>
      </c>
      <c r="C2037" s="2" t="s">
        <v>4258</v>
      </c>
      <c r="D2037" s="2" t="s">
        <v>44</v>
      </c>
      <c r="E2037" s="2" t="s">
        <v>38</v>
      </c>
      <c r="F2037" s="2" t="s">
        <v>34</v>
      </c>
      <c r="G2037" s="2" t="s">
        <v>61</v>
      </c>
      <c r="H2037" s="3">
        <v>45470.288888888892</v>
      </c>
      <c r="I2037" s="3">
        <v>45470.442361111112</v>
      </c>
      <c r="J2037" s="2">
        <v>164</v>
      </c>
      <c r="K2037" s="2">
        <v>221</v>
      </c>
      <c r="L2037" s="2">
        <v>1</v>
      </c>
      <c r="M2037" s="2" t="s">
        <v>22</v>
      </c>
      <c r="N2037" s="2">
        <v>2</v>
      </c>
      <c r="O2037" s="2">
        <v>173.17</v>
      </c>
      <c r="P2037" s="2">
        <f t="shared" si="155"/>
        <v>57</v>
      </c>
      <c r="Q2037" s="4">
        <f t="shared" si="156"/>
        <v>0.74208144796380093</v>
      </c>
      <c r="R2037" s="2" t="str">
        <f t="shared" si="157"/>
        <v>Inefficient</v>
      </c>
      <c r="S2037" s="2" t="str">
        <f t="shared" si="158"/>
        <v>Very Long</v>
      </c>
      <c r="T2037" s="2" t="str">
        <f t="shared" si="159"/>
        <v>Major Delay</v>
      </c>
    </row>
    <row r="2038" spans="1:20" x14ac:dyDescent="0.35">
      <c r="A2038" s="2" t="s">
        <v>4259</v>
      </c>
      <c r="B2038" s="2" t="s">
        <v>51</v>
      </c>
      <c r="C2038" s="2" t="s">
        <v>4260</v>
      </c>
      <c r="D2038" s="2" t="s">
        <v>56</v>
      </c>
      <c r="E2038" s="2" t="s">
        <v>33</v>
      </c>
      <c r="F2038" s="2" t="s">
        <v>34</v>
      </c>
      <c r="G2038" s="2" t="s">
        <v>782</v>
      </c>
      <c r="H2038" s="3">
        <v>45541.884722222225</v>
      </c>
      <c r="I2038" s="3">
        <v>45541.90902777778</v>
      </c>
      <c r="J2038" s="2">
        <v>40</v>
      </c>
      <c r="K2038" s="2">
        <v>35</v>
      </c>
      <c r="L2038" s="2">
        <v>0</v>
      </c>
      <c r="M2038" s="2" t="s">
        <v>29</v>
      </c>
      <c r="N2038" s="2">
        <v>9</v>
      </c>
      <c r="O2038" s="2">
        <v>88.28</v>
      </c>
      <c r="P2038" s="2">
        <f t="shared" si="155"/>
        <v>-5</v>
      </c>
      <c r="Q2038" s="4">
        <f t="shared" si="156"/>
        <v>1.1428571428571428</v>
      </c>
      <c r="R2038" s="2" t="str">
        <f t="shared" si="157"/>
        <v>Efficient</v>
      </c>
      <c r="S2038" s="2" t="str">
        <f t="shared" si="158"/>
        <v>Medium</v>
      </c>
      <c r="T2038" s="2" t="str">
        <f t="shared" si="159"/>
        <v>On Time</v>
      </c>
    </row>
    <row r="2039" spans="1:20" x14ac:dyDescent="0.35">
      <c r="A2039" s="2" t="s">
        <v>4261</v>
      </c>
      <c r="B2039" s="2" t="s">
        <v>31</v>
      </c>
      <c r="C2039" s="2" t="s">
        <v>4262</v>
      </c>
      <c r="D2039" s="2" t="s">
        <v>18</v>
      </c>
      <c r="E2039" s="2" t="s">
        <v>33</v>
      </c>
      <c r="F2039" s="2" t="s">
        <v>27</v>
      </c>
      <c r="G2039" s="2" t="s">
        <v>410</v>
      </c>
      <c r="H2039" s="3">
        <v>45619.147916666669</v>
      </c>
      <c r="I2039" s="3">
        <v>45619.258333333331</v>
      </c>
      <c r="J2039" s="2">
        <v>67</v>
      </c>
      <c r="K2039" s="2">
        <v>159</v>
      </c>
      <c r="L2039" s="2">
        <v>1</v>
      </c>
      <c r="M2039" s="2" t="s">
        <v>29</v>
      </c>
      <c r="N2039" s="2">
        <v>9</v>
      </c>
      <c r="O2039" s="2">
        <v>125.78</v>
      </c>
      <c r="P2039" s="2">
        <f t="shared" si="155"/>
        <v>92</v>
      </c>
      <c r="Q2039" s="4">
        <f t="shared" si="156"/>
        <v>0.42138364779874216</v>
      </c>
      <c r="R2039" s="2" t="str">
        <f t="shared" si="157"/>
        <v>Inefficient</v>
      </c>
      <c r="S2039" s="2" t="str">
        <f t="shared" si="158"/>
        <v>Very Long</v>
      </c>
      <c r="T2039" s="2" t="str">
        <f t="shared" si="159"/>
        <v>Major Delay</v>
      </c>
    </row>
    <row r="2040" spans="1:20" x14ac:dyDescent="0.35">
      <c r="A2040" s="2" t="s">
        <v>4263</v>
      </c>
      <c r="B2040" s="2" t="s">
        <v>16</v>
      </c>
      <c r="C2040" s="2" t="s">
        <v>4264</v>
      </c>
      <c r="D2040" s="2" t="s">
        <v>26</v>
      </c>
      <c r="E2040" s="2" t="s">
        <v>38</v>
      </c>
      <c r="F2040" s="2" t="s">
        <v>39</v>
      </c>
      <c r="G2040" s="2" t="s">
        <v>622</v>
      </c>
      <c r="H2040" s="3">
        <v>45603.839583333334</v>
      </c>
      <c r="I2040" s="3">
        <v>45603.913194444445</v>
      </c>
      <c r="J2040" s="2">
        <v>38</v>
      </c>
      <c r="K2040" s="2">
        <v>106</v>
      </c>
      <c r="L2040" s="2">
        <v>1</v>
      </c>
      <c r="M2040" s="2" t="s">
        <v>41</v>
      </c>
      <c r="N2040" s="2">
        <v>4</v>
      </c>
      <c r="O2040" s="2">
        <v>460.89</v>
      </c>
      <c r="P2040" s="2">
        <f t="shared" si="155"/>
        <v>68</v>
      </c>
      <c r="Q2040" s="4">
        <f t="shared" si="156"/>
        <v>0.35849056603773582</v>
      </c>
      <c r="R2040" s="2" t="str">
        <f t="shared" si="157"/>
        <v>Inefficient</v>
      </c>
      <c r="S2040" s="2" t="str">
        <f t="shared" si="158"/>
        <v>Long</v>
      </c>
      <c r="T2040" s="2" t="str">
        <f t="shared" si="159"/>
        <v>Major Delay</v>
      </c>
    </row>
    <row r="2041" spans="1:20" x14ac:dyDescent="0.35">
      <c r="A2041" s="2" t="s">
        <v>4265</v>
      </c>
      <c r="B2041" s="2" t="s">
        <v>16</v>
      </c>
      <c r="C2041" s="2" t="s">
        <v>4266</v>
      </c>
      <c r="D2041" s="2" t="s">
        <v>26</v>
      </c>
      <c r="E2041" s="2" t="s">
        <v>33</v>
      </c>
      <c r="F2041" s="2" t="s">
        <v>20</v>
      </c>
      <c r="G2041" s="2" t="s">
        <v>117</v>
      </c>
      <c r="H2041" s="3">
        <v>45332.980555555558</v>
      </c>
      <c r="I2041" s="3">
        <v>45333.118055555555</v>
      </c>
      <c r="J2041" s="2">
        <v>161</v>
      </c>
      <c r="K2041" s="2">
        <v>198</v>
      </c>
      <c r="L2041" s="2">
        <v>1</v>
      </c>
      <c r="M2041" s="2" t="s">
        <v>22</v>
      </c>
      <c r="N2041" s="2">
        <v>4</v>
      </c>
      <c r="O2041" s="2">
        <v>429.66</v>
      </c>
      <c r="P2041" s="2">
        <f t="shared" si="155"/>
        <v>37</v>
      </c>
      <c r="Q2041" s="4">
        <f t="shared" si="156"/>
        <v>0.81313131313131315</v>
      </c>
      <c r="R2041" s="2" t="str">
        <f t="shared" si="157"/>
        <v>Inefficient</v>
      </c>
      <c r="S2041" s="2" t="str">
        <f t="shared" si="158"/>
        <v>Very Long</v>
      </c>
      <c r="T2041" s="2" t="str">
        <f t="shared" si="159"/>
        <v>Major Delay</v>
      </c>
    </row>
    <row r="2042" spans="1:20" x14ac:dyDescent="0.35">
      <c r="A2042" s="2" t="s">
        <v>4267</v>
      </c>
      <c r="B2042" s="2" t="s">
        <v>51</v>
      </c>
      <c r="C2042" s="2" t="s">
        <v>4268</v>
      </c>
      <c r="D2042" s="2" t="s">
        <v>18</v>
      </c>
      <c r="E2042" s="2" t="s">
        <v>85</v>
      </c>
      <c r="F2042" s="2" t="s">
        <v>34</v>
      </c>
      <c r="G2042" s="2" t="s">
        <v>376</v>
      </c>
      <c r="H2042" s="3">
        <v>45582.227777777778</v>
      </c>
      <c r="I2042" s="3">
        <v>45582.3</v>
      </c>
      <c r="J2042" s="2">
        <v>38</v>
      </c>
      <c r="K2042" s="2">
        <v>104</v>
      </c>
      <c r="L2042" s="2">
        <v>1</v>
      </c>
      <c r="M2042" s="2" t="s">
        <v>41</v>
      </c>
      <c r="N2042" s="2">
        <v>3</v>
      </c>
      <c r="O2042" s="2">
        <v>207.12</v>
      </c>
      <c r="P2042" s="2">
        <f t="shared" si="155"/>
        <v>66</v>
      </c>
      <c r="Q2042" s="4">
        <f t="shared" si="156"/>
        <v>0.36538461538461536</v>
      </c>
      <c r="R2042" s="2" t="str">
        <f t="shared" si="157"/>
        <v>Inefficient</v>
      </c>
      <c r="S2042" s="2" t="str">
        <f t="shared" si="158"/>
        <v>Long</v>
      </c>
      <c r="T2042" s="2" t="str">
        <f t="shared" si="159"/>
        <v>Major Delay</v>
      </c>
    </row>
    <row r="2043" spans="1:20" x14ac:dyDescent="0.35">
      <c r="A2043" s="2" t="s">
        <v>4269</v>
      </c>
      <c r="B2043" s="2" t="s">
        <v>31</v>
      </c>
      <c r="C2043" s="2" t="s">
        <v>4270</v>
      </c>
      <c r="D2043" s="2" t="s">
        <v>18</v>
      </c>
      <c r="E2043" s="2" t="s">
        <v>38</v>
      </c>
      <c r="F2043" s="2" t="s">
        <v>34</v>
      </c>
      <c r="G2043" s="2" t="s">
        <v>68</v>
      </c>
      <c r="H2043" s="3">
        <v>45512.299305555556</v>
      </c>
      <c r="I2043" s="3">
        <v>45512.438194444447</v>
      </c>
      <c r="J2043" s="2">
        <v>130</v>
      </c>
      <c r="K2043" s="2">
        <v>200</v>
      </c>
      <c r="L2043" s="2">
        <v>1</v>
      </c>
      <c r="M2043" s="2" t="s">
        <v>22</v>
      </c>
      <c r="N2043" s="2">
        <v>10</v>
      </c>
      <c r="O2043" s="2">
        <v>489.58</v>
      </c>
      <c r="P2043" s="2">
        <f t="shared" si="155"/>
        <v>70</v>
      </c>
      <c r="Q2043" s="4">
        <f t="shared" si="156"/>
        <v>0.65</v>
      </c>
      <c r="R2043" s="2" t="str">
        <f t="shared" si="157"/>
        <v>Inefficient</v>
      </c>
      <c r="S2043" s="2" t="str">
        <f t="shared" si="158"/>
        <v>Very Long</v>
      </c>
      <c r="T2043" s="2" t="str">
        <f t="shared" si="159"/>
        <v>Major Delay</v>
      </c>
    </row>
    <row r="2044" spans="1:20" x14ac:dyDescent="0.35">
      <c r="A2044" s="2" t="s">
        <v>4271</v>
      </c>
      <c r="B2044" s="2" t="s">
        <v>51</v>
      </c>
      <c r="C2044" s="2" t="s">
        <v>4272</v>
      </c>
      <c r="D2044" s="2" t="s">
        <v>18</v>
      </c>
      <c r="E2044" s="2" t="s">
        <v>38</v>
      </c>
      <c r="F2044" s="2" t="s">
        <v>20</v>
      </c>
      <c r="G2044" s="2" t="s">
        <v>473</v>
      </c>
      <c r="H2044" s="3">
        <v>45504.6</v>
      </c>
      <c r="I2044" s="3">
        <v>45504.743750000001</v>
      </c>
      <c r="J2044" s="2">
        <v>141</v>
      </c>
      <c r="K2044" s="2">
        <v>207</v>
      </c>
      <c r="L2044" s="2">
        <v>1</v>
      </c>
      <c r="M2044" s="2" t="s">
        <v>29</v>
      </c>
      <c r="N2044" s="2">
        <v>8</v>
      </c>
      <c r="O2044" s="2">
        <v>158.06</v>
      </c>
      <c r="P2044" s="2">
        <f t="shared" si="155"/>
        <v>66</v>
      </c>
      <c r="Q2044" s="4">
        <f t="shared" si="156"/>
        <v>0.6811594202898551</v>
      </c>
      <c r="R2044" s="2" t="str">
        <f t="shared" si="157"/>
        <v>Inefficient</v>
      </c>
      <c r="S2044" s="2" t="str">
        <f t="shared" si="158"/>
        <v>Very Long</v>
      </c>
      <c r="T2044" s="2" t="str">
        <f t="shared" si="159"/>
        <v>Major Delay</v>
      </c>
    </row>
    <row r="2045" spans="1:20" x14ac:dyDescent="0.35">
      <c r="A2045" s="2" t="s">
        <v>4273</v>
      </c>
      <c r="B2045" s="2" t="s">
        <v>24</v>
      </c>
      <c r="C2045" s="2" t="s">
        <v>4274</v>
      </c>
      <c r="D2045" s="2" t="s">
        <v>56</v>
      </c>
      <c r="E2045" s="2" t="s">
        <v>19</v>
      </c>
      <c r="F2045" s="2" t="s">
        <v>57</v>
      </c>
      <c r="G2045" s="2" t="s">
        <v>676</v>
      </c>
      <c r="H2045" s="3">
        <v>45564.899305555555</v>
      </c>
      <c r="I2045" s="3">
        <v>45564.955555555556</v>
      </c>
      <c r="J2045" s="2">
        <v>65</v>
      </c>
      <c r="K2045" s="2">
        <v>81</v>
      </c>
      <c r="L2045" s="2">
        <v>1</v>
      </c>
      <c r="M2045" s="2" t="s">
        <v>22</v>
      </c>
      <c r="N2045" s="2">
        <v>1</v>
      </c>
      <c r="O2045" s="2">
        <v>299.95</v>
      </c>
      <c r="P2045" s="2">
        <f t="shared" si="155"/>
        <v>16</v>
      </c>
      <c r="Q2045" s="4">
        <f t="shared" si="156"/>
        <v>0.80246913580246915</v>
      </c>
      <c r="R2045" s="2" t="str">
        <f t="shared" si="157"/>
        <v>Inefficient</v>
      </c>
      <c r="S2045" s="2" t="str">
        <f t="shared" si="158"/>
        <v>Long</v>
      </c>
      <c r="T2045" s="2" t="str">
        <f t="shared" si="159"/>
        <v>Minor Delay</v>
      </c>
    </row>
    <row r="2046" spans="1:20" x14ac:dyDescent="0.35">
      <c r="A2046" s="2" t="s">
        <v>4275</v>
      </c>
      <c r="B2046" s="2" t="s">
        <v>51</v>
      </c>
      <c r="C2046" s="2" t="s">
        <v>4276</v>
      </c>
      <c r="D2046" s="2" t="s">
        <v>56</v>
      </c>
      <c r="E2046" s="2" t="s">
        <v>85</v>
      </c>
      <c r="F2046" s="2" t="s">
        <v>39</v>
      </c>
      <c r="G2046" s="2" t="s">
        <v>388</v>
      </c>
      <c r="H2046" s="3">
        <v>45389.001388888886</v>
      </c>
      <c r="I2046" s="3">
        <v>45389.072916666664</v>
      </c>
      <c r="J2046" s="2">
        <v>64</v>
      </c>
      <c r="K2046" s="2">
        <v>103</v>
      </c>
      <c r="L2046" s="2">
        <v>1</v>
      </c>
      <c r="M2046" s="2" t="s">
        <v>29</v>
      </c>
      <c r="N2046" s="2">
        <v>5</v>
      </c>
      <c r="O2046" s="2">
        <v>454.53</v>
      </c>
      <c r="P2046" s="2">
        <f t="shared" si="155"/>
        <v>39</v>
      </c>
      <c r="Q2046" s="4">
        <f t="shared" si="156"/>
        <v>0.62135922330097082</v>
      </c>
      <c r="R2046" s="2" t="str">
        <f t="shared" si="157"/>
        <v>Inefficient</v>
      </c>
      <c r="S2046" s="2" t="str">
        <f t="shared" si="158"/>
        <v>Long</v>
      </c>
      <c r="T2046" s="2" t="str">
        <f t="shared" si="159"/>
        <v>Major Delay</v>
      </c>
    </row>
    <row r="2047" spans="1:20" x14ac:dyDescent="0.35">
      <c r="A2047" s="2" t="s">
        <v>4277</v>
      </c>
      <c r="B2047" s="2" t="s">
        <v>63</v>
      </c>
      <c r="C2047" s="2" t="s">
        <v>4278</v>
      </c>
      <c r="D2047" s="2" t="s">
        <v>18</v>
      </c>
      <c r="E2047" s="2" t="s">
        <v>85</v>
      </c>
      <c r="F2047" s="2" t="s">
        <v>39</v>
      </c>
      <c r="G2047" s="2" t="s">
        <v>376</v>
      </c>
      <c r="H2047" s="3">
        <v>45412.404166666667</v>
      </c>
      <c r="I2047" s="3">
        <v>45412.529166666667</v>
      </c>
      <c r="J2047" s="2">
        <v>129</v>
      </c>
      <c r="K2047" s="2">
        <v>180</v>
      </c>
      <c r="L2047" s="2">
        <v>1</v>
      </c>
      <c r="M2047" s="2" t="s">
        <v>41</v>
      </c>
      <c r="N2047" s="2">
        <v>4</v>
      </c>
      <c r="O2047" s="2">
        <v>420.84</v>
      </c>
      <c r="P2047" s="2">
        <f t="shared" si="155"/>
        <v>51</v>
      </c>
      <c r="Q2047" s="4">
        <f t="shared" si="156"/>
        <v>0.71666666666666667</v>
      </c>
      <c r="R2047" s="2" t="str">
        <f t="shared" si="157"/>
        <v>Inefficient</v>
      </c>
      <c r="S2047" s="2" t="str">
        <f t="shared" si="158"/>
        <v>Very Long</v>
      </c>
      <c r="T2047" s="2" t="str">
        <f t="shared" si="159"/>
        <v>Major Delay</v>
      </c>
    </row>
    <row r="2048" spans="1:20" x14ac:dyDescent="0.35">
      <c r="A2048" s="2" t="s">
        <v>4279</v>
      </c>
      <c r="B2048" s="2" t="s">
        <v>24</v>
      </c>
      <c r="C2048" s="2" t="s">
        <v>4280</v>
      </c>
      <c r="D2048" s="2" t="s">
        <v>18</v>
      </c>
      <c r="E2048" s="2" t="s">
        <v>33</v>
      </c>
      <c r="F2048" s="2" t="s">
        <v>27</v>
      </c>
      <c r="G2048" s="2" t="s">
        <v>1172</v>
      </c>
      <c r="H2048" s="3">
        <v>45388.625</v>
      </c>
      <c r="I2048" s="3">
        <v>45388.770833333336</v>
      </c>
      <c r="J2048" s="2">
        <v>211</v>
      </c>
      <c r="K2048" s="2">
        <v>210</v>
      </c>
      <c r="L2048" s="2">
        <v>0</v>
      </c>
      <c r="M2048" s="2" t="s">
        <v>41</v>
      </c>
      <c r="N2048" s="2">
        <v>9</v>
      </c>
      <c r="O2048" s="2">
        <v>250.29</v>
      </c>
      <c r="P2048" s="2">
        <f t="shared" si="155"/>
        <v>-1</v>
      </c>
      <c r="Q2048" s="4">
        <f t="shared" si="156"/>
        <v>1.0047619047619047</v>
      </c>
      <c r="R2048" s="2" t="str">
        <f t="shared" si="157"/>
        <v>Efficient</v>
      </c>
      <c r="S2048" s="2" t="str">
        <f t="shared" si="158"/>
        <v>Very Long</v>
      </c>
      <c r="T2048" s="2" t="str">
        <f t="shared" si="159"/>
        <v>On Time</v>
      </c>
    </row>
    <row r="2049" spans="1:20" x14ac:dyDescent="0.35">
      <c r="A2049" s="2" t="s">
        <v>4281</v>
      </c>
      <c r="B2049" s="2" t="s">
        <v>31</v>
      </c>
      <c r="C2049" s="2" t="s">
        <v>4282</v>
      </c>
      <c r="D2049" s="2" t="s">
        <v>18</v>
      </c>
      <c r="E2049" s="2" t="s">
        <v>19</v>
      </c>
      <c r="F2049" s="2" t="s">
        <v>27</v>
      </c>
      <c r="G2049" s="2" t="s">
        <v>817</v>
      </c>
      <c r="H2049" s="3">
        <v>45345.168749999997</v>
      </c>
      <c r="I2049" s="3">
        <v>45345.311805555553</v>
      </c>
      <c r="J2049" s="2">
        <v>120</v>
      </c>
      <c r="K2049" s="2">
        <v>206</v>
      </c>
      <c r="L2049" s="2">
        <v>1</v>
      </c>
      <c r="M2049" s="2" t="s">
        <v>22</v>
      </c>
      <c r="N2049" s="2">
        <v>6</v>
      </c>
      <c r="O2049" s="2">
        <v>278.29000000000002</v>
      </c>
      <c r="P2049" s="2">
        <f t="shared" si="155"/>
        <v>86</v>
      </c>
      <c r="Q2049" s="4">
        <f t="shared" si="156"/>
        <v>0.58252427184466016</v>
      </c>
      <c r="R2049" s="2" t="str">
        <f t="shared" si="157"/>
        <v>Inefficient</v>
      </c>
      <c r="S2049" s="2" t="str">
        <f t="shared" si="158"/>
        <v>Very Long</v>
      </c>
      <c r="T2049" s="2" t="str">
        <f t="shared" si="159"/>
        <v>Major Delay</v>
      </c>
    </row>
    <row r="2050" spans="1:20" x14ac:dyDescent="0.35">
      <c r="A2050" s="2" t="s">
        <v>4283</v>
      </c>
      <c r="B2050" s="2" t="s">
        <v>24</v>
      </c>
      <c r="C2050" s="2" t="s">
        <v>4284</v>
      </c>
      <c r="D2050" s="2" t="s">
        <v>56</v>
      </c>
      <c r="E2050" s="2" t="s">
        <v>38</v>
      </c>
      <c r="F2050" s="2" t="s">
        <v>39</v>
      </c>
      <c r="G2050" s="2" t="s">
        <v>810</v>
      </c>
      <c r="H2050" s="3">
        <v>45536.155555555553</v>
      </c>
      <c r="I2050" s="3">
        <v>45536.3</v>
      </c>
      <c r="J2050" s="2">
        <v>129</v>
      </c>
      <c r="K2050" s="2">
        <v>208</v>
      </c>
      <c r="L2050" s="2">
        <v>1</v>
      </c>
      <c r="M2050" s="2" t="s">
        <v>41</v>
      </c>
      <c r="N2050" s="2">
        <v>4</v>
      </c>
      <c r="O2050" s="2">
        <v>366.28</v>
      </c>
      <c r="P2050" s="2">
        <f t="shared" si="155"/>
        <v>79</v>
      </c>
      <c r="Q2050" s="4">
        <f t="shared" si="156"/>
        <v>0.62019230769230771</v>
      </c>
      <c r="R2050" s="2" t="str">
        <f t="shared" si="157"/>
        <v>Inefficient</v>
      </c>
      <c r="S2050" s="2" t="str">
        <f t="shared" si="158"/>
        <v>Very Long</v>
      </c>
      <c r="T2050" s="2" t="str">
        <f t="shared" si="159"/>
        <v>Major Delay</v>
      </c>
    </row>
    <row r="2051" spans="1:20" x14ac:dyDescent="0.35">
      <c r="A2051" s="2" t="s">
        <v>4285</v>
      </c>
      <c r="B2051" s="2" t="s">
        <v>16</v>
      </c>
      <c r="C2051" s="2" t="s">
        <v>4286</v>
      </c>
      <c r="D2051" s="2" t="s">
        <v>48</v>
      </c>
      <c r="E2051" s="2" t="s">
        <v>19</v>
      </c>
      <c r="F2051" s="2" t="s">
        <v>27</v>
      </c>
      <c r="G2051" s="2" t="s">
        <v>91</v>
      </c>
      <c r="H2051" s="3">
        <v>45487.722222222219</v>
      </c>
      <c r="I2051" s="3">
        <v>45487.751388888886</v>
      </c>
      <c r="J2051" s="2">
        <v>22</v>
      </c>
      <c r="K2051" s="2">
        <v>42</v>
      </c>
      <c r="L2051" s="2">
        <v>1</v>
      </c>
      <c r="M2051" s="2" t="s">
        <v>41</v>
      </c>
      <c r="N2051" s="2">
        <v>4</v>
      </c>
      <c r="O2051" s="2">
        <v>103.71</v>
      </c>
      <c r="P2051" s="2">
        <f t="shared" ref="P2051:P2114" si="160">K2051-J2051</f>
        <v>20</v>
      </c>
      <c r="Q2051" s="4">
        <f t="shared" ref="Q2051:Q2114" si="161">J2051/K2051</f>
        <v>0.52380952380952384</v>
      </c>
      <c r="R2051" s="2" t="str">
        <f t="shared" ref="R2051:R2114" si="162">IF(Q2051&gt;1,"Efficient",
IF(Q2051=1,"On Target","Inefficient"))</f>
        <v>Inefficient</v>
      </c>
      <c r="S2051" s="2" t="str">
        <f t="shared" ref="S2051:S2114" si="163">IF(K2051&lt;30,"Short",
IF(K2051&lt;60,"Medium",
IF(K2051&lt;120,"Long","Very Long")))</f>
        <v>Medium</v>
      </c>
      <c r="T2051" s="2" t="str">
        <f t="shared" ref="T2051:T2114" si="164">IF(K2051&lt;=J2051,"On Time",
IF(K2051-J2051&lt;=30,"Minor Delay","Major Delay"))</f>
        <v>Minor Delay</v>
      </c>
    </row>
    <row r="2052" spans="1:20" x14ac:dyDescent="0.35">
      <c r="A2052" s="2" t="s">
        <v>4287</v>
      </c>
      <c r="B2052" s="2" t="s">
        <v>24</v>
      </c>
      <c r="C2052" s="2" t="s">
        <v>4288</v>
      </c>
      <c r="D2052" s="2" t="s">
        <v>18</v>
      </c>
      <c r="E2052" s="2" t="s">
        <v>85</v>
      </c>
      <c r="F2052" s="2" t="s">
        <v>27</v>
      </c>
      <c r="G2052" s="2" t="s">
        <v>338</v>
      </c>
      <c r="H2052" s="3">
        <v>45323.042361111111</v>
      </c>
      <c r="I2052" s="3">
        <v>45323.227777777778</v>
      </c>
      <c r="J2052" s="2">
        <v>237</v>
      </c>
      <c r="K2052" s="2">
        <v>267</v>
      </c>
      <c r="L2052" s="2">
        <v>1</v>
      </c>
      <c r="M2052" s="2" t="s">
        <v>29</v>
      </c>
      <c r="N2052" s="2">
        <v>9</v>
      </c>
      <c r="O2052" s="2">
        <v>124.01</v>
      </c>
      <c r="P2052" s="2">
        <f t="shared" si="160"/>
        <v>30</v>
      </c>
      <c r="Q2052" s="4">
        <f t="shared" si="161"/>
        <v>0.88764044943820219</v>
      </c>
      <c r="R2052" s="2" t="str">
        <f t="shared" si="162"/>
        <v>Inefficient</v>
      </c>
      <c r="S2052" s="2" t="str">
        <f t="shared" si="163"/>
        <v>Very Long</v>
      </c>
      <c r="T2052" s="2" t="str">
        <f t="shared" si="164"/>
        <v>Minor Delay</v>
      </c>
    </row>
    <row r="2053" spans="1:20" x14ac:dyDescent="0.35">
      <c r="A2053" s="2" t="s">
        <v>4289</v>
      </c>
      <c r="B2053" s="2" t="s">
        <v>63</v>
      </c>
      <c r="C2053" s="2" t="s">
        <v>4290</v>
      </c>
      <c r="D2053" s="2" t="s">
        <v>18</v>
      </c>
      <c r="E2053" s="2" t="s">
        <v>33</v>
      </c>
      <c r="F2053" s="2" t="s">
        <v>20</v>
      </c>
      <c r="G2053" s="2" t="s">
        <v>265</v>
      </c>
      <c r="H2053" s="3">
        <v>45585.635416666664</v>
      </c>
      <c r="I2053" s="3">
        <v>45585.688888888886</v>
      </c>
      <c r="J2053" s="2">
        <v>38</v>
      </c>
      <c r="K2053" s="2">
        <v>77</v>
      </c>
      <c r="L2053" s="2">
        <v>1</v>
      </c>
      <c r="M2053" s="2" t="s">
        <v>22</v>
      </c>
      <c r="N2053" s="2">
        <v>1</v>
      </c>
      <c r="O2053" s="2">
        <v>472.21</v>
      </c>
      <c r="P2053" s="2">
        <f t="shared" si="160"/>
        <v>39</v>
      </c>
      <c r="Q2053" s="4">
        <f t="shared" si="161"/>
        <v>0.4935064935064935</v>
      </c>
      <c r="R2053" s="2" t="str">
        <f t="shared" si="162"/>
        <v>Inefficient</v>
      </c>
      <c r="S2053" s="2" t="str">
        <f t="shared" si="163"/>
        <v>Long</v>
      </c>
      <c r="T2053" s="2" t="str">
        <f t="shared" si="164"/>
        <v>Major Delay</v>
      </c>
    </row>
    <row r="2054" spans="1:20" x14ac:dyDescent="0.35">
      <c r="A2054" s="2" t="s">
        <v>4291</v>
      </c>
      <c r="B2054" s="2" t="s">
        <v>63</v>
      </c>
      <c r="C2054" s="2" t="s">
        <v>4292</v>
      </c>
      <c r="D2054" s="2" t="s">
        <v>44</v>
      </c>
      <c r="E2054" s="2" t="s">
        <v>85</v>
      </c>
      <c r="F2054" s="2" t="s">
        <v>39</v>
      </c>
      <c r="G2054" s="2" t="s">
        <v>311</v>
      </c>
      <c r="H2054" s="3">
        <v>45422.643750000003</v>
      </c>
      <c r="I2054" s="3">
        <v>45422.71597222222</v>
      </c>
      <c r="J2054" s="2">
        <v>103</v>
      </c>
      <c r="K2054" s="2">
        <v>104</v>
      </c>
      <c r="L2054" s="2">
        <v>1</v>
      </c>
      <c r="M2054" s="2" t="s">
        <v>22</v>
      </c>
      <c r="N2054" s="2">
        <v>10</v>
      </c>
      <c r="O2054" s="2">
        <v>316.82</v>
      </c>
      <c r="P2054" s="2">
        <f t="shared" si="160"/>
        <v>1</v>
      </c>
      <c r="Q2054" s="4">
        <f t="shared" si="161"/>
        <v>0.99038461538461542</v>
      </c>
      <c r="R2054" s="2" t="str">
        <f t="shared" si="162"/>
        <v>Inefficient</v>
      </c>
      <c r="S2054" s="2" t="str">
        <f t="shared" si="163"/>
        <v>Long</v>
      </c>
      <c r="T2054" s="2" t="str">
        <f t="shared" si="164"/>
        <v>Minor Delay</v>
      </c>
    </row>
    <row r="2055" spans="1:20" x14ac:dyDescent="0.35">
      <c r="A2055" s="2" t="s">
        <v>4293</v>
      </c>
      <c r="B2055" s="2" t="s">
        <v>24</v>
      </c>
      <c r="C2055" s="2" t="s">
        <v>4294</v>
      </c>
      <c r="D2055" s="2" t="s">
        <v>56</v>
      </c>
      <c r="E2055" s="2" t="s">
        <v>33</v>
      </c>
      <c r="F2055" s="2" t="s">
        <v>39</v>
      </c>
      <c r="G2055" s="2" t="s">
        <v>749</v>
      </c>
      <c r="H2055" s="3">
        <v>45593.754861111112</v>
      </c>
      <c r="I2055" s="3">
        <v>45593.838194444441</v>
      </c>
      <c r="J2055" s="2">
        <v>108</v>
      </c>
      <c r="K2055" s="2">
        <v>120</v>
      </c>
      <c r="L2055" s="2">
        <v>1</v>
      </c>
      <c r="M2055" s="2" t="s">
        <v>29</v>
      </c>
      <c r="N2055" s="2">
        <v>6</v>
      </c>
      <c r="O2055" s="2">
        <v>221.46</v>
      </c>
      <c r="P2055" s="2">
        <f t="shared" si="160"/>
        <v>12</v>
      </c>
      <c r="Q2055" s="4">
        <f t="shared" si="161"/>
        <v>0.9</v>
      </c>
      <c r="R2055" s="2" t="str">
        <f t="shared" si="162"/>
        <v>Inefficient</v>
      </c>
      <c r="S2055" s="2" t="str">
        <f t="shared" si="163"/>
        <v>Very Long</v>
      </c>
      <c r="T2055" s="2" t="str">
        <f t="shared" si="164"/>
        <v>Minor Delay</v>
      </c>
    </row>
    <row r="2056" spans="1:20" x14ac:dyDescent="0.35">
      <c r="A2056" s="2" t="s">
        <v>4295</v>
      </c>
      <c r="B2056" s="2" t="s">
        <v>24</v>
      </c>
      <c r="C2056" s="2" t="s">
        <v>4296</v>
      </c>
      <c r="D2056" s="2" t="s">
        <v>26</v>
      </c>
      <c r="E2056" s="2" t="s">
        <v>33</v>
      </c>
      <c r="F2056" s="2" t="s">
        <v>39</v>
      </c>
      <c r="G2056" s="2" t="s">
        <v>114</v>
      </c>
      <c r="H2056" s="3">
        <v>45522.324305555558</v>
      </c>
      <c r="I2056" s="3">
        <v>45522.486805555556</v>
      </c>
      <c r="J2056" s="2">
        <v>165</v>
      </c>
      <c r="K2056" s="2">
        <v>234</v>
      </c>
      <c r="L2056" s="2">
        <v>1</v>
      </c>
      <c r="M2056" s="2" t="s">
        <v>29</v>
      </c>
      <c r="N2056" s="2">
        <v>6</v>
      </c>
      <c r="O2056" s="2">
        <v>285.99</v>
      </c>
      <c r="P2056" s="2">
        <f t="shared" si="160"/>
        <v>69</v>
      </c>
      <c r="Q2056" s="4">
        <f t="shared" si="161"/>
        <v>0.70512820512820518</v>
      </c>
      <c r="R2056" s="2" t="str">
        <f t="shared" si="162"/>
        <v>Inefficient</v>
      </c>
      <c r="S2056" s="2" t="str">
        <f t="shared" si="163"/>
        <v>Very Long</v>
      </c>
      <c r="T2056" s="2" t="str">
        <f t="shared" si="164"/>
        <v>Major Delay</v>
      </c>
    </row>
    <row r="2057" spans="1:20" x14ac:dyDescent="0.35">
      <c r="A2057" s="2" t="s">
        <v>4297</v>
      </c>
      <c r="B2057" s="2" t="s">
        <v>31</v>
      </c>
      <c r="C2057" s="2" t="s">
        <v>4298</v>
      </c>
      <c r="D2057" s="2" t="s">
        <v>48</v>
      </c>
      <c r="E2057" s="2" t="s">
        <v>38</v>
      </c>
      <c r="F2057" s="2" t="s">
        <v>34</v>
      </c>
      <c r="G2057" s="2" t="s">
        <v>296</v>
      </c>
      <c r="H2057" s="3">
        <v>45604.140972222223</v>
      </c>
      <c r="I2057" s="3">
        <v>45604.226388888892</v>
      </c>
      <c r="J2057" s="2">
        <v>14</v>
      </c>
      <c r="K2057" s="2">
        <v>123</v>
      </c>
      <c r="L2057" s="2">
        <v>1</v>
      </c>
      <c r="M2057" s="2" t="s">
        <v>41</v>
      </c>
      <c r="N2057" s="2">
        <v>2</v>
      </c>
      <c r="O2057" s="2">
        <v>469.11</v>
      </c>
      <c r="P2057" s="2">
        <f t="shared" si="160"/>
        <v>109</v>
      </c>
      <c r="Q2057" s="4">
        <f t="shared" si="161"/>
        <v>0.11382113821138211</v>
      </c>
      <c r="R2057" s="2" t="str">
        <f t="shared" si="162"/>
        <v>Inefficient</v>
      </c>
      <c r="S2057" s="2" t="str">
        <f t="shared" si="163"/>
        <v>Very Long</v>
      </c>
      <c r="T2057" s="2" t="str">
        <f t="shared" si="164"/>
        <v>Major Delay</v>
      </c>
    </row>
    <row r="2058" spans="1:20" x14ac:dyDescent="0.35">
      <c r="A2058" s="2" t="s">
        <v>4299</v>
      </c>
      <c r="B2058" s="2" t="s">
        <v>51</v>
      </c>
      <c r="C2058" s="2" t="s">
        <v>4300</v>
      </c>
      <c r="D2058" s="2" t="s">
        <v>44</v>
      </c>
      <c r="E2058" s="2" t="s">
        <v>38</v>
      </c>
      <c r="F2058" s="2" t="s">
        <v>20</v>
      </c>
      <c r="G2058" s="2" t="s">
        <v>76</v>
      </c>
      <c r="H2058" s="3">
        <v>45579.28402777778</v>
      </c>
      <c r="I2058" s="3">
        <v>45579.420138888891</v>
      </c>
      <c r="J2058" s="2">
        <v>185</v>
      </c>
      <c r="K2058" s="2">
        <v>196</v>
      </c>
      <c r="L2058" s="2">
        <v>1</v>
      </c>
      <c r="M2058" s="2" t="s">
        <v>41</v>
      </c>
      <c r="N2058" s="2">
        <v>5</v>
      </c>
      <c r="O2058" s="2">
        <v>272.5</v>
      </c>
      <c r="P2058" s="2">
        <f t="shared" si="160"/>
        <v>11</v>
      </c>
      <c r="Q2058" s="4">
        <f t="shared" si="161"/>
        <v>0.94387755102040816</v>
      </c>
      <c r="R2058" s="2" t="str">
        <f t="shared" si="162"/>
        <v>Inefficient</v>
      </c>
      <c r="S2058" s="2" t="str">
        <f t="shared" si="163"/>
        <v>Very Long</v>
      </c>
      <c r="T2058" s="2" t="str">
        <f t="shared" si="164"/>
        <v>Minor Delay</v>
      </c>
    </row>
    <row r="2059" spans="1:20" x14ac:dyDescent="0.35">
      <c r="A2059" s="2" t="s">
        <v>4301</v>
      </c>
      <c r="B2059" s="2" t="s">
        <v>51</v>
      </c>
      <c r="C2059" s="2" t="s">
        <v>4302</v>
      </c>
      <c r="D2059" s="2" t="s">
        <v>48</v>
      </c>
      <c r="E2059" s="2" t="s">
        <v>19</v>
      </c>
      <c r="F2059" s="2" t="s">
        <v>34</v>
      </c>
      <c r="G2059" s="2" t="s">
        <v>599</v>
      </c>
      <c r="H2059" s="3">
        <v>45351.926388888889</v>
      </c>
      <c r="I2059" s="3">
        <v>45352.111805555556</v>
      </c>
      <c r="J2059" s="2">
        <v>204</v>
      </c>
      <c r="K2059" s="2">
        <v>267</v>
      </c>
      <c r="L2059" s="2">
        <v>1</v>
      </c>
      <c r="M2059" s="2" t="s">
        <v>29</v>
      </c>
      <c r="N2059" s="2">
        <v>4</v>
      </c>
      <c r="O2059" s="2">
        <v>53.81</v>
      </c>
      <c r="P2059" s="2">
        <f t="shared" si="160"/>
        <v>63</v>
      </c>
      <c r="Q2059" s="4">
        <f t="shared" si="161"/>
        <v>0.7640449438202247</v>
      </c>
      <c r="R2059" s="2" t="str">
        <f t="shared" si="162"/>
        <v>Inefficient</v>
      </c>
      <c r="S2059" s="2" t="str">
        <f t="shared" si="163"/>
        <v>Very Long</v>
      </c>
      <c r="T2059" s="2" t="str">
        <f t="shared" si="164"/>
        <v>Major Delay</v>
      </c>
    </row>
    <row r="2060" spans="1:20" x14ac:dyDescent="0.35">
      <c r="A2060" s="2" t="s">
        <v>4303</v>
      </c>
      <c r="B2060" s="2" t="s">
        <v>31</v>
      </c>
      <c r="C2060" s="2" t="s">
        <v>4304</v>
      </c>
      <c r="D2060" s="2" t="s">
        <v>56</v>
      </c>
      <c r="E2060" s="2" t="s">
        <v>33</v>
      </c>
      <c r="F2060" s="2" t="s">
        <v>34</v>
      </c>
      <c r="G2060" s="2" t="s">
        <v>521</v>
      </c>
      <c r="H2060" s="3">
        <v>45430.943749999999</v>
      </c>
      <c r="I2060" s="3">
        <v>45431.102083333331</v>
      </c>
      <c r="J2060" s="2">
        <v>142</v>
      </c>
      <c r="K2060" s="2">
        <v>228</v>
      </c>
      <c r="L2060" s="2">
        <v>1</v>
      </c>
      <c r="M2060" s="2" t="s">
        <v>41</v>
      </c>
      <c r="N2060" s="2">
        <v>4</v>
      </c>
      <c r="O2060" s="2">
        <v>417.21</v>
      </c>
      <c r="P2060" s="2">
        <f t="shared" si="160"/>
        <v>86</v>
      </c>
      <c r="Q2060" s="4">
        <f t="shared" si="161"/>
        <v>0.6228070175438597</v>
      </c>
      <c r="R2060" s="2" t="str">
        <f t="shared" si="162"/>
        <v>Inefficient</v>
      </c>
      <c r="S2060" s="2" t="str">
        <f t="shared" si="163"/>
        <v>Very Long</v>
      </c>
      <c r="T2060" s="2" t="str">
        <f t="shared" si="164"/>
        <v>Major Delay</v>
      </c>
    </row>
    <row r="2061" spans="1:20" x14ac:dyDescent="0.35">
      <c r="A2061" s="2" t="s">
        <v>4305</v>
      </c>
      <c r="B2061" s="2" t="s">
        <v>51</v>
      </c>
      <c r="C2061" s="2" t="s">
        <v>4306</v>
      </c>
      <c r="D2061" s="2" t="s">
        <v>44</v>
      </c>
      <c r="E2061" s="2" t="s">
        <v>85</v>
      </c>
      <c r="F2061" s="2" t="s">
        <v>27</v>
      </c>
      <c r="G2061" s="2" t="s">
        <v>126</v>
      </c>
      <c r="H2061" s="3">
        <v>45520.234722222223</v>
      </c>
      <c r="I2061" s="3">
        <v>45520.379166666666</v>
      </c>
      <c r="J2061" s="2">
        <v>88</v>
      </c>
      <c r="K2061" s="2">
        <v>208</v>
      </c>
      <c r="L2061" s="2">
        <v>1</v>
      </c>
      <c r="M2061" s="2" t="s">
        <v>41</v>
      </c>
      <c r="N2061" s="2">
        <v>4</v>
      </c>
      <c r="O2061" s="2">
        <v>422.23</v>
      </c>
      <c r="P2061" s="2">
        <f t="shared" si="160"/>
        <v>120</v>
      </c>
      <c r="Q2061" s="4">
        <f t="shared" si="161"/>
        <v>0.42307692307692307</v>
      </c>
      <c r="R2061" s="2" t="str">
        <f t="shared" si="162"/>
        <v>Inefficient</v>
      </c>
      <c r="S2061" s="2" t="str">
        <f t="shared" si="163"/>
        <v>Very Long</v>
      </c>
      <c r="T2061" s="2" t="str">
        <f t="shared" si="164"/>
        <v>Major Delay</v>
      </c>
    </row>
    <row r="2062" spans="1:20" x14ac:dyDescent="0.35">
      <c r="A2062" s="2" t="s">
        <v>4307</v>
      </c>
      <c r="B2062" s="2" t="s">
        <v>51</v>
      </c>
      <c r="C2062" s="2" t="s">
        <v>4308</v>
      </c>
      <c r="D2062" s="2" t="s">
        <v>56</v>
      </c>
      <c r="E2062" s="2" t="s">
        <v>19</v>
      </c>
      <c r="F2062" s="2" t="s">
        <v>39</v>
      </c>
      <c r="G2062" s="2" t="s">
        <v>164</v>
      </c>
      <c r="H2062" s="3">
        <v>45631.918055555558</v>
      </c>
      <c r="I2062" s="3">
        <v>45632.027777777781</v>
      </c>
      <c r="J2062" s="2">
        <v>147</v>
      </c>
      <c r="K2062" s="2">
        <v>158</v>
      </c>
      <c r="L2062" s="2">
        <v>1</v>
      </c>
      <c r="M2062" s="2" t="s">
        <v>29</v>
      </c>
      <c r="N2062" s="2">
        <v>7</v>
      </c>
      <c r="O2062" s="2">
        <v>64.430000000000007</v>
      </c>
      <c r="P2062" s="2">
        <f t="shared" si="160"/>
        <v>11</v>
      </c>
      <c r="Q2062" s="4">
        <f t="shared" si="161"/>
        <v>0.930379746835443</v>
      </c>
      <c r="R2062" s="2" t="str">
        <f t="shared" si="162"/>
        <v>Inefficient</v>
      </c>
      <c r="S2062" s="2" t="str">
        <f t="shared" si="163"/>
        <v>Very Long</v>
      </c>
      <c r="T2062" s="2" t="str">
        <f t="shared" si="164"/>
        <v>Minor Delay</v>
      </c>
    </row>
    <row r="2063" spans="1:20" x14ac:dyDescent="0.35">
      <c r="A2063" s="2" t="s">
        <v>4309</v>
      </c>
      <c r="B2063" s="2" t="s">
        <v>51</v>
      </c>
      <c r="C2063" s="2" t="s">
        <v>4310</v>
      </c>
      <c r="D2063" s="2" t="s">
        <v>56</v>
      </c>
      <c r="E2063" s="2" t="s">
        <v>85</v>
      </c>
      <c r="F2063" s="2" t="s">
        <v>20</v>
      </c>
      <c r="G2063" s="2" t="s">
        <v>364</v>
      </c>
      <c r="H2063" s="3">
        <v>45340.556250000001</v>
      </c>
      <c r="I2063" s="3">
        <v>45340.615972222222</v>
      </c>
      <c r="J2063" s="2">
        <v>71</v>
      </c>
      <c r="K2063" s="2">
        <v>86</v>
      </c>
      <c r="L2063" s="2">
        <v>1</v>
      </c>
      <c r="M2063" s="2" t="s">
        <v>29</v>
      </c>
      <c r="N2063" s="2">
        <v>9</v>
      </c>
      <c r="O2063" s="2">
        <v>275.51</v>
      </c>
      <c r="P2063" s="2">
        <f t="shared" si="160"/>
        <v>15</v>
      </c>
      <c r="Q2063" s="4">
        <f t="shared" si="161"/>
        <v>0.82558139534883723</v>
      </c>
      <c r="R2063" s="2" t="str">
        <f t="shared" si="162"/>
        <v>Inefficient</v>
      </c>
      <c r="S2063" s="2" t="str">
        <f t="shared" si="163"/>
        <v>Long</v>
      </c>
      <c r="T2063" s="2" t="str">
        <f t="shared" si="164"/>
        <v>Minor Delay</v>
      </c>
    </row>
    <row r="2064" spans="1:20" x14ac:dyDescent="0.35">
      <c r="A2064" s="2" t="s">
        <v>4311</v>
      </c>
      <c r="B2064" s="2" t="s">
        <v>24</v>
      </c>
      <c r="C2064" s="2" t="s">
        <v>4312</v>
      </c>
      <c r="D2064" s="2" t="s">
        <v>44</v>
      </c>
      <c r="E2064" s="2" t="s">
        <v>38</v>
      </c>
      <c r="F2064" s="2" t="s">
        <v>39</v>
      </c>
      <c r="G2064" s="2" t="s">
        <v>182</v>
      </c>
      <c r="H2064" s="3">
        <v>45504.855555555558</v>
      </c>
      <c r="I2064" s="3">
        <v>45505.050694444442</v>
      </c>
      <c r="J2064" s="2">
        <v>168</v>
      </c>
      <c r="K2064" s="2">
        <v>281</v>
      </c>
      <c r="L2064" s="2">
        <v>1</v>
      </c>
      <c r="M2064" s="2" t="s">
        <v>41</v>
      </c>
      <c r="N2064" s="2">
        <v>1</v>
      </c>
      <c r="O2064" s="2">
        <v>281.7</v>
      </c>
      <c r="P2064" s="2">
        <f t="shared" si="160"/>
        <v>113</v>
      </c>
      <c r="Q2064" s="4">
        <f t="shared" si="161"/>
        <v>0.59786476868327398</v>
      </c>
      <c r="R2064" s="2" t="str">
        <f t="shared" si="162"/>
        <v>Inefficient</v>
      </c>
      <c r="S2064" s="2" t="str">
        <f t="shared" si="163"/>
        <v>Very Long</v>
      </c>
      <c r="T2064" s="2" t="str">
        <f t="shared" si="164"/>
        <v>Major Delay</v>
      </c>
    </row>
    <row r="2065" spans="1:20" x14ac:dyDescent="0.35">
      <c r="A2065" s="2" t="s">
        <v>4313</v>
      </c>
      <c r="B2065" s="2" t="s">
        <v>63</v>
      </c>
      <c r="C2065" s="2" t="s">
        <v>4314</v>
      </c>
      <c r="D2065" s="2" t="s">
        <v>48</v>
      </c>
      <c r="E2065" s="2" t="s">
        <v>85</v>
      </c>
      <c r="F2065" s="2" t="s">
        <v>34</v>
      </c>
      <c r="G2065" s="2" t="s">
        <v>335</v>
      </c>
      <c r="H2065" s="3">
        <v>45494.988194444442</v>
      </c>
      <c r="I2065" s="3">
        <v>45495.083333333336</v>
      </c>
      <c r="J2065" s="2">
        <v>86</v>
      </c>
      <c r="K2065" s="2">
        <v>137</v>
      </c>
      <c r="L2065" s="2">
        <v>1</v>
      </c>
      <c r="M2065" s="2" t="s">
        <v>29</v>
      </c>
      <c r="N2065" s="2">
        <v>4</v>
      </c>
      <c r="O2065" s="2">
        <v>485.72</v>
      </c>
      <c r="P2065" s="2">
        <f t="shared" si="160"/>
        <v>51</v>
      </c>
      <c r="Q2065" s="4">
        <f t="shared" si="161"/>
        <v>0.62773722627737227</v>
      </c>
      <c r="R2065" s="2" t="str">
        <f t="shared" si="162"/>
        <v>Inefficient</v>
      </c>
      <c r="S2065" s="2" t="str">
        <f t="shared" si="163"/>
        <v>Very Long</v>
      </c>
      <c r="T2065" s="2" t="str">
        <f t="shared" si="164"/>
        <v>Major Delay</v>
      </c>
    </row>
    <row r="2066" spans="1:20" x14ac:dyDescent="0.35">
      <c r="A2066" s="2" t="s">
        <v>4315</v>
      </c>
      <c r="B2066" s="2" t="s">
        <v>63</v>
      </c>
      <c r="C2066" s="2" t="s">
        <v>4316</v>
      </c>
      <c r="D2066" s="2" t="s">
        <v>18</v>
      </c>
      <c r="E2066" s="2" t="s">
        <v>19</v>
      </c>
      <c r="F2066" s="2" t="s">
        <v>34</v>
      </c>
      <c r="G2066" s="2" t="s">
        <v>397</v>
      </c>
      <c r="H2066" s="3">
        <v>45348.007638888892</v>
      </c>
      <c r="I2066" s="3">
        <v>45348.068749999999</v>
      </c>
      <c r="J2066" s="2">
        <v>49</v>
      </c>
      <c r="K2066" s="2">
        <v>88</v>
      </c>
      <c r="L2066" s="2">
        <v>1</v>
      </c>
      <c r="M2066" s="2" t="s">
        <v>41</v>
      </c>
      <c r="N2066" s="2">
        <v>3</v>
      </c>
      <c r="O2066" s="2">
        <v>451.47</v>
      </c>
      <c r="P2066" s="2">
        <f t="shared" si="160"/>
        <v>39</v>
      </c>
      <c r="Q2066" s="4">
        <f t="shared" si="161"/>
        <v>0.55681818181818177</v>
      </c>
      <c r="R2066" s="2" t="str">
        <f t="shared" si="162"/>
        <v>Inefficient</v>
      </c>
      <c r="S2066" s="2" t="str">
        <f t="shared" si="163"/>
        <v>Long</v>
      </c>
      <c r="T2066" s="2" t="str">
        <f t="shared" si="164"/>
        <v>Major Delay</v>
      </c>
    </row>
    <row r="2067" spans="1:20" x14ac:dyDescent="0.35">
      <c r="A2067" s="2" t="s">
        <v>4317</v>
      </c>
      <c r="B2067" s="2" t="s">
        <v>31</v>
      </c>
      <c r="C2067" s="2" t="s">
        <v>4318</v>
      </c>
      <c r="D2067" s="2" t="s">
        <v>26</v>
      </c>
      <c r="E2067" s="2" t="s">
        <v>38</v>
      </c>
      <c r="F2067" s="2" t="s">
        <v>34</v>
      </c>
      <c r="G2067" s="2" t="s">
        <v>120</v>
      </c>
      <c r="H2067" s="3">
        <v>45482.429861111108</v>
      </c>
      <c r="I2067" s="3">
        <v>45482.614583333336</v>
      </c>
      <c r="J2067" s="2">
        <v>169</v>
      </c>
      <c r="K2067" s="2">
        <v>266</v>
      </c>
      <c r="L2067" s="2">
        <v>1</v>
      </c>
      <c r="M2067" s="2" t="s">
        <v>22</v>
      </c>
      <c r="N2067" s="2">
        <v>5</v>
      </c>
      <c r="O2067" s="2">
        <v>297.06</v>
      </c>
      <c r="P2067" s="2">
        <f t="shared" si="160"/>
        <v>97</v>
      </c>
      <c r="Q2067" s="4">
        <f t="shared" si="161"/>
        <v>0.63533834586466165</v>
      </c>
      <c r="R2067" s="2" t="str">
        <f t="shared" si="162"/>
        <v>Inefficient</v>
      </c>
      <c r="S2067" s="2" t="str">
        <f t="shared" si="163"/>
        <v>Very Long</v>
      </c>
      <c r="T2067" s="2" t="str">
        <f t="shared" si="164"/>
        <v>Major Delay</v>
      </c>
    </row>
    <row r="2068" spans="1:20" x14ac:dyDescent="0.35">
      <c r="A2068" s="2" t="s">
        <v>4319</v>
      </c>
      <c r="B2068" s="2" t="s">
        <v>31</v>
      </c>
      <c r="C2068" s="2" t="s">
        <v>4320</v>
      </c>
      <c r="D2068" s="2" t="s">
        <v>44</v>
      </c>
      <c r="E2068" s="2" t="s">
        <v>33</v>
      </c>
      <c r="F2068" s="2" t="s">
        <v>39</v>
      </c>
      <c r="G2068" s="2" t="s">
        <v>700</v>
      </c>
      <c r="H2068" s="3">
        <v>45314.371527777781</v>
      </c>
      <c r="I2068" s="3">
        <v>45314.506944444445</v>
      </c>
      <c r="J2068" s="2">
        <v>120</v>
      </c>
      <c r="K2068" s="2">
        <v>195</v>
      </c>
      <c r="L2068" s="2">
        <v>1</v>
      </c>
      <c r="M2068" s="2" t="s">
        <v>29</v>
      </c>
      <c r="N2068" s="2">
        <v>7</v>
      </c>
      <c r="O2068" s="2">
        <v>362.33</v>
      </c>
      <c r="P2068" s="2">
        <f t="shared" si="160"/>
        <v>75</v>
      </c>
      <c r="Q2068" s="4">
        <f t="shared" si="161"/>
        <v>0.61538461538461542</v>
      </c>
      <c r="R2068" s="2" t="str">
        <f t="shared" si="162"/>
        <v>Inefficient</v>
      </c>
      <c r="S2068" s="2" t="str">
        <f t="shared" si="163"/>
        <v>Very Long</v>
      </c>
      <c r="T2068" s="2" t="str">
        <f t="shared" si="164"/>
        <v>Major Delay</v>
      </c>
    </row>
    <row r="2069" spans="1:20" x14ac:dyDescent="0.35">
      <c r="A2069" s="2" t="s">
        <v>4321</v>
      </c>
      <c r="B2069" s="2" t="s">
        <v>16</v>
      </c>
      <c r="C2069" s="2" t="s">
        <v>4322</v>
      </c>
      <c r="D2069" s="2" t="s">
        <v>56</v>
      </c>
      <c r="E2069" s="2" t="s">
        <v>85</v>
      </c>
      <c r="F2069" s="2" t="s">
        <v>34</v>
      </c>
      <c r="G2069" s="2" t="s">
        <v>49</v>
      </c>
      <c r="H2069" s="3">
        <v>45627.712500000001</v>
      </c>
      <c r="I2069" s="3">
        <v>45627.871527777781</v>
      </c>
      <c r="J2069" s="2">
        <v>206</v>
      </c>
      <c r="K2069" s="2">
        <v>229</v>
      </c>
      <c r="L2069" s="2">
        <v>1</v>
      </c>
      <c r="M2069" s="2" t="s">
        <v>41</v>
      </c>
      <c r="N2069" s="2">
        <v>9</v>
      </c>
      <c r="O2069" s="2">
        <v>131.96</v>
      </c>
      <c r="P2069" s="2">
        <f t="shared" si="160"/>
        <v>23</v>
      </c>
      <c r="Q2069" s="4">
        <f t="shared" si="161"/>
        <v>0.89956331877729256</v>
      </c>
      <c r="R2069" s="2" t="str">
        <f t="shared" si="162"/>
        <v>Inefficient</v>
      </c>
      <c r="S2069" s="2" t="str">
        <f t="shared" si="163"/>
        <v>Very Long</v>
      </c>
      <c r="T2069" s="2" t="str">
        <f t="shared" si="164"/>
        <v>Minor Delay</v>
      </c>
    </row>
    <row r="2070" spans="1:20" x14ac:dyDescent="0.35">
      <c r="A2070" s="2" t="s">
        <v>4323</v>
      </c>
      <c r="B2070" s="2" t="s">
        <v>31</v>
      </c>
      <c r="C2070" s="2" t="s">
        <v>4324</v>
      </c>
      <c r="D2070" s="2" t="s">
        <v>26</v>
      </c>
      <c r="E2070" s="2" t="s">
        <v>85</v>
      </c>
      <c r="F2070" s="2" t="s">
        <v>20</v>
      </c>
      <c r="G2070" s="2" t="s">
        <v>207</v>
      </c>
      <c r="H2070" s="3">
        <v>45511.022916666669</v>
      </c>
      <c r="I2070" s="3">
        <v>45511.063194444447</v>
      </c>
      <c r="J2070" s="2">
        <v>34</v>
      </c>
      <c r="K2070" s="2">
        <v>58</v>
      </c>
      <c r="L2070" s="2">
        <v>1</v>
      </c>
      <c r="M2070" s="2" t="s">
        <v>41</v>
      </c>
      <c r="N2070" s="2">
        <v>4</v>
      </c>
      <c r="O2070" s="2">
        <v>194.79</v>
      </c>
      <c r="P2070" s="2">
        <f t="shared" si="160"/>
        <v>24</v>
      </c>
      <c r="Q2070" s="4">
        <f t="shared" si="161"/>
        <v>0.58620689655172409</v>
      </c>
      <c r="R2070" s="2" t="str">
        <f t="shared" si="162"/>
        <v>Inefficient</v>
      </c>
      <c r="S2070" s="2" t="str">
        <f t="shared" si="163"/>
        <v>Medium</v>
      </c>
      <c r="T2070" s="2" t="str">
        <f t="shared" si="164"/>
        <v>Minor Delay</v>
      </c>
    </row>
    <row r="2071" spans="1:20" x14ac:dyDescent="0.35">
      <c r="A2071" s="2" t="s">
        <v>4325</v>
      </c>
      <c r="B2071" s="2" t="s">
        <v>51</v>
      </c>
      <c r="C2071" s="2" t="s">
        <v>4326</v>
      </c>
      <c r="D2071" s="2" t="s">
        <v>44</v>
      </c>
      <c r="E2071" s="2" t="s">
        <v>33</v>
      </c>
      <c r="F2071" s="2" t="s">
        <v>57</v>
      </c>
      <c r="G2071" s="2" t="s">
        <v>338</v>
      </c>
      <c r="H2071" s="3">
        <v>45575.525000000001</v>
      </c>
      <c r="I2071" s="3">
        <v>45575.609027777777</v>
      </c>
      <c r="J2071" s="2">
        <v>103</v>
      </c>
      <c r="K2071" s="2">
        <v>121</v>
      </c>
      <c r="L2071" s="2">
        <v>1</v>
      </c>
      <c r="M2071" s="2" t="s">
        <v>22</v>
      </c>
      <c r="N2071" s="2">
        <v>1</v>
      </c>
      <c r="O2071" s="2">
        <v>372.05</v>
      </c>
      <c r="P2071" s="2">
        <f t="shared" si="160"/>
        <v>18</v>
      </c>
      <c r="Q2071" s="4">
        <f t="shared" si="161"/>
        <v>0.85123966942148765</v>
      </c>
      <c r="R2071" s="2" t="str">
        <f t="shared" si="162"/>
        <v>Inefficient</v>
      </c>
      <c r="S2071" s="2" t="str">
        <f t="shared" si="163"/>
        <v>Very Long</v>
      </c>
      <c r="T2071" s="2" t="str">
        <f t="shared" si="164"/>
        <v>Minor Delay</v>
      </c>
    </row>
    <row r="2072" spans="1:20" x14ac:dyDescent="0.35">
      <c r="A2072" s="2" t="s">
        <v>4327</v>
      </c>
      <c r="B2072" s="2" t="s">
        <v>51</v>
      </c>
      <c r="C2072" s="2" t="s">
        <v>4328</v>
      </c>
      <c r="D2072" s="2" t="s">
        <v>56</v>
      </c>
      <c r="E2072" s="2" t="s">
        <v>33</v>
      </c>
      <c r="F2072" s="2" t="s">
        <v>27</v>
      </c>
      <c r="G2072" s="2" t="s">
        <v>521</v>
      </c>
      <c r="H2072" s="3">
        <v>45601.873611111114</v>
      </c>
      <c r="I2072" s="3">
        <v>45602.070833333331</v>
      </c>
      <c r="J2072" s="2">
        <v>172</v>
      </c>
      <c r="K2072" s="2">
        <v>284</v>
      </c>
      <c r="L2072" s="2">
        <v>1</v>
      </c>
      <c r="M2072" s="2" t="s">
        <v>41</v>
      </c>
      <c r="N2072" s="2">
        <v>6</v>
      </c>
      <c r="O2072" s="2">
        <v>416.26</v>
      </c>
      <c r="P2072" s="2">
        <f t="shared" si="160"/>
        <v>112</v>
      </c>
      <c r="Q2072" s="4">
        <f t="shared" si="161"/>
        <v>0.60563380281690138</v>
      </c>
      <c r="R2072" s="2" t="str">
        <f t="shared" si="162"/>
        <v>Inefficient</v>
      </c>
      <c r="S2072" s="2" t="str">
        <f t="shared" si="163"/>
        <v>Very Long</v>
      </c>
      <c r="T2072" s="2" t="str">
        <f t="shared" si="164"/>
        <v>Major Delay</v>
      </c>
    </row>
    <row r="2073" spans="1:20" x14ac:dyDescent="0.35">
      <c r="A2073" s="2" t="s">
        <v>4329</v>
      </c>
      <c r="B2073" s="2" t="s">
        <v>31</v>
      </c>
      <c r="C2073" s="2" t="s">
        <v>4330</v>
      </c>
      <c r="D2073" s="2" t="s">
        <v>18</v>
      </c>
      <c r="E2073" s="2" t="s">
        <v>85</v>
      </c>
      <c r="F2073" s="2" t="s">
        <v>20</v>
      </c>
      <c r="G2073" s="2" t="s">
        <v>364</v>
      </c>
      <c r="H2073" s="3">
        <v>45338.177083333336</v>
      </c>
      <c r="I2073" s="3">
        <v>45338.365277777775</v>
      </c>
      <c r="J2073" s="2">
        <v>176</v>
      </c>
      <c r="K2073" s="2">
        <v>271</v>
      </c>
      <c r="L2073" s="2">
        <v>1</v>
      </c>
      <c r="M2073" s="2" t="s">
        <v>41</v>
      </c>
      <c r="N2073" s="2">
        <v>4</v>
      </c>
      <c r="O2073" s="2">
        <v>367.07</v>
      </c>
      <c r="P2073" s="2">
        <f t="shared" si="160"/>
        <v>95</v>
      </c>
      <c r="Q2073" s="4">
        <f t="shared" si="161"/>
        <v>0.64944649446494462</v>
      </c>
      <c r="R2073" s="2" t="str">
        <f t="shared" si="162"/>
        <v>Inefficient</v>
      </c>
      <c r="S2073" s="2" t="str">
        <f t="shared" si="163"/>
        <v>Very Long</v>
      </c>
      <c r="T2073" s="2" t="str">
        <f t="shared" si="164"/>
        <v>Major Delay</v>
      </c>
    </row>
    <row r="2074" spans="1:20" x14ac:dyDescent="0.35">
      <c r="A2074" s="2" t="s">
        <v>4331</v>
      </c>
      <c r="B2074" s="2" t="s">
        <v>51</v>
      </c>
      <c r="C2074" s="2" t="s">
        <v>4332</v>
      </c>
      <c r="D2074" s="2" t="s">
        <v>56</v>
      </c>
      <c r="E2074" s="2" t="s">
        <v>19</v>
      </c>
      <c r="F2074" s="2" t="s">
        <v>39</v>
      </c>
      <c r="G2074" s="2" t="s">
        <v>28</v>
      </c>
      <c r="H2074" s="3">
        <v>45429.404861111114</v>
      </c>
      <c r="I2074" s="3">
        <v>45429.509027777778</v>
      </c>
      <c r="J2074" s="2">
        <v>82</v>
      </c>
      <c r="K2074" s="2">
        <v>150</v>
      </c>
      <c r="L2074" s="2">
        <v>1</v>
      </c>
      <c r="M2074" s="2" t="s">
        <v>29</v>
      </c>
      <c r="N2074" s="2">
        <v>4</v>
      </c>
      <c r="O2074" s="2">
        <v>268.55</v>
      </c>
      <c r="P2074" s="2">
        <f t="shared" si="160"/>
        <v>68</v>
      </c>
      <c r="Q2074" s="4">
        <f t="shared" si="161"/>
        <v>0.54666666666666663</v>
      </c>
      <c r="R2074" s="2" t="str">
        <f t="shared" si="162"/>
        <v>Inefficient</v>
      </c>
      <c r="S2074" s="2" t="str">
        <f t="shared" si="163"/>
        <v>Very Long</v>
      </c>
      <c r="T2074" s="2" t="str">
        <f t="shared" si="164"/>
        <v>Major Delay</v>
      </c>
    </row>
    <row r="2075" spans="1:20" x14ac:dyDescent="0.35">
      <c r="A2075" s="2" t="s">
        <v>4333</v>
      </c>
      <c r="B2075" s="2" t="s">
        <v>31</v>
      </c>
      <c r="C2075" s="2" t="s">
        <v>4334</v>
      </c>
      <c r="D2075" s="2" t="s">
        <v>26</v>
      </c>
      <c r="E2075" s="2" t="s">
        <v>38</v>
      </c>
      <c r="F2075" s="2" t="s">
        <v>57</v>
      </c>
      <c r="G2075" s="2" t="s">
        <v>599</v>
      </c>
      <c r="H2075" s="3">
        <v>45621.279166666667</v>
      </c>
      <c r="I2075" s="3">
        <v>45621.375694444447</v>
      </c>
      <c r="J2075" s="2">
        <v>107</v>
      </c>
      <c r="K2075" s="2">
        <v>139</v>
      </c>
      <c r="L2075" s="2">
        <v>1</v>
      </c>
      <c r="M2075" s="2" t="s">
        <v>22</v>
      </c>
      <c r="N2075" s="2">
        <v>5</v>
      </c>
      <c r="O2075" s="2">
        <v>438.45</v>
      </c>
      <c r="P2075" s="2">
        <f t="shared" si="160"/>
        <v>32</v>
      </c>
      <c r="Q2075" s="4">
        <f t="shared" si="161"/>
        <v>0.76978417266187049</v>
      </c>
      <c r="R2075" s="2" t="str">
        <f t="shared" si="162"/>
        <v>Inefficient</v>
      </c>
      <c r="S2075" s="2" t="str">
        <f t="shared" si="163"/>
        <v>Very Long</v>
      </c>
      <c r="T2075" s="2" t="str">
        <f t="shared" si="164"/>
        <v>Major Delay</v>
      </c>
    </row>
    <row r="2076" spans="1:20" x14ac:dyDescent="0.35">
      <c r="A2076" s="2" t="s">
        <v>4335</v>
      </c>
      <c r="B2076" s="2" t="s">
        <v>51</v>
      </c>
      <c r="C2076" s="2" t="s">
        <v>4336</v>
      </c>
      <c r="D2076" s="2" t="s">
        <v>44</v>
      </c>
      <c r="E2076" s="2" t="s">
        <v>85</v>
      </c>
      <c r="F2076" s="2" t="s">
        <v>20</v>
      </c>
      <c r="G2076" s="2" t="s">
        <v>311</v>
      </c>
      <c r="H2076" s="3">
        <v>45650.125</v>
      </c>
      <c r="I2076" s="3">
        <v>45650.258333333331</v>
      </c>
      <c r="J2076" s="2">
        <v>165</v>
      </c>
      <c r="K2076" s="2">
        <v>192</v>
      </c>
      <c r="L2076" s="2">
        <v>1</v>
      </c>
      <c r="M2076" s="2" t="s">
        <v>22</v>
      </c>
      <c r="N2076" s="2">
        <v>1</v>
      </c>
      <c r="O2076" s="2">
        <v>445.7</v>
      </c>
      <c r="P2076" s="2">
        <f t="shared" si="160"/>
        <v>27</v>
      </c>
      <c r="Q2076" s="4">
        <f t="shared" si="161"/>
        <v>0.859375</v>
      </c>
      <c r="R2076" s="2" t="str">
        <f t="shared" si="162"/>
        <v>Inefficient</v>
      </c>
      <c r="S2076" s="2" t="str">
        <f t="shared" si="163"/>
        <v>Very Long</v>
      </c>
      <c r="T2076" s="2" t="str">
        <f t="shared" si="164"/>
        <v>Minor Delay</v>
      </c>
    </row>
    <row r="2077" spans="1:20" x14ac:dyDescent="0.35">
      <c r="A2077" s="2" t="s">
        <v>4337</v>
      </c>
      <c r="B2077" s="2" t="s">
        <v>24</v>
      </c>
      <c r="C2077" s="2" t="s">
        <v>4338</v>
      </c>
      <c r="D2077" s="2" t="s">
        <v>18</v>
      </c>
      <c r="E2077" s="2" t="s">
        <v>85</v>
      </c>
      <c r="F2077" s="2" t="s">
        <v>39</v>
      </c>
      <c r="G2077" s="2" t="s">
        <v>916</v>
      </c>
      <c r="H2077" s="3">
        <v>45508.741666666669</v>
      </c>
      <c r="I2077" s="3">
        <v>45508.827777777777</v>
      </c>
      <c r="J2077" s="2">
        <v>129</v>
      </c>
      <c r="K2077" s="2">
        <v>124</v>
      </c>
      <c r="L2077" s="2">
        <v>0</v>
      </c>
      <c r="M2077" s="2" t="s">
        <v>41</v>
      </c>
      <c r="N2077" s="2">
        <v>5</v>
      </c>
      <c r="O2077" s="2">
        <v>354.41</v>
      </c>
      <c r="P2077" s="2">
        <f t="shared" si="160"/>
        <v>-5</v>
      </c>
      <c r="Q2077" s="4">
        <f t="shared" si="161"/>
        <v>1.0403225806451613</v>
      </c>
      <c r="R2077" s="2" t="str">
        <f t="shared" si="162"/>
        <v>Efficient</v>
      </c>
      <c r="S2077" s="2" t="str">
        <f t="shared" si="163"/>
        <v>Very Long</v>
      </c>
      <c r="T2077" s="2" t="str">
        <f t="shared" si="164"/>
        <v>On Time</v>
      </c>
    </row>
    <row r="2078" spans="1:20" x14ac:dyDescent="0.35">
      <c r="A2078" s="2" t="s">
        <v>4339</v>
      </c>
      <c r="B2078" s="2" t="s">
        <v>51</v>
      </c>
      <c r="C2078" s="2" t="s">
        <v>4340</v>
      </c>
      <c r="D2078" s="2" t="s">
        <v>56</v>
      </c>
      <c r="E2078" s="2" t="s">
        <v>33</v>
      </c>
      <c r="F2078" s="2" t="s">
        <v>57</v>
      </c>
      <c r="G2078" s="2" t="s">
        <v>114</v>
      </c>
      <c r="H2078" s="3">
        <v>45566.355555555558</v>
      </c>
      <c r="I2078" s="3">
        <v>45566.585416666669</v>
      </c>
      <c r="J2078" s="2">
        <v>238</v>
      </c>
      <c r="K2078" s="2">
        <v>331</v>
      </c>
      <c r="L2078" s="2">
        <v>1</v>
      </c>
      <c r="M2078" s="2" t="s">
        <v>29</v>
      </c>
      <c r="N2078" s="2">
        <v>8</v>
      </c>
      <c r="O2078" s="2">
        <v>458.71</v>
      </c>
      <c r="P2078" s="2">
        <f t="shared" si="160"/>
        <v>93</v>
      </c>
      <c r="Q2078" s="4">
        <f t="shared" si="161"/>
        <v>0.7190332326283988</v>
      </c>
      <c r="R2078" s="2" t="str">
        <f t="shared" si="162"/>
        <v>Inefficient</v>
      </c>
      <c r="S2078" s="2" t="str">
        <f t="shared" si="163"/>
        <v>Very Long</v>
      </c>
      <c r="T2078" s="2" t="str">
        <f t="shared" si="164"/>
        <v>Major Delay</v>
      </c>
    </row>
    <row r="2079" spans="1:20" x14ac:dyDescent="0.35">
      <c r="A2079" s="2" t="s">
        <v>4341</v>
      </c>
      <c r="B2079" s="2" t="s">
        <v>16</v>
      </c>
      <c r="C2079" s="2" t="s">
        <v>4342</v>
      </c>
      <c r="D2079" s="2" t="s">
        <v>48</v>
      </c>
      <c r="E2079" s="2" t="s">
        <v>19</v>
      </c>
      <c r="F2079" s="2" t="s">
        <v>20</v>
      </c>
      <c r="G2079" s="2" t="s">
        <v>321</v>
      </c>
      <c r="H2079" s="3">
        <v>45335.753472222219</v>
      </c>
      <c r="I2079" s="3">
        <v>45335.886111111111</v>
      </c>
      <c r="J2079" s="2">
        <v>85</v>
      </c>
      <c r="K2079" s="2">
        <v>191</v>
      </c>
      <c r="L2079" s="2">
        <v>1</v>
      </c>
      <c r="M2079" s="2" t="s">
        <v>22</v>
      </c>
      <c r="N2079" s="2">
        <v>8</v>
      </c>
      <c r="O2079" s="2">
        <v>461.57</v>
      </c>
      <c r="P2079" s="2">
        <f t="shared" si="160"/>
        <v>106</v>
      </c>
      <c r="Q2079" s="4">
        <f t="shared" si="161"/>
        <v>0.44502617801047123</v>
      </c>
      <c r="R2079" s="2" t="str">
        <f t="shared" si="162"/>
        <v>Inefficient</v>
      </c>
      <c r="S2079" s="2" t="str">
        <f t="shared" si="163"/>
        <v>Very Long</v>
      </c>
      <c r="T2079" s="2" t="str">
        <f t="shared" si="164"/>
        <v>Major Delay</v>
      </c>
    </row>
    <row r="2080" spans="1:20" x14ac:dyDescent="0.35">
      <c r="A2080" s="2" t="s">
        <v>4343</v>
      </c>
      <c r="B2080" s="2" t="s">
        <v>63</v>
      </c>
      <c r="C2080" s="2" t="s">
        <v>4344</v>
      </c>
      <c r="D2080" s="2" t="s">
        <v>44</v>
      </c>
      <c r="E2080" s="2" t="s">
        <v>38</v>
      </c>
      <c r="F2080" s="2" t="s">
        <v>39</v>
      </c>
      <c r="G2080" s="2" t="s">
        <v>465</v>
      </c>
      <c r="H2080" s="3">
        <v>45324.167361111111</v>
      </c>
      <c r="I2080" s="3">
        <v>45324.329861111109</v>
      </c>
      <c r="J2080" s="2">
        <v>230</v>
      </c>
      <c r="K2080" s="2">
        <v>234</v>
      </c>
      <c r="L2080" s="2">
        <v>1</v>
      </c>
      <c r="M2080" s="2" t="s">
        <v>41</v>
      </c>
      <c r="N2080" s="2">
        <v>4</v>
      </c>
      <c r="O2080" s="2">
        <v>293.64999999999998</v>
      </c>
      <c r="P2080" s="2">
        <f t="shared" si="160"/>
        <v>4</v>
      </c>
      <c r="Q2080" s="4">
        <f t="shared" si="161"/>
        <v>0.98290598290598286</v>
      </c>
      <c r="R2080" s="2" t="str">
        <f t="shared" si="162"/>
        <v>Inefficient</v>
      </c>
      <c r="S2080" s="2" t="str">
        <f t="shared" si="163"/>
        <v>Very Long</v>
      </c>
      <c r="T2080" s="2" t="str">
        <f t="shared" si="164"/>
        <v>Minor Delay</v>
      </c>
    </row>
    <row r="2081" spans="1:20" x14ac:dyDescent="0.35">
      <c r="A2081" s="2" t="s">
        <v>4345</v>
      </c>
      <c r="B2081" s="2" t="s">
        <v>24</v>
      </c>
      <c r="C2081" s="2" t="s">
        <v>4346</v>
      </c>
      <c r="D2081" s="2" t="s">
        <v>18</v>
      </c>
      <c r="E2081" s="2" t="s">
        <v>33</v>
      </c>
      <c r="F2081" s="2" t="s">
        <v>34</v>
      </c>
      <c r="G2081" s="2" t="s">
        <v>234</v>
      </c>
      <c r="H2081" s="3">
        <v>45601.933333333334</v>
      </c>
      <c r="I2081" s="3">
        <v>45601.957638888889</v>
      </c>
      <c r="J2081" s="2">
        <v>10</v>
      </c>
      <c r="K2081" s="2">
        <v>35</v>
      </c>
      <c r="L2081" s="2">
        <v>1</v>
      </c>
      <c r="M2081" s="2" t="s">
        <v>22</v>
      </c>
      <c r="N2081" s="2">
        <v>2</v>
      </c>
      <c r="O2081" s="2">
        <v>432.62</v>
      </c>
      <c r="P2081" s="2">
        <f t="shared" si="160"/>
        <v>25</v>
      </c>
      <c r="Q2081" s="4">
        <f t="shared" si="161"/>
        <v>0.2857142857142857</v>
      </c>
      <c r="R2081" s="2" t="str">
        <f t="shared" si="162"/>
        <v>Inefficient</v>
      </c>
      <c r="S2081" s="2" t="str">
        <f t="shared" si="163"/>
        <v>Medium</v>
      </c>
      <c r="T2081" s="2" t="str">
        <f t="shared" si="164"/>
        <v>Minor Delay</v>
      </c>
    </row>
    <row r="2082" spans="1:20" x14ac:dyDescent="0.35">
      <c r="A2082" s="2" t="s">
        <v>4347</v>
      </c>
      <c r="B2082" s="2" t="s">
        <v>63</v>
      </c>
      <c r="C2082" s="2" t="s">
        <v>4348</v>
      </c>
      <c r="D2082" s="2" t="s">
        <v>48</v>
      </c>
      <c r="E2082" s="2" t="s">
        <v>19</v>
      </c>
      <c r="F2082" s="2" t="s">
        <v>57</v>
      </c>
      <c r="G2082" s="2" t="s">
        <v>615</v>
      </c>
      <c r="H2082" s="3">
        <v>45652.254166666666</v>
      </c>
      <c r="I2082" s="3">
        <v>45652.467361111114</v>
      </c>
      <c r="J2082" s="2">
        <v>191</v>
      </c>
      <c r="K2082" s="2">
        <v>307</v>
      </c>
      <c r="L2082" s="2">
        <v>1</v>
      </c>
      <c r="M2082" s="2" t="s">
        <v>41</v>
      </c>
      <c r="N2082" s="2">
        <v>5</v>
      </c>
      <c r="O2082" s="2">
        <v>103.65</v>
      </c>
      <c r="P2082" s="2">
        <f t="shared" si="160"/>
        <v>116</v>
      </c>
      <c r="Q2082" s="4">
        <f t="shared" si="161"/>
        <v>0.62214983713355054</v>
      </c>
      <c r="R2082" s="2" t="str">
        <f t="shared" si="162"/>
        <v>Inefficient</v>
      </c>
      <c r="S2082" s="2" t="str">
        <f t="shared" si="163"/>
        <v>Very Long</v>
      </c>
      <c r="T2082" s="2" t="str">
        <f t="shared" si="164"/>
        <v>Major Delay</v>
      </c>
    </row>
    <row r="2083" spans="1:20" x14ac:dyDescent="0.35">
      <c r="A2083" s="2" t="s">
        <v>4349</v>
      </c>
      <c r="B2083" s="2" t="s">
        <v>31</v>
      </c>
      <c r="C2083" s="2" t="s">
        <v>4350</v>
      </c>
      <c r="D2083" s="2" t="s">
        <v>44</v>
      </c>
      <c r="E2083" s="2" t="s">
        <v>33</v>
      </c>
      <c r="F2083" s="2" t="s">
        <v>57</v>
      </c>
      <c r="G2083" s="2" t="s">
        <v>1030</v>
      </c>
      <c r="H2083" s="3">
        <v>45364.802777777775</v>
      </c>
      <c r="I2083" s="3">
        <v>45364.90625</v>
      </c>
      <c r="J2083" s="2">
        <v>101</v>
      </c>
      <c r="K2083" s="2">
        <v>149</v>
      </c>
      <c r="L2083" s="2">
        <v>1</v>
      </c>
      <c r="M2083" s="2" t="s">
        <v>41</v>
      </c>
      <c r="N2083" s="2">
        <v>4</v>
      </c>
      <c r="O2083" s="2">
        <v>241.07</v>
      </c>
      <c r="P2083" s="2">
        <f t="shared" si="160"/>
        <v>48</v>
      </c>
      <c r="Q2083" s="4">
        <f t="shared" si="161"/>
        <v>0.67785234899328861</v>
      </c>
      <c r="R2083" s="2" t="str">
        <f t="shared" si="162"/>
        <v>Inefficient</v>
      </c>
      <c r="S2083" s="2" t="str">
        <f t="shared" si="163"/>
        <v>Very Long</v>
      </c>
      <c r="T2083" s="2" t="str">
        <f t="shared" si="164"/>
        <v>Major Delay</v>
      </c>
    </row>
    <row r="2084" spans="1:20" x14ac:dyDescent="0.35">
      <c r="A2084" s="2" t="s">
        <v>4351</v>
      </c>
      <c r="B2084" s="2" t="s">
        <v>24</v>
      </c>
      <c r="C2084" s="2" t="s">
        <v>4352</v>
      </c>
      <c r="D2084" s="2" t="s">
        <v>26</v>
      </c>
      <c r="E2084" s="2" t="s">
        <v>19</v>
      </c>
      <c r="F2084" s="2" t="s">
        <v>57</v>
      </c>
      <c r="G2084" s="2" t="s">
        <v>170</v>
      </c>
      <c r="H2084" s="3">
        <v>45631.638194444444</v>
      </c>
      <c r="I2084" s="3">
        <v>45631.834027777775</v>
      </c>
      <c r="J2084" s="2">
        <v>237</v>
      </c>
      <c r="K2084" s="2">
        <v>282</v>
      </c>
      <c r="L2084" s="2">
        <v>1</v>
      </c>
      <c r="M2084" s="2" t="s">
        <v>22</v>
      </c>
      <c r="N2084" s="2">
        <v>5</v>
      </c>
      <c r="O2084" s="2">
        <v>167.05</v>
      </c>
      <c r="P2084" s="2">
        <f t="shared" si="160"/>
        <v>45</v>
      </c>
      <c r="Q2084" s="4">
        <f t="shared" si="161"/>
        <v>0.84042553191489366</v>
      </c>
      <c r="R2084" s="2" t="str">
        <f t="shared" si="162"/>
        <v>Inefficient</v>
      </c>
      <c r="S2084" s="2" t="str">
        <f t="shared" si="163"/>
        <v>Very Long</v>
      </c>
      <c r="T2084" s="2" t="str">
        <f t="shared" si="164"/>
        <v>Major Delay</v>
      </c>
    </row>
    <row r="2085" spans="1:20" x14ac:dyDescent="0.35">
      <c r="A2085" s="2" t="s">
        <v>4353</v>
      </c>
      <c r="B2085" s="2" t="s">
        <v>63</v>
      </c>
      <c r="C2085" s="2" t="s">
        <v>4354</v>
      </c>
      <c r="D2085" s="2" t="s">
        <v>26</v>
      </c>
      <c r="E2085" s="2" t="s">
        <v>33</v>
      </c>
      <c r="F2085" s="2" t="s">
        <v>27</v>
      </c>
      <c r="G2085" s="2" t="s">
        <v>161</v>
      </c>
      <c r="H2085" s="3">
        <v>45370.870138888888</v>
      </c>
      <c r="I2085" s="3">
        <v>45371.019444444442</v>
      </c>
      <c r="J2085" s="2">
        <v>207</v>
      </c>
      <c r="K2085" s="2">
        <v>215</v>
      </c>
      <c r="L2085" s="2">
        <v>1</v>
      </c>
      <c r="M2085" s="2" t="s">
        <v>29</v>
      </c>
      <c r="N2085" s="2">
        <v>9</v>
      </c>
      <c r="O2085" s="2">
        <v>107.72</v>
      </c>
      <c r="P2085" s="2">
        <f t="shared" si="160"/>
        <v>8</v>
      </c>
      <c r="Q2085" s="4">
        <f t="shared" si="161"/>
        <v>0.96279069767441861</v>
      </c>
      <c r="R2085" s="2" t="str">
        <f t="shared" si="162"/>
        <v>Inefficient</v>
      </c>
      <c r="S2085" s="2" t="str">
        <f t="shared" si="163"/>
        <v>Very Long</v>
      </c>
      <c r="T2085" s="2" t="str">
        <f t="shared" si="164"/>
        <v>Minor Delay</v>
      </c>
    </row>
    <row r="2086" spans="1:20" x14ac:dyDescent="0.35">
      <c r="A2086" s="2" t="s">
        <v>4355</v>
      </c>
      <c r="B2086" s="2" t="s">
        <v>63</v>
      </c>
      <c r="C2086" s="2" t="s">
        <v>4356</v>
      </c>
      <c r="D2086" s="2" t="s">
        <v>44</v>
      </c>
      <c r="E2086" s="2" t="s">
        <v>33</v>
      </c>
      <c r="F2086" s="2" t="s">
        <v>27</v>
      </c>
      <c r="G2086" s="2" t="s">
        <v>283</v>
      </c>
      <c r="H2086" s="3">
        <v>45355.072916666664</v>
      </c>
      <c r="I2086" s="3">
        <v>45355.20416666667</v>
      </c>
      <c r="J2086" s="2">
        <v>69</v>
      </c>
      <c r="K2086" s="2">
        <v>189</v>
      </c>
      <c r="L2086" s="2">
        <v>1</v>
      </c>
      <c r="M2086" s="2" t="s">
        <v>41</v>
      </c>
      <c r="N2086" s="2">
        <v>8</v>
      </c>
      <c r="O2086" s="2">
        <v>136.96</v>
      </c>
      <c r="P2086" s="2">
        <f t="shared" si="160"/>
        <v>120</v>
      </c>
      <c r="Q2086" s="4">
        <f t="shared" si="161"/>
        <v>0.36507936507936506</v>
      </c>
      <c r="R2086" s="2" t="str">
        <f t="shared" si="162"/>
        <v>Inefficient</v>
      </c>
      <c r="S2086" s="2" t="str">
        <f t="shared" si="163"/>
        <v>Very Long</v>
      </c>
      <c r="T2086" s="2" t="str">
        <f t="shared" si="164"/>
        <v>Major Delay</v>
      </c>
    </row>
    <row r="2087" spans="1:20" x14ac:dyDescent="0.35">
      <c r="A2087" s="2" t="s">
        <v>4357</v>
      </c>
      <c r="B2087" s="2" t="s">
        <v>16</v>
      </c>
      <c r="C2087" s="2" t="s">
        <v>4358</v>
      </c>
      <c r="D2087" s="2" t="s">
        <v>44</v>
      </c>
      <c r="E2087" s="2" t="s">
        <v>85</v>
      </c>
      <c r="F2087" s="2" t="s">
        <v>39</v>
      </c>
      <c r="G2087" s="2" t="s">
        <v>132</v>
      </c>
      <c r="H2087" s="3">
        <v>45468.547222222223</v>
      </c>
      <c r="I2087" s="3">
        <v>45468.680555555555</v>
      </c>
      <c r="J2087" s="2">
        <v>172</v>
      </c>
      <c r="K2087" s="2">
        <v>192</v>
      </c>
      <c r="L2087" s="2">
        <v>1</v>
      </c>
      <c r="M2087" s="2" t="s">
        <v>41</v>
      </c>
      <c r="N2087" s="2">
        <v>6</v>
      </c>
      <c r="O2087" s="2">
        <v>116.8</v>
      </c>
      <c r="P2087" s="2">
        <f t="shared" si="160"/>
        <v>20</v>
      </c>
      <c r="Q2087" s="4">
        <f t="shared" si="161"/>
        <v>0.89583333333333337</v>
      </c>
      <c r="R2087" s="2" t="str">
        <f t="shared" si="162"/>
        <v>Inefficient</v>
      </c>
      <c r="S2087" s="2" t="str">
        <f t="shared" si="163"/>
        <v>Very Long</v>
      </c>
      <c r="T2087" s="2" t="str">
        <f t="shared" si="164"/>
        <v>Minor Delay</v>
      </c>
    </row>
    <row r="2088" spans="1:20" x14ac:dyDescent="0.35">
      <c r="A2088" s="2" t="s">
        <v>4359</v>
      </c>
      <c r="B2088" s="2" t="s">
        <v>51</v>
      </c>
      <c r="C2088" s="2" t="s">
        <v>4360</v>
      </c>
      <c r="D2088" s="2" t="s">
        <v>44</v>
      </c>
      <c r="E2088" s="2" t="s">
        <v>38</v>
      </c>
      <c r="F2088" s="2" t="s">
        <v>39</v>
      </c>
      <c r="G2088" s="2" t="s">
        <v>445</v>
      </c>
      <c r="H2088" s="3">
        <v>45629.473611111112</v>
      </c>
      <c r="I2088" s="3">
        <v>45629.518750000003</v>
      </c>
      <c r="J2088" s="2">
        <v>67</v>
      </c>
      <c r="K2088" s="2">
        <v>65</v>
      </c>
      <c r="L2088" s="2">
        <v>0</v>
      </c>
      <c r="M2088" s="2" t="s">
        <v>29</v>
      </c>
      <c r="N2088" s="2">
        <v>5</v>
      </c>
      <c r="O2088" s="2">
        <v>432.07</v>
      </c>
      <c r="P2088" s="2">
        <f t="shared" si="160"/>
        <v>-2</v>
      </c>
      <c r="Q2088" s="4">
        <f t="shared" si="161"/>
        <v>1.0307692307692307</v>
      </c>
      <c r="R2088" s="2" t="str">
        <f t="shared" si="162"/>
        <v>Efficient</v>
      </c>
      <c r="S2088" s="2" t="str">
        <f t="shared" si="163"/>
        <v>Long</v>
      </c>
      <c r="T2088" s="2" t="str">
        <f t="shared" si="164"/>
        <v>On Time</v>
      </c>
    </row>
    <row r="2089" spans="1:20" x14ac:dyDescent="0.35">
      <c r="A2089" s="2" t="s">
        <v>4361</v>
      </c>
      <c r="B2089" s="2" t="s">
        <v>31</v>
      </c>
      <c r="C2089" s="2" t="s">
        <v>4362</v>
      </c>
      <c r="D2089" s="2" t="s">
        <v>18</v>
      </c>
      <c r="E2089" s="2" t="s">
        <v>19</v>
      </c>
      <c r="F2089" s="2" t="s">
        <v>20</v>
      </c>
      <c r="G2089" s="2" t="s">
        <v>810</v>
      </c>
      <c r="H2089" s="3">
        <v>45316.01458333333</v>
      </c>
      <c r="I2089" s="3">
        <v>45316.240972222222</v>
      </c>
      <c r="J2089" s="2">
        <v>227</v>
      </c>
      <c r="K2089" s="2">
        <v>326</v>
      </c>
      <c r="L2089" s="2">
        <v>1</v>
      </c>
      <c r="M2089" s="2" t="s">
        <v>29</v>
      </c>
      <c r="N2089" s="2">
        <v>9</v>
      </c>
      <c r="O2089" s="2">
        <v>146.9</v>
      </c>
      <c r="P2089" s="2">
        <f t="shared" si="160"/>
        <v>99</v>
      </c>
      <c r="Q2089" s="4">
        <f t="shared" si="161"/>
        <v>0.69631901840490795</v>
      </c>
      <c r="R2089" s="2" t="str">
        <f t="shared" si="162"/>
        <v>Inefficient</v>
      </c>
      <c r="S2089" s="2" t="str">
        <f t="shared" si="163"/>
        <v>Very Long</v>
      </c>
      <c r="T2089" s="2" t="str">
        <f t="shared" si="164"/>
        <v>Major Delay</v>
      </c>
    </row>
    <row r="2090" spans="1:20" x14ac:dyDescent="0.35">
      <c r="A2090" s="2" t="s">
        <v>4363</v>
      </c>
      <c r="B2090" s="2" t="s">
        <v>16</v>
      </c>
      <c r="C2090" s="2" t="s">
        <v>4364</v>
      </c>
      <c r="D2090" s="2" t="s">
        <v>26</v>
      </c>
      <c r="E2090" s="2" t="s">
        <v>33</v>
      </c>
      <c r="F2090" s="2" t="s">
        <v>34</v>
      </c>
      <c r="G2090" s="2" t="s">
        <v>117</v>
      </c>
      <c r="H2090" s="3">
        <v>45644.138194444444</v>
      </c>
      <c r="I2090" s="3">
        <v>45644.272222222222</v>
      </c>
      <c r="J2090" s="2">
        <v>111</v>
      </c>
      <c r="K2090" s="2">
        <v>193</v>
      </c>
      <c r="L2090" s="2">
        <v>1</v>
      </c>
      <c r="M2090" s="2" t="s">
        <v>22</v>
      </c>
      <c r="N2090" s="2">
        <v>8</v>
      </c>
      <c r="O2090" s="2">
        <v>294.23</v>
      </c>
      <c r="P2090" s="2">
        <f t="shared" si="160"/>
        <v>82</v>
      </c>
      <c r="Q2090" s="4">
        <f t="shared" si="161"/>
        <v>0.57512953367875652</v>
      </c>
      <c r="R2090" s="2" t="str">
        <f t="shared" si="162"/>
        <v>Inefficient</v>
      </c>
      <c r="S2090" s="2" t="str">
        <f t="shared" si="163"/>
        <v>Very Long</v>
      </c>
      <c r="T2090" s="2" t="str">
        <f t="shared" si="164"/>
        <v>Major Delay</v>
      </c>
    </row>
    <row r="2091" spans="1:20" x14ac:dyDescent="0.35">
      <c r="A2091" s="2" t="s">
        <v>4365</v>
      </c>
      <c r="B2091" s="2" t="s">
        <v>51</v>
      </c>
      <c r="C2091" s="2" t="s">
        <v>4366</v>
      </c>
      <c r="D2091" s="2" t="s">
        <v>18</v>
      </c>
      <c r="E2091" s="2" t="s">
        <v>33</v>
      </c>
      <c r="F2091" s="2" t="s">
        <v>57</v>
      </c>
      <c r="G2091" s="2" t="s">
        <v>185</v>
      </c>
      <c r="H2091" s="3">
        <v>45425.525000000001</v>
      </c>
      <c r="I2091" s="3">
        <v>45425.678472222222</v>
      </c>
      <c r="J2091" s="2">
        <v>192</v>
      </c>
      <c r="K2091" s="2">
        <v>221</v>
      </c>
      <c r="L2091" s="2">
        <v>1</v>
      </c>
      <c r="M2091" s="2" t="s">
        <v>22</v>
      </c>
      <c r="N2091" s="2">
        <v>3</v>
      </c>
      <c r="O2091" s="2">
        <v>466.28</v>
      </c>
      <c r="P2091" s="2">
        <f t="shared" si="160"/>
        <v>29</v>
      </c>
      <c r="Q2091" s="4">
        <f t="shared" si="161"/>
        <v>0.86877828054298645</v>
      </c>
      <c r="R2091" s="2" t="str">
        <f t="shared" si="162"/>
        <v>Inefficient</v>
      </c>
      <c r="S2091" s="2" t="str">
        <f t="shared" si="163"/>
        <v>Very Long</v>
      </c>
      <c r="T2091" s="2" t="str">
        <f t="shared" si="164"/>
        <v>Minor Delay</v>
      </c>
    </row>
    <row r="2092" spans="1:20" x14ac:dyDescent="0.35">
      <c r="A2092" s="2" t="s">
        <v>4367</v>
      </c>
      <c r="B2092" s="2" t="s">
        <v>31</v>
      </c>
      <c r="C2092" s="2" t="s">
        <v>4368</v>
      </c>
      <c r="D2092" s="2" t="s">
        <v>48</v>
      </c>
      <c r="E2092" s="2" t="s">
        <v>38</v>
      </c>
      <c r="F2092" s="2" t="s">
        <v>27</v>
      </c>
      <c r="G2092" s="2" t="s">
        <v>1622</v>
      </c>
      <c r="H2092" s="3">
        <v>45432.703472222223</v>
      </c>
      <c r="I2092" s="3">
        <v>45432.832638888889</v>
      </c>
      <c r="J2092" s="2">
        <v>169</v>
      </c>
      <c r="K2092" s="2">
        <v>186</v>
      </c>
      <c r="L2092" s="2">
        <v>1</v>
      </c>
      <c r="M2092" s="2" t="s">
        <v>22</v>
      </c>
      <c r="N2092" s="2">
        <v>9</v>
      </c>
      <c r="O2092" s="2">
        <v>368.37</v>
      </c>
      <c r="P2092" s="2">
        <f t="shared" si="160"/>
        <v>17</v>
      </c>
      <c r="Q2092" s="4">
        <f t="shared" si="161"/>
        <v>0.90860215053763438</v>
      </c>
      <c r="R2092" s="2" t="str">
        <f t="shared" si="162"/>
        <v>Inefficient</v>
      </c>
      <c r="S2092" s="2" t="str">
        <f t="shared" si="163"/>
        <v>Very Long</v>
      </c>
      <c r="T2092" s="2" t="str">
        <f t="shared" si="164"/>
        <v>Minor Delay</v>
      </c>
    </row>
    <row r="2093" spans="1:20" x14ac:dyDescent="0.35">
      <c r="A2093" s="2" t="s">
        <v>4369</v>
      </c>
      <c r="B2093" s="2" t="s">
        <v>51</v>
      </c>
      <c r="C2093" s="2" t="s">
        <v>4370</v>
      </c>
      <c r="D2093" s="2" t="s">
        <v>26</v>
      </c>
      <c r="E2093" s="2" t="s">
        <v>33</v>
      </c>
      <c r="F2093" s="2" t="s">
        <v>57</v>
      </c>
      <c r="G2093" s="2" t="s">
        <v>213</v>
      </c>
      <c r="H2093" s="3">
        <v>45654.576388888891</v>
      </c>
      <c r="I2093" s="3">
        <v>45654.69027777778</v>
      </c>
      <c r="J2093" s="2">
        <v>129</v>
      </c>
      <c r="K2093" s="2">
        <v>164</v>
      </c>
      <c r="L2093" s="2">
        <v>1</v>
      </c>
      <c r="M2093" s="2" t="s">
        <v>29</v>
      </c>
      <c r="N2093" s="2">
        <v>7</v>
      </c>
      <c r="O2093" s="2">
        <v>470.39</v>
      </c>
      <c r="P2093" s="2">
        <f t="shared" si="160"/>
        <v>35</v>
      </c>
      <c r="Q2093" s="4">
        <f t="shared" si="161"/>
        <v>0.78658536585365857</v>
      </c>
      <c r="R2093" s="2" t="str">
        <f t="shared" si="162"/>
        <v>Inefficient</v>
      </c>
      <c r="S2093" s="2" t="str">
        <f t="shared" si="163"/>
        <v>Very Long</v>
      </c>
      <c r="T2093" s="2" t="str">
        <f t="shared" si="164"/>
        <v>Major Delay</v>
      </c>
    </row>
    <row r="2094" spans="1:20" x14ac:dyDescent="0.35">
      <c r="A2094" s="2" t="s">
        <v>4371</v>
      </c>
      <c r="B2094" s="2" t="s">
        <v>63</v>
      </c>
      <c r="C2094" s="2" t="s">
        <v>4372</v>
      </c>
      <c r="D2094" s="2" t="s">
        <v>26</v>
      </c>
      <c r="E2094" s="2" t="s">
        <v>85</v>
      </c>
      <c r="F2094" s="2" t="s">
        <v>39</v>
      </c>
      <c r="G2094" s="2" t="s">
        <v>371</v>
      </c>
      <c r="H2094" s="3">
        <v>45611.857638888891</v>
      </c>
      <c r="I2094" s="3">
        <v>45612.02847222222</v>
      </c>
      <c r="J2094" s="2">
        <v>221</v>
      </c>
      <c r="K2094" s="2">
        <v>246</v>
      </c>
      <c r="L2094" s="2">
        <v>1</v>
      </c>
      <c r="M2094" s="2" t="s">
        <v>29</v>
      </c>
      <c r="N2094" s="2">
        <v>7</v>
      </c>
      <c r="O2094" s="2">
        <v>489.59</v>
      </c>
      <c r="P2094" s="2">
        <f t="shared" si="160"/>
        <v>25</v>
      </c>
      <c r="Q2094" s="4">
        <f t="shared" si="161"/>
        <v>0.89837398373983735</v>
      </c>
      <c r="R2094" s="2" t="str">
        <f t="shared" si="162"/>
        <v>Inefficient</v>
      </c>
      <c r="S2094" s="2" t="str">
        <f t="shared" si="163"/>
        <v>Very Long</v>
      </c>
      <c r="T2094" s="2" t="str">
        <f t="shared" si="164"/>
        <v>Minor Delay</v>
      </c>
    </row>
    <row r="2095" spans="1:20" x14ac:dyDescent="0.35">
      <c r="A2095" s="2" t="s">
        <v>4373</v>
      </c>
      <c r="B2095" s="2" t="s">
        <v>51</v>
      </c>
      <c r="C2095" s="2" t="s">
        <v>4374</v>
      </c>
      <c r="D2095" s="2" t="s">
        <v>48</v>
      </c>
      <c r="E2095" s="2" t="s">
        <v>38</v>
      </c>
      <c r="F2095" s="2" t="s">
        <v>57</v>
      </c>
      <c r="G2095" s="2" t="s">
        <v>146</v>
      </c>
      <c r="H2095" s="3">
        <v>45592.092361111114</v>
      </c>
      <c r="I2095" s="3">
        <v>45592.285416666666</v>
      </c>
      <c r="J2095" s="2">
        <v>170</v>
      </c>
      <c r="K2095" s="2">
        <v>278</v>
      </c>
      <c r="L2095" s="2">
        <v>1</v>
      </c>
      <c r="M2095" s="2" t="s">
        <v>29</v>
      </c>
      <c r="N2095" s="2">
        <v>1</v>
      </c>
      <c r="O2095" s="2">
        <v>453.1</v>
      </c>
      <c r="P2095" s="2">
        <f t="shared" si="160"/>
        <v>108</v>
      </c>
      <c r="Q2095" s="4">
        <f t="shared" si="161"/>
        <v>0.61151079136690645</v>
      </c>
      <c r="R2095" s="2" t="str">
        <f t="shared" si="162"/>
        <v>Inefficient</v>
      </c>
      <c r="S2095" s="2" t="str">
        <f t="shared" si="163"/>
        <v>Very Long</v>
      </c>
      <c r="T2095" s="2" t="str">
        <f t="shared" si="164"/>
        <v>Major Delay</v>
      </c>
    </row>
    <row r="2096" spans="1:20" x14ac:dyDescent="0.35">
      <c r="A2096" s="2" t="s">
        <v>4375</v>
      </c>
      <c r="B2096" s="2" t="s">
        <v>51</v>
      </c>
      <c r="C2096" s="2" t="s">
        <v>4376</v>
      </c>
      <c r="D2096" s="2" t="s">
        <v>18</v>
      </c>
      <c r="E2096" s="2" t="s">
        <v>19</v>
      </c>
      <c r="F2096" s="2" t="s">
        <v>20</v>
      </c>
      <c r="G2096" s="2" t="s">
        <v>465</v>
      </c>
      <c r="H2096" s="3">
        <v>45444.629166666666</v>
      </c>
      <c r="I2096" s="3">
        <v>45444.728472222225</v>
      </c>
      <c r="J2096" s="2">
        <v>114</v>
      </c>
      <c r="K2096" s="2">
        <v>143</v>
      </c>
      <c r="L2096" s="2">
        <v>1</v>
      </c>
      <c r="M2096" s="2" t="s">
        <v>41</v>
      </c>
      <c r="N2096" s="2">
        <v>10</v>
      </c>
      <c r="O2096" s="2">
        <v>347.29</v>
      </c>
      <c r="P2096" s="2">
        <f t="shared" si="160"/>
        <v>29</v>
      </c>
      <c r="Q2096" s="4">
        <f t="shared" si="161"/>
        <v>0.79720279720279719</v>
      </c>
      <c r="R2096" s="2" t="str">
        <f t="shared" si="162"/>
        <v>Inefficient</v>
      </c>
      <c r="S2096" s="2" t="str">
        <f t="shared" si="163"/>
        <v>Very Long</v>
      </c>
      <c r="T2096" s="2" t="str">
        <f t="shared" si="164"/>
        <v>Minor Delay</v>
      </c>
    </row>
    <row r="2097" spans="1:20" x14ac:dyDescent="0.35">
      <c r="A2097" s="2" t="s">
        <v>4377</v>
      </c>
      <c r="B2097" s="2" t="s">
        <v>31</v>
      </c>
      <c r="C2097" s="2" t="s">
        <v>4378</v>
      </c>
      <c r="D2097" s="2" t="s">
        <v>48</v>
      </c>
      <c r="E2097" s="2" t="s">
        <v>33</v>
      </c>
      <c r="F2097" s="2" t="s">
        <v>20</v>
      </c>
      <c r="G2097" s="2" t="s">
        <v>185</v>
      </c>
      <c r="H2097" s="3">
        <v>45495.359722222223</v>
      </c>
      <c r="I2097" s="3">
        <v>45495.458333333336</v>
      </c>
      <c r="J2097" s="2">
        <v>47</v>
      </c>
      <c r="K2097" s="2">
        <v>142</v>
      </c>
      <c r="L2097" s="2">
        <v>1</v>
      </c>
      <c r="M2097" s="2" t="s">
        <v>41</v>
      </c>
      <c r="N2097" s="2">
        <v>9</v>
      </c>
      <c r="O2097" s="2">
        <v>139.51</v>
      </c>
      <c r="P2097" s="2">
        <f t="shared" si="160"/>
        <v>95</v>
      </c>
      <c r="Q2097" s="4">
        <f t="shared" si="161"/>
        <v>0.33098591549295775</v>
      </c>
      <c r="R2097" s="2" t="str">
        <f t="shared" si="162"/>
        <v>Inefficient</v>
      </c>
      <c r="S2097" s="2" t="str">
        <f t="shared" si="163"/>
        <v>Very Long</v>
      </c>
      <c r="T2097" s="2" t="str">
        <f t="shared" si="164"/>
        <v>Major Delay</v>
      </c>
    </row>
    <row r="2098" spans="1:20" x14ac:dyDescent="0.35">
      <c r="A2098" s="2" t="s">
        <v>4379</v>
      </c>
      <c r="B2098" s="2" t="s">
        <v>63</v>
      </c>
      <c r="C2098" s="2" t="s">
        <v>4380</v>
      </c>
      <c r="D2098" s="2" t="s">
        <v>18</v>
      </c>
      <c r="E2098" s="2" t="s">
        <v>85</v>
      </c>
      <c r="F2098" s="2" t="s">
        <v>57</v>
      </c>
      <c r="G2098" s="2" t="s">
        <v>254</v>
      </c>
      <c r="H2098" s="3">
        <v>45476.327777777777</v>
      </c>
      <c r="I2098" s="3">
        <v>45476.401388888888</v>
      </c>
      <c r="J2098" s="2">
        <v>47</v>
      </c>
      <c r="K2098" s="2">
        <v>106</v>
      </c>
      <c r="L2098" s="2">
        <v>1</v>
      </c>
      <c r="M2098" s="2" t="s">
        <v>41</v>
      </c>
      <c r="N2098" s="2">
        <v>8</v>
      </c>
      <c r="O2098" s="2">
        <v>466.3</v>
      </c>
      <c r="P2098" s="2">
        <f t="shared" si="160"/>
        <v>59</v>
      </c>
      <c r="Q2098" s="4">
        <f t="shared" si="161"/>
        <v>0.44339622641509435</v>
      </c>
      <c r="R2098" s="2" t="str">
        <f t="shared" si="162"/>
        <v>Inefficient</v>
      </c>
      <c r="S2098" s="2" t="str">
        <f t="shared" si="163"/>
        <v>Long</v>
      </c>
      <c r="T2098" s="2" t="str">
        <f t="shared" si="164"/>
        <v>Major Delay</v>
      </c>
    </row>
    <row r="2099" spans="1:20" x14ac:dyDescent="0.35">
      <c r="A2099" s="2" t="s">
        <v>4381</v>
      </c>
      <c r="B2099" s="2" t="s">
        <v>63</v>
      </c>
      <c r="C2099" s="2" t="s">
        <v>4382</v>
      </c>
      <c r="D2099" s="2" t="s">
        <v>18</v>
      </c>
      <c r="E2099" s="2" t="s">
        <v>85</v>
      </c>
      <c r="F2099" s="2" t="s">
        <v>57</v>
      </c>
      <c r="G2099" s="2" t="s">
        <v>88</v>
      </c>
      <c r="H2099" s="3">
        <v>45656.338888888888</v>
      </c>
      <c r="I2099" s="3">
        <v>45656.467361111114</v>
      </c>
      <c r="J2099" s="2">
        <v>100</v>
      </c>
      <c r="K2099" s="2">
        <v>185</v>
      </c>
      <c r="L2099" s="2">
        <v>1</v>
      </c>
      <c r="M2099" s="2" t="s">
        <v>41</v>
      </c>
      <c r="N2099" s="2">
        <v>8</v>
      </c>
      <c r="O2099" s="2">
        <v>60.92</v>
      </c>
      <c r="P2099" s="2">
        <f t="shared" si="160"/>
        <v>85</v>
      </c>
      <c r="Q2099" s="4">
        <f t="shared" si="161"/>
        <v>0.54054054054054057</v>
      </c>
      <c r="R2099" s="2" t="str">
        <f t="shared" si="162"/>
        <v>Inefficient</v>
      </c>
      <c r="S2099" s="2" t="str">
        <f t="shared" si="163"/>
        <v>Very Long</v>
      </c>
      <c r="T2099" s="2" t="str">
        <f t="shared" si="164"/>
        <v>Major Delay</v>
      </c>
    </row>
    <row r="2100" spans="1:20" x14ac:dyDescent="0.35">
      <c r="A2100" s="2" t="s">
        <v>4383</v>
      </c>
      <c r="B2100" s="2" t="s">
        <v>16</v>
      </c>
      <c r="C2100" s="2" t="s">
        <v>4384</v>
      </c>
      <c r="D2100" s="2" t="s">
        <v>18</v>
      </c>
      <c r="E2100" s="2" t="s">
        <v>85</v>
      </c>
      <c r="F2100" s="2" t="s">
        <v>57</v>
      </c>
      <c r="G2100" s="2" t="s">
        <v>40</v>
      </c>
      <c r="H2100" s="3">
        <v>45392.453472222223</v>
      </c>
      <c r="I2100" s="3">
        <v>45392.525000000001</v>
      </c>
      <c r="J2100" s="2">
        <v>81</v>
      </c>
      <c r="K2100" s="2">
        <v>103</v>
      </c>
      <c r="L2100" s="2">
        <v>1</v>
      </c>
      <c r="M2100" s="2" t="s">
        <v>29</v>
      </c>
      <c r="N2100" s="2">
        <v>1</v>
      </c>
      <c r="O2100" s="2">
        <v>212.6</v>
      </c>
      <c r="P2100" s="2">
        <f t="shared" si="160"/>
        <v>22</v>
      </c>
      <c r="Q2100" s="4">
        <f t="shared" si="161"/>
        <v>0.78640776699029125</v>
      </c>
      <c r="R2100" s="2" t="str">
        <f t="shared" si="162"/>
        <v>Inefficient</v>
      </c>
      <c r="S2100" s="2" t="str">
        <f t="shared" si="163"/>
        <v>Long</v>
      </c>
      <c r="T2100" s="2" t="str">
        <f t="shared" si="164"/>
        <v>Minor Delay</v>
      </c>
    </row>
    <row r="2101" spans="1:20" x14ac:dyDescent="0.35">
      <c r="A2101" s="2" t="s">
        <v>4385</v>
      </c>
      <c r="B2101" s="2" t="s">
        <v>63</v>
      </c>
      <c r="C2101" s="2" t="s">
        <v>4386</v>
      </c>
      <c r="D2101" s="2" t="s">
        <v>18</v>
      </c>
      <c r="E2101" s="2" t="s">
        <v>33</v>
      </c>
      <c r="F2101" s="2" t="s">
        <v>57</v>
      </c>
      <c r="G2101" s="2" t="s">
        <v>615</v>
      </c>
      <c r="H2101" s="3">
        <v>45471.935416666667</v>
      </c>
      <c r="I2101" s="3">
        <v>45472.095138888886</v>
      </c>
      <c r="J2101" s="2">
        <v>133</v>
      </c>
      <c r="K2101" s="2">
        <v>230</v>
      </c>
      <c r="L2101" s="2">
        <v>1</v>
      </c>
      <c r="M2101" s="2" t="s">
        <v>22</v>
      </c>
      <c r="N2101" s="2">
        <v>7</v>
      </c>
      <c r="O2101" s="2">
        <v>455.38</v>
      </c>
      <c r="P2101" s="2">
        <f t="shared" si="160"/>
        <v>97</v>
      </c>
      <c r="Q2101" s="4">
        <f t="shared" si="161"/>
        <v>0.57826086956521738</v>
      </c>
      <c r="R2101" s="2" t="str">
        <f t="shared" si="162"/>
        <v>Inefficient</v>
      </c>
      <c r="S2101" s="2" t="str">
        <f t="shared" si="163"/>
        <v>Very Long</v>
      </c>
      <c r="T2101" s="2" t="str">
        <f t="shared" si="164"/>
        <v>Major Delay</v>
      </c>
    </row>
    <row r="2102" spans="1:20" x14ac:dyDescent="0.35">
      <c r="A2102" s="2" t="s">
        <v>4387</v>
      </c>
      <c r="B2102" s="2" t="s">
        <v>31</v>
      </c>
      <c r="C2102" s="2" t="s">
        <v>4388</v>
      </c>
      <c r="D2102" s="2" t="s">
        <v>18</v>
      </c>
      <c r="E2102" s="2" t="s">
        <v>38</v>
      </c>
      <c r="F2102" s="2" t="s">
        <v>34</v>
      </c>
      <c r="G2102" s="2" t="s">
        <v>61</v>
      </c>
      <c r="H2102" s="3">
        <v>45333.152777777781</v>
      </c>
      <c r="I2102" s="3">
        <v>45333.23541666667</v>
      </c>
      <c r="J2102" s="2">
        <v>11</v>
      </c>
      <c r="K2102" s="2">
        <v>119</v>
      </c>
      <c r="L2102" s="2">
        <v>1</v>
      </c>
      <c r="M2102" s="2" t="s">
        <v>29</v>
      </c>
      <c r="N2102" s="2">
        <v>8</v>
      </c>
      <c r="O2102" s="2">
        <v>484.91</v>
      </c>
      <c r="P2102" s="2">
        <f t="shared" si="160"/>
        <v>108</v>
      </c>
      <c r="Q2102" s="4">
        <f t="shared" si="161"/>
        <v>9.2436974789915971E-2</v>
      </c>
      <c r="R2102" s="2" t="str">
        <f t="shared" si="162"/>
        <v>Inefficient</v>
      </c>
      <c r="S2102" s="2" t="str">
        <f t="shared" si="163"/>
        <v>Long</v>
      </c>
      <c r="T2102" s="2" t="str">
        <f t="shared" si="164"/>
        <v>Major Delay</v>
      </c>
    </row>
    <row r="2103" spans="1:20" x14ac:dyDescent="0.35">
      <c r="A2103" s="2" t="s">
        <v>4389</v>
      </c>
      <c r="B2103" s="2" t="s">
        <v>16</v>
      </c>
      <c r="C2103" s="2" t="s">
        <v>4390</v>
      </c>
      <c r="D2103" s="2" t="s">
        <v>44</v>
      </c>
      <c r="E2103" s="2" t="s">
        <v>85</v>
      </c>
      <c r="F2103" s="2" t="s">
        <v>57</v>
      </c>
      <c r="G2103" s="2" t="s">
        <v>100</v>
      </c>
      <c r="H2103" s="3">
        <v>45357.602777777778</v>
      </c>
      <c r="I2103" s="3">
        <v>45357.649305555555</v>
      </c>
      <c r="J2103" s="2">
        <v>21</v>
      </c>
      <c r="K2103" s="2">
        <v>67</v>
      </c>
      <c r="L2103" s="2">
        <v>1</v>
      </c>
      <c r="M2103" s="2" t="s">
        <v>22</v>
      </c>
      <c r="N2103" s="2">
        <v>10</v>
      </c>
      <c r="O2103" s="2">
        <v>487.08</v>
      </c>
      <c r="P2103" s="2">
        <f t="shared" si="160"/>
        <v>46</v>
      </c>
      <c r="Q2103" s="4">
        <f t="shared" si="161"/>
        <v>0.31343283582089554</v>
      </c>
      <c r="R2103" s="2" t="str">
        <f t="shared" si="162"/>
        <v>Inefficient</v>
      </c>
      <c r="S2103" s="2" t="str">
        <f t="shared" si="163"/>
        <v>Long</v>
      </c>
      <c r="T2103" s="2" t="str">
        <f t="shared" si="164"/>
        <v>Major Delay</v>
      </c>
    </row>
    <row r="2104" spans="1:20" x14ac:dyDescent="0.35">
      <c r="A2104" s="2" t="s">
        <v>4391</v>
      </c>
      <c r="B2104" s="2" t="s">
        <v>24</v>
      </c>
      <c r="C2104" s="2" t="s">
        <v>4392</v>
      </c>
      <c r="D2104" s="2" t="s">
        <v>18</v>
      </c>
      <c r="E2104" s="2" t="s">
        <v>85</v>
      </c>
      <c r="F2104" s="2" t="s">
        <v>27</v>
      </c>
      <c r="G2104" s="2" t="s">
        <v>640</v>
      </c>
      <c r="H2104" s="3">
        <v>45482.208333333336</v>
      </c>
      <c r="I2104" s="3">
        <v>45482.337500000001</v>
      </c>
      <c r="J2104" s="2">
        <v>84</v>
      </c>
      <c r="K2104" s="2">
        <v>186</v>
      </c>
      <c r="L2104" s="2">
        <v>1</v>
      </c>
      <c r="M2104" s="2" t="s">
        <v>22</v>
      </c>
      <c r="N2104" s="2">
        <v>8</v>
      </c>
      <c r="O2104" s="2">
        <v>237.48</v>
      </c>
      <c r="P2104" s="2">
        <f t="shared" si="160"/>
        <v>102</v>
      </c>
      <c r="Q2104" s="4">
        <f t="shared" si="161"/>
        <v>0.45161290322580644</v>
      </c>
      <c r="R2104" s="2" t="str">
        <f t="shared" si="162"/>
        <v>Inefficient</v>
      </c>
      <c r="S2104" s="2" t="str">
        <f t="shared" si="163"/>
        <v>Very Long</v>
      </c>
      <c r="T2104" s="2" t="str">
        <f t="shared" si="164"/>
        <v>Major Delay</v>
      </c>
    </row>
    <row r="2105" spans="1:20" x14ac:dyDescent="0.35">
      <c r="A2105" s="2" t="s">
        <v>4393</v>
      </c>
      <c r="B2105" s="2" t="s">
        <v>24</v>
      </c>
      <c r="C2105" s="2" t="s">
        <v>4394</v>
      </c>
      <c r="D2105" s="2" t="s">
        <v>48</v>
      </c>
      <c r="E2105" s="2" t="s">
        <v>85</v>
      </c>
      <c r="F2105" s="2" t="s">
        <v>27</v>
      </c>
      <c r="G2105" s="2" t="s">
        <v>207</v>
      </c>
      <c r="H2105" s="3">
        <v>45451.525694444441</v>
      </c>
      <c r="I2105" s="3">
        <v>45451.675694444442</v>
      </c>
      <c r="J2105" s="2">
        <v>194</v>
      </c>
      <c r="K2105" s="2">
        <v>216</v>
      </c>
      <c r="L2105" s="2">
        <v>1</v>
      </c>
      <c r="M2105" s="2" t="s">
        <v>22</v>
      </c>
      <c r="N2105" s="2">
        <v>6</v>
      </c>
      <c r="O2105" s="2">
        <v>84.74</v>
      </c>
      <c r="P2105" s="2">
        <f t="shared" si="160"/>
        <v>22</v>
      </c>
      <c r="Q2105" s="4">
        <f t="shared" si="161"/>
        <v>0.89814814814814814</v>
      </c>
      <c r="R2105" s="2" t="str">
        <f t="shared" si="162"/>
        <v>Inefficient</v>
      </c>
      <c r="S2105" s="2" t="str">
        <f t="shared" si="163"/>
        <v>Very Long</v>
      </c>
      <c r="T2105" s="2" t="str">
        <f t="shared" si="164"/>
        <v>Minor Delay</v>
      </c>
    </row>
    <row r="2106" spans="1:20" x14ac:dyDescent="0.35">
      <c r="A2106" s="2" t="s">
        <v>4395</v>
      </c>
      <c r="B2106" s="2" t="s">
        <v>51</v>
      </c>
      <c r="C2106" s="2" t="s">
        <v>4396</v>
      </c>
      <c r="D2106" s="2" t="s">
        <v>18</v>
      </c>
      <c r="E2106" s="2" t="s">
        <v>38</v>
      </c>
      <c r="F2106" s="2" t="s">
        <v>39</v>
      </c>
      <c r="G2106" s="2" t="s">
        <v>240</v>
      </c>
      <c r="H2106" s="3">
        <v>45396.2</v>
      </c>
      <c r="I2106" s="3">
        <v>45396.284722222219</v>
      </c>
      <c r="J2106" s="2">
        <v>35</v>
      </c>
      <c r="K2106" s="2">
        <v>122</v>
      </c>
      <c r="L2106" s="2">
        <v>1</v>
      </c>
      <c r="M2106" s="2" t="s">
        <v>29</v>
      </c>
      <c r="N2106" s="2">
        <v>1</v>
      </c>
      <c r="O2106" s="2">
        <v>277.5</v>
      </c>
      <c r="P2106" s="2">
        <f t="shared" si="160"/>
        <v>87</v>
      </c>
      <c r="Q2106" s="4">
        <f t="shared" si="161"/>
        <v>0.28688524590163933</v>
      </c>
      <c r="R2106" s="2" t="str">
        <f t="shared" si="162"/>
        <v>Inefficient</v>
      </c>
      <c r="S2106" s="2" t="str">
        <f t="shared" si="163"/>
        <v>Very Long</v>
      </c>
      <c r="T2106" s="2" t="str">
        <f t="shared" si="164"/>
        <v>Major Delay</v>
      </c>
    </row>
    <row r="2107" spans="1:20" x14ac:dyDescent="0.35">
      <c r="A2107" s="2" t="s">
        <v>4397</v>
      </c>
      <c r="B2107" s="2" t="s">
        <v>63</v>
      </c>
      <c r="C2107" s="2" t="s">
        <v>4398</v>
      </c>
      <c r="D2107" s="2" t="s">
        <v>18</v>
      </c>
      <c r="E2107" s="2" t="s">
        <v>33</v>
      </c>
      <c r="F2107" s="2" t="s">
        <v>39</v>
      </c>
      <c r="G2107" s="2" t="s">
        <v>222</v>
      </c>
      <c r="H2107" s="3">
        <v>45302.784722222219</v>
      </c>
      <c r="I2107" s="3">
        <v>45302.864583333336</v>
      </c>
      <c r="J2107" s="2">
        <v>90</v>
      </c>
      <c r="K2107" s="2">
        <v>115</v>
      </c>
      <c r="L2107" s="2">
        <v>1</v>
      </c>
      <c r="M2107" s="2" t="s">
        <v>41</v>
      </c>
      <c r="N2107" s="2">
        <v>10</v>
      </c>
      <c r="O2107" s="2">
        <v>268.89</v>
      </c>
      <c r="P2107" s="2">
        <f t="shared" si="160"/>
        <v>25</v>
      </c>
      <c r="Q2107" s="4">
        <f t="shared" si="161"/>
        <v>0.78260869565217395</v>
      </c>
      <c r="R2107" s="2" t="str">
        <f t="shared" si="162"/>
        <v>Inefficient</v>
      </c>
      <c r="S2107" s="2" t="str">
        <f t="shared" si="163"/>
        <v>Long</v>
      </c>
      <c r="T2107" s="2" t="str">
        <f t="shared" si="164"/>
        <v>Minor Delay</v>
      </c>
    </row>
    <row r="2108" spans="1:20" x14ac:dyDescent="0.35">
      <c r="A2108" s="2" t="s">
        <v>4399</v>
      </c>
      <c r="B2108" s="2" t="s">
        <v>16</v>
      </c>
      <c r="C2108" s="2" t="s">
        <v>4400</v>
      </c>
      <c r="D2108" s="2" t="s">
        <v>26</v>
      </c>
      <c r="E2108" s="2" t="s">
        <v>19</v>
      </c>
      <c r="F2108" s="2" t="s">
        <v>20</v>
      </c>
      <c r="G2108" s="2" t="s">
        <v>265</v>
      </c>
      <c r="H2108" s="3">
        <v>45432.72152777778</v>
      </c>
      <c r="I2108" s="3">
        <v>45432.763888888891</v>
      </c>
      <c r="J2108" s="2">
        <v>23</v>
      </c>
      <c r="K2108" s="2">
        <v>61</v>
      </c>
      <c r="L2108" s="2">
        <v>1</v>
      </c>
      <c r="M2108" s="2" t="s">
        <v>41</v>
      </c>
      <c r="N2108" s="2">
        <v>9</v>
      </c>
      <c r="O2108" s="2">
        <v>347.07</v>
      </c>
      <c r="P2108" s="2">
        <f t="shared" si="160"/>
        <v>38</v>
      </c>
      <c r="Q2108" s="4">
        <f t="shared" si="161"/>
        <v>0.37704918032786883</v>
      </c>
      <c r="R2108" s="2" t="str">
        <f t="shared" si="162"/>
        <v>Inefficient</v>
      </c>
      <c r="S2108" s="2" t="str">
        <f t="shared" si="163"/>
        <v>Long</v>
      </c>
      <c r="T2108" s="2" t="str">
        <f t="shared" si="164"/>
        <v>Major Delay</v>
      </c>
    </row>
    <row r="2109" spans="1:20" x14ac:dyDescent="0.35">
      <c r="A2109" s="2" t="s">
        <v>4401</v>
      </c>
      <c r="B2109" s="2" t="s">
        <v>16</v>
      </c>
      <c r="C2109" s="2" t="s">
        <v>4402</v>
      </c>
      <c r="D2109" s="2" t="s">
        <v>56</v>
      </c>
      <c r="E2109" s="2" t="s">
        <v>33</v>
      </c>
      <c r="F2109" s="2" t="s">
        <v>57</v>
      </c>
      <c r="G2109" s="2" t="s">
        <v>207</v>
      </c>
      <c r="H2109" s="3">
        <v>45556.168055555558</v>
      </c>
      <c r="I2109" s="3">
        <v>45556.289583333331</v>
      </c>
      <c r="J2109" s="2">
        <v>80</v>
      </c>
      <c r="K2109" s="2">
        <v>175</v>
      </c>
      <c r="L2109" s="2">
        <v>1</v>
      </c>
      <c r="M2109" s="2" t="s">
        <v>22</v>
      </c>
      <c r="N2109" s="2">
        <v>8</v>
      </c>
      <c r="O2109" s="2">
        <v>407.38</v>
      </c>
      <c r="P2109" s="2">
        <f t="shared" si="160"/>
        <v>95</v>
      </c>
      <c r="Q2109" s="4">
        <f t="shared" si="161"/>
        <v>0.45714285714285713</v>
      </c>
      <c r="R2109" s="2" t="str">
        <f t="shared" si="162"/>
        <v>Inefficient</v>
      </c>
      <c r="S2109" s="2" t="str">
        <f t="shared" si="163"/>
        <v>Very Long</v>
      </c>
      <c r="T2109" s="2" t="str">
        <f t="shared" si="164"/>
        <v>Major Delay</v>
      </c>
    </row>
    <row r="2110" spans="1:20" x14ac:dyDescent="0.35">
      <c r="A2110" s="2" t="s">
        <v>4403</v>
      </c>
      <c r="B2110" s="2" t="s">
        <v>51</v>
      </c>
      <c r="C2110" s="2" t="s">
        <v>4404</v>
      </c>
      <c r="D2110" s="2" t="s">
        <v>18</v>
      </c>
      <c r="E2110" s="2" t="s">
        <v>85</v>
      </c>
      <c r="F2110" s="2" t="s">
        <v>34</v>
      </c>
      <c r="G2110" s="2" t="s">
        <v>210</v>
      </c>
      <c r="H2110" s="3">
        <v>45568.520833333336</v>
      </c>
      <c r="I2110" s="3">
        <v>45568.709722222222</v>
      </c>
      <c r="J2110" s="2">
        <v>227</v>
      </c>
      <c r="K2110" s="2">
        <v>272</v>
      </c>
      <c r="L2110" s="2">
        <v>1</v>
      </c>
      <c r="M2110" s="2" t="s">
        <v>29</v>
      </c>
      <c r="N2110" s="2">
        <v>3</v>
      </c>
      <c r="O2110" s="2">
        <v>408.6</v>
      </c>
      <c r="P2110" s="2">
        <f t="shared" si="160"/>
        <v>45</v>
      </c>
      <c r="Q2110" s="4">
        <f t="shared" si="161"/>
        <v>0.8345588235294118</v>
      </c>
      <c r="R2110" s="2" t="str">
        <f t="shared" si="162"/>
        <v>Inefficient</v>
      </c>
      <c r="S2110" s="2" t="str">
        <f t="shared" si="163"/>
        <v>Very Long</v>
      </c>
      <c r="T2110" s="2" t="str">
        <f t="shared" si="164"/>
        <v>Major Delay</v>
      </c>
    </row>
    <row r="2111" spans="1:20" x14ac:dyDescent="0.35">
      <c r="A2111" s="2" t="s">
        <v>4405</v>
      </c>
      <c r="B2111" s="2" t="s">
        <v>16</v>
      </c>
      <c r="C2111" s="2" t="s">
        <v>4406</v>
      </c>
      <c r="D2111" s="2" t="s">
        <v>56</v>
      </c>
      <c r="E2111" s="2" t="s">
        <v>85</v>
      </c>
      <c r="F2111" s="2" t="s">
        <v>57</v>
      </c>
      <c r="G2111" s="2" t="s">
        <v>383</v>
      </c>
      <c r="H2111" s="3">
        <v>45296.507638888892</v>
      </c>
      <c r="I2111" s="3">
        <v>45296.586805555555</v>
      </c>
      <c r="J2111" s="2">
        <v>48</v>
      </c>
      <c r="K2111" s="2">
        <v>114</v>
      </c>
      <c r="L2111" s="2">
        <v>1</v>
      </c>
      <c r="M2111" s="2" t="s">
        <v>41</v>
      </c>
      <c r="N2111" s="2">
        <v>1</v>
      </c>
      <c r="O2111" s="2">
        <v>496.29</v>
      </c>
      <c r="P2111" s="2">
        <f t="shared" si="160"/>
        <v>66</v>
      </c>
      <c r="Q2111" s="4">
        <f t="shared" si="161"/>
        <v>0.42105263157894735</v>
      </c>
      <c r="R2111" s="2" t="str">
        <f t="shared" si="162"/>
        <v>Inefficient</v>
      </c>
      <c r="S2111" s="2" t="str">
        <f t="shared" si="163"/>
        <v>Long</v>
      </c>
      <c r="T2111" s="2" t="str">
        <f t="shared" si="164"/>
        <v>Major Delay</v>
      </c>
    </row>
    <row r="2112" spans="1:20" x14ac:dyDescent="0.35">
      <c r="A2112" s="2" t="s">
        <v>4407</v>
      </c>
      <c r="B2112" s="2" t="s">
        <v>24</v>
      </c>
      <c r="C2112" s="2" t="s">
        <v>4408</v>
      </c>
      <c r="D2112" s="2" t="s">
        <v>18</v>
      </c>
      <c r="E2112" s="2" t="s">
        <v>85</v>
      </c>
      <c r="F2112" s="2" t="s">
        <v>34</v>
      </c>
      <c r="G2112" s="2" t="s">
        <v>354</v>
      </c>
      <c r="H2112" s="3">
        <v>45523.714583333334</v>
      </c>
      <c r="I2112" s="3">
        <v>45523.786111111112</v>
      </c>
      <c r="J2112" s="2">
        <v>49</v>
      </c>
      <c r="K2112" s="2">
        <v>103</v>
      </c>
      <c r="L2112" s="2">
        <v>1</v>
      </c>
      <c r="M2112" s="2" t="s">
        <v>41</v>
      </c>
      <c r="N2112" s="2">
        <v>6</v>
      </c>
      <c r="O2112" s="2">
        <v>124.37</v>
      </c>
      <c r="P2112" s="2">
        <f t="shared" si="160"/>
        <v>54</v>
      </c>
      <c r="Q2112" s="4">
        <f t="shared" si="161"/>
        <v>0.47572815533980584</v>
      </c>
      <c r="R2112" s="2" t="str">
        <f t="shared" si="162"/>
        <v>Inefficient</v>
      </c>
      <c r="S2112" s="2" t="str">
        <f t="shared" si="163"/>
        <v>Long</v>
      </c>
      <c r="T2112" s="2" t="str">
        <f t="shared" si="164"/>
        <v>Major Delay</v>
      </c>
    </row>
    <row r="2113" spans="1:20" x14ac:dyDescent="0.35">
      <c r="A2113" s="2" t="s">
        <v>4409</v>
      </c>
      <c r="B2113" s="2" t="s">
        <v>51</v>
      </c>
      <c r="C2113" s="2" t="s">
        <v>4410</v>
      </c>
      <c r="D2113" s="2" t="s">
        <v>44</v>
      </c>
      <c r="E2113" s="2" t="s">
        <v>38</v>
      </c>
      <c r="F2113" s="2" t="s">
        <v>57</v>
      </c>
      <c r="G2113" s="2" t="s">
        <v>676</v>
      </c>
      <c r="H2113" s="3">
        <v>45593.370138888888</v>
      </c>
      <c r="I2113" s="3">
        <v>45593.46597222222</v>
      </c>
      <c r="J2113" s="2">
        <v>112</v>
      </c>
      <c r="K2113" s="2">
        <v>138</v>
      </c>
      <c r="L2113" s="2">
        <v>1</v>
      </c>
      <c r="M2113" s="2" t="s">
        <v>41</v>
      </c>
      <c r="N2113" s="2">
        <v>8</v>
      </c>
      <c r="O2113" s="2">
        <v>453.16</v>
      </c>
      <c r="P2113" s="2">
        <f t="shared" si="160"/>
        <v>26</v>
      </c>
      <c r="Q2113" s="4">
        <f t="shared" si="161"/>
        <v>0.81159420289855078</v>
      </c>
      <c r="R2113" s="2" t="str">
        <f t="shared" si="162"/>
        <v>Inefficient</v>
      </c>
      <c r="S2113" s="2" t="str">
        <f t="shared" si="163"/>
        <v>Very Long</v>
      </c>
      <c r="T2113" s="2" t="str">
        <f t="shared" si="164"/>
        <v>Minor Delay</v>
      </c>
    </row>
    <row r="2114" spans="1:20" x14ac:dyDescent="0.35">
      <c r="A2114" s="2" t="s">
        <v>4411</v>
      </c>
      <c r="B2114" s="2" t="s">
        <v>31</v>
      </c>
      <c r="C2114" s="2" t="s">
        <v>4412</v>
      </c>
      <c r="D2114" s="2" t="s">
        <v>56</v>
      </c>
      <c r="E2114" s="2" t="s">
        <v>85</v>
      </c>
      <c r="F2114" s="2" t="s">
        <v>39</v>
      </c>
      <c r="G2114" s="2" t="s">
        <v>222</v>
      </c>
      <c r="H2114" s="3">
        <v>45340.539583333331</v>
      </c>
      <c r="I2114" s="3">
        <v>45340.64166666667</v>
      </c>
      <c r="J2114" s="2">
        <v>58</v>
      </c>
      <c r="K2114" s="2">
        <v>147</v>
      </c>
      <c r="L2114" s="2">
        <v>1</v>
      </c>
      <c r="M2114" s="2" t="s">
        <v>41</v>
      </c>
      <c r="N2114" s="2">
        <v>2</v>
      </c>
      <c r="O2114" s="2">
        <v>482.08</v>
      </c>
      <c r="P2114" s="2">
        <f t="shared" si="160"/>
        <v>89</v>
      </c>
      <c r="Q2114" s="4">
        <f t="shared" si="161"/>
        <v>0.39455782312925169</v>
      </c>
      <c r="R2114" s="2" t="str">
        <f t="shared" si="162"/>
        <v>Inefficient</v>
      </c>
      <c r="S2114" s="2" t="str">
        <f t="shared" si="163"/>
        <v>Very Long</v>
      </c>
      <c r="T2114" s="2" t="str">
        <f t="shared" si="164"/>
        <v>Major Delay</v>
      </c>
    </row>
    <row r="2115" spans="1:20" x14ac:dyDescent="0.35">
      <c r="A2115" s="2" t="s">
        <v>4413</v>
      </c>
      <c r="B2115" s="2" t="s">
        <v>24</v>
      </c>
      <c r="C2115" s="2" t="s">
        <v>4414</v>
      </c>
      <c r="D2115" s="2" t="s">
        <v>18</v>
      </c>
      <c r="E2115" s="2" t="s">
        <v>38</v>
      </c>
      <c r="F2115" s="2" t="s">
        <v>34</v>
      </c>
      <c r="G2115" s="2" t="s">
        <v>777</v>
      </c>
      <c r="H2115" s="3">
        <v>45543.75277777778</v>
      </c>
      <c r="I2115" s="3">
        <v>45543.865277777775</v>
      </c>
      <c r="J2115" s="2">
        <v>83</v>
      </c>
      <c r="K2115" s="2">
        <v>162</v>
      </c>
      <c r="L2115" s="2">
        <v>1</v>
      </c>
      <c r="M2115" s="2" t="s">
        <v>22</v>
      </c>
      <c r="N2115" s="2">
        <v>1</v>
      </c>
      <c r="O2115" s="2">
        <v>92.87</v>
      </c>
      <c r="P2115" s="2">
        <f t="shared" ref="P2115:P2178" si="165">K2115-J2115</f>
        <v>79</v>
      </c>
      <c r="Q2115" s="4">
        <f t="shared" ref="Q2115:Q2178" si="166">J2115/K2115</f>
        <v>0.51234567901234573</v>
      </c>
      <c r="R2115" s="2" t="str">
        <f t="shared" ref="R2115:R2178" si="167">IF(Q2115&gt;1,"Efficient",
IF(Q2115=1,"On Target","Inefficient"))</f>
        <v>Inefficient</v>
      </c>
      <c r="S2115" s="2" t="str">
        <f t="shared" ref="S2115:S2178" si="168">IF(K2115&lt;30,"Short",
IF(K2115&lt;60,"Medium",
IF(K2115&lt;120,"Long","Very Long")))</f>
        <v>Very Long</v>
      </c>
      <c r="T2115" s="2" t="str">
        <f t="shared" ref="T2115:T2178" si="169">IF(K2115&lt;=J2115,"On Time",
IF(K2115-J2115&lt;=30,"Minor Delay","Major Delay"))</f>
        <v>Major Delay</v>
      </c>
    </row>
    <row r="2116" spans="1:20" x14ac:dyDescent="0.35">
      <c r="A2116" s="2" t="s">
        <v>4415</v>
      </c>
      <c r="B2116" s="2" t="s">
        <v>24</v>
      </c>
      <c r="C2116" s="2" t="s">
        <v>4416</v>
      </c>
      <c r="D2116" s="2" t="s">
        <v>44</v>
      </c>
      <c r="E2116" s="2" t="s">
        <v>33</v>
      </c>
      <c r="F2116" s="2" t="s">
        <v>34</v>
      </c>
      <c r="G2116" s="2" t="s">
        <v>228</v>
      </c>
      <c r="H2116" s="3">
        <v>45401.527777777781</v>
      </c>
      <c r="I2116" s="3">
        <v>45401.579861111109</v>
      </c>
      <c r="J2116" s="2">
        <v>39</v>
      </c>
      <c r="K2116" s="2">
        <v>75</v>
      </c>
      <c r="L2116" s="2">
        <v>1</v>
      </c>
      <c r="M2116" s="2" t="s">
        <v>22</v>
      </c>
      <c r="N2116" s="2">
        <v>6</v>
      </c>
      <c r="O2116" s="2">
        <v>253.54</v>
      </c>
      <c r="P2116" s="2">
        <f t="shared" si="165"/>
        <v>36</v>
      </c>
      <c r="Q2116" s="4">
        <f t="shared" si="166"/>
        <v>0.52</v>
      </c>
      <c r="R2116" s="2" t="str">
        <f t="shared" si="167"/>
        <v>Inefficient</v>
      </c>
      <c r="S2116" s="2" t="str">
        <f t="shared" si="168"/>
        <v>Long</v>
      </c>
      <c r="T2116" s="2" t="str">
        <f t="shared" si="169"/>
        <v>Major Delay</v>
      </c>
    </row>
    <row r="2117" spans="1:20" x14ac:dyDescent="0.35">
      <c r="A2117" s="2" t="s">
        <v>4417</v>
      </c>
      <c r="B2117" s="2" t="s">
        <v>16</v>
      </c>
      <c r="C2117" s="2" t="s">
        <v>4418</v>
      </c>
      <c r="D2117" s="2" t="s">
        <v>18</v>
      </c>
      <c r="E2117" s="2" t="s">
        <v>38</v>
      </c>
      <c r="F2117" s="2" t="s">
        <v>57</v>
      </c>
      <c r="G2117" s="2" t="s">
        <v>82</v>
      </c>
      <c r="H2117" s="3">
        <v>45654.592361111114</v>
      </c>
      <c r="I2117" s="3">
        <v>45654.783333333333</v>
      </c>
      <c r="J2117" s="2">
        <v>171</v>
      </c>
      <c r="K2117" s="2">
        <v>275</v>
      </c>
      <c r="L2117" s="2">
        <v>1</v>
      </c>
      <c r="M2117" s="2" t="s">
        <v>22</v>
      </c>
      <c r="N2117" s="2">
        <v>3</v>
      </c>
      <c r="O2117" s="2">
        <v>289.24</v>
      </c>
      <c r="P2117" s="2">
        <f t="shared" si="165"/>
        <v>104</v>
      </c>
      <c r="Q2117" s="4">
        <f t="shared" si="166"/>
        <v>0.62181818181818183</v>
      </c>
      <c r="R2117" s="2" t="str">
        <f t="shared" si="167"/>
        <v>Inefficient</v>
      </c>
      <c r="S2117" s="2" t="str">
        <f t="shared" si="168"/>
        <v>Very Long</v>
      </c>
      <c r="T2117" s="2" t="str">
        <f t="shared" si="169"/>
        <v>Major Delay</v>
      </c>
    </row>
    <row r="2118" spans="1:20" x14ac:dyDescent="0.35">
      <c r="A2118" s="2" t="s">
        <v>4419</v>
      </c>
      <c r="B2118" s="2" t="s">
        <v>24</v>
      </c>
      <c r="C2118" s="2" t="s">
        <v>4420</v>
      </c>
      <c r="D2118" s="2" t="s">
        <v>48</v>
      </c>
      <c r="E2118" s="2" t="s">
        <v>38</v>
      </c>
      <c r="F2118" s="2" t="s">
        <v>34</v>
      </c>
      <c r="G2118" s="2" t="s">
        <v>49</v>
      </c>
      <c r="H2118" s="3">
        <v>45488.188888888886</v>
      </c>
      <c r="I2118" s="3">
        <v>45488.280555555553</v>
      </c>
      <c r="J2118" s="2">
        <v>93</v>
      </c>
      <c r="K2118" s="2">
        <v>132</v>
      </c>
      <c r="L2118" s="2">
        <v>1</v>
      </c>
      <c r="M2118" s="2" t="s">
        <v>22</v>
      </c>
      <c r="N2118" s="2">
        <v>5</v>
      </c>
      <c r="O2118" s="2">
        <v>145.13</v>
      </c>
      <c r="P2118" s="2">
        <f t="shared" si="165"/>
        <v>39</v>
      </c>
      <c r="Q2118" s="4">
        <f t="shared" si="166"/>
        <v>0.70454545454545459</v>
      </c>
      <c r="R2118" s="2" t="str">
        <f t="shared" si="167"/>
        <v>Inefficient</v>
      </c>
      <c r="S2118" s="2" t="str">
        <f t="shared" si="168"/>
        <v>Very Long</v>
      </c>
      <c r="T2118" s="2" t="str">
        <f t="shared" si="169"/>
        <v>Major Delay</v>
      </c>
    </row>
    <row r="2119" spans="1:20" x14ac:dyDescent="0.35">
      <c r="A2119" s="2" t="s">
        <v>4421</v>
      </c>
      <c r="B2119" s="2" t="s">
        <v>16</v>
      </c>
      <c r="C2119" s="2" t="s">
        <v>4422</v>
      </c>
      <c r="D2119" s="2" t="s">
        <v>56</v>
      </c>
      <c r="E2119" s="2" t="s">
        <v>85</v>
      </c>
      <c r="F2119" s="2" t="s">
        <v>39</v>
      </c>
      <c r="G2119" s="2" t="s">
        <v>228</v>
      </c>
      <c r="H2119" s="3">
        <v>45567.938888888886</v>
      </c>
      <c r="I2119" s="3">
        <v>45568.152777777781</v>
      </c>
      <c r="J2119" s="2">
        <v>200</v>
      </c>
      <c r="K2119" s="2">
        <v>308</v>
      </c>
      <c r="L2119" s="2">
        <v>1</v>
      </c>
      <c r="M2119" s="2" t="s">
        <v>29</v>
      </c>
      <c r="N2119" s="2">
        <v>9</v>
      </c>
      <c r="O2119" s="2">
        <v>135.30000000000001</v>
      </c>
      <c r="P2119" s="2">
        <f t="shared" si="165"/>
        <v>108</v>
      </c>
      <c r="Q2119" s="4">
        <f t="shared" si="166"/>
        <v>0.64935064935064934</v>
      </c>
      <c r="R2119" s="2" t="str">
        <f t="shared" si="167"/>
        <v>Inefficient</v>
      </c>
      <c r="S2119" s="2" t="str">
        <f t="shared" si="168"/>
        <v>Very Long</v>
      </c>
      <c r="T2119" s="2" t="str">
        <f t="shared" si="169"/>
        <v>Major Delay</v>
      </c>
    </row>
    <row r="2120" spans="1:20" x14ac:dyDescent="0.35">
      <c r="A2120" s="2" t="s">
        <v>4423</v>
      </c>
      <c r="B2120" s="2" t="s">
        <v>24</v>
      </c>
      <c r="C2120" s="2" t="s">
        <v>4424</v>
      </c>
      <c r="D2120" s="2" t="s">
        <v>18</v>
      </c>
      <c r="E2120" s="2" t="s">
        <v>38</v>
      </c>
      <c r="F2120" s="2" t="s">
        <v>20</v>
      </c>
      <c r="G2120" s="2" t="s">
        <v>476</v>
      </c>
      <c r="H2120" s="3">
        <v>45401.049305555556</v>
      </c>
      <c r="I2120" s="3">
        <v>45401.135416666664</v>
      </c>
      <c r="J2120" s="2">
        <v>126</v>
      </c>
      <c r="K2120" s="2">
        <v>124</v>
      </c>
      <c r="L2120" s="2">
        <v>0</v>
      </c>
      <c r="M2120" s="2" t="s">
        <v>41</v>
      </c>
      <c r="N2120" s="2">
        <v>8</v>
      </c>
      <c r="O2120" s="2">
        <v>451.29</v>
      </c>
      <c r="P2120" s="2">
        <f t="shared" si="165"/>
        <v>-2</v>
      </c>
      <c r="Q2120" s="4">
        <f t="shared" si="166"/>
        <v>1.0161290322580645</v>
      </c>
      <c r="R2120" s="2" t="str">
        <f t="shared" si="167"/>
        <v>Efficient</v>
      </c>
      <c r="S2120" s="2" t="str">
        <f t="shared" si="168"/>
        <v>Very Long</v>
      </c>
      <c r="T2120" s="2" t="str">
        <f t="shared" si="169"/>
        <v>On Time</v>
      </c>
    </row>
    <row r="2121" spans="1:20" x14ac:dyDescent="0.35">
      <c r="A2121" s="2" t="s">
        <v>4425</v>
      </c>
      <c r="B2121" s="2" t="s">
        <v>51</v>
      </c>
      <c r="C2121" s="2" t="s">
        <v>4426</v>
      </c>
      <c r="D2121" s="2" t="s">
        <v>26</v>
      </c>
      <c r="E2121" s="2" t="s">
        <v>19</v>
      </c>
      <c r="F2121" s="2" t="s">
        <v>34</v>
      </c>
      <c r="G2121" s="2" t="s">
        <v>465</v>
      </c>
      <c r="H2121" s="3">
        <v>45479.200694444444</v>
      </c>
      <c r="I2121" s="3">
        <v>45479.276388888888</v>
      </c>
      <c r="J2121" s="2">
        <v>33</v>
      </c>
      <c r="K2121" s="2">
        <v>109</v>
      </c>
      <c r="L2121" s="2">
        <v>1</v>
      </c>
      <c r="M2121" s="2" t="s">
        <v>41</v>
      </c>
      <c r="N2121" s="2">
        <v>6</v>
      </c>
      <c r="O2121" s="2">
        <v>375.93</v>
      </c>
      <c r="P2121" s="2">
        <f t="shared" si="165"/>
        <v>76</v>
      </c>
      <c r="Q2121" s="4">
        <f t="shared" si="166"/>
        <v>0.30275229357798167</v>
      </c>
      <c r="R2121" s="2" t="str">
        <f t="shared" si="167"/>
        <v>Inefficient</v>
      </c>
      <c r="S2121" s="2" t="str">
        <f t="shared" si="168"/>
        <v>Long</v>
      </c>
      <c r="T2121" s="2" t="str">
        <f t="shared" si="169"/>
        <v>Major Delay</v>
      </c>
    </row>
    <row r="2122" spans="1:20" x14ac:dyDescent="0.35">
      <c r="A2122" s="2" t="s">
        <v>4427</v>
      </c>
      <c r="B2122" s="2" t="s">
        <v>24</v>
      </c>
      <c r="C2122" s="2" t="s">
        <v>4428</v>
      </c>
      <c r="D2122" s="2" t="s">
        <v>48</v>
      </c>
      <c r="E2122" s="2" t="s">
        <v>19</v>
      </c>
      <c r="F2122" s="2" t="s">
        <v>20</v>
      </c>
      <c r="G2122" s="2" t="s">
        <v>388</v>
      </c>
      <c r="H2122" s="3">
        <v>45583.261111111111</v>
      </c>
      <c r="I2122" s="3">
        <v>45583.470833333333</v>
      </c>
      <c r="J2122" s="2">
        <v>229</v>
      </c>
      <c r="K2122" s="2">
        <v>302</v>
      </c>
      <c r="L2122" s="2">
        <v>1</v>
      </c>
      <c r="M2122" s="2" t="s">
        <v>29</v>
      </c>
      <c r="N2122" s="2">
        <v>6</v>
      </c>
      <c r="O2122" s="2">
        <v>66.459999999999994</v>
      </c>
      <c r="P2122" s="2">
        <f t="shared" si="165"/>
        <v>73</v>
      </c>
      <c r="Q2122" s="4">
        <f t="shared" si="166"/>
        <v>0.75827814569536423</v>
      </c>
      <c r="R2122" s="2" t="str">
        <f t="shared" si="167"/>
        <v>Inefficient</v>
      </c>
      <c r="S2122" s="2" t="str">
        <f t="shared" si="168"/>
        <v>Very Long</v>
      </c>
      <c r="T2122" s="2" t="str">
        <f t="shared" si="169"/>
        <v>Major Delay</v>
      </c>
    </row>
    <row r="2123" spans="1:20" x14ac:dyDescent="0.35">
      <c r="A2123" s="2" t="s">
        <v>4429</v>
      </c>
      <c r="B2123" s="2" t="s">
        <v>31</v>
      </c>
      <c r="C2123" s="2" t="s">
        <v>4430</v>
      </c>
      <c r="D2123" s="2" t="s">
        <v>48</v>
      </c>
      <c r="E2123" s="2" t="s">
        <v>33</v>
      </c>
      <c r="F2123" s="2" t="s">
        <v>39</v>
      </c>
      <c r="G2123" s="2" t="s">
        <v>140</v>
      </c>
      <c r="H2123" s="3">
        <v>45378.887499999997</v>
      </c>
      <c r="I2123" s="3">
        <v>45379.055555555555</v>
      </c>
      <c r="J2123" s="2">
        <v>195</v>
      </c>
      <c r="K2123" s="2">
        <v>242</v>
      </c>
      <c r="L2123" s="2">
        <v>1</v>
      </c>
      <c r="M2123" s="2" t="s">
        <v>22</v>
      </c>
      <c r="N2123" s="2">
        <v>3</v>
      </c>
      <c r="O2123" s="2">
        <v>327.26</v>
      </c>
      <c r="P2123" s="2">
        <f t="shared" si="165"/>
        <v>47</v>
      </c>
      <c r="Q2123" s="4">
        <f t="shared" si="166"/>
        <v>0.80578512396694213</v>
      </c>
      <c r="R2123" s="2" t="str">
        <f t="shared" si="167"/>
        <v>Inefficient</v>
      </c>
      <c r="S2123" s="2" t="str">
        <f t="shared" si="168"/>
        <v>Very Long</v>
      </c>
      <c r="T2123" s="2" t="str">
        <f t="shared" si="169"/>
        <v>Major Delay</v>
      </c>
    </row>
    <row r="2124" spans="1:20" x14ac:dyDescent="0.35">
      <c r="A2124" s="2" t="s">
        <v>4431</v>
      </c>
      <c r="B2124" s="2" t="s">
        <v>31</v>
      </c>
      <c r="C2124" s="2" t="s">
        <v>4432</v>
      </c>
      <c r="D2124" s="2" t="s">
        <v>48</v>
      </c>
      <c r="E2124" s="2" t="s">
        <v>33</v>
      </c>
      <c r="F2124" s="2" t="s">
        <v>34</v>
      </c>
      <c r="G2124" s="2" t="s">
        <v>785</v>
      </c>
      <c r="H2124" s="3">
        <v>45630.593055555553</v>
      </c>
      <c r="I2124" s="3">
        <v>45630.722222222219</v>
      </c>
      <c r="J2124" s="2">
        <v>169</v>
      </c>
      <c r="K2124" s="2">
        <v>186</v>
      </c>
      <c r="L2124" s="2">
        <v>1</v>
      </c>
      <c r="M2124" s="2" t="s">
        <v>29</v>
      </c>
      <c r="N2124" s="2">
        <v>5</v>
      </c>
      <c r="O2124" s="2">
        <v>419.57</v>
      </c>
      <c r="P2124" s="2">
        <f t="shared" si="165"/>
        <v>17</v>
      </c>
      <c r="Q2124" s="4">
        <f t="shared" si="166"/>
        <v>0.90860215053763438</v>
      </c>
      <c r="R2124" s="2" t="str">
        <f t="shared" si="167"/>
        <v>Inefficient</v>
      </c>
      <c r="S2124" s="2" t="str">
        <f t="shared" si="168"/>
        <v>Very Long</v>
      </c>
      <c r="T2124" s="2" t="str">
        <f t="shared" si="169"/>
        <v>Minor Delay</v>
      </c>
    </row>
    <row r="2125" spans="1:20" x14ac:dyDescent="0.35">
      <c r="A2125" s="2" t="s">
        <v>4433</v>
      </c>
      <c r="B2125" s="2" t="s">
        <v>31</v>
      </c>
      <c r="C2125" s="2" t="s">
        <v>4434</v>
      </c>
      <c r="D2125" s="2" t="s">
        <v>44</v>
      </c>
      <c r="E2125" s="2" t="s">
        <v>33</v>
      </c>
      <c r="F2125" s="2" t="s">
        <v>20</v>
      </c>
      <c r="G2125" s="2" t="s">
        <v>213</v>
      </c>
      <c r="H2125" s="3">
        <v>45601.719444444447</v>
      </c>
      <c r="I2125" s="3">
        <v>45601.835416666669</v>
      </c>
      <c r="J2125" s="2">
        <v>116</v>
      </c>
      <c r="K2125" s="2">
        <v>167</v>
      </c>
      <c r="L2125" s="2">
        <v>1</v>
      </c>
      <c r="M2125" s="2" t="s">
        <v>22</v>
      </c>
      <c r="N2125" s="2">
        <v>6</v>
      </c>
      <c r="O2125" s="2">
        <v>421.25</v>
      </c>
      <c r="P2125" s="2">
        <f t="shared" si="165"/>
        <v>51</v>
      </c>
      <c r="Q2125" s="4">
        <f t="shared" si="166"/>
        <v>0.69461077844311381</v>
      </c>
      <c r="R2125" s="2" t="str">
        <f t="shared" si="167"/>
        <v>Inefficient</v>
      </c>
      <c r="S2125" s="2" t="str">
        <f t="shared" si="168"/>
        <v>Very Long</v>
      </c>
      <c r="T2125" s="2" t="str">
        <f t="shared" si="169"/>
        <v>Major Delay</v>
      </c>
    </row>
    <row r="2126" spans="1:20" x14ac:dyDescent="0.35">
      <c r="A2126" s="2" t="s">
        <v>4435</v>
      </c>
      <c r="B2126" s="2" t="s">
        <v>24</v>
      </c>
      <c r="C2126" s="2" t="s">
        <v>4436</v>
      </c>
      <c r="D2126" s="2" t="s">
        <v>26</v>
      </c>
      <c r="E2126" s="2" t="s">
        <v>19</v>
      </c>
      <c r="F2126" s="2" t="s">
        <v>57</v>
      </c>
      <c r="G2126" s="2" t="s">
        <v>669</v>
      </c>
      <c r="H2126" s="3">
        <v>45548.81527777778</v>
      </c>
      <c r="I2126" s="3">
        <v>45548.921527777777</v>
      </c>
      <c r="J2126" s="2">
        <v>50</v>
      </c>
      <c r="K2126" s="2">
        <v>153</v>
      </c>
      <c r="L2126" s="2">
        <v>1</v>
      </c>
      <c r="M2126" s="2" t="s">
        <v>22</v>
      </c>
      <c r="N2126" s="2">
        <v>8</v>
      </c>
      <c r="O2126" s="2">
        <v>355</v>
      </c>
      <c r="P2126" s="2">
        <f t="shared" si="165"/>
        <v>103</v>
      </c>
      <c r="Q2126" s="4">
        <f t="shared" si="166"/>
        <v>0.32679738562091504</v>
      </c>
      <c r="R2126" s="2" t="str">
        <f t="shared" si="167"/>
        <v>Inefficient</v>
      </c>
      <c r="S2126" s="2" t="str">
        <f t="shared" si="168"/>
        <v>Very Long</v>
      </c>
      <c r="T2126" s="2" t="str">
        <f t="shared" si="169"/>
        <v>Major Delay</v>
      </c>
    </row>
    <row r="2127" spans="1:20" x14ac:dyDescent="0.35">
      <c r="A2127" s="2" t="s">
        <v>4437</v>
      </c>
      <c r="B2127" s="2" t="s">
        <v>63</v>
      </c>
      <c r="C2127" s="2" t="s">
        <v>4438</v>
      </c>
      <c r="D2127" s="2" t="s">
        <v>48</v>
      </c>
      <c r="E2127" s="2" t="s">
        <v>38</v>
      </c>
      <c r="F2127" s="2" t="s">
        <v>20</v>
      </c>
      <c r="G2127" s="2" t="s">
        <v>265</v>
      </c>
      <c r="H2127" s="3">
        <v>45568.375</v>
      </c>
      <c r="I2127" s="3">
        <v>45568.476388888892</v>
      </c>
      <c r="J2127" s="2">
        <v>148</v>
      </c>
      <c r="K2127" s="2">
        <v>146</v>
      </c>
      <c r="L2127" s="2">
        <v>0</v>
      </c>
      <c r="M2127" s="2" t="s">
        <v>41</v>
      </c>
      <c r="N2127" s="2">
        <v>5</v>
      </c>
      <c r="O2127" s="2">
        <v>460.96</v>
      </c>
      <c r="P2127" s="2">
        <f t="shared" si="165"/>
        <v>-2</v>
      </c>
      <c r="Q2127" s="4">
        <f t="shared" si="166"/>
        <v>1.0136986301369864</v>
      </c>
      <c r="R2127" s="2" t="str">
        <f t="shared" si="167"/>
        <v>Efficient</v>
      </c>
      <c r="S2127" s="2" t="str">
        <f t="shared" si="168"/>
        <v>Very Long</v>
      </c>
      <c r="T2127" s="2" t="str">
        <f t="shared" si="169"/>
        <v>On Time</v>
      </c>
    </row>
    <row r="2128" spans="1:20" x14ac:dyDescent="0.35">
      <c r="A2128" s="2" t="s">
        <v>4439</v>
      </c>
      <c r="B2128" s="2" t="s">
        <v>51</v>
      </c>
      <c r="C2128" s="2" t="s">
        <v>4440</v>
      </c>
      <c r="D2128" s="2" t="s">
        <v>26</v>
      </c>
      <c r="E2128" s="2" t="s">
        <v>19</v>
      </c>
      <c r="F2128" s="2" t="s">
        <v>34</v>
      </c>
      <c r="G2128" s="2" t="s">
        <v>459</v>
      </c>
      <c r="H2128" s="3">
        <v>45344.245833333334</v>
      </c>
      <c r="I2128" s="3">
        <v>45344.331944444442</v>
      </c>
      <c r="J2128" s="2">
        <v>76</v>
      </c>
      <c r="K2128" s="2">
        <v>124</v>
      </c>
      <c r="L2128" s="2">
        <v>1</v>
      </c>
      <c r="M2128" s="2" t="s">
        <v>22</v>
      </c>
      <c r="N2128" s="2">
        <v>6</v>
      </c>
      <c r="O2128" s="2">
        <v>75.39</v>
      </c>
      <c r="P2128" s="2">
        <f t="shared" si="165"/>
        <v>48</v>
      </c>
      <c r="Q2128" s="4">
        <f t="shared" si="166"/>
        <v>0.61290322580645162</v>
      </c>
      <c r="R2128" s="2" t="str">
        <f t="shared" si="167"/>
        <v>Inefficient</v>
      </c>
      <c r="S2128" s="2" t="str">
        <f t="shared" si="168"/>
        <v>Very Long</v>
      </c>
      <c r="T2128" s="2" t="str">
        <f t="shared" si="169"/>
        <v>Major Delay</v>
      </c>
    </row>
    <row r="2129" spans="1:20" x14ac:dyDescent="0.35">
      <c r="A2129" s="2" t="s">
        <v>4441</v>
      </c>
      <c r="B2129" s="2" t="s">
        <v>16</v>
      </c>
      <c r="C2129" s="2" t="s">
        <v>4442</v>
      </c>
      <c r="D2129" s="2" t="s">
        <v>26</v>
      </c>
      <c r="E2129" s="2" t="s">
        <v>38</v>
      </c>
      <c r="F2129" s="2" t="s">
        <v>27</v>
      </c>
      <c r="G2129" s="2" t="s">
        <v>21</v>
      </c>
      <c r="H2129" s="3">
        <v>45357.895138888889</v>
      </c>
      <c r="I2129" s="3">
        <v>45358.053472222222</v>
      </c>
      <c r="J2129" s="2">
        <v>232</v>
      </c>
      <c r="K2129" s="2">
        <v>228</v>
      </c>
      <c r="L2129" s="2">
        <v>0</v>
      </c>
      <c r="M2129" s="2" t="s">
        <v>29</v>
      </c>
      <c r="N2129" s="2">
        <v>4</v>
      </c>
      <c r="O2129" s="2">
        <v>470.43</v>
      </c>
      <c r="P2129" s="2">
        <f t="shared" si="165"/>
        <v>-4</v>
      </c>
      <c r="Q2129" s="4">
        <f t="shared" si="166"/>
        <v>1.0175438596491229</v>
      </c>
      <c r="R2129" s="2" t="str">
        <f t="shared" si="167"/>
        <v>Efficient</v>
      </c>
      <c r="S2129" s="2" t="str">
        <f t="shared" si="168"/>
        <v>Very Long</v>
      </c>
      <c r="T2129" s="2" t="str">
        <f t="shared" si="169"/>
        <v>On Time</v>
      </c>
    </row>
    <row r="2130" spans="1:20" x14ac:dyDescent="0.35">
      <c r="A2130" s="2" t="s">
        <v>4443</v>
      </c>
      <c r="B2130" s="2" t="s">
        <v>63</v>
      </c>
      <c r="C2130" s="2" t="s">
        <v>4444</v>
      </c>
      <c r="D2130" s="2" t="s">
        <v>26</v>
      </c>
      <c r="E2130" s="2" t="s">
        <v>38</v>
      </c>
      <c r="F2130" s="2" t="s">
        <v>34</v>
      </c>
      <c r="G2130" s="2" t="s">
        <v>103</v>
      </c>
      <c r="H2130" s="3">
        <v>45629.060416666667</v>
      </c>
      <c r="I2130" s="3">
        <v>45629.123611111114</v>
      </c>
      <c r="J2130" s="2">
        <v>42</v>
      </c>
      <c r="K2130" s="2">
        <v>91</v>
      </c>
      <c r="L2130" s="2">
        <v>1</v>
      </c>
      <c r="M2130" s="2" t="s">
        <v>41</v>
      </c>
      <c r="N2130" s="2">
        <v>1</v>
      </c>
      <c r="O2130" s="2">
        <v>333.43</v>
      </c>
      <c r="P2130" s="2">
        <f t="shared" si="165"/>
        <v>49</v>
      </c>
      <c r="Q2130" s="4">
        <f t="shared" si="166"/>
        <v>0.46153846153846156</v>
      </c>
      <c r="R2130" s="2" t="str">
        <f t="shared" si="167"/>
        <v>Inefficient</v>
      </c>
      <c r="S2130" s="2" t="str">
        <f t="shared" si="168"/>
        <v>Long</v>
      </c>
      <c r="T2130" s="2" t="str">
        <f t="shared" si="169"/>
        <v>Major Delay</v>
      </c>
    </row>
    <row r="2131" spans="1:20" x14ac:dyDescent="0.35">
      <c r="A2131" s="2" t="s">
        <v>4445</v>
      </c>
      <c r="B2131" s="2" t="s">
        <v>31</v>
      </c>
      <c r="C2131" s="2" t="s">
        <v>4446</v>
      </c>
      <c r="D2131" s="2" t="s">
        <v>44</v>
      </c>
      <c r="E2131" s="2" t="s">
        <v>85</v>
      </c>
      <c r="F2131" s="2" t="s">
        <v>34</v>
      </c>
      <c r="G2131" s="2" t="s">
        <v>155</v>
      </c>
      <c r="H2131" s="3">
        <v>45377.35</v>
      </c>
      <c r="I2131" s="3">
        <v>45377.474305555559</v>
      </c>
      <c r="J2131" s="2">
        <v>118</v>
      </c>
      <c r="K2131" s="2">
        <v>179</v>
      </c>
      <c r="L2131" s="2">
        <v>1</v>
      </c>
      <c r="M2131" s="2" t="s">
        <v>22</v>
      </c>
      <c r="N2131" s="2">
        <v>9</v>
      </c>
      <c r="O2131" s="2">
        <v>180.43</v>
      </c>
      <c r="P2131" s="2">
        <f t="shared" si="165"/>
        <v>61</v>
      </c>
      <c r="Q2131" s="4">
        <f t="shared" si="166"/>
        <v>0.65921787709497204</v>
      </c>
      <c r="R2131" s="2" t="str">
        <f t="shared" si="167"/>
        <v>Inefficient</v>
      </c>
      <c r="S2131" s="2" t="str">
        <f t="shared" si="168"/>
        <v>Very Long</v>
      </c>
      <c r="T2131" s="2" t="str">
        <f t="shared" si="169"/>
        <v>Major Delay</v>
      </c>
    </row>
    <row r="2132" spans="1:20" x14ac:dyDescent="0.35">
      <c r="A2132" s="2" t="s">
        <v>4447</v>
      </c>
      <c r="B2132" s="2" t="s">
        <v>31</v>
      </c>
      <c r="C2132" s="2" t="s">
        <v>4448</v>
      </c>
      <c r="D2132" s="2" t="s">
        <v>44</v>
      </c>
      <c r="E2132" s="2" t="s">
        <v>33</v>
      </c>
      <c r="F2132" s="2" t="s">
        <v>39</v>
      </c>
      <c r="G2132" s="2" t="s">
        <v>676</v>
      </c>
      <c r="H2132" s="3">
        <v>45566.84097222222</v>
      </c>
      <c r="I2132" s="3">
        <v>45566.977777777778</v>
      </c>
      <c r="J2132" s="2">
        <v>194</v>
      </c>
      <c r="K2132" s="2">
        <v>197</v>
      </c>
      <c r="L2132" s="2">
        <v>1</v>
      </c>
      <c r="M2132" s="2" t="s">
        <v>41</v>
      </c>
      <c r="N2132" s="2">
        <v>1</v>
      </c>
      <c r="O2132" s="2">
        <v>344.87</v>
      </c>
      <c r="P2132" s="2">
        <f t="shared" si="165"/>
        <v>3</v>
      </c>
      <c r="Q2132" s="4">
        <f t="shared" si="166"/>
        <v>0.98477157360406087</v>
      </c>
      <c r="R2132" s="2" t="str">
        <f t="shared" si="167"/>
        <v>Inefficient</v>
      </c>
      <c r="S2132" s="2" t="str">
        <f t="shared" si="168"/>
        <v>Very Long</v>
      </c>
      <c r="T2132" s="2" t="str">
        <f t="shared" si="169"/>
        <v>Minor Delay</v>
      </c>
    </row>
    <row r="2133" spans="1:20" x14ac:dyDescent="0.35">
      <c r="A2133" s="2" t="s">
        <v>4449</v>
      </c>
      <c r="B2133" s="2" t="s">
        <v>31</v>
      </c>
      <c r="C2133" s="2" t="s">
        <v>4450</v>
      </c>
      <c r="D2133" s="2" t="s">
        <v>48</v>
      </c>
      <c r="E2133" s="2" t="s">
        <v>85</v>
      </c>
      <c r="F2133" s="2" t="s">
        <v>57</v>
      </c>
      <c r="G2133" s="2" t="s">
        <v>173</v>
      </c>
      <c r="H2133" s="3">
        <v>45655.727083333331</v>
      </c>
      <c r="I2133" s="3">
        <v>45655.8</v>
      </c>
      <c r="J2133" s="2">
        <v>34</v>
      </c>
      <c r="K2133" s="2">
        <v>105</v>
      </c>
      <c r="L2133" s="2">
        <v>1</v>
      </c>
      <c r="M2133" s="2" t="s">
        <v>41</v>
      </c>
      <c r="N2133" s="2">
        <v>1</v>
      </c>
      <c r="O2133" s="2">
        <v>482.55</v>
      </c>
      <c r="P2133" s="2">
        <f t="shared" si="165"/>
        <v>71</v>
      </c>
      <c r="Q2133" s="4">
        <f t="shared" si="166"/>
        <v>0.32380952380952382</v>
      </c>
      <c r="R2133" s="2" t="str">
        <f t="shared" si="167"/>
        <v>Inefficient</v>
      </c>
      <c r="S2133" s="2" t="str">
        <f t="shared" si="168"/>
        <v>Long</v>
      </c>
      <c r="T2133" s="2" t="str">
        <f t="shared" si="169"/>
        <v>Major Delay</v>
      </c>
    </row>
    <row r="2134" spans="1:20" x14ac:dyDescent="0.35">
      <c r="A2134" s="2" t="s">
        <v>4451</v>
      </c>
      <c r="B2134" s="2" t="s">
        <v>31</v>
      </c>
      <c r="C2134" s="2" t="s">
        <v>4452</v>
      </c>
      <c r="D2134" s="2" t="s">
        <v>44</v>
      </c>
      <c r="E2134" s="2" t="s">
        <v>85</v>
      </c>
      <c r="F2134" s="2" t="s">
        <v>34</v>
      </c>
      <c r="G2134" s="2" t="s">
        <v>28</v>
      </c>
      <c r="H2134" s="3">
        <v>45355.472222222219</v>
      </c>
      <c r="I2134" s="3">
        <v>45355.645833333336</v>
      </c>
      <c r="J2134" s="2">
        <v>176</v>
      </c>
      <c r="K2134" s="2">
        <v>250</v>
      </c>
      <c r="L2134" s="2">
        <v>1</v>
      </c>
      <c r="M2134" s="2" t="s">
        <v>29</v>
      </c>
      <c r="N2134" s="2">
        <v>8</v>
      </c>
      <c r="O2134" s="2">
        <v>113.96</v>
      </c>
      <c r="P2134" s="2">
        <f t="shared" si="165"/>
        <v>74</v>
      </c>
      <c r="Q2134" s="4">
        <f t="shared" si="166"/>
        <v>0.70399999999999996</v>
      </c>
      <c r="R2134" s="2" t="str">
        <f t="shared" si="167"/>
        <v>Inefficient</v>
      </c>
      <c r="S2134" s="2" t="str">
        <f t="shared" si="168"/>
        <v>Very Long</v>
      </c>
      <c r="T2134" s="2" t="str">
        <f t="shared" si="169"/>
        <v>Major Delay</v>
      </c>
    </row>
    <row r="2135" spans="1:20" x14ac:dyDescent="0.35">
      <c r="A2135" s="2" t="s">
        <v>4453</v>
      </c>
      <c r="B2135" s="2" t="s">
        <v>51</v>
      </c>
      <c r="C2135" s="2" t="s">
        <v>4454</v>
      </c>
      <c r="D2135" s="2" t="s">
        <v>18</v>
      </c>
      <c r="E2135" s="2" t="s">
        <v>33</v>
      </c>
      <c r="F2135" s="2" t="s">
        <v>34</v>
      </c>
      <c r="G2135" s="2" t="s">
        <v>158</v>
      </c>
      <c r="H2135" s="3">
        <v>45559.340277777781</v>
      </c>
      <c r="I2135" s="3">
        <v>45559.417361111111</v>
      </c>
      <c r="J2135" s="2">
        <v>19</v>
      </c>
      <c r="K2135" s="2">
        <v>111</v>
      </c>
      <c r="L2135" s="2">
        <v>1</v>
      </c>
      <c r="M2135" s="2" t="s">
        <v>41</v>
      </c>
      <c r="N2135" s="2">
        <v>1</v>
      </c>
      <c r="O2135" s="2">
        <v>294.05</v>
      </c>
      <c r="P2135" s="2">
        <f t="shared" si="165"/>
        <v>92</v>
      </c>
      <c r="Q2135" s="4">
        <f t="shared" si="166"/>
        <v>0.17117117117117117</v>
      </c>
      <c r="R2135" s="2" t="str">
        <f t="shared" si="167"/>
        <v>Inefficient</v>
      </c>
      <c r="S2135" s="2" t="str">
        <f t="shared" si="168"/>
        <v>Long</v>
      </c>
      <c r="T2135" s="2" t="str">
        <f t="shared" si="169"/>
        <v>Major Delay</v>
      </c>
    </row>
    <row r="2136" spans="1:20" x14ac:dyDescent="0.35">
      <c r="A2136" s="2" t="s">
        <v>4455</v>
      </c>
      <c r="B2136" s="2" t="s">
        <v>31</v>
      </c>
      <c r="C2136" s="2" t="s">
        <v>4456</v>
      </c>
      <c r="D2136" s="2" t="s">
        <v>26</v>
      </c>
      <c r="E2136" s="2" t="s">
        <v>38</v>
      </c>
      <c r="F2136" s="2" t="s">
        <v>34</v>
      </c>
      <c r="G2136" s="2" t="s">
        <v>691</v>
      </c>
      <c r="H2136" s="3">
        <v>45374.924305555556</v>
      </c>
      <c r="I2136" s="3">
        <v>45375.113194444442</v>
      </c>
      <c r="J2136" s="2">
        <v>196</v>
      </c>
      <c r="K2136" s="2">
        <v>272</v>
      </c>
      <c r="L2136" s="2">
        <v>1</v>
      </c>
      <c r="M2136" s="2" t="s">
        <v>41</v>
      </c>
      <c r="N2136" s="2">
        <v>5</v>
      </c>
      <c r="O2136" s="2">
        <v>71.91</v>
      </c>
      <c r="P2136" s="2">
        <f t="shared" si="165"/>
        <v>76</v>
      </c>
      <c r="Q2136" s="4">
        <f t="shared" si="166"/>
        <v>0.72058823529411764</v>
      </c>
      <c r="R2136" s="2" t="str">
        <f t="shared" si="167"/>
        <v>Inefficient</v>
      </c>
      <c r="S2136" s="2" t="str">
        <f t="shared" si="168"/>
        <v>Very Long</v>
      </c>
      <c r="T2136" s="2" t="str">
        <f t="shared" si="169"/>
        <v>Major Delay</v>
      </c>
    </row>
    <row r="2137" spans="1:20" x14ac:dyDescent="0.35">
      <c r="A2137" s="2" t="s">
        <v>4457</v>
      </c>
      <c r="B2137" s="2" t="s">
        <v>24</v>
      </c>
      <c r="C2137" s="2" t="s">
        <v>4458</v>
      </c>
      <c r="D2137" s="2" t="s">
        <v>56</v>
      </c>
      <c r="E2137" s="2" t="s">
        <v>38</v>
      </c>
      <c r="F2137" s="2" t="s">
        <v>57</v>
      </c>
      <c r="G2137" s="2" t="s">
        <v>785</v>
      </c>
      <c r="H2137" s="3">
        <v>45460.222222222219</v>
      </c>
      <c r="I2137" s="3">
        <v>45460.252083333333</v>
      </c>
      <c r="J2137" s="2">
        <v>43</v>
      </c>
      <c r="K2137" s="2">
        <v>43</v>
      </c>
      <c r="L2137" s="2">
        <v>0</v>
      </c>
      <c r="M2137" s="2" t="s">
        <v>22</v>
      </c>
      <c r="N2137" s="2">
        <v>1</v>
      </c>
      <c r="O2137" s="2">
        <v>120.37</v>
      </c>
      <c r="P2137" s="2">
        <f t="shared" si="165"/>
        <v>0</v>
      </c>
      <c r="Q2137" s="4">
        <f t="shared" si="166"/>
        <v>1</v>
      </c>
      <c r="R2137" s="2" t="str">
        <f t="shared" si="167"/>
        <v>On Target</v>
      </c>
      <c r="S2137" s="2" t="str">
        <f t="shared" si="168"/>
        <v>Medium</v>
      </c>
      <c r="T2137" s="2" t="str">
        <f t="shared" si="169"/>
        <v>On Time</v>
      </c>
    </row>
    <row r="2138" spans="1:20" x14ac:dyDescent="0.35">
      <c r="A2138" s="2" t="s">
        <v>4459</v>
      </c>
      <c r="B2138" s="2" t="s">
        <v>31</v>
      </c>
      <c r="C2138" s="2" t="s">
        <v>4460</v>
      </c>
      <c r="D2138" s="2" t="s">
        <v>26</v>
      </c>
      <c r="E2138" s="2" t="s">
        <v>19</v>
      </c>
      <c r="F2138" s="2" t="s">
        <v>27</v>
      </c>
      <c r="G2138" s="2" t="s">
        <v>268</v>
      </c>
      <c r="H2138" s="3">
        <v>45508.938888888886</v>
      </c>
      <c r="I2138" s="3">
        <v>45509.15</v>
      </c>
      <c r="J2138" s="2">
        <v>196</v>
      </c>
      <c r="K2138" s="2">
        <v>304</v>
      </c>
      <c r="L2138" s="2">
        <v>1</v>
      </c>
      <c r="M2138" s="2" t="s">
        <v>29</v>
      </c>
      <c r="N2138" s="2">
        <v>3</v>
      </c>
      <c r="O2138" s="2">
        <v>424.91</v>
      </c>
      <c r="P2138" s="2">
        <f t="shared" si="165"/>
        <v>108</v>
      </c>
      <c r="Q2138" s="4">
        <f t="shared" si="166"/>
        <v>0.64473684210526316</v>
      </c>
      <c r="R2138" s="2" t="str">
        <f t="shared" si="167"/>
        <v>Inefficient</v>
      </c>
      <c r="S2138" s="2" t="str">
        <f t="shared" si="168"/>
        <v>Very Long</v>
      </c>
      <c r="T2138" s="2" t="str">
        <f t="shared" si="169"/>
        <v>Major Delay</v>
      </c>
    </row>
    <row r="2139" spans="1:20" x14ac:dyDescent="0.35">
      <c r="A2139" s="2" t="s">
        <v>4461</v>
      </c>
      <c r="B2139" s="2" t="s">
        <v>31</v>
      </c>
      <c r="C2139" s="2" t="s">
        <v>4462</v>
      </c>
      <c r="D2139" s="2" t="s">
        <v>18</v>
      </c>
      <c r="E2139" s="2" t="s">
        <v>38</v>
      </c>
      <c r="F2139" s="2" t="s">
        <v>34</v>
      </c>
      <c r="G2139" s="2" t="s">
        <v>28</v>
      </c>
      <c r="H2139" s="3">
        <v>45487.631944444445</v>
      </c>
      <c r="I2139" s="3">
        <v>45487.712500000001</v>
      </c>
      <c r="J2139" s="2">
        <v>29</v>
      </c>
      <c r="K2139" s="2">
        <v>116</v>
      </c>
      <c r="L2139" s="2">
        <v>1</v>
      </c>
      <c r="M2139" s="2" t="s">
        <v>22</v>
      </c>
      <c r="N2139" s="2">
        <v>1</v>
      </c>
      <c r="O2139" s="2">
        <v>350.72</v>
      </c>
      <c r="P2139" s="2">
        <f t="shared" si="165"/>
        <v>87</v>
      </c>
      <c r="Q2139" s="4">
        <f t="shared" si="166"/>
        <v>0.25</v>
      </c>
      <c r="R2139" s="2" t="str">
        <f t="shared" si="167"/>
        <v>Inefficient</v>
      </c>
      <c r="S2139" s="2" t="str">
        <f t="shared" si="168"/>
        <v>Long</v>
      </c>
      <c r="T2139" s="2" t="str">
        <f t="shared" si="169"/>
        <v>Major Delay</v>
      </c>
    </row>
    <row r="2140" spans="1:20" x14ac:dyDescent="0.35">
      <c r="A2140" s="2" t="s">
        <v>4463</v>
      </c>
      <c r="B2140" s="2" t="s">
        <v>31</v>
      </c>
      <c r="C2140" s="2" t="s">
        <v>4464</v>
      </c>
      <c r="D2140" s="2" t="s">
        <v>18</v>
      </c>
      <c r="E2140" s="2" t="s">
        <v>38</v>
      </c>
      <c r="F2140" s="2" t="s">
        <v>39</v>
      </c>
      <c r="G2140" s="2" t="s">
        <v>669</v>
      </c>
      <c r="H2140" s="3">
        <v>45330.558333333334</v>
      </c>
      <c r="I2140" s="3">
        <v>45330.640277777777</v>
      </c>
      <c r="J2140" s="2">
        <v>101</v>
      </c>
      <c r="K2140" s="2">
        <v>118</v>
      </c>
      <c r="L2140" s="2">
        <v>1</v>
      </c>
      <c r="M2140" s="2" t="s">
        <v>41</v>
      </c>
      <c r="N2140" s="2">
        <v>9</v>
      </c>
      <c r="O2140" s="2">
        <v>240.33</v>
      </c>
      <c r="P2140" s="2">
        <f t="shared" si="165"/>
        <v>17</v>
      </c>
      <c r="Q2140" s="4">
        <f t="shared" si="166"/>
        <v>0.85593220338983056</v>
      </c>
      <c r="R2140" s="2" t="str">
        <f t="shared" si="167"/>
        <v>Inefficient</v>
      </c>
      <c r="S2140" s="2" t="str">
        <f t="shared" si="168"/>
        <v>Long</v>
      </c>
      <c r="T2140" s="2" t="str">
        <f t="shared" si="169"/>
        <v>Minor Delay</v>
      </c>
    </row>
    <row r="2141" spans="1:20" x14ac:dyDescent="0.35">
      <c r="A2141" s="2" t="s">
        <v>4465</v>
      </c>
      <c r="B2141" s="2" t="s">
        <v>16</v>
      </c>
      <c r="C2141" s="2" t="s">
        <v>4466</v>
      </c>
      <c r="D2141" s="2" t="s">
        <v>26</v>
      </c>
      <c r="E2141" s="2" t="s">
        <v>33</v>
      </c>
      <c r="F2141" s="2" t="s">
        <v>34</v>
      </c>
      <c r="G2141" s="2" t="s">
        <v>152</v>
      </c>
      <c r="H2141" s="3">
        <v>45339.28402777778</v>
      </c>
      <c r="I2141" s="3">
        <v>45339.361111111109</v>
      </c>
      <c r="J2141" s="2">
        <v>112</v>
      </c>
      <c r="K2141" s="2">
        <v>111</v>
      </c>
      <c r="L2141" s="2">
        <v>0</v>
      </c>
      <c r="M2141" s="2" t="s">
        <v>41</v>
      </c>
      <c r="N2141" s="2">
        <v>6</v>
      </c>
      <c r="O2141" s="2">
        <v>362.88</v>
      </c>
      <c r="P2141" s="2">
        <f t="shared" si="165"/>
        <v>-1</v>
      </c>
      <c r="Q2141" s="4">
        <f t="shared" si="166"/>
        <v>1.0090090090090089</v>
      </c>
      <c r="R2141" s="2" t="str">
        <f t="shared" si="167"/>
        <v>Efficient</v>
      </c>
      <c r="S2141" s="2" t="str">
        <f t="shared" si="168"/>
        <v>Long</v>
      </c>
      <c r="T2141" s="2" t="str">
        <f t="shared" si="169"/>
        <v>On Time</v>
      </c>
    </row>
    <row r="2142" spans="1:20" x14ac:dyDescent="0.35">
      <c r="A2142" s="2" t="s">
        <v>4467</v>
      </c>
      <c r="B2142" s="2" t="s">
        <v>51</v>
      </c>
      <c r="C2142" s="2" t="s">
        <v>4468</v>
      </c>
      <c r="D2142" s="2" t="s">
        <v>48</v>
      </c>
      <c r="E2142" s="2" t="s">
        <v>38</v>
      </c>
      <c r="F2142" s="2" t="s">
        <v>20</v>
      </c>
      <c r="G2142" s="2" t="s">
        <v>916</v>
      </c>
      <c r="H2142" s="3">
        <v>45465.886111111111</v>
      </c>
      <c r="I2142" s="3">
        <v>45465.94027777778</v>
      </c>
      <c r="J2142" s="2">
        <v>28</v>
      </c>
      <c r="K2142" s="2">
        <v>78</v>
      </c>
      <c r="L2142" s="2">
        <v>1</v>
      </c>
      <c r="M2142" s="2" t="s">
        <v>41</v>
      </c>
      <c r="N2142" s="2">
        <v>7</v>
      </c>
      <c r="O2142" s="2">
        <v>488.7</v>
      </c>
      <c r="P2142" s="2">
        <f t="shared" si="165"/>
        <v>50</v>
      </c>
      <c r="Q2142" s="4">
        <f t="shared" si="166"/>
        <v>0.35897435897435898</v>
      </c>
      <c r="R2142" s="2" t="str">
        <f t="shared" si="167"/>
        <v>Inefficient</v>
      </c>
      <c r="S2142" s="2" t="str">
        <f t="shared" si="168"/>
        <v>Long</v>
      </c>
      <c r="T2142" s="2" t="str">
        <f t="shared" si="169"/>
        <v>Major Delay</v>
      </c>
    </row>
    <row r="2143" spans="1:20" x14ac:dyDescent="0.35">
      <c r="A2143" s="2" t="s">
        <v>4469</v>
      </c>
      <c r="B2143" s="2" t="s">
        <v>31</v>
      </c>
      <c r="C2143" s="2" t="s">
        <v>4470</v>
      </c>
      <c r="D2143" s="2" t="s">
        <v>48</v>
      </c>
      <c r="E2143" s="2" t="s">
        <v>38</v>
      </c>
      <c r="F2143" s="2" t="s">
        <v>20</v>
      </c>
      <c r="G2143" s="2" t="s">
        <v>343</v>
      </c>
      <c r="H2143" s="3">
        <v>45618.864583333336</v>
      </c>
      <c r="I2143" s="3">
        <v>45618.995833333334</v>
      </c>
      <c r="J2143" s="2">
        <v>143</v>
      </c>
      <c r="K2143" s="2">
        <v>189</v>
      </c>
      <c r="L2143" s="2">
        <v>1</v>
      </c>
      <c r="M2143" s="2" t="s">
        <v>22</v>
      </c>
      <c r="N2143" s="2">
        <v>5</v>
      </c>
      <c r="O2143" s="2">
        <v>268.63</v>
      </c>
      <c r="P2143" s="2">
        <f t="shared" si="165"/>
        <v>46</v>
      </c>
      <c r="Q2143" s="4">
        <f t="shared" si="166"/>
        <v>0.75661375661375663</v>
      </c>
      <c r="R2143" s="2" t="str">
        <f t="shared" si="167"/>
        <v>Inefficient</v>
      </c>
      <c r="S2143" s="2" t="str">
        <f t="shared" si="168"/>
        <v>Very Long</v>
      </c>
      <c r="T2143" s="2" t="str">
        <f t="shared" si="169"/>
        <v>Major Delay</v>
      </c>
    </row>
    <row r="2144" spans="1:20" x14ac:dyDescent="0.35">
      <c r="A2144" s="2" t="s">
        <v>4471</v>
      </c>
      <c r="B2144" s="2" t="s">
        <v>16</v>
      </c>
      <c r="C2144" s="2" t="s">
        <v>4472</v>
      </c>
      <c r="D2144" s="2" t="s">
        <v>26</v>
      </c>
      <c r="E2144" s="2" t="s">
        <v>85</v>
      </c>
      <c r="F2144" s="2" t="s">
        <v>57</v>
      </c>
      <c r="G2144" s="2" t="s">
        <v>117</v>
      </c>
      <c r="H2144" s="3">
        <v>45577.15347222222</v>
      </c>
      <c r="I2144" s="3">
        <v>45577.219444444447</v>
      </c>
      <c r="J2144" s="2">
        <v>93</v>
      </c>
      <c r="K2144" s="2">
        <v>95</v>
      </c>
      <c r="L2144" s="2">
        <v>1</v>
      </c>
      <c r="M2144" s="2" t="s">
        <v>41</v>
      </c>
      <c r="N2144" s="2">
        <v>8</v>
      </c>
      <c r="O2144" s="2">
        <v>406.97</v>
      </c>
      <c r="P2144" s="2">
        <f t="shared" si="165"/>
        <v>2</v>
      </c>
      <c r="Q2144" s="4">
        <f t="shared" si="166"/>
        <v>0.97894736842105268</v>
      </c>
      <c r="R2144" s="2" t="str">
        <f t="shared" si="167"/>
        <v>Inefficient</v>
      </c>
      <c r="S2144" s="2" t="str">
        <f t="shared" si="168"/>
        <v>Long</v>
      </c>
      <c r="T2144" s="2" t="str">
        <f t="shared" si="169"/>
        <v>Minor Delay</v>
      </c>
    </row>
    <row r="2145" spans="1:20" x14ac:dyDescent="0.35">
      <c r="A2145" s="2" t="s">
        <v>4473</v>
      </c>
      <c r="B2145" s="2" t="s">
        <v>24</v>
      </c>
      <c r="C2145" s="2" t="s">
        <v>4474</v>
      </c>
      <c r="D2145" s="2" t="s">
        <v>18</v>
      </c>
      <c r="E2145" s="2" t="s">
        <v>85</v>
      </c>
      <c r="F2145" s="2" t="s">
        <v>39</v>
      </c>
      <c r="G2145" s="2" t="s">
        <v>430</v>
      </c>
      <c r="H2145" s="3">
        <v>45446.176388888889</v>
      </c>
      <c r="I2145" s="3">
        <v>45446.209027777775</v>
      </c>
      <c r="J2145" s="2">
        <v>41</v>
      </c>
      <c r="K2145" s="2">
        <v>47</v>
      </c>
      <c r="L2145" s="2">
        <v>1</v>
      </c>
      <c r="M2145" s="2" t="s">
        <v>29</v>
      </c>
      <c r="N2145" s="2">
        <v>10</v>
      </c>
      <c r="O2145" s="2">
        <v>67.03</v>
      </c>
      <c r="P2145" s="2">
        <f t="shared" si="165"/>
        <v>6</v>
      </c>
      <c r="Q2145" s="4">
        <f t="shared" si="166"/>
        <v>0.87234042553191493</v>
      </c>
      <c r="R2145" s="2" t="str">
        <f t="shared" si="167"/>
        <v>Inefficient</v>
      </c>
      <c r="S2145" s="2" t="str">
        <f t="shared" si="168"/>
        <v>Medium</v>
      </c>
      <c r="T2145" s="2" t="str">
        <f t="shared" si="169"/>
        <v>Minor Delay</v>
      </c>
    </row>
    <row r="2146" spans="1:20" x14ac:dyDescent="0.35">
      <c r="A2146" s="2" t="s">
        <v>4475</v>
      </c>
      <c r="B2146" s="2" t="s">
        <v>63</v>
      </c>
      <c r="C2146" s="2" t="s">
        <v>4476</v>
      </c>
      <c r="D2146" s="2" t="s">
        <v>48</v>
      </c>
      <c r="E2146" s="2" t="s">
        <v>38</v>
      </c>
      <c r="F2146" s="2" t="s">
        <v>34</v>
      </c>
      <c r="G2146" s="2" t="s">
        <v>371</v>
      </c>
      <c r="H2146" s="3">
        <v>45513.005555555559</v>
      </c>
      <c r="I2146" s="3">
        <v>45513.175000000003</v>
      </c>
      <c r="J2146" s="2">
        <v>146</v>
      </c>
      <c r="K2146" s="2">
        <v>244</v>
      </c>
      <c r="L2146" s="2">
        <v>1</v>
      </c>
      <c r="M2146" s="2" t="s">
        <v>22</v>
      </c>
      <c r="N2146" s="2">
        <v>10</v>
      </c>
      <c r="O2146" s="2">
        <v>230.2</v>
      </c>
      <c r="P2146" s="2">
        <f t="shared" si="165"/>
        <v>98</v>
      </c>
      <c r="Q2146" s="4">
        <f t="shared" si="166"/>
        <v>0.59836065573770492</v>
      </c>
      <c r="R2146" s="2" t="str">
        <f t="shared" si="167"/>
        <v>Inefficient</v>
      </c>
      <c r="S2146" s="2" t="str">
        <f t="shared" si="168"/>
        <v>Very Long</v>
      </c>
      <c r="T2146" s="2" t="str">
        <f t="shared" si="169"/>
        <v>Major Delay</v>
      </c>
    </row>
    <row r="2147" spans="1:20" x14ac:dyDescent="0.35">
      <c r="A2147" s="2" t="s">
        <v>4477</v>
      </c>
      <c r="B2147" s="2" t="s">
        <v>31</v>
      </c>
      <c r="C2147" s="2" t="s">
        <v>4478</v>
      </c>
      <c r="D2147" s="2" t="s">
        <v>56</v>
      </c>
      <c r="E2147" s="2" t="s">
        <v>38</v>
      </c>
      <c r="F2147" s="2" t="s">
        <v>27</v>
      </c>
      <c r="G2147" s="2" t="s">
        <v>700</v>
      </c>
      <c r="H2147" s="3">
        <v>45581.816666666666</v>
      </c>
      <c r="I2147" s="3">
        <v>45581.84097222222</v>
      </c>
      <c r="J2147" s="2">
        <v>13</v>
      </c>
      <c r="K2147" s="2">
        <v>35</v>
      </c>
      <c r="L2147" s="2">
        <v>1</v>
      </c>
      <c r="M2147" s="2" t="s">
        <v>41</v>
      </c>
      <c r="N2147" s="2">
        <v>1</v>
      </c>
      <c r="O2147" s="2">
        <v>55.71</v>
      </c>
      <c r="P2147" s="2">
        <f t="shared" si="165"/>
        <v>22</v>
      </c>
      <c r="Q2147" s="4">
        <f t="shared" si="166"/>
        <v>0.37142857142857144</v>
      </c>
      <c r="R2147" s="2" t="str">
        <f t="shared" si="167"/>
        <v>Inefficient</v>
      </c>
      <c r="S2147" s="2" t="str">
        <f t="shared" si="168"/>
        <v>Medium</v>
      </c>
      <c r="T2147" s="2" t="str">
        <f t="shared" si="169"/>
        <v>Minor Delay</v>
      </c>
    </row>
    <row r="2148" spans="1:20" x14ac:dyDescent="0.35">
      <c r="A2148" s="2" t="s">
        <v>4479</v>
      </c>
      <c r="B2148" s="2" t="s">
        <v>24</v>
      </c>
      <c r="C2148" s="2" t="s">
        <v>4480</v>
      </c>
      <c r="D2148" s="2" t="s">
        <v>56</v>
      </c>
      <c r="E2148" s="2" t="s">
        <v>85</v>
      </c>
      <c r="F2148" s="2" t="s">
        <v>34</v>
      </c>
      <c r="G2148" s="2" t="s">
        <v>259</v>
      </c>
      <c r="H2148" s="3">
        <v>45320.801388888889</v>
      </c>
      <c r="I2148" s="3">
        <v>45320.907638888886</v>
      </c>
      <c r="J2148" s="2">
        <v>100</v>
      </c>
      <c r="K2148" s="2">
        <v>153</v>
      </c>
      <c r="L2148" s="2">
        <v>1</v>
      </c>
      <c r="M2148" s="2" t="s">
        <v>41</v>
      </c>
      <c r="N2148" s="2">
        <v>9</v>
      </c>
      <c r="O2148" s="2">
        <v>409.1</v>
      </c>
      <c r="P2148" s="2">
        <f t="shared" si="165"/>
        <v>53</v>
      </c>
      <c r="Q2148" s="4">
        <f t="shared" si="166"/>
        <v>0.65359477124183007</v>
      </c>
      <c r="R2148" s="2" t="str">
        <f t="shared" si="167"/>
        <v>Inefficient</v>
      </c>
      <c r="S2148" s="2" t="str">
        <f t="shared" si="168"/>
        <v>Very Long</v>
      </c>
      <c r="T2148" s="2" t="str">
        <f t="shared" si="169"/>
        <v>Major Delay</v>
      </c>
    </row>
    <row r="2149" spans="1:20" x14ac:dyDescent="0.35">
      <c r="A2149" s="2" t="s">
        <v>4481</v>
      </c>
      <c r="B2149" s="2" t="s">
        <v>51</v>
      </c>
      <c r="C2149" s="2" t="s">
        <v>4482</v>
      </c>
      <c r="D2149" s="2" t="s">
        <v>18</v>
      </c>
      <c r="E2149" s="2" t="s">
        <v>33</v>
      </c>
      <c r="F2149" s="2" t="s">
        <v>39</v>
      </c>
      <c r="G2149" s="2" t="s">
        <v>228</v>
      </c>
      <c r="H2149" s="3">
        <v>45480.179861111108</v>
      </c>
      <c r="I2149" s="3">
        <v>45480.340277777781</v>
      </c>
      <c r="J2149" s="2">
        <v>230</v>
      </c>
      <c r="K2149" s="2">
        <v>231</v>
      </c>
      <c r="L2149" s="2">
        <v>1</v>
      </c>
      <c r="M2149" s="2" t="s">
        <v>41</v>
      </c>
      <c r="N2149" s="2">
        <v>1</v>
      </c>
      <c r="O2149" s="2">
        <v>348.27</v>
      </c>
      <c r="P2149" s="2">
        <f t="shared" si="165"/>
        <v>1</v>
      </c>
      <c r="Q2149" s="4">
        <f t="shared" si="166"/>
        <v>0.99567099567099571</v>
      </c>
      <c r="R2149" s="2" t="str">
        <f t="shared" si="167"/>
        <v>Inefficient</v>
      </c>
      <c r="S2149" s="2" t="str">
        <f t="shared" si="168"/>
        <v>Very Long</v>
      </c>
      <c r="T2149" s="2" t="str">
        <f t="shared" si="169"/>
        <v>Minor Delay</v>
      </c>
    </row>
    <row r="2150" spans="1:20" x14ac:dyDescent="0.35">
      <c r="A2150" s="2" t="s">
        <v>4483</v>
      </c>
      <c r="B2150" s="2" t="s">
        <v>51</v>
      </c>
      <c r="C2150" s="2" t="s">
        <v>4484</v>
      </c>
      <c r="D2150" s="2" t="s">
        <v>44</v>
      </c>
      <c r="E2150" s="2" t="s">
        <v>19</v>
      </c>
      <c r="F2150" s="2" t="s">
        <v>34</v>
      </c>
      <c r="G2150" s="2" t="s">
        <v>108</v>
      </c>
      <c r="H2150" s="3">
        <v>45371.411805555559</v>
      </c>
      <c r="I2150" s="3">
        <v>45371.484027777777</v>
      </c>
      <c r="J2150" s="2">
        <v>24</v>
      </c>
      <c r="K2150" s="2">
        <v>104</v>
      </c>
      <c r="L2150" s="2">
        <v>1</v>
      </c>
      <c r="M2150" s="2" t="s">
        <v>22</v>
      </c>
      <c r="N2150" s="2">
        <v>8</v>
      </c>
      <c r="O2150" s="2">
        <v>486.72</v>
      </c>
      <c r="P2150" s="2">
        <f t="shared" si="165"/>
        <v>80</v>
      </c>
      <c r="Q2150" s="4">
        <f t="shared" si="166"/>
        <v>0.23076923076923078</v>
      </c>
      <c r="R2150" s="2" t="str">
        <f t="shared" si="167"/>
        <v>Inefficient</v>
      </c>
      <c r="S2150" s="2" t="str">
        <f t="shared" si="168"/>
        <v>Long</v>
      </c>
      <c r="T2150" s="2" t="str">
        <f t="shared" si="169"/>
        <v>Major Delay</v>
      </c>
    </row>
    <row r="2151" spans="1:20" x14ac:dyDescent="0.35">
      <c r="A2151" s="2" t="s">
        <v>4485</v>
      </c>
      <c r="B2151" s="2" t="s">
        <v>63</v>
      </c>
      <c r="C2151" s="2" t="s">
        <v>4486</v>
      </c>
      <c r="D2151" s="2" t="s">
        <v>44</v>
      </c>
      <c r="E2151" s="2" t="s">
        <v>85</v>
      </c>
      <c r="F2151" s="2" t="s">
        <v>34</v>
      </c>
      <c r="G2151" s="2" t="s">
        <v>167</v>
      </c>
      <c r="H2151" s="3">
        <v>45437.785416666666</v>
      </c>
      <c r="I2151" s="3">
        <v>45437.949305555558</v>
      </c>
      <c r="J2151" s="2">
        <v>163</v>
      </c>
      <c r="K2151" s="2">
        <v>236</v>
      </c>
      <c r="L2151" s="2">
        <v>1</v>
      </c>
      <c r="M2151" s="2" t="s">
        <v>22</v>
      </c>
      <c r="N2151" s="2">
        <v>1</v>
      </c>
      <c r="O2151" s="2">
        <v>147.59</v>
      </c>
      <c r="P2151" s="2">
        <f t="shared" si="165"/>
        <v>73</v>
      </c>
      <c r="Q2151" s="4">
        <f t="shared" si="166"/>
        <v>0.69067796610169496</v>
      </c>
      <c r="R2151" s="2" t="str">
        <f t="shared" si="167"/>
        <v>Inefficient</v>
      </c>
      <c r="S2151" s="2" t="str">
        <f t="shared" si="168"/>
        <v>Very Long</v>
      </c>
      <c r="T2151" s="2" t="str">
        <f t="shared" si="169"/>
        <v>Major Delay</v>
      </c>
    </row>
    <row r="2152" spans="1:20" x14ac:dyDescent="0.35">
      <c r="A2152" s="2" t="s">
        <v>4487</v>
      </c>
      <c r="B2152" s="2" t="s">
        <v>63</v>
      </c>
      <c r="C2152" s="2" t="s">
        <v>4488</v>
      </c>
      <c r="D2152" s="2" t="s">
        <v>26</v>
      </c>
      <c r="E2152" s="2" t="s">
        <v>85</v>
      </c>
      <c r="F2152" s="2" t="s">
        <v>34</v>
      </c>
      <c r="G2152" s="2" t="s">
        <v>410</v>
      </c>
      <c r="H2152" s="3">
        <v>45569.648611111108</v>
      </c>
      <c r="I2152" s="3">
        <v>45569.74722222222</v>
      </c>
      <c r="J2152" s="2">
        <v>78</v>
      </c>
      <c r="K2152" s="2">
        <v>142</v>
      </c>
      <c r="L2152" s="2">
        <v>1</v>
      </c>
      <c r="M2152" s="2" t="s">
        <v>29</v>
      </c>
      <c r="N2152" s="2">
        <v>10</v>
      </c>
      <c r="O2152" s="2">
        <v>54.53</v>
      </c>
      <c r="P2152" s="2">
        <f t="shared" si="165"/>
        <v>64</v>
      </c>
      <c r="Q2152" s="4">
        <f t="shared" si="166"/>
        <v>0.54929577464788737</v>
      </c>
      <c r="R2152" s="2" t="str">
        <f t="shared" si="167"/>
        <v>Inefficient</v>
      </c>
      <c r="S2152" s="2" t="str">
        <f t="shared" si="168"/>
        <v>Very Long</v>
      </c>
      <c r="T2152" s="2" t="str">
        <f t="shared" si="169"/>
        <v>Major Delay</v>
      </c>
    </row>
    <row r="2153" spans="1:20" x14ac:dyDescent="0.35">
      <c r="A2153" s="2" t="s">
        <v>4489</v>
      </c>
      <c r="B2153" s="2" t="s">
        <v>16</v>
      </c>
      <c r="C2153" s="2" t="s">
        <v>4490</v>
      </c>
      <c r="D2153" s="2" t="s">
        <v>48</v>
      </c>
      <c r="E2153" s="2" t="s">
        <v>85</v>
      </c>
      <c r="F2153" s="2" t="s">
        <v>27</v>
      </c>
      <c r="G2153" s="2" t="s">
        <v>754</v>
      </c>
      <c r="H2153" s="3">
        <v>45475.12777777778</v>
      </c>
      <c r="I2153" s="3">
        <v>45475.320833333331</v>
      </c>
      <c r="J2153" s="2">
        <v>212</v>
      </c>
      <c r="K2153" s="2">
        <v>278</v>
      </c>
      <c r="L2153" s="2">
        <v>1</v>
      </c>
      <c r="M2153" s="2" t="s">
        <v>41</v>
      </c>
      <c r="N2153" s="2">
        <v>5</v>
      </c>
      <c r="O2153" s="2">
        <v>126.04</v>
      </c>
      <c r="P2153" s="2">
        <f t="shared" si="165"/>
        <v>66</v>
      </c>
      <c r="Q2153" s="4">
        <f t="shared" si="166"/>
        <v>0.76258992805755399</v>
      </c>
      <c r="R2153" s="2" t="str">
        <f t="shared" si="167"/>
        <v>Inefficient</v>
      </c>
      <c r="S2153" s="2" t="str">
        <f t="shared" si="168"/>
        <v>Very Long</v>
      </c>
      <c r="T2153" s="2" t="str">
        <f t="shared" si="169"/>
        <v>Major Delay</v>
      </c>
    </row>
    <row r="2154" spans="1:20" x14ac:dyDescent="0.35">
      <c r="A2154" s="2" t="s">
        <v>4491</v>
      </c>
      <c r="B2154" s="2" t="s">
        <v>31</v>
      </c>
      <c r="C2154" s="2" t="s">
        <v>4492</v>
      </c>
      <c r="D2154" s="2" t="s">
        <v>44</v>
      </c>
      <c r="E2154" s="2" t="s">
        <v>38</v>
      </c>
      <c r="F2154" s="2" t="s">
        <v>27</v>
      </c>
      <c r="G2154" s="2" t="s">
        <v>259</v>
      </c>
      <c r="H2154" s="3">
        <v>45368.42291666667</v>
      </c>
      <c r="I2154" s="3">
        <v>45368.522916666669</v>
      </c>
      <c r="J2154" s="2">
        <v>29</v>
      </c>
      <c r="K2154" s="2">
        <v>144</v>
      </c>
      <c r="L2154" s="2">
        <v>1</v>
      </c>
      <c r="M2154" s="2" t="s">
        <v>29</v>
      </c>
      <c r="N2154" s="2">
        <v>7</v>
      </c>
      <c r="O2154" s="2">
        <v>166.2</v>
      </c>
      <c r="P2154" s="2">
        <f t="shared" si="165"/>
        <v>115</v>
      </c>
      <c r="Q2154" s="4">
        <f t="shared" si="166"/>
        <v>0.2013888888888889</v>
      </c>
      <c r="R2154" s="2" t="str">
        <f t="shared" si="167"/>
        <v>Inefficient</v>
      </c>
      <c r="S2154" s="2" t="str">
        <f t="shared" si="168"/>
        <v>Very Long</v>
      </c>
      <c r="T2154" s="2" t="str">
        <f t="shared" si="169"/>
        <v>Major Delay</v>
      </c>
    </row>
    <row r="2155" spans="1:20" x14ac:dyDescent="0.35">
      <c r="A2155" s="2" t="s">
        <v>4493</v>
      </c>
      <c r="B2155" s="2" t="s">
        <v>16</v>
      </c>
      <c r="C2155" s="2" t="s">
        <v>4494</v>
      </c>
      <c r="D2155" s="2" t="s">
        <v>56</v>
      </c>
      <c r="E2155" s="2" t="s">
        <v>33</v>
      </c>
      <c r="F2155" s="2" t="s">
        <v>27</v>
      </c>
      <c r="G2155" s="2" t="s">
        <v>599</v>
      </c>
      <c r="H2155" s="3">
        <v>45615.905555555553</v>
      </c>
      <c r="I2155" s="3">
        <v>45615.917361111111</v>
      </c>
      <c r="J2155" s="2">
        <v>14</v>
      </c>
      <c r="K2155" s="2">
        <v>17</v>
      </c>
      <c r="L2155" s="2">
        <v>1</v>
      </c>
      <c r="M2155" s="2" t="s">
        <v>29</v>
      </c>
      <c r="N2155" s="2">
        <v>4</v>
      </c>
      <c r="O2155" s="2">
        <v>179.13</v>
      </c>
      <c r="P2155" s="2">
        <f t="shared" si="165"/>
        <v>3</v>
      </c>
      <c r="Q2155" s="4">
        <f t="shared" si="166"/>
        <v>0.82352941176470584</v>
      </c>
      <c r="R2155" s="2" t="str">
        <f t="shared" si="167"/>
        <v>Inefficient</v>
      </c>
      <c r="S2155" s="2" t="str">
        <f t="shared" si="168"/>
        <v>Short</v>
      </c>
      <c r="T2155" s="2" t="str">
        <f t="shared" si="169"/>
        <v>Minor Delay</v>
      </c>
    </row>
    <row r="2156" spans="1:20" x14ac:dyDescent="0.35">
      <c r="A2156" s="2" t="s">
        <v>4495</v>
      </c>
      <c r="B2156" s="2" t="s">
        <v>51</v>
      </c>
      <c r="C2156" s="2" t="s">
        <v>4496</v>
      </c>
      <c r="D2156" s="2" t="s">
        <v>48</v>
      </c>
      <c r="E2156" s="2" t="s">
        <v>19</v>
      </c>
      <c r="F2156" s="2" t="s">
        <v>57</v>
      </c>
      <c r="G2156" s="2" t="s">
        <v>371</v>
      </c>
      <c r="H2156" s="3">
        <v>45376.325694444444</v>
      </c>
      <c r="I2156" s="3">
        <v>45376.470138888886</v>
      </c>
      <c r="J2156" s="2">
        <v>116</v>
      </c>
      <c r="K2156" s="2">
        <v>208</v>
      </c>
      <c r="L2156" s="2">
        <v>1</v>
      </c>
      <c r="M2156" s="2" t="s">
        <v>22</v>
      </c>
      <c r="N2156" s="2">
        <v>6</v>
      </c>
      <c r="O2156" s="2">
        <v>331.28</v>
      </c>
      <c r="P2156" s="2">
        <f t="shared" si="165"/>
        <v>92</v>
      </c>
      <c r="Q2156" s="4">
        <f t="shared" si="166"/>
        <v>0.55769230769230771</v>
      </c>
      <c r="R2156" s="2" t="str">
        <f t="shared" si="167"/>
        <v>Inefficient</v>
      </c>
      <c r="S2156" s="2" t="str">
        <f t="shared" si="168"/>
        <v>Very Long</v>
      </c>
      <c r="T2156" s="2" t="str">
        <f t="shared" si="169"/>
        <v>Major Delay</v>
      </c>
    </row>
    <row r="2157" spans="1:20" x14ac:dyDescent="0.35">
      <c r="A2157" s="2" t="s">
        <v>4497</v>
      </c>
      <c r="B2157" s="2" t="s">
        <v>31</v>
      </c>
      <c r="C2157" s="2" t="s">
        <v>4498</v>
      </c>
      <c r="D2157" s="2" t="s">
        <v>26</v>
      </c>
      <c r="E2157" s="2" t="s">
        <v>19</v>
      </c>
      <c r="F2157" s="2" t="s">
        <v>34</v>
      </c>
      <c r="G2157" s="2" t="s">
        <v>681</v>
      </c>
      <c r="H2157" s="3">
        <v>45531.669444444444</v>
      </c>
      <c r="I2157" s="3">
        <v>45531.756944444445</v>
      </c>
      <c r="J2157" s="2">
        <v>90</v>
      </c>
      <c r="K2157" s="2">
        <v>126</v>
      </c>
      <c r="L2157" s="2">
        <v>1</v>
      </c>
      <c r="M2157" s="2" t="s">
        <v>29</v>
      </c>
      <c r="N2157" s="2">
        <v>8</v>
      </c>
      <c r="O2157" s="2">
        <v>388.41</v>
      </c>
      <c r="P2157" s="2">
        <f t="shared" si="165"/>
        <v>36</v>
      </c>
      <c r="Q2157" s="4">
        <f t="shared" si="166"/>
        <v>0.7142857142857143</v>
      </c>
      <c r="R2157" s="2" t="str">
        <f t="shared" si="167"/>
        <v>Inefficient</v>
      </c>
      <c r="S2157" s="2" t="str">
        <f t="shared" si="168"/>
        <v>Very Long</v>
      </c>
      <c r="T2157" s="2" t="str">
        <f t="shared" si="169"/>
        <v>Major Delay</v>
      </c>
    </row>
    <row r="2158" spans="1:20" x14ac:dyDescent="0.35">
      <c r="A2158" s="2" t="s">
        <v>4499</v>
      </c>
      <c r="B2158" s="2" t="s">
        <v>24</v>
      </c>
      <c r="C2158" s="2" t="s">
        <v>4500</v>
      </c>
      <c r="D2158" s="2" t="s">
        <v>48</v>
      </c>
      <c r="E2158" s="2" t="s">
        <v>33</v>
      </c>
      <c r="F2158" s="2" t="s">
        <v>34</v>
      </c>
      <c r="G2158" s="2" t="s">
        <v>140</v>
      </c>
      <c r="H2158" s="3">
        <v>45301.615972222222</v>
      </c>
      <c r="I2158" s="3">
        <v>45301.765277777777</v>
      </c>
      <c r="J2158" s="2">
        <v>144</v>
      </c>
      <c r="K2158" s="2">
        <v>215</v>
      </c>
      <c r="L2158" s="2">
        <v>1</v>
      </c>
      <c r="M2158" s="2" t="s">
        <v>22</v>
      </c>
      <c r="N2158" s="2">
        <v>9</v>
      </c>
      <c r="O2158" s="2">
        <v>91.41</v>
      </c>
      <c r="P2158" s="2">
        <f t="shared" si="165"/>
        <v>71</v>
      </c>
      <c r="Q2158" s="4">
        <f t="shared" si="166"/>
        <v>0.66976744186046511</v>
      </c>
      <c r="R2158" s="2" t="str">
        <f t="shared" si="167"/>
        <v>Inefficient</v>
      </c>
      <c r="S2158" s="2" t="str">
        <f t="shared" si="168"/>
        <v>Very Long</v>
      </c>
      <c r="T2158" s="2" t="str">
        <f t="shared" si="169"/>
        <v>Major Delay</v>
      </c>
    </row>
    <row r="2159" spans="1:20" x14ac:dyDescent="0.35">
      <c r="A2159" s="2" t="s">
        <v>4501</v>
      </c>
      <c r="B2159" s="2" t="s">
        <v>51</v>
      </c>
      <c r="C2159" s="2" t="s">
        <v>4502</v>
      </c>
      <c r="D2159" s="2" t="s">
        <v>48</v>
      </c>
      <c r="E2159" s="2" t="s">
        <v>38</v>
      </c>
      <c r="F2159" s="2" t="s">
        <v>27</v>
      </c>
      <c r="G2159" s="2" t="s">
        <v>204</v>
      </c>
      <c r="H2159" s="3">
        <v>45516.853472222225</v>
      </c>
      <c r="I2159" s="3">
        <v>45516.914583333331</v>
      </c>
      <c r="J2159" s="2">
        <v>29</v>
      </c>
      <c r="K2159" s="2">
        <v>88</v>
      </c>
      <c r="L2159" s="2">
        <v>1</v>
      </c>
      <c r="M2159" s="2" t="s">
        <v>41</v>
      </c>
      <c r="N2159" s="2">
        <v>9</v>
      </c>
      <c r="O2159" s="2">
        <v>216.73</v>
      </c>
      <c r="P2159" s="2">
        <f t="shared" si="165"/>
        <v>59</v>
      </c>
      <c r="Q2159" s="4">
        <f t="shared" si="166"/>
        <v>0.32954545454545453</v>
      </c>
      <c r="R2159" s="2" t="str">
        <f t="shared" si="167"/>
        <v>Inefficient</v>
      </c>
      <c r="S2159" s="2" t="str">
        <f t="shared" si="168"/>
        <v>Long</v>
      </c>
      <c r="T2159" s="2" t="str">
        <f t="shared" si="169"/>
        <v>Major Delay</v>
      </c>
    </row>
    <row r="2160" spans="1:20" x14ac:dyDescent="0.35">
      <c r="A2160" s="2" t="s">
        <v>4503</v>
      </c>
      <c r="B2160" s="2" t="s">
        <v>63</v>
      </c>
      <c r="C2160" s="2" t="s">
        <v>4504</v>
      </c>
      <c r="D2160" s="2" t="s">
        <v>56</v>
      </c>
      <c r="E2160" s="2" t="s">
        <v>85</v>
      </c>
      <c r="F2160" s="2" t="s">
        <v>20</v>
      </c>
      <c r="G2160" s="2" t="s">
        <v>126</v>
      </c>
      <c r="H2160" s="3">
        <v>45371.137499999997</v>
      </c>
      <c r="I2160" s="3">
        <v>45371.206250000003</v>
      </c>
      <c r="J2160" s="2">
        <v>69</v>
      </c>
      <c r="K2160" s="2">
        <v>99</v>
      </c>
      <c r="L2160" s="2">
        <v>1</v>
      </c>
      <c r="M2160" s="2" t="s">
        <v>29</v>
      </c>
      <c r="N2160" s="2">
        <v>7</v>
      </c>
      <c r="O2160" s="2">
        <v>154.5</v>
      </c>
      <c r="P2160" s="2">
        <f t="shared" si="165"/>
        <v>30</v>
      </c>
      <c r="Q2160" s="4">
        <f t="shared" si="166"/>
        <v>0.69696969696969702</v>
      </c>
      <c r="R2160" s="2" t="str">
        <f t="shared" si="167"/>
        <v>Inefficient</v>
      </c>
      <c r="S2160" s="2" t="str">
        <f t="shared" si="168"/>
        <v>Long</v>
      </c>
      <c r="T2160" s="2" t="str">
        <f t="shared" si="169"/>
        <v>Minor Delay</v>
      </c>
    </row>
    <row r="2161" spans="1:20" x14ac:dyDescent="0.35">
      <c r="A2161" s="2" t="s">
        <v>4505</v>
      </c>
      <c r="B2161" s="2" t="s">
        <v>31</v>
      </c>
      <c r="C2161" s="2" t="s">
        <v>4506</v>
      </c>
      <c r="D2161" s="2" t="s">
        <v>48</v>
      </c>
      <c r="E2161" s="2" t="s">
        <v>85</v>
      </c>
      <c r="F2161" s="2" t="s">
        <v>39</v>
      </c>
      <c r="G2161" s="2" t="s">
        <v>108</v>
      </c>
      <c r="H2161" s="3">
        <v>45434.315972222219</v>
      </c>
      <c r="I2161" s="3">
        <v>45434.478472222225</v>
      </c>
      <c r="J2161" s="2">
        <v>191</v>
      </c>
      <c r="K2161" s="2">
        <v>234</v>
      </c>
      <c r="L2161" s="2">
        <v>1</v>
      </c>
      <c r="M2161" s="2" t="s">
        <v>22</v>
      </c>
      <c r="N2161" s="2">
        <v>10</v>
      </c>
      <c r="O2161" s="2">
        <v>93.32</v>
      </c>
      <c r="P2161" s="2">
        <f t="shared" si="165"/>
        <v>43</v>
      </c>
      <c r="Q2161" s="4">
        <f t="shared" si="166"/>
        <v>0.81623931623931623</v>
      </c>
      <c r="R2161" s="2" t="str">
        <f t="shared" si="167"/>
        <v>Inefficient</v>
      </c>
      <c r="S2161" s="2" t="str">
        <f t="shared" si="168"/>
        <v>Very Long</v>
      </c>
      <c r="T2161" s="2" t="str">
        <f t="shared" si="169"/>
        <v>Major Delay</v>
      </c>
    </row>
    <row r="2162" spans="1:20" x14ac:dyDescent="0.35">
      <c r="A2162" s="2" t="s">
        <v>4507</v>
      </c>
      <c r="B2162" s="2" t="s">
        <v>24</v>
      </c>
      <c r="C2162" s="2" t="s">
        <v>4508</v>
      </c>
      <c r="D2162" s="2" t="s">
        <v>44</v>
      </c>
      <c r="E2162" s="2" t="s">
        <v>85</v>
      </c>
      <c r="F2162" s="2" t="s">
        <v>34</v>
      </c>
      <c r="G2162" s="2" t="s">
        <v>228</v>
      </c>
      <c r="H2162" s="3">
        <v>45406.645833333336</v>
      </c>
      <c r="I2162" s="3">
        <v>45406.821527777778</v>
      </c>
      <c r="J2162" s="2">
        <v>141</v>
      </c>
      <c r="K2162" s="2">
        <v>253</v>
      </c>
      <c r="L2162" s="2">
        <v>1</v>
      </c>
      <c r="M2162" s="2" t="s">
        <v>29</v>
      </c>
      <c r="N2162" s="2">
        <v>6</v>
      </c>
      <c r="O2162" s="2">
        <v>57.31</v>
      </c>
      <c r="P2162" s="2">
        <f t="shared" si="165"/>
        <v>112</v>
      </c>
      <c r="Q2162" s="4">
        <f t="shared" si="166"/>
        <v>0.55731225296442688</v>
      </c>
      <c r="R2162" s="2" t="str">
        <f t="shared" si="167"/>
        <v>Inefficient</v>
      </c>
      <c r="S2162" s="2" t="str">
        <f t="shared" si="168"/>
        <v>Very Long</v>
      </c>
      <c r="T2162" s="2" t="str">
        <f t="shared" si="169"/>
        <v>Major Delay</v>
      </c>
    </row>
    <row r="2163" spans="1:20" x14ac:dyDescent="0.35">
      <c r="A2163" s="2" t="s">
        <v>4509</v>
      </c>
      <c r="B2163" s="2" t="s">
        <v>16</v>
      </c>
      <c r="C2163" s="2" t="s">
        <v>4510</v>
      </c>
      <c r="D2163" s="2" t="s">
        <v>56</v>
      </c>
      <c r="E2163" s="2" t="s">
        <v>38</v>
      </c>
      <c r="F2163" s="2" t="s">
        <v>39</v>
      </c>
      <c r="G2163" s="2" t="s">
        <v>146</v>
      </c>
      <c r="H2163" s="3">
        <v>45564.939583333333</v>
      </c>
      <c r="I2163" s="3">
        <v>45565.097222222219</v>
      </c>
      <c r="J2163" s="2">
        <v>154</v>
      </c>
      <c r="K2163" s="2">
        <v>227</v>
      </c>
      <c r="L2163" s="2">
        <v>1</v>
      </c>
      <c r="M2163" s="2" t="s">
        <v>22</v>
      </c>
      <c r="N2163" s="2">
        <v>8</v>
      </c>
      <c r="O2163" s="2">
        <v>417.74</v>
      </c>
      <c r="P2163" s="2">
        <f t="shared" si="165"/>
        <v>73</v>
      </c>
      <c r="Q2163" s="4">
        <f t="shared" si="166"/>
        <v>0.67841409691629961</v>
      </c>
      <c r="R2163" s="2" t="str">
        <f t="shared" si="167"/>
        <v>Inefficient</v>
      </c>
      <c r="S2163" s="2" t="str">
        <f t="shared" si="168"/>
        <v>Very Long</v>
      </c>
      <c r="T2163" s="2" t="str">
        <f t="shared" si="169"/>
        <v>Major Delay</v>
      </c>
    </row>
    <row r="2164" spans="1:20" x14ac:dyDescent="0.35">
      <c r="A2164" s="2" t="s">
        <v>4511</v>
      </c>
      <c r="B2164" s="2" t="s">
        <v>24</v>
      </c>
      <c r="C2164" s="2" t="s">
        <v>4512</v>
      </c>
      <c r="D2164" s="2" t="s">
        <v>56</v>
      </c>
      <c r="E2164" s="2" t="s">
        <v>85</v>
      </c>
      <c r="F2164" s="2" t="s">
        <v>34</v>
      </c>
      <c r="G2164" s="2" t="s">
        <v>268</v>
      </c>
      <c r="H2164" s="3">
        <v>45601.885416666664</v>
      </c>
      <c r="I2164" s="3">
        <v>45601.936805555553</v>
      </c>
      <c r="J2164" s="2">
        <v>72</v>
      </c>
      <c r="K2164" s="2">
        <v>74</v>
      </c>
      <c r="L2164" s="2">
        <v>1</v>
      </c>
      <c r="M2164" s="2" t="s">
        <v>41</v>
      </c>
      <c r="N2164" s="2">
        <v>3</v>
      </c>
      <c r="O2164" s="2">
        <v>182.91</v>
      </c>
      <c r="P2164" s="2">
        <f t="shared" si="165"/>
        <v>2</v>
      </c>
      <c r="Q2164" s="4">
        <f t="shared" si="166"/>
        <v>0.97297297297297303</v>
      </c>
      <c r="R2164" s="2" t="str">
        <f t="shared" si="167"/>
        <v>Inefficient</v>
      </c>
      <c r="S2164" s="2" t="str">
        <f t="shared" si="168"/>
        <v>Long</v>
      </c>
      <c r="T2164" s="2" t="str">
        <f t="shared" si="169"/>
        <v>Minor Delay</v>
      </c>
    </row>
    <row r="2165" spans="1:20" x14ac:dyDescent="0.35">
      <c r="A2165" s="2" t="s">
        <v>4513</v>
      </c>
      <c r="B2165" s="2" t="s">
        <v>31</v>
      </c>
      <c r="C2165" s="2" t="s">
        <v>4514</v>
      </c>
      <c r="D2165" s="2" t="s">
        <v>26</v>
      </c>
      <c r="E2165" s="2" t="s">
        <v>19</v>
      </c>
      <c r="F2165" s="2" t="s">
        <v>39</v>
      </c>
      <c r="G2165" s="2" t="s">
        <v>146</v>
      </c>
      <c r="H2165" s="3">
        <v>45505.171527777777</v>
      </c>
      <c r="I2165" s="3">
        <v>45505.256944444445</v>
      </c>
      <c r="J2165" s="2">
        <v>69</v>
      </c>
      <c r="K2165" s="2">
        <v>123</v>
      </c>
      <c r="L2165" s="2">
        <v>1</v>
      </c>
      <c r="M2165" s="2" t="s">
        <v>29</v>
      </c>
      <c r="N2165" s="2">
        <v>7</v>
      </c>
      <c r="O2165" s="2">
        <v>417.4</v>
      </c>
      <c r="P2165" s="2">
        <f t="shared" si="165"/>
        <v>54</v>
      </c>
      <c r="Q2165" s="4">
        <f t="shared" si="166"/>
        <v>0.56097560975609762</v>
      </c>
      <c r="R2165" s="2" t="str">
        <f t="shared" si="167"/>
        <v>Inefficient</v>
      </c>
      <c r="S2165" s="2" t="str">
        <f t="shared" si="168"/>
        <v>Very Long</v>
      </c>
      <c r="T2165" s="2" t="str">
        <f t="shared" si="169"/>
        <v>Major Delay</v>
      </c>
    </row>
    <row r="2166" spans="1:20" x14ac:dyDescent="0.35">
      <c r="A2166" s="2" t="s">
        <v>4515</v>
      </c>
      <c r="B2166" s="2" t="s">
        <v>31</v>
      </c>
      <c r="C2166" s="2" t="s">
        <v>4516</v>
      </c>
      <c r="D2166" s="2" t="s">
        <v>56</v>
      </c>
      <c r="E2166" s="2" t="s">
        <v>85</v>
      </c>
      <c r="F2166" s="2" t="s">
        <v>39</v>
      </c>
      <c r="G2166" s="2" t="s">
        <v>407</v>
      </c>
      <c r="H2166" s="3">
        <v>45567.260416666664</v>
      </c>
      <c r="I2166" s="3">
        <v>45567.311111111114</v>
      </c>
      <c r="J2166" s="2">
        <v>64</v>
      </c>
      <c r="K2166" s="2">
        <v>73</v>
      </c>
      <c r="L2166" s="2">
        <v>1</v>
      </c>
      <c r="M2166" s="2" t="s">
        <v>41</v>
      </c>
      <c r="N2166" s="2">
        <v>10</v>
      </c>
      <c r="O2166" s="2">
        <v>141.22</v>
      </c>
      <c r="P2166" s="2">
        <f t="shared" si="165"/>
        <v>9</v>
      </c>
      <c r="Q2166" s="4">
        <f t="shared" si="166"/>
        <v>0.87671232876712324</v>
      </c>
      <c r="R2166" s="2" t="str">
        <f t="shared" si="167"/>
        <v>Inefficient</v>
      </c>
      <c r="S2166" s="2" t="str">
        <f t="shared" si="168"/>
        <v>Long</v>
      </c>
      <c r="T2166" s="2" t="str">
        <f t="shared" si="169"/>
        <v>Minor Delay</v>
      </c>
    </row>
    <row r="2167" spans="1:20" x14ac:dyDescent="0.35">
      <c r="A2167" s="2" t="s">
        <v>4517</v>
      </c>
      <c r="B2167" s="2" t="s">
        <v>51</v>
      </c>
      <c r="C2167" s="2" t="s">
        <v>4518</v>
      </c>
      <c r="D2167" s="2" t="s">
        <v>18</v>
      </c>
      <c r="E2167" s="2" t="s">
        <v>85</v>
      </c>
      <c r="F2167" s="2" t="s">
        <v>27</v>
      </c>
      <c r="G2167" s="2" t="s">
        <v>152</v>
      </c>
      <c r="H2167" s="3">
        <v>45464.364583333336</v>
      </c>
      <c r="I2167" s="3">
        <v>45464.536111111112</v>
      </c>
      <c r="J2167" s="2">
        <v>189</v>
      </c>
      <c r="K2167" s="2">
        <v>247</v>
      </c>
      <c r="L2167" s="2">
        <v>1</v>
      </c>
      <c r="M2167" s="2" t="s">
        <v>22</v>
      </c>
      <c r="N2167" s="2">
        <v>4</v>
      </c>
      <c r="O2167" s="2">
        <v>153.11000000000001</v>
      </c>
      <c r="P2167" s="2">
        <f t="shared" si="165"/>
        <v>58</v>
      </c>
      <c r="Q2167" s="4">
        <f t="shared" si="166"/>
        <v>0.76518218623481782</v>
      </c>
      <c r="R2167" s="2" t="str">
        <f t="shared" si="167"/>
        <v>Inefficient</v>
      </c>
      <c r="S2167" s="2" t="str">
        <f t="shared" si="168"/>
        <v>Very Long</v>
      </c>
      <c r="T2167" s="2" t="str">
        <f t="shared" si="169"/>
        <v>Major Delay</v>
      </c>
    </row>
    <row r="2168" spans="1:20" x14ac:dyDescent="0.35">
      <c r="A2168" s="2" t="s">
        <v>4519</v>
      </c>
      <c r="B2168" s="2" t="s">
        <v>16</v>
      </c>
      <c r="C2168" s="2" t="s">
        <v>4520</v>
      </c>
      <c r="D2168" s="2" t="s">
        <v>56</v>
      </c>
      <c r="E2168" s="2" t="s">
        <v>38</v>
      </c>
      <c r="F2168" s="2" t="s">
        <v>20</v>
      </c>
      <c r="G2168" s="2" t="s">
        <v>237</v>
      </c>
      <c r="H2168" s="3">
        <v>45582.955555555556</v>
      </c>
      <c r="I2168" s="3">
        <v>45583.056250000001</v>
      </c>
      <c r="J2168" s="2">
        <v>99</v>
      </c>
      <c r="K2168" s="2">
        <v>145</v>
      </c>
      <c r="L2168" s="2">
        <v>1</v>
      </c>
      <c r="M2168" s="2" t="s">
        <v>41</v>
      </c>
      <c r="N2168" s="2">
        <v>5</v>
      </c>
      <c r="O2168" s="2">
        <v>385.66</v>
      </c>
      <c r="P2168" s="2">
        <f t="shared" si="165"/>
        <v>46</v>
      </c>
      <c r="Q2168" s="4">
        <f t="shared" si="166"/>
        <v>0.6827586206896552</v>
      </c>
      <c r="R2168" s="2" t="str">
        <f t="shared" si="167"/>
        <v>Inefficient</v>
      </c>
      <c r="S2168" s="2" t="str">
        <f t="shared" si="168"/>
        <v>Very Long</v>
      </c>
      <c r="T2168" s="2" t="str">
        <f t="shared" si="169"/>
        <v>Major Delay</v>
      </c>
    </row>
    <row r="2169" spans="1:20" x14ac:dyDescent="0.35">
      <c r="A2169" s="2" t="s">
        <v>4521</v>
      </c>
      <c r="B2169" s="2" t="s">
        <v>63</v>
      </c>
      <c r="C2169" s="2" t="s">
        <v>4522</v>
      </c>
      <c r="D2169" s="2" t="s">
        <v>48</v>
      </c>
      <c r="E2169" s="2" t="s">
        <v>85</v>
      </c>
      <c r="F2169" s="2" t="s">
        <v>39</v>
      </c>
      <c r="G2169" s="2" t="s">
        <v>204</v>
      </c>
      <c r="H2169" s="3">
        <v>45647.071527777778</v>
      </c>
      <c r="I2169" s="3">
        <v>45647.272222222222</v>
      </c>
      <c r="J2169" s="2">
        <v>198</v>
      </c>
      <c r="K2169" s="2">
        <v>289</v>
      </c>
      <c r="L2169" s="2">
        <v>1</v>
      </c>
      <c r="M2169" s="2" t="s">
        <v>22</v>
      </c>
      <c r="N2169" s="2">
        <v>9</v>
      </c>
      <c r="O2169" s="2">
        <v>282.81</v>
      </c>
      <c r="P2169" s="2">
        <f t="shared" si="165"/>
        <v>91</v>
      </c>
      <c r="Q2169" s="4">
        <f t="shared" si="166"/>
        <v>0.68512110726643594</v>
      </c>
      <c r="R2169" s="2" t="str">
        <f t="shared" si="167"/>
        <v>Inefficient</v>
      </c>
      <c r="S2169" s="2" t="str">
        <f t="shared" si="168"/>
        <v>Very Long</v>
      </c>
      <c r="T2169" s="2" t="str">
        <f t="shared" si="169"/>
        <v>Major Delay</v>
      </c>
    </row>
    <row r="2170" spans="1:20" x14ac:dyDescent="0.35">
      <c r="A2170" s="2" t="s">
        <v>4523</v>
      </c>
      <c r="B2170" s="2" t="s">
        <v>51</v>
      </c>
      <c r="C2170" s="2" t="s">
        <v>4524</v>
      </c>
      <c r="D2170" s="2" t="s">
        <v>56</v>
      </c>
      <c r="E2170" s="2" t="s">
        <v>33</v>
      </c>
      <c r="F2170" s="2" t="s">
        <v>27</v>
      </c>
      <c r="G2170" s="2" t="s">
        <v>691</v>
      </c>
      <c r="H2170" s="3">
        <v>45539.511805555558</v>
      </c>
      <c r="I2170" s="3">
        <v>45539.654861111114</v>
      </c>
      <c r="J2170" s="2">
        <v>143</v>
      </c>
      <c r="K2170" s="2">
        <v>206</v>
      </c>
      <c r="L2170" s="2">
        <v>1</v>
      </c>
      <c r="M2170" s="2" t="s">
        <v>22</v>
      </c>
      <c r="N2170" s="2">
        <v>7</v>
      </c>
      <c r="O2170" s="2">
        <v>322.08999999999997</v>
      </c>
      <c r="P2170" s="2">
        <f t="shared" si="165"/>
        <v>63</v>
      </c>
      <c r="Q2170" s="4">
        <f t="shared" si="166"/>
        <v>0.69417475728155342</v>
      </c>
      <c r="R2170" s="2" t="str">
        <f t="shared" si="167"/>
        <v>Inefficient</v>
      </c>
      <c r="S2170" s="2" t="str">
        <f t="shared" si="168"/>
        <v>Very Long</v>
      </c>
      <c r="T2170" s="2" t="str">
        <f t="shared" si="169"/>
        <v>Major Delay</v>
      </c>
    </row>
    <row r="2171" spans="1:20" x14ac:dyDescent="0.35">
      <c r="A2171" s="2" t="s">
        <v>4525</v>
      </c>
      <c r="B2171" s="2" t="s">
        <v>24</v>
      </c>
      <c r="C2171" s="2" t="s">
        <v>4526</v>
      </c>
      <c r="D2171" s="2" t="s">
        <v>44</v>
      </c>
      <c r="E2171" s="2" t="s">
        <v>85</v>
      </c>
      <c r="F2171" s="2" t="s">
        <v>34</v>
      </c>
      <c r="G2171" s="2" t="s">
        <v>240</v>
      </c>
      <c r="H2171" s="3">
        <v>45325.914583333331</v>
      </c>
      <c r="I2171" s="3">
        <v>45326.061805555553</v>
      </c>
      <c r="J2171" s="2">
        <v>172</v>
      </c>
      <c r="K2171" s="2">
        <v>212</v>
      </c>
      <c r="L2171" s="2">
        <v>1</v>
      </c>
      <c r="M2171" s="2" t="s">
        <v>22</v>
      </c>
      <c r="N2171" s="2">
        <v>10</v>
      </c>
      <c r="O2171" s="2">
        <v>246.27</v>
      </c>
      <c r="P2171" s="2">
        <f t="shared" si="165"/>
        <v>40</v>
      </c>
      <c r="Q2171" s="4">
        <f t="shared" si="166"/>
        <v>0.81132075471698117</v>
      </c>
      <c r="R2171" s="2" t="str">
        <f t="shared" si="167"/>
        <v>Inefficient</v>
      </c>
      <c r="S2171" s="2" t="str">
        <f t="shared" si="168"/>
        <v>Very Long</v>
      </c>
      <c r="T2171" s="2" t="str">
        <f t="shared" si="169"/>
        <v>Major Delay</v>
      </c>
    </row>
    <row r="2172" spans="1:20" x14ac:dyDescent="0.35">
      <c r="A2172" s="2" t="s">
        <v>4527</v>
      </c>
      <c r="B2172" s="2" t="s">
        <v>24</v>
      </c>
      <c r="C2172" s="2" t="s">
        <v>4528</v>
      </c>
      <c r="D2172" s="2" t="s">
        <v>48</v>
      </c>
      <c r="E2172" s="2" t="s">
        <v>38</v>
      </c>
      <c r="F2172" s="2" t="s">
        <v>20</v>
      </c>
      <c r="G2172" s="2" t="s">
        <v>259</v>
      </c>
      <c r="H2172" s="3">
        <v>45545.788194444445</v>
      </c>
      <c r="I2172" s="3">
        <v>45545.909722222219</v>
      </c>
      <c r="J2172" s="2">
        <v>108</v>
      </c>
      <c r="K2172" s="2">
        <v>175</v>
      </c>
      <c r="L2172" s="2">
        <v>1</v>
      </c>
      <c r="M2172" s="2" t="s">
        <v>22</v>
      </c>
      <c r="N2172" s="2">
        <v>7</v>
      </c>
      <c r="O2172" s="2">
        <v>480.93</v>
      </c>
      <c r="P2172" s="2">
        <f t="shared" si="165"/>
        <v>67</v>
      </c>
      <c r="Q2172" s="4">
        <f t="shared" si="166"/>
        <v>0.6171428571428571</v>
      </c>
      <c r="R2172" s="2" t="str">
        <f t="shared" si="167"/>
        <v>Inefficient</v>
      </c>
      <c r="S2172" s="2" t="str">
        <f t="shared" si="168"/>
        <v>Very Long</v>
      </c>
      <c r="T2172" s="2" t="str">
        <f t="shared" si="169"/>
        <v>Major Delay</v>
      </c>
    </row>
    <row r="2173" spans="1:20" x14ac:dyDescent="0.35">
      <c r="A2173" s="2" t="s">
        <v>4529</v>
      </c>
      <c r="B2173" s="2" t="s">
        <v>31</v>
      </c>
      <c r="C2173" s="2" t="s">
        <v>4530</v>
      </c>
      <c r="D2173" s="2" t="s">
        <v>56</v>
      </c>
      <c r="E2173" s="2" t="s">
        <v>33</v>
      </c>
      <c r="F2173" s="2" t="s">
        <v>57</v>
      </c>
      <c r="G2173" s="2" t="s">
        <v>647</v>
      </c>
      <c r="H2173" s="3">
        <v>45597.797222222223</v>
      </c>
      <c r="I2173" s="3">
        <v>45597.99722222222</v>
      </c>
      <c r="J2173" s="2">
        <v>238</v>
      </c>
      <c r="K2173" s="2">
        <v>288</v>
      </c>
      <c r="L2173" s="2">
        <v>1</v>
      </c>
      <c r="M2173" s="2" t="s">
        <v>29</v>
      </c>
      <c r="N2173" s="2">
        <v>10</v>
      </c>
      <c r="O2173" s="2">
        <v>267.60000000000002</v>
      </c>
      <c r="P2173" s="2">
        <f t="shared" si="165"/>
        <v>50</v>
      </c>
      <c r="Q2173" s="4">
        <f t="shared" si="166"/>
        <v>0.82638888888888884</v>
      </c>
      <c r="R2173" s="2" t="str">
        <f t="shared" si="167"/>
        <v>Inefficient</v>
      </c>
      <c r="S2173" s="2" t="str">
        <f t="shared" si="168"/>
        <v>Very Long</v>
      </c>
      <c r="T2173" s="2" t="str">
        <f t="shared" si="169"/>
        <v>Major Delay</v>
      </c>
    </row>
    <row r="2174" spans="1:20" x14ac:dyDescent="0.35">
      <c r="A2174" s="2" t="s">
        <v>4531</v>
      </c>
      <c r="B2174" s="2" t="s">
        <v>31</v>
      </c>
      <c r="C2174" s="2" t="s">
        <v>4532</v>
      </c>
      <c r="D2174" s="2" t="s">
        <v>18</v>
      </c>
      <c r="E2174" s="2" t="s">
        <v>38</v>
      </c>
      <c r="F2174" s="2" t="s">
        <v>57</v>
      </c>
      <c r="G2174" s="2" t="s">
        <v>599</v>
      </c>
      <c r="H2174" s="3">
        <v>45488.26458333333</v>
      </c>
      <c r="I2174" s="3">
        <v>45488.419444444444</v>
      </c>
      <c r="J2174" s="2">
        <v>202</v>
      </c>
      <c r="K2174" s="2">
        <v>223</v>
      </c>
      <c r="L2174" s="2">
        <v>1</v>
      </c>
      <c r="M2174" s="2" t="s">
        <v>41</v>
      </c>
      <c r="N2174" s="2">
        <v>5</v>
      </c>
      <c r="O2174" s="2">
        <v>51.91</v>
      </c>
      <c r="P2174" s="2">
        <f t="shared" si="165"/>
        <v>21</v>
      </c>
      <c r="Q2174" s="4">
        <f t="shared" si="166"/>
        <v>0.905829596412556</v>
      </c>
      <c r="R2174" s="2" t="str">
        <f t="shared" si="167"/>
        <v>Inefficient</v>
      </c>
      <c r="S2174" s="2" t="str">
        <f t="shared" si="168"/>
        <v>Very Long</v>
      </c>
      <c r="T2174" s="2" t="str">
        <f t="shared" si="169"/>
        <v>Minor Delay</v>
      </c>
    </row>
    <row r="2175" spans="1:20" x14ac:dyDescent="0.35">
      <c r="A2175" s="2" t="s">
        <v>4533</v>
      </c>
      <c r="B2175" s="2" t="s">
        <v>51</v>
      </c>
      <c r="C2175" s="2" t="s">
        <v>4534</v>
      </c>
      <c r="D2175" s="2" t="s">
        <v>26</v>
      </c>
      <c r="E2175" s="2" t="s">
        <v>85</v>
      </c>
      <c r="F2175" s="2" t="s">
        <v>20</v>
      </c>
      <c r="G2175" s="2" t="s">
        <v>97</v>
      </c>
      <c r="H2175" s="3">
        <v>45522.956944444442</v>
      </c>
      <c r="I2175" s="3">
        <v>45523.165972222225</v>
      </c>
      <c r="J2175" s="2">
        <v>212</v>
      </c>
      <c r="K2175" s="2">
        <v>301</v>
      </c>
      <c r="L2175" s="2">
        <v>1</v>
      </c>
      <c r="M2175" s="2" t="s">
        <v>29</v>
      </c>
      <c r="N2175" s="2">
        <v>4</v>
      </c>
      <c r="O2175" s="2">
        <v>399.81</v>
      </c>
      <c r="P2175" s="2">
        <f t="shared" si="165"/>
        <v>89</v>
      </c>
      <c r="Q2175" s="4">
        <f t="shared" si="166"/>
        <v>0.70431893687707636</v>
      </c>
      <c r="R2175" s="2" t="str">
        <f t="shared" si="167"/>
        <v>Inefficient</v>
      </c>
      <c r="S2175" s="2" t="str">
        <f t="shared" si="168"/>
        <v>Very Long</v>
      </c>
      <c r="T2175" s="2" t="str">
        <f t="shared" si="169"/>
        <v>Major Delay</v>
      </c>
    </row>
    <row r="2176" spans="1:20" x14ac:dyDescent="0.35">
      <c r="A2176" s="2" t="s">
        <v>4535</v>
      </c>
      <c r="B2176" s="2" t="s">
        <v>51</v>
      </c>
      <c r="C2176" s="2" t="s">
        <v>4536</v>
      </c>
      <c r="D2176" s="2" t="s">
        <v>56</v>
      </c>
      <c r="E2176" s="2" t="s">
        <v>33</v>
      </c>
      <c r="F2176" s="2" t="s">
        <v>27</v>
      </c>
      <c r="G2176" s="2" t="s">
        <v>640</v>
      </c>
      <c r="H2176" s="3">
        <v>45480.217361111114</v>
      </c>
      <c r="I2176" s="3">
        <v>45480.317361111112</v>
      </c>
      <c r="J2176" s="2">
        <v>108</v>
      </c>
      <c r="K2176" s="2">
        <v>144</v>
      </c>
      <c r="L2176" s="2">
        <v>1</v>
      </c>
      <c r="M2176" s="2" t="s">
        <v>29</v>
      </c>
      <c r="N2176" s="2">
        <v>6</v>
      </c>
      <c r="O2176" s="2">
        <v>229.78</v>
      </c>
      <c r="P2176" s="2">
        <f t="shared" si="165"/>
        <v>36</v>
      </c>
      <c r="Q2176" s="4">
        <f t="shared" si="166"/>
        <v>0.75</v>
      </c>
      <c r="R2176" s="2" t="str">
        <f t="shared" si="167"/>
        <v>Inefficient</v>
      </c>
      <c r="S2176" s="2" t="str">
        <f t="shared" si="168"/>
        <v>Very Long</v>
      </c>
      <c r="T2176" s="2" t="str">
        <f t="shared" si="169"/>
        <v>Major Delay</v>
      </c>
    </row>
    <row r="2177" spans="1:20" x14ac:dyDescent="0.35">
      <c r="A2177" s="2" t="s">
        <v>4537</v>
      </c>
      <c r="B2177" s="2" t="s">
        <v>16</v>
      </c>
      <c r="C2177" s="2" t="s">
        <v>4538</v>
      </c>
      <c r="D2177" s="2" t="s">
        <v>56</v>
      </c>
      <c r="E2177" s="2" t="s">
        <v>33</v>
      </c>
      <c r="F2177" s="2" t="s">
        <v>57</v>
      </c>
      <c r="G2177" s="2" t="s">
        <v>311</v>
      </c>
      <c r="H2177" s="3">
        <v>45366.329861111109</v>
      </c>
      <c r="I2177" s="3">
        <v>45366.487500000003</v>
      </c>
      <c r="J2177" s="2">
        <v>186</v>
      </c>
      <c r="K2177" s="2">
        <v>227</v>
      </c>
      <c r="L2177" s="2">
        <v>1</v>
      </c>
      <c r="M2177" s="2" t="s">
        <v>22</v>
      </c>
      <c r="N2177" s="2">
        <v>1</v>
      </c>
      <c r="O2177" s="2">
        <v>272.5</v>
      </c>
      <c r="P2177" s="2">
        <f t="shared" si="165"/>
        <v>41</v>
      </c>
      <c r="Q2177" s="4">
        <f t="shared" si="166"/>
        <v>0.81938325991189431</v>
      </c>
      <c r="R2177" s="2" t="str">
        <f t="shared" si="167"/>
        <v>Inefficient</v>
      </c>
      <c r="S2177" s="2" t="str">
        <f t="shared" si="168"/>
        <v>Very Long</v>
      </c>
      <c r="T2177" s="2" t="str">
        <f t="shared" si="169"/>
        <v>Major Delay</v>
      </c>
    </row>
    <row r="2178" spans="1:20" x14ac:dyDescent="0.35">
      <c r="A2178" s="2" t="s">
        <v>4539</v>
      </c>
      <c r="B2178" s="2" t="s">
        <v>63</v>
      </c>
      <c r="C2178" s="2" t="s">
        <v>4540</v>
      </c>
      <c r="D2178" s="2" t="s">
        <v>18</v>
      </c>
      <c r="E2178" s="2" t="s">
        <v>85</v>
      </c>
      <c r="F2178" s="2" t="s">
        <v>39</v>
      </c>
      <c r="G2178" s="2" t="s">
        <v>114</v>
      </c>
      <c r="H2178" s="3">
        <v>45617.414583333331</v>
      </c>
      <c r="I2178" s="3">
        <v>45617.561805555553</v>
      </c>
      <c r="J2178" s="2">
        <v>110</v>
      </c>
      <c r="K2178" s="2">
        <v>212</v>
      </c>
      <c r="L2178" s="2">
        <v>1</v>
      </c>
      <c r="M2178" s="2" t="s">
        <v>22</v>
      </c>
      <c r="N2178" s="2">
        <v>10</v>
      </c>
      <c r="O2178" s="2">
        <v>123.52</v>
      </c>
      <c r="P2178" s="2">
        <f t="shared" si="165"/>
        <v>102</v>
      </c>
      <c r="Q2178" s="4">
        <f t="shared" si="166"/>
        <v>0.51886792452830188</v>
      </c>
      <c r="R2178" s="2" t="str">
        <f t="shared" si="167"/>
        <v>Inefficient</v>
      </c>
      <c r="S2178" s="2" t="str">
        <f t="shared" si="168"/>
        <v>Very Long</v>
      </c>
      <c r="T2178" s="2" t="str">
        <f t="shared" si="169"/>
        <v>Major Delay</v>
      </c>
    </row>
    <row r="2179" spans="1:20" x14ac:dyDescent="0.35">
      <c r="A2179" s="2" t="s">
        <v>4541</v>
      </c>
      <c r="B2179" s="2" t="s">
        <v>51</v>
      </c>
      <c r="C2179" s="2" t="s">
        <v>4542</v>
      </c>
      <c r="D2179" s="2" t="s">
        <v>44</v>
      </c>
      <c r="E2179" s="2" t="s">
        <v>85</v>
      </c>
      <c r="F2179" s="2" t="s">
        <v>57</v>
      </c>
      <c r="G2179" s="2" t="s">
        <v>140</v>
      </c>
      <c r="H2179" s="3">
        <v>45460.939583333333</v>
      </c>
      <c r="I2179" s="3">
        <v>45461.018055555556</v>
      </c>
      <c r="J2179" s="2">
        <v>113</v>
      </c>
      <c r="K2179" s="2">
        <v>113</v>
      </c>
      <c r="L2179" s="2">
        <v>0</v>
      </c>
      <c r="M2179" s="2" t="s">
        <v>29</v>
      </c>
      <c r="N2179" s="2">
        <v>3</v>
      </c>
      <c r="O2179" s="2">
        <v>327.27999999999997</v>
      </c>
      <c r="P2179" s="2">
        <f t="shared" ref="P2179:P2242" si="170">K2179-J2179</f>
        <v>0</v>
      </c>
      <c r="Q2179" s="4">
        <f t="shared" ref="Q2179:Q2242" si="171">J2179/K2179</f>
        <v>1</v>
      </c>
      <c r="R2179" s="2" t="str">
        <f t="shared" ref="R2179:R2242" si="172">IF(Q2179&gt;1,"Efficient",
IF(Q2179=1,"On Target","Inefficient"))</f>
        <v>On Target</v>
      </c>
      <c r="S2179" s="2" t="str">
        <f t="shared" ref="S2179:S2242" si="173">IF(K2179&lt;30,"Short",
IF(K2179&lt;60,"Medium",
IF(K2179&lt;120,"Long","Very Long")))</f>
        <v>Long</v>
      </c>
      <c r="T2179" s="2" t="str">
        <f t="shared" ref="T2179:T2242" si="174">IF(K2179&lt;=J2179,"On Time",
IF(K2179-J2179&lt;=30,"Minor Delay","Major Delay"))</f>
        <v>On Time</v>
      </c>
    </row>
    <row r="2180" spans="1:20" x14ac:dyDescent="0.35">
      <c r="A2180" s="2" t="s">
        <v>4543</v>
      </c>
      <c r="B2180" s="2" t="s">
        <v>63</v>
      </c>
      <c r="C2180" s="2" t="s">
        <v>4544</v>
      </c>
      <c r="D2180" s="2" t="s">
        <v>56</v>
      </c>
      <c r="E2180" s="2" t="s">
        <v>19</v>
      </c>
      <c r="F2180" s="2" t="s">
        <v>20</v>
      </c>
      <c r="G2180" s="2" t="s">
        <v>462</v>
      </c>
      <c r="H2180" s="3">
        <v>45302.103472222225</v>
      </c>
      <c r="I2180" s="3">
        <v>45302.272916666669</v>
      </c>
      <c r="J2180" s="2">
        <v>154</v>
      </c>
      <c r="K2180" s="2">
        <v>244</v>
      </c>
      <c r="L2180" s="2">
        <v>1</v>
      </c>
      <c r="M2180" s="2" t="s">
        <v>22</v>
      </c>
      <c r="N2180" s="2">
        <v>6</v>
      </c>
      <c r="O2180" s="2">
        <v>139.1</v>
      </c>
      <c r="P2180" s="2">
        <f t="shared" si="170"/>
        <v>90</v>
      </c>
      <c r="Q2180" s="4">
        <f t="shared" si="171"/>
        <v>0.63114754098360659</v>
      </c>
      <c r="R2180" s="2" t="str">
        <f t="shared" si="172"/>
        <v>Inefficient</v>
      </c>
      <c r="S2180" s="2" t="str">
        <f t="shared" si="173"/>
        <v>Very Long</v>
      </c>
      <c r="T2180" s="2" t="str">
        <f t="shared" si="174"/>
        <v>Major Delay</v>
      </c>
    </row>
    <row r="2181" spans="1:20" x14ac:dyDescent="0.35">
      <c r="A2181" s="2" t="s">
        <v>4545</v>
      </c>
      <c r="B2181" s="2" t="s">
        <v>24</v>
      </c>
      <c r="C2181" s="2" t="s">
        <v>4546</v>
      </c>
      <c r="D2181" s="2" t="s">
        <v>44</v>
      </c>
      <c r="E2181" s="2" t="s">
        <v>38</v>
      </c>
      <c r="F2181" s="2" t="s">
        <v>39</v>
      </c>
      <c r="G2181" s="2" t="s">
        <v>129</v>
      </c>
      <c r="H2181" s="3">
        <v>45642.322222222225</v>
      </c>
      <c r="I2181" s="3">
        <v>45642.435416666667</v>
      </c>
      <c r="J2181" s="2">
        <v>102</v>
      </c>
      <c r="K2181" s="2">
        <v>163</v>
      </c>
      <c r="L2181" s="2">
        <v>1</v>
      </c>
      <c r="M2181" s="2" t="s">
        <v>22</v>
      </c>
      <c r="N2181" s="2">
        <v>9</v>
      </c>
      <c r="O2181" s="2">
        <v>231.62</v>
      </c>
      <c r="P2181" s="2">
        <f t="shared" si="170"/>
        <v>61</v>
      </c>
      <c r="Q2181" s="4">
        <f t="shared" si="171"/>
        <v>0.62576687116564422</v>
      </c>
      <c r="R2181" s="2" t="str">
        <f t="shared" si="172"/>
        <v>Inefficient</v>
      </c>
      <c r="S2181" s="2" t="str">
        <f t="shared" si="173"/>
        <v>Very Long</v>
      </c>
      <c r="T2181" s="2" t="str">
        <f t="shared" si="174"/>
        <v>Major Delay</v>
      </c>
    </row>
    <row r="2182" spans="1:20" x14ac:dyDescent="0.35">
      <c r="A2182" s="2" t="s">
        <v>4547</v>
      </c>
      <c r="B2182" s="2" t="s">
        <v>16</v>
      </c>
      <c r="C2182" s="2" t="s">
        <v>4548</v>
      </c>
      <c r="D2182" s="2" t="s">
        <v>44</v>
      </c>
      <c r="E2182" s="2" t="s">
        <v>19</v>
      </c>
      <c r="F2182" s="2" t="s">
        <v>39</v>
      </c>
      <c r="G2182" s="2" t="s">
        <v>311</v>
      </c>
      <c r="H2182" s="3">
        <v>45321.06527777778</v>
      </c>
      <c r="I2182" s="3">
        <v>45321.155555555553</v>
      </c>
      <c r="J2182" s="2">
        <v>123</v>
      </c>
      <c r="K2182" s="2">
        <v>130</v>
      </c>
      <c r="L2182" s="2">
        <v>1</v>
      </c>
      <c r="M2182" s="2" t="s">
        <v>29</v>
      </c>
      <c r="N2182" s="2">
        <v>8</v>
      </c>
      <c r="O2182" s="2">
        <v>355.66</v>
      </c>
      <c r="P2182" s="2">
        <f t="shared" si="170"/>
        <v>7</v>
      </c>
      <c r="Q2182" s="4">
        <f t="shared" si="171"/>
        <v>0.94615384615384612</v>
      </c>
      <c r="R2182" s="2" t="str">
        <f t="shared" si="172"/>
        <v>Inefficient</v>
      </c>
      <c r="S2182" s="2" t="str">
        <f t="shared" si="173"/>
        <v>Very Long</v>
      </c>
      <c r="T2182" s="2" t="str">
        <f t="shared" si="174"/>
        <v>Minor Delay</v>
      </c>
    </row>
    <row r="2183" spans="1:20" x14ac:dyDescent="0.35">
      <c r="A2183" s="2" t="s">
        <v>4549</v>
      </c>
      <c r="B2183" s="2" t="s">
        <v>24</v>
      </c>
      <c r="C2183" s="2" t="s">
        <v>4550</v>
      </c>
      <c r="D2183" s="2" t="s">
        <v>56</v>
      </c>
      <c r="E2183" s="2" t="s">
        <v>85</v>
      </c>
      <c r="F2183" s="2" t="s">
        <v>20</v>
      </c>
      <c r="G2183" s="2" t="s">
        <v>103</v>
      </c>
      <c r="H2183" s="3">
        <v>45373.018055555556</v>
      </c>
      <c r="I2183" s="3">
        <v>45373.09652777778</v>
      </c>
      <c r="J2183" s="2">
        <v>32</v>
      </c>
      <c r="K2183" s="2">
        <v>113</v>
      </c>
      <c r="L2183" s="2">
        <v>1</v>
      </c>
      <c r="M2183" s="2" t="s">
        <v>22</v>
      </c>
      <c r="N2183" s="2">
        <v>6</v>
      </c>
      <c r="O2183" s="2">
        <v>70.22</v>
      </c>
      <c r="P2183" s="2">
        <f t="shared" si="170"/>
        <v>81</v>
      </c>
      <c r="Q2183" s="4">
        <f t="shared" si="171"/>
        <v>0.2831858407079646</v>
      </c>
      <c r="R2183" s="2" t="str">
        <f t="shared" si="172"/>
        <v>Inefficient</v>
      </c>
      <c r="S2183" s="2" t="str">
        <f t="shared" si="173"/>
        <v>Long</v>
      </c>
      <c r="T2183" s="2" t="str">
        <f t="shared" si="174"/>
        <v>Major Delay</v>
      </c>
    </row>
    <row r="2184" spans="1:20" x14ac:dyDescent="0.35">
      <c r="A2184" s="2" t="s">
        <v>4551</v>
      </c>
      <c r="B2184" s="2" t="s">
        <v>31</v>
      </c>
      <c r="C2184" s="2" t="s">
        <v>4552</v>
      </c>
      <c r="D2184" s="2" t="s">
        <v>48</v>
      </c>
      <c r="E2184" s="2" t="s">
        <v>38</v>
      </c>
      <c r="F2184" s="2" t="s">
        <v>39</v>
      </c>
      <c r="G2184" s="2" t="s">
        <v>167</v>
      </c>
      <c r="H2184" s="3">
        <v>45479.723611111112</v>
      </c>
      <c r="I2184" s="3">
        <v>45479.879861111112</v>
      </c>
      <c r="J2184" s="2">
        <v>202</v>
      </c>
      <c r="K2184" s="2">
        <v>225</v>
      </c>
      <c r="L2184" s="2">
        <v>1</v>
      </c>
      <c r="M2184" s="2" t="s">
        <v>29</v>
      </c>
      <c r="N2184" s="2">
        <v>9</v>
      </c>
      <c r="O2184" s="2">
        <v>74.88</v>
      </c>
      <c r="P2184" s="2">
        <f t="shared" si="170"/>
        <v>23</v>
      </c>
      <c r="Q2184" s="4">
        <f t="shared" si="171"/>
        <v>0.89777777777777779</v>
      </c>
      <c r="R2184" s="2" t="str">
        <f t="shared" si="172"/>
        <v>Inefficient</v>
      </c>
      <c r="S2184" s="2" t="str">
        <f t="shared" si="173"/>
        <v>Very Long</v>
      </c>
      <c r="T2184" s="2" t="str">
        <f t="shared" si="174"/>
        <v>Minor Delay</v>
      </c>
    </row>
    <row r="2185" spans="1:20" x14ac:dyDescent="0.35">
      <c r="A2185" s="2" t="s">
        <v>4553</v>
      </c>
      <c r="B2185" s="2" t="s">
        <v>31</v>
      </c>
      <c r="C2185" s="2" t="s">
        <v>4554</v>
      </c>
      <c r="D2185" s="2" t="s">
        <v>44</v>
      </c>
      <c r="E2185" s="2" t="s">
        <v>85</v>
      </c>
      <c r="F2185" s="2" t="s">
        <v>57</v>
      </c>
      <c r="G2185" s="2" t="s">
        <v>140</v>
      </c>
      <c r="H2185" s="3">
        <v>45512.227083333331</v>
      </c>
      <c r="I2185" s="3">
        <v>45512.467361111114</v>
      </c>
      <c r="J2185" s="2">
        <v>234</v>
      </c>
      <c r="K2185" s="2">
        <v>346</v>
      </c>
      <c r="L2185" s="2">
        <v>1</v>
      </c>
      <c r="M2185" s="2" t="s">
        <v>29</v>
      </c>
      <c r="N2185" s="2">
        <v>4</v>
      </c>
      <c r="O2185" s="2">
        <v>478.75</v>
      </c>
      <c r="P2185" s="2">
        <f t="shared" si="170"/>
        <v>112</v>
      </c>
      <c r="Q2185" s="4">
        <f t="shared" si="171"/>
        <v>0.67630057803468213</v>
      </c>
      <c r="R2185" s="2" t="str">
        <f t="shared" si="172"/>
        <v>Inefficient</v>
      </c>
      <c r="S2185" s="2" t="str">
        <f t="shared" si="173"/>
        <v>Very Long</v>
      </c>
      <c r="T2185" s="2" t="str">
        <f t="shared" si="174"/>
        <v>Major Delay</v>
      </c>
    </row>
    <row r="2186" spans="1:20" x14ac:dyDescent="0.35">
      <c r="A2186" s="2" t="s">
        <v>4555</v>
      </c>
      <c r="B2186" s="2" t="s">
        <v>63</v>
      </c>
      <c r="C2186" s="2" t="s">
        <v>4556</v>
      </c>
      <c r="D2186" s="2" t="s">
        <v>48</v>
      </c>
      <c r="E2186" s="2" t="s">
        <v>38</v>
      </c>
      <c r="F2186" s="2" t="s">
        <v>57</v>
      </c>
      <c r="G2186" s="2" t="s">
        <v>916</v>
      </c>
      <c r="H2186" s="3">
        <v>45380.004166666666</v>
      </c>
      <c r="I2186" s="3">
        <v>45380.063888888886</v>
      </c>
      <c r="J2186" s="2">
        <v>91</v>
      </c>
      <c r="K2186" s="2">
        <v>86</v>
      </c>
      <c r="L2186" s="2">
        <v>0</v>
      </c>
      <c r="M2186" s="2" t="s">
        <v>22</v>
      </c>
      <c r="N2186" s="2">
        <v>10</v>
      </c>
      <c r="O2186" s="2">
        <v>373.45</v>
      </c>
      <c r="P2186" s="2">
        <f t="shared" si="170"/>
        <v>-5</v>
      </c>
      <c r="Q2186" s="4">
        <f t="shared" si="171"/>
        <v>1.058139534883721</v>
      </c>
      <c r="R2186" s="2" t="str">
        <f t="shared" si="172"/>
        <v>Efficient</v>
      </c>
      <c r="S2186" s="2" t="str">
        <f t="shared" si="173"/>
        <v>Long</v>
      </c>
      <c r="T2186" s="2" t="str">
        <f t="shared" si="174"/>
        <v>On Time</v>
      </c>
    </row>
    <row r="2187" spans="1:20" x14ac:dyDescent="0.35">
      <c r="A2187" s="2" t="s">
        <v>4557</v>
      </c>
      <c r="B2187" s="2" t="s">
        <v>31</v>
      </c>
      <c r="C2187" s="2" t="s">
        <v>4558</v>
      </c>
      <c r="D2187" s="2" t="s">
        <v>44</v>
      </c>
      <c r="E2187" s="2" t="s">
        <v>33</v>
      </c>
      <c r="F2187" s="2" t="s">
        <v>39</v>
      </c>
      <c r="G2187" s="2" t="s">
        <v>225</v>
      </c>
      <c r="H2187" s="3">
        <v>45598.311111111114</v>
      </c>
      <c r="I2187" s="3">
        <v>45598.470138888886</v>
      </c>
      <c r="J2187" s="2">
        <v>122</v>
      </c>
      <c r="K2187" s="2">
        <v>229</v>
      </c>
      <c r="L2187" s="2">
        <v>1</v>
      </c>
      <c r="M2187" s="2" t="s">
        <v>29</v>
      </c>
      <c r="N2187" s="2">
        <v>5</v>
      </c>
      <c r="O2187" s="2">
        <v>353.71</v>
      </c>
      <c r="P2187" s="2">
        <f t="shared" si="170"/>
        <v>107</v>
      </c>
      <c r="Q2187" s="4">
        <f t="shared" si="171"/>
        <v>0.53275109170305679</v>
      </c>
      <c r="R2187" s="2" t="str">
        <f t="shared" si="172"/>
        <v>Inefficient</v>
      </c>
      <c r="S2187" s="2" t="str">
        <f t="shared" si="173"/>
        <v>Very Long</v>
      </c>
      <c r="T2187" s="2" t="str">
        <f t="shared" si="174"/>
        <v>Major Delay</v>
      </c>
    </row>
    <row r="2188" spans="1:20" x14ac:dyDescent="0.35">
      <c r="A2188" s="2" t="s">
        <v>4559</v>
      </c>
      <c r="B2188" s="2" t="s">
        <v>31</v>
      </c>
      <c r="C2188" s="2" t="s">
        <v>4560</v>
      </c>
      <c r="D2188" s="2" t="s">
        <v>18</v>
      </c>
      <c r="E2188" s="2" t="s">
        <v>19</v>
      </c>
      <c r="F2188" s="2" t="s">
        <v>27</v>
      </c>
      <c r="G2188" s="2" t="s">
        <v>265</v>
      </c>
      <c r="H2188" s="3">
        <v>45521.142361111109</v>
      </c>
      <c r="I2188" s="3">
        <v>45521.181944444441</v>
      </c>
      <c r="J2188" s="2">
        <v>44</v>
      </c>
      <c r="K2188" s="2">
        <v>57</v>
      </c>
      <c r="L2188" s="2">
        <v>1</v>
      </c>
      <c r="M2188" s="2" t="s">
        <v>41</v>
      </c>
      <c r="N2188" s="2">
        <v>2</v>
      </c>
      <c r="O2188" s="2">
        <v>488.23</v>
      </c>
      <c r="P2188" s="2">
        <f t="shared" si="170"/>
        <v>13</v>
      </c>
      <c r="Q2188" s="4">
        <f t="shared" si="171"/>
        <v>0.77192982456140347</v>
      </c>
      <c r="R2188" s="2" t="str">
        <f t="shared" si="172"/>
        <v>Inefficient</v>
      </c>
      <c r="S2188" s="2" t="str">
        <f t="shared" si="173"/>
        <v>Medium</v>
      </c>
      <c r="T2188" s="2" t="str">
        <f t="shared" si="174"/>
        <v>Minor Delay</v>
      </c>
    </row>
    <row r="2189" spans="1:20" x14ac:dyDescent="0.35">
      <c r="A2189" s="2" t="s">
        <v>4561</v>
      </c>
      <c r="B2189" s="2" t="s">
        <v>51</v>
      </c>
      <c r="C2189" s="2" t="s">
        <v>4562</v>
      </c>
      <c r="D2189" s="2" t="s">
        <v>56</v>
      </c>
      <c r="E2189" s="2" t="s">
        <v>19</v>
      </c>
      <c r="F2189" s="2" t="s">
        <v>20</v>
      </c>
      <c r="G2189" s="2" t="s">
        <v>338</v>
      </c>
      <c r="H2189" s="3">
        <v>45504.953472222223</v>
      </c>
      <c r="I2189" s="3">
        <v>45505.048611111109</v>
      </c>
      <c r="J2189" s="2">
        <v>78</v>
      </c>
      <c r="K2189" s="2">
        <v>137</v>
      </c>
      <c r="L2189" s="2">
        <v>1</v>
      </c>
      <c r="M2189" s="2" t="s">
        <v>22</v>
      </c>
      <c r="N2189" s="2">
        <v>5</v>
      </c>
      <c r="O2189" s="2">
        <v>126.59</v>
      </c>
      <c r="P2189" s="2">
        <f t="shared" si="170"/>
        <v>59</v>
      </c>
      <c r="Q2189" s="4">
        <f t="shared" si="171"/>
        <v>0.56934306569343063</v>
      </c>
      <c r="R2189" s="2" t="str">
        <f t="shared" si="172"/>
        <v>Inefficient</v>
      </c>
      <c r="S2189" s="2" t="str">
        <f t="shared" si="173"/>
        <v>Very Long</v>
      </c>
      <c r="T2189" s="2" t="str">
        <f t="shared" si="174"/>
        <v>Major Delay</v>
      </c>
    </row>
    <row r="2190" spans="1:20" x14ac:dyDescent="0.35">
      <c r="A2190" s="2" t="s">
        <v>4563</v>
      </c>
      <c r="B2190" s="2" t="s">
        <v>24</v>
      </c>
      <c r="C2190" s="2" t="s">
        <v>4564</v>
      </c>
      <c r="D2190" s="2" t="s">
        <v>44</v>
      </c>
      <c r="E2190" s="2" t="s">
        <v>19</v>
      </c>
      <c r="F2190" s="2" t="s">
        <v>57</v>
      </c>
      <c r="G2190" s="2" t="s">
        <v>213</v>
      </c>
      <c r="H2190" s="3">
        <v>45635.913194444445</v>
      </c>
      <c r="I2190" s="3">
        <v>45635.987500000003</v>
      </c>
      <c r="J2190" s="2">
        <v>92</v>
      </c>
      <c r="K2190" s="2">
        <v>107</v>
      </c>
      <c r="L2190" s="2">
        <v>1</v>
      </c>
      <c r="M2190" s="2" t="s">
        <v>22</v>
      </c>
      <c r="N2190" s="2">
        <v>10</v>
      </c>
      <c r="O2190" s="2">
        <v>481.89</v>
      </c>
      <c r="P2190" s="2">
        <f t="shared" si="170"/>
        <v>15</v>
      </c>
      <c r="Q2190" s="4">
        <f t="shared" si="171"/>
        <v>0.85981308411214952</v>
      </c>
      <c r="R2190" s="2" t="str">
        <f t="shared" si="172"/>
        <v>Inefficient</v>
      </c>
      <c r="S2190" s="2" t="str">
        <f t="shared" si="173"/>
        <v>Long</v>
      </c>
      <c r="T2190" s="2" t="str">
        <f t="shared" si="174"/>
        <v>Minor Delay</v>
      </c>
    </row>
    <row r="2191" spans="1:20" x14ac:dyDescent="0.35">
      <c r="A2191" s="2" t="s">
        <v>4565</v>
      </c>
      <c r="B2191" s="2" t="s">
        <v>16</v>
      </c>
      <c r="C2191" s="2" t="s">
        <v>4566</v>
      </c>
      <c r="D2191" s="2" t="s">
        <v>48</v>
      </c>
      <c r="E2191" s="2" t="s">
        <v>19</v>
      </c>
      <c r="F2191" s="2" t="s">
        <v>34</v>
      </c>
      <c r="G2191" s="2" t="s">
        <v>94</v>
      </c>
      <c r="H2191" s="3">
        <v>45347.444444444445</v>
      </c>
      <c r="I2191" s="3">
        <v>45347.541666666664</v>
      </c>
      <c r="J2191" s="2">
        <v>124</v>
      </c>
      <c r="K2191" s="2">
        <v>140</v>
      </c>
      <c r="L2191" s="2">
        <v>1</v>
      </c>
      <c r="M2191" s="2" t="s">
        <v>29</v>
      </c>
      <c r="N2191" s="2">
        <v>7</v>
      </c>
      <c r="O2191" s="2">
        <v>404.3</v>
      </c>
      <c r="P2191" s="2">
        <f t="shared" si="170"/>
        <v>16</v>
      </c>
      <c r="Q2191" s="4">
        <f t="shared" si="171"/>
        <v>0.88571428571428568</v>
      </c>
      <c r="R2191" s="2" t="str">
        <f t="shared" si="172"/>
        <v>Inefficient</v>
      </c>
      <c r="S2191" s="2" t="str">
        <f t="shared" si="173"/>
        <v>Very Long</v>
      </c>
      <c r="T2191" s="2" t="str">
        <f t="shared" si="174"/>
        <v>Minor Delay</v>
      </c>
    </row>
    <row r="2192" spans="1:20" x14ac:dyDescent="0.35">
      <c r="A2192" s="2" t="s">
        <v>4567</v>
      </c>
      <c r="B2192" s="2" t="s">
        <v>63</v>
      </c>
      <c r="C2192" s="2" t="s">
        <v>4568</v>
      </c>
      <c r="D2192" s="2" t="s">
        <v>18</v>
      </c>
      <c r="E2192" s="2" t="s">
        <v>33</v>
      </c>
      <c r="F2192" s="2" t="s">
        <v>57</v>
      </c>
      <c r="G2192" s="2" t="s">
        <v>155</v>
      </c>
      <c r="H2192" s="3">
        <v>45604.561805555553</v>
      </c>
      <c r="I2192" s="3">
        <v>45604.618750000001</v>
      </c>
      <c r="J2192" s="2">
        <v>80</v>
      </c>
      <c r="K2192" s="2">
        <v>82</v>
      </c>
      <c r="L2192" s="2">
        <v>1</v>
      </c>
      <c r="M2192" s="2" t="s">
        <v>29</v>
      </c>
      <c r="N2192" s="2">
        <v>6</v>
      </c>
      <c r="O2192" s="2">
        <v>118.73</v>
      </c>
      <c r="P2192" s="2">
        <f t="shared" si="170"/>
        <v>2</v>
      </c>
      <c r="Q2192" s="4">
        <f t="shared" si="171"/>
        <v>0.97560975609756095</v>
      </c>
      <c r="R2192" s="2" t="str">
        <f t="shared" si="172"/>
        <v>Inefficient</v>
      </c>
      <c r="S2192" s="2" t="str">
        <f t="shared" si="173"/>
        <v>Long</v>
      </c>
      <c r="T2192" s="2" t="str">
        <f t="shared" si="174"/>
        <v>Minor Delay</v>
      </c>
    </row>
    <row r="2193" spans="1:20" x14ac:dyDescent="0.35">
      <c r="A2193" s="2" t="s">
        <v>4569</v>
      </c>
      <c r="B2193" s="2" t="s">
        <v>16</v>
      </c>
      <c r="C2193" s="2" t="s">
        <v>4570</v>
      </c>
      <c r="D2193" s="2" t="s">
        <v>56</v>
      </c>
      <c r="E2193" s="2" t="s">
        <v>19</v>
      </c>
      <c r="F2193" s="2" t="s">
        <v>34</v>
      </c>
      <c r="G2193" s="2" t="s">
        <v>1172</v>
      </c>
      <c r="H2193" s="3">
        <v>45533.12222222222</v>
      </c>
      <c r="I2193" s="3">
        <v>45533.223611111112</v>
      </c>
      <c r="J2193" s="2">
        <v>144</v>
      </c>
      <c r="K2193" s="2">
        <v>146</v>
      </c>
      <c r="L2193" s="2">
        <v>1</v>
      </c>
      <c r="M2193" s="2" t="s">
        <v>29</v>
      </c>
      <c r="N2193" s="2">
        <v>5</v>
      </c>
      <c r="O2193" s="2">
        <v>401.69</v>
      </c>
      <c r="P2193" s="2">
        <f t="shared" si="170"/>
        <v>2</v>
      </c>
      <c r="Q2193" s="4">
        <f t="shared" si="171"/>
        <v>0.98630136986301364</v>
      </c>
      <c r="R2193" s="2" t="str">
        <f t="shared" si="172"/>
        <v>Inefficient</v>
      </c>
      <c r="S2193" s="2" t="str">
        <f t="shared" si="173"/>
        <v>Very Long</v>
      </c>
      <c r="T2193" s="2" t="str">
        <f t="shared" si="174"/>
        <v>Minor Delay</v>
      </c>
    </row>
    <row r="2194" spans="1:20" x14ac:dyDescent="0.35">
      <c r="A2194" s="2" t="s">
        <v>4571</v>
      </c>
      <c r="B2194" s="2" t="s">
        <v>31</v>
      </c>
      <c r="C2194" s="2" t="s">
        <v>4572</v>
      </c>
      <c r="D2194" s="2" t="s">
        <v>26</v>
      </c>
      <c r="E2194" s="2" t="s">
        <v>38</v>
      </c>
      <c r="F2194" s="2" t="s">
        <v>20</v>
      </c>
      <c r="G2194" s="2" t="s">
        <v>650</v>
      </c>
      <c r="H2194" s="3">
        <v>45651.670138888891</v>
      </c>
      <c r="I2194" s="3">
        <v>45651.73541666667</v>
      </c>
      <c r="J2194" s="2">
        <v>52</v>
      </c>
      <c r="K2194" s="2">
        <v>94</v>
      </c>
      <c r="L2194" s="2">
        <v>1</v>
      </c>
      <c r="M2194" s="2" t="s">
        <v>22</v>
      </c>
      <c r="N2194" s="2">
        <v>4</v>
      </c>
      <c r="O2194" s="2">
        <v>131.61000000000001</v>
      </c>
      <c r="P2194" s="2">
        <f t="shared" si="170"/>
        <v>42</v>
      </c>
      <c r="Q2194" s="4">
        <f t="shared" si="171"/>
        <v>0.55319148936170215</v>
      </c>
      <c r="R2194" s="2" t="str">
        <f t="shared" si="172"/>
        <v>Inefficient</v>
      </c>
      <c r="S2194" s="2" t="str">
        <f t="shared" si="173"/>
        <v>Long</v>
      </c>
      <c r="T2194" s="2" t="str">
        <f t="shared" si="174"/>
        <v>Major Delay</v>
      </c>
    </row>
    <row r="2195" spans="1:20" x14ac:dyDescent="0.35">
      <c r="A2195" s="2" t="s">
        <v>4573</v>
      </c>
      <c r="B2195" s="2" t="s">
        <v>51</v>
      </c>
      <c r="C2195" s="2" t="s">
        <v>4574</v>
      </c>
      <c r="D2195" s="2" t="s">
        <v>48</v>
      </c>
      <c r="E2195" s="2" t="s">
        <v>33</v>
      </c>
      <c r="F2195" s="2" t="s">
        <v>34</v>
      </c>
      <c r="G2195" s="2" t="s">
        <v>354</v>
      </c>
      <c r="H2195" s="3">
        <v>45652.369444444441</v>
      </c>
      <c r="I2195" s="3">
        <v>45652.59652777778</v>
      </c>
      <c r="J2195" s="2">
        <v>210</v>
      </c>
      <c r="K2195" s="2">
        <v>327</v>
      </c>
      <c r="L2195" s="2">
        <v>1</v>
      </c>
      <c r="M2195" s="2" t="s">
        <v>29</v>
      </c>
      <c r="N2195" s="2">
        <v>8</v>
      </c>
      <c r="O2195" s="2">
        <v>153.30000000000001</v>
      </c>
      <c r="P2195" s="2">
        <f t="shared" si="170"/>
        <v>117</v>
      </c>
      <c r="Q2195" s="4">
        <f t="shared" si="171"/>
        <v>0.64220183486238536</v>
      </c>
      <c r="R2195" s="2" t="str">
        <f t="shared" si="172"/>
        <v>Inefficient</v>
      </c>
      <c r="S2195" s="2" t="str">
        <f t="shared" si="173"/>
        <v>Very Long</v>
      </c>
      <c r="T2195" s="2" t="str">
        <f t="shared" si="174"/>
        <v>Major Delay</v>
      </c>
    </row>
    <row r="2196" spans="1:20" x14ac:dyDescent="0.35">
      <c r="A2196" s="2" t="s">
        <v>4575</v>
      </c>
      <c r="B2196" s="2" t="s">
        <v>63</v>
      </c>
      <c r="C2196" s="2" t="s">
        <v>4576</v>
      </c>
      <c r="D2196" s="2" t="s">
        <v>18</v>
      </c>
      <c r="E2196" s="2" t="s">
        <v>19</v>
      </c>
      <c r="F2196" s="2" t="s">
        <v>39</v>
      </c>
      <c r="G2196" s="2" t="s">
        <v>546</v>
      </c>
      <c r="H2196" s="3">
        <v>45548.461111111108</v>
      </c>
      <c r="I2196" s="3">
        <v>45548.64166666667</v>
      </c>
      <c r="J2196" s="2">
        <v>222</v>
      </c>
      <c r="K2196" s="2">
        <v>260</v>
      </c>
      <c r="L2196" s="2">
        <v>1</v>
      </c>
      <c r="M2196" s="2" t="s">
        <v>22</v>
      </c>
      <c r="N2196" s="2">
        <v>7</v>
      </c>
      <c r="O2196" s="2">
        <v>415.76</v>
      </c>
      <c r="P2196" s="2">
        <f t="shared" si="170"/>
        <v>38</v>
      </c>
      <c r="Q2196" s="4">
        <f t="shared" si="171"/>
        <v>0.85384615384615381</v>
      </c>
      <c r="R2196" s="2" t="str">
        <f t="shared" si="172"/>
        <v>Inefficient</v>
      </c>
      <c r="S2196" s="2" t="str">
        <f t="shared" si="173"/>
        <v>Very Long</v>
      </c>
      <c r="T2196" s="2" t="str">
        <f t="shared" si="174"/>
        <v>Major Delay</v>
      </c>
    </row>
    <row r="2197" spans="1:20" x14ac:dyDescent="0.35">
      <c r="A2197" s="2" t="s">
        <v>4577</v>
      </c>
      <c r="B2197" s="2" t="s">
        <v>31</v>
      </c>
      <c r="C2197" s="2" t="s">
        <v>4578</v>
      </c>
      <c r="D2197" s="2" t="s">
        <v>44</v>
      </c>
      <c r="E2197" s="2" t="s">
        <v>85</v>
      </c>
      <c r="F2197" s="2" t="s">
        <v>27</v>
      </c>
      <c r="G2197" s="2" t="s">
        <v>462</v>
      </c>
      <c r="H2197" s="3">
        <v>45339.784722222219</v>
      </c>
      <c r="I2197" s="3">
        <v>45339.827777777777</v>
      </c>
      <c r="J2197" s="2">
        <v>40</v>
      </c>
      <c r="K2197" s="2">
        <v>62</v>
      </c>
      <c r="L2197" s="2">
        <v>1</v>
      </c>
      <c r="M2197" s="2" t="s">
        <v>22</v>
      </c>
      <c r="N2197" s="2">
        <v>1</v>
      </c>
      <c r="O2197" s="2">
        <v>117.55</v>
      </c>
      <c r="P2197" s="2">
        <f t="shared" si="170"/>
        <v>22</v>
      </c>
      <c r="Q2197" s="4">
        <f t="shared" si="171"/>
        <v>0.64516129032258063</v>
      </c>
      <c r="R2197" s="2" t="str">
        <f t="shared" si="172"/>
        <v>Inefficient</v>
      </c>
      <c r="S2197" s="2" t="str">
        <f t="shared" si="173"/>
        <v>Long</v>
      </c>
      <c r="T2197" s="2" t="str">
        <f t="shared" si="174"/>
        <v>Minor Delay</v>
      </c>
    </row>
    <row r="2198" spans="1:20" x14ac:dyDescent="0.35">
      <c r="A2198" s="2" t="s">
        <v>4579</v>
      </c>
      <c r="B2198" s="2" t="s">
        <v>16</v>
      </c>
      <c r="C2198" s="2" t="s">
        <v>4580</v>
      </c>
      <c r="D2198" s="2" t="s">
        <v>56</v>
      </c>
      <c r="E2198" s="2" t="s">
        <v>38</v>
      </c>
      <c r="F2198" s="2" t="s">
        <v>57</v>
      </c>
      <c r="G2198" s="2" t="s">
        <v>359</v>
      </c>
      <c r="H2198" s="3">
        <v>45352.265972222223</v>
      </c>
      <c r="I2198" s="3">
        <v>45352.45416666667</v>
      </c>
      <c r="J2198" s="2">
        <v>194</v>
      </c>
      <c r="K2198" s="2">
        <v>271</v>
      </c>
      <c r="L2198" s="2">
        <v>1</v>
      </c>
      <c r="M2198" s="2" t="s">
        <v>29</v>
      </c>
      <c r="N2198" s="2">
        <v>2</v>
      </c>
      <c r="O2198" s="2">
        <v>107.72</v>
      </c>
      <c r="P2198" s="2">
        <f t="shared" si="170"/>
        <v>77</v>
      </c>
      <c r="Q2198" s="4">
        <f t="shared" si="171"/>
        <v>0.71586715867158668</v>
      </c>
      <c r="R2198" s="2" t="str">
        <f t="shared" si="172"/>
        <v>Inefficient</v>
      </c>
      <c r="S2198" s="2" t="str">
        <f t="shared" si="173"/>
        <v>Very Long</v>
      </c>
      <c r="T2198" s="2" t="str">
        <f t="shared" si="174"/>
        <v>Major Delay</v>
      </c>
    </row>
    <row r="2199" spans="1:20" x14ac:dyDescent="0.35">
      <c r="A2199" s="2" t="s">
        <v>4581</v>
      </c>
      <c r="B2199" s="2" t="s">
        <v>24</v>
      </c>
      <c r="C2199" s="2" t="s">
        <v>4582</v>
      </c>
      <c r="D2199" s="2" t="s">
        <v>56</v>
      </c>
      <c r="E2199" s="2" t="s">
        <v>33</v>
      </c>
      <c r="F2199" s="2" t="s">
        <v>57</v>
      </c>
      <c r="G2199" s="2" t="s">
        <v>45</v>
      </c>
      <c r="H2199" s="3">
        <v>45561.142361111109</v>
      </c>
      <c r="I2199" s="3">
        <v>45561.290972222225</v>
      </c>
      <c r="J2199" s="2">
        <v>104</v>
      </c>
      <c r="K2199" s="2">
        <v>214</v>
      </c>
      <c r="L2199" s="2">
        <v>1</v>
      </c>
      <c r="M2199" s="2" t="s">
        <v>41</v>
      </c>
      <c r="N2199" s="2">
        <v>8</v>
      </c>
      <c r="O2199" s="2">
        <v>230.21</v>
      </c>
      <c r="P2199" s="2">
        <f t="shared" si="170"/>
        <v>110</v>
      </c>
      <c r="Q2199" s="4">
        <f t="shared" si="171"/>
        <v>0.48598130841121495</v>
      </c>
      <c r="R2199" s="2" t="str">
        <f t="shared" si="172"/>
        <v>Inefficient</v>
      </c>
      <c r="S2199" s="2" t="str">
        <f t="shared" si="173"/>
        <v>Very Long</v>
      </c>
      <c r="T2199" s="2" t="str">
        <f t="shared" si="174"/>
        <v>Major Delay</v>
      </c>
    </row>
    <row r="2200" spans="1:20" x14ac:dyDescent="0.35">
      <c r="A2200" s="2" t="s">
        <v>4583</v>
      </c>
      <c r="B2200" s="2" t="s">
        <v>16</v>
      </c>
      <c r="C2200" s="2" t="s">
        <v>4584</v>
      </c>
      <c r="D2200" s="2" t="s">
        <v>26</v>
      </c>
      <c r="E2200" s="2" t="s">
        <v>33</v>
      </c>
      <c r="F2200" s="2" t="s">
        <v>57</v>
      </c>
      <c r="G2200" s="2" t="s">
        <v>45</v>
      </c>
      <c r="H2200" s="3">
        <v>45622.044444444444</v>
      </c>
      <c r="I2200" s="3">
        <v>45622.220833333333</v>
      </c>
      <c r="J2200" s="2">
        <v>153</v>
      </c>
      <c r="K2200" s="2">
        <v>254</v>
      </c>
      <c r="L2200" s="2">
        <v>1</v>
      </c>
      <c r="M2200" s="2" t="s">
        <v>22</v>
      </c>
      <c r="N2200" s="2">
        <v>7</v>
      </c>
      <c r="O2200" s="2">
        <v>117.54</v>
      </c>
      <c r="P2200" s="2">
        <f t="shared" si="170"/>
        <v>101</v>
      </c>
      <c r="Q2200" s="4">
        <f t="shared" si="171"/>
        <v>0.60236220472440949</v>
      </c>
      <c r="R2200" s="2" t="str">
        <f t="shared" si="172"/>
        <v>Inefficient</v>
      </c>
      <c r="S2200" s="2" t="str">
        <f t="shared" si="173"/>
        <v>Very Long</v>
      </c>
      <c r="T2200" s="2" t="str">
        <f t="shared" si="174"/>
        <v>Major Delay</v>
      </c>
    </row>
    <row r="2201" spans="1:20" x14ac:dyDescent="0.35">
      <c r="A2201" s="2" t="s">
        <v>4585</v>
      </c>
      <c r="B2201" s="2" t="s">
        <v>51</v>
      </c>
      <c r="C2201" s="2" t="s">
        <v>4586</v>
      </c>
      <c r="D2201" s="2" t="s">
        <v>48</v>
      </c>
      <c r="E2201" s="2" t="s">
        <v>19</v>
      </c>
      <c r="F2201" s="2" t="s">
        <v>20</v>
      </c>
      <c r="G2201" s="2" t="s">
        <v>188</v>
      </c>
      <c r="H2201" s="3">
        <v>45653.884027777778</v>
      </c>
      <c r="I2201" s="3">
        <v>45654.078472222223</v>
      </c>
      <c r="J2201" s="2">
        <v>218</v>
      </c>
      <c r="K2201" s="2">
        <v>280</v>
      </c>
      <c r="L2201" s="2">
        <v>1</v>
      </c>
      <c r="M2201" s="2" t="s">
        <v>41</v>
      </c>
      <c r="N2201" s="2">
        <v>8</v>
      </c>
      <c r="O2201" s="2">
        <v>487.94</v>
      </c>
      <c r="P2201" s="2">
        <f t="shared" si="170"/>
        <v>62</v>
      </c>
      <c r="Q2201" s="4">
        <f t="shared" si="171"/>
        <v>0.77857142857142858</v>
      </c>
      <c r="R2201" s="2" t="str">
        <f t="shared" si="172"/>
        <v>Inefficient</v>
      </c>
      <c r="S2201" s="2" t="str">
        <f t="shared" si="173"/>
        <v>Very Long</v>
      </c>
      <c r="T2201" s="2" t="str">
        <f t="shared" si="174"/>
        <v>Major Delay</v>
      </c>
    </row>
    <row r="2202" spans="1:20" x14ac:dyDescent="0.35">
      <c r="A2202" s="2" t="s">
        <v>4587</v>
      </c>
      <c r="B2202" s="2" t="s">
        <v>51</v>
      </c>
      <c r="C2202" s="2" t="s">
        <v>4588</v>
      </c>
      <c r="D2202" s="2" t="s">
        <v>48</v>
      </c>
      <c r="E2202" s="2" t="s">
        <v>19</v>
      </c>
      <c r="F2202" s="2" t="s">
        <v>57</v>
      </c>
      <c r="G2202" s="2" t="s">
        <v>91</v>
      </c>
      <c r="H2202" s="3">
        <v>45577.084722222222</v>
      </c>
      <c r="I2202" s="3">
        <v>45577.166666666664</v>
      </c>
      <c r="J2202" s="2">
        <v>46</v>
      </c>
      <c r="K2202" s="2">
        <v>118</v>
      </c>
      <c r="L2202" s="2">
        <v>1</v>
      </c>
      <c r="M2202" s="2" t="s">
        <v>29</v>
      </c>
      <c r="N2202" s="2">
        <v>1</v>
      </c>
      <c r="O2202" s="2">
        <v>445.83</v>
      </c>
      <c r="P2202" s="2">
        <f t="shared" si="170"/>
        <v>72</v>
      </c>
      <c r="Q2202" s="4">
        <f t="shared" si="171"/>
        <v>0.38983050847457629</v>
      </c>
      <c r="R2202" s="2" t="str">
        <f t="shared" si="172"/>
        <v>Inefficient</v>
      </c>
      <c r="S2202" s="2" t="str">
        <f t="shared" si="173"/>
        <v>Long</v>
      </c>
      <c r="T2202" s="2" t="str">
        <f t="shared" si="174"/>
        <v>Major Delay</v>
      </c>
    </row>
    <row r="2203" spans="1:20" x14ac:dyDescent="0.35">
      <c r="A2203" s="2" t="s">
        <v>4589</v>
      </c>
      <c r="B2203" s="2" t="s">
        <v>51</v>
      </c>
      <c r="C2203" s="2" t="s">
        <v>4590</v>
      </c>
      <c r="D2203" s="2" t="s">
        <v>48</v>
      </c>
      <c r="E2203" s="2" t="s">
        <v>19</v>
      </c>
      <c r="F2203" s="2" t="s">
        <v>20</v>
      </c>
      <c r="G2203" s="2" t="s">
        <v>299</v>
      </c>
      <c r="H2203" s="3">
        <v>45632.625694444447</v>
      </c>
      <c r="I2203" s="3">
        <v>45632.765277777777</v>
      </c>
      <c r="J2203" s="2">
        <v>193</v>
      </c>
      <c r="K2203" s="2">
        <v>201</v>
      </c>
      <c r="L2203" s="2">
        <v>1</v>
      </c>
      <c r="M2203" s="2" t="s">
        <v>22</v>
      </c>
      <c r="N2203" s="2">
        <v>2</v>
      </c>
      <c r="O2203" s="2">
        <v>69.92</v>
      </c>
      <c r="P2203" s="2">
        <f t="shared" si="170"/>
        <v>8</v>
      </c>
      <c r="Q2203" s="4">
        <f t="shared" si="171"/>
        <v>0.96019900497512434</v>
      </c>
      <c r="R2203" s="2" t="str">
        <f t="shared" si="172"/>
        <v>Inefficient</v>
      </c>
      <c r="S2203" s="2" t="str">
        <f t="shared" si="173"/>
        <v>Very Long</v>
      </c>
      <c r="T2203" s="2" t="str">
        <f t="shared" si="174"/>
        <v>Minor Delay</v>
      </c>
    </row>
    <row r="2204" spans="1:20" x14ac:dyDescent="0.35">
      <c r="A2204" s="2" t="s">
        <v>4591</v>
      </c>
      <c r="B2204" s="2" t="s">
        <v>63</v>
      </c>
      <c r="C2204" s="2" t="s">
        <v>4592</v>
      </c>
      <c r="D2204" s="2" t="s">
        <v>44</v>
      </c>
      <c r="E2204" s="2" t="s">
        <v>38</v>
      </c>
      <c r="F2204" s="2" t="s">
        <v>27</v>
      </c>
      <c r="G2204" s="2" t="s">
        <v>222</v>
      </c>
      <c r="H2204" s="3">
        <v>45512.551388888889</v>
      </c>
      <c r="I2204" s="3">
        <v>45512.624305555553</v>
      </c>
      <c r="J2204" s="2">
        <v>104</v>
      </c>
      <c r="K2204" s="2">
        <v>105</v>
      </c>
      <c r="L2204" s="2">
        <v>1</v>
      </c>
      <c r="M2204" s="2" t="s">
        <v>41</v>
      </c>
      <c r="N2204" s="2">
        <v>10</v>
      </c>
      <c r="O2204" s="2">
        <v>303.88</v>
      </c>
      <c r="P2204" s="2">
        <f t="shared" si="170"/>
        <v>1</v>
      </c>
      <c r="Q2204" s="4">
        <f t="shared" si="171"/>
        <v>0.99047619047619051</v>
      </c>
      <c r="R2204" s="2" t="str">
        <f t="shared" si="172"/>
        <v>Inefficient</v>
      </c>
      <c r="S2204" s="2" t="str">
        <f t="shared" si="173"/>
        <v>Long</v>
      </c>
      <c r="T2204" s="2" t="str">
        <f t="shared" si="174"/>
        <v>Minor Delay</v>
      </c>
    </row>
    <row r="2205" spans="1:20" x14ac:dyDescent="0.35">
      <c r="A2205" s="2" t="s">
        <v>4593</v>
      </c>
      <c r="B2205" s="2" t="s">
        <v>63</v>
      </c>
      <c r="C2205" s="2" t="s">
        <v>4594</v>
      </c>
      <c r="D2205" s="2" t="s">
        <v>18</v>
      </c>
      <c r="E2205" s="2" t="s">
        <v>19</v>
      </c>
      <c r="F2205" s="2" t="s">
        <v>20</v>
      </c>
      <c r="G2205" s="2" t="s">
        <v>170</v>
      </c>
      <c r="H2205" s="3">
        <v>45590.822916666664</v>
      </c>
      <c r="I2205" s="3">
        <v>45590.954861111109</v>
      </c>
      <c r="J2205" s="2">
        <v>92</v>
      </c>
      <c r="K2205" s="2">
        <v>190</v>
      </c>
      <c r="L2205" s="2">
        <v>1</v>
      </c>
      <c r="M2205" s="2" t="s">
        <v>29</v>
      </c>
      <c r="N2205" s="2">
        <v>8</v>
      </c>
      <c r="O2205" s="2">
        <v>80.98</v>
      </c>
      <c r="P2205" s="2">
        <f t="shared" si="170"/>
        <v>98</v>
      </c>
      <c r="Q2205" s="4">
        <f t="shared" si="171"/>
        <v>0.48421052631578948</v>
      </c>
      <c r="R2205" s="2" t="str">
        <f t="shared" si="172"/>
        <v>Inefficient</v>
      </c>
      <c r="S2205" s="2" t="str">
        <f t="shared" si="173"/>
        <v>Very Long</v>
      </c>
      <c r="T2205" s="2" t="str">
        <f t="shared" si="174"/>
        <v>Major Delay</v>
      </c>
    </row>
    <row r="2206" spans="1:20" x14ac:dyDescent="0.35">
      <c r="A2206" s="2" t="s">
        <v>4595</v>
      </c>
      <c r="B2206" s="2" t="s">
        <v>63</v>
      </c>
      <c r="C2206" s="2" t="s">
        <v>4596</v>
      </c>
      <c r="D2206" s="2" t="s">
        <v>48</v>
      </c>
      <c r="E2206" s="2" t="s">
        <v>33</v>
      </c>
      <c r="F2206" s="2" t="s">
        <v>27</v>
      </c>
      <c r="G2206" s="2" t="s">
        <v>103</v>
      </c>
      <c r="H2206" s="3">
        <v>45509.914583333331</v>
      </c>
      <c r="I2206" s="3">
        <v>45509.981249999997</v>
      </c>
      <c r="J2206" s="2">
        <v>81</v>
      </c>
      <c r="K2206" s="2">
        <v>96</v>
      </c>
      <c r="L2206" s="2">
        <v>1</v>
      </c>
      <c r="M2206" s="2" t="s">
        <v>41</v>
      </c>
      <c r="N2206" s="2">
        <v>2</v>
      </c>
      <c r="O2206" s="2">
        <v>368.53</v>
      </c>
      <c r="P2206" s="2">
        <f t="shared" si="170"/>
        <v>15</v>
      </c>
      <c r="Q2206" s="4">
        <f t="shared" si="171"/>
        <v>0.84375</v>
      </c>
      <c r="R2206" s="2" t="str">
        <f t="shared" si="172"/>
        <v>Inefficient</v>
      </c>
      <c r="S2206" s="2" t="str">
        <f t="shared" si="173"/>
        <v>Long</v>
      </c>
      <c r="T2206" s="2" t="str">
        <f t="shared" si="174"/>
        <v>Minor Delay</v>
      </c>
    </row>
    <row r="2207" spans="1:20" x14ac:dyDescent="0.35">
      <c r="A2207" s="2" t="s">
        <v>4597</v>
      </c>
      <c r="B2207" s="2" t="s">
        <v>24</v>
      </c>
      <c r="C2207" s="2" t="s">
        <v>4598</v>
      </c>
      <c r="D2207" s="2" t="s">
        <v>18</v>
      </c>
      <c r="E2207" s="2" t="s">
        <v>85</v>
      </c>
      <c r="F2207" s="2" t="s">
        <v>20</v>
      </c>
      <c r="G2207" s="2" t="s">
        <v>207</v>
      </c>
      <c r="H2207" s="3">
        <v>45317.197222222225</v>
      </c>
      <c r="I2207" s="3">
        <v>45317.310416666667</v>
      </c>
      <c r="J2207" s="2">
        <v>52</v>
      </c>
      <c r="K2207" s="2">
        <v>163</v>
      </c>
      <c r="L2207" s="2">
        <v>1</v>
      </c>
      <c r="M2207" s="2" t="s">
        <v>41</v>
      </c>
      <c r="N2207" s="2">
        <v>8</v>
      </c>
      <c r="O2207" s="2">
        <v>438.08</v>
      </c>
      <c r="P2207" s="2">
        <f t="shared" si="170"/>
        <v>111</v>
      </c>
      <c r="Q2207" s="4">
        <f t="shared" si="171"/>
        <v>0.31901840490797545</v>
      </c>
      <c r="R2207" s="2" t="str">
        <f t="shared" si="172"/>
        <v>Inefficient</v>
      </c>
      <c r="S2207" s="2" t="str">
        <f t="shared" si="173"/>
        <v>Very Long</v>
      </c>
      <c r="T2207" s="2" t="str">
        <f t="shared" si="174"/>
        <v>Major Delay</v>
      </c>
    </row>
    <row r="2208" spans="1:20" x14ac:dyDescent="0.35">
      <c r="A2208" s="2" t="s">
        <v>4599</v>
      </c>
      <c r="B2208" s="2" t="s">
        <v>51</v>
      </c>
      <c r="C2208" s="2" t="s">
        <v>4600</v>
      </c>
      <c r="D2208" s="2" t="s">
        <v>48</v>
      </c>
      <c r="E2208" s="2" t="s">
        <v>85</v>
      </c>
      <c r="F2208" s="2" t="s">
        <v>20</v>
      </c>
      <c r="G2208" s="2" t="s">
        <v>296</v>
      </c>
      <c r="H2208" s="3">
        <v>45652.313194444447</v>
      </c>
      <c r="I2208" s="3">
        <v>45652.382638888892</v>
      </c>
      <c r="J2208" s="2">
        <v>40</v>
      </c>
      <c r="K2208" s="2">
        <v>100</v>
      </c>
      <c r="L2208" s="2">
        <v>1</v>
      </c>
      <c r="M2208" s="2" t="s">
        <v>22</v>
      </c>
      <c r="N2208" s="2">
        <v>10</v>
      </c>
      <c r="O2208" s="2">
        <v>427.55</v>
      </c>
      <c r="P2208" s="2">
        <f t="shared" si="170"/>
        <v>60</v>
      </c>
      <c r="Q2208" s="4">
        <f t="shared" si="171"/>
        <v>0.4</v>
      </c>
      <c r="R2208" s="2" t="str">
        <f t="shared" si="172"/>
        <v>Inefficient</v>
      </c>
      <c r="S2208" s="2" t="str">
        <f t="shared" si="173"/>
        <v>Long</v>
      </c>
      <c r="T2208" s="2" t="str">
        <f t="shared" si="174"/>
        <v>Major Delay</v>
      </c>
    </row>
    <row r="2209" spans="1:20" x14ac:dyDescent="0.35">
      <c r="A2209" s="2" t="s">
        <v>4601</v>
      </c>
      <c r="B2209" s="2" t="s">
        <v>31</v>
      </c>
      <c r="C2209" s="2" t="s">
        <v>4602</v>
      </c>
      <c r="D2209" s="2" t="s">
        <v>48</v>
      </c>
      <c r="E2209" s="2" t="s">
        <v>85</v>
      </c>
      <c r="F2209" s="2" t="s">
        <v>39</v>
      </c>
      <c r="G2209" s="2" t="s">
        <v>149</v>
      </c>
      <c r="H2209" s="3">
        <v>45394.349305555559</v>
      </c>
      <c r="I2209" s="3">
        <v>45394.517361111109</v>
      </c>
      <c r="J2209" s="2">
        <v>233</v>
      </c>
      <c r="K2209" s="2">
        <v>242</v>
      </c>
      <c r="L2209" s="2">
        <v>1</v>
      </c>
      <c r="M2209" s="2" t="s">
        <v>29</v>
      </c>
      <c r="N2209" s="2">
        <v>7</v>
      </c>
      <c r="O2209" s="2">
        <v>453.93</v>
      </c>
      <c r="P2209" s="2">
        <f t="shared" si="170"/>
        <v>9</v>
      </c>
      <c r="Q2209" s="4">
        <f t="shared" si="171"/>
        <v>0.96280991735537191</v>
      </c>
      <c r="R2209" s="2" t="str">
        <f t="shared" si="172"/>
        <v>Inefficient</v>
      </c>
      <c r="S2209" s="2" t="str">
        <f t="shared" si="173"/>
        <v>Very Long</v>
      </c>
      <c r="T2209" s="2" t="str">
        <f t="shared" si="174"/>
        <v>Minor Delay</v>
      </c>
    </row>
    <row r="2210" spans="1:20" x14ac:dyDescent="0.35">
      <c r="A2210" s="2" t="s">
        <v>4603</v>
      </c>
      <c r="B2210" s="2" t="s">
        <v>63</v>
      </c>
      <c r="C2210" s="2" t="s">
        <v>4604</v>
      </c>
      <c r="D2210" s="2" t="s">
        <v>18</v>
      </c>
      <c r="E2210" s="2" t="s">
        <v>33</v>
      </c>
      <c r="F2210" s="2" t="s">
        <v>57</v>
      </c>
      <c r="G2210" s="2" t="s">
        <v>231</v>
      </c>
      <c r="H2210" s="3">
        <v>45562.632638888892</v>
      </c>
      <c r="I2210" s="3">
        <v>45562.81527777778</v>
      </c>
      <c r="J2210" s="2">
        <v>185</v>
      </c>
      <c r="K2210" s="2">
        <v>263</v>
      </c>
      <c r="L2210" s="2">
        <v>1</v>
      </c>
      <c r="M2210" s="2" t="s">
        <v>29</v>
      </c>
      <c r="N2210" s="2">
        <v>7</v>
      </c>
      <c r="O2210" s="2">
        <v>466.75</v>
      </c>
      <c r="P2210" s="2">
        <f t="shared" si="170"/>
        <v>78</v>
      </c>
      <c r="Q2210" s="4">
        <f t="shared" si="171"/>
        <v>0.70342205323193918</v>
      </c>
      <c r="R2210" s="2" t="str">
        <f t="shared" si="172"/>
        <v>Inefficient</v>
      </c>
      <c r="S2210" s="2" t="str">
        <f t="shared" si="173"/>
        <v>Very Long</v>
      </c>
      <c r="T2210" s="2" t="str">
        <f t="shared" si="174"/>
        <v>Major Delay</v>
      </c>
    </row>
    <row r="2211" spans="1:20" x14ac:dyDescent="0.35">
      <c r="A2211" s="2" t="s">
        <v>4605</v>
      </c>
      <c r="B2211" s="2" t="s">
        <v>63</v>
      </c>
      <c r="C2211" s="2" t="s">
        <v>4606</v>
      </c>
      <c r="D2211" s="2" t="s">
        <v>44</v>
      </c>
      <c r="E2211" s="2" t="s">
        <v>85</v>
      </c>
      <c r="F2211" s="2" t="s">
        <v>34</v>
      </c>
      <c r="G2211" s="2" t="s">
        <v>462</v>
      </c>
      <c r="H2211" s="3">
        <v>45616.698611111111</v>
      </c>
      <c r="I2211" s="3">
        <v>45616.734722222223</v>
      </c>
      <c r="J2211" s="2">
        <v>15</v>
      </c>
      <c r="K2211" s="2">
        <v>52</v>
      </c>
      <c r="L2211" s="2">
        <v>1</v>
      </c>
      <c r="M2211" s="2" t="s">
        <v>29</v>
      </c>
      <c r="N2211" s="2">
        <v>9</v>
      </c>
      <c r="O2211" s="2">
        <v>54.71</v>
      </c>
      <c r="P2211" s="2">
        <f t="shared" si="170"/>
        <v>37</v>
      </c>
      <c r="Q2211" s="4">
        <f t="shared" si="171"/>
        <v>0.28846153846153844</v>
      </c>
      <c r="R2211" s="2" t="str">
        <f t="shared" si="172"/>
        <v>Inefficient</v>
      </c>
      <c r="S2211" s="2" t="str">
        <f t="shared" si="173"/>
        <v>Medium</v>
      </c>
      <c r="T2211" s="2" t="str">
        <f t="shared" si="174"/>
        <v>Major Delay</v>
      </c>
    </row>
    <row r="2212" spans="1:20" x14ac:dyDescent="0.35">
      <c r="A2212" s="2" t="s">
        <v>4607</v>
      </c>
      <c r="B2212" s="2" t="s">
        <v>16</v>
      </c>
      <c r="C2212" s="2" t="s">
        <v>4608</v>
      </c>
      <c r="D2212" s="2" t="s">
        <v>56</v>
      </c>
      <c r="E2212" s="2" t="s">
        <v>19</v>
      </c>
      <c r="F2212" s="2" t="s">
        <v>20</v>
      </c>
      <c r="G2212" s="2" t="s">
        <v>1413</v>
      </c>
      <c r="H2212" s="3">
        <v>45333.484027777777</v>
      </c>
      <c r="I2212" s="3">
        <v>45333.512499999997</v>
      </c>
      <c r="J2212" s="2">
        <v>11</v>
      </c>
      <c r="K2212" s="2">
        <v>41</v>
      </c>
      <c r="L2212" s="2">
        <v>1</v>
      </c>
      <c r="M2212" s="2" t="s">
        <v>41</v>
      </c>
      <c r="N2212" s="2">
        <v>5</v>
      </c>
      <c r="O2212" s="2">
        <v>206.23</v>
      </c>
      <c r="P2212" s="2">
        <f t="shared" si="170"/>
        <v>30</v>
      </c>
      <c r="Q2212" s="4">
        <f t="shared" si="171"/>
        <v>0.26829268292682928</v>
      </c>
      <c r="R2212" s="2" t="str">
        <f t="shared" si="172"/>
        <v>Inefficient</v>
      </c>
      <c r="S2212" s="2" t="str">
        <f t="shared" si="173"/>
        <v>Medium</v>
      </c>
      <c r="T2212" s="2" t="str">
        <f t="shared" si="174"/>
        <v>Minor Delay</v>
      </c>
    </row>
    <row r="2213" spans="1:20" x14ac:dyDescent="0.35">
      <c r="A2213" s="2" t="s">
        <v>4609</v>
      </c>
      <c r="B2213" s="2" t="s">
        <v>51</v>
      </c>
      <c r="C2213" s="2" t="s">
        <v>4610</v>
      </c>
      <c r="D2213" s="2" t="s">
        <v>48</v>
      </c>
      <c r="E2213" s="2" t="s">
        <v>38</v>
      </c>
      <c r="F2213" s="2" t="s">
        <v>27</v>
      </c>
      <c r="G2213" s="2" t="s">
        <v>782</v>
      </c>
      <c r="H2213" s="3">
        <v>45409.908333333333</v>
      </c>
      <c r="I2213" s="3">
        <v>45409.977083333331</v>
      </c>
      <c r="J2213" s="2">
        <v>69</v>
      </c>
      <c r="K2213" s="2">
        <v>99</v>
      </c>
      <c r="L2213" s="2">
        <v>1</v>
      </c>
      <c r="M2213" s="2" t="s">
        <v>41</v>
      </c>
      <c r="N2213" s="2">
        <v>4</v>
      </c>
      <c r="O2213" s="2">
        <v>166.16</v>
      </c>
      <c r="P2213" s="2">
        <f t="shared" si="170"/>
        <v>30</v>
      </c>
      <c r="Q2213" s="4">
        <f t="shared" si="171"/>
        <v>0.69696969696969702</v>
      </c>
      <c r="R2213" s="2" t="str">
        <f t="shared" si="172"/>
        <v>Inefficient</v>
      </c>
      <c r="S2213" s="2" t="str">
        <f t="shared" si="173"/>
        <v>Long</v>
      </c>
      <c r="T2213" s="2" t="str">
        <f t="shared" si="174"/>
        <v>Minor Delay</v>
      </c>
    </row>
    <row r="2214" spans="1:20" x14ac:dyDescent="0.35">
      <c r="A2214" s="2" t="s">
        <v>4611</v>
      </c>
      <c r="B2214" s="2" t="s">
        <v>63</v>
      </c>
      <c r="C2214" s="2" t="s">
        <v>4612</v>
      </c>
      <c r="D2214" s="2" t="s">
        <v>18</v>
      </c>
      <c r="E2214" s="2" t="s">
        <v>19</v>
      </c>
      <c r="F2214" s="2" t="s">
        <v>39</v>
      </c>
      <c r="G2214" s="2" t="s">
        <v>137</v>
      </c>
      <c r="H2214" s="3">
        <v>45506.474305555559</v>
      </c>
      <c r="I2214" s="3">
        <v>45506.615972222222</v>
      </c>
      <c r="J2214" s="2">
        <v>156</v>
      </c>
      <c r="K2214" s="2">
        <v>204</v>
      </c>
      <c r="L2214" s="2">
        <v>1</v>
      </c>
      <c r="M2214" s="2" t="s">
        <v>22</v>
      </c>
      <c r="N2214" s="2">
        <v>2</v>
      </c>
      <c r="O2214" s="2">
        <v>485.65</v>
      </c>
      <c r="P2214" s="2">
        <f t="shared" si="170"/>
        <v>48</v>
      </c>
      <c r="Q2214" s="4">
        <f t="shared" si="171"/>
        <v>0.76470588235294112</v>
      </c>
      <c r="R2214" s="2" t="str">
        <f t="shared" si="172"/>
        <v>Inefficient</v>
      </c>
      <c r="S2214" s="2" t="str">
        <f t="shared" si="173"/>
        <v>Very Long</v>
      </c>
      <c r="T2214" s="2" t="str">
        <f t="shared" si="174"/>
        <v>Major Delay</v>
      </c>
    </row>
    <row r="2215" spans="1:20" x14ac:dyDescent="0.35">
      <c r="A2215" s="2" t="s">
        <v>4613</v>
      </c>
      <c r="B2215" s="2" t="s">
        <v>63</v>
      </c>
      <c r="C2215" s="2" t="s">
        <v>4614</v>
      </c>
      <c r="D2215" s="2" t="s">
        <v>44</v>
      </c>
      <c r="E2215" s="2" t="s">
        <v>33</v>
      </c>
      <c r="F2215" s="2" t="s">
        <v>27</v>
      </c>
      <c r="G2215" s="2" t="s">
        <v>777</v>
      </c>
      <c r="H2215" s="3">
        <v>45523.451388888891</v>
      </c>
      <c r="I2215" s="3">
        <v>45523.503472222219</v>
      </c>
      <c r="J2215" s="2">
        <v>55</v>
      </c>
      <c r="K2215" s="2">
        <v>75</v>
      </c>
      <c r="L2215" s="2">
        <v>1</v>
      </c>
      <c r="M2215" s="2" t="s">
        <v>41</v>
      </c>
      <c r="N2215" s="2">
        <v>1</v>
      </c>
      <c r="O2215" s="2">
        <v>53.53</v>
      </c>
      <c r="P2215" s="2">
        <f t="shared" si="170"/>
        <v>20</v>
      </c>
      <c r="Q2215" s="4">
        <f t="shared" si="171"/>
        <v>0.73333333333333328</v>
      </c>
      <c r="R2215" s="2" t="str">
        <f t="shared" si="172"/>
        <v>Inefficient</v>
      </c>
      <c r="S2215" s="2" t="str">
        <f t="shared" si="173"/>
        <v>Long</v>
      </c>
      <c r="T2215" s="2" t="str">
        <f t="shared" si="174"/>
        <v>Minor Delay</v>
      </c>
    </row>
    <row r="2216" spans="1:20" x14ac:dyDescent="0.35">
      <c r="A2216" s="2" t="s">
        <v>4615</v>
      </c>
      <c r="B2216" s="2" t="s">
        <v>63</v>
      </c>
      <c r="C2216" s="2" t="s">
        <v>4616</v>
      </c>
      <c r="D2216" s="2" t="s">
        <v>18</v>
      </c>
      <c r="E2216" s="2" t="s">
        <v>85</v>
      </c>
      <c r="F2216" s="2" t="s">
        <v>39</v>
      </c>
      <c r="G2216" s="2" t="s">
        <v>94</v>
      </c>
      <c r="H2216" s="3">
        <v>45360.810416666667</v>
      </c>
      <c r="I2216" s="3">
        <v>45360.918055555558</v>
      </c>
      <c r="J2216" s="2">
        <v>51</v>
      </c>
      <c r="K2216" s="2">
        <v>155</v>
      </c>
      <c r="L2216" s="2">
        <v>1</v>
      </c>
      <c r="M2216" s="2" t="s">
        <v>41</v>
      </c>
      <c r="N2216" s="2">
        <v>5</v>
      </c>
      <c r="O2216" s="2">
        <v>209.41</v>
      </c>
      <c r="P2216" s="2">
        <f t="shared" si="170"/>
        <v>104</v>
      </c>
      <c r="Q2216" s="4">
        <f t="shared" si="171"/>
        <v>0.32903225806451614</v>
      </c>
      <c r="R2216" s="2" t="str">
        <f t="shared" si="172"/>
        <v>Inefficient</v>
      </c>
      <c r="S2216" s="2" t="str">
        <f t="shared" si="173"/>
        <v>Very Long</v>
      </c>
      <c r="T2216" s="2" t="str">
        <f t="shared" si="174"/>
        <v>Major Delay</v>
      </c>
    </row>
    <row r="2217" spans="1:20" x14ac:dyDescent="0.35">
      <c r="A2217" s="2" t="s">
        <v>4617</v>
      </c>
      <c r="B2217" s="2" t="s">
        <v>24</v>
      </c>
      <c r="C2217" s="2" t="s">
        <v>4618</v>
      </c>
      <c r="D2217" s="2" t="s">
        <v>26</v>
      </c>
      <c r="E2217" s="2" t="s">
        <v>19</v>
      </c>
      <c r="F2217" s="2" t="s">
        <v>34</v>
      </c>
      <c r="G2217" s="2" t="s">
        <v>228</v>
      </c>
      <c r="H2217" s="3">
        <v>45430.930555555555</v>
      </c>
      <c r="I2217" s="3">
        <v>45430.980555555558</v>
      </c>
      <c r="J2217" s="2">
        <v>56</v>
      </c>
      <c r="K2217" s="2">
        <v>72</v>
      </c>
      <c r="L2217" s="2">
        <v>1</v>
      </c>
      <c r="M2217" s="2" t="s">
        <v>41</v>
      </c>
      <c r="N2217" s="2">
        <v>10</v>
      </c>
      <c r="O2217" s="2">
        <v>105.07</v>
      </c>
      <c r="P2217" s="2">
        <f t="shared" si="170"/>
        <v>16</v>
      </c>
      <c r="Q2217" s="4">
        <f t="shared" si="171"/>
        <v>0.77777777777777779</v>
      </c>
      <c r="R2217" s="2" t="str">
        <f t="shared" si="172"/>
        <v>Inefficient</v>
      </c>
      <c r="S2217" s="2" t="str">
        <f t="shared" si="173"/>
        <v>Long</v>
      </c>
      <c r="T2217" s="2" t="str">
        <f t="shared" si="174"/>
        <v>Minor Delay</v>
      </c>
    </row>
    <row r="2218" spans="1:20" x14ac:dyDescent="0.35">
      <c r="A2218" s="2" t="s">
        <v>4619</v>
      </c>
      <c r="B2218" s="2" t="s">
        <v>31</v>
      </c>
      <c r="C2218" s="2" t="s">
        <v>4620</v>
      </c>
      <c r="D2218" s="2" t="s">
        <v>48</v>
      </c>
      <c r="E2218" s="2" t="s">
        <v>38</v>
      </c>
      <c r="F2218" s="2" t="s">
        <v>20</v>
      </c>
      <c r="G2218" s="2" t="s">
        <v>228</v>
      </c>
      <c r="H2218" s="3">
        <v>45424.102777777778</v>
      </c>
      <c r="I2218" s="3">
        <v>45424.256944444445</v>
      </c>
      <c r="J2218" s="2">
        <v>142</v>
      </c>
      <c r="K2218" s="2">
        <v>222</v>
      </c>
      <c r="L2218" s="2">
        <v>1</v>
      </c>
      <c r="M2218" s="2" t="s">
        <v>22</v>
      </c>
      <c r="N2218" s="2">
        <v>9</v>
      </c>
      <c r="O2218" s="2">
        <v>132.16999999999999</v>
      </c>
      <c r="P2218" s="2">
        <f t="shared" si="170"/>
        <v>80</v>
      </c>
      <c r="Q2218" s="4">
        <f t="shared" si="171"/>
        <v>0.63963963963963966</v>
      </c>
      <c r="R2218" s="2" t="str">
        <f t="shared" si="172"/>
        <v>Inefficient</v>
      </c>
      <c r="S2218" s="2" t="str">
        <f t="shared" si="173"/>
        <v>Very Long</v>
      </c>
      <c r="T2218" s="2" t="str">
        <f t="shared" si="174"/>
        <v>Major Delay</v>
      </c>
    </row>
    <row r="2219" spans="1:20" x14ac:dyDescent="0.35">
      <c r="A2219" s="2" t="s">
        <v>4621</v>
      </c>
      <c r="B2219" s="2" t="s">
        <v>16</v>
      </c>
      <c r="C2219" s="2" t="s">
        <v>4622</v>
      </c>
      <c r="D2219" s="2" t="s">
        <v>18</v>
      </c>
      <c r="E2219" s="2" t="s">
        <v>85</v>
      </c>
      <c r="F2219" s="2" t="s">
        <v>34</v>
      </c>
      <c r="G2219" s="2" t="s">
        <v>338</v>
      </c>
      <c r="H2219" s="3">
        <v>45653.479861111111</v>
      </c>
      <c r="I2219" s="3">
        <v>45653.557638888888</v>
      </c>
      <c r="J2219" s="2">
        <v>44</v>
      </c>
      <c r="K2219" s="2">
        <v>112</v>
      </c>
      <c r="L2219" s="2">
        <v>1</v>
      </c>
      <c r="M2219" s="2" t="s">
        <v>41</v>
      </c>
      <c r="N2219" s="2">
        <v>6</v>
      </c>
      <c r="O2219" s="2">
        <v>60</v>
      </c>
      <c r="P2219" s="2">
        <f t="shared" si="170"/>
        <v>68</v>
      </c>
      <c r="Q2219" s="4">
        <f t="shared" si="171"/>
        <v>0.39285714285714285</v>
      </c>
      <c r="R2219" s="2" t="str">
        <f t="shared" si="172"/>
        <v>Inefficient</v>
      </c>
      <c r="S2219" s="2" t="str">
        <f t="shared" si="173"/>
        <v>Long</v>
      </c>
      <c r="T2219" s="2" t="str">
        <f t="shared" si="174"/>
        <v>Major Delay</v>
      </c>
    </row>
    <row r="2220" spans="1:20" x14ac:dyDescent="0.35">
      <c r="A2220" s="2" t="s">
        <v>4623</v>
      </c>
      <c r="B2220" s="2" t="s">
        <v>51</v>
      </c>
      <c r="C2220" s="2" t="s">
        <v>4624</v>
      </c>
      <c r="D2220" s="2" t="s">
        <v>48</v>
      </c>
      <c r="E2220" s="2" t="s">
        <v>33</v>
      </c>
      <c r="F2220" s="2" t="s">
        <v>34</v>
      </c>
      <c r="G2220" s="2" t="s">
        <v>88</v>
      </c>
      <c r="H2220" s="3">
        <v>45497.782638888886</v>
      </c>
      <c r="I2220" s="3">
        <v>45497.95208333333</v>
      </c>
      <c r="J2220" s="2">
        <v>200</v>
      </c>
      <c r="K2220" s="2">
        <v>244</v>
      </c>
      <c r="L2220" s="2">
        <v>1</v>
      </c>
      <c r="M2220" s="2" t="s">
        <v>22</v>
      </c>
      <c r="N2220" s="2">
        <v>10</v>
      </c>
      <c r="O2220" s="2">
        <v>363.95</v>
      </c>
      <c r="P2220" s="2">
        <f t="shared" si="170"/>
        <v>44</v>
      </c>
      <c r="Q2220" s="4">
        <f t="shared" si="171"/>
        <v>0.81967213114754101</v>
      </c>
      <c r="R2220" s="2" t="str">
        <f t="shared" si="172"/>
        <v>Inefficient</v>
      </c>
      <c r="S2220" s="2" t="str">
        <f t="shared" si="173"/>
        <v>Very Long</v>
      </c>
      <c r="T2220" s="2" t="str">
        <f t="shared" si="174"/>
        <v>Major Delay</v>
      </c>
    </row>
    <row r="2221" spans="1:20" x14ac:dyDescent="0.35">
      <c r="A2221" s="2" t="s">
        <v>4625</v>
      </c>
      <c r="B2221" s="2" t="s">
        <v>51</v>
      </c>
      <c r="C2221" s="2" t="s">
        <v>4626</v>
      </c>
      <c r="D2221" s="2" t="s">
        <v>26</v>
      </c>
      <c r="E2221" s="2" t="s">
        <v>38</v>
      </c>
      <c r="F2221" s="2" t="s">
        <v>57</v>
      </c>
      <c r="G2221" s="2" t="s">
        <v>853</v>
      </c>
      <c r="H2221" s="3">
        <v>45324.435416666667</v>
      </c>
      <c r="I2221" s="3">
        <v>45324.565972222219</v>
      </c>
      <c r="J2221" s="2">
        <v>79</v>
      </c>
      <c r="K2221" s="2">
        <v>188</v>
      </c>
      <c r="L2221" s="2">
        <v>1</v>
      </c>
      <c r="M2221" s="2" t="s">
        <v>41</v>
      </c>
      <c r="N2221" s="2">
        <v>3</v>
      </c>
      <c r="O2221" s="2">
        <v>108.09</v>
      </c>
      <c r="P2221" s="2">
        <f t="shared" si="170"/>
        <v>109</v>
      </c>
      <c r="Q2221" s="4">
        <f t="shared" si="171"/>
        <v>0.42021276595744683</v>
      </c>
      <c r="R2221" s="2" t="str">
        <f t="shared" si="172"/>
        <v>Inefficient</v>
      </c>
      <c r="S2221" s="2" t="str">
        <f t="shared" si="173"/>
        <v>Very Long</v>
      </c>
      <c r="T2221" s="2" t="str">
        <f t="shared" si="174"/>
        <v>Major Delay</v>
      </c>
    </row>
    <row r="2222" spans="1:20" x14ac:dyDescent="0.35">
      <c r="A2222" s="2" t="s">
        <v>4627</v>
      </c>
      <c r="B2222" s="2" t="s">
        <v>31</v>
      </c>
      <c r="C2222" s="2" t="s">
        <v>4628</v>
      </c>
      <c r="D2222" s="2" t="s">
        <v>26</v>
      </c>
      <c r="E2222" s="2" t="s">
        <v>19</v>
      </c>
      <c r="F2222" s="2" t="s">
        <v>34</v>
      </c>
      <c r="G2222" s="2" t="s">
        <v>155</v>
      </c>
      <c r="H2222" s="3">
        <v>45357.491666666669</v>
      </c>
      <c r="I2222" s="3">
        <v>45357.649305555555</v>
      </c>
      <c r="J2222" s="2">
        <v>214</v>
      </c>
      <c r="K2222" s="2">
        <v>227</v>
      </c>
      <c r="L2222" s="2">
        <v>1</v>
      </c>
      <c r="M2222" s="2" t="s">
        <v>22</v>
      </c>
      <c r="N2222" s="2">
        <v>9</v>
      </c>
      <c r="O2222" s="2">
        <v>143.02000000000001</v>
      </c>
      <c r="P2222" s="2">
        <f t="shared" si="170"/>
        <v>13</v>
      </c>
      <c r="Q2222" s="4">
        <f t="shared" si="171"/>
        <v>0.94273127753303965</v>
      </c>
      <c r="R2222" s="2" t="str">
        <f t="shared" si="172"/>
        <v>Inefficient</v>
      </c>
      <c r="S2222" s="2" t="str">
        <f t="shared" si="173"/>
        <v>Very Long</v>
      </c>
      <c r="T2222" s="2" t="str">
        <f t="shared" si="174"/>
        <v>Minor Delay</v>
      </c>
    </row>
    <row r="2223" spans="1:20" x14ac:dyDescent="0.35">
      <c r="A2223" s="2" t="s">
        <v>4629</v>
      </c>
      <c r="B2223" s="2" t="s">
        <v>63</v>
      </c>
      <c r="C2223" s="2" t="s">
        <v>4630</v>
      </c>
      <c r="D2223" s="2" t="s">
        <v>48</v>
      </c>
      <c r="E2223" s="2" t="s">
        <v>33</v>
      </c>
      <c r="F2223" s="2" t="s">
        <v>34</v>
      </c>
      <c r="G2223" s="2" t="s">
        <v>430</v>
      </c>
      <c r="H2223" s="3">
        <v>45576.574999999997</v>
      </c>
      <c r="I2223" s="3">
        <v>45576.648611111108</v>
      </c>
      <c r="J2223" s="2">
        <v>49</v>
      </c>
      <c r="K2223" s="2">
        <v>106</v>
      </c>
      <c r="L2223" s="2">
        <v>1</v>
      </c>
      <c r="M2223" s="2" t="s">
        <v>22</v>
      </c>
      <c r="N2223" s="2">
        <v>8</v>
      </c>
      <c r="O2223" s="2">
        <v>209.25</v>
      </c>
      <c r="P2223" s="2">
        <f t="shared" si="170"/>
        <v>57</v>
      </c>
      <c r="Q2223" s="4">
        <f t="shared" si="171"/>
        <v>0.46226415094339623</v>
      </c>
      <c r="R2223" s="2" t="str">
        <f t="shared" si="172"/>
        <v>Inefficient</v>
      </c>
      <c r="S2223" s="2" t="str">
        <f t="shared" si="173"/>
        <v>Long</v>
      </c>
      <c r="T2223" s="2" t="str">
        <f t="shared" si="174"/>
        <v>Major Delay</v>
      </c>
    </row>
    <row r="2224" spans="1:20" x14ac:dyDescent="0.35">
      <c r="A2224" s="2" t="s">
        <v>4631</v>
      </c>
      <c r="B2224" s="2" t="s">
        <v>16</v>
      </c>
      <c r="C2224" s="2" t="s">
        <v>4632</v>
      </c>
      <c r="D2224" s="2" t="s">
        <v>26</v>
      </c>
      <c r="E2224" s="2" t="s">
        <v>85</v>
      </c>
      <c r="F2224" s="2" t="s">
        <v>34</v>
      </c>
      <c r="G2224" s="2" t="s">
        <v>21</v>
      </c>
      <c r="H2224" s="3">
        <v>45570.741666666669</v>
      </c>
      <c r="I2224" s="3">
        <v>45570.879166666666</v>
      </c>
      <c r="J2224" s="2">
        <v>178</v>
      </c>
      <c r="K2224" s="2">
        <v>198</v>
      </c>
      <c r="L2224" s="2">
        <v>1</v>
      </c>
      <c r="M2224" s="2" t="s">
        <v>41</v>
      </c>
      <c r="N2224" s="2">
        <v>3</v>
      </c>
      <c r="O2224" s="2">
        <v>297.19</v>
      </c>
      <c r="P2224" s="2">
        <f t="shared" si="170"/>
        <v>20</v>
      </c>
      <c r="Q2224" s="4">
        <f t="shared" si="171"/>
        <v>0.89898989898989901</v>
      </c>
      <c r="R2224" s="2" t="str">
        <f t="shared" si="172"/>
        <v>Inefficient</v>
      </c>
      <c r="S2224" s="2" t="str">
        <f t="shared" si="173"/>
        <v>Very Long</v>
      </c>
      <c r="T2224" s="2" t="str">
        <f t="shared" si="174"/>
        <v>Minor Delay</v>
      </c>
    </row>
    <row r="2225" spans="1:20" x14ac:dyDescent="0.35">
      <c r="A2225" s="2" t="s">
        <v>4633</v>
      </c>
      <c r="B2225" s="2" t="s">
        <v>24</v>
      </c>
      <c r="C2225" s="2" t="s">
        <v>4634</v>
      </c>
      <c r="D2225" s="2" t="s">
        <v>26</v>
      </c>
      <c r="E2225" s="2" t="s">
        <v>38</v>
      </c>
      <c r="F2225" s="2" t="s">
        <v>20</v>
      </c>
      <c r="G2225" s="2" t="s">
        <v>462</v>
      </c>
      <c r="H2225" s="3">
        <v>45627.290277777778</v>
      </c>
      <c r="I2225" s="3">
        <v>45627.384027777778</v>
      </c>
      <c r="J2225" s="2">
        <v>26</v>
      </c>
      <c r="K2225" s="2">
        <v>135</v>
      </c>
      <c r="L2225" s="2">
        <v>1</v>
      </c>
      <c r="M2225" s="2" t="s">
        <v>29</v>
      </c>
      <c r="N2225" s="2">
        <v>5</v>
      </c>
      <c r="O2225" s="2">
        <v>163.41999999999999</v>
      </c>
      <c r="P2225" s="2">
        <f t="shared" si="170"/>
        <v>109</v>
      </c>
      <c r="Q2225" s="4">
        <f t="shared" si="171"/>
        <v>0.19259259259259259</v>
      </c>
      <c r="R2225" s="2" t="str">
        <f t="shared" si="172"/>
        <v>Inefficient</v>
      </c>
      <c r="S2225" s="2" t="str">
        <f t="shared" si="173"/>
        <v>Very Long</v>
      </c>
      <c r="T2225" s="2" t="str">
        <f t="shared" si="174"/>
        <v>Major Delay</v>
      </c>
    </row>
    <row r="2226" spans="1:20" x14ac:dyDescent="0.35">
      <c r="A2226" s="2" t="s">
        <v>4635</v>
      </c>
      <c r="B2226" s="2" t="s">
        <v>16</v>
      </c>
      <c r="C2226" s="2" t="s">
        <v>4636</v>
      </c>
      <c r="D2226" s="2" t="s">
        <v>48</v>
      </c>
      <c r="E2226" s="2" t="s">
        <v>38</v>
      </c>
      <c r="F2226" s="2" t="s">
        <v>27</v>
      </c>
      <c r="G2226" s="2" t="s">
        <v>681</v>
      </c>
      <c r="H2226" s="3">
        <v>45498.668749999997</v>
      </c>
      <c r="I2226" s="3">
        <v>45498.834027777775</v>
      </c>
      <c r="J2226" s="2">
        <v>216</v>
      </c>
      <c r="K2226" s="2">
        <v>238</v>
      </c>
      <c r="L2226" s="2">
        <v>1</v>
      </c>
      <c r="M2226" s="2" t="s">
        <v>41</v>
      </c>
      <c r="N2226" s="2">
        <v>6</v>
      </c>
      <c r="O2226" s="2">
        <v>319.02999999999997</v>
      </c>
      <c r="P2226" s="2">
        <f t="shared" si="170"/>
        <v>22</v>
      </c>
      <c r="Q2226" s="4">
        <f t="shared" si="171"/>
        <v>0.90756302521008403</v>
      </c>
      <c r="R2226" s="2" t="str">
        <f t="shared" si="172"/>
        <v>Inefficient</v>
      </c>
      <c r="S2226" s="2" t="str">
        <f t="shared" si="173"/>
        <v>Very Long</v>
      </c>
      <c r="T2226" s="2" t="str">
        <f t="shared" si="174"/>
        <v>Minor Delay</v>
      </c>
    </row>
    <row r="2227" spans="1:20" x14ac:dyDescent="0.35">
      <c r="A2227" s="2" t="s">
        <v>4637</v>
      </c>
      <c r="B2227" s="2" t="s">
        <v>63</v>
      </c>
      <c r="C2227" s="2" t="s">
        <v>4638</v>
      </c>
      <c r="D2227" s="2" t="s">
        <v>48</v>
      </c>
      <c r="E2227" s="2" t="s">
        <v>19</v>
      </c>
      <c r="F2227" s="2" t="s">
        <v>39</v>
      </c>
      <c r="G2227" s="2" t="s">
        <v>999</v>
      </c>
      <c r="H2227" s="3">
        <v>45464.1875</v>
      </c>
      <c r="I2227" s="3">
        <v>45464.317361111112</v>
      </c>
      <c r="J2227" s="2">
        <v>145</v>
      </c>
      <c r="K2227" s="2">
        <v>187</v>
      </c>
      <c r="L2227" s="2">
        <v>1</v>
      </c>
      <c r="M2227" s="2" t="s">
        <v>29</v>
      </c>
      <c r="N2227" s="2">
        <v>7</v>
      </c>
      <c r="O2227" s="2">
        <v>357.94</v>
      </c>
      <c r="P2227" s="2">
        <f t="shared" si="170"/>
        <v>42</v>
      </c>
      <c r="Q2227" s="4">
        <f t="shared" si="171"/>
        <v>0.77540106951871657</v>
      </c>
      <c r="R2227" s="2" t="str">
        <f t="shared" si="172"/>
        <v>Inefficient</v>
      </c>
      <c r="S2227" s="2" t="str">
        <f t="shared" si="173"/>
        <v>Very Long</v>
      </c>
      <c r="T2227" s="2" t="str">
        <f t="shared" si="174"/>
        <v>Major Delay</v>
      </c>
    </row>
    <row r="2228" spans="1:20" x14ac:dyDescent="0.35">
      <c r="A2228" s="2" t="s">
        <v>4639</v>
      </c>
      <c r="B2228" s="2" t="s">
        <v>31</v>
      </c>
      <c r="C2228" s="2" t="s">
        <v>4640</v>
      </c>
      <c r="D2228" s="2" t="s">
        <v>18</v>
      </c>
      <c r="E2228" s="2" t="s">
        <v>33</v>
      </c>
      <c r="F2228" s="2" t="s">
        <v>27</v>
      </c>
      <c r="G2228" s="2" t="s">
        <v>364</v>
      </c>
      <c r="H2228" s="3">
        <v>45355.059027777781</v>
      </c>
      <c r="I2228" s="3">
        <v>45355.126388888886</v>
      </c>
      <c r="J2228" s="2">
        <v>28</v>
      </c>
      <c r="K2228" s="2">
        <v>97</v>
      </c>
      <c r="L2228" s="2">
        <v>1</v>
      </c>
      <c r="M2228" s="2" t="s">
        <v>29</v>
      </c>
      <c r="N2228" s="2">
        <v>1</v>
      </c>
      <c r="O2228" s="2">
        <v>474.66</v>
      </c>
      <c r="P2228" s="2">
        <f t="shared" si="170"/>
        <v>69</v>
      </c>
      <c r="Q2228" s="4">
        <f t="shared" si="171"/>
        <v>0.28865979381443296</v>
      </c>
      <c r="R2228" s="2" t="str">
        <f t="shared" si="172"/>
        <v>Inefficient</v>
      </c>
      <c r="S2228" s="2" t="str">
        <f t="shared" si="173"/>
        <v>Long</v>
      </c>
      <c r="T2228" s="2" t="str">
        <f t="shared" si="174"/>
        <v>Major Delay</v>
      </c>
    </row>
    <row r="2229" spans="1:20" x14ac:dyDescent="0.35">
      <c r="A2229" s="2" t="s">
        <v>4641</v>
      </c>
      <c r="B2229" s="2" t="s">
        <v>51</v>
      </c>
      <c r="C2229" s="2" t="s">
        <v>4642</v>
      </c>
      <c r="D2229" s="2" t="s">
        <v>48</v>
      </c>
      <c r="E2229" s="2" t="s">
        <v>33</v>
      </c>
      <c r="F2229" s="2" t="s">
        <v>20</v>
      </c>
      <c r="G2229" s="2" t="s">
        <v>684</v>
      </c>
      <c r="H2229" s="3">
        <v>45504.890277777777</v>
      </c>
      <c r="I2229" s="3">
        <v>45505.006944444445</v>
      </c>
      <c r="J2229" s="2">
        <v>76</v>
      </c>
      <c r="K2229" s="2">
        <v>168</v>
      </c>
      <c r="L2229" s="2">
        <v>1</v>
      </c>
      <c r="M2229" s="2" t="s">
        <v>41</v>
      </c>
      <c r="N2229" s="2">
        <v>2</v>
      </c>
      <c r="O2229" s="2">
        <v>201.93</v>
      </c>
      <c r="P2229" s="2">
        <f t="shared" si="170"/>
        <v>92</v>
      </c>
      <c r="Q2229" s="4">
        <f t="shared" si="171"/>
        <v>0.45238095238095238</v>
      </c>
      <c r="R2229" s="2" t="str">
        <f t="shared" si="172"/>
        <v>Inefficient</v>
      </c>
      <c r="S2229" s="2" t="str">
        <f t="shared" si="173"/>
        <v>Very Long</v>
      </c>
      <c r="T2229" s="2" t="str">
        <f t="shared" si="174"/>
        <v>Major Delay</v>
      </c>
    </row>
    <row r="2230" spans="1:20" x14ac:dyDescent="0.35">
      <c r="A2230" s="2" t="s">
        <v>4643</v>
      </c>
      <c r="B2230" s="2" t="s">
        <v>31</v>
      </c>
      <c r="C2230" s="2" t="s">
        <v>4644</v>
      </c>
      <c r="D2230" s="2" t="s">
        <v>56</v>
      </c>
      <c r="E2230" s="2" t="s">
        <v>19</v>
      </c>
      <c r="F2230" s="2" t="s">
        <v>39</v>
      </c>
      <c r="G2230" s="2" t="s">
        <v>410</v>
      </c>
      <c r="H2230" s="3">
        <v>45436.988194444442</v>
      </c>
      <c r="I2230" s="3">
        <v>45437.032638888886</v>
      </c>
      <c r="J2230" s="2">
        <v>62</v>
      </c>
      <c r="K2230" s="2">
        <v>64</v>
      </c>
      <c r="L2230" s="2">
        <v>1</v>
      </c>
      <c r="M2230" s="2" t="s">
        <v>41</v>
      </c>
      <c r="N2230" s="2">
        <v>8</v>
      </c>
      <c r="O2230" s="2">
        <v>144.58000000000001</v>
      </c>
      <c r="P2230" s="2">
        <f t="shared" si="170"/>
        <v>2</v>
      </c>
      <c r="Q2230" s="4">
        <f t="shared" si="171"/>
        <v>0.96875</v>
      </c>
      <c r="R2230" s="2" t="str">
        <f t="shared" si="172"/>
        <v>Inefficient</v>
      </c>
      <c r="S2230" s="2" t="str">
        <f t="shared" si="173"/>
        <v>Long</v>
      </c>
      <c r="T2230" s="2" t="str">
        <f t="shared" si="174"/>
        <v>Minor Delay</v>
      </c>
    </row>
    <row r="2231" spans="1:20" x14ac:dyDescent="0.35">
      <c r="A2231" s="2" t="s">
        <v>4645</v>
      </c>
      <c r="B2231" s="2" t="s">
        <v>24</v>
      </c>
      <c r="C2231" s="2" t="s">
        <v>4646</v>
      </c>
      <c r="D2231" s="2" t="s">
        <v>18</v>
      </c>
      <c r="E2231" s="2" t="s">
        <v>85</v>
      </c>
      <c r="F2231" s="2" t="s">
        <v>27</v>
      </c>
      <c r="G2231" s="2" t="s">
        <v>265</v>
      </c>
      <c r="H2231" s="3">
        <v>45409.917361111111</v>
      </c>
      <c r="I2231" s="3">
        <v>45409.956944444442</v>
      </c>
      <c r="J2231" s="2">
        <v>19</v>
      </c>
      <c r="K2231" s="2">
        <v>57</v>
      </c>
      <c r="L2231" s="2">
        <v>1</v>
      </c>
      <c r="M2231" s="2" t="s">
        <v>29</v>
      </c>
      <c r="N2231" s="2">
        <v>3</v>
      </c>
      <c r="O2231" s="2">
        <v>245.2</v>
      </c>
      <c r="P2231" s="2">
        <f t="shared" si="170"/>
        <v>38</v>
      </c>
      <c r="Q2231" s="4">
        <f t="shared" si="171"/>
        <v>0.33333333333333331</v>
      </c>
      <c r="R2231" s="2" t="str">
        <f t="shared" si="172"/>
        <v>Inefficient</v>
      </c>
      <c r="S2231" s="2" t="str">
        <f t="shared" si="173"/>
        <v>Medium</v>
      </c>
      <c r="T2231" s="2" t="str">
        <f t="shared" si="174"/>
        <v>Major Delay</v>
      </c>
    </row>
    <row r="2232" spans="1:20" x14ac:dyDescent="0.35">
      <c r="A2232" s="2" t="s">
        <v>4647</v>
      </c>
      <c r="B2232" s="2" t="s">
        <v>63</v>
      </c>
      <c r="C2232" s="2" t="s">
        <v>4648</v>
      </c>
      <c r="D2232" s="2" t="s">
        <v>18</v>
      </c>
      <c r="E2232" s="2" t="s">
        <v>19</v>
      </c>
      <c r="F2232" s="2" t="s">
        <v>39</v>
      </c>
      <c r="G2232" s="2" t="s">
        <v>445</v>
      </c>
      <c r="H2232" s="3">
        <v>45316.330555555556</v>
      </c>
      <c r="I2232" s="3">
        <v>45316.48541666667</v>
      </c>
      <c r="J2232" s="2">
        <v>163</v>
      </c>
      <c r="K2232" s="2">
        <v>223</v>
      </c>
      <c r="L2232" s="2">
        <v>1</v>
      </c>
      <c r="M2232" s="2" t="s">
        <v>29</v>
      </c>
      <c r="N2232" s="2">
        <v>9</v>
      </c>
      <c r="O2232" s="2">
        <v>371.46</v>
      </c>
      <c r="P2232" s="2">
        <f t="shared" si="170"/>
        <v>60</v>
      </c>
      <c r="Q2232" s="4">
        <f t="shared" si="171"/>
        <v>0.73094170403587444</v>
      </c>
      <c r="R2232" s="2" t="str">
        <f t="shared" si="172"/>
        <v>Inefficient</v>
      </c>
      <c r="S2232" s="2" t="str">
        <f t="shared" si="173"/>
        <v>Very Long</v>
      </c>
      <c r="T2232" s="2" t="str">
        <f t="shared" si="174"/>
        <v>Major Delay</v>
      </c>
    </row>
    <row r="2233" spans="1:20" x14ac:dyDescent="0.35">
      <c r="A2233" s="2" t="s">
        <v>4649</v>
      </c>
      <c r="B2233" s="2" t="s">
        <v>24</v>
      </c>
      <c r="C2233" s="2" t="s">
        <v>4650</v>
      </c>
      <c r="D2233" s="2" t="s">
        <v>56</v>
      </c>
      <c r="E2233" s="2" t="s">
        <v>85</v>
      </c>
      <c r="F2233" s="2" t="s">
        <v>39</v>
      </c>
      <c r="G2233" s="2" t="s">
        <v>681</v>
      </c>
      <c r="H2233" s="3">
        <v>45296.407638888886</v>
      </c>
      <c r="I2233" s="3">
        <v>45296.506944444445</v>
      </c>
      <c r="J2233" s="2">
        <v>99</v>
      </c>
      <c r="K2233" s="2">
        <v>143</v>
      </c>
      <c r="L2233" s="2">
        <v>1</v>
      </c>
      <c r="M2233" s="2" t="s">
        <v>22</v>
      </c>
      <c r="N2233" s="2">
        <v>4</v>
      </c>
      <c r="O2233" s="2">
        <v>239.88</v>
      </c>
      <c r="P2233" s="2">
        <f t="shared" si="170"/>
        <v>44</v>
      </c>
      <c r="Q2233" s="4">
        <f t="shared" si="171"/>
        <v>0.69230769230769229</v>
      </c>
      <c r="R2233" s="2" t="str">
        <f t="shared" si="172"/>
        <v>Inefficient</v>
      </c>
      <c r="S2233" s="2" t="str">
        <f t="shared" si="173"/>
        <v>Very Long</v>
      </c>
      <c r="T2233" s="2" t="str">
        <f t="shared" si="174"/>
        <v>Major Delay</v>
      </c>
    </row>
    <row r="2234" spans="1:20" x14ac:dyDescent="0.35">
      <c r="A2234" s="2" t="s">
        <v>4651</v>
      </c>
      <c r="B2234" s="2" t="s">
        <v>51</v>
      </c>
      <c r="C2234" s="2" t="s">
        <v>4652</v>
      </c>
      <c r="D2234" s="2" t="s">
        <v>44</v>
      </c>
      <c r="E2234" s="2" t="s">
        <v>19</v>
      </c>
      <c r="F2234" s="2" t="s">
        <v>20</v>
      </c>
      <c r="G2234" s="2" t="s">
        <v>647</v>
      </c>
      <c r="H2234" s="3">
        <v>45398.399305555555</v>
      </c>
      <c r="I2234" s="3">
        <v>45398.458333333336</v>
      </c>
      <c r="J2234" s="2">
        <v>72</v>
      </c>
      <c r="K2234" s="2">
        <v>85</v>
      </c>
      <c r="L2234" s="2">
        <v>1</v>
      </c>
      <c r="M2234" s="2" t="s">
        <v>22</v>
      </c>
      <c r="N2234" s="2">
        <v>9</v>
      </c>
      <c r="O2234" s="2">
        <v>311.45999999999998</v>
      </c>
      <c r="P2234" s="2">
        <f t="shared" si="170"/>
        <v>13</v>
      </c>
      <c r="Q2234" s="4">
        <f t="shared" si="171"/>
        <v>0.84705882352941175</v>
      </c>
      <c r="R2234" s="2" t="str">
        <f t="shared" si="172"/>
        <v>Inefficient</v>
      </c>
      <c r="S2234" s="2" t="str">
        <f t="shared" si="173"/>
        <v>Long</v>
      </c>
      <c r="T2234" s="2" t="str">
        <f t="shared" si="174"/>
        <v>Minor Delay</v>
      </c>
    </row>
    <row r="2235" spans="1:20" x14ac:dyDescent="0.35">
      <c r="A2235" s="2" t="s">
        <v>4653</v>
      </c>
      <c r="B2235" s="2" t="s">
        <v>51</v>
      </c>
      <c r="C2235" s="2" t="s">
        <v>4654</v>
      </c>
      <c r="D2235" s="2" t="s">
        <v>44</v>
      </c>
      <c r="E2235" s="2" t="s">
        <v>33</v>
      </c>
      <c r="F2235" s="2" t="s">
        <v>39</v>
      </c>
      <c r="G2235" s="2" t="s">
        <v>410</v>
      </c>
      <c r="H2235" s="3">
        <v>45534.168055555558</v>
      </c>
      <c r="I2235" s="3">
        <v>45534.242361111108</v>
      </c>
      <c r="J2235" s="2">
        <v>25</v>
      </c>
      <c r="K2235" s="2">
        <v>107</v>
      </c>
      <c r="L2235" s="2">
        <v>1</v>
      </c>
      <c r="M2235" s="2" t="s">
        <v>29</v>
      </c>
      <c r="N2235" s="2">
        <v>1</v>
      </c>
      <c r="O2235" s="2">
        <v>490.66</v>
      </c>
      <c r="P2235" s="2">
        <f t="shared" si="170"/>
        <v>82</v>
      </c>
      <c r="Q2235" s="4">
        <f t="shared" si="171"/>
        <v>0.23364485981308411</v>
      </c>
      <c r="R2235" s="2" t="str">
        <f t="shared" si="172"/>
        <v>Inefficient</v>
      </c>
      <c r="S2235" s="2" t="str">
        <f t="shared" si="173"/>
        <v>Long</v>
      </c>
      <c r="T2235" s="2" t="str">
        <f t="shared" si="174"/>
        <v>Major Delay</v>
      </c>
    </row>
    <row r="2236" spans="1:20" x14ac:dyDescent="0.35">
      <c r="A2236" s="2" t="s">
        <v>4655</v>
      </c>
      <c r="B2236" s="2" t="s">
        <v>24</v>
      </c>
      <c r="C2236" s="2" t="s">
        <v>4656</v>
      </c>
      <c r="D2236" s="2" t="s">
        <v>48</v>
      </c>
      <c r="E2236" s="2" t="s">
        <v>19</v>
      </c>
      <c r="F2236" s="2" t="s">
        <v>27</v>
      </c>
      <c r="G2236" s="2" t="s">
        <v>58</v>
      </c>
      <c r="H2236" s="3">
        <v>45409.77847222222</v>
      </c>
      <c r="I2236" s="3">
        <v>45409.940972222219</v>
      </c>
      <c r="J2236" s="2">
        <v>131</v>
      </c>
      <c r="K2236" s="2">
        <v>234</v>
      </c>
      <c r="L2236" s="2">
        <v>1</v>
      </c>
      <c r="M2236" s="2" t="s">
        <v>41</v>
      </c>
      <c r="N2236" s="2">
        <v>1</v>
      </c>
      <c r="O2236" s="2">
        <v>454.16</v>
      </c>
      <c r="P2236" s="2">
        <f t="shared" si="170"/>
        <v>103</v>
      </c>
      <c r="Q2236" s="4">
        <f t="shared" si="171"/>
        <v>0.55982905982905984</v>
      </c>
      <c r="R2236" s="2" t="str">
        <f t="shared" si="172"/>
        <v>Inefficient</v>
      </c>
      <c r="S2236" s="2" t="str">
        <f t="shared" si="173"/>
        <v>Very Long</v>
      </c>
      <c r="T2236" s="2" t="str">
        <f t="shared" si="174"/>
        <v>Major Delay</v>
      </c>
    </row>
    <row r="2237" spans="1:20" x14ac:dyDescent="0.35">
      <c r="A2237" s="2" t="s">
        <v>4657</v>
      </c>
      <c r="B2237" s="2" t="s">
        <v>16</v>
      </c>
      <c r="C2237" s="2" t="s">
        <v>4658</v>
      </c>
      <c r="D2237" s="2" t="s">
        <v>44</v>
      </c>
      <c r="E2237" s="2" t="s">
        <v>38</v>
      </c>
      <c r="F2237" s="2" t="s">
        <v>20</v>
      </c>
      <c r="G2237" s="2" t="s">
        <v>40</v>
      </c>
      <c r="H2237" s="3">
        <v>45413.442361111112</v>
      </c>
      <c r="I2237" s="3">
        <v>45413.509027777778</v>
      </c>
      <c r="J2237" s="2">
        <v>97</v>
      </c>
      <c r="K2237" s="2">
        <v>96</v>
      </c>
      <c r="L2237" s="2">
        <v>0</v>
      </c>
      <c r="M2237" s="2" t="s">
        <v>41</v>
      </c>
      <c r="N2237" s="2">
        <v>3</v>
      </c>
      <c r="O2237" s="2">
        <v>267.29000000000002</v>
      </c>
      <c r="P2237" s="2">
        <f t="shared" si="170"/>
        <v>-1</v>
      </c>
      <c r="Q2237" s="4">
        <f t="shared" si="171"/>
        <v>1.0104166666666667</v>
      </c>
      <c r="R2237" s="2" t="str">
        <f t="shared" si="172"/>
        <v>Efficient</v>
      </c>
      <c r="S2237" s="2" t="str">
        <f t="shared" si="173"/>
        <v>Long</v>
      </c>
      <c r="T2237" s="2" t="str">
        <f t="shared" si="174"/>
        <v>On Time</v>
      </c>
    </row>
    <row r="2238" spans="1:20" x14ac:dyDescent="0.35">
      <c r="A2238" s="2" t="s">
        <v>4659</v>
      </c>
      <c r="B2238" s="2" t="s">
        <v>63</v>
      </c>
      <c r="C2238" s="2" t="s">
        <v>4660</v>
      </c>
      <c r="D2238" s="2" t="s">
        <v>48</v>
      </c>
      <c r="E2238" s="2" t="s">
        <v>33</v>
      </c>
      <c r="F2238" s="2" t="s">
        <v>34</v>
      </c>
      <c r="G2238" s="2" t="s">
        <v>316</v>
      </c>
      <c r="H2238" s="3">
        <v>45378.397222222222</v>
      </c>
      <c r="I2238" s="3">
        <v>45378.574999999997</v>
      </c>
      <c r="J2238" s="2">
        <v>214</v>
      </c>
      <c r="K2238" s="2">
        <v>256</v>
      </c>
      <c r="L2238" s="2">
        <v>1</v>
      </c>
      <c r="M2238" s="2" t="s">
        <v>29</v>
      </c>
      <c r="N2238" s="2">
        <v>9</v>
      </c>
      <c r="O2238" s="2">
        <v>134.83000000000001</v>
      </c>
      <c r="P2238" s="2">
        <f t="shared" si="170"/>
        <v>42</v>
      </c>
      <c r="Q2238" s="4">
        <f t="shared" si="171"/>
        <v>0.8359375</v>
      </c>
      <c r="R2238" s="2" t="str">
        <f t="shared" si="172"/>
        <v>Inefficient</v>
      </c>
      <c r="S2238" s="2" t="str">
        <f t="shared" si="173"/>
        <v>Very Long</v>
      </c>
      <c r="T2238" s="2" t="str">
        <f t="shared" si="174"/>
        <v>Major Delay</v>
      </c>
    </row>
    <row r="2239" spans="1:20" x14ac:dyDescent="0.35">
      <c r="A2239" s="2" t="s">
        <v>4661</v>
      </c>
      <c r="B2239" s="2" t="s">
        <v>31</v>
      </c>
      <c r="C2239" s="2" t="s">
        <v>4662</v>
      </c>
      <c r="D2239" s="2" t="s">
        <v>48</v>
      </c>
      <c r="E2239" s="2" t="s">
        <v>38</v>
      </c>
      <c r="F2239" s="2" t="s">
        <v>39</v>
      </c>
      <c r="G2239" s="2" t="s">
        <v>402</v>
      </c>
      <c r="H2239" s="3">
        <v>45328.134027777778</v>
      </c>
      <c r="I2239" s="3">
        <v>45328.25</v>
      </c>
      <c r="J2239" s="2">
        <v>72</v>
      </c>
      <c r="K2239" s="2">
        <v>167</v>
      </c>
      <c r="L2239" s="2">
        <v>1</v>
      </c>
      <c r="M2239" s="2" t="s">
        <v>29</v>
      </c>
      <c r="N2239" s="2">
        <v>4</v>
      </c>
      <c r="O2239" s="2">
        <v>62.96</v>
      </c>
      <c r="P2239" s="2">
        <f t="shared" si="170"/>
        <v>95</v>
      </c>
      <c r="Q2239" s="4">
        <f t="shared" si="171"/>
        <v>0.43113772455089822</v>
      </c>
      <c r="R2239" s="2" t="str">
        <f t="shared" si="172"/>
        <v>Inefficient</v>
      </c>
      <c r="S2239" s="2" t="str">
        <f t="shared" si="173"/>
        <v>Very Long</v>
      </c>
      <c r="T2239" s="2" t="str">
        <f t="shared" si="174"/>
        <v>Major Delay</v>
      </c>
    </row>
    <row r="2240" spans="1:20" x14ac:dyDescent="0.35">
      <c r="A2240" s="2" t="s">
        <v>4663</v>
      </c>
      <c r="B2240" s="2" t="s">
        <v>16</v>
      </c>
      <c r="C2240" s="2" t="s">
        <v>4664</v>
      </c>
      <c r="D2240" s="2" t="s">
        <v>18</v>
      </c>
      <c r="E2240" s="2" t="s">
        <v>85</v>
      </c>
      <c r="F2240" s="2" t="s">
        <v>57</v>
      </c>
      <c r="G2240" s="2" t="s">
        <v>137</v>
      </c>
      <c r="H2240" s="3">
        <v>45561.463888888888</v>
      </c>
      <c r="I2240" s="3">
        <v>45561.600694444445</v>
      </c>
      <c r="J2240" s="2">
        <v>201</v>
      </c>
      <c r="K2240" s="2">
        <v>197</v>
      </c>
      <c r="L2240" s="2">
        <v>0</v>
      </c>
      <c r="M2240" s="2" t="s">
        <v>22</v>
      </c>
      <c r="N2240" s="2">
        <v>5</v>
      </c>
      <c r="O2240" s="2">
        <v>337.02</v>
      </c>
      <c r="P2240" s="2">
        <f t="shared" si="170"/>
        <v>-4</v>
      </c>
      <c r="Q2240" s="4">
        <f t="shared" si="171"/>
        <v>1.0203045685279188</v>
      </c>
      <c r="R2240" s="2" t="str">
        <f t="shared" si="172"/>
        <v>Efficient</v>
      </c>
      <c r="S2240" s="2" t="str">
        <f t="shared" si="173"/>
        <v>Very Long</v>
      </c>
      <c r="T2240" s="2" t="str">
        <f t="shared" si="174"/>
        <v>On Time</v>
      </c>
    </row>
    <row r="2241" spans="1:20" x14ac:dyDescent="0.35">
      <c r="A2241" s="2" t="s">
        <v>4665</v>
      </c>
      <c r="B2241" s="2" t="s">
        <v>24</v>
      </c>
      <c r="C2241" s="2" t="s">
        <v>4666</v>
      </c>
      <c r="D2241" s="2" t="s">
        <v>48</v>
      </c>
      <c r="E2241" s="2" t="s">
        <v>19</v>
      </c>
      <c r="F2241" s="2" t="s">
        <v>57</v>
      </c>
      <c r="G2241" s="2" t="s">
        <v>210</v>
      </c>
      <c r="H2241" s="3">
        <v>45389.065972222219</v>
      </c>
      <c r="I2241" s="3">
        <v>45389.3</v>
      </c>
      <c r="J2241" s="2">
        <v>232</v>
      </c>
      <c r="K2241" s="2">
        <v>337</v>
      </c>
      <c r="L2241" s="2">
        <v>1</v>
      </c>
      <c r="M2241" s="2" t="s">
        <v>41</v>
      </c>
      <c r="N2241" s="2">
        <v>7</v>
      </c>
      <c r="O2241" s="2">
        <v>367.79</v>
      </c>
      <c r="P2241" s="2">
        <f t="shared" si="170"/>
        <v>105</v>
      </c>
      <c r="Q2241" s="4">
        <f t="shared" si="171"/>
        <v>0.68842729970326411</v>
      </c>
      <c r="R2241" s="2" t="str">
        <f t="shared" si="172"/>
        <v>Inefficient</v>
      </c>
      <c r="S2241" s="2" t="str">
        <f t="shared" si="173"/>
        <v>Very Long</v>
      </c>
      <c r="T2241" s="2" t="str">
        <f t="shared" si="174"/>
        <v>Major Delay</v>
      </c>
    </row>
    <row r="2242" spans="1:20" x14ac:dyDescent="0.35">
      <c r="A2242" s="2" t="s">
        <v>4667</v>
      </c>
      <c r="B2242" s="2" t="s">
        <v>63</v>
      </c>
      <c r="C2242" s="2" t="s">
        <v>4668</v>
      </c>
      <c r="D2242" s="2" t="s">
        <v>56</v>
      </c>
      <c r="E2242" s="2" t="s">
        <v>33</v>
      </c>
      <c r="F2242" s="2" t="s">
        <v>34</v>
      </c>
      <c r="G2242" s="2" t="s">
        <v>79</v>
      </c>
      <c r="H2242" s="3">
        <v>45606.420138888891</v>
      </c>
      <c r="I2242" s="3">
        <v>45606.559027777781</v>
      </c>
      <c r="J2242" s="2">
        <v>129</v>
      </c>
      <c r="K2242" s="2">
        <v>200</v>
      </c>
      <c r="L2242" s="2">
        <v>1</v>
      </c>
      <c r="M2242" s="2" t="s">
        <v>41</v>
      </c>
      <c r="N2242" s="2">
        <v>1</v>
      </c>
      <c r="O2242" s="2">
        <v>286.7</v>
      </c>
      <c r="P2242" s="2">
        <f t="shared" si="170"/>
        <v>71</v>
      </c>
      <c r="Q2242" s="4">
        <f t="shared" si="171"/>
        <v>0.64500000000000002</v>
      </c>
      <c r="R2242" s="2" t="str">
        <f t="shared" si="172"/>
        <v>Inefficient</v>
      </c>
      <c r="S2242" s="2" t="str">
        <f t="shared" si="173"/>
        <v>Very Long</v>
      </c>
      <c r="T2242" s="2" t="str">
        <f t="shared" si="174"/>
        <v>Major Delay</v>
      </c>
    </row>
    <row r="2243" spans="1:20" x14ac:dyDescent="0.35">
      <c r="A2243" s="2" t="s">
        <v>4669</v>
      </c>
      <c r="B2243" s="2" t="s">
        <v>24</v>
      </c>
      <c r="C2243" s="2" t="s">
        <v>4670</v>
      </c>
      <c r="D2243" s="2" t="s">
        <v>18</v>
      </c>
      <c r="E2243" s="2" t="s">
        <v>19</v>
      </c>
      <c r="F2243" s="2" t="s">
        <v>57</v>
      </c>
      <c r="G2243" s="2" t="s">
        <v>371</v>
      </c>
      <c r="H2243" s="3">
        <v>45305.906944444447</v>
      </c>
      <c r="I2243" s="3">
        <v>45306.06527777778</v>
      </c>
      <c r="J2243" s="2">
        <v>111</v>
      </c>
      <c r="K2243" s="2">
        <v>228</v>
      </c>
      <c r="L2243" s="2">
        <v>1</v>
      </c>
      <c r="M2243" s="2" t="s">
        <v>41</v>
      </c>
      <c r="N2243" s="2">
        <v>2</v>
      </c>
      <c r="O2243" s="2">
        <v>184.88</v>
      </c>
      <c r="P2243" s="2">
        <f t="shared" ref="P2243:P2306" si="175">K2243-J2243</f>
        <v>117</v>
      </c>
      <c r="Q2243" s="4">
        <f t="shared" ref="Q2243:Q2306" si="176">J2243/K2243</f>
        <v>0.48684210526315791</v>
      </c>
      <c r="R2243" s="2" t="str">
        <f t="shared" ref="R2243:R2306" si="177">IF(Q2243&gt;1,"Efficient",
IF(Q2243=1,"On Target","Inefficient"))</f>
        <v>Inefficient</v>
      </c>
      <c r="S2243" s="2" t="str">
        <f t="shared" ref="S2243:S2306" si="178">IF(K2243&lt;30,"Short",
IF(K2243&lt;60,"Medium",
IF(K2243&lt;120,"Long","Very Long")))</f>
        <v>Very Long</v>
      </c>
      <c r="T2243" s="2" t="str">
        <f t="shared" ref="T2243:T2306" si="179">IF(K2243&lt;=J2243,"On Time",
IF(K2243-J2243&lt;=30,"Minor Delay","Major Delay"))</f>
        <v>Major Delay</v>
      </c>
    </row>
    <row r="2244" spans="1:20" x14ac:dyDescent="0.35">
      <c r="A2244" s="2" t="s">
        <v>4671</v>
      </c>
      <c r="B2244" s="2" t="s">
        <v>16</v>
      </c>
      <c r="C2244" s="2" t="s">
        <v>4672</v>
      </c>
      <c r="D2244" s="2" t="s">
        <v>26</v>
      </c>
      <c r="E2244" s="2" t="s">
        <v>38</v>
      </c>
      <c r="F2244" s="2" t="s">
        <v>27</v>
      </c>
      <c r="G2244" s="2" t="s">
        <v>143</v>
      </c>
      <c r="H2244" s="3">
        <v>45552.004861111112</v>
      </c>
      <c r="I2244" s="3">
        <v>45552.074999999997</v>
      </c>
      <c r="J2244" s="2">
        <v>71</v>
      </c>
      <c r="K2244" s="2">
        <v>101</v>
      </c>
      <c r="L2244" s="2">
        <v>1</v>
      </c>
      <c r="M2244" s="2" t="s">
        <v>29</v>
      </c>
      <c r="N2244" s="2">
        <v>4</v>
      </c>
      <c r="O2244" s="2">
        <v>322.68</v>
      </c>
      <c r="P2244" s="2">
        <f t="shared" si="175"/>
        <v>30</v>
      </c>
      <c r="Q2244" s="4">
        <f t="shared" si="176"/>
        <v>0.70297029702970293</v>
      </c>
      <c r="R2244" s="2" t="str">
        <f t="shared" si="177"/>
        <v>Inefficient</v>
      </c>
      <c r="S2244" s="2" t="str">
        <f t="shared" si="178"/>
        <v>Long</v>
      </c>
      <c r="T2244" s="2" t="str">
        <f t="shared" si="179"/>
        <v>Minor Delay</v>
      </c>
    </row>
    <row r="2245" spans="1:20" x14ac:dyDescent="0.35">
      <c r="A2245" s="2" t="s">
        <v>4673</v>
      </c>
      <c r="B2245" s="2" t="s">
        <v>24</v>
      </c>
      <c r="C2245" s="2" t="s">
        <v>4674</v>
      </c>
      <c r="D2245" s="2" t="s">
        <v>56</v>
      </c>
      <c r="E2245" s="2" t="s">
        <v>38</v>
      </c>
      <c r="F2245" s="2" t="s">
        <v>57</v>
      </c>
      <c r="G2245" s="2" t="s">
        <v>132</v>
      </c>
      <c r="H2245" s="3">
        <v>45578.54583333333</v>
      </c>
      <c r="I2245" s="3">
        <v>45578.64166666667</v>
      </c>
      <c r="J2245" s="2">
        <v>95</v>
      </c>
      <c r="K2245" s="2">
        <v>138</v>
      </c>
      <c r="L2245" s="2">
        <v>1</v>
      </c>
      <c r="M2245" s="2" t="s">
        <v>29</v>
      </c>
      <c r="N2245" s="2">
        <v>5</v>
      </c>
      <c r="O2245" s="2">
        <v>481.05</v>
      </c>
      <c r="P2245" s="2">
        <f t="shared" si="175"/>
        <v>43</v>
      </c>
      <c r="Q2245" s="4">
        <f t="shared" si="176"/>
        <v>0.68840579710144922</v>
      </c>
      <c r="R2245" s="2" t="str">
        <f t="shared" si="177"/>
        <v>Inefficient</v>
      </c>
      <c r="S2245" s="2" t="str">
        <f t="shared" si="178"/>
        <v>Very Long</v>
      </c>
      <c r="T2245" s="2" t="str">
        <f t="shared" si="179"/>
        <v>Major Delay</v>
      </c>
    </row>
    <row r="2246" spans="1:20" x14ac:dyDescent="0.35">
      <c r="A2246" s="2" t="s">
        <v>4675</v>
      </c>
      <c r="B2246" s="2" t="s">
        <v>63</v>
      </c>
      <c r="C2246" s="2" t="s">
        <v>4676</v>
      </c>
      <c r="D2246" s="2" t="s">
        <v>48</v>
      </c>
      <c r="E2246" s="2" t="s">
        <v>38</v>
      </c>
      <c r="F2246" s="2" t="s">
        <v>57</v>
      </c>
      <c r="G2246" s="2" t="s">
        <v>700</v>
      </c>
      <c r="H2246" s="3">
        <v>45518.736805555556</v>
      </c>
      <c r="I2246" s="3">
        <v>45518.837500000001</v>
      </c>
      <c r="J2246" s="2">
        <v>70</v>
      </c>
      <c r="K2246" s="2">
        <v>145</v>
      </c>
      <c r="L2246" s="2">
        <v>1</v>
      </c>
      <c r="M2246" s="2" t="s">
        <v>22</v>
      </c>
      <c r="N2246" s="2">
        <v>9</v>
      </c>
      <c r="O2246" s="2">
        <v>230.41</v>
      </c>
      <c r="P2246" s="2">
        <f t="shared" si="175"/>
        <v>75</v>
      </c>
      <c r="Q2246" s="4">
        <f t="shared" si="176"/>
        <v>0.48275862068965519</v>
      </c>
      <c r="R2246" s="2" t="str">
        <f t="shared" si="177"/>
        <v>Inefficient</v>
      </c>
      <c r="S2246" s="2" t="str">
        <f t="shared" si="178"/>
        <v>Very Long</v>
      </c>
      <c r="T2246" s="2" t="str">
        <f t="shared" si="179"/>
        <v>Major Delay</v>
      </c>
    </row>
    <row r="2247" spans="1:20" x14ac:dyDescent="0.35">
      <c r="A2247" s="2" t="s">
        <v>4677</v>
      </c>
      <c r="B2247" s="2" t="s">
        <v>16</v>
      </c>
      <c r="C2247" s="2" t="s">
        <v>4678</v>
      </c>
      <c r="D2247" s="2" t="s">
        <v>44</v>
      </c>
      <c r="E2247" s="2" t="s">
        <v>19</v>
      </c>
      <c r="F2247" s="2" t="s">
        <v>39</v>
      </c>
      <c r="G2247" s="2" t="s">
        <v>91</v>
      </c>
      <c r="H2247" s="3">
        <v>45333.883333333331</v>
      </c>
      <c r="I2247" s="3">
        <v>45334.020833333336</v>
      </c>
      <c r="J2247" s="2">
        <v>183</v>
      </c>
      <c r="K2247" s="2">
        <v>198</v>
      </c>
      <c r="L2247" s="2">
        <v>1</v>
      </c>
      <c r="M2247" s="2" t="s">
        <v>41</v>
      </c>
      <c r="N2247" s="2">
        <v>7</v>
      </c>
      <c r="O2247" s="2">
        <v>229.21</v>
      </c>
      <c r="P2247" s="2">
        <f t="shared" si="175"/>
        <v>15</v>
      </c>
      <c r="Q2247" s="4">
        <f t="shared" si="176"/>
        <v>0.9242424242424242</v>
      </c>
      <c r="R2247" s="2" t="str">
        <f t="shared" si="177"/>
        <v>Inefficient</v>
      </c>
      <c r="S2247" s="2" t="str">
        <f t="shared" si="178"/>
        <v>Very Long</v>
      </c>
      <c r="T2247" s="2" t="str">
        <f t="shared" si="179"/>
        <v>Minor Delay</v>
      </c>
    </row>
    <row r="2248" spans="1:20" x14ac:dyDescent="0.35">
      <c r="A2248" s="2" t="s">
        <v>4679</v>
      </c>
      <c r="B2248" s="2" t="s">
        <v>51</v>
      </c>
      <c r="C2248" s="2" t="s">
        <v>4680</v>
      </c>
      <c r="D2248" s="2" t="s">
        <v>18</v>
      </c>
      <c r="E2248" s="2" t="s">
        <v>33</v>
      </c>
      <c r="F2248" s="2" t="s">
        <v>27</v>
      </c>
      <c r="G2248" s="2" t="s">
        <v>321</v>
      </c>
      <c r="H2248" s="3">
        <v>45470.180555555555</v>
      </c>
      <c r="I2248" s="3">
        <v>45470.279166666667</v>
      </c>
      <c r="J2248" s="2">
        <v>34</v>
      </c>
      <c r="K2248" s="2">
        <v>142</v>
      </c>
      <c r="L2248" s="2">
        <v>1</v>
      </c>
      <c r="M2248" s="2" t="s">
        <v>41</v>
      </c>
      <c r="N2248" s="2">
        <v>7</v>
      </c>
      <c r="O2248" s="2">
        <v>140.47999999999999</v>
      </c>
      <c r="P2248" s="2">
        <f t="shared" si="175"/>
        <v>108</v>
      </c>
      <c r="Q2248" s="4">
        <f t="shared" si="176"/>
        <v>0.23943661971830985</v>
      </c>
      <c r="R2248" s="2" t="str">
        <f t="shared" si="177"/>
        <v>Inefficient</v>
      </c>
      <c r="S2248" s="2" t="str">
        <f t="shared" si="178"/>
        <v>Very Long</v>
      </c>
      <c r="T2248" s="2" t="str">
        <f t="shared" si="179"/>
        <v>Major Delay</v>
      </c>
    </row>
    <row r="2249" spans="1:20" x14ac:dyDescent="0.35">
      <c r="A2249" s="2" t="s">
        <v>4681</v>
      </c>
      <c r="B2249" s="2" t="s">
        <v>63</v>
      </c>
      <c r="C2249" s="2" t="s">
        <v>4682</v>
      </c>
      <c r="D2249" s="2" t="s">
        <v>18</v>
      </c>
      <c r="E2249" s="2" t="s">
        <v>38</v>
      </c>
      <c r="F2249" s="2" t="s">
        <v>39</v>
      </c>
      <c r="G2249" s="2" t="s">
        <v>521</v>
      </c>
      <c r="H2249" s="3">
        <v>45555.011805555558</v>
      </c>
      <c r="I2249" s="3">
        <v>45555.170138888891</v>
      </c>
      <c r="J2249" s="2">
        <v>146</v>
      </c>
      <c r="K2249" s="2">
        <v>228</v>
      </c>
      <c r="L2249" s="2">
        <v>1</v>
      </c>
      <c r="M2249" s="2" t="s">
        <v>41</v>
      </c>
      <c r="N2249" s="2">
        <v>4</v>
      </c>
      <c r="O2249" s="2">
        <v>245.99</v>
      </c>
      <c r="P2249" s="2">
        <f t="shared" si="175"/>
        <v>82</v>
      </c>
      <c r="Q2249" s="4">
        <f t="shared" si="176"/>
        <v>0.64035087719298245</v>
      </c>
      <c r="R2249" s="2" t="str">
        <f t="shared" si="177"/>
        <v>Inefficient</v>
      </c>
      <c r="S2249" s="2" t="str">
        <f t="shared" si="178"/>
        <v>Very Long</v>
      </c>
      <c r="T2249" s="2" t="str">
        <f t="shared" si="179"/>
        <v>Major Delay</v>
      </c>
    </row>
    <row r="2250" spans="1:20" x14ac:dyDescent="0.35">
      <c r="A2250" s="2" t="s">
        <v>4683</v>
      </c>
      <c r="B2250" s="2" t="s">
        <v>63</v>
      </c>
      <c r="C2250" s="2" t="s">
        <v>4684</v>
      </c>
      <c r="D2250" s="2" t="s">
        <v>26</v>
      </c>
      <c r="E2250" s="2" t="s">
        <v>85</v>
      </c>
      <c r="F2250" s="2" t="s">
        <v>34</v>
      </c>
      <c r="G2250" s="2" t="s">
        <v>28</v>
      </c>
      <c r="H2250" s="3">
        <v>45631.654861111114</v>
      </c>
      <c r="I2250" s="3">
        <v>45631.759722222225</v>
      </c>
      <c r="J2250" s="2">
        <v>80</v>
      </c>
      <c r="K2250" s="2">
        <v>151</v>
      </c>
      <c r="L2250" s="2">
        <v>1</v>
      </c>
      <c r="M2250" s="2" t="s">
        <v>29</v>
      </c>
      <c r="N2250" s="2">
        <v>7</v>
      </c>
      <c r="O2250" s="2">
        <v>457.85</v>
      </c>
      <c r="P2250" s="2">
        <f t="shared" si="175"/>
        <v>71</v>
      </c>
      <c r="Q2250" s="4">
        <f t="shared" si="176"/>
        <v>0.5298013245033113</v>
      </c>
      <c r="R2250" s="2" t="str">
        <f t="shared" si="177"/>
        <v>Inefficient</v>
      </c>
      <c r="S2250" s="2" t="str">
        <f t="shared" si="178"/>
        <v>Very Long</v>
      </c>
      <c r="T2250" s="2" t="str">
        <f t="shared" si="179"/>
        <v>Major Delay</v>
      </c>
    </row>
    <row r="2251" spans="1:20" x14ac:dyDescent="0.35">
      <c r="A2251" s="2" t="s">
        <v>4685</v>
      </c>
      <c r="B2251" s="2" t="s">
        <v>63</v>
      </c>
      <c r="C2251" s="2" t="s">
        <v>4686</v>
      </c>
      <c r="D2251" s="2" t="s">
        <v>18</v>
      </c>
      <c r="E2251" s="2" t="s">
        <v>33</v>
      </c>
      <c r="F2251" s="2" t="s">
        <v>27</v>
      </c>
      <c r="G2251" s="2" t="s">
        <v>194</v>
      </c>
      <c r="H2251" s="3">
        <v>45516.620138888888</v>
      </c>
      <c r="I2251" s="3">
        <v>45516.748611111114</v>
      </c>
      <c r="J2251" s="2">
        <v>127</v>
      </c>
      <c r="K2251" s="2">
        <v>185</v>
      </c>
      <c r="L2251" s="2">
        <v>1</v>
      </c>
      <c r="M2251" s="2" t="s">
        <v>22</v>
      </c>
      <c r="N2251" s="2">
        <v>6</v>
      </c>
      <c r="O2251" s="2">
        <v>326.24</v>
      </c>
      <c r="P2251" s="2">
        <f t="shared" si="175"/>
        <v>58</v>
      </c>
      <c r="Q2251" s="4">
        <f t="shared" si="176"/>
        <v>0.68648648648648647</v>
      </c>
      <c r="R2251" s="2" t="str">
        <f t="shared" si="177"/>
        <v>Inefficient</v>
      </c>
      <c r="S2251" s="2" t="str">
        <f t="shared" si="178"/>
        <v>Very Long</v>
      </c>
      <c r="T2251" s="2" t="str">
        <f t="shared" si="179"/>
        <v>Major Delay</v>
      </c>
    </row>
    <row r="2252" spans="1:20" x14ac:dyDescent="0.35">
      <c r="A2252" s="2" t="s">
        <v>4687</v>
      </c>
      <c r="B2252" s="2" t="s">
        <v>63</v>
      </c>
      <c r="C2252" s="2" t="s">
        <v>4688</v>
      </c>
      <c r="D2252" s="2" t="s">
        <v>48</v>
      </c>
      <c r="E2252" s="2" t="s">
        <v>85</v>
      </c>
      <c r="F2252" s="2" t="s">
        <v>34</v>
      </c>
      <c r="G2252" s="2" t="s">
        <v>91</v>
      </c>
      <c r="H2252" s="3">
        <v>45552.315972222219</v>
      </c>
      <c r="I2252" s="3">
        <v>45552.456250000003</v>
      </c>
      <c r="J2252" s="2">
        <v>145</v>
      </c>
      <c r="K2252" s="2">
        <v>202</v>
      </c>
      <c r="L2252" s="2">
        <v>1</v>
      </c>
      <c r="M2252" s="2" t="s">
        <v>29</v>
      </c>
      <c r="N2252" s="2">
        <v>10</v>
      </c>
      <c r="O2252" s="2">
        <v>362.04</v>
      </c>
      <c r="P2252" s="2">
        <f t="shared" si="175"/>
        <v>57</v>
      </c>
      <c r="Q2252" s="4">
        <f t="shared" si="176"/>
        <v>0.71782178217821779</v>
      </c>
      <c r="R2252" s="2" t="str">
        <f t="shared" si="177"/>
        <v>Inefficient</v>
      </c>
      <c r="S2252" s="2" t="str">
        <f t="shared" si="178"/>
        <v>Very Long</v>
      </c>
      <c r="T2252" s="2" t="str">
        <f t="shared" si="179"/>
        <v>Major Delay</v>
      </c>
    </row>
    <row r="2253" spans="1:20" x14ac:dyDescent="0.35">
      <c r="A2253" s="2" t="s">
        <v>4689</v>
      </c>
      <c r="B2253" s="2" t="s">
        <v>31</v>
      </c>
      <c r="C2253" s="2" t="s">
        <v>4690</v>
      </c>
      <c r="D2253" s="2" t="s">
        <v>26</v>
      </c>
      <c r="E2253" s="2" t="s">
        <v>38</v>
      </c>
      <c r="F2253" s="2" t="s">
        <v>20</v>
      </c>
      <c r="G2253" s="2" t="s">
        <v>311</v>
      </c>
      <c r="H2253" s="3">
        <v>45533.157638888886</v>
      </c>
      <c r="I2253" s="3">
        <v>45533.23541666667</v>
      </c>
      <c r="J2253" s="2">
        <v>98</v>
      </c>
      <c r="K2253" s="2">
        <v>112</v>
      </c>
      <c r="L2253" s="2">
        <v>1</v>
      </c>
      <c r="M2253" s="2" t="s">
        <v>22</v>
      </c>
      <c r="N2253" s="2">
        <v>5</v>
      </c>
      <c r="O2253" s="2">
        <v>408.14</v>
      </c>
      <c r="P2253" s="2">
        <f t="shared" si="175"/>
        <v>14</v>
      </c>
      <c r="Q2253" s="4">
        <f t="shared" si="176"/>
        <v>0.875</v>
      </c>
      <c r="R2253" s="2" t="str">
        <f t="shared" si="177"/>
        <v>Inefficient</v>
      </c>
      <c r="S2253" s="2" t="str">
        <f t="shared" si="178"/>
        <v>Long</v>
      </c>
      <c r="T2253" s="2" t="str">
        <f t="shared" si="179"/>
        <v>Minor Delay</v>
      </c>
    </row>
    <row r="2254" spans="1:20" x14ac:dyDescent="0.35">
      <c r="A2254" s="2" t="s">
        <v>4691</v>
      </c>
      <c r="B2254" s="2" t="s">
        <v>24</v>
      </c>
      <c r="C2254" s="2" t="s">
        <v>4692</v>
      </c>
      <c r="D2254" s="2" t="s">
        <v>44</v>
      </c>
      <c r="E2254" s="2" t="s">
        <v>33</v>
      </c>
      <c r="F2254" s="2" t="s">
        <v>27</v>
      </c>
      <c r="G2254" s="2" t="s">
        <v>321</v>
      </c>
      <c r="H2254" s="3">
        <v>45341.414583333331</v>
      </c>
      <c r="I2254" s="3">
        <v>45341.484027777777</v>
      </c>
      <c r="J2254" s="2">
        <v>25</v>
      </c>
      <c r="K2254" s="2">
        <v>100</v>
      </c>
      <c r="L2254" s="2">
        <v>1</v>
      </c>
      <c r="M2254" s="2" t="s">
        <v>41</v>
      </c>
      <c r="N2254" s="2">
        <v>9</v>
      </c>
      <c r="O2254" s="2">
        <v>109.88</v>
      </c>
      <c r="P2254" s="2">
        <f t="shared" si="175"/>
        <v>75</v>
      </c>
      <c r="Q2254" s="4">
        <f t="shared" si="176"/>
        <v>0.25</v>
      </c>
      <c r="R2254" s="2" t="str">
        <f t="shared" si="177"/>
        <v>Inefficient</v>
      </c>
      <c r="S2254" s="2" t="str">
        <f t="shared" si="178"/>
        <v>Long</v>
      </c>
      <c r="T2254" s="2" t="str">
        <f t="shared" si="179"/>
        <v>Major Delay</v>
      </c>
    </row>
    <row r="2255" spans="1:20" x14ac:dyDescent="0.35">
      <c r="A2255" s="2" t="s">
        <v>4693</v>
      </c>
      <c r="B2255" s="2" t="s">
        <v>51</v>
      </c>
      <c r="C2255" s="2" t="s">
        <v>4694</v>
      </c>
      <c r="D2255" s="2" t="s">
        <v>26</v>
      </c>
      <c r="E2255" s="2" t="s">
        <v>85</v>
      </c>
      <c r="F2255" s="2" t="s">
        <v>34</v>
      </c>
      <c r="G2255" s="2" t="s">
        <v>669</v>
      </c>
      <c r="H2255" s="3">
        <v>45637.354861111111</v>
      </c>
      <c r="I2255" s="3">
        <v>45637.571527777778</v>
      </c>
      <c r="J2255" s="2">
        <v>207</v>
      </c>
      <c r="K2255" s="2">
        <v>312</v>
      </c>
      <c r="L2255" s="2">
        <v>1</v>
      </c>
      <c r="M2255" s="2" t="s">
        <v>41</v>
      </c>
      <c r="N2255" s="2">
        <v>7</v>
      </c>
      <c r="O2255" s="2">
        <v>315.14</v>
      </c>
      <c r="P2255" s="2">
        <f t="shared" si="175"/>
        <v>105</v>
      </c>
      <c r="Q2255" s="4">
        <f t="shared" si="176"/>
        <v>0.66346153846153844</v>
      </c>
      <c r="R2255" s="2" t="str">
        <f t="shared" si="177"/>
        <v>Inefficient</v>
      </c>
      <c r="S2255" s="2" t="str">
        <f t="shared" si="178"/>
        <v>Very Long</v>
      </c>
      <c r="T2255" s="2" t="str">
        <f t="shared" si="179"/>
        <v>Major Delay</v>
      </c>
    </row>
    <row r="2256" spans="1:20" x14ac:dyDescent="0.35">
      <c r="A2256" s="2" t="s">
        <v>4695</v>
      </c>
      <c r="B2256" s="2" t="s">
        <v>63</v>
      </c>
      <c r="C2256" s="2" t="s">
        <v>4696</v>
      </c>
      <c r="D2256" s="2" t="s">
        <v>18</v>
      </c>
      <c r="E2256" s="2" t="s">
        <v>33</v>
      </c>
      <c r="F2256" s="2" t="s">
        <v>34</v>
      </c>
      <c r="G2256" s="2" t="s">
        <v>143</v>
      </c>
      <c r="H2256" s="3">
        <v>45318.827777777777</v>
      </c>
      <c r="I2256" s="3">
        <v>45319.022222222222</v>
      </c>
      <c r="J2256" s="2">
        <v>197</v>
      </c>
      <c r="K2256" s="2">
        <v>280</v>
      </c>
      <c r="L2256" s="2">
        <v>1</v>
      </c>
      <c r="M2256" s="2" t="s">
        <v>41</v>
      </c>
      <c r="N2256" s="2">
        <v>6</v>
      </c>
      <c r="O2256" s="2">
        <v>54.71</v>
      </c>
      <c r="P2256" s="2">
        <f t="shared" si="175"/>
        <v>83</v>
      </c>
      <c r="Q2256" s="4">
        <f t="shared" si="176"/>
        <v>0.70357142857142863</v>
      </c>
      <c r="R2256" s="2" t="str">
        <f t="shared" si="177"/>
        <v>Inefficient</v>
      </c>
      <c r="S2256" s="2" t="str">
        <f t="shared" si="178"/>
        <v>Very Long</v>
      </c>
      <c r="T2256" s="2" t="str">
        <f t="shared" si="179"/>
        <v>Major Delay</v>
      </c>
    </row>
    <row r="2257" spans="1:20" x14ac:dyDescent="0.35">
      <c r="A2257" s="2" t="s">
        <v>4697</v>
      </c>
      <c r="B2257" s="2" t="s">
        <v>51</v>
      </c>
      <c r="C2257" s="2" t="s">
        <v>4698</v>
      </c>
      <c r="D2257" s="2" t="s">
        <v>26</v>
      </c>
      <c r="E2257" s="2" t="s">
        <v>33</v>
      </c>
      <c r="F2257" s="2" t="s">
        <v>34</v>
      </c>
      <c r="G2257" s="2" t="s">
        <v>1030</v>
      </c>
      <c r="H2257" s="3">
        <v>45608.265972222223</v>
      </c>
      <c r="I2257" s="3">
        <v>45608.429166666669</v>
      </c>
      <c r="J2257" s="2">
        <v>220</v>
      </c>
      <c r="K2257" s="2">
        <v>235</v>
      </c>
      <c r="L2257" s="2">
        <v>1</v>
      </c>
      <c r="M2257" s="2" t="s">
        <v>29</v>
      </c>
      <c r="N2257" s="2">
        <v>1</v>
      </c>
      <c r="O2257" s="2">
        <v>50.65</v>
      </c>
      <c r="P2257" s="2">
        <f t="shared" si="175"/>
        <v>15</v>
      </c>
      <c r="Q2257" s="4">
        <f t="shared" si="176"/>
        <v>0.93617021276595747</v>
      </c>
      <c r="R2257" s="2" t="str">
        <f t="shared" si="177"/>
        <v>Inefficient</v>
      </c>
      <c r="S2257" s="2" t="str">
        <f t="shared" si="178"/>
        <v>Very Long</v>
      </c>
      <c r="T2257" s="2" t="str">
        <f t="shared" si="179"/>
        <v>Minor Delay</v>
      </c>
    </row>
    <row r="2258" spans="1:20" x14ac:dyDescent="0.35">
      <c r="A2258" s="2" t="s">
        <v>4699</v>
      </c>
      <c r="B2258" s="2" t="s">
        <v>63</v>
      </c>
      <c r="C2258" s="2" t="s">
        <v>4700</v>
      </c>
      <c r="D2258" s="2" t="s">
        <v>18</v>
      </c>
      <c r="E2258" s="2" t="s">
        <v>33</v>
      </c>
      <c r="F2258" s="2" t="s">
        <v>57</v>
      </c>
      <c r="G2258" s="2" t="s">
        <v>265</v>
      </c>
      <c r="H2258" s="3">
        <v>45354.495833333334</v>
      </c>
      <c r="I2258" s="3">
        <v>45354.620833333334</v>
      </c>
      <c r="J2258" s="2">
        <v>112</v>
      </c>
      <c r="K2258" s="2">
        <v>180</v>
      </c>
      <c r="L2258" s="2">
        <v>1</v>
      </c>
      <c r="M2258" s="2" t="s">
        <v>29</v>
      </c>
      <c r="N2258" s="2">
        <v>10</v>
      </c>
      <c r="O2258" s="2">
        <v>79.14</v>
      </c>
      <c r="P2258" s="2">
        <f t="shared" si="175"/>
        <v>68</v>
      </c>
      <c r="Q2258" s="4">
        <f t="shared" si="176"/>
        <v>0.62222222222222223</v>
      </c>
      <c r="R2258" s="2" t="str">
        <f t="shared" si="177"/>
        <v>Inefficient</v>
      </c>
      <c r="S2258" s="2" t="str">
        <f t="shared" si="178"/>
        <v>Very Long</v>
      </c>
      <c r="T2258" s="2" t="str">
        <f t="shared" si="179"/>
        <v>Major Delay</v>
      </c>
    </row>
    <row r="2259" spans="1:20" x14ac:dyDescent="0.35">
      <c r="A2259" s="2" t="s">
        <v>4701</v>
      </c>
      <c r="B2259" s="2" t="s">
        <v>31</v>
      </c>
      <c r="C2259" s="2" t="s">
        <v>4702</v>
      </c>
      <c r="D2259" s="2" t="s">
        <v>26</v>
      </c>
      <c r="E2259" s="2" t="s">
        <v>85</v>
      </c>
      <c r="F2259" s="2" t="s">
        <v>57</v>
      </c>
      <c r="G2259" s="2" t="s">
        <v>265</v>
      </c>
      <c r="H2259" s="3">
        <v>45549.59375</v>
      </c>
      <c r="I2259" s="3">
        <v>45549.635416666664</v>
      </c>
      <c r="J2259" s="2">
        <v>51</v>
      </c>
      <c r="K2259" s="2">
        <v>60</v>
      </c>
      <c r="L2259" s="2">
        <v>1</v>
      </c>
      <c r="M2259" s="2" t="s">
        <v>22</v>
      </c>
      <c r="N2259" s="2">
        <v>7</v>
      </c>
      <c r="O2259" s="2">
        <v>421.58</v>
      </c>
      <c r="P2259" s="2">
        <f t="shared" si="175"/>
        <v>9</v>
      </c>
      <c r="Q2259" s="4">
        <f t="shared" si="176"/>
        <v>0.85</v>
      </c>
      <c r="R2259" s="2" t="str">
        <f t="shared" si="177"/>
        <v>Inefficient</v>
      </c>
      <c r="S2259" s="2" t="str">
        <f t="shared" si="178"/>
        <v>Long</v>
      </c>
      <c r="T2259" s="2" t="str">
        <f t="shared" si="179"/>
        <v>Minor Delay</v>
      </c>
    </row>
    <row r="2260" spans="1:20" x14ac:dyDescent="0.35">
      <c r="A2260" s="2" t="s">
        <v>4703</v>
      </c>
      <c r="B2260" s="2" t="s">
        <v>51</v>
      </c>
      <c r="C2260" s="2" t="s">
        <v>4704</v>
      </c>
      <c r="D2260" s="2" t="s">
        <v>18</v>
      </c>
      <c r="E2260" s="2" t="s">
        <v>38</v>
      </c>
      <c r="F2260" s="2" t="s">
        <v>39</v>
      </c>
      <c r="G2260" s="2" t="s">
        <v>376</v>
      </c>
      <c r="H2260" s="3">
        <v>45333.806944444441</v>
      </c>
      <c r="I2260" s="3">
        <v>45333.967361111114</v>
      </c>
      <c r="J2260" s="2">
        <v>207</v>
      </c>
      <c r="K2260" s="2">
        <v>231</v>
      </c>
      <c r="L2260" s="2">
        <v>1</v>
      </c>
      <c r="M2260" s="2" t="s">
        <v>41</v>
      </c>
      <c r="N2260" s="2">
        <v>9</v>
      </c>
      <c r="O2260" s="2">
        <v>355.95</v>
      </c>
      <c r="P2260" s="2">
        <f t="shared" si="175"/>
        <v>24</v>
      </c>
      <c r="Q2260" s="4">
        <f t="shared" si="176"/>
        <v>0.89610389610389607</v>
      </c>
      <c r="R2260" s="2" t="str">
        <f t="shared" si="177"/>
        <v>Inefficient</v>
      </c>
      <c r="S2260" s="2" t="str">
        <f t="shared" si="178"/>
        <v>Very Long</v>
      </c>
      <c r="T2260" s="2" t="str">
        <f t="shared" si="179"/>
        <v>Minor Delay</v>
      </c>
    </row>
    <row r="2261" spans="1:20" x14ac:dyDescent="0.35">
      <c r="A2261" s="2" t="s">
        <v>4705</v>
      </c>
      <c r="B2261" s="2" t="s">
        <v>31</v>
      </c>
      <c r="C2261" s="2" t="s">
        <v>4706</v>
      </c>
      <c r="D2261" s="2" t="s">
        <v>18</v>
      </c>
      <c r="E2261" s="2" t="s">
        <v>38</v>
      </c>
      <c r="F2261" s="2" t="s">
        <v>39</v>
      </c>
      <c r="G2261" s="2" t="s">
        <v>1172</v>
      </c>
      <c r="H2261" s="3">
        <v>45499.965277777781</v>
      </c>
      <c r="I2261" s="3">
        <v>45500.146527777775</v>
      </c>
      <c r="J2261" s="2">
        <v>235</v>
      </c>
      <c r="K2261" s="2">
        <v>261</v>
      </c>
      <c r="L2261" s="2">
        <v>1</v>
      </c>
      <c r="M2261" s="2" t="s">
        <v>41</v>
      </c>
      <c r="N2261" s="2">
        <v>2</v>
      </c>
      <c r="O2261" s="2">
        <v>493.23</v>
      </c>
      <c r="P2261" s="2">
        <f t="shared" si="175"/>
        <v>26</v>
      </c>
      <c r="Q2261" s="4">
        <f t="shared" si="176"/>
        <v>0.90038314176245215</v>
      </c>
      <c r="R2261" s="2" t="str">
        <f t="shared" si="177"/>
        <v>Inefficient</v>
      </c>
      <c r="S2261" s="2" t="str">
        <f t="shared" si="178"/>
        <v>Very Long</v>
      </c>
      <c r="T2261" s="2" t="str">
        <f t="shared" si="179"/>
        <v>Minor Delay</v>
      </c>
    </row>
    <row r="2262" spans="1:20" x14ac:dyDescent="0.35">
      <c r="A2262" s="2" t="s">
        <v>4707</v>
      </c>
      <c r="B2262" s="2" t="s">
        <v>63</v>
      </c>
      <c r="C2262" s="2" t="s">
        <v>4708</v>
      </c>
      <c r="D2262" s="2" t="s">
        <v>48</v>
      </c>
      <c r="E2262" s="2" t="s">
        <v>38</v>
      </c>
      <c r="F2262" s="2" t="s">
        <v>27</v>
      </c>
      <c r="G2262" s="2" t="s">
        <v>204</v>
      </c>
      <c r="H2262" s="3">
        <v>45462.26458333333</v>
      </c>
      <c r="I2262" s="3">
        <v>45462.395138888889</v>
      </c>
      <c r="J2262" s="2">
        <v>87</v>
      </c>
      <c r="K2262" s="2">
        <v>188</v>
      </c>
      <c r="L2262" s="2">
        <v>1</v>
      </c>
      <c r="M2262" s="2" t="s">
        <v>22</v>
      </c>
      <c r="N2262" s="2">
        <v>9</v>
      </c>
      <c r="O2262" s="2">
        <v>354.41</v>
      </c>
      <c r="P2262" s="2">
        <f t="shared" si="175"/>
        <v>101</v>
      </c>
      <c r="Q2262" s="4">
        <f t="shared" si="176"/>
        <v>0.46276595744680848</v>
      </c>
      <c r="R2262" s="2" t="str">
        <f t="shared" si="177"/>
        <v>Inefficient</v>
      </c>
      <c r="S2262" s="2" t="str">
        <f t="shared" si="178"/>
        <v>Very Long</v>
      </c>
      <c r="T2262" s="2" t="str">
        <f t="shared" si="179"/>
        <v>Major Delay</v>
      </c>
    </row>
    <row r="2263" spans="1:20" x14ac:dyDescent="0.35">
      <c r="A2263" s="2" t="s">
        <v>4709</v>
      </c>
      <c r="B2263" s="2" t="s">
        <v>16</v>
      </c>
      <c r="C2263" s="2" t="s">
        <v>4710</v>
      </c>
      <c r="D2263" s="2" t="s">
        <v>48</v>
      </c>
      <c r="E2263" s="2" t="s">
        <v>38</v>
      </c>
      <c r="F2263" s="2" t="s">
        <v>57</v>
      </c>
      <c r="G2263" s="2" t="s">
        <v>170</v>
      </c>
      <c r="H2263" s="3">
        <v>45496.948611111111</v>
      </c>
      <c r="I2263" s="3">
        <v>45497.046527777777</v>
      </c>
      <c r="J2263" s="2">
        <v>127</v>
      </c>
      <c r="K2263" s="2">
        <v>141</v>
      </c>
      <c r="L2263" s="2">
        <v>1</v>
      </c>
      <c r="M2263" s="2" t="s">
        <v>22</v>
      </c>
      <c r="N2263" s="2">
        <v>2</v>
      </c>
      <c r="O2263" s="2">
        <v>263.37</v>
      </c>
      <c r="P2263" s="2">
        <f t="shared" si="175"/>
        <v>14</v>
      </c>
      <c r="Q2263" s="4">
        <f t="shared" si="176"/>
        <v>0.900709219858156</v>
      </c>
      <c r="R2263" s="2" t="str">
        <f t="shared" si="177"/>
        <v>Inefficient</v>
      </c>
      <c r="S2263" s="2" t="str">
        <f t="shared" si="178"/>
        <v>Very Long</v>
      </c>
      <c r="T2263" s="2" t="str">
        <f t="shared" si="179"/>
        <v>Minor Delay</v>
      </c>
    </row>
    <row r="2264" spans="1:20" x14ac:dyDescent="0.35">
      <c r="A2264" s="2" t="s">
        <v>4711</v>
      </c>
      <c r="B2264" s="2" t="s">
        <v>31</v>
      </c>
      <c r="C2264" s="2" t="s">
        <v>4712</v>
      </c>
      <c r="D2264" s="2" t="s">
        <v>26</v>
      </c>
      <c r="E2264" s="2" t="s">
        <v>38</v>
      </c>
      <c r="F2264" s="2" t="s">
        <v>39</v>
      </c>
      <c r="G2264" s="2" t="s">
        <v>149</v>
      </c>
      <c r="H2264" s="3">
        <v>45619.073611111111</v>
      </c>
      <c r="I2264" s="3">
        <v>45619.207638888889</v>
      </c>
      <c r="J2264" s="2">
        <v>193</v>
      </c>
      <c r="K2264" s="2">
        <v>193</v>
      </c>
      <c r="L2264" s="2">
        <v>0</v>
      </c>
      <c r="M2264" s="2" t="s">
        <v>29</v>
      </c>
      <c r="N2264" s="2">
        <v>2</v>
      </c>
      <c r="O2264" s="2">
        <v>295</v>
      </c>
      <c r="P2264" s="2">
        <f t="shared" si="175"/>
        <v>0</v>
      </c>
      <c r="Q2264" s="4">
        <f t="shared" si="176"/>
        <v>1</v>
      </c>
      <c r="R2264" s="2" t="str">
        <f t="shared" si="177"/>
        <v>On Target</v>
      </c>
      <c r="S2264" s="2" t="str">
        <f t="shared" si="178"/>
        <v>Very Long</v>
      </c>
      <c r="T2264" s="2" t="str">
        <f t="shared" si="179"/>
        <v>On Time</v>
      </c>
    </row>
    <row r="2265" spans="1:20" x14ac:dyDescent="0.35">
      <c r="A2265" s="2" t="s">
        <v>4713</v>
      </c>
      <c r="B2265" s="2" t="s">
        <v>51</v>
      </c>
      <c r="C2265" s="2" t="s">
        <v>4714</v>
      </c>
      <c r="D2265" s="2" t="s">
        <v>18</v>
      </c>
      <c r="E2265" s="2" t="s">
        <v>38</v>
      </c>
      <c r="F2265" s="2" t="s">
        <v>39</v>
      </c>
      <c r="G2265" s="2" t="s">
        <v>983</v>
      </c>
      <c r="H2265" s="3">
        <v>45370.449305555558</v>
      </c>
      <c r="I2265" s="3">
        <v>45370.519444444442</v>
      </c>
      <c r="J2265" s="2">
        <v>30</v>
      </c>
      <c r="K2265" s="2">
        <v>101</v>
      </c>
      <c r="L2265" s="2">
        <v>1</v>
      </c>
      <c r="M2265" s="2" t="s">
        <v>41</v>
      </c>
      <c r="N2265" s="2">
        <v>4</v>
      </c>
      <c r="O2265" s="2">
        <v>246.6</v>
      </c>
      <c r="P2265" s="2">
        <f t="shared" si="175"/>
        <v>71</v>
      </c>
      <c r="Q2265" s="4">
        <f t="shared" si="176"/>
        <v>0.29702970297029702</v>
      </c>
      <c r="R2265" s="2" t="str">
        <f t="shared" si="177"/>
        <v>Inefficient</v>
      </c>
      <c r="S2265" s="2" t="str">
        <f t="shared" si="178"/>
        <v>Long</v>
      </c>
      <c r="T2265" s="2" t="str">
        <f t="shared" si="179"/>
        <v>Major Delay</v>
      </c>
    </row>
    <row r="2266" spans="1:20" x14ac:dyDescent="0.35">
      <c r="A2266" s="2" t="s">
        <v>4715</v>
      </c>
      <c r="B2266" s="2" t="s">
        <v>16</v>
      </c>
      <c r="C2266" s="2" t="s">
        <v>4716</v>
      </c>
      <c r="D2266" s="2" t="s">
        <v>26</v>
      </c>
      <c r="E2266" s="2" t="s">
        <v>33</v>
      </c>
      <c r="F2266" s="2" t="s">
        <v>34</v>
      </c>
      <c r="G2266" s="2" t="s">
        <v>231</v>
      </c>
      <c r="H2266" s="3">
        <v>45455.286111111112</v>
      </c>
      <c r="I2266" s="3">
        <v>45455.369444444441</v>
      </c>
      <c r="J2266" s="2">
        <v>122</v>
      </c>
      <c r="K2266" s="2">
        <v>120</v>
      </c>
      <c r="L2266" s="2">
        <v>0</v>
      </c>
      <c r="M2266" s="2" t="s">
        <v>29</v>
      </c>
      <c r="N2266" s="2">
        <v>3</v>
      </c>
      <c r="O2266" s="2">
        <v>120</v>
      </c>
      <c r="P2266" s="2">
        <f t="shared" si="175"/>
        <v>-2</v>
      </c>
      <c r="Q2266" s="4">
        <f t="shared" si="176"/>
        <v>1.0166666666666666</v>
      </c>
      <c r="R2266" s="2" t="str">
        <f t="shared" si="177"/>
        <v>Efficient</v>
      </c>
      <c r="S2266" s="2" t="str">
        <f t="shared" si="178"/>
        <v>Very Long</v>
      </c>
      <c r="T2266" s="2" t="str">
        <f t="shared" si="179"/>
        <v>On Time</v>
      </c>
    </row>
    <row r="2267" spans="1:20" x14ac:dyDescent="0.35">
      <c r="A2267" s="2" t="s">
        <v>4717</v>
      </c>
      <c r="B2267" s="2" t="s">
        <v>24</v>
      </c>
      <c r="C2267" s="2" t="s">
        <v>4718</v>
      </c>
      <c r="D2267" s="2" t="s">
        <v>48</v>
      </c>
      <c r="E2267" s="2" t="s">
        <v>19</v>
      </c>
      <c r="F2267" s="2" t="s">
        <v>57</v>
      </c>
      <c r="G2267" s="2" t="s">
        <v>129</v>
      </c>
      <c r="H2267" s="3">
        <v>45597.672222222223</v>
      </c>
      <c r="I2267" s="3">
        <v>45597.899305555555</v>
      </c>
      <c r="J2267" s="2">
        <v>233</v>
      </c>
      <c r="K2267" s="2">
        <v>327</v>
      </c>
      <c r="L2267" s="2">
        <v>1</v>
      </c>
      <c r="M2267" s="2" t="s">
        <v>29</v>
      </c>
      <c r="N2267" s="2">
        <v>3</v>
      </c>
      <c r="O2267" s="2">
        <v>303.42</v>
      </c>
      <c r="P2267" s="2">
        <f t="shared" si="175"/>
        <v>94</v>
      </c>
      <c r="Q2267" s="4">
        <f t="shared" si="176"/>
        <v>0.71253822629969421</v>
      </c>
      <c r="R2267" s="2" t="str">
        <f t="shared" si="177"/>
        <v>Inefficient</v>
      </c>
      <c r="S2267" s="2" t="str">
        <f t="shared" si="178"/>
        <v>Very Long</v>
      </c>
      <c r="T2267" s="2" t="str">
        <f t="shared" si="179"/>
        <v>Major Delay</v>
      </c>
    </row>
    <row r="2268" spans="1:20" x14ac:dyDescent="0.35">
      <c r="A2268" s="2" t="s">
        <v>4719</v>
      </c>
      <c r="B2268" s="2" t="s">
        <v>24</v>
      </c>
      <c r="C2268" s="2" t="s">
        <v>4720</v>
      </c>
      <c r="D2268" s="2" t="s">
        <v>18</v>
      </c>
      <c r="E2268" s="2" t="s">
        <v>33</v>
      </c>
      <c r="F2268" s="2" t="s">
        <v>39</v>
      </c>
      <c r="G2268" s="2" t="s">
        <v>754</v>
      </c>
      <c r="H2268" s="3">
        <v>45617.113194444442</v>
      </c>
      <c r="I2268" s="3">
        <v>45617.157638888886</v>
      </c>
      <c r="J2268" s="2">
        <v>40</v>
      </c>
      <c r="K2268" s="2">
        <v>64</v>
      </c>
      <c r="L2268" s="2">
        <v>1</v>
      </c>
      <c r="M2268" s="2" t="s">
        <v>22</v>
      </c>
      <c r="N2268" s="2">
        <v>4</v>
      </c>
      <c r="O2268" s="2">
        <v>187.82</v>
      </c>
      <c r="P2268" s="2">
        <f t="shared" si="175"/>
        <v>24</v>
      </c>
      <c r="Q2268" s="4">
        <f t="shared" si="176"/>
        <v>0.625</v>
      </c>
      <c r="R2268" s="2" t="str">
        <f t="shared" si="177"/>
        <v>Inefficient</v>
      </c>
      <c r="S2268" s="2" t="str">
        <f t="shared" si="178"/>
        <v>Long</v>
      </c>
      <c r="T2268" s="2" t="str">
        <f t="shared" si="179"/>
        <v>Minor Delay</v>
      </c>
    </row>
    <row r="2269" spans="1:20" x14ac:dyDescent="0.35">
      <c r="A2269" s="2" t="s">
        <v>4721</v>
      </c>
      <c r="B2269" s="2" t="s">
        <v>24</v>
      </c>
      <c r="C2269" s="2" t="s">
        <v>4722</v>
      </c>
      <c r="D2269" s="2" t="s">
        <v>48</v>
      </c>
      <c r="E2269" s="2" t="s">
        <v>19</v>
      </c>
      <c r="F2269" s="2" t="s">
        <v>34</v>
      </c>
      <c r="G2269" s="2" t="s">
        <v>526</v>
      </c>
      <c r="H2269" s="3">
        <v>45563.21875</v>
      </c>
      <c r="I2269" s="3">
        <v>45563.32708333333</v>
      </c>
      <c r="J2269" s="2">
        <v>76</v>
      </c>
      <c r="K2269" s="2">
        <v>156</v>
      </c>
      <c r="L2269" s="2">
        <v>1</v>
      </c>
      <c r="M2269" s="2" t="s">
        <v>29</v>
      </c>
      <c r="N2269" s="2">
        <v>9</v>
      </c>
      <c r="O2269" s="2">
        <v>385.52</v>
      </c>
      <c r="P2269" s="2">
        <f t="shared" si="175"/>
        <v>80</v>
      </c>
      <c r="Q2269" s="4">
        <f t="shared" si="176"/>
        <v>0.48717948717948717</v>
      </c>
      <c r="R2269" s="2" t="str">
        <f t="shared" si="177"/>
        <v>Inefficient</v>
      </c>
      <c r="S2269" s="2" t="str">
        <f t="shared" si="178"/>
        <v>Very Long</v>
      </c>
      <c r="T2269" s="2" t="str">
        <f t="shared" si="179"/>
        <v>Major Delay</v>
      </c>
    </row>
    <row r="2270" spans="1:20" x14ac:dyDescent="0.35">
      <c r="A2270" s="2" t="s">
        <v>4723</v>
      </c>
      <c r="B2270" s="2" t="s">
        <v>63</v>
      </c>
      <c r="C2270" s="2" t="s">
        <v>4724</v>
      </c>
      <c r="D2270" s="2" t="s">
        <v>48</v>
      </c>
      <c r="E2270" s="2" t="s">
        <v>85</v>
      </c>
      <c r="F2270" s="2" t="s">
        <v>34</v>
      </c>
      <c r="G2270" s="2" t="s">
        <v>222</v>
      </c>
      <c r="H2270" s="3">
        <v>45607.236805555556</v>
      </c>
      <c r="I2270" s="3">
        <v>45607.290277777778</v>
      </c>
      <c r="J2270" s="2">
        <v>49</v>
      </c>
      <c r="K2270" s="2">
        <v>77</v>
      </c>
      <c r="L2270" s="2">
        <v>1</v>
      </c>
      <c r="M2270" s="2" t="s">
        <v>29</v>
      </c>
      <c r="N2270" s="2">
        <v>2</v>
      </c>
      <c r="O2270" s="2">
        <v>270.06</v>
      </c>
      <c r="P2270" s="2">
        <f t="shared" si="175"/>
        <v>28</v>
      </c>
      <c r="Q2270" s="4">
        <f t="shared" si="176"/>
        <v>0.63636363636363635</v>
      </c>
      <c r="R2270" s="2" t="str">
        <f t="shared" si="177"/>
        <v>Inefficient</v>
      </c>
      <c r="S2270" s="2" t="str">
        <f t="shared" si="178"/>
        <v>Long</v>
      </c>
      <c r="T2270" s="2" t="str">
        <f t="shared" si="179"/>
        <v>Minor Delay</v>
      </c>
    </row>
    <row r="2271" spans="1:20" x14ac:dyDescent="0.35">
      <c r="A2271" s="2" t="s">
        <v>4725</v>
      </c>
      <c r="B2271" s="2" t="s">
        <v>63</v>
      </c>
      <c r="C2271" s="2" t="s">
        <v>4726</v>
      </c>
      <c r="D2271" s="2" t="s">
        <v>48</v>
      </c>
      <c r="E2271" s="2" t="s">
        <v>85</v>
      </c>
      <c r="F2271" s="2" t="s">
        <v>39</v>
      </c>
      <c r="G2271" s="2" t="s">
        <v>296</v>
      </c>
      <c r="H2271" s="3">
        <v>45590.185416666667</v>
      </c>
      <c r="I2271" s="3">
        <v>45590.331250000003</v>
      </c>
      <c r="J2271" s="2">
        <v>203</v>
      </c>
      <c r="K2271" s="2">
        <v>210</v>
      </c>
      <c r="L2271" s="2">
        <v>1</v>
      </c>
      <c r="M2271" s="2" t="s">
        <v>41</v>
      </c>
      <c r="N2271" s="2">
        <v>10</v>
      </c>
      <c r="O2271" s="2">
        <v>447.13</v>
      </c>
      <c r="P2271" s="2">
        <f t="shared" si="175"/>
        <v>7</v>
      </c>
      <c r="Q2271" s="4">
        <f t="shared" si="176"/>
        <v>0.96666666666666667</v>
      </c>
      <c r="R2271" s="2" t="str">
        <f t="shared" si="177"/>
        <v>Inefficient</v>
      </c>
      <c r="S2271" s="2" t="str">
        <f t="shared" si="178"/>
        <v>Very Long</v>
      </c>
      <c r="T2271" s="2" t="str">
        <f t="shared" si="179"/>
        <v>Minor Delay</v>
      </c>
    </row>
    <row r="2272" spans="1:20" x14ac:dyDescent="0.35">
      <c r="A2272" s="2" t="s">
        <v>4727</v>
      </c>
      <c r="B2272" s="2" t="s">
        <v>16</v>
      </c>
      <c r="C2272" s="2" t="s">
        <v>4728</v>
      </c>
      <c r="D2272" s="2" t="s">
        <v>26</v>
      </c>
      <c r="E2272" s="2" t="s">
        <v>33</v>
      </c>
      <c r="F2272" s="2" t="s">
        <v>57</v>
      </c>
      <c r="G2272" s="2" t="s">
        <v>164</v>
      </c>
      <c r="H2272" s="3">
        <v>45506.640277777777</v>
      </c>
      <c r="I2272" s="3">
        <v>45506.792361111111</v>
      </c>
      <c r="J2272" s="2">
        <v>101</v>
      </c>
      <c r="K2272" s="2">
        <v>219</v>
      </c>
      <c r="L2272" s="2">
        <v>1</v>
      </c>
      <c r="M2272" s="2" t="s">
        <v>41</v>
      </c>
      <c r="N2272" s="2">
        <v>6</v>
      </c>
      <c r="O2272" s="2">
        <v>80.02</v>
      </c>
      <c r="P2272" s="2">
        <f t="shared" si="175"/>
        <v>118</v>
      </c>
      <c r="Q2272" s="4">
        <f t="shared" si="176"/>
        <v>0.46118721461187212</v>
      </c>
      <c r="R2272" s="2" t="str">
        <f t="shared" si="177"/>
        <v>Inefficient</v>
      </c>
      <c r="S2272" s="2" t="str">
        <f t="shared" si="178"/>
        <v>Very Long</v>
      </c>
      <c r="T2272" s="2" t="str">
        <f t="shared" si="179"/>
        <v>Major Delay</v>
      </c>
    </row>
    <row r="2273" spans="1:20" x14ac:dyDescent="0.35">
      <c r="A2273" s="2" t="s">
        <v>4729</v>
      </c>
      <c r="B2273" s="2" t="s">
        <v>16</v>
      </c>
      <c r="C2273" s="2" t="s">
        <v>4730</v>
      </c>
      <c r="D2273" s="2" t="s">
        <v>18</v>
      </c>
      <c r="E2273" s="2" t="s">
        <v>85</v>
      </c>
      <c r="F2273" s="2" t="s">
        <v>34</v>
      </c>
      <c r="G2273" s="2" t="s">
        <v>485</v>
      </c>
      <c r="H2273" s="3">
        <v>45407.124305555553</v>
      </c>
      <c r="I2273" s="3">
        <v>45407.222222222219</v>
      </c>
      <c r="J2273" s="2">
        <v>91</v>
      </c>
      <c r="K2273" s="2">
        <v>141</v>
      </c>
      <c r="L2273" s="2">
        <v>1</v>
      </c>
      <c r="M2273" s="2" t="s">
        <v>29</v>
      </c>
      <c r="N2273" s="2">
        <v>2</v>
      </c>
      <c r="O2273" s="2">
        <v>78.400000000000006</v>
      </c>
      <c r="P2273" s="2">
        <f t="shared" si="175"/>
        <v>50</v>
      </c>
      <c r="Q2273" s="4">
        <f t="shared" si="176"/>
        <v>0.64539007092198586</v>
      </c>
      <c r="R2273" s="2" t="str">
        <f t="shared" si="177"/>
        <v>Inefficient</v>
      </c>
      <c r="S2273" s="2" t="str">
        <f t="shared" si="178"/>
        <v>Very Long</v>
      </c>
      <c r="T2273" s="2" t="str">
        <f t="shared" si="179"/>
        <v>Major Delay</v>
      </c>
    </row>
    <row r="2274" spans="1:20" x14ac:dyDescent="0.35">
      <c r="A2274" s="2" t="s">
        <v>4731</v>
      </c>
      <c r="B2274" s="2" t="s">
        <v>51</v>
      </c>
      <c r="C2274" s="2" t="s">
        <v>4732</v>
      </c>
      <c r="D2274" s="2" t="s">
        <v>48</v>
      </c>
      <c r="E2274" s="2" t="s">
        <v>33</v>
      </c>
      <c r="F2274" s="2" t="s">
        <v>34</v>
      </c>
      <c r="G2274" s="2" t="s">
        <v>316</v>
      </c>
      <c r="H2274" s="3">
        <v>45476.283333333333</v>
      </c>
      <c r="I2274" s="3">
        <v>45476.356944444444</v>
      </c>
      <c r="J2274" s="2">
        <v>106</v>
      </c>
      <c r="K2274" s="2">
        <v>106</v>
      </c>
      <c r="L2274" s="2">
        <v>0</v>
      </c>
      <c r="M2274" s="2" t="s">
        <v>29</v>
      </c>
      <c r="N2274" s="2">
        <v>5</v>
      </c>
      <c r="O2274" s="2">
        <v>467.94</v>
      </c>
      <c r="P2274" s="2">
        <f t="shared" si="175"/>
        <v>0</v>
      </c>
      <c r="Q2274" s="4">
        <f t="shared" si="176"/>
        <v>1</v>
      </c>
      <c r="R2274" s="2" t="str">
        <f t="shared" si="177"/>
        <v>On Target</v>
      </c>
      <c r="S2274" s="2" t="str">
        <f t="shared" si="178"/>
        <v>Long</v>
      </c>
      <c r="T2274" s="2" t="str">
        <f t="shared" si="179"/>
        <v>On Time</v>
      </c>
    </row>
    <row r="2275" spans="1:20" x14ac:dyDescent="0.35">
      <c r="A2275" s="2" t="s">
        <v>4733</v>
      </c>
      <c r="B2275" s="2" t="s">
        <v>24</v>
      </c>
      <c r="C2275" s="2" t="s">
        <v>4734</v>
      </c>
      <c r="D2275" s="2" t="s">
        <v>48</v>
      </c>
      <c r="E2275" s="2" t="s">
        <v>19</v>
      </c>
      <c r="F2275" s="2" t="s">
        <v>57</v>
      </c>
      <c r="G2275" s="2" t="s">
        <v>21</v>
      </c>
      <c r="H2275" s="3">
        <v>45486.132638888892</v>
      </c>
      <c r="I2275" s="3">
        <v>45486.224999999999</v>
      </c>
      <c r="J2275" s="2">
        <v>127</v>
      </c>
      <c r="K2275" s="2">
        <v>133</v>
      </c>
      <c r="L2275" s="2">
        <v>1</v>
      </c>
      <c r="M2275" s="2" t="s">
        <v>22</v>
      </c>
      <c r="N2275" s="2">
        <v>4</v>
      </c>
      <c r="O2275" s="2">
        <v>257.41000000000003</v>
      </c>
      <c r="P2275" s="2">
        <f t="shared" si="175"/>
        <v>6</v>
      </c>
      <c r="Q2275" s="4">
        <f t="shared" si="176"/>
        <v>0.95488721804511278</v>
      </c>
      <c r="R2275" s="2" t="str">
        <f t="shared" si="177"/>
        <v>Inefficient</v>
      </c>
      <c r="S2275" s="2" t="str">
        <f t="shared" si="178"/>
        <v>Very Long</v>
      </c>
      <c r="T2275" s="2" t="str">
        <f t="shared" si="179"/>
        <v>Minor Delay</v>
      </c>
    </row>
    <row r="2276" spans="1:20" x14ac:dyDescent="0.35">
      <c r="A2276" s="2" t="s">
        <v>4735</v>
      </c>
      <c r="B2276" s="2" t="s">
        <v>31</v>
      </c>
      <c r="C2276" s="2" t="s">
        <v>4736</v>
      </c>
      <c r="D2276" s="2" t="s">
        <v>48</v>
      </c>
      <c r="E2276" s="2" t="s">
        <v>85</v>
      </c>
      <c r="F2276" s="2" t="s">
        <v>27</v>
      </c>
      <c r="G2276" s="2" t="s">
        <v>853</v>
      </c>
      <c r="H2276" s="3">
        <v>45378.34097222222</v>
      </c>
      <c r="I2276" s="3">
        <v>45378.439583333333</v>
      </c>
      <c r="J2276" s="2">
        <v>131</v>
      </c>
      <c r="K2276" s="2">
        <v>142</v>
      </c>
      <c r="L2276" s="2">
        <v>1</v>
      </c>
      <c r="M2276" s="2" t="s">
        <v>41</v>
      </c>
      <c r="N2276" s="2">
        <v>2</v>
      </c>
      <c r="O2276" s="2">
        <v>267.70999999999998</v>
      </c>
      <c r="P2276" s="2">
        <f t="shared" si="175"/>
        <v>11</v>
      </c>
      <c r="Q2276" s="4">
        <f t="shared" si="176"/>
        <v>0.92253521126760563</v>
      </c>
      <c r="R2276" s="2" t="str">
        <f t="shared" si="177"/>
        <v>Inefficient</v>
      </c>
      <c r="S2276" s="2" t="str">
        <f t="shared" si="178"/>
        <v>Very Long</v>
      </c>
      <c r="T2276" s="2" t="str">
        <f t="shared" si="179"/>
        <v>Minor Delay</v>
      </c>
    </row>
    <row r="2277" spans="1:20" x14ac:dyDescent="0.35">
      <c r="A2277" s="2" t="s">
        <v>4737</v>
      </c>
      <c r="B2277" s="2" t="s">
        <v>51</v>
      </c>
      <c r="C2277" s="2" t="s">
        <v>4738</v>
      </c>
      <c r="D2277" s="2" t="s">
        <v>48</v>
      </c>
      <c r="E2277" s="2" t="s">
        <v>85</v>
      </c>
      <c r="F2277" s="2" t="s">
        <v>27</v>
      </c>
      <c r="G2277" s="2" t="s">
        <v>476</v>
      </c>
      <c r="H2277" s="3">
        <v>45362.34652777778</v>
      </c>
      <c r="I2277" s="3">
        <v>45362.520833333336</v>
      </c>
      <c r="J2277" s="2">
        <v>240</v>
      </c>
      <c r="K2277" s="2">
        <v>251</v>
      </c>
      <c r="L2277" s="2">
        <v>1</v>
      </c>
      <c r="M2277" s="2" t="s">
        <v>22</v>
      </c>
      <c r="N2277" s="2">
        <v>4</v>
      </c>
      <c r="O2277" s="2">
        <v>239.3</v>
      </c>
      <c r="P2277" s="2">
        <f t="shared" si="175"/>
        <v>11</v>
      </c>
      <c r="Q2277" s="4">
        <f t="shared" si="176"/>
        <v>0.95617529880478092</v>
      </c>
      <c r="R2277" s="2" t="str">
        <f t="shared" si="177"/>
        <v>Inefficient</v>
      </c>
      <c r="S2277" s="2" t="str">
        <f t="shared" si="178"/>
        <v>Very Long</v>
      </c>
      <c r="T2277" s="2" t="str">
        <f t="shared" si="179"/>
        <v>Minor Delay</v>
      </c>
    </row>
    <row r="2278" spans="1:20" x14ac:dyDescent="0.35">
      <c r="A2278" s="2" t="s">
        <v>4739</v>
      </c>
      <c r="B2278" s="2" t="s">
        <v>51</v>
      </c>
      <c r="C2278" s="2" t="s">
        <v>4740</v>
      </c>
      <c r="D2278" s="2" t="s">
        <v>48</v>
      </c>
      <c r="E2278" s="2" t="s">
        <v>19</v>
      </c>
      <c r="F2278" s="2" t="s">
        <v>27</v>
      </c>
      <c r="G2278" s="2" t="s">
        <v>817</v>
      </c>
      <c r="H2278" s="3">
        <v>45628.184027777781</v>
      </c>
      <c r="I2278" s="3">
        <v>45628.390277777777</v>
      </c>
      <c r="J2278" s="2">
        <v>232</v>
      </c>
      <c r="K2278" s="2">
        <v>297</v>
      </c>
      <c r="L2278" s="2">
        <v>1</v>
      </c>
      <c r="M2278" s="2" t="s">
        <v>29</v>
      </c>
      <c r="N2278" s="2">
        <v>6</v>
      </c>
      <c r="O2278" s="2">
        <v>280.35000000000002</v>
      </c>
      <c r="P2278" s="2">
        <f t="shared" si="175"/>
        <v>65</v>
      </c>
      <c r="Q2278" s="4">
        <f t="shared" si="176"/>
        <v>0.78114478114478114</v>
      </c>
      <c r="R2278" s="2" t="str">
        <f t="shared" si="177"/>
        <v>Inefficient</v>
      </c>
      <c r="S2278" s="2" t="str">
        <f t="shared" si="178"/>
        <v>Very Long</v>
      </c>
      <c r="T2278" s="2" t="str">
        <f t="shared" si="179"/>
        <v>Major Delay</v>
      </c>
    </row>
    <row r="2279" spans="1:20" x14ac:dyDescent="0.35">
      <c r="A2279" s="2" t="s">
        <v>4741</v>
      </c>
      <c r="B2279" s="2" t="s">
        <v>16</v>
      </c>
      <c r="C2279" s="2" t="s">
        <v>4742</v>
      </c>
      <c r="D2279" s="2" t="s">
        <v>44</v>
      </c>
      <c r="E2279" s="2" t="s">
        <v>85</v>
      </c>
      <c r="F2279" s="2" t="s">
        <v>34</v>
      </c>
      <c r="G2279" s="2" t="s">
        <v>207</v>
      </c>
      <c r="H2279" s="3">
        <v>45394.966666666667</v>
      </c>
      <c r="I2279" s="3">
        <v>45395.123611111114</v>
      </c>
      <c r="J2279" s="2">
        <v>227</v>
      </c>
      <c r="K2279" s="2">
        <v>226</v>
      </c>
      <c r="L2279" s="2">
        <v>0</v>
      </c>
      <c r="M2279" s="2" t="s">
        <v>22</v>
      </c>
      <c r="N2279" s="2">
        <v>7</v>
      </c>
      <c r="O2279" s="2">
        <v>367.85</v>
      </c>
      <c r="P2279" s="2">
        <f t="shared" si="175"/>
        <v>-1</v>
      </c>
      <c r="Q2279" s="4">
        <f t="shared" si="176"/>
        <v>1.0044247787610618</v>
      </c>
      <c r="R2279" s="2" t="str">
        <f t="shared" si="177"/>
        <v>Efficient</v>
      </c>
      <c r="S2279" s="2" t="str">
        <f t="shared" si="178"/>
        <v>Very Long</v>
      </c>
      <c r="T2279" s="2" t="str">
        <f t="shared" si="179"/>
        <v>On Time</v>
      </c>
    </row>
    <row r="2280" spans="1:20" x14ac:dyDescent="0.35">
      <c r="A2280" s="2" t="s">
        <v>4743</v>
      </c>
      <c r="B2280" s="2" t="s">
        <v>63</v>
      </c>
      <c r="C2280" s="2" t="s">
        <v>4744</v>
      </c>
      <c r="D2280" s="2" t="s">
        <v>48</v>
      </c>
      <c r="E2280" s="2" t="s">
        <v>33</v>
      </c>
      <c r="F2280" s="2" t="s">
        <v>39</v>
      </c>
      <c r="G2280" s="2" t="s">
        <v>228</v>
      </c>
      <c r="H2280" s="3">
        <v>45621.700694444444</v>
      </c>
      <c r="I2280" s="3">
        <v>45621.788888888892</v>
      </c>
      <c r="J2280" s="2">
        <v>34</v>
      </c>
      <c r="K2280" s="2">
        <v>127</v>
      </c>
      <c r="L2280" s="2">
        <v>1</v>
      </c>
      <c r="M2280" s="2" t="s">
        <v>41</v>
      </c>
      <c r="N2280" s="2">
        <v>9</v>
      </c>
      <c r="O2280" s="2">
        <v>110.44</v>
      </c>
      <c r="P2280" s="2">
        <f t="shared" si="175"/>
        <v>93</v>
      </c>
      <c r="Q2280" s="4">
        <f t="shared" si="176"/>
        <v>0.26771653543307089</v>
      </c>
      <c r="R2280" s="2" t="str">
        <f t="shared" si="177"/>
        <v>Inefficient</v>
      </c>
      <c r="S2280" s="2" t="str">
        <f t="shared" si="178"/>
        <v>Very Long</v>
      </c>
      <c r="T2280" s="2" t="str">
        <f t="shared" si="179"/>
        <v>Major Delay</v>
      </c>
    </row>
    <row r="2281" spans="1:20" x14ac:dyDescent="0.35">
      <c r="A2281" s="2" t="s">
        <v>4745</v>
      </c>
      <c r="B2281" s="2" t="s">
        <v>51</v>
      </c>
      <c r="C2281" s="2" t="s">
        <v>4746</v>
      </c>
      <c r="D2281" s="2" t="s">
        <v>44</v>
      </c>
      <c r="E2281" s="2" t="s">
        <v>38</v>
      </c>
      <c r="F2281" s="2" t="s">
        <v>20</v>
      </c>
      <c r="G2281" s="2" t="s">
        <v>684</v>
      </c>
      <c r="H2281" s="3">
        <v>45588.4</v>
      </c>
      <c r="I2281" s="3">
        <v>45588.486111111109</v>
      </c>
      <c r="J2281" s="2">
        <v>121</v>
      </c>
      <c r="K2281" s="2">
        <v>124</v>
      </c>
      <c r="L2281" s="2">
        <v>1</v>
      </c>
      <c r="M2281" s="2" t="s">
        <v>22</v>
      </c>
      <c r="N2281" s="2">
        <v>9</v>
      </c>
      <c r="O2281" s="2">
        <v>423.99</v>
      </c>
      <c r="P2281" s="2">
        <f t="shared" si="175"/>
        <v>3</v>
      </c>
      <c r="Q2281" s="4">
        <f t="shared" si="176"/>
        <v>0.97580645161290325</v>
      </c>
      <c r="R2281" s="2" t="str">
        <f t="shared" si="177"/>
        <v>Inefficient</v>
      </c>
      <c r="S2281" s="2" t="str">
        <f t="shared" si="178"/>
        <v>Very Long</v>
      </c>
      <c r="T2281" s="2" t="str">
        <f t="shared" si="179"/>
        <v>Minor Delay</v>
      </c>
    </row>
    <row r="2282" spans="1:20" x14ac:dyDescent="0.35">
      <c r="A2282" s="2" t="s">
        <v>4747</v>
      </c>
      <c r="B2282" s="2" t="s">
        <v>51</v>
      </c>
      <c r="C2282" s="2" t="s">
        <v>4748</v>
      </c>
      <c r="D2282" s="2" t="s">
        <v>48</v>
      </c>
      <c r="E2282" s="2" t="s">
        <v>85</v>
      </c>
      <c r="F2282" s="2" t="s">
        <v>34</v>
      </c>
      <c r="G2282" s="2" t="s">
        <v>473</v>
      </c>
      <c r="H2282" s="3">
        <v>45533.577777777777</v>
      </c>
      <c r="I2282" s="3">
        <v>45533.73333333333</v>
      </c>
      <c r="J2282" s="2">
        <v>106</v>
      </c>
      <c r="K2282" s="2">
        <v>224</v>
      </c>
      <c r="L2282" s="2">
        <v>1</v>
      </c>
      <c r="M2282" s="2" t="s">
        <v>41</v>
      </c>
      <c r="N2282" s="2">
        <v>3</v>
      </c>
      <c r="O2282" s="2">
        <v>295.70999999999998</v>
      </c>
      <c r="P2282" s="2">
        <f t="shared" si="175"/>
        <v>118</v>
      </c>
      <c r="Q2282" s="4">
        <f t="shared" si="176"/>
        <v>0.4732142857142857</v>
      </c>
      <c r="R2282" s="2" t="str">
        <f t="shared" si="177"/>
        <v>Inefficient</v>
      </c>
      <c r="S2282" s="2" t="str">
        <f t="shared" si="178"/>
        <v>Very Long</v>
      </c>
      <c r="T2282" s="2" t="str">
        <f t="shared" si="179"/>
        <v>Major Delay</v>
      </c>
    </row>
    <row r="2283" spans="1:20" x14ac:dyDescent="0.35">
      <c r="A2283" s="2" t="s">
        <v>4749</v>
      </c>
      <c r="B2283" s="2" t="s">
        <v>24</v>
      </c>
      <c r="C2283" s="2" t="s">
        <v>4750</v>
      </c>
      <c r="D2283" s="2" t="s">
        <v>44</v>
      </c>
      <c r="E2283" s="2" t="s">
        <v>38</v>
      </c>
      <c r="F2283" s="2" t="s">
        <v>57</v>
      </c>
      <c r="G2283" s="2" t="s">
        <v>321</v>
      </c>
      <c r="H2283" s="3">
        <v>45581.782638888886</v>
      </c>
      <c r="I2283" s="3">
        <v>45581.90347222222</v>
      </c>
      <c r="J2283" s="2">
        <v>90</v>
      </c>
      <c r="K2283" s="2">
        <v>174</v>
      </c>
      <c r="L2283" s="2">
        <v>1</v>
      </c>
      <c r="M2283" s="2" t="s">
        <v>29</v>
      </c>
      <c r="N2283" s="2">
        <v>10</v>
      </c>
      <c r="O2283" s="2">
        <v>230.66</v>
      </c>
      <c r="P2283" s="2">
        <f t="shared" si="175"/>
        <v>84</v>
      </c>
      <c r="Q2283" s="4">
        <f t="shared" si="176"/>
        <v>0.51724137931034486</v>
      </c>
      <c r="R2283" s="2" t="str">
        <f t="shared" si="177"/>
        <v>Inefficient</v>
      </c>
      <c r="S2283" s="2" t="str">
        <f t="shared" si="178"/>
        <v>Very Long</v>
      </c>
      <c r="T2283" s="2" t="str">
        <f t="shared" si="179"/>
        <v>Major Delay</v>
      </c>
    </row>
    <row r="2284" spans="1:20" x14ac:dyDescent="0.35">
      <c r="A2284" s="2" t="s">
        <v>4751</v>
      </c>
      <c r="B2284" s="2" t="s">
        <v>31</v>
      </c>
      <c r="C2284" s="2" t="s">
        <v>4752</v>
      </c>
      <c r="D2284" s="2" t="s">
        <v>56</v>
      </c>
      <c r="E2284" s="2" t="s">
        <v>19</v>
      </c>
      <c r="F2284" s="2" t="s">
        <v>34</v>
      </c>
      <c r="G2284" s="2" t="s">
        <v>316</v>
      </c>
      <c r="H2284" s="3">
        <v>45404.498611111114</v>
      </c>
      <c r="I2284" s="3">
        <v>45404.681944444441</v>
      </c>
      <c r="J2284" s="2">
        <v>145</v>
      </c>
      <c r="K2284" s="2">
        <v>264</v>
      </c>
      <c r="L2284" s="2">
        <v>1</v>
      </c>
      <c r="M2284" s="2" t="s">
        <v>22</v>
      </c>
      <c r="N2284" s="2">
        <v>10</v>
      </c>
      <c r="O2284" s="2">
        <v>473.77</v>
      </c>
      <c r="P2284" s="2">
        <f t="shared" si="175"/>
        <v>119</v>
      </c>
      <c r="Q2284" s="4">
        <f t="shared" si="176"/>
        <v>0.5492424242424242</v>
      </c>
      <c r="R2284" s="2" t="str">
        <f t="shared" si="177"/>
        <v>Inefficient</v>
      </c>
      <c r="S2284" s="2" t="str">
        <f t="shared" si="178"/>
        <v>Very Long</v>
      </c>
      <c r="T2284" s="2" t="str">
        <f t="shared" si="179"/>
        <v>Major Delay</v>
      </c>
    </row>
    <row r="2285" spans="1:20" x14ac:dyDescent="0.35">
      <c r="A2285" s="2" t="s">
        <v>4753</v>
      </c>
      <c r="B2285" s="2" t="s">
        <v>24</v>
      </c>
      <c r="C2285" s="2" t="s">
        <v>4754</v>
      </c>
      <c r="D2285" s="2" t="s">
        <v>18</v>
      </c>
      <c r="E2285" s="2" t="s">
        <v>38</v>
      </c>
      <c r="F2285" s="2" t="s">
        <v>39</v>
      </c>
      <c r="G2285" s="2" t="s">
        <v>459</v>
      </c>
      <c r="H2285" s="3">
        <v>45301.07708333333</v>
      </c>
      <c r="I2285" s="3">
        <v>45301.12777777778</v>
      </c>
      <c r="J2285" s="2">
        <v>74</v>
      </c>
      <c r="K2285" s="2">
        <v>73</v>
      </c>
      <c r="L2285" s="2">
        <v>0</v>
      </c>
      <c r="M2285" s="2" t="s">
        <v>41</v>
      </c>
      <c r="N2285" s="2">
        <v>6</v>
      </c>
      <c r="O2285" s="2">
        <v>218.93</v>
      </c>
      <c r="P2285" s="2">
        <f t="shared" si="175"/>
        <v>-1</v>
      </c>
      <c r="Q2285" s="4">
        <f t="shared" si="176"/>
        <v>1.0136986301369864</v>
      </c>
      <c r="R2285" s="2" t="str">
        <f t="shared" si="177"/>
        <v>Efficient</v>
      </c>
      <c r="S2285" s="2" t="str">
        <f t="shared" si="178"/>
        <v>Long</v>
      </c>
      <c r="T2285" s="2" t="str">
        <f t="shared" si="179"/>
        <v>On Time</v>
      </c>
    </row>
    <row r="2286" spans="1:20" x14ac:dyDescent="0.35">
      <c r="A2286" s="2" t="s">
        <v>4755</v>
      </c>
      <c r="B2286" s="2" t="s">
        <v>31</v>
      </c>
      <c r="C2286" s="2" t="s">
        <v>4756</v>
      </c>
      <c r="D2286" s="2" t="s">
        <v>26</v>
      </c>
      <c r="E2286" s="2" t="s">
        <v>19</v>
      </c>
      <c r="F2286" s="2" t="s">
        <v>39</v>
      </c>
      <c r="G2286" s="2" t="s">
        <v>108</v>
      </c>
      <c r="H2286" s="3">
        <v>45336.242361111108</v>
      </c>
      <c r="I2286" s="3">
        <v>45336.368750000001</v>
      </c>
      <c r="J2286" s="2">
        <v>114</v>
      </c>
      <c r="K2286" s="2">
        <v>182</v>
      </c>
      <c r="L2286" s="2">
        <v>1</v>
      </c>
      <c r="M2286" s="2" t="s">
        <v>41</v>
      </c>
      <c r="N2286" s="2">
        <v>7</v>
      </c>
      <c r="O2286" s="2">
        <v>356.1</v>
      </c>
      <c r="P2286" s="2">
        <f t="shared" si="175"/>
        <v>68</v>
      </c>
      <c r="Q2286" s="4">
        <f t="shared" si="176"/>
        <v>0.62637362637362637</v>
      </c>
      <c r="R2286" s="2" t="str">
        <f t="shared" si="177"/>
        <v>Inefficient</v>
      </c>
      <c r="S2286" s="2" t="str">
        <f t="shared" si="178"/>
        <v>Very Long</v>
      </c>
      <c r="T2286" s="2" t="str">
        <f t="shared" si="179"/>
        <v>Major Delay</v>
      </c>
    </row>
    <row r="2287" spans="1:20" x14ac:dyDescent="0.35">
      <c r="A2287" s="2" t="s">
        <v>4757</v>
      </c>
      <c r="B2287" s="2" t="s">
        <v>24</v>
      </c>
      <c r="C2287" s="2" t="s">
        <v>4758</v>
      </c>
      <c r="D2287" s="2" t="s">
        <v>56</v>
      </c>
      <c r="E2287" s="2" t="s">
        <v>33</v>
      </c>
      <c r="F2287" s="2" t="s">
        <v>57</v>
      </c>
      <c r="G2287" s="2" t="s">
        <v>58</v>
      </c>
      <c r="H2287" s="3">
        <v>45613.45416666667</v>
      </c>
      <c r="I2287" s="3">
        <v>45613.502083333333</v>
      </c>
      <c r="J2287" s="2">
        <v>59</v>
      </c>
      <c r="K2287" s="2">
        <v>69</v>
      </c>
      <c r="L2287" s="2">
        <v>1</v>
      </c>
      <c r="M2287" s="2" t="s">
        <v>41</v>
      </c>
      <c r="N2287" s="2">
        <v>2</v>
      </c>
      <c r="O2287" s="2">
        <v>200.31</v>
      </c>
      <c r="P2287" s="2">
        <f t="shared" si="175"/>
        <v>10</v>
      </c>
      <c r="Q2287" s="4">
        <f t="shared" si="176"/>
        <v>0.85507246376811596</v>
      </c>
      <c r="R2287" s="2" t="str">
        <f t="shared" si="177"/>
        <v>Inefficient</v>
      </c>
      <c r="S2287" s="2" t="str">
        <f t="shared" si="178"/>
        <v>Long</v>
      </c>
      <c r="T2287" s="2" t="str">
        <f t="shared" si="179"/>
        <v>Minor Delay</v>
      </c>
    </row>
    <row r="2288" spans="1:20" x14ac:dyDescent="0.35">
      <c r="A2288" s="2" t="s">
        <v>4759</v>
      </c>
      <c r="B2288" s="2" t="s">
        <v>51</v>
      </c>
      <c r="C2288" s="2" t="s">
        <v>4760</v>
      </c>
      <c r="D2288" s="2" t="s">
        <v>18</v>
      </c>
      <c r="E2288" s="2" t="s">
        <v>38</v>
      </c>
      <c r="F2288" s="2" t="s">
        <v>39</v>
      </c>
      <c r="G2288" s="2" t="s">
        <v>182</v>
      </c>
      <c r="H2288" s="3">
        <v>45450.554166666669</v>
      </c>
      <c r="I2288" s="3">
        <v>45450.664583333331</v>
      </c>
      <c r="J2288" s="2">
        <v>142</v>
      </c>
      <c r="K2288" s="2">
        <v>159</v>
      </c>
      <c r="L2288" s="2">
        <v>1</v>
      </c>
      <c r="M2288" s="2" t="s">
        <v>22</v>
      </c>
      <c r="N2288" s="2">
        <v>7</v>
      </c>
      <c r="O2288" s="2">
        <v>152.08000000000001</v>
      </c>
      <c r="P2288" s="2">
        <f t="shared" si="175"/>
        <v>17</v>
      </c>
      <c r="Q2288" s="4">
        <f t="shared" si="176"/>
        <v>0.89308176100628933</v>
      </c>
      <c r="R2288" s="2" t="str">
        <f t="shared" si="177"/>
        <v>Inefficient</v>
      </c>
      <c r="S2288" s="2" t="str">
        <f t="shared" si="178"/>
        <v>Very Long</v>
      </c>
      <c r="T2288" s="2" t="str">
        <f t="shared" si="179"/>
        <v>Minor Delay</v>
      </c>
    </row>
    <row r="2289" spans="1:20" x14ac:dyDescent="0.35">
      <c r="A2289" s="2" t="s">
        <v>4761</v>
      </c>
      <c r="B2289" s="2" t="s">
        <v>16</v>
      </c>
      <c r="C2289" s="2" t="s">
        <v>4762</v>
      </c>
      <c r="D2289" s="2" t="s">
        <v>18</v>
      </c>
      <c r="E2289" s="2" t="s">
        <v>85</v>
      </c>
      <c r="F2289" s="2" t="s">
        <v>39</v>
      </c>
      <c r="G2289" s="2" t="s">
        <v>853</v>
      </c>
      <c r="H2289" s="3">
        <v>45398.023611111108</v>
      </c>
      <c r="I2289" s="3">
        <v>45398.119444444441</v>
      </c>
      <c r="J2289" s="2">
        <v>33</v>
      </c>
      <c r="K2289" s="2">
        <v>138</v>
      </c>
      <c r="L2289" s="2">
        <v>1</v>
      </c>
      <c r="M2289" s="2" t="s">
        <v>22</v>
      </c>
      <c r="N2289" s="2">
        <v>1</v>
      </c>
      <c r="O2289" s="2">
        <v>178.68</v>
      </c>
      <c r="P2289" s="2">
        <f t="shared" si="175"/>
        <v>105</v>
      </c>
      <c r="Q2289" s="4">
        <f t="shared" si="176"/>
        <v>0.2391304347826087</v>
      </c>
      <c r="R2289" s="2" t="str">
        <f t="shared" si="177"/>
        <v>Inefficient</v>
      </c>
      <c r="S2289" s="2" t="str">
        <f t="shared" si="178"/>
        <v>Very Long</v>
      </c>
      <c r="T2289" s="2" t="str">
        <f t="shared" si="179"/>
        <v>Major Delay</v>
      </c>
    </row>
    <row r="2290" spans="1:20" x14ac:dyDescent="0.35">
      <c r="A2290" s="2" t="s">
        <v>4763</v>
      </c>
      <c r="B2290" s="2" t="s">
        <v>63</v>
      </c>
      <c r="C2290" s="2" t="s">
        <v>4764</v>
      </c>
      <c r="D2290" s="2" t="s">
        <v>26</v>
      </c>
      <c r="E2290" s="2" t="s">
        <v>38</v>
      </c>
      <c r="F2290" s="2" t="s">
        <v>57</v>
      </c>
      <c r="G2290" s="2" t="s">
        <v>785</v>
      </c>
      <c r="H2290" s="3">
        <v>45479.094444444447</v>
      </c>
      <c r="I2290" s="3">
        <v>45479.165972222225</v>
      </c>
      <c r="J2290" s="2">
        <v>40</v>
      </c>
      <c r="K2290" s="2">
        <v>103</v>
      </c>
      <c r="L2290" s="2">
        <v>1</v>
      </c>
      <c r="M2290" s="2" t="s">
        <v>29</v>
      </c>
      <c r="N2290" s="2">
        <v>5</v>
      </c>
      <c r="O2290" s="2">
        <v>173.21</v>
      </c>
      <c r="P2290" s="2">
        <f t="shared" si="175"/>
        <v>63</v>
      </c>
      <c r="Q2290" s="4">
        <f t="shared" si="176"/>
        <v>0.38834951456310679</v>
      </c>
      <c r="R2290" s="2" t="str">
        <f t="shared" si="177"/>
        <v>Inefficient</v>
      </c>
      <c r="S2290" s="2" t="str">
        <f t="shared" si="178"/>
        <v>Long</v>
      </c>
      <c r="T2290" s="2" t="str">
        <f t="shared" si="179"/>
        <v>Major Delay</v>
      </c>
    </row>
    <row r="2291" spans="1:20" x14ac:dyDescent="0.35">
      <c r="A2291" s="2" t="s">
        <v>4765</v>
      </c>
      <c r="B2291" s="2" t="s">
        <v>63</v>
      </c>
      <c r="C2291" s="2" t="s">
        <v>4766</v>
      </c>
      <c r="D2291" s="2" t="s">
        <v>26</v>
      </c>
      <c r="E2291" s="2" t="s">
        <v>19</v>
      </c>
      <c r="F2291" s="2" t="s">
        <v>20</v>
      </c>
      <c r="G2291" s="2" t="s">
        <v>500</v>
      </c>
      <c r="H2291" s="3">
        <v>45315.646527777775</v>
      </c>
      <c r="I2291" s="3">
        <v>45315.770833333336</v>
      </c>
      <c r="J2291" s="2">
        <v>70</v>
      </c>
      <c r="K2291" s="2">
        <v>179</v>
      </c>
      <c r="L2291" s="2">
        <v>1</v>
      </c>
      <c r="M2291" s="2" t="s">
        <v>41</v>
      </c>
      <c r="N2291" s="2">
        <v>1</v>
      </c>
      <c r="O2291" s="2">
        <v>89.16</v>
      </c>
      <c r="P2291" s="2">
        <f t="shared" si="175"/>
        <v>109</v>
      </c>
      <c r="Q2291" s="4">
        <f t="shared" si="176"/>
        <v>0.39106145251396646</v>
      </c>
      <c r="R2291" s="2" t="str">
        <f t="shared" si="177"/>
        <v>Inefficient</v>
      </c>
      <c r="S2291" s="2" t="str">
        <f t="shared" si="178"/>
        <v>Very Long</v>
      </c>
      <c r="T2291" s="2" t="str">
        <f t="shared" si="179"/>
        <v>Major Delay</v>
      </c>
    </row>
    <row r="2292" spans="1:20" x14ac:dyDescent="0.35">
      <c r="A2292" s="2" t="s">
        <v>4767</v>
      </c>
      <c r="B2292" s="2" t="s">
        <v>51</v>
      </c>
      <c r="C2292" s="2" t="s">
        <v>4768</v>
      </c>
      <c r="D2292" s="2" t="s">
        <v>56</v>
      </c>
      <c r="E2292" s="2" t="s">
        <v>85</v>
      </c>
      <c r="F2292" s="2" t="s">
        <v>27</v>
      </c>
      <c r="G2292" s="2" t="s">
        <v>445</v>
      </c>
      <c r="H2292" s="3">
        <v>45619.410416666666</v>
      </c>
      <c r="I2292" s="3">
        <v>45619.477083333331</v>
      </c>
      <c r="J2292" s="2">
        <v>49</v>
      </c>
      <c r="K2292" s="2">
        <v>96</v>
      </c>
      <c r="L2292" s="2">
        <v>1</v>
      </c>
      <c r="M2292" s="2" t="s">
        <v>29</v>
      </c>
      <c r="N2292" s="2">
        <v>4</v>
      </c>
      <c r="O2292" s="2">
        <v>415.62</v>
      </c>
      <c r="P2292" s="2">
        <f t="shared" si="175"/>
        <v>47</v>
      </c>
      <c r="Q2292" s="4">
        <f t="shared" si="176"/>
        <v>0.51041666666666663</v>
      </c>
      <c r="R2292" s="2" t="str">
        <f t="shared" si="177"/>
        <v>Inefficient</v>
      </c>
      <c r="S2292" s="2" t="str">
        <f t="shared" si="178"/>
        <v>Long</v>
      </c>
      <c r="T2292" s="2" t="str">
        <f t="shared" si="179"/>
        <v>Major Delay</v>
      </c>
    </row>
    <row r="2293" spans="1:20" x14ac:dyDescent="0.35">
      <c r="A2293" s="2" t="s">
        <v>4769</v>
      </c>
      <c r="B2293" s="2" t="s">
        <v>31</v>
      </c>
      <c r="C2293" s="2" t="s">
        <v>4770</v>
      </c>
      <c r="D2293" s="2" t="s">
        <v>56</v>
      </c>
      <c r="E2293" s="2" t="s">
        <v>19</v>
      </c>
      <c r="F2293" s="2" t="s">
        <v>39</v>
      </c>
      <c r="G2293" s="2" t="s">
        <v>676</v>
      </c>
      <c r="H2293" s="3">
        <v>45576.28125</v>
      </c>
      <c r="I2293" s="3">
        <v>45576.347222222219</v>
      </c>
      <c r="J2293" s="2">
        <v>34</v>
      </c>
      <c r="K2293" s="2">
        <v>95</v>
      </c>
      <c r="L2293" s="2">
        <v>1</v>
      </c>
      <c r="M2293" s="2" t="s">
        <v>29</v>
      </c>
      <c r="N2293" s="2">
        <v>6</v>
      </c>
      <c r="O2293" s="2">
        <v>164.73</v>
      </c>
      <c r="P2293" s="2">
        <f t="shared" si="175"/>
        <v>61</v>
      </c>
      <c r="Q2293" s="4">
        <f t="shared" si="176"/>
        <v>0.35789473684210527</v>
      </c>
      <c r="R2293" s="2" t="str">
        <f t="shared" si="177"/>
        <v>Inefficient</v>
      </c>
      <c r="S2293" s="2" t="str">
        <f t="shared" si="178"/>
        <v>Long</v>
      </c>
      <c r="T2293" s="2" t="str">
        <f t="shared" si="179"/>
        <v>Major Delay</v>
      </c>
    </row>
    <row r="2294" spans="1:20" x14ac:dyDescent="0.35">
      <c r="A2294" s="2" t="s">
        <v>4771</v>
      </c>
      <c r="B2294" s="2" t="s">
        <v>16</v>
      </c>
      <c r="C2294" s="2" t="s">
        <v>4772</v>
      </c>
      <c r="D2294" s="2" t="s">
        <v>56</v>
      </c>
      <c r="E2294" s="2" t="s">
        <v>33</v>
      </c>
      <c r="F2294" s="2" t="s">
        <v>39</v>
      </c>
      <c r="G2294" s="2" t="s">
        <v>97</v>
      </c>
      <c r="H2294" s="3">
        <v>45322.007638888892</v>
      </c>
      <c r="I2294" s="3">
        <v>45322.193749999999</v>
      </c>
      <c r="J2294" s="2">
        <v>236</v>
      </c>
      <c r="K2294" s="2">
        <v>268</v>
      </c>
      <c r="L2294" s="2">
        <v>1</v>
      </c>
      <c r="M2294" s="2" t="s">
        <v>29</v>
      </c>
      <c r="N2294" s="2">
        <v>6</v>
      </c>
      <c r="O2294" s="2">
        <v>482.25</v>
      </c>
      <c r="P2294" s="2">
        <f t="shared" si="175"/>
        <v>32</v>
      </c>
      <c r="Q2294" s="4">
        <f t="shared" si="176"/>
        <v>0.88059701492537312</v>
      </c>
      <c r="R2294" s="2" t="str">
        <f t="shared" si="177"/>
        <v>Inefficient</v>
      </c>
      <c r="S2294" s="2" t="str">
        <f t="shared" si="178"/>
        <v>Very Long</v>
      </c>
      <c r="T2294" s="2" t="str">
        <f t="shared" si="179"/>
        <v>Major Delay</v>
      </c>
    </row>
    <row r="2295" spans="1:20" x14ac:dyDescent="0.35">
      <c r="A2295" s="2" t="s">
        <v>4773</v>
      </c>
      <c r="B2295" s="2" t="s">
        <v>63</v>
      </c>
      <c r="C2295" s="2" t="s">
        <v>4774</v>
      </c>
      <c r="D2295" s="2" t="s">
        <v>48</v>
      </c>
      <c r="E2295" s="2" t="s">
        <v>33</v>
      </c>
      <c r="F2295" s="2" t="s">
        <v>57</v>
      </c>
      <c r="G2295" s="2" t="s">
        <v>316</v>
      </c>
      <c r="H2295" s="3">
        <v>45640.163194444445</v>
      </c>
      <c r="I2295" s="3">
        <v>45640.345138888886</v>
      </c>
      <c r="J2295" s="2">
        <v>200</v>
      </c>
      <c r="K2295" s="2">
        <v>262</v>
      </c>
      <c r="L2295" s="2">
        <v>1</v>
      </c>
      <c r="M2295" s="2" t="s">
        <v>41</v>
      </c>
      <c r="N2295" s="2">
        <v>3</v>
      </c>
      <c r="O2295" s="2">
        <v>374</v>
      </c>
      <c r="P2295" s="2">
        <f t="shared" si="175"/>
        <v>62</v>
      </c>
      <c r="Q2295" s="4">
        <f t="shared" si="176"/>
        <v>0.76335877862595425</v>
      </c>
      <c r="R2295" s="2" t="str">
        <f t="shared" si="177"/>
        <v>Inefficient</v>
      </c>
      <c r="S2295" s="2" t="str">
        <f t="shared" si="178"/>
        <v>Very Long</v>
      </c>
      <c r="T2295" s="2" t="str">
        <f t="shared" si="179"/>
        <v>Major Delay</v>
      </c>
    </row>
    <row r="2296" spans="1:20" x14ac:dyDescent="0.35">
      <c r="A2296" s="2" t="s">
        <v>4775</v>
      </c>
      <c r="B2296" s="2" t="s">
        <v>24</v>
      </c>
      <c r="C2296" s="2" t="s">
        <v>4776</v>
      </c>
      <c r="D2296" s="2" t="s">
        <v>18</v>
      </c>
      <c r="E2296" s="2" t="s">
        <v>85</v>
      </c>
      <c r="F2296" s="2" t="s">
        <v>39</v>
      </c>
      <c r="G2296" s="2" t="s">
        <v>213</v>
      </c>
      <c r="H2296" s="3">
        <v>45342.770138888889</v>
      </c>
      <c r="I2296" s="3">
        <v>45342.911111111112</v>
      </c>
      <c r="J2296" s="2">
        <v>138</v>
      </c>
      <c r="K2296" s="2">
        <v>203</v>
      </c>
      <c r="L2296" s="2">
        <v>1</v>
      </c>
      <c r="M2296" s="2" t="s">
        <v>22</v>
      </c>
      <c r="N2296" s="2">
        <v>7</v>
      </c>
      <c r="O2296" s="2">
        <v>51.46</v>
      </c>
      <c r="P2296" s="2">
        <f t="shared" si="175"/>
        <v>65</v>
      </c>
      <c r="Q2296" s="4">
        <f t="shared" si="176"/>
        <v>0.67980295566502458</v>
      </c>
      <c r="R2296" s="2" t="str">
        <f t="shared" si="177"/>
        <v>Inefficient</v>
      </c>
      <c r="S2296" s="2" t="str">
        <f t="shared" si="178"/>
        <v>Very Long</v>
      </c>
      <c r="T2296" s="2" t="str">
        <f t="shared" si="179"/>
        <v>Major Delay</v>
      </c>
    </row>
    <row r="2297" spans="1:20" x14ac:dyDescent="0.35">
      <c r="A2297" s="2" t="s">
        <v>4777</v>
      </c>
      <c r="B2297" s="2" t="s">
        <v>51</v>
      </c>
      <c r="C2297" s="2" t="s">
        <v>4778</v>
      </c>
      <c r="D2297" s="2" t="s">
        <v>18</v>
      </c>
      <c r="E2297" s="2" t="s">
        <v>85</v>
      </c>
      <c r="F2297" s="2" t="s">
        <v>57</v>
      </c>
      <c r="G2297" s="2" t="s">
        <v>129</v>
      </c>
      <c r="H2297" s="3">
        <v>45520.13958333333</v>
      </c>
      <c r="I2297" s="3">
        <v>45520.209027777775</v>
      </c>
      <c r="J2297" s="2">
        <v>56</v>
      </c>
      <c r="K2297" s="2">
        <v>100</v>
      </c>
      <c r="L2297" s="2">
        <v>1</v>
      </c>
      <c r="M2297" s="2" t="s">
        <v>22</v>
      </c>
      <c r="N2297" s="2">
        <v>4</v>
      </c>
      <c r="O2297" s="2">
        <v>82.22</v>
      </c>
      <c r="P2297" s="2">
        <f t="shared" si="175"/>
        <v>44</v>
      </c>
      <c r="Q2297" s="4">
        <f t="shared" si="176"/>
        <v>0.56000000000000005</v>
      </c>
      <c r="R2297" s="2" t="str">
        <f t="shared" si="177"/>
        <v>Inefficient</v>
      </c>
      <c r="S2297" s="2" t="str">
        <f t="shared" si="178"/>
        <v>Long</v>
      </c>
      <c r="T2297" s="2" t="str">
        <f t="shared" si="179"/>
        <v>Major Delay</v>
      </c>
    </row>
    <row r="2298" spans="1:20" x14ac:dyDescent="0.35">
      <c r="A2298" s="2" t="s">
        <v>4779</v>
      </c>
      <c r="B2298" s="2" t="s">
        <v>63</v>
      </c>
      <c r="C2298" s="2" t="s">
        <v>4780</v>
      </c>
      <c r="D2298" s="2" t="s">
        <v>18</v>
      </c>
      <c r="E2298" s="2" t="s">
        <v>38</v>
      </c>
      <c r="F2298" s="2" t="s">
        <v>57</v>
      </c>
      <c r="G2298" s="2" t="s">
        <v>505</v>
      </c>
      <c r="H2298" s="3">
        <v>45517.668749999997</v>
      </c>
      <c r="I2298" s="3">
        <v>45517.709722222222</v>
      </c>
      <c r="J2298" s="2">
        <v>54</v>
      </c>
      <c r="K2298" s="2">
        <v>59</v>
      </c>
      <c r="L2298" s="2">
        <v>1</v>
      </c>
      <c r="M2298" s="2" t="s">
        <v>41</v>
      </c>
      <c r="N2298" s="2">
        <v>9</v>
      </c>
      <c r="O2298" s="2">
        <v>261.56</v>
      </c>
      <c r="P2298" s="2">
        <f t="shared" si="175"/>
        <v>5</v>
      </c>
      <c r="Q2298" s="4">
        <f t="shared" si="176"/>
        <v>0.9152542372881356</v>
      </c>
      <c r="R2298" s="2" t="str">
        <f t="shared" si="177"/>
        <v>Inefficient</v>
      </c>
      <c r="S2298" s="2" t="str">
        <f t="shared" si="178"/>
        <v>Medium</v>
      </c>
      <c r="T2298" s="2" t="str">
        <f t="shared" si="179"/>
        <v>Minor Delay</v>
      </c>
    </row>
    <row r="2299" spans="1:20" x14ac:dyDescent="0.35">
      <c r="A2299" s="2" t="s">
        <v>4781</v>
      </c>
      <c r="B2299" s="2" t="s">
        <v>24</v>
      </c>
      <c r="C2299" s="2" t="s">
        <v>4782</v>
      </c>
      <c r="D2299" s="2" t="s">
        <v>56</v>
      </c>
      <c r="E2299" s="2" t="s">
        <v>19</v>
      </c>
      <c r="F2299" s="2" t="s">
        <v>57</v>
      </c>
      <c r="G2299" s="2" t="s">
        <v>397</v>
      </c>
      <c r="H2299" s="3">
        <v>45361.991666666669</v>
      </c>
      <c r="I2299" s="3">
        <v>45362.140972222223</v>
      </c>
      <c r="J2299" s="2">
        <v>117</v>
      </c>
      <c r="K2299" s="2">
        <v>215</v>
      </c>
      <c r="L2299" s="2">
        <v>1</v>
      </c>
      <c r="M2299" s="2" t="s">
        <v>41</v>
      </c>
      <c r="N2299" s="2">
        <v>10</v>
      </c>
      <c r="O2299" s="2">
        <v>373</v>
      </c>
      <c r="P2299" s="2">
        <f t="shared" si="175"/>
        <v>98</v>
      </c>
      <c r="Q2299" s="4">
        <f t="shared" si="176"/>
        <v>0.54418604651162794</v>
      </c>
      <c r="R2299" s="2" t="str">
        <f t="shared" si="177"/>
        <v>Inefficient</v>
      </c>
      <c r="S2299" s="2" t="str">
        <f t="shared" si="178"/>
        <v>Very Long</v>
      </c>
      <c r="T2299" s="2" t="str">
        <f t="shared" si="179"/>
        <v>Major Delay</v>
      </c>
    </row>
    <row r="2300" spans="1:20" x14ac:dyDescent="0.35">
      <c r="A2300" s="2" t="s">
        <v>4783</v>
      </c>
      <c r="B2300" s="2" t="s">
        <v>51</v>
      </c>
      <c r="C2300" s="2" t="s">
        <v>4784</v>
      </c>
      <c r="D2300" s="2" t="s">
        <v>26</v>
      </c>
      <c r="E2300" s="2" t="s">
        <v>33</v>
      </c>
      <c r="F2300" s="2" t="s">
        <v>34</v>
      </c>
      <c r="G2300" s="2" t="s">
        <v>231</v>
      </c>
      <c r="H2300" s="3">
        <v>45555.446527777778</v>
      </c>
      <c r="I2300" s="3">
        <v>45555.510416666664</v>
      </c>
      <c r="J2300" s="2">
        <v>23</v>
      </c>
      <c r="K2300" s="2">
        <v>92</v>
      </c>
      <c r="L2300" s="2">
        <v>1</v>
      </c>
      <c r="M2300" s="2" t="s">
        <v>41</v>
      </c>
      <c r="N2300" s="2">
        <v>7</v>
      </c>
      <c r="O2300" s="2">
        <v>277.31</v>
      </c>
      <c r="P2300" s="2">
        <f t="shared" si="175"/>
        <v>69</v>
      </c>
      <c r="Q2300" s="4">
        <f t="shared" si="176"/>
        <v>0.25</v>
      </c>
      <c r="R2300" s="2" t="str">
        <f t="shared" si="177"/>
        <v>Inefficient</v>
      </c>
      <c r="S2300" s="2" t="str">
        <f t="shared" si="178"/>
        <v>Long</v>
      </c>
      <c r="T2300" s="2" t="str">
        <f t="shared" si="179"/>
        <v>Major Delay</v>
      </c>
    </row>
    <row r="2301" spans="1:20" x14ac:dyDescent="0.35">
      <c r="A2301" s="2" t="s">
        <v>4785</v>
      </c>
      <c r="B2301" s="2" t="s">
        <v>63</v>
      </c>
      <c r="C2301" s="2" t="s">
        <v>4786</v>
      </c>
      <c r="D2301" s="2" t="s">
        <v>26</v>
      </c>
      <c r="E2301" s="2" t="s">
        <v>19</v>
      </c>
      <c r="F2301" s="2" t="s">
        <v>27</v>
      </c>
      <c r="G2301" s="2" t="s">
        <v>647</v>
      </c>
      <c r="H2301" s="3">
        <v>45472.915972222225</v>
      </c>
      <c r="I2301" s="3">
        <v>45473.070833333331</v>
      </c>
      <c r="J2301" s="2">
        <v>151</v>
      </c>
      <c r="K2301" s="2">
        <v>223</v>
      </c>
      <c r="L2301" s="2">
        <v>1</v>
      </c>
      <c r="M2301" s="2" t="s">
        <v>22</v>
      </c>
      <c r="N2301" s="2">
        <v>6</v>
      </c>
      <c r="O2301" s="2">
        <v>423.08</v>
      </c>
      <c r="P2301" s="2">
        <f t="shared" si="175"/>
        <v>72</v>
      </c>
      <c r="Q2301" s="4">
        <f t="shared" si="176"/>
        <v>0.67713004484304928</v>
      </c>
      <c r="R2301" s="2" t="str">
        <f t="shared" si="177"/>
        <v>Inefficient</v>
      </c>
      <c r="S2301" s="2" t="str">
        <f t="shared" si="178"/>
        <v>Very Long</v>
      </c>
      <c r="T2301" s="2" t="str">
        <f t="shared" si="179"/>
        <v>Major Delay</v>
      </c>
    </row>
    <row r="2302" spans="1:20" x14ac:dyDescent="0.35">
      <c r="A2302" s="2" t="s">
        <v>4787</v>
      </c>
      <c r="B2302" s="2" t="s">
        <v>16</v>
      </c>
      <c r="C2302" s="2" t="s">
        <v>4788</v>
      </c>
      <c r="D2302" s="2" t="s">
        <v>26</v>
      </c>
      <c r="E2302" s="2" t="s">
        <v>38</v>
      </c>
      <c r="F2302" s="2" t="s">
        <v>34</v>
      </c>
      <c r="G2302" s="2" t="s">
        <v>676</v>
      </c>
      <c r="H2302" s="3">
        <v>45450.486111111109</v>
      </c>
      <c r="I2302" s="3">
        <v>45450.55</v>
      </c>
      <c r="J2302" s="2">
        <v>32</v>
      </c>
      <c r="K2302" s="2">
        <v>92</v>
      </c>
      <c r="L2302" s="2">
        <v>1</v>
      </c>
      <c r="M2302" s="2" t="s">
        <v>41</v>
      </c>
      <c r="N2302" s="2">
        <v>6</v>
      </c>
      <c r="O2302" s="2">
        <v>444.41</v>
      </c>
      <c r="P2302" s="2">
        <f t="shared" si="175"/>
        <v>60</v>
      </c>
      <c r="Q2302" s="4">
        <f t="shared" si="176"/>
        <v>0.34782608695652173</v>
      </c>
      <c r="R2302" s="2" t="str">
        <f t="shared" si="177"/>
        <v>Inefficient</v>
      </c>
      <c r="S2302" s="2" t="str">
        <f t="shared" si="178"/>
        <v>Long</v>
      </c>
      <c r="T2302" s="2" t="str">
        <f t="shared" si="179"/>
        <v>Major Delay</v>
      </c>
    </row>
    <row r="2303" spans="1:20" x14ac:dyDescent="0.35">
      <c r="A2303" s="2" t="s">
        <v>4789</v>
      </c>
      <c r="B2303" s="2" t="s">
        <v>31</v>
      </c>
      <c r="C2303" s="2" t="s">
        <v>4790</v>
      </c>
      <c r="D2303" s="2" t="s">
        <v>26</v>
      </c>
      <c r="E2303" s="2" t="s">
        <v>33</v>
      </c>
      <c r="F2303" s="2" t="s">
        <v>27</v>
      </c>
      <c r="G2303" s="2" t="s">
        <v>810</v>
      </c>
      <c r="H2303" s="3">
        <v>45436.848611111112</v>
      </c>
      <c r="I2303" s="3">
        <v>45436.92291666667</v>
      </c>
      <c r="J2303" s="2">
        <v>62</v>
      </c>
      <c r="K2303" s="2">
        <v>107</v>
      </c>
      <c r="L2303" s="2">
        <v>1</v>
      </c>
      <c r="M2303" s="2" t="s">
        <v>29</v>
      </c>
      <c r="N2303" s="2">
        <v>4</v>
      </c>
      <c r="O2303" s="2">
        <v>491.19</v>
      </c>
      <c r="P2303" s="2">
        <f t="shared" si="175"/>
        <v>45</v>
      </c>
      <c r="Q2303" s="4">
        <f t="shared" si="176"/>
        <v>0.57943925233644855</v>
      </c>
      <c r="R2303" s="2" t="str">
        <f t="shared" si="177"/>
        <v>Inefficient</v>
      </c>
      <c r="S2303" s="2" t="str">
        <f t="shared" si="178"/>
        <v>Long</v>
      </c>
      <c r="T2303" s="2" t="str">
        <f t="shared" si="179"/>
        <v>Major Delay</v>
      </c>
    </row>
    <row r="2304" spans="1:20" x14ac:dyDescent="0.35">
      <c r="A2304" s="2" t="s">
        <v>4791</v>
      </c>
      <c r="B2304" s="2" t="s">
        <v>31</v>
      </c>
      <c r="C2304" s="2" t="s">
        <v>4792</v>
      </c>
      <c r="D2304" s="2" t="s">
        <v>48</v>
      </c>
      <c r="E2304" s="2" t="s">
        <v>33</v>
      </c>
      <c r="F2304" s="2" t="s">
        <v>20</v>
      </c>
      <c r="G2304" s="2" t="s">
        <v>28</v>
      </c>
      <c r="H2304" s="3">
        <v>45521.302083333336</v>
      </c>
      <c r="I2304" s="3">
        <v>45521.326388888891</v>
      </c>
      <c r="J2304" s="2">
        <v>28</v>
      </c>
      <c r="K2304" s="2">
        <v>35</v>
      </c>
      <c r="L2304" s="2">
        <v>1</v>
      </c>
      <c r="M2304" s="2" t="s">
        <v>41</v>
      </c>
      <c r="N2304" s="2">
        <v>5</v>
      </c>
      <c r="O2304" s="2">
        <v>208.77</v>
      </c>
      <c r="P2304" s="2">
        <f t="shared" si="175"/>
        <v>7</v>
      </c>
      <c r="Q2304" s="4">
        <f t="shared" si="176"/>
        <v>0.8</v>
      </c>
      <c r="R2304" s="2" t="str">
        <f t="shared" si="177"/>
        <v>Inefficient</v>
      </c>
      <c r="S2304" s="2" t="str">
        <f t="shared" si="178"/>
        <v>Medium</v>
      </c>
      <c r="T2304" s="2" t="str">
        <f t="shared" si="179"/>
        <v>Minor Delay</v>
      </c>
    </row>
    <row r="2305" spans="1:20" x14ac:dyDescent="0.35">
      <c r="A2305" s="2" t="s">
        <v>4793</v>
      </c>
      <c r="B2305" s="2" t="s">
        <v>63</v>
      </c>
      <c r="C2305" s="2" t="s">
        <v>4794</v>
      </c>
      <c r="D2305" s="2" t="s">
        <v>44</v>
      </c>
      <c r="E2305" s="2" t="s">
        <v>85</v>
      </c>
      <c r="F2305" s="2" t="s">
        <v>57</v>
      </c>
      <c r="G2305" s="2" t="s">
        <v>132</v>
      </c>
      <c r="H2305" s="3">
        <v>45577.990277777775</v>
      </c>
      <c r="I2305" s="3">
        <v>45578.147916666669</v>
      </c>
      <c r="J2305" s="2">
        <v>124</v>
      </c>
      <c r="K2305" s="2">
        <v>227</v>
      </c>
      <c r="L2305" s="2">
        <v>1</v>
      </c>
      <c r="M2305" s="2" t="s">
        <v>22</v>
      </c>
      <c r="N2305" s="2">
        <v>10</v>
      </c>
      <c r="O2305" s="2">
        <v>402.98</v>
      </c>
      <c r="P2305" s="2">
        <f t="shared" si="175"/>
        <v>103</v>
      </c>
      <c r="Q2305" s="4">
        <f t="shared" si="176"/>
        <v>0.54625550660792954</v>
      </c>
      <c r="R2305" s="2" t="str">
        <f t="shared" si="177"/>
        <v>Inefficient</v>
      </c>
      <c r="S2305" s="2" t="str">
        <f t="shared" si="178"/>
        <v>Very Long</v>
      </c>
      <c r="T2305" s="2" t="str">
        <f t="shared" si="179"/>
        <v>Major Delay</v>
      </c>
    </row>
    <row r="2306" spans="1:20" x14ac:dyDescent="0.35">
      <c r="A2306" s="2" t="s">
        <v>4795</v>
      </c>
      <c r="B2306" s="2" t="s">
        <v>63</v>
      </c>
      <c r="C2306" s="2" t="s">
        <v>4796</v>
      </c>
      <c r="D2306" s="2" t="s">
        <v>56</v>
      </c>
      <c r="E2306" s="2" t="s">
        <v>33</v>
      </c>
      <c r="F2306" s="2" t="s">
        <v>20</v>
      </c>
      <c r="G2306" s="2" t="s">
        <v>371</v>
      </c>
      <c r="H2306" s="3">
        <v>45445.449305555558</v>
      </c>
      <c r="I2306" s="3">
        <v>45445.611805555556</v>
      </c>
      <c r="J2306" s="2">
        <v>115</v>
      </c>
      <c r="K2306" s="2">
        <v>234</v>
      </c>
      <c r="L2306" s="2">
        <v>1</v>
      </c>
      <c r="M2306" s="2" t="s">
        <v>22</v>
      </c>
      <c r="N2306" s="2">
        <v>8</v>
      </c>
      <c r="O2306" s="2">
        <v>131.32</v>
      </c>
      <c r="P2306" s="2">
        <f t="shared" si="175"/>
        <v>119</v>
      </c>
      <c r="Q2306" s="4">
        <f t="shared" si="176"/>
        <v>0.49145299145299143</v>
      </c>
      <c r="R2306" s="2" t="str">
        <f t="shared" si="177"/>
        <v>Inefficient</v>
      </c>
      <c r="S2306" s="2" t="str">
        <f t="shared" si="178"/>
        <v>Very Long</v>
      </c>
      <c r="T2306" s="2" t="str">
        <f t="shared" si="179"/>
        <v>Major Delay</v>
      </c>
    </row>
    <row r="2307" spans="1:20" x14ac:dyDescent="0.35">
      <c r="A2307" s="2" t="s">
        <v>4797</v>
      </c>
      <c r="B2307" s="2" t="s">
        <v>51</v>
      </c>
      <c r="C2307" s="2" t="s">
        <v>4798</v>
      </c>
      <c r="D2307" s="2" t="s">
        <v>44</v>
      </c>
      <c r="E2307" s="2" t="s">
        <v>85</v>
      </c>
      <c r="F2307" s="2" t="s">
        <v>39</v>
      </c>
      <c r="G2307" s="2" t="s">
        <v>521</v>
      </c>
      <c r="H2307" s="3">
        <v>45318.345138888886</v>
      </c>
      <c r="I2307" s="3">
        <v>45318.395833333336</v>
      </c>
      <c r="J2307" s="2">
        <v>42</v>
      </c>
      <c r="K2307" s="2">
        <v>73</v>
      </c>
      <c r="L2307" s="2">
        <v>1</v>
      </c>
      <c r="M2307" s="2" t="s">
        <v>41</v>
      </c>
      <c r="N2307" s="2">
        <v>6</v>
      </c>
      <c r="O2307" s="2">
        <v>484.59</v>
      </c>
      <c r="P2307" s="2">
        <f t="shared" ref="P2307:P2370" si="180">K2307-J2307</f>
        <v>31</v>
      </c>
      <c r="Q2307" s="4">
        <f t="shared" ref="Q2307:Q2370" si="181">J2307/K2307</f>
        <v>0.57534246575342463</v>
      </c>
      <c r="R2307" s="2" t="str">
        <f t="shared" ref="R2307:R2370" si="182">IF(Q2307&gt;1,"Efficient",
IF(Q2307=1,"On Target","Inefficient"))</f>
        <v>Inefficient</v>
      </c>
      <c r="S2307" s="2" t="str">
        <f t="shared" ref="S2307:S2370" si="183">IF(K2307&lt;30,"Short",
IF(K2307&lt;60,"Medium",
IF(K2307&lt;120,"Long","Very Long")))</f>
        <v>Long</v>
      </c>
      <c r="T2307" s="2" t="str">
        <f t="shared" ref="T2307:T2370" si="184">IF(K2307&lt;=J2307,"On Time",
IF(K2307-J2307&lt;=30,"Minor Delay","Major Delay"))</f>
        <v>Major Delay</v>
      </c>
    </row>
    <row r="2308" spans="1:20" x14ac:dyDescent="0.35">
      <c r="A2308" s="2" t="s">
        <v>4799</v>
      </c>
      <c r="B2308" s="2" t="s">
        <v>63</v>
      </c>
      <c r="C2308" s="2" t="s">
        <v>4800</v>
      </c>
      <c r="D2308" s="2" t="s">
        <v>48</v>
      </c>
      <c r="E2308" s="2" t="s">
        <v>19</v>
      </c>
      <c r="F2308" s="2" t="s">
        <v>20</v>
      </c>
      <c r="G2308" s="2" t="s">
        <v>68</v>
      </c>
      <c r="H2308" s="3">
        <v>45472.451388888891</v>
      </c>
      <c r="I2308" s="3">
        <v>45472.536111111112</v>
      </c>
      <c r="J2308" s="2">
        <v>118</v>
      </c>
      <c r="K2308" s="2">
        <v>122</v>
      </c>
      <c r="L2308" s="2">
        <v>1</v>
      </c>
      <c r="M2308" s="2" t="s">
        <v>41</v>
      </c>
      <c r="N2308" s="2">
        <v>9</v>
      </c>
      <c r="O2308" s="2">
        <v>426.46</v>
      </c>
      <c r="P2308" s="2">
        <f t="shared" si="180"/>
        <v>4</v>
      </c>
      <c r="Q2308" s="4">
        <f t="shared" si="181"/>
        <v>0.96721311475409832</v>
      </c>
      <c r="R2308" s="2" t="str">
        <f t="shared" si="182"/>
        <v>Inefficient</v>
      </c>
      <c r="S2308" s="2" t="str">
        <f t="shared" si="183"/>
        <v>Very Long</v>
      </c>
      <c r="T2308" s="2" t="str">
        <f t="shared" si="184"/>
        <v>Minor Delay</v>
      </c>
    </row>
    <row r="2309" spans="1:20" x14ac:dyDescent="0.35">
      <c r="A2309" s="2" t="s">
        <v>4801</v>
      </c>
      <c r="B2309" s="2" t="s">
        <v>16</v>
      </c>
      <c r="C2309" s="2" t="s">
        <v>4802</v>
      </c>
      <c r="D2309" s="2" t="s">
        <v>56</v>
      </c>
      <c r="E2309" s="2" t="s">
        <v>33</v>
      </c>
      <c r="F2309" s="2" t="s">
        <v>57</v>
      </c>
      <c r="G2309" s="2" t="s">
        <v>853</v>
      </c>
      <c r="H2309" s="3">
        <v>45581.159722222219</v>
      </c>
      <c r="I2309" s="3">
        <v>45581.288194444445</v>
      </c>
      <c r="J2309" s="2">
        <v>124</v>
      </c>
      <c r="K2309" s="2">
        <v>185</v>
      </c>
      <c r="L2309" s="2">
        <v>1</v>
      </c>
      <c r="M2309" s="2" t="s">
        <v>22</v>
      </c>
      <c r="N2309" s="2">
        <v>7</v>
      </c>
      <c r="O2309" s="2">
        <v>312.05</v>
      </c>
      <c r="P2309" s="2">
        <f t="shared" si="180"/>
        <v>61</v>
      </c>
      <c r="Q2309" s="4">
        <f t="shared" si="181"/>
        <v>0.67027027027027031</v>
      </c>
      <c r="R2309" s="2" t="str">
        <f t="shared" si="182"/>
        <v>Inefficient</v>
      </c>
      <c r="S2309" s="2" t="str">
        <f t="shared" si="183"/>
        <v>Very Long</v>
      </c>
      <c r="T2309" s="2" t="str">
        <f t="shared" si="184"/>
        <v>Major Delay</v>
      </c>
    </row>
    <row r="2310" spans="1:20" x14ac:dyDescent="0.35">
      <c r="A2310" s="2" t="s">
        <v>4803</v>
      </c>
      <c r="B2310" s="2" t="s">
        <v>31</v>
      </c>
      <c r="C2310" s="2" t="s">
        <v>4804</v>
      </c>
      <c r="D2310" s="2" t="s">
        <v>18</v>
      </c>
      <c r="E2310" s="2" t="s">
        <v>38</v>
      </c>
      <c r="F2310" s="2" t="s">
        <v>39</v>
      </c>
      <c r="G2310" s="2" t="s">
        <v>108</v>
      </c>
      <c r="H2310" s="3">
        <v>45508.023611111108</v>
      </c>
      <c r="I2310" s="3">
        <v>45508.081944444442</v>
      </c>
      <c r="J2310" s="2">
        <v>22</v>
      </c>
      <c r="K2310" s="2">
        <v>84</v>
      </c>
      <c r="L2310" s="2">
        <v>1</v>
      </c>
      <c r="M2310" s="2" t="s">
        <v>29</v>
      </c>
      <c r="N2310" s="2">
        <v>1</v>
      </c>
      <c r="O2310" s="2">
        <v>228.82</v>
      </c>
      <c r="P2310" s="2">
        <f t="shared" si="180"/>
        <v>62</v>
      </c>
      <c r="Q2310" s="4">
        <f t="shared" si="181"/>
        <v>0.26190476190476192</v>
      </c>
      <c r="R2310" s="2" t="str">
        <f t="shared" si="182"/>
        <v>Inefficient</v>
      </c>
      <c r="S2310" s="2" t="str">
        <f t="shared" si="183"/>
        <v>Long</v>
      </c>
      <c r="T2310" s="2" t="str">
        <f t="shared" si="184"/>
        <v>Major Delay</v>
      </c>
    </row>
    <row r="2311" spans="1:20" x14ac:dyDescent="0.35">
      <c r="A2311" s="2" t="s">
        <v>4805</v>
      </c>
      <c r="B2311" s="2" t="s">
        <v>51</v>
      </c>
      <c r="C2311" s="2" t="s">
        <v>4806</v>
      </c>
      <c r="D2311" s="2" t="s">
        <v>44</v>
      </c>
      <c r="E2311" s="2" t="s">
        <v>85</v>
      </c>
      <c r="F2311" s="2" t="s">
        <v>20</v>
      </c>
      <c r="G2311" s="2" t="s">
        <v>521</v>
      </c>
      <c r="H2311" s="3">
        <v>45430.503472222219</v>
      </c>
      <c r="I2311" s="3">
        <v>45430.645833333336</v>
      </c>
      <c r="J2311" s="2">
        <v>89</v>
      </c>
      <c r="K2311" s="2">
        <v>205</v>
      </c>
      <c r="L2311" s="2">
        <v>1</v>
      </c>
      <c r="M2311" s="2" t="s">
        <v>41</v>
      </c>
      <c r="N2311" s="2">
        <v>5</v>
      </c>
      <c r="O2311" s="2">
        <v>429.12</v>
      </c>
      <c r="P2311" s="2">
        <f t="shared" si="180"/>
        <v>116</v>
      </c>
      <c r="Q2311" s="4">
        <f t="shared" si="181"/>
        <v>0.43414634146341463</v>
      </c>
      <c r="R2311" s="2" t="str">
        <f t="shared" si="182"/>
        <v>Inefficient</v>
      </c>
      <c r="S2311" s="2" t="str">
        <f t="shared" si="183"/>
        <v>Very Long</v>
      </c>
      <c r="T2311" s="2" t="str">
        <f t="shared" si="184"/>
        <v>Major Delay</v>
      </c>
    </row>
    <row r="2312" spans="1:20" x14ac:dyDescent="0.35">
      <c r="A2312" s="2" t="s">
        <v>4807</v>
      </c>
      <c r="B2312" s="2" t="s">
        <v>16</v>
      </c>
      <c r="C2312" s="2" t="s">
        <v>4808</v>
      </c>
      <c r="D2312" s="2" t="s">
        <v>44</v>
      </c>
      <c r="E2312" s="2" t="s">
        <v>19</v>
      </c>
      <c r="F2312" s="2" t="s">
        <v>34</v>
      </c>
      <c r="G2312" s="2" t="s">
        <v>512</v>
      </c>
      <c r="H2312" s="3">
        <v>45516.501388888886</v>
      </c>
      <c r="I2312" s="3">
        <v>45516.56527777778</v>
      </c>
      <c r="J2312" s="2">
        <v>41</v>
      </c>
      <c r="K2312" s="2">
        <v>92</v>
      </c>
      <c r="L2312" s="2">
        <v>1</v>
      </c>
      <c r="M2312" s="2" t="s">
        <v>41</v>
      </c>
      <c r="N2312" s="2">
        <v>4</v>
      </c>
      <c r="O2312" s="2">
        <v>228.6</v>
      </c>
      <c r="P2312" s="2">
        <f t="shared" si="180"/>
        <v>51</v>
      </c>
      <c r="Q2312" s="4">
        <f t="shared" si="181"/>
        <v>0.44565217391304346</v>
      </c>
      <c r="R2312" s="2" t="str">
        <f t="shared" si="182"/>
        <v>Inefficient</v>
      </c>
      <c r="S2312" s="2" t="str">
        <f t="shared" si="183"/>
        <v>Long</v>
      </c>
      <c r="T2312" s="2" t="str">
        <f t="shared" si="184"/>
        <v>Major Delay</v>
      </c>
    </row>
    <row r="2313" spans="1:20" x14ac:dyDescent="0.35">
      <c r="A2313" s="2" t="s">
        <v>4809</v>
      </c>
      <c r="B2313" s="2" t="s">
        <v>24</v>
      </c>
      <c r="C2313" s="2" t="s">
        <v>4810</v>
      </c>
      <c r="D2313" s="2" t="s">
        <v>18</v>
      </c>
      <c r="E2313" s="2" t="s">
        <v>19</v>
      </c>
      <c r="F2313" s="2" t="s">
        <v>57</v>
      </c>
      <c r="G2313" s="2" t="s">
        <v>1125</v>
      </c>
      <c r="H2313" s="3">
        <v>45408.420138888891</v>
      </c>
      <c r="I2313" s="3">
        <v>45408.486805555556</v>
      </c>
      <c r="J2313" s="2">
        <v>19</v>
      </c>
      <c r="K2313" s="2">
        <v>96</v>
      </c>
      <c r="L2313" s="2">
        <v>1</v>
      </c>
      <c r="M2313" s="2" t="s">
        <v>22</v>
      </c>
      <c r="N2313" s="2">
        <v>10</v>
      </c>
      <c r="O2313" s="2">
        <v>249.79</v>
      </c>
      <c r="P2313" s="2">
        <f t="shared" si="180"/>
        <v>77</v>
      </c>
      <c r="Q2313" s="4">
        <f t="shared" si="181"/>
        <v>0.19791666666666666</v>
      </c>
      <c r="R2313" s="2" t="str">
        <f t="shared" si="182"/>
        <v>Inefficient</v>
      </c>
      <c r="S2313" s="2" t="str">
        <f t="shared" si="183"/>
        <v>Long</v>
      </c>
      <c r="T2313" s="2" t="str">
        <f t="shared" si="184"/>
        <v>Major Delay</v>
      </c>
    </row>
    <row r="2314" spans="1:20" x14ac:dyDescent="0.35">
      <c r="A2314" s="2" t="s">
        <v>4811</v>
      </c>
      <c r="B2314" s="2" t="s">
        <v>63</v>
      </c>
      <c r="C2314" s="2" t="s">
        <v>4812</v>
      </c>
      <c r="D2314" s="2" t="s">
        <v>44</v>
      </c>
      <c r="E2314" s="2" t="s">
        <v>19</v>
      </c>
      <c r="F2314" s="2" t="s">
        <v>57</v>
      </c>
      <c r="G2314" s="2" t="s">
        <v>473</v>
      </c>
      <c r="H2314" s="3">
        <v>45556.88958333333</v>
      </c>
      <c r="I2314" s="3">
        <v>45557.04791666667</v>
      </c>
      <c r="J2314" s="2">
        <v>114</v>
      </c>
      <c r="K2314" s="2">
        <v>228</v>
      </c>
      <c r="L2314" s="2">
        <v>1</v>
      </c>
      <c r="M2314" s="2" t="s">
        <v>41</v>
      </c>
      <c r="N2314" s="2">
        <v>7</v>
      </c>
      <c r="O2314" s="2">
        <v>414.62</v>
      </c>
      <c r="P2314" s="2">
        <f t="shared" si="180"/>
        <v>114</v>
      </c>
      <c r="Q2314" s="4">
        <f t="shared" si="181"/>
        <v>0.5</v>
      </c>
      <c r="R2314" s="2" t="str">
        <f t="shared" si="182"/>
        <v>Inefficient</v>
      </c>
      <c r="S2314" s="2" t="str">
        <f t="shared" si="183"/>
        <v>Very Long</v>
      </c>
      <c r="T2314" s="2" t="str">
        <f t="shared" si="184"/>
        <v>Major Delay</v>
      </c>
    </row>
    <row r="2315" spans="1:20" x14ac:dyDescent="0.35">
      <c r="A2315" s="2" t="s">
        <v>4813</v>
      </c>
      <c r="B2315" s="2" t="s">
        <v>16</v>
      </c>
      <c r="C2315" s="2" t="s">
        <v>4814</v>
      </c>
      <c r="D2315" s="2" t="s">
        <v>56</v>
      </c>
      <c r="E2315" s="2" t="s">
        <v>19</v>
      </c>
      <c r="F2315" s="2" t="s">
        <v>57</v>
      </c>
      <c r="G2315" s="2" t="s">
        <v>173</v>
      </c>
      <c r="H2315" s="3">
        <v>45532.379861111112</v>
      </c>
      <c r="I2315" s="3">
        <v>45532.555555555555</v>
      </c>
      <c r="J2315" s="2">
        <v>192</v>
      </c>
      <c r="K2315" s="2">
        <v>253</v>
      </c>
      <c r="L2315" s="2">
        <v>1</v>
      </c>
      <c r="M2315" s="2" t="s">
        <v>41</v>
      </c>
      <c r="N2315" s="2">
        <v>5</v>
      </c>
      <c r="O2315" s="2">
        <v>175.02</v>
      </c>
      <c r="P2315" s="2">
        <f t="shared" si="180"/>
        <v>61</v>
      </c>
      <c r="Q2315" s="4">
        <f t="shared" si="181"/>
        <v>0.75889328063241102</v>
      </c>
      <c r="R2315" s="2" t="str">
        <f t="shared" si="182"/>
        <v>Inefficient</v>
      </c>
      <c r="S2315" s="2" t="str">
        <f t="shared" si="183"/>
        <v>Very Long</v>
      </c>
      <c r="T2315" s="2" t="str">
        <f t="shared" si="184"/>
        <v>Major Delay</v>
      </c>
    </row>
    <row r="2316" spans="1:20" x14ac:dyDescent="0.35">
      <c r="A2316" s="2" t="s">
        <v>4815</v>
      </c>
      <c r="B2316" s="2" t="s">
        <v>63</v>
      </c>
      <c r="C2316" s="2" t="s">
        <v>4816</v>
      </c>
      <c r="D2316" s="2" t="s">
        <v>18</v>
      </c>
      <c r="E2316" s="2" t="s">
        <v>33</v>
      </c>
      <c r="F2316" s="2" t="s">
        <v>20</v>
      </c>
      <c r="G2316" s="2" t="s">
        <v>476</v>
      </c>
      <c r="H2316" s="3">
        <v>45515.762499999997</v>
      </c>
      <c r="I2316" s="3">
        <v>45515.842361111114</v>
      </c>
      <c r="J2316" s="2">
        <v>115</v>
      </c>
      <c r="K2316" s="2">
        <v>115</v>
      </c>
      <c r="L2316" s="2">
        <v>0</v>
      </c>
      <c r="M2316" s="2" t="s">
        <v>41</v>
      </c>
      <c r="N2316" s="2">
        <v>7</v>
      </c>
      <c r="O2316" s="2">
        <v>209.47</v>
      </c>
      <c r="P2316" s="2">
        <f t="shared" si="180"/>
        <v>0</v>
      </c>
      <c r="Q2316" s="4">
        <f t="shared" si="181"/>
        <v>1</v>
      </c>
      <c r="R2316" s="2" t="str">
        <f t="shared" si="182"/>
        <v>On Target</v>
      </c>
      <c r="S2316" s="2" t="str">
        <f t="shared" si="183"/>
        <v>Long</v>
      </c>
      <c r="T2316" s="2" t="str">
        <f t="shared" si="184"/>
        <v>On Time</v>
      </c>
    </row>
    <row r="2317" spans="1:20" x14ac:dyDescent="0.35">
      <c r="A2317" s="2" t="s">
        <v>4817</v>
      </c>
      <c r="B2317" s="2" t="s">
        <v>63</v>
      </c>
      <c r="C2317" s="2" t="s">
        <v>4818</v>
      </c>
      <c r="D2317" s="2" t="s">
        <v>48</v>
      </c>
      <c r="E2317" s="2" t="s">
        <v>85</v>
      </c>
      <c r="F2317" s="2" t="s">
        <v>57</v>
      </c>
      <c r="G2317" s="2" t="s">
        <v>988</v>
      </c>
      <c r="H2317" s="3">
        <v>45377.75</v>
      </c>
      <c r="I2317" s="3">
        <v>45377.905555555553</v>
      </c>
      <c r="J2317" s="2">
        <v>128</v>
      </c>
      <c r="K2317" s="2">
        <v>224</v>
      </c>
      <c r="L2317" s="2">
        <v>1</v>
      </c>
      <c r="M2317" s="2" t="s">
        <v>29</v>
      </c>
      <c r="N2317" s="2">
        <v>9</v>
      </c>
      <c r="O2317" s="2">
        <v>335.01</v>
      </c>
      <c r="P2317" s="2">
        <f t="shared" si="180"/>
        <v>96</v>
      </c>
      <c r="Q2317" s="4">
        <f t="shared" si="181"/>
        <v>0.5714285714285714</v>
      </c>
      <c r="R2317" s="2" t="str">
        <f t="shared" si="182"/>
        <v>Inefficient</v>
      </c>
      <c r="S2317" s="2" t="str">
        <f t="shared" si="183"/>
        <v>Very Long</v>
      </c>
      <c r="T2317" s="2" t="str">
        <f t="shared" si="184"/>
        <v>Major Delay</v>
      </c>
    </row>
    <row r="2318" spans="1:20" x14ac:dyDescent="0.35">
      <c r="A2318" s="2" t="s">
        <v>4819</v>
      </c>
      <c r="B2318" s="2" t="s">
        <v>31</v>
      </c>
      <c r="C2318" s="2" t="s">
        <v>4820</v>
      </c>
      <c r="D2318" s="2" t="s">
        <v>44</v>
      </c>
      <c r="E2318" s="2" t="s">
        <v>85</v>
      </c>
      <c r="F2318" s="2" t="s">
        <v>27</v>
      </c>
      <c r="G2318" s="2" t="s">
        <v>114</v>
      </c>
      <c r="H2318" s="3">
        <v>45482.416666666664</v>
      </c>
      <c r="I2318" s="3">
        <v>45482.59097222222</v>
      </c>
      <c r="J2318" s="2">
        <v>223</v>
      </c>
      <c r="K2318" s="2">
        <v>251</v>
      </c>
      <c r="L2318" s="2">
        <v>1</v>
      </c>
      <c r="M2318" s="2" t="s">
        <v>29</v>
      </c>
      <c r="N2318" s="2">
        <v>2</v>
      </c>
      <c r="O2318" s="2">
        <v>482.97</v>
      </c>
      <c r="P2318" s="2">
        <f t="shared" si="180"/>
        <v>28</v>
      </c>
      <c r="Q2318" s="4">
        <f t="shared" si="181"/>
        <v>0.88844621513944222</v>
      </c>
      <c r="R2318" s="2" t="str">
        <f t="shared" si="182"/>
        <v>Inefficient</v>
      </c>
      <c r="S2318" s="2" t="str">
        <f t="shared" si="183"/>
        <v>Very Long</v>
      </c>
      <c r="T2318" s="2" t="str">
        <f t="shared" si="184"/>
        <v>Minor Delay</v>
      </c>
    </row>
    <row r="2319" spans="1:20" x14ac:dyDescent="0.35">
      <c r="A2319" s="2" t="s">
        <v>4821</v>
      </c>
      <c r="B2319" s="2" t="s">
        <v>16</v>
      </c>
      <c r="C2319" s="2" t="s">
        <v>4822</v>
      </c>
      <c r="D2319" s="2" t="s">
        <v>48</v>
      </c>
      <c r="E2319" s="2" t="s">
        <v>38</v>
      </c>
      <c r="F2319" s="2" t="s">
        <v>57</v>
      </c>
      <c r="G2319" s="2" t="s">
        <v>225</v>
      </c>
      <c r="H2319" s="3">
        <v>45535.941666666666</v>
      </c>
      <c r="I2319" s="3">
        <v>45536.1</v>
      </c>
      <c r="J2319" s="2">
        <v>204</v>
      </c>
      <c r="K2319" s="2">
        <v>228</v>
      </c>
      <c r="L2319" s="2">
        <v>1</v>
      </c>
      <c r="M2319" s="2" t="s">
        <v>41</v>
      </c>
      <c r="N2319" s="2">
        <v>9</v>
      </c>
      <c r="O2319" s="2">
        <v>394.86</v>
      </c>
      <c r="P2319" s="2">
        <f t="shared" si="180"/>
        <v>24</v>
      </c>
      <c r="Q2319" s="4">
        <f t="shared" si="181"/>
        <v>0.89473684210526316</v>
      </c>
      <c r="R2319" s="2" t="str">
        <f t="shared" si="182"/>
        <v>Inefficient</v>
      </c>
      <c r="S2319" s="2" t="str">
        <f t="shared" si="183"/>
        <v>Very Long</v>
      </c>
      <c r="T2319" s="2" t="str">
        <f t="shared" si="184"/>
        <v>Minor Delay</v>
      </c>
    </row>
    <row r="2320" spans="1:20" x14ac:dyDescent="0.35">
      <c r="A2320" s="2" t="s">
        <v>4823</v>
      </c>
      <c r="B2320" s="2" t="s">
        <v>16</v>
      </c>
      <c r="C2320" s="2" t="s">
        <v>4824</v>
      </c>
      <c r="D2320" s="2" t="s">
        <v>48</v>
      </c>
      <c r="E2320" s="2" t="s">
        <v>85</v>
      </c>
      <c r="F2320" s="2" t="s">
        <v>39</v>
      </c>
      <c r="G2320" s="2" t="s">
        <v>204</v>
      </c>
      <c r="H2320" s="3">
        <v>45313.463194444441</v>
      </c>
      <c r="I2320" s="3">
        <v>45313.583333333336</v>
      </c>
      <c r="J2320" s="2">
        <v>79</v>
      </c>
      <c r="K2320" s="2">
        <v>173</v>
      </c>
      <c r="L2320" s="2">
        <v>1</v>
      </c>
      <c r="M2320" s="2" t="s">
        <v>29</v>
      </c>
      <c r="N2320" s="2">
        <v>8</v>
      </c>
      <c r="O2320" s="2">
        <v>493.21</v>
      </c>
      <c r="P2320" s="2">
        <f t="shared" si="180"/>
        <v>94</v>
      </c>
      <c r="Q2320" s="4">
        <f t="shared" si="181"/>
        <v>0.45664739884393063</v>
      </c>
      <c r="R2320" s="2" t="str">
        <f t="shared" si="182"/>
        <v>Inefficient</v>
      </c>
      <c r="S2320" s="2" t="str">
        <f t="shared" si="183"/>
        <v>Very Long</v>
      </c>
      <c r="T2320" s="2" t="str">
        <f t="shared" si="184"/>
        <v>Major Delay</v>
      </c>
    </row>
    <row r="2321" spans="1:20" x14ac:dyDescent="0.35">
      <c r="A2321" s="2" t="s">
        <v>4825</v>
      </c>
      <c r="B2321" s="2" t="s">
        <v>51</v>
      </c>
      <c r="C2321" s="2" t="s">
        <v>4826</v>
      </c>
      <c r="D2321" s="2" t="s">
        <v>56</v>
      </c>
      <c r="E2321" s="2" t="s">
        <v>85</v>
      </c>
      <c r="F2321" s="2" t="s">
        <v>27</v>
      </c>
      <c r="G2321" s="2" t="s">
        <v>539</v>
      </c>
      <c r="H2321" s="3">
        <v>45347.13958333333</v>
      </c>
      <c r="I2321" s="3">
        <v>45347.337500000001</v>
      </c>
      <c r="J2321" s="2">
        <v>212</v>
      </c>
      <c r="K2321" s="2">
        <v>285</v>
      </c>
      <c r="L2321" s="2">
        <v>1</v>
      </c>
      <c r="M2321" s="2" t="s">
        <v>41</v>
      </c>
      <c r="N2321" s="2">
        <v>8</v>
      </c>
      <c r="O2321" s="2">
        <v>328.87</v>
      </c>
      <c r="P2321" s="2">
        <f t="shared" si="180"/>
        <v>73</v>
      </c>
      <c r="Q2321" s="4">
        <f t="shared" si="181"/>
        <v>0.743859649122807</v>
      </c>
      <c r="R2321" s="2" t="str">
        <f t="shared" si="182"/>
        <v>Inefficient</v>
      </c>
      <c r="S2321" s="2" t="str">
        <f t="shared" si="183"/>
        <v>Very Long</v>
      </c>
      <c r="T2321" s="2" t="str">
        <f t="shared" si="184"/>
        <v>Major Delay</v>
      </c>
    </row>
    <row r="2322" spans="1:20" x14ac:dyDescent="0.35">
      <c r="A2322" s="2" t="s">
        <v>4827</v>
      </c>
      <c r="B2322" s="2" t="s">
        <v>31</v>
      </c>
      <c r="C2322" s="2" t="s">
        <v>4828</v>
      </c>
      <c r="D2322" s="2" t="s">
        <v>56</v>
      </c>
      <c r="E2322" s="2" t="s">
        <v>85</v>
      </c>
      <c r="F2322" s="2" t="s">
        <v>20</v>
      </c>
      <c r="G2322" s="2" t="s">
        <v>126</v>
      </c>
      <c r="H2322" s="3">
        <v>45369.055555555555</v>
      </c>
      <c r="I2322" s="3">
        <v>45369.193749999999</v>
      </c>
      <c r="J2322" s="2">
        <v>162</v>
      </c>
      <c r="K2322" s="2">
        <v>199</v>
      </c>
      <c r="L2322" s="2">
        <v>1</v>
      </c>
      <c r="M2322" s="2" t="s">
        <v>22</v>
      </c>
      <c r="N2322" s="2">
        <v>4</v>
      </c>
      <c r="O2322" s="2">
        <v>268.62</v>
      </c>
      <c r="P2322" s="2">
        <f t="shared" si="180"/>
        <v>37</v>
      </c>
      <c r="Q2322" s="4">
        <f t="shared" si="181"/>
        <v>0.81407035175879394</v>
      </c>
      <c r="R2322" s="2" t="str">
        <f t="shared" si="182"/>
        <v>Inefficient</v>
      </c>
      <c r="S2322" s="2" t="str">
        <f t="shared" si="183"/>
        <v>Very Long</v>
      </c>
      <c r="T2322" s="2" t="str">
        <f t="shared" si="184"/>
        <v>Major Delay</v>
      </c>
    </row>
    <row r="2323" spans="1:20" x14ac:dyDescent="0.35">
      <c r="A2323" s="2" t="s">
        <v>4829</v>
      </c>
      <c r="B2323" s="2" t="s">
        <v>63</v>
      </c>
      <c r="C2323" s="2" t="s">
        <v>4830</v>
      </c>
      <c r="D2323" s="2" t="s">
        <v>56</v>
      </c>
      <c r="E2323" s="2" t="s">
        <v>19</v>
      </c>
      <c r="F2323" s="2" t="s">
        <v>27</v>
      </c>
      <c r="G2323" s="2" t="s">
        <v>577</v>
      </c>
      <c r="H2323" s="3">
        <v>45650.478472222225</v>
      </c>
      <c r="I2323" s="3">
        <v>45650.579861111109</v>
      </c>
      <c r="J2323" s="2">
        <v>132</v>
      </c>
      <c r="K2323" s="2">
        <v>146</v>
      </c>
      <c r="L2323" s="2">
        <v>1</v>
      </c>
      <c r="M2323" s="2" t="s">
        <v>22</v>
      </c>
      <c r="N2323" s="2">
        <v>4</v>
      </c>
      <c r="O2323" s="2">
        <v>161.47999999999999</v>
      </c>
      <c r="P2323" s="2">
        <f t="shared" si="180"/>
        <v>14</v>
      </c>
      <c r="Q2323" s="4">
        <f t="shared" si="181"/>
        <v>0.90410958904109584</v>
      </c>
      <c r="R2323" s="2" t="str">
        <f t="shared" si="182"/>
        <v>Inefficient</v>
      </c>
      <c r="S2323" s="2" t="str">
        <f t="shared" si="183"/>
        <v>Very Long</v>
      </c>
      <c r="T2323" s="2" t="str">
        <f t="shared" si="184"/>
        <v>Minor Delay</v>
      </c>
    </row>
    <row r="2324" spans="1:20" x14ac:dyDescent="0.35">
      <c r="A2324" s="2" t="s">
        <v>4831</v>
      </c>
      <c r="B2324" s="2" t="s">
        <v>24</v>
      </c>
      <c r="C2324" s="2" t="s">
        <v>4832</v>
      </c>
      <c r="D2324" s="2" t="s">
        <v>48</v>
      </c>
      <c r="E2324" s="2" t="s">
        <v>19</v>
      </c>
      <c r="F2324" s="2" t="s">
        <v>57</v>
      </c>
      <c r="G2324" s="2" t="s">
        <v>650</v>
      </c>
      <c r="H2324" s="3">
        <v>45321.629861111112</v>
      </c>
      <c r="I2324" s="3">
        <v>45321.704861111109</v>
      </c>
      <c r="J2324" s="2">
        <v>16</v>
      </c>
      <c r="K2324" s="2">
        <v>108</v>
      </c>
      <c r="L2324" s="2">
        <v>1</v>
      </c>
      <c r="M2324" s="2" t="s">
        <v>22</v>
      </c>
      <c r="N2324" s="2">
        <v>7</v>
      </c>
      <c r="O2324" s="2">
        <v>407.59</v>
      </c>
      <c r="P2324" s="2">
        <f t="shared" si="180"/>
        <v>92</v>
      </c>
      <c r="Q2324" s="4">
        <f t="shared" si="181"/>
        <v>0.14814814814814814</v>
      </c>
      <c r="R2324" s="2" t="str">
        <f t="shared" si="182"/>
        <v>Inefficient</v>
      </c>
      <c r="S2324" s="2" t="str">
        <f t="shared" si="183"/>
        <v>Long</v>
      </c>
      <c r="T2324" s="2" t="str">
        <f t="shared" si="184"/>
        <v>Major Delay</v>
      </c>
    </row>
    <row r="2325" spans="1:20" x14ac:dyDescent="0.35">
      <c r="A2325" s="2" t="s">
        <v>4833</v>
      </c>
      <c r="B2325" s="2" t="s">
        <v>63</v>
      </c>
      <c r="C2325" s="2" t="s">
        <v>4834</v>
      </c>
      <c r="D2325" s="2" t="s">
        <v>18</v>
      </c>
      <c r="E2325" s="2" t="s">
        <v>38</v>
      </c>
      <c r="F2325" s="2" t="s">
        <v>57</v>
      </c>
      <c r="G2325" s="2" t="s">
        <v>35</v>
      </c>
      <c r="H2325" s="3">
        <v>45307.055555555555</v>
      </c>
      <c r="I2325" s="3">
        <v>45307.231249999997</v>
      </c>
      <c r="J2325" s="2">
        <v>158</v>
      </c>
      <c r="K2325" s="2">
        <v>253</v>
      </c>
      <c r="L2325" s="2">
        <v>1</v>
      </c>
      <c r="M2325" s="2" t="s">
        <v>22</v>
      </c>
      <c r="N2325" s="2">
        <v>9</v>
      </c>
      <c r="O2325" s="2">
        <v>320.51</v>
      </c>
      <c r="P2325" s="2">
        <f t="shared" si="180"/>
        <v>95</v>
      </c>
      <c r="Q2325" s="4">
        <f t="shared" si="181"/>
        <v>0.62450592885375489</v>
      </c>
      <c r="R2325" s="2" t="str">
        <f t="shared" si="182"/>
        <v>Inefficient</v>
      </c>
      <c r="S2325" s="2" t="str">
        <f t="shared" si="183"/>
        <v>Very Long</v>
      </c>
      <c r="T2325" s="2" t="str">
        <f t="shared" si="184"/>
        <v>Major Delay</v>
      </c>
    </row>
    <row r="2326" spans="1:20" x14ac:dyDescent="0.35">
      <c r="A2326" s="2" t="s">
        <v>4835</v>
      </c>
      <c r="B2326" s="2" t="s">
        <v>24</v>
      </c>
      <c r="C2326" s="2" t="s">
        <v>4836</v>
      </c>
      <c r="D2326" s="2" t="s">
        <v>44</v>
      </c>
      <c r="E2326" s="2" t="s">
        <v>33</v>
      </c>
      <c r="F2326" s="2" t="s">
        <v>27</v>
      </c>
      <c r="G2326" s="2" t="s">
        <v>185</v>
      </c>
      <c r="H2326" s="3">
        <v>45412.88958333333</v>
      </c>
      <c r="I2326" s="3">
        <v>45413.086111111108</v>
      </c>
      <c r="J2326" s="2">
        <v>232</v>
      </c>
      <c r="K2326" s="2">
        <v>283</v>
      </c>
      <c r="L2326" s="2">
        <v>1</v>
      </c>
      <c r="M2326" s="2" t="s">
        <v>29</v>
      </c>
      <c r="N2326" s="2">
        <v>6</v>
      </c>
      <c r="O2326" s="2">
        <v>137.26</v>
      </c>
      <c r="P2326" s="2">
        <f t="shared" si="180"/>
        <v>51</v>
      </c>
      <c r="Q2326" s="4">
        <f t="shared" si="181"/>
        <v>0.81978798586572443</v>
      </c>
      <c r="R2326" s="2" t="str">
        <f t="shared" si="182"/>
        <v>Inefficient</v>
      </c>
      <c r="S2326" s="2" t="str">
        <f t="shared" si="183"/>
        <v>Very Long</v>
      </c>
      <c r="T2326" s="2" t="str">
        <f t="shared" si="184"/>
        <v>Major Delay</v>
      </c>
    </row>
    <row r="2327" spans="1:20" x14ac:dyDescent="0.35">
      <c r="A2327" s="2" t="s">
        <v>4837</v>
      </c>
      <c r="B2327" s="2" t="s">
        <v>63</v>
      </c>
      <c r="C2327" s="2" t="s">
        <v>4838</v>
      </c>
      <c r="D2327" s="2" t="s">
        <v>26</v>
      </c>
      <c r="E2327" s="2" t="s">
        <v>38</v>
      </c>
      <c r="F2327" s="2" t="s">
        <v>34</v>
      </c>
      <c r="G2327" s="2" t="s">
        <v>204</v>
      </c>
      <c r="H2327" s="3">
        <v>45521.925000000003</v>
      </c>
      <c r="I2327" s="3">
        <v>45522.00277777778</v>
      </c>
      <c r="J2327" s="2">
        <v>31</v>
      </c>
      <c r="K2327" s="2">
        <v>112</v>
      </c>
      <c r="L2327" s="2">
        <v>1</v>
      </c>
      <c r="M2327" s="2" t="s">
        <v>29</v>
      </c>
      <c r="N2327" s="2">
        <v>4</v>
      </c>
      <c r="O2327" s="2">
        <v>462.19</v>
      </c>
      <c r="P2327" s="2">
        <f t="shared" si="180"/>
        <v>81</v>
      </c>
      <c r="Q2327" s="4">
        <f t="shared" si="181"/>
        <v>0.2767857142857143</v>
      </c>
      <c r="R2327" s="2" t="str">
        <f t="shared" si="182"/>
        <v>Inefficient</v>
      </c>
      <c r="S2327" s="2" t="str">
        <f t="shared" si="183"/>
        <v>Long</v>
      </c>
      <c r="T2327" s="2" t="str">
        <f t="shared" si="184"/>
        <v>Major Delay</v>
      </c>
    </row>
    <row r="2328" spans="1:20" x14ac:dyDescent="0.35">
      <c r="A2328" s="2" t="s">
        <v>4839</v>
      </c>
      <c r="B2328" s="2" t="s">
        <v>31</v>
      </c>
      <c r="C2328" s="2" t="s">
        <v>4840</v>
      </c>
      <c r="D2328" s="2" t="s">
        <v>44</v>
      </c>
      <c r="E2328" s="2" t="s">
        <v>38</v>
      </c>
      <c r="F2328" s="2" t="s">
        <v>27</v>
      </c>
      <c r="G2328" s="2" t="s">
        <v>1413</v>
      </c>
      <c r="H2328" s="3">
        <v>45540.71597222222</v>
      </c>
      <c r="I2328" s="3">
        <v>45540.895138888889</v>
      </c>
      <c r="J2328" s="2">
        <v>146</v>
      </c>
      <c r="K2328" s="2">
        <v>258</v>
      </c>
      <c r="L2328" s="2">
        <v>1</v>
      </c>
      <c r="M2328" s="2" t="s">
        <v>41</v>
      </c>
      <c r="N2328" s="2">
        <v>8</v>
      </c>
      <c r="O2328" s="2">
        <v>379.38</v>
      </c>
      <c r="P2328" s="2">
        <f t="shared" si="180"/>
        <v>112</v>
      </c>
      <c r="Q2328" s="4">
        <f t="shared" si="181"/>
        <v>0.56589147286821706</v>
      </c>
      <c r="R2328" s="2" t="str">
        <f t="shared" si="182"/>
        <v>Inefficient</v>
      </c>
      <c r="S2328" s="2" t="str">
        <f t="shared" si="183"/>
        <v>Very Long</v>
      </c>
      <c r="T2328" s="2" t="str">
        <f t="shared" si="184"/>
        <v>Major Delay</v>
      </c>
    </row>
    <row r="2329" spans="1:20" x14ac:dyDescent="0.35">
      <c r="A2329" s="2" t="s">
        <v>4841</v>
      </c>
      <c r="B2329" s="2" t="s">
        <v>31</v>
      </c>
      <c r="C2329" s="2" t="s">
        <v>4842</v>
      </c>
      <c r="D2329" s="2" t="s">
        <v>44</v>
      </c>
      <c r="E2329" s="2" t="s">
        <v>85</v>
      </c>
      <c r="F2329" s="2" t="s">
        <v>34</v>
      </c>
      <c r="G2329" s="2" t="s">
        <v>1622</v>
      </c>
      <c r="H2329" s="3">
        <v>45443.743055555555</v>
      </c>
      <c r="I2329" s="3">
        <v>45443.899305555555</v>
      </c>
      <c r="J2329" s="2">
        <v>124</v>
      </c>
      <c r="K2329" s="2">
        <v>225</v>
      </c>
      <c r="L2329" s="2">
        <v>1</v>
      </c>
      <c r="M2329" s="2" t="s">
        <v>29</v>
      </c>
      <c r="N2329" s="2">
        <v>2</v>
      </c>
      <c r="O2329" s="2">
        <v>212.24</v>
      </c>
      <c r="P2329" s="2">
        <f t="shared" si="180"/>
        <v>101</v>
      </c>
      <c r="Q2329" s="4">
        <f t="shared" si="181"/>
        <v>0.55111111111111111</v>
      </c>
      <c r="R2329" s="2" t="str">
        <f t="shared" si="182"/>
        <v>Inefficient</v>
      </c>
      <c r="S2329" s="2" t="str">
        <f t="shared" si="183"/>
        <v>Very Long</v>
      </c>
      <c r="T2329" s="2" t="str">
        <f t="shared" si="184"/>
        <v>Major Delay</v>
      </c>
    </row>
    <row r="2330" spans="1:20" x14ac:dyDescent="0.35">
      <c r="A2330" s="2" t="s">
        <v>4843</v>
      </c>
      <c r="B2330" s="2" t="s">
        <v>51</v>
      </c>
      <c r="C2330" s="2" t="s">
        <v>4844</v>
      </c>
      <c r="D2330" s="2" t="s">
        <v>56</v>
      </c>
      <c r="E2330" s="2" t="s">
        <v>33</v>
      </c>
      <c r="F2330" s="2" t="s">
        <v>20</v>
      </c>
      <c r="G2330" s="2" t="s">
        <v>117</v>
      </c>
      <c r="H2330" s="3">
        <v>45296.940972222219</v>
      </c>
      <c r="I2330" s="3">
        <v>45297.020833333336</v>
      </c>
      <c r="J2330" s="2">
        <v>105</v>
      </c>
      <c r="K2330" s="2">
        <v>115</v>
      </c>
      <c r="L2330" s="2">
        <v>1</v>
      </c>
      <c r="M2330" s="2" t="s">
        <v>41</v>
      </c>
      <c r="N2330" s="2">
        <v>10</v>
      </c>
      <c r="O2330" s="2">
        <v>139.63</v>
      </c>
      <c r="P2330" s="2">
        <f t="shared" si="180"/>
        <v>10</v>
      </c>
      <c r="Q2330" s="4">
        <f t="shared" si="181"/>
        <v>0.91304347826086951</v>
      </c>
      <c r="R2330" s="2" t="str">
        <f t="shared" si="182"/>
        <v>Inefficient</v>
      </c>
      <c r="S2330" s="2" t="str">
        <f t="shared" si="183"/>
        <v>Long</v>
      </c>
      <c r="T2330" s="2" t="str">
        <f t="shared" si="184"/>
        <v>Minor Delay</v>
      </c>
    </row>
    <row r="2331" spans="1:20" x14ac:dyDescent="0.35">
      <c r="A2331" s="2" t="s">
        <v>4845</v>
      </c>
      <c r="B2331" s="2" t="s">
        <v>51</v>
      </c>
      <c r="C2331" s="2" t="s">
        <v>4846</v>
      </c>
      <c r="D2331" s="2" t="s">
        <v>44</v>
      </c>
      <c r="E2331" s="2" t="s">
        <v>85</v>
      </c>
      <c r="F2331" s="2" t="s">
        <v>20</v>
      </c>
      <c r="G2331" s="2" t="s">
        <v>207</v>
      </c>
      <c r="H2331" s="3">
        <v>45360.39166666667</v>
      </c>
      <c r="I2331" s="3">
        <v>45360.492361111108</v>
      </c>
      <c r="J2331" s="2">
        <v>113</v>
      </c>
      <c r="K2331" s="2">
        <v>145</v>
      </c>
      <c r="L2331" s="2">
        <v>1</v>
      </c>
      <c r="M2331" s="2" t="s">
        <v>41</v>
      </c>
      <c r="N2331" s="2">
        <v>7</v>
      </c>
      <c r="O2331" s="2">
        <v>468.53</v>
      </c>
      <c r="P2331" s="2">
        <f t="shared" si="180"/>
        <v>32</v>
      </c>
      <c r="Q2331" s="4">
        <f t="shared" si="181"/>
        <v>0.77931034482758621</v>
      </c>
      <c r="R2331" s="2" t="str">
        <f t="shared" si="182"/>
        <v>Inefficient</v>
      </c>
      <c r="S2331" s="2" t="str">
        <f t="shared" si="183"/>
        <v>Very Long</v>
      </c>
      <c r="T2331" s="2" t="str">
        <f t="shared" si="184"/>
        <v>Major Delay</v>
      </c>
    </row>
    <row r="2332" spans="1:20" x14ac:dyDescent="0.35">
      <c r="A2332" s="2" t="s">
        <v>4847</v>
      </c>
      <c r="B2332" s="2" t="s">
        <v>63</v>
      </c>
      <c r="C2332" s="2" t="s">
        <v>4848</v>
      </c>
      <c r="D2332" s="2" t="s">
        <v>44</v>
      </c>
      <c r="E2332" s="2" t="s">
        <v>38</v>
      </c>
      <c r="F2332" s="2" t="s">
        <v>27</v>
      </c>
      <c r="G2332" s="2" t="s">
        <v>191</v>
      </c>
      <c r="H2332" s="3">
        <v>45381.628472222219</v>
      </c>
      <c r="I2332" s="3">
        <v>45381.664583333331</v>
      </c>
      <c r="J2332" s="2">
        <v>23</v>
      </c>
      <c r="K2332" s="2">
        <v>52</v>
      </c>
      <c r="L2332" s="2">
        <v>1</v>
      </c>
      <c r="M2332" s="2" t="s">
        <v>22</v>
      </c>
      <c r="N2332" s="2">
        <v>5</v>
      </c>
      <c r="O2332" s="2">
        <v>453.49</v>
      </c>
      <c r="P2332" s="2">
        <f t="shared" si="180"/>
        <v>29</v>
      </c>
      <c r="Q2332" s="4">
        <f t="shared" si="181"/>
        <v>0.44230769230769229</v>
      </c>
      <c r="R2332" s="2" t="str">
        <f t="shared" si="182"/>
        <v>Inefficient</v>
      </c>
      <c r="S2332" s="2" t="str">
        <f t="shared" si="183"/>
        <v>Medium</v>
      </c>
      <c r="T2332" s="2" t="str">
        <f t="shared" si="184"/>
        <v>Minor Delay</v>
      </c>
    </row>
    <row r="2333" spans="1:20" x14ac:dyDescent="0.35">
      <c r="A2333" s="2" t="s">
        <v>4849</v>
      </c>
      <c r="B2333" s="2" t="s">
        <v>24</v>
      </c>
      <c r="C2333" s="2" t="s">
        <v>4850</v>
      </c>
      <c r="D2333" s="2" t="s">
        <v>26</v>
      </c>
      <c r="E2333" s="2" t="s">
        <v>85</v>
      </c>
      <c r="F2333" s="2" t="s">
        <v>34</v>
      </c>
      <c r="G2333" s="2" t="s">
        <v>842</v>
      </c>
      <c r="H2333" s="3">
        <v>45395.28402777778</v>
      </c>
      <c r="I2333" s="3">
        <v>45395.340277777781</v>
      </c>
      <c r="J2333" s="2">
        <v>28</v>
      </c>
      <c r="K2333" s="2">
        <v>81</v>
      </c>
      <c r="L2333" s="2">
        <v>1</v>
      </c>
      <c r="M2333" s="2" t="s">
        <v>41</v>
      </c>
      <c r="N2333" s="2">
        <v>10</v>
      </c>
      <c r="O2333" s="2">
        <v>261.62</v>
      </c>
      <c r="P2333" s="2">
        <f t="shared" si="180"/>
        <v>53</v>
      </c>
      <c r="Q2333" s="4">
        <f t="shared" si="181"/>
        <v>0.34567901234567899</v>
      </c>
      <c r="R2333" s="2" t="str">
        <f t="shared" si="182"/>
        <v>Inefficient</v>
      </c>
      <c r="S2333" s="2" t="str">
        <f t="shared" si="183"/>
        <v>Long</v>
      </c>
      <c r="T2333" s="2" t="str">
        <f t="shared" si="184"/>
        <v>Major Delay</v>
      </c>
    </row>
    <row r="2334" spans="1:20" x14ac:dyDescent="0.35">
      <c r="A2334" s="2" t="s">
        <v>4851</v>
      </c>
      <c r="B2334" s="2" t="s">
        <v>24</v>
      </c>
      <c r="C2334" s="2" t="s">
        <v>4852</v>
      </c>
      <c r="D2334" s="2" t="s">
        <v>44</v>
      </c>
      <c r="E2334" s="2" t="s">
        <v>33</v>
      </c>
      <c r="F2334" s="2" t="s">
        <v>34</v>
      </c>
      <c r="G2334" s="2" t="s">
        <v>61</v>
      </c>
      <c r="H2334" s="3">
        <v>45441.899305555555</v>
      </c>
      <c r="I2334" s="3">
        <v>45442.083333333336</v>
      </c>
      <c r="J2334" s="2">
        <v>167</v>
      </c>
      <c r="K2334" s="2">
        <v>265</v>
      </c>
      <c r="L2334" s="2">
        <v>1</v>
      </c>
      <c r="M2334" s="2" t="s">
        <v>29</v>
      </c>
      <c r="N2334" s="2">
        <v>5</v>
      </c>
      <c r="O2334" s="2">
        <v>257.57</v>
      </c>
      <c r="P2334" s="2">
        <f t="shared" si="180"/>
        <v>98</v>
      </c>
      <c r="Q2334" s="4">
        <f t="shared" si="181"/>
        <v>0.63018867924528299</v>
      </c>
      <c r="R2334" s="2" t="str">
        <f t="shared" si="182"/>
        <v>Inefficient</v>
      </c>
      <c r="S2334" s="2" t="str">
        <f t="shared" si="183"/>
        <v>Very Long</v>
      </c>
      <c r="T2334" s="2" t="str">
        <f t="shared" si="184"/>
        <v>Major Delay</v>
      </c>
    </row>
    <row r="2335" spans="1:20" x14ac:dyDescent="0.35">
      <c r="A2335" s="2" t="s">
        <v>4853</v>
      </c>
      <c r="B2335" s="2" t="s">
        <v>31</v>
      </c>
      <c r="C2335" s="2" t="s">
        <v>4854</v>
      </c>
      <c r="D2335" s="2" t="s">
        <v>44</v>
      </c>
      <c r="E2335" s="2" t="s">
        <v>85</v>
      </c>
      <c r="F2335" s="2" t="s">
        <v>57</v>
      </c>
      <c r="G2335" s="2" t="s">
        <v>640</v>
      </c>
      <c r="H2335" s="3">
        <v>45547.197222222225</v>
      </c>
      <c r="I2335" s="3">
        <v>45547.314583333333</v>
      </c>
      <c r="J2335" s="2">
        <v>99</v>
      </c>
      <c r="K2335" s="2">
        <v>169</v>
      </c>
      <c r="L2335" s="2">
        <v>1</v>
      </c>
      <c r="M2335" s="2" t="s">
        <v>41</v>
      </c>
      <c r="N2335" s="2">
        <v>8</v>
      </c>
      <c r="O2335" s="2">
        <v>316.76</v>
      </c>
      <c r="P2335" s="2">
        <f t="shared" si="180"/>
        <v>70</v>
      </c>
      <c r="Q2335" s="4">
        <f t="shared" si="181"/>
        <v>0.58579881656804733</v>
      </c>
      <c r="R2335" s="2" t="str">
        <f t="shared" si="182"/>
        <v>Inefficient</v>
      </c>
      <c r="S2335" s="2" t="str">
        <f t="shared" si="183"/>
        <v>Very Long</v>
      </c>
      <c r="T2335" s="2" t="str">
        <f t="shared" si="184"/>
        <v>Major Delay</v>
      </c>
    </row>
    <row r="2336" spans="1:20" x14ac:dyDescent="0.35">
      <c r="A2336" s="2" t="s">
        <v>4855</v>
      </c>
      <c r="B2336" s="2" t="s">
        <v>51</v>
      </c>
      <c r="C2336" s="2" t="s">
        <v>4856</v>
      </c>
      <c r="D2336" s="2" t="s">
        <v>26</v>
      </c>
      <c r="E2336" s="2" t="s">
        <v>33</v>
      </c>
      <c r="F2336" s="2" t="s">
        <v>34</v>
      </c>
      <c r="G2336" s="2" t="s">
        <v>283</v>
      </c>
      <c r="H2336" s="3">
        <v>45466.578472222223</v>
      </c>
      <c r="I2336" s="3">
        <v>45466.629861111112</v>
      </c>
      <c r="J2336" s="2">
        <v>11</v>
      </c>
      <c r="K2336" s="2">
        <v>74</v>
      </c>
      <c r="L2336" s="2">
        <v>1</v>
      </c>
      <c r="M2336" s="2" t="s">
        <v>41</v>
      </c>
      <c r="N2336" s="2">
        <v>7</v>
      </c>
      <c r="O2336" s="2">
        <v>318.08</v>
      </c>
      <c r="P2336" s="2">
        <f t="shared" si="180"/>
        <v>63</v>
      </c>
      <c r="Q2336" s="4">
        <f t="shared" si="181"/>
        <v>0.14864864864864866</v>
      </c>
      <c r="R2336" s="2" t="str">
        <f t="shared" si="182"/>
        <v>Inefficient</v>
      </c>
      <c r="S2336" s="2" t="str">
        <f t="shared" si="183"/>
        <v>Long</v>
      </c>
      <c r="T2336" s="2" t="str">
        <f t="shared" si="184"/>
        <v>Major Delay</v>
      </c>
    </row>
    <row r="2337" spans="1:20" x14ac:dyDescent="0.35">
      <c r="A2337" s="2" t="s">
        <v>4857</v>
      </c>
      <c r="B2337" s="2" t="s">
        <v>63</v>
      </c>
      <c r="C2337" s="2" t="s">
        <v>4858</v>
      </c>
      <c r="D2337" s="2" t="s">
        <v>56</v>
      </c>
      <c r="E2337" s="2" t="s">
        <v>38</v>
      </c>
      <c r="F2337" s="2" t="s">
        <v>57</v>
      </c>
      <c r="G2337" s="2" t="s">
        <v>1030</v>
      </c>
      <c r="H2337" s="3">
        <v>45388.917361111111</v>
      </c>
      <c r="I2337" s="3">
        <v>45388.993750000001</v>
      </c>
      <c r="J2337" s="2">
        <v>23</v>
      </c>
      <c r="K2337" s="2">
        <v>110</v>
      </c>
      <c r="L2337" s="2">
        <v>1</v>
      </c>
      <c r="M2337" s="2" t="s">
        <v>41</v>
      </c>
      <c r="N2337" s="2">
        <v>3</v>
      </c>
      <c r="O2337" s="2">
        <v>176.52</v>
      </c>
      <c r="P2337" s="2">
        <f t="shared" si="180"/>
        <v>87</v>
      </c>
      <c r="Q2337" s="4">
        <f t="shared" si="181"/>
        <v>0.20909090909090908</v>
      </c>
      <c r="R2337" s="2" t="str">
        <f t="shared" si="182"/>
        <v>Inefficient</v>
      </c>
      <c r="S2337" s="2" t="str">
        <f t="shared" si="183"/>
        <v>Long</v>
      </c>
      <c r="T2337" s="2" t="str">
        <f t="shared" si="184"/>
        <v>Major Delay</v>
      </c>
    </row>
    <row r="2338" spans="1:20" x14ac:dyDescent="0.35">
      <c r="A2338" s="2" t="s">
        <v>4859</v>
      </c>
      <c r="B2338" s="2" t="s">
        <v>31</v>
      </c>
      <c r="C2338" s="2" t="s">
        <v>4860</v>
      </c>
      <c r="D2338" s="2" t="s">
        <v>56</v>
      </c>
      <c r="E2338" s="2" t="s">
        <v>33</v>
      </c>
      <c r="F2338" s="2" t="s">
        <v>20</v>
      </c>
      <c r="G2338" s="2" t="s">
        <v>485</v>
      </c>
      <c r="H2338" s="3">
        <v>45582.443055555559</v>
      </c>
      <c r="I2338" s="3">
        <v>45582.556944444441</v>
      </c>
      <c r="J2338" s="2">
        <v>156</v>
      </c>
      <c r="K2338" s="2">
        <v>164</v>
      </c>
      <c r="L2338" s="2">
        <v>1</v>
      </c>
      <c r="M2338" s="2" t="s">
        <v>22</v>
      </c>
      <c r="N2338" s="2">
        <v>3</v>
      </c>
      <c r="O2338" s="2">
        <v>194.13</v>
      </c>
      <c r="P2338" s="2">
        <f t="shared" si="180"/>
        <v>8</v>
      </c>
      <c r="Q2338" s="4">
        <f t="shared" si="181"/>
        <v>0.95121951219512191</v>
      </c>
      <c r="R2338" s="2" t="str">
        <f t="shared" si="182"/>
        <v>Inefficient</v>
      </c>
      <c r="S2338" s="2" t="str">
        <f t="shared" si="183"/>
        <v>Very Long</v>
      </c>
      <c r="T2338" s="2" t="str">
        <f t="shared" si="184"/>
        <v>Minor Delay</v>
      </c>
    </row>
    <row r="2339" spans="1:20" x14ac:dyDescent="0.35">
      <c r="A2339" s="2" t="s">
        <v>4861</v>
      </c>
      <c r="B2339" s="2" t="s">
        <v>16</v>
      </c>
      <c r="C2339" s="2" t="s">
        <v>4862</v>
      </c>
      <c r="D2339" s="2" t="s">
        <v>44</v>
      </c>
      <c r="E2339" s="2" t="s">
        <v>33</v>
      </c>
      <c r="F2339" s="2" t="s">
        <v>39</v>
      </c>
      <c r="G2339" s="2" t="s">
        <v>268</v>
      </c>
      <c r="H2339" s="3">
        <v>45543.836805555555</v>
      </c>
      <c r="I2339" s="3">
        <v>45544.027083333334</v>
      </c>
      <c r="J2339" s="2">
        <v>223</v>
      </c>
      <c r="K2339" s="2">
        <v>274</v>
      </c>
      <c r="L2339" s="2">
        <v>1</v>
      </c>
      <c r="M2339" s="2" t="s">
        <v>22</v>
      </c>
      <c r="N2339" s="2">
        <v>1</v>
      </c>
      <c r="O2339" s="2">
        <v>122.85</v>
      </c>
      <c r="P2339" s="2">
        <f t="shared" si="180"/>
        <v>51</v>
      </c>
      <c r="Q2339" s="4">
        <f t="shared" si="181"/>
        <v>0.81386861313868608</v>
      </c>
      <c r="R2339" s="2" t="str">
        <f t="shared" si="182"/>
        <v>Inefficient</v>
      </c>
      <c r="S2339" s="2" t="str">
        <f t="shared" si="183"/>
        <v>Very Long</v>
      </c>
      <c r="T2339" s="2" t="str">
        <f t="shared" si="184"/>
        <v>Major Delay</v>
      </c>
    </row>
    <row r="2340" spans="1:20" x14ac:dyDescent="0.35">
      <c r="A2340" s="2" t="s">
        <v>4863</v>
      </c>
      <c r="B2340" s="2" t="s">
        <v>16</v>
      </c>
      <c r="C2340" s="2" t="s">
        <v>4864</v>
      </c>
      <c r="D2340" s="2" t="s">
        <v>48</v>
      </c>
      <c r="E2340" s="2" t="s">
        <v>19</v>
      </c>
      <c r="F2340" s="2" t="s">
        <v>27</v>
      </c>
      <c r="G2340" s="2" t="s">
        <v>73</v>
      </c>
      <c r="H2340" s="3">
        <v>45512.258333333331</v>
      </c>
      <c r="I2340" s="3">
        <v>45512.338888888888</v>
      </c>
      <c r="J2340" s="2">
        <v>110</v>
      </c>
      <c r="K2340" s="2">
        <v>116</v>
      </c>
      <c r="L2340" s="2">
        <v>1</v>
      </c>
      <c r="M2340" s="2" t="s">
        <v>22</v>
      </c>
      <c r="N2340" s="2">
        <v>2</v>
      </c>
      <c r="O2340" s="2">
        <v>91.11</v>
      </c>
      <c r="P2340" s="2">
        <f t="shared" si="180"/>
        <v>6</v>
      </c>
      <c r="Q2340" s="4">
        <f t="shared" si="181"/>
        <v>0.94827586206896552</v>
      </c>
      <c r="R2340" s="2" t="str">
        <f t="shared" si="182"/>
        <v>Inefficient</v>
      </c>
      <c r="S2340" s="2" t="str">
        <f t="shared" si="183"/>
        <v>Long</v>
      </c>
      <c r="T2340" s="2" t="str">
        <f t="shared" si="184"/>
        <v>Minor Delay</v>
      </c>
    </row>
    <row r="2341" spans="1:20" x14ac:dyDescent="0.35">
      <c r="A2341" s="2" t="s">
        <v>4865</v>
      </c>
      <c r="B2341" s="2" t="s">
        <v>31</v>
      </c>
      <c r="C2341" s="2" t="s">
        <v>4866</v>
      </c>
      <c r="D2341" s="2" t="s">
        <v>26</v>
      </c>
      <c r="E2341" s="2" t="s">
        <v>33</v>
      </c>
      <c r="F2341" s="2" t="s">
        <v>57</v>
      </c>
      <c r="G2341" s="2" t="s">
        <v>383</v>
      </c>
      <c r="H2341" s="3">
        <v>45369.724999999999</v>
      </c>
      <c r="I2341" s="3">
        <v>45369.945833333331</v>
      </c>
      <c r="J2341" s="2">
        <v>219</v>
      </c>
      <c r="K2341" s="2">
        <v>318</v>
      </c>
      <c r="L2341" s="2">
        <v>1</v>
      </c>
      <c r="M2341" s="2" t="s">
        <v>41</v>
      </c>
      <c r="N2341" s="2">
        <v>10</v>
      </c>
      <c r="O2341" s="2">
        <v>187.42</v>
      </c>
      <c r="P2341" s="2">
        <f t="shared" si="180"/>
        <v>99</v>
      </c>
      <c r="Q2341" s="4">
        <f t="shared" si="181"/>
        <v>0.68867924528301883</v>
      </c>
      <c r="R2341" s="2" t="str">
        <f t="shared" si="182"/>
        <v>Inefficient</v>
      </c>
      <c r="S2341" s="2" t="str">
        <f t="shared" si="183"/>
        <v>Very Long</v>
      </c>
      <c r="T2341" s="2" t="str">
        <f t="shared" si="184"/>
        <v>Major Delay</v>
      </c>
    </row>
    <row r="2342" spans="1:20" x14ac:dyDescent="0.35">
      <c r="A2342" s="2" t="s">
        <v>4867</v>
      </c>
      <c r="B2342" s="2" t="s">
        <v>16</v>
      </c>
      <c r="C2342" s="2" t="s">
        <v>4868</v>
      </c>
      <c r="D2342" s="2" t="s">
        <v>44</v>
      </c>
      <c r="E2342" s="2" t="s">
        <v>85</v>
      </c>
      <c r="F2342" s="2" t="s">
        <v>39</v>
      </c>
      <c r="G2342" s="2" t="s">
        <v>100</v>
      </c>
      <c r="H2342" s="3">
        <v>45647.857638888891</v>
      </c>
      <c r="I2342" s="3">
        <v>45647.923611111109</v>
      </c>
      <c r="J2342" s="2">
        <v>77</v>
      </c>
      <c r="K2342" s="2">
        <v>95</v>
      </c>
      <c r="L2342" s="2">
        <v>1</v>
      </c>
      <c r="M2342" s="2" t="s">
        <v>22</v>
      </c>
      <c r="N2342" s="2">
        <v>5</v>
      </c>
      <c r="O2342" s="2">
        <v>459.25</v>
      </c>
      <c r="P2342" s="2">
        <f t="shared" si="180"/>
        <v>18</v>
      </c>
      <c r="Q2342" s="4">
        <f t="shared" si="181"/>
        <v>0.81052631578947365</v>
      </c>
      <c r="R2342" s="2" t="str">
        <f t="shared" si="182"/>
        <v>Inefficient</v>
      </c>
      <c r="S2342" s="2" t="str">
        <f t="shared" si="183"/>
        <v>Long</v>
      </c>
      <c r="T2342" s="2" t="str">
        <f t="shared" si="184"/>
        <v>Minor Delay</v>
      </c>
    </row>
    <row r="2343" spans="1:20" x14ac:dyDescent="0.35">
      <c r="A2343" s="2" t="s">
        <v>4869</v>
      </c>
      <c r="B2343" s="2" t="s">
        <v>31</v>
      </c>
      <c r="C2343" s="2" t="s">
        <v>4870</v>
      </c>
      <c r="D2343" s="2" t="s">
        <v>48</v>
      </c>
      <c r="E2343" s="2" t="s">
        <v>85</v>
      </c>
      <c r="F2343" s="2" t="s">
        <v>39</v>
      </c>
      <c r="G2343" s="2" t="s">
        <v>505</v>
      </c>
      <c r="H2343" s="3">
        <v>45598.554861111108</v>
      </c>
      <c r="I2343" s="3">
        <v>45598.659722222219</v>
      </c>
      <c r="J2343" s="2">
        <v>88</v>
      </c>
      <c r="K2343" s="2">
        <v>151</v>
      </c>
      <c r="L2343" s="2">
        <v>1</v>
      </c>
      <c r="M2343" s="2" t="s">
        <v>22</v>
      </c>
      <c r="N2343" s="2">
        <v>3</v>
      </c>
      <c r="O2343" s="2">
        <v>258.95</v>
      </c>
      <c r="P2343" s="2">
        <f t="shared" si="180"/>
        <v>63</v>
      </c>
      <c r="Q2343" s="4">
        <f t="shared" si="181"/>
        <v>0.58278145695364236</v>
      </c>
      <c r="R2343" s="2" t="str">
        <f t="shared" si="182"/>
        <v>Inefficient</v>
      </c>
      <c r="S2343" s="2" t="str">
        <f t="shared" si="183"/>
        <v>Very Long</v>
      </c>
      <c r="T2343" s="2" t="str">
        <f t="shared" si="184"/>
        <v>Major Delay</v>
      </c>
    </row>
    <row r="2344" spans="1:20" x14ac:dyDescent="0.35">
      <c r="A2344" s="2" t="s">
        <v>4871</v>
      </c>
      <c r="B2344" s="2" t="s">
        <v>24</v>
      </c>
      <c r="C2344" s="2" t="s">
        <v>4872</v>
      </c>
      <c r="D2344" s="2" t="s">
        <v>26</v>
      </c>
      <c r="E2344" s="2" t="s">
        <v>85</v>
      </c>
      <c r="F2344" s="2" t="s">
        <v>34</v>
      </c>
      <c r="G2344" s="2" t="s">
        <v>161</v>
      </c>
      <c r="H2344" s="3">
        <v>45300.147916666669</v>
      </c>
      <c r="I2344" s="3">
        <v>45300.193055555559</v>
      </c>
      <c r="J2344" s="2">
        <v>54</v>
      </c>
      <c r="K2344" s="2">
        <v>65</v>
      </c>
      <c r="L2344" s="2">
        <v>1</v>
      </c>
      <c r="M2344" s="2" t="s">
        <v>22</v>
      </c>
      <c r="N2344" s="2">
        <v>4</v>
      </c>
      <c r="O2344" s="2">
        <v>299.88</v>
      </c>
      <c r="P2344" s="2">
        <f t="shared" si="180"/>
        <v>11</v>
      </c>
      <c r="Q2344" s="4">
        <f t="shared" si="181"/>
        <v>0.83076923076923082</v>
      </c>
      <c r="R2344" s="2" t="str">
        <f t="shared" si="182"/>
        <v>Inefficient</v>
      </c>
      <c r="S2344" s="2" t="str">
        <f t="shared" si="183"/>
        <v>Long</v>
      </c>
      <c r="T2344" s="2" t="str">
        <f t="shared" si="184"/>
        <v>Minor Delay</v>
      </c>
    </row>
    <row r="2345" spans="1:20" x14ac:dyDescent="0.35">
      <c r="A2345" s="2" t="s">
        <v>4873</v>
      </c>
      <c r="B2345" s="2" t="s">
        <v>63</v>
      </c>
      <c r="C2345" s="2" t="s">
        <v>4874</v>
      </c>
      <c r="D2345" s="2" t="s">
        <v>18</v>
      </c>
      <c r="E2345" s="2" t="s">
        <v>33</v>
      </c>
      <c r="F2345" s="2" t="s">
        <v>57</v>
      </c>
      <c r="G2345" s="2" t="s">
        <v>237</v>
      </c>
      <c r="H2345" s="3">
        <v>45481.777083333334</v>
      </c>
      <c r="I2345" s="3">
        <v>45481.886805555558</v>
      </c>
      <c r="J2345" s="2">
        <v>44</v>
      </c>
      <c r="K2345" s="2">
        <v>158</v>
      </c>
      <c r="L2345" s="2">
        <v>1</v>
      </c>
      <c r="M2345" s="2" t="s">
        <v>29</v>
      </c>
      <c r="N2345" s="2">
        <v>2</v>
      </c>
      <c r="O2345" s="2">
        <v>341</v>
      </c>
      <c r="P2345" s="2">
        <f t="shared" si="180"/>
        <v>114</v>
      </c>
      <c r="Q2345" s="4">
        <f t="shared" si="181"/>
        <v>0.27848101265822783</v>
      </c>
      <c r="R2345" s="2" t="str">
        <f t="shared" si="182"/>
        <v>Inefficient</v>
      </c>
      <c r="S2345" s="2" t="str">
        <f t="shared" si="183"/>
        <v>Very Long</v>
      </c>
      <c r="T2345" s="2" t="str">
        <f t="shared" si="184"/>
        <v>Major Delay</v>
      </c>
    </row>
    <row r="2346" spans="1:20" x14ac:dyDescent="0.35">
      <c r="A2346" s="2" t="s">
        <v>4875</v>
      </c>
      <c r="B2346" s="2" t="s">
        <v>31</v>
      </c>
      <c r="C2346" s="2" t="s">
        <v>4876</v>
      </c>
      <c r="D2346" s="2" t="s">
        <v>56</v>
      </c>
      <c r="E2346" s="2" t="s">
        <v>33</v>
      </c>
      <c r="F2346" s="2" t="s">
        <v>57</v>
      </c>
      <c r="G2346" s="2" t="s">
        <v>777</v>
      </c>
      <c r="H2346" s="3">
        <v>45408.553472222222</v>
      </c>
      <c r="I2346" s="3">
        <v>45408.615972222222</v>
      </c>
      <c r="J2346" s="2">
        <v>14</v>
      </c>
      <c r="K2346" s="2">
        <v>90</v>
      </c>
      <c r="L2346" s="2">
        <v>1</v>
      </c>
      <c r="M2346" s="2" t="s">
        <v>22</v>
      </c>
      <c r="N2346" s="2">
        <v>7</v>
      </c>
      <c r="O2346" s="2">
        <v>390.03</v>
      </c>
      <c r="P2346" s="2">
        <f t="shared" si="180"/>
        <v>76</v>
      </c>
      <c r="Q2346" s="4">
        <f t="shared" si="181"/>
        <v>0.15555555555555556</v>
      </c>
      <c r="R2346" s="2" t="str">
        <f t="shared" si="182"/>
        <v>Inefficient</v>
      </c>
      <c r="S2346" s="2" t="str">
        <f t="shared" si="183"/>
        <v>Long</v>
      </c>
      <c r="T2346" s="2" t="str">
        <f t="shared" si="184"/>
        <v>Major Delay</v>
      </c>
    </row>
    <row r="2347" spans="1:20" x14ac:dyDescent="0.35">
      <c r="A2347" s="2" t="s">
        <v>4877</v>
      </c>
      <c r="B2347" s="2" t="s">
        <v>31</v>
      </c>
      <c r="C2347" s="2" t="s">
        <v>4878</v>
      </c>
      <c r="D2347" s="2" t="s">
        <v>18</v>
      </c>
      <c r="E2347" s="2" t="s">
        <v>38</v>
      </c>
      <c r="F2347" s="2" t="s">
        <v>27</v>
      </c>
      <c r="G2347" s="2" t="s">
        <v>288</v>
      </c>
      <c r="H2347" s="3">
        <v>45579.07708333333</v>
      </c>
      <c r="I2347" s="3">
        <v>45579.197916666664</v>
      </c>
      <c r="J2347" s="2">
        <v>139</v>
      </c>
      <c r="K2347" s="2">
        <v>174</v>
      </c>
      <c r="L2347" s="2">
        <v>1</v>
      </c>
      <c r="M2347" s="2" t="s">
        <v>41</v>
      </c>
      <c r="N2347" s="2">
        <v>1</v>
      </c>
      <c r="O2347" s="2">
        <v>357.65</v>
      </c>
      <c r="P2347" s="2">
        <f t="shared" si="180"/>
        <v>35</v>
      </c>
      <c r="Q2347" s="4">
        <f t="shared" si="181"/>
        <v>0.79885057471264365</v>
      </c>
      <c r="R2347" s="2" t="str">
        <f t="shared" si="182"/>
        <v>Inefficient</v>
      </c>
      <c r="S2347" s="2" t="str">
        <f t="shared" si="183"/>
        <v>Very Long</v>
      </c>
      <c r="T2347" s="2" t="str">
        <f t="shared" si="184"/>
        <v>Major Delay</v>
      </c>
    </row>
    <row r="2348" spans="1:20" x14ac:dyDescent="0.35">
      <c r="A2348" s="2" t="s">
        <v>4879</v>
      </c>
      <c r="B2348" s="2" t="s">
        <v>51</v>
      </c>
      <c r="C2348" s="2" t="s">
        <v>4880</v>
      </c>
      <c r="D2348" s="2" t="s">
        <v>48</v>
      </c>
      <c r="E2348" s="2" t="s">
        <v>85</v>
      </c>
      <c r="F2348" s="2" t="s">
        <v>27</v>
      </c>
      <c r="G2348" s="2" t="s">
        <v>476</v>
      </c>
      <c r="H2348" s="3">
        <v>45574.693749999999</v>
      </c>
      <c r="I2348" s="3">
        <v>45574.866666666669</v>
      </c>
      <c r="J2348" s="2">
        <v>129</v>
      </c>
      <c r="K2348" s="2">
        <v>249</v>
      </c>
      <c r="L2348" s="2">
        <v>1</v>
      </c>
      <c r="M2348" s="2" t="s">
        <v>29</v>
      </c>
      <c r="N2348" s="2">
        <v>8</v>
      </c>
      <c r="O2348" s="2">
        <v>251.76</v>
      </c>
      <c r="P2348" s="2">
        <f t="shared" si="180"/>
        <v>120</v>
      </c>
      <c r="Q2348" s="4">
        <f t="shared" si="181"/>
        <v>0.51807228915662651</v>
      </c>
      <c r="R2348" s="2" t="str">
        <f t="shared" si="182"/>
        <v>Inefficient</v>
      </c>
      <c r="S2348" s="2" t="str">
        <f t="shared" si="183"/>
        <v>Very Long</v>
      </c>
      <c r="T2348" s="2" t="str">
        <f t="shared" si="184"/>
        <v>Major Delay</v>
      </c>
    </row>
    <row r="2349" spans="1:20" x14ac:dyDescent="0.35">
      <c r="A2349" s="2" t="s">
        <v>4881</v>
      </c>
      <c r="B2349" s="2" t="s">
        <v>16</v>
      </c>
      <c r="C2349" s="2" t="s">
        <v>4882</v>
      </c>
      <c r="D2349" s="2" t="s">
        <v>56</v>
      </c>
      <c r="E2349" s="2" t="s">
        <v>19</v>
      </c>
      <c r="F2349" s="2" t="s">
        <v>27</v>
      </c>
      <c r="G2349" s="2" t="s">
        <v>82</v>
      </c>
      <c r="H2349" s="3">
        <v>45322.436111111114</v>
      </c>
      <c r="I2349" s="3">
        <v>45322.532638888886</v>
      </c>
      <c r="J2349" s="2">
        <v>38</v>
      </c>
      <c r="K2349" s="2">
        <v>139</v>
      </c>
      <c r="L2349" s="2">
        <v>1</v>
      </c>
      <c r="M2349" s="2" t="s">
        <v>41</v>
      </c>
      <c r="N2349" s="2">
        <v>3</v>
      </c>
      <c r="O2349" s="2">
        <v>301.63</v>
      </c>
      <c r="P2349" s="2">
        <f t="shared" si="180"/>
        <v>101</v>
      </c>
      <c r="Q2349" s="4">
        <f t="shared" si="181"/>
        <v>0.2733812949640288</v>
      </c>
      <c r="R2349" s="2" t="str">
        <f t="shared" si="182"/>
        <v>Inefficient</v>
      </c>
      <c r="S2349" s="2" t="str">
        <f t="shared" si="183"/>
        <v>Very Long</v>
      </c>
      <c r="T2349" s="2" t="str">
        <f t="shared" si="184"/>
        <v>Major Delay</v>
      </c>
    </row>
    <row r="2350" spans="1:20" x14ac:dyDescent="0.35">
      <c r="A2350" s="2" t="s">
        <v>4883</v>
      </c>
      <c r="B2350" s="2" t="s">
        <v>51</v>
      </c>
      <c r="C2350" s="2" t="s">
        <v>4884</v>
      </c>
      <c r="D2350" s="2" t="s">
        <v>44</v>
      </c>
      <c r="E2350" s="2" t="s">
        <v>38</v>
      </c>
      <c r="F2350" s="2" t="s">
        <v>27</v>
      </c>
      <c r="G2350" s="2" t="s">
        <v>140</v>
      </c>
      <c r="H2350" s="3">
        <v>45578.158333333333</v>
      </c>
      <c r="I2350" s="3">
        <v>45578.292361111111</v>
      </c>
      <c r="J2350" s="2">
        <v>174</v>
      </c>
      <c r="K2350" s="2">
        <v>193</v>
      </c>
      <c r="L2350" s="2">
        <v>1</v>
      </c>
      <c r="M2350" s="2" t="s">
        <v>22</v>
      </c>
      <c r="N2350" s="2">
        <v>3</v>
      </c>
      <c r="O2350" s="2">
        <v>272.79000000000002</v>
      </c>
      <c r="P2350" s="2">
        <f t="shared" si="180"/>
        <v>19</v>
      </c>
      <c r="Q2350" s="4">
        <f t="shared" si="181"/>
        <v>0.9015544041450777</v>
      </c>
      <c r="R2350" s="2" t="str">
        <f t="shared" si="182"/>
        <v>Inefficient</v>
      </c>
      <c r="S2350" s="2" t="str">
        <f t="shared" si="183"/>
        <v>Very Long</v>
      </c>
      <c r="T2350" s="2" t="str">
        <f t="shared" si="184"/>
        <v>Minor Delay</v>
      </c>
    </row>
    <row r="2351" spans="1:20" x14ac:dyDescent="0.35">
      <c r="A2351" s="2" t="s">
        <v>4885</v>
      </c>
      <c r="B2351" s="2" t="s">
        <v>31</v>
      </c>
      <c r="C2351" s="2" t="s">
        <v>4886</v>
      </c>
      <c r="D2351" s="2" t="s">
        <v>44</v>
      </c>
      <c r="E2351" s="2" t="s">
        <v>38</v>
      </c>
      <c r="F2351" s="2" t="s">
        <v>34</v>
      </c>
      <c r="G2351" s="2" t="s">
        <v>335</v>
      </c>
      <c r="H2351" s="3">
        <v>45552.175694444442</v>
      </c>
      <c r="I2351" s="3">
        <v>45552.270138888889</v>
      </c>
      <c r="J2351" s="2">
        <v>34</v>
      </c>
      <c r="K2351" s="2">
        <v>136</v>
      </c>
      <c r="L2351" s="2">
        <v>1</v>
      </c>
      <c r="M2351" s="2" t="s">
        <v>22</v>
      </c>
      <c r="N2351" s="2">
        <v>1</v>
      </c>
      <c r="O2351" s="2">
        <v>321.58999999999997</v>
      </c>
      <c r="P2351" s="2">
        <f t="shared" si="180"/>
        <v>102</v>
      </c>
      <c r="Q2351" s="4">
        <f t="shared" si="181"/>
        <v>0.25</v>
      </c>
      <c r="R2351" s="2" t="str">
        <f t="shared" si="182"/>
        <v>Inefficient</v>
      </c>
      <c r="S2351" s="2" t="str">
        <f t="shared" si="183"/>
        <v>Very Long</v>
      </c>
      <c r="T2351" s="2" t="str">
        <f t="shared" si="184"/>
        <v>Major Delay</v>
      </c>
    </row>
    <row r="2352" spans="1:20" x14ac:dyDescent="0.35">
      <c r="A2352" s="2" t="s">
        <v>4887</v>
      </c>
      <c r="B2352" s="2" t="s">
        <v>51</v>
      </c>
      <c r="C2352" s="2" t="s">
        <v>4888</v>
      </c>
      <c r="D2352" s="2" t="s">
        <v>44</v>
      </c>
      <c r="E2352" s="2" t="s">
        <v>38</v>
      </c>
      <c r="F2352" s="2" t="s">
        <v>39</v>
      </c>
      <c r="G2352" s="2" t="s">
        <v>640</v>
      </c>
      <c r="H2352" s="3">
        <v>45608.354166666664</v>
      </c>
      <c r="I2352" s="3">
        <v>45608.48541666667</v>
      </c>
      <c r="J2352" s="2">
        <v>118</v>
      </c>
      <c r="K2352" s="2">
        <v>189</v>
      </c>
      <c r="L2352" s="2">
        <v>1</v>
      </c>
      <c r="M2352" s="2" t="s">
        <v>22</v>
      </c>
      <c r="N2352" s="2">
        <v>6</v>
      </c>
      <c r="O2352" s="2">
        <v>365.69</v>
      </c>
      <c r="P2352" s="2">
        <f t="shared" si="180"/>
        <v>71</v>
      </c>
      <c r="Q2352" s="4">
        <f t="shared" si="181"/>
        <v>0.6243386243386243</v>
      </c>
      <c r="R2352" s="2" t="str">
        <f t="shared" si="182"/>
        <v>Inefficient</v>
      </c>
      <c r="S2352" s="2" t="str">
        <f t="shared" si="183"/>
        <v>Very Long</v>
      </c>
      <c r="T2352" s="2" t="str">
        <f t="shared" si="184"/>
        <v>Major Delay</v>
      </c>
    </row>
    <row r="2353" spans="1:20" x14ac:dyDescent="0.35">
      <c r="A2353" s="2" t="s">
        <v>4889</v>
      </c>
      <c r="B2353" s="2" t="s">
        <v>63</v>
      </c>
      <c r="C2353" s="2" t="s">
        <v>4890</v>
      </c>
      <c r="D2353" s="2" t="s">
        <v>44</v>
      </c>
      <c r="E2353" s="2" t="s">
        <v>33</v>
      </c>
      <c r="F2353" s="2" t="s">
        <v>34</v>
      </c>
      <c r="G2353" s="2" t="s">
        <v>397</v>
      </c>
      <c r="H2353" s="3">
        <v>45421.140972222223</v>
      </c>
      <c r="I2353" s="3">
        <v>45421.331250000003</v>
      </c>
      <c r="J2353" s="2">
        <v>198</v>
      </c>
      <c r="K2353" s="2">
        <v>274</v>
      </c>
      <c r="L2353" s="2">
        <v>1</v>
      </c>
      <c r="M2353" s="2" t="s">
        <v>41</v>
      </c>
      <c r="N2353" s="2">
        <v>3</v>
      </c>
      <c r="O2353" s="2">
        <v>165.71</v>
      </c>
      <c r="P2353" s="2">
        <f t="shared" si="180"/>
        <v>76</v>
      </c>
      <c r="Q2353" s="4">
        <f t="shared" si="181"/>
        <v>0.72262773722627738</v>
      </c>
      <c r="R2353" s="2" t="str">
        <f t="shared" si="182"/>
        <v>Inefficient</v>
      </c>
      <c r="S2353" s="2" t="str">
        <f t="shared" si="183"/>
        <v>Very Long</v>
      </c>
      <c r="T2353" s="2" t="str">
        <f t="shared" si="184"/>
        <v>Major Delay</v>
      </c>
    </row>
    <row r="2354" spans="1:20" x14ac:dyDescent="0.35">
      <c r="A2354" s="2" t="s">
        <v>4891</v>
      </c>
      <c r="B2354" s="2" t="s">
        <v>51</v>
      </c>
      <c r="C2354" s="2" t="s">
        <v>4892</v>
      </c>
      <c r="D2354" s="2" t="s">
        <v>56</v>
      </c>
      <c r="E2354" s="2" t="s">
        <v>19</v>
      </c>
      <c r="F2354" s="2" t="s">
        <v>20</v>
      </c>
      <c r="G2354" s="2" t="s">
        <v>28</v>
      </c>
      <c r="H2354" s="3">
        <v>45405.061111111114</v>
      </c>
      <c r="I2354" s="3">
        <v>45405.220138888886</v>
      </c>
      <c r="J2354" s="2">
        <v>113</v>
      </c>
      <c r="K2354" s="2">
        <v>229</v>
      </c>
      <c r="L2354" s="2">
        <v>1</v>
      </c>
      <c r="M2354" s="2" t="s">
        <v>41</v>
      </c>
      <c r="N2354" s="2">
        <v>5</v>
      </c>
      <c r="O2354" s="2">
        <v>61.66</v>
      </c>
      <c r="P2354" s="2">
        <f t="shared" si="180"/>
        <v>116</v>
      </c>
      <c r="Q2354" s="4">
        <f t="shared" si="181"/>
        <v>0.49344978165938863</v>
      </c>
      <c r="R2354" s="2" t="str">
        <f t="shared" si="182"/>
        <v>Inefficient</v>
      </c>
      <c r="S2354" s="2" t="str">
        <f t="shared" si="183"/>
        <v>Very Long</v>
      </c>
      <c r="T2354" s="2" t="str">
        <f t="shared" si="184"/>
        <v>Major Delay</v>
      </c>
    </row>
    <row r="2355" spans="1:20" x14ac:dyDescent="0.35">
      <c r="A2355" s="2" t="s">
        <v>4893</v>
      </c>
      <c r="B2355" s="2" t="s">
        <v>24</v>
      </c>
      <c r="C2355" s="2" t="s">
        <v>4894</v>
      </c>
      <c r="D2355" s="2" t="s">
        <v>26</v>
      </c>
      <c r="E2355" s="2" t="s">
        <v>33</v>
      </c>
      <c r="F2355" s="2" t="s">
        <v>20</v>
      </c>
      <c r="G2355" s="2" t="s">
        <v>470</v>
      </c>
      <c r="H2355" s="3">
        <v>45610.065972222219</v>
      </c>
      <c r="I2355" s="3">
        <v>45610.243055555555</v>
      </c>
      <c r="J2355" s="2">
        <v>209</v>
      </c>
      <c r="K2355" s="2">
        <v>255</v>
      </c>
      <c r="L2355" s="2">
        <v>1</v>
      </c>
      <c r="M2355" s="2" t="s">
        <v>22</v>
      </c>
      <c r="N2355" s="2">
        <v>8</v>
      </c>
      <c r="O2355" s="2">
        <v>352.79</v>
      </c>
      <c r="P2355" s="2">
        <f t="shared" si="180"/>
        <v>46</v>
      </c>
      <c r="Q2355" s="4">
        <f t="shared" si="181"/>
        <v>0.81960784313725488</v>
      </c>
      <c r="R2355" s="2" t="str">
        <f t="shared" si="182"/>
        <v>Inefficient</v>
      </c>
      <c r="S2355" s="2" t="str">
        <f t="shared" si="183"/>
        <v>Very Long</v>
      </c>
      <c r="T2355" s="2" t="str">
        <f t="shared" si="184"/>
        <v>Major Delay</v>
      </c>
    </row>
    <row r="2356" spans="1:20" x14ac:dyDescent="0.35">
      <c r="A2356" s="2" t="s">
        <v>4895</v>
      </c>
      <c r="B2356" s="2" t="s">
        <v>31</v>
      </c>
      <c r="C2356" s="2" t="s">
        <v>4896</v>
      </c>
      <c r="D2356" s="2" t="s">
        <v>44</v>
      </c>
      <c r="E2356" s="2" t="s">
        <v>85</v>
      </c>
      <c r="F2356" s="2" t="s">
        <v>39</v>
      </c>
      <c r="G2356" s="2" t="s">
        <v>383</v>
      </c>
      <c r="H2356" s="3">
        <v>45529.161111111112</v>
      </c>
      <c r="I2356" s="3">
        <v>45529.270833333336</v>
      </c>
      <c r="J2356" s="2">
        <v>152</v>
      </c>
      <c r="K2356" s="2">
        <v>158</v>
      </c>
      <c r="L2356" s="2">
        <v>1</v>
      </c>
      <c r="M2356" s="2" t="s">
        <v>29</v>
      </c>
      <c r="N2356" s="2">
        <v>1</v>
      </c>
      <c r="O2356" s="2">
        <v>106.87</v>
      </c>
      <c r="P2356" s="2">
        <f t="shared" si="180"/>
        <v>6</v>
      </c>
      <c r="Q2356" s="4">
        <f t="shared" si="181"/>
        <v>0.96202531645569622</v>
      </c>
      <c r="R2356" s="2" t="str">
        <f t="shared" si="182"/>
        <v>Inefficient</v>
      </c>
      <c r="S2356" s="2" t="str">
        <f t="shared" si="183"/>
        <v>Very Long</v>
      </c>
      <c r="T2356" s="2" t="str">
        <f t="shared" si="184"/>
        <v>Minor Delay</v>
      </c>
    </row>
    <row r="2357" spans="1:20" x14ac:dyDescent="0.35">
      <c r="A2357" s="2" t="s">
        <v>4897</v>
      </c>
      <c r="B2357" s="2" t="s">
        <v>24</v>
      </c>
      <c r="C2357" s="2" t="s">
        <v>4898</v>
      </c>
      <c r="D2357" s="2" t="s">
        <v>26</v>
      </c>
      <c r="E2357" s="2" t="s">
        <v>33</v>
      </c>
      <c r="F2357" s="2" t="s">
        <v>27</v>
      </c>
      <c r="G2357" s="2" t="s">
        <v>897</v>
      </c>
      <c r="H2357" s="3">
        <v>45630.5</v>
      </c>
      <c r="I2357" s="3">
        <v>45630.60833333333</v>
      </c>
      <c r="J2357" s="2">
        <v>143</v>
      </c>
      <c r="K2357" s="2">
        <v>156</v>
      </c>
      <c r="L2357" s="2">
        <v>1</v>
      </c>
      <c r="M2357" s="2" t="s">
        <v>41</v>
      </c>
      <c r="N2357" s="2">
        <v>9</v>
      </c>
      <c r="O2357" s="2">
        <v>276.63</v>
      </c>
      <c r="P2357" s="2">
        <f t="shared" si="180"/>
        <v>13</v>
      </c>
      <c r="Q2357" s="4">
        <f t="shared" si="181"/>
        <v>0.91666666666666663</v>
      </c>
      <c r="R2357" s="2" t="str">
        <f t="shared" si="182"/>
        <v>Inefficient</v>
      </c>
      <c r="S2357" s="2" t="str">
        <f t="shared" si="183"/>
        <v>Very Long</v>
      </c>
      <c r="T2357" s="2" t="str">
        <f t="shared" si="184"/>
        <v>Minor Delay</v>
      </c>
    </row>
    <row r="2358" spans="1:20" x14ac:dyDescent="0.35">
      <c r="A2358" s="2" t="s">
        <v>4899</v>
      </c>
      <c r="B2358" s="2" t="s">
        <v>51</v>
      </c>
      <c r="C2358" s="2" t="s">
        <v>4900</v>
      </c>
      <c r="D2358" s="2" t="s">
        <v>18</v>
      </c>
      <c r="E2358" s="2" t="s">
        <v>38</v>
      </c>
      <c r="F2358" s="2" t="s">
        <v>39</v>
      </c>
      <c r="G2358" s="2" t="s">
        <v>338</v>
      </c>
      <c r="H2358" s="3">
        <v>45438.118055555555</v>
      </c>
      <c r="I2358" s="3">
        <v>45438.27847222222</v>
      </c>
      <c r="J2358" s="2">
        <v>218</v>
      </c>
      <c r="K2358" s="2">
        <v>231</v>
      </c>
      <c r="L2358" s="2">
        <v>1</v>
      </c>
      <c r="M2358" s="2" t="s">
        <v>41</v>
      </c>
      <c r="N2358" s="2">
        <v>8</v>
      </c>
      <c r="O2358" s="2">
        <v>237.53</v>
      </c>
      <c r="P2358" s="2">
        <f t="shared" si="180"/>
        <v>13</v>
      </c>
      <c r="Q2358" s="4">
        <f t="shared" si="181"/>
        <v>0.94372294372294374</v>
      </c>
      <c r="R2358" s="2" t="str">
        <f t="shared" si="182"/>
        <v>Inefficient</v>
      </c>
      <c r="S2358" s="2" t="str">
        <f t="shared" si="183"/>
        <v>Very Long</v>
      </c>
      <c r="T2358" s="2" t="str">
        <f t="shared" si="184"/>
        <v>Minor Delay</v>
      </c>
    </row>
    <row r="2359" spans="1:20" x14ac:dyDescent="0.35">
      <c r="A2359" s="2" t="s">
        <v>4901</v>
      </c>
      <c r="B2359" s="2" t="s">
        <v>16</v>
      </c>
      <c r="C2359" s="2" t="s">
        <v>4902</v>
      </c>
      <c r="D2359" s="2" t="s">
        <v>26</v>
      </c>
      <c r="E2359" s="2" t="s">
        <v>85</v>
      </c>
      <c r="F2359" s="2" t="s">
        <v>20</v>
      </c>
      <c r="G2359" s="2" t="s">
        <v>76</v>
      </c>
      <c r="H2359" s="3">
        <v>45345.320833333331</v>
      </c>
      <c r="I2359" s="3">
        <v>45345.402777777781</v>
      </c>
      <c r="J2359" s="2">
        <v>105</v>
      </c>
      <c r="K2359" s="2">
        <v>118</v>
      </c>
      <c r="L2359" s="2">
        <v>1</v>
      </c>
      <c r="M2359" s="2" t="s">
        <v>41</v>
      </c>
      <c r="N2359" s="2">
        <v>3</v>
      </c>
      <c r="O2359" s="2">
        <v>84.72</v>
      </c>
      <c r="P2359" s="2">
        <f t="shared" si="180"/>
        <v>13</v>
      </c>
      <c r="Q2359" s="4">
        <f t="shared" si="181"/>
        <v>0.88983050847457623</v>
      </c>
      <c r="R2359" s="2" t="str">
        <f t="shared" si="182"/>
        <v>Inefficient</v>
      </c>
      <c r="S2359" s="2" t="str">
        <f t="shared" si="183"/>
        <v>Long</v>
      </c>
      <c r="T2359" s="2" t="str">
        <f t="shared" si="184"/>
        <v>Minor Delay</v>
      </c>
    </row>
    <row r="2360" spans="1:20" x14ac:dyDescent="0.35">
      <c r="A2360" s="2" t="s">
        <v>4903</v>
      </c>
      <c r="B2360" s="2" t="s">
        <v>51</v>
      </c>
      <c r="C2360" s="2" t="s">
        <v>4904</v>
      </c>
      <c r="D2360" s="2" t="s">
        <v>56</v>
      </c>
      <c r="E2360" s="2" t="s">
        <v>38</v>
      </c>
      <c r="F2360" s="2" t="s">
        <v>20</v>
      </c>
      <c r="G2360" s="2" t="s">
        <v>512</v>
      </c>
      <c r="H2360" s="3">
        <v>45608.762499999997</v>
      </c>
      <c r="I2360" s="3">
        <v>45608.92291666667</v>
      </c>
      <c r="J2360" s="2">
        <v>220</v>
      </c>
      <c r="K2360" s="2">
        <v>231</v>
      </c>
      <c r="L2360" s="2">
        <v>1</v>
      </c>
      <c r="M2360" s="2" t="s">
        <v>41</v>
      </c>
      <c r="N2360" s="2">
        <v>8</v>
      </c>
      <c r="O2360" s="2">
        <v>109.69</v>
      </c>
      <c r="P2360" s="2">
        <f t="shared" si="180"/>
        <v>11</v>
      </c>
      <c r="Q2360" s="4">
        <f t="shared" si="181"/>
        <v>0.95238095238095233</v>
      </c>
      <c r="R2360" s="2" t="str">
        <f t="shared" si="182"/>
        <v>Inefficient</v>
      </c>
      <c r="S2360" s="2" t="str">
        <f t="shared" si="183"/>
        <v>Very Long</v>
      </c>
      <c r="T2360" s="2" t="str">
        <f t="shared" si="184"/>
        <v>Minor Delay</v>
      </c>
    </row>
    <row r="2361" spans="1:20" x14ac:dyDescent="0.35">
      <c r="A2361" s="2" t="s">
        <v>4905</v>
      </c>
      <c r="B2361" s="2" t="s">
        <v>16</v>
      </c>
      <c r="C2361" s="2" t="s">
        <v>4906</v>
      </c>
      <c r="D2361" s="2" t="s">
        <v>56</v>
      </c>
      <c r="E2361" s="2" t="s">
        <v>19</v>
      </c>
      <c r="F2361" s="2" t="s">
        <v>20</v>
      </c>
      <c r="G2361" s="2" t="s">
        <v>146</v>
      </c>
      <c r="H2361" s="3">
        <v>45494.015972222223</v>
      </c>
      <c r="I2361" s="3">
        <v>45494.215277777781</v>
      </c>
      <c r="J2361" s="2">
        <v>179</v>
      </c>
      <c r="K2361" s="2">
        <v>287</v>
      </c>
      <c r="L2361" s="2">
        <v>1</v>
      </c>
      <c r="M2361" s="2" t="s">
        <v>29</v>
      </c>
      <c r="N2361" s="2">
        <v>4</v>
      </c>
      <c r="O2361" s="2">
        <v>162.79</v>
      </c>
      <c r="P2361" s="2">
        <f t="shared" si="180"/>
        <v>108</v>
      </c>
      <c r="Q2361" s="4">
        <f t="shared" si="181"/>
        <v>0.62369337979094075</v>
      </c>
      <c r="R2361" s="2" t="str">
        <f t="shared" si="182"/>
        <v>Inefficient</v>
      </c>
      <c r="S2361" s="2" t="str">
        <f t="shared" si="183"/>
        <v>Very Long</v>
      </c>
      <c r="T2361" s="2" t="str">
        <f t="shared" si="184"/>
        <v>Major Delay</v>
      </c>
    </row>
    <row r="2362" spans="1:20" x14ac:dyDescent="0.35">
      <c r="A2362" s="2" t="s">
        <v>4907</v>
      </c>
      <c r="B2362" s="2" t="s">
        <v>51</v>
      </c>
      <c r="C2362" s="2" t="s">
        <v>4908</v>
      </c>
      <c r="D2362" s="2" t="s">
        <v>56</v>
      </c>
      <c r="E2362" s="2" t="s">
        <v>38</v>
      </c>
      <c r="F2362" s="2" t="s">
        <v>39</v>
      </c>
      <c r="G2362" s="2" t="s">
        <v>120</v>
      </c>
      <c r="H2362" s="3">
        <v>45604.429861111108</v>
      </c>
      <c r="I2362" s="3">
        <v>45604.643055555556</v>
      </c>
      <c r="J2362" s="2">
        <v>205</v>
      </c>
      <c r="K2362" s="2">
        <v>307</v>
      </c>
      <c r="L2362" s="2">
        <v>1</v>
      </c>
      <c r="M2362" s="2" t="s">
        <v>41</v>
      </c>
      <c r="N2362" s="2">
        <v>9</v>
      </c>
      <c r="O2362" s="2">
        <v>379.91</v>
      </c>
      <c r="P2362" s="2">
        <f t="shared" si="180"/>
        <v>102</v>
      </c>
      <c r="Q2362" s="4">
        <f t="shared" si="181"/>
        <v>0.66775244299674263</v>
      </c>
      <c r="R2362" s="2" t="str">
        <f t="shared" si="182"/>
        <v>Inefficient</v>
      </c>
      <c r="S2362" s="2" t="str">
        <f t="shared" si="183"/>
        <v>Very Long</v>
      </c>
      <c r="T2362" s="2" t="str">
        <f t="shared" si="184"/>
        <v>Major Delay</v>
      </c>
    </row>
    <row r="2363" spans="1:20" x14ac:dyDescent="0.35">
      <c r="A2363" s="2" t="s">
        <v>4909</v>
      </c>
      <c r="B2363" s="2" t="s">
        <v>63</v>
      </c>
      <c r="C2363" s="2" t="s">
        <v>4910</v>
      </c>
      <c r="D2363" s="2" t="s">
        <v>18</v>
      </c>
      <c r="E2363" s="2" t="s">
        <v>85</v>
      </c>
      <c r="F2363" s="2" t="s">
        <v>27</v>
      </c>
      <c r="G2363" s="2" t="s">
        <v>140</v>
      </c>
      <c r="H2363" s="3">
        <v>45636.931250000001</v>
      </c>
      <c r="I2363" s="3">
        <v>45637.120833333334</v>
      </c>
      <c r="J2363" s="2">
        <v>157</v>
      </c>
      <c r="K2363" s="2">
        <v>273</v>
      </c>
      <c r="L2363" s="2">
        <v>1</v>
      </c>
      <c r="M2363" s="2" t="s">
        <v>41</v>
      </c>
      <c r="N2363" s="2">
        <v>5</v>
      </c>
      <c r="O2363" s="2">
        <v>173.65</v>
      </c>
      <c r="P2363" s="2">
        <f t="shared" si="180"/>
        <v>116</v>
      </c>
      <c r="Q2363" s="4">
        <f t="shared" si="181"/>
        <v>0.57509157509157505</v>
      </c>
      <c r="R2363" s="2" t="str">
        <f t="shared" si="182"/>
        <v>Inefficient</v>
      </c>
      <c r="S2363" s="2" t="str">
        <f t="shared" si="183"/>
        <v>Very Long</v>
      </c>
      <c r="T2363" s="2" t="str">
        <f t="shared" si="184"/>
        <v>Major Delay</v>
      </c>
    </row>
    <row r="2364" spans="1:20" x14ac:dyDescent="0.35">
      <c r="A2364" s="2" t="s">
        <v>4911</v>
      </c>
      <c r="B2364" s="2" t="s">
        <v>16</v>
      </c>
      <c r="C2364" s="2" t="s">
        <v>4912</v>
      </c>
      <c r="D2364" s="2" t="s">
        <v>18</v>
      </c>
      <c r="E2364" s="2" t="s">
        <v>33</v>
      </c>
      <c r="F2364" s="2" t="s">
        <v>27</v>
      </c>
      <c r="G2364" s="2" t="s">
        <v>916</v>
      </c>
      <c r="H2364" s="3">
        <v>45460.00277777778</v>
      </c>
      <c r="I2364" s="3">
        <v>45460.216666666667</v>
      </c>
      <c r="J2364" s="2">
        <v>235</v>
      </c>
      <c r="K2364" s="2">
        <v>308</v>
      </c>
      <c r="L2364" s="2">
        <v>1</v>
      </c>
      <c r="M2364" s="2" t="s">
        <v>29</v>
      </c>
      <c r="N2364" s="2">
        <v>4</v>
      </c>
      <c r="O2364" s="2">
        <v>139.15</v>
      </c>
      <c r="P2364" s="2">
        <f t="shared" si="180"/>
        <v>73</v>
      </c>
      <c r="Q2364" s="4">
        <f t="shared" si="181"/>
        <v>0.76298701298701299</v>
      </c>
      <c r="R2364" s="2" t="str">
        <f t="shared" si="182"/>
        <v>Inefficient</v>
      </c>
      <c r="S2364" s="2" t="str">
        <f t="shared" si="183"/>
        <v>Very Long</v>
      </c>
      <c r="T2364" s="2" t="str">
        <f t="shared" si="184"/>
        <v>Major Delay</v>
      </c>
    </row>
    <row r="2365" spans="1:20" x14ac:dyDescent="0.35">
      <c r="A2365" s="2" t="s">
        <v>4913</v>
      </c>
      <c r="B2365" s="2" t="s">
        <v>51</v>
      </c>
      <c r="C2365" s="2" t="s">
        <v>4914</v>
      </c>
      <c r="D2365" s="2" t="s">
        <v>26</v>
      </c>
      <c r="E2365" s="2" t="s">
        <v>85</v>
      </c>
      <c r="F2365" s="2" t="s">
        <v>39</v>
      </c>
      <c r="G2365" s="2" t="s">
        <v>35</v>
      </c>
      <c r="H2365" s="3">
        <v>45292.627083333333</v>
      </c>
      <c r="I2365" s="3">
        <v>45292.684027777781</v>
      </c>
      <c r="J2365" s="2">
        <v>72</v>
      </c>
      <c r="K2365" s="2">
        <v>82</v>
      </c>
      <c r="L2365" s="2">
        <v>1</v>
      </c>
      <c r="M2365" s="2" t="s">
        <v>22</v>
      </c>
      <c r="N2365" s="2">
        <v>3</v>
      </c>
      <c r="O2365" s="2">
        <v>284.06</v>
      </c>
      <c r="P2365" s="2">
        <f t="shared" si="180"/>
        <v>10</v>
      </c>
      <c r="Q2365" s="4">
        <f t="shared" si="181"/>
        <v>0.87804878048780488</v>
      </c>
      <c r="R2365" s="2" t="str">
        <f t="shared" si="182"/>
        <v>Inefficient</v>
      </c>
      <c r="S2365" s="2" t="str">
        <f t="shared" si="183"/>
        <v>Long</v>
      </c>
      <c r="T2365" s="2" t="str">
        <f t="shared" si="184"/>
        <v>Minor Delay</v>
      </c>
    </row>
    <row r="2366" spans="1:20" x14ac:dyDescent="0.35">
      <c r="A2366" s="2" t="s">
        <v>4915</v>
      </c>
      <c r="B2366" s="2" t="s">
        <v>16</v>
      </c>
      <c r="C2366" s="2" t="s">
        <v>4916</v>
      </c>
      <c r="D2366" s="2" t="s">
        <v>44</v>
      </c>
      <c r="E2366" s="2" t="s">
        <v>19</v>
      </c>
      <c r="F2366" s="2" t="s">
        <v>57</v>
      </c>
      <c r="G2366" s="2" t="s">
        <v>445</v>
      </c>
      <c r="H2366" s="3">
        <v>45557.730555555558</v>
      </c>
      <c r="I2366" s="3">
        <v>45557.833333333336</v>
      </c>
      <c r="J2366" s="2">
        <v>34</v>
      </c>
      <c r="K2366" s="2">
        <v>148</v>
      </c>
      <c r="L2366" s="2">
        <v>1</v>
      </c>
      <c r="M2366" s="2" t="s">
        <v>41</v>
      </c>
      <c r="N2366" s="2">
        <v>1</v>
      </c>
      <c r="O2366" s="2">
        <v>240.54</v>
      </c>
      <c r="P2366" s="2">
        <f t="shared" si="180"/>
        <v>114</v>
      </c>
      <c r="Q2366" s="4">
        <f t="shared" si="181"/>
        <v>0.22972972972972974</v>
      </c>
      <c r="R2366" s="2" t="str">
        <f t="shared" si="182"/>
        <v>Inefficient</v>
      </c>
      <c r="S2366" s="2" t="str">
        <f t="shared" si="183"/>
        <v>Very Long</v>
      </c>
      <c r="T2366" s="2" t="str">
        <f t="shared" si="184"/>
        <v>Major Delay</v>
      </c>
    </row>
    <row r="2367" spans="1:20" x14ac:dyDescent="0.35">
      <c r="A2367" s="2" t="s">
        <v>4917</v>
      </c>
      <c r="B2367" s="2" t="s">
        <v>24</v>
      </c>
      <c r="C2367" s="2" t="s">
        <v>4918</v>
      </c>
      <c r="D2367" s="2" t="s">
        <v>26</v>
      </c>
      <c r="E2367" s="2" t="s">
        <v>33</v>
      </c>
      <c r="F2367" s="2" t="s">
        <v>20</v>
      </c>
      <c r="G2367" s="2" t="s">
        <v>149</v>
      </c>
      <c r="H2367" s="3">
        <v>45506.152777777781</v>
      </c>
      <c r="I2367" s="3">
        <v>45506.36041666667</v>
      </c>
      <c r="J2367" s="2">
        <v>226</v>
      </c>
      <c r="K2367" s="2">
        <v>299</v>
      </c>
      <c r="L2367" s="2">
        <v>1</v>
      </c>
      <c r="M2367" s="2" t="s">
        <v>29</v>
      </c>
      <c r="N2367" s="2">
        <v>5</v>
      </c>
      <c r="O2367" s="2">
        <v>195.16</v>
      </c>
      <c r="P2367" s="2">
        <f t="shared" si="180"/>
        <v>73</v>
      </c>
      <c r="Q2367" s="4">
        <f t="shared" si="181"/>
        <v>0.7558528428093646</v>
      </c>
      <c r="R2367" s="2" t="str">
        <f t="shared" si="182"/>
        <v>Inefficient</v>
      </c>
      <c r="S2367" s="2" t="str">
        <f t="shared" si="183"/>
        <v>Very Long</v>
      </c>
      <c r="T2367" s="2" t="str">
        <f t="shared" si="184"/>
        <v>Major Delay</v>
      </c>
    </row>
    <row r="2368" spans="1:20" x14ac:dyDescent="0.35">
      <c r="A2368" s="2" t="s">
        <v>4919</v>
      </c>
      <c r="B2368" s="2" t="s">
        <v>16</v>
      </c>
      <c r="C2368" s="2" t="s">
        <v>4920</v>
      </c>
      <c r="D2368" s="2" t="s">
        <v>18</v>
      </c>
      <c r="E2368" s="2" t="s">
        <v>38</v>
      </c>
      <c r="F2368" s="2" t="s">
        <v>57</v>
      </c>
      <c r="G2368" s="2" t="s">
        <v>120</v>
      </c>
      <c r="H2368" s="3">
        <v>45488.463194444441</v>
      </c>
      <c r="I2368" s="3">
        <v>45488.603472222225</v>
      </c>
      <c r="J2368" s="2">
        <v>178</v>
      </c>
      <c r="K2368" s="2">
        <v>202</v>
      </c>
      <c r="L2368" s="2">
        <v>1</v>
      </c>
      <c r="M2368" s="2" t="s">
        <v>29</v>
      </c>
      <c r="N2368" s="2">
        <v>4</v>
      </c>
      <c r="O2368" s="2">
        <v>240.41</v>
      </c>
      <c r="P2368" s="2">
        <f t="shared" si="180"/>
        <v>24</v>
      </c>
      <c r="Q2368" s="4">
        <f t="shared" si="181"/>
        <v>0.88118811881188119</v>
      </c>
      <c r="R2368" s="2" t="str">
        <f t="shared" si="182"/>
        <v>Inefficient</v>
      </c>
      <c r="S2368" s="2" t="str">
        <f t="shared" si="183"/>
        <v>Very Long</v>
      </c>
      <c r="T2368" s="2" t="str">
        <f t="shared" si="184"/>
        <v>Minor Delay</v>
      </c>
    </row>
    <row r="2369" spans="1:20" x14ac:dyDescent="0.35">
      <c r="A2369" s="2" t="s">
        <v>4921</v>
      </c>
      <c r="B2369" s="2" t="s">
        <v>24</v>
      </c>
      <c r="C2369" s="2" t="s">
        <v>4922</v>
      </c>
      <c r="D2369" s="2" t="s">
        <v>56</v>
      </c>
      <c r="E2369" s="2" t="s">
        <v>33</v>
      </c>
      <c r="F2369" s="2" t="s">
        <v>34</v>
      </c>
      <c r="G2369" s="2" t="s">
        <v>311</v>
      </c>
      <c r="H2369" s="3">
        <v>45542.106944444444</v>
      </c>
      <c r="I2369" s="3">
        <v>45542.165972222225</v>
      </c>
      <c r="J2369" s="2">
        <v>30</v>
      </c>
      <c r="K2369" s="2">
        <v>85</v>
      </c>
      <c r="L2369" s="2">
        <v>1</v>
      </c>
      <c r="M2369" s="2" t="s">
        <v>41</v>
      </c>
      <c r="N2369" s="2">
        <v>5</v>
      </c>
      <c r="O2369" s="2">
        <v>248.29</v>
      </c>
      <c r="P2369" s="2">
        <f t="shared" si="180"/>
        <v>55</v>
      </c>
      <c r="Q2369" s="4">
        <f t="shared" si="181"/>
        <v>0.35294117647058826</v>
      </c>
      <c r="R2369" s="2" t="str">
        <f t="shared" si="182"/>
        <v>Inefficient</v>
      </c>
      <c r="S2369" s="2" t="str">
        <f t="shared" si="183"/>
        <v>Long</v>
      </c>
      <c r="T2369" s="2" t="str">
        <f t="shared" si="184"/>
        <v>Major Delay</v>
      </c>
    </row>
    <row r="2370" spans="1:20" x14ac:dyDescent="0.35">
      <c r="A2370" s="2" t="s">
        <v>4923</v>
      </c>
      <c r="B2370" s="2" t="s">
        <v>51</v>
      </c>
      <c r="C2370" s="2" t="s">
        <v>4924</v>
      </c>
      <c r="D2370" s="2" t="s">
        <v>48</v>
      </c>
      <c r="E2370" s="2" t="s">
        <v>19</v>
      </c>
      <c r="F2370" s="2" t="s">
        <v>34</v>
      </c>
      <c r="G2370" s="2" t="s">
        <v>640</v>
      </c>
      <c r="H2370" s="3">
        <v>45645.499305555553</v>
      </c>
      <c r="I2370" s="3">
        <v>45645.705555555556</v>
      </c>
      <c r="J2370" s="2">
        <v>221</v>
      </c>
      <c r="K2370" s="2">
        <v>297</v>
      </c>
      <c r="L2370" s="2">
        <v>1</v>
      </c>
      <c r="M2370" s="2" t="s">
        <v>41</v>
      </c>
      <c r="N2370" s="2">
        <v>4</v>
      </c>
      <c r="O2370" s="2">
        <v>239.31</v>
      </c>
      <c r="P2370" s="2">
        <f t="shared" si="180"/>
        <v>76</v>
      </c>
      <c r="Q2370" s="4">
        <f t="shared" si="181"/>
        <v>0.74410774410774416</v>
      </c>
      <c r="R2370" s="2" t="str">
        <f t="shared" si="182"/>
        <v>Inefficient</v>
      </c>
      <c r="S2370" s="2" t="str">
        <f t="shared" si="183"/>
        <v>Very Long</v>
      </c>
      <c r="T2370" s="2" t="str">
        <f t="shared" si="184"/>
        <v>Major Delay</v>
      </c>
    </row>
    <row r="2371" spans="1:20" x14ac:dyDescent="0.35">
      <c r="A2371" s="2" t="s">
        <v>4925</v>
      </c>
      <c r="B2371" s="2" t="s">
        <v>31</v>
      </c>
      <c r="C2371" s="2" t="s">
        <v>4926</v>
      </c>
      <c r="D2371" s="2" t="s">
        <v>48</v>
      </c>
      <c r="E2371" s="2" t="s">
        <v>85</v>
      </c>
      <c r="F2371" s="2" t="s">
        <v>27</v>
      </c>
      <c r="G2371" s="2" t="s">
        <v>265</v>
      </c>
      <c r="H2371" s="3">
        <v>45549.605555555558</v>
      </c>
      <c r="I2371" s="3">
        <v>45549.751388888886</v>
      </c>
      <c r="J2371" s="2">
        <v>202</v>
      </c>
      <c r="K2371" s="2">
        <v>210</v>
      </c>
      <c r="L2371" s="2">
        <v>1</v>
      </c>
      <c r="M2371" s="2" t="s">
        <v>29</v>
      </c>
      <c r="N2371" s="2">
        <v>1</v>
      </c>
      <c r="O2371" s="2">
        <v>219.49</v>
      </c>
      <c r="P2371" s="2">
        <f t="shared" ref="P2371:P2434" si="185">K2371-J2371</f>
        <v>8</v>
      </c>
      <c r="Q2371" s="4">
        <f t="shared" ref="Q2371:Q2434" si="186">J2371/K2371</f>
        <v>0.96190476190476193</v>
      </c>
      <c r="R2371" s="2" t="str">
        <f t="shared" ref="R2371:R2434" si="187">IF(Q2371&gt;1,"Efficient",
IF(Q2371=1,"On Target","Inefficient"))</f>
        <v>Inefficient</v>
      </c>
      <c r="S2371" s="2" t="str">
        <f t="shared" ref="S2371:S2434" si="188">IF(K2371&lt;30,"Short",
IF(K2371&lt;60,"Medium",
IF(K2371&lt;120,"Long","Very Long")))</f>
        <v>Very Long</v>
      </c>
      <c r="T2371" s="2" t="str">
        <f t="shared" ref="T2371:T2434" si="189">IF(K2371&lt;=J2371,"On Time",
IF(K2371-J2371&lt;=30,"Minor Delay","Major Delay"))</f>
        <v>Minor Delay</v>
      </c>
    </row>
    <row r="2372" spans="1:20" x14ac:dyDescent="0.35">
      <c r="A2372" s="2" t="s">
        <v>4927</v>
      </c>
      <c r="B2372" s="2" t="s">
        <v>16</v>
      </c>
      <c r="C2372" s="2" t="s">
        <v>4928</v>
      </c>
      <c r="D2372" s="2" t="s">
        <v>18</v>
      </c>
      <c r="E2372" s="2" t="s">
        <v>85</v>
      </c>
      <c r="F2372" s="2" t="s">
        <v>39</v>
      </c>
      <c r="G2372" s="2" t="s">
        <v>1622</v>
      </c>
      <c r="H2372" s="3">
        <v>45457.709722222222</v>
      </c>
      <c r="I2372" s="3">
        <v>45457.787499999999</v>
      </c>
      <c r="J2372" s="2">
        <v>36</v>
      </c>
      <c r="K2372" s="2">
        <v>112</v>
      </c>
      <c r="L2372" s="2">
        <v>1</v>
      </c>
      <c r="M2372" s="2" t="s">
        <v>22</v>
      </c>
      <c r="N2372" s="2">
        <v>5</v>
      </c>
      <c r="O2372" s="2">
        <v>435.9</v>
      </c>
      <c r="P2372" s="2">
        <f t="shared" si="185"/>
        <v>76</v>
      </c>
      <c r="Q2372" s="4">
        <f t="shared" si="186"/>
        <v>0.32142857142857145</v>
      </c>
      <c r="R2372" s="2" t="str">
        <f t="shared" si="187"/>
        <v>Inefficient</v>
      </c>
      <c r="S2372" s="2" t="str">
        <f t="shared" si="188"/>
        <v>Long</v>
      </c>
      <c r="T2372" s="2" t="str">
        <f t="shared" si="189"/>
        <v>Major Delay</v>
      </c>
    </row>
    <row r="2373" spans="1:20" x14ac:dyDescent="0.35">
      <c r="A2373" s="2" t="s">
        <v>4929</v>
      </c>
      <c r="B2373" s="2" t="s">
        <v>63</v>
      </c>
      <c r="C2373" s="2" t="s">
        <v>4930</v>
      </c>
      <c r="D2373" s="2" t="s">
        <v>56</v>
      </c>
      <c r="E2373" s="2" t="s">
        <v>85</v>
      </c>
      <c r="F2373" s="2" t="s">
        <v>20</v>
      </c>
      <c r="G2373" s="2" t="s">
        <v>539</v>
      </c>
      <c r="H2373" s="3">
        <v>45305.948611111111</v>
      </c>
      <c r="I2373" s="3">
        <v>45306.056944444441</v>
      </c>
      <c r="J2373" s="2">
        <v>77</v>
      </c>
      <c r="K2373" s="2">
        <v>156</v>
      </c>
      <c r="L2373" s="2">
        <v>1</v>
      </c>
      <c r="M2373" s="2" t="s">
        <v>41</v>
      </c>
      <c r="N2373" s="2">
        <v>1</v>
      </c>
      <c r="O2373" s="2">
        <v>207.83</v>
      </c>
      <c r="P2373" s="2">
        <f t="shared" si="185"/>
        <v>79</v>
      </c>
      <c r="Q2373" s="4">
        <f t="shared" si="186"/>
        <v>0.49358974358974361</v>
      </c>
      <c r="R2373" s="2" t="str">
        <f t="shared" si="187"/>
        <v>Inefficient</v>
      </c>
      <c r="S2373" s="2" t="str">
        <f t="shared" si="188"/>
        <v>Very Long</v>
      </c>
      <c r="T2373" s="2" t="str">
        <f t="shared" si="189"/>
        <v>Major Delay</v>
      </c>
    </row>
    <row r="2374" spans="1:20" x14ac:dyDescent="0.35">
      <c r="A2374" s="2" t="s">
        <v>4931</v>
      </c>
      <c r="B2374" s="2" t="s">
        <v>24</v>
      </c>
      <c r="C2374" s="2" t="s">
        <v>4932</v>
      </c>
      <c r="D2374" s="2" t="s">
        <v>44</v>
      </c>
      <c r="E2374" s="2" t="s">
        <v>38</v>
      </c>
      <c r="F2374" s="2" t="s">
        <v>39</v>
      </c>
      <c r="G2374" s="2" t="s">
        <v>407</v>
      </c>
      <c r="H2374" s="3">
        <v>45322.467361111114</v>
      </c>
      <c r="I2374" s="3">
        <v>45322.511805555558</v>
      </c>
      <c r="J2374" s="2">
        <v>67</v>
      </c>
      <c r="K2374" s="2">
        <v>64</v>
      </c>
      <c r="L2374" s="2">
        <v>0</v>
      </c>
      <c r="M2374" s="2" t="s">
        <v>41</v>
      </c>
      <c r="N2374" s="2">
        <v>6</v>
      </c>
      <c r="O2374" s="2">
        <v>497.07</v>
      </c>
      <c r="P2374" s="2">
        <f t="shared" si="185"/>
        <v>-3</v>
      </c>
      <c r="Q2374" s="4">
        <f t="shared" si="186"/>
        <v>1.046875</v>
      </c>
      <c r="R2374" s="2" t="str">
        <f t="shared" si="187"/>
        <v>Efficient</v>
      </c>
      <c r="S2374" s="2" t="str">
        <f t="shared" si="188"/>
        <v>Long</v>
      </c>
      <c r="T2374" s="2" t="str">
        <f t="shared" si="189"/>
        <v>On Time</v>
      </c>
    </row>
    <row r="2375" spans="1:20" x14ac:dyDescent="0.35">
      <c r="A2375" s="2" t="s">
        <v>4933</v>
      </c>
      <c r="B2375" s="2" t="s">
        <v>24</v>
      </c>
      <c r="C2375" s="2" t="s">
        <v>4934</v>
      </c>
      <c r="D2375" s="2" t="s">
        <v>44</v>
      </c>
      <c r="E2375" s="2" t="s">
        <v>38</v>
      </c>
      <c r="F2375" s="2" t="s">
        <v>34</v>
      </c>
      <c r="G2375" s="2" t="s">
        <v>161</v>
      </c>
      <c r="H2375" s="3">
        <v>45566.410416666666</v>
      </c>
      <c r="I2375" s="3">
        <v>45566.482638888891</v>
      </c>
      <c r="J2375" s="2">
        <v>40</v>
      </c>
      <c r="K2375" s="2">
        <v>104</v>
      </c>
      <c r="L2375" s="2">
        <v>1</v>
      </c>
      <c r="M2375" s="2" t="s">
        <v>41</v>
      </c>
      <c r="N2375" s="2">
        <v>6</v>
      </c>
      <c r="O2375" s="2">
        <v>50.32</v>
      </c>
      <c r="P2375" s="2">
        <f t="shared" si="185"/>
        <v>64</v>
      </c>
      <c r="Q2375" s="4">
        <f t="shared" si="186"/>
        <v>0.38461538461538464</v>
      </c>
      <c r="R2375" s="2" t="str">
        <f t="shared" si="187"/>
        <v>Inefficient</v>
      </c>
      <c r="S2375" s="2" t="str">
        <f t="shared" si="188"/>
        <v>Long</v>
      </c>
      <c r="T2375" s="2" t="str">
        <f t="shared" si="189"/>
        <v>Major Delay</v>
      </c>
    </row>
    <row r="2376" spans="1:20" x14ac:dyDescent="0.35">
      <c r="A2376" s="2" t="s">
        <v>4935</v>
      </c>
      <c r="B2376" s="2" t="s">
        <v>16</v>
      </c>
      <c r="C2376" s="2" t="s">
        <v>4936</v>
      </c>
      <c r="D2376" s="2" t="s">
        <v>26</v>
      </c>
      <c r="E2376" s="2" t="s">
        <v>19</v>
      </c>
      <c r="F2376" s="2" t="s">
        <v>20</v>
      </c>
      <c r="G2376" s="2" t="s">
        <v>749</v>
      </c>
      <c r="H2376" s="3">
        <v>45590.932638888888</v>
      </c>
      <c r="I2376" s="3">
        <v>45591.074305555558</v>
      </c>
      <c r="J2376" s="2">
        <v>131</v>
      </c>
      <c r="K2376" s="2">
        <v>204</v>
      </c>
      <c r="L2376" s="2">
        <v>1</v>
      </c>
      <c r="M2376" s="2" t="s">
        <v>22</v>
      </c>
      <c r="N2376" s="2">
        <v>9</v>
      </c>
      <c r="O2376" s="2">
        <v>156</v>
      </c>
      <c r="P2376" s="2">
        <f t="shared" si="185"/>
        <v>73</v>
      </c>
      <c r="Q2376" s="4">
        <f t="shared" si="186"/>
        <v>0.64215686274509809</v>
      </c>
      <c r="R2376" s="2" t="str">
        <f t="shared" si="187"/>
        <v>Inefficient</v>
      </c>
      <c r="S2376" s="2" t="str">
        <f t="shared" si="188"/>
        <v>Very Long</v>
      </c>
      <c r="T2376" s="2" t="str">
        <f t="shared" si="189"/>
        <v>Major Delay</v>
      </c>
    </row>
    <row r="2377" spans="1:20" x14ac:dyDescent="0.35">
      <c r="A2377" s="2" t="s">
        <v>4937</v>
      </c>
      <c r="B2377" s="2" t="s">
        <v>63</v>
      </c>
      <c r="C2377" s="2" t="s">
        <v>4938</v>
      </c>
      <c r="D2377" s="2" t="s">
        <v>48</v>
      </c>
      <c r="E2377" s="2" t="s">
        <v>19</v>
      </c>
      <c r="F2377" s="2" t="s">
        <v>27</v>
      </c>
      <c r="G2377" s="2" t="s">
        <v>97</v>
      </c>
      <c r="H2377" s="3">
        <v>45457.85833333333</v>
      </c>
      <c r="I2377" s="3">
        <v>45458.046527777777</v>
      </c>
      <c r="J2377" s="2">
        <v>232</v>
      </c>
      <c r="K2377" s="2">
        <v>271</v>
      </c>
      <c r="L2377" s="2">
        <v>1</v>
      </c>
      <c r="M2377" s="2" t="s">
        <v>22</v>
      </c>
      <c r="N2377" s="2">
        <v>7</v>
      </c>
      <c r="O2377" s="2">
        <v>360.57</v>
      </c>
      <c r="P2377" s="2">
        <f t="shared" si="185"/>
        <v>39</v>
      </c>
      <c r="Q2377" s="4">
        <f t="shared" si="186"/>
        <v>0.85608856088560881</v>
      </c>
      <c r="R2377" s="2" t="str">
        <f t="shared" si="187"/>
        <v>Inefficient</v>
      </c>
      <c r="S2377" s="2" t="str">
        <f t="shared" si="188"/>
        <v>Very Long</v>
      </c>
      <c r="T2377" s="2" t="str">
        <f t="shared" si="189"/>
        <v>Major Delay</v>
      </c>
    </row>
    <row r="2378" spans="1:20" x14ac:dyDescent="0.35">
      <c r="A2378" s="2" t="s">
        <v>4939</v>
      </c>
      <c r="B2378" s="2" t="s">
        <v>51</v>
      </c>
      <c r="C2378" s="2" t="s">
        <v>4940</v>
      </c>
      <c r="D2378" s="2" t="s">
        <v>44</v>
      </c>
      <c r="E2378" s="2" t="s">
        <v>38</v>
      </c>
      <c r="F2378" s="2" t="s">
        <v>34</v>
      </c>
      <c r="G2378" s="2" t="s">
        <v>594</v>
      </c>
      <c r="H2378" s="3">
        <v>45535.189583333333</v>
      </c>
      <c r="I2378" s="3">
        <v>45535.322916666664</v>
      </c>
      <c r="J2378" s="2">
        <v>122</v>
      </c>
      <c r="K2378" s="2">
        <v>192</v>
      </c>
      <c r="L2378" s="2">
        <v>1</v>
      </c>
      <c r="M2378" s="2" t="s">
        <v>41</v>
      </c>
      <c r="N2378" s="2">
        <v>2</v>
      </c>
      <c r="O2378" s="2">
        <v>50.95</v>
      </c>
      <c r="P2378" s="2">
        <f t="shared" si="185"/>
        <v>70</v>
      </c>
      <c r="Q2378" s="4">
        <f t="shared" si="186"/>
        <v>0.63541666666666663</v>
      </c>
      <c r="R2378" s="2" t="str">
        <f t="shared" si="187"/>
        <v>Inefficient</v>
      </c>
      <c r="S2378" s="2" t="str">
        <f t="shared" si="188"/>
        <v>Very Long</v>
      </c>
      <c r="T2378" s="2" t="str">
        <f t="shared" si="189"/>
        <v>Major Delay</v>
      </c>
    </row>
    <row r="2379" spans="1:20" x14ac:dyDescent="0.35">
      <c r="A2379" s="2" t="s">
        <v>4941</v>
      </c>
      <c r="B2379" s="2" t="s">
        <v>24</v>
      </c>
      <c r="C2379" s="2" t="s">
        <v>4942</v>
      </c>
      <c r="D2379" s="2" t="s">
        <v>44</v>
      </c>
      <c r="E2379" s="2" t="s">
        <v>33</v>
      </c>
      <c r="F2379" s="2" t="s">
        <v>39</v>
      </c>
      <c r="G2379" s="2" t="s">
        <v>476</v>
      </c>
      <c r="H2379" s="3">
        <v>45302.626388888886</v>
      </c>
      <c r="I2379" s="3">
        <v>45302.729861111111</v>
      </c>
      <c r="J2379" s="2">
        <v>52</v>
      </c>
      <c r="K2379" s="2">
        <v>149</v>
      </c>
      <c r="L2379" s="2">
        <v>1</v>
      </c>
      <c r="M2379" s="2" t="s">
        <v>22</v>
      </c>
      <c r="N2379" s="2">
        <v>6</v>
      </c>
      <c r="O2379" s="2">
        <v>494.55</v>
      </c>
      <c r="P2379" s="2">
        <f t="shared" si="185"/>
        <v>97</v>
      </c>
      <c r="Q2379" s="4">
        <f t="shared" si="186"/>
        <v>0.34899328859060402</v>
      </c>
      <c r="R2379" s="2" t="str">
        <f t="shared" si="187"/>
        <v>Inefficient</v>
      </c>
      <c r="S2379" s="2" t="str">
        <f t="shared" si="188"/>
        <v>Very Long</v>
      </c>
      <c r="T2379" s="2" t="str">
        <f t="shared" si="189"/>
        <v>Major Delay</v>
      </c>
    </row>
    <row r="2380" spans="1:20" x14ac:dyDescent="0.35">
      <c r="A2380" s="2" t="s">
        <v>4943</v>
      </c>
      <c r="B2380" s="2" t="s">
        <v>51</v>
      </c>
      <c r="C2380" s="2" t="s">
        <v>4944</v>
      </c>
      <c r="D2380" s="2" t="s">
        <v>56</v>
      </c>
      <c r="E2380" s="2" t="s">
        <v>85</v>
      </c>
      <c r="F2380" s="2" t="s">
        <v>34</v>
      </c>
      <c r="G2380" s="2" t="s">
        <v>140</v>
      </c>
      <c r="H2380" s="3">
        <v>45547.324305555558</v>
      </c>
      <c r="I2380" s="3">
        <v>45547.455555555556</v>
      </c>
      <c r="J2380" s="2">
        <v>102</v>
      </c>
      <c r="K2380" s="2">
        <v>189</v>
      </c>
      <c r="L2380" s="2">
        <v>1</v>
      </c>
      <c r="M2380" s="2" t="s">
        <v>29</v>
      </c>
      <c r="N2380" s="2">
        <v>8</v>
      </c>
      <c r="O2380" s="2">
        <v>51.71</v>
      </c>
      <c r="P2380" s="2">
        <f t="shared" si="185"/>
        <v>87</v>
      </c>
      <c r="Q2380" s="4">
        <f t="shared" si="186"/>
        <v>0.53968253968253965</v>
      </c>
      <c r="R2380" s="2" t="str">
        <f t="shared" si="187"/>
        <v>Inefficient</v>
      </c>
      <c r="S2380" s="2" t="str">
        <f t="shared" si="188"/>
        <v>Very Long</v>
      </c>
      <c r="T2380" s="2" t="str">
        <f t="shared" si="189"/>
        <v>Major Delay</v>
      </c>
    </row>
    <row r="2381" spans="1:20" x14ac:dyDescent="0.35">
      <c r="A2381" s="2" t="s">
        <v>4945</v>
      </c>
      <c r="B2381" s="2" t="s">
        <v>16</v>
      </c>
      <c r="C2381" s="2" t="s">
        <v>4946</v>
      </c>
      <c r="D2381" s="2" t="s">
        <v>26</v>
      </c>
      <c r="E2381" s="2" t="s">
        <v>33</v>
      </c>
      <c r="F2381" s="2" t="s">
        <v>39</v>
      </c>
      <c r="G2381" s="2" t="s">
        <v>213</v>
      </c>
      <c r="H2381" s="3">
        <v>45353.441666666666</v>
      </c>
      <c r="I2381" s="3">
        <v>45353.631249999999</v>
      </c>
      <c r="J2381" s="2">
        <v>165</v>
      </c>
      <c r="K2381" s="2">
        <v>273</v>
      </c>
      <c r="L2381" s="2">
        <v>1</v>
      </c>
      <c r="M2381" s="2" t="s">
        <v>29</v>
      </c>
      <c r="N2381" s="2">
        <v>6</v>
      </c>
      <c r="O2381" s="2">
        <v>362.43</v>
      </c>
      <c r="P2381" s="2">
        <f t="shared" si="185"/>
        <v>108</v>
      </c>
      <c r="Q2381" s="4">
        <f t="shared" si="186"/>
        <v>0.60439560439560436</v>
      </c>
      <c r="R2381" s="2" t="str">
        <f t="shared" si="187"/>
        <v>Inefficient</v>
      </c>
      <c r="S2381" s="2" t="str">
        <f t="shared" si="188"/>
        <v>Very Long</v>
      </c>
      <c r="T2381" s="2" t="str">
        <f t="shared" si="189"/>
        <v>Major Delay</v>
      </c>
    </row>
    <row r="2382" spans="1:20" x14ac:dyDescent="0.35">
      <c r="A2382" s="2" t="s">
        <v>4947</v>
      </c>
      <c r="B2382" s="2" t="s">
        <v>24</v>
      </c>
      <c r="C2382" s="2" t="s">
        <v>4948</v>
      </c>
      <c r="D2382" s="2" t="s">
        <v>26</v>
      </c>
      <c r="E2382" s="2" t="s">
        <v>85</v>
      </c>
      <c r="F2382" s="2" t="s">
        <v>34</v>
      </c>
      <c r="G2382" s="2" t="s">
        <v>117</v>
      </c>
      <c r="H2382" s="3">
        <v>45335.274305555555</v>
      </c>
      <c r="I2382" s="3">
        <v>45335.313888888886</v>
      </c>
      <c r="J2382" s="2">
        <v>59</v>
      </c>
      <c r="K2382" s="2">
        <v>57</v>
      </c>
      <c r="L2382" s="2">
        <v>0</v>
      </c>
      <c r="M2382" s="2" t="s">
        <v>41</v>
      </c>
      <c r="N2382" s="2">
        <v>6</v>
      </c>
      <c r="O2382" s="2">
        <v>89.72</v>
      </c>
      <c r="P2382" s="2">
        <f t="shared" si="185"/>
        <v>-2</v>
      </c>
      <c r="Q2382" s="4">
        <f t="shared" si="186"/>
        <v>1.0350877192982457</v>
      </c>
      <c r="R2382" s="2" t="str">
        <f t="shared" si="187"/>
        <v>Efficient</v>
      </c>
      <c r="S2382" s="2" t="str">
        <f t="shared" si="188"/>
        <v>Medium</v>
      </c>
      <c r="T2382" s="2" t="str">
        <f t="shared" si="189"/>
        <v>On Time</v>
      </c>
    </row>
    <row r="2383" spans="1:20" x14ac:dyDescent="0.35">
      <c r="A2383" s="2" t="s">
        <v>4949</v>
      </c>
      <c r="B2383" s="2" t="s">
        <v>24</v>
      </c>
      <c r="C2383" s="2" t="s">
        <v>4950</v>
      </c>
      <c r="D2383" s="2" t="s">
        <v>26</v>
      </c>
      <c r="E2383" s="2" t="s">
        <v>85</v>
      </c>
      <c r="F2383" s="2" t="s">
        <v>20</v>
      </c>
      <c r="G2383" s="2" t="s">
        <v>700</v>
      </c>
      <c r="H2383" s="3">
        <v>45308.941666666666</v>
      </c>
      <c r="I2383" s="3">
        <v>45309.063194444447</v>
      </c>
      <c r="J2383" s="2">
        <v>60</v>
      </c>
      <c r="K2383" s="2">
        <v>175</v>
      </c>
      <c r="L2383" s="2">
        <v>1</v>
      </c>
      <c r="M2383" s="2" t="s">
        <v>22</v>
      </c>
      <c r="N2383" s="2">
        <v>4</v>
      </c>
      <c r="O2383" s="2">
        <v>277.64999999999998</v>
      </c>
      <c r="P2383" s="2">
        <f t="shared" si="185"/>
        <v>115</v>
      </c>
      <c r="Q2383" s="4">
        <f t="shared" si="186"/>
        <v>0.34285714285714286</v>
      </c>
      <c r="R2383" s="2" t="str">
        <f t="shared" si="187"/>
        <v>Inefficient</v>
      </c>
      <c r="S2383" s="2" t="str">
        <f t="shared" si="188"/>
        <v>Very Long</v>
      </c>
      <c r="T2383" s="2" t="str">
        <f t="shared" si="189"/>
        <v>Major Delay</v>
      </c>
    </row>
    <row r="2384" spans="1:20" x14ac:dyDescent="0.35">
      <c r="A2384" s="2" t="s">
        <v>4951</v>
      </c>
      <c r="B2384" s="2" t="s">
        <v>51</v>
      </c>
      <c r="C2384" s="2" t="s">
        <v>4952</v>
      </c>
      <c r="D2384" s="2" t="s">
        <v>56</v>
      </c>
      <c r="E2384" s="2" t="s">
        <v>85</v>
      </c>
      <c r="F2384" s="2" t="s">
        <v>57</v>
      </c>
      <c r="G2384" s="2" t="s">
        <v>58</v>
      </c>
      <c r="H2384" s="3">
        <v>45465.061111111114</v>
      </c>
      <c r="I2384" s="3">
        <v>45465.140972222223</v>
      </c>
      <c r="J2384" s="2">
        <v>65</v>
      </c>
      <c r="K2384" s="2">
        <v>115</v>
      </c>
      <c r="L2384" s="2">
        <v>1</v>
      </c>
      <c r="M2384" s="2" t="s">
        <v>29</v>
      </c>
      <c r="N2384" s="2">
        <v>1</v>
      </c>
      <c r="O2384" s="2">
        <v>116.11</v>
      </c>
      <c r="P2384" s="2">
        <f t="shared" si="185"/>
        <v>50</v>
      </c>
      <c r="Q2384" s="4">
        <f t="shared" si="186"/>
        <v>0.56521739130434778</v>
      </c>
      <c r="R2384" s="2" t="str">
        <f t="shared" si="187"/>
        <v>Inefficient</v>
      </c>
      <c r="S2384" s="2" t="str">
        <f t="shared" si="188"/>
        <v>Long</v>
      </c>
      <c r="T2384" s="2" t="str">
        <f t="shared" si="189"/>
        <v>Major Delay</v>
      </c>
    </row>
    <row r="2385" spans="1:20" x14ac:dyDescent="0.35">
      <c r="A2385" s="2" t="s">
        <v>4953</v>
      </c>
      <c r="B2385" s="2" t="s">
        <v>24</v>
      </c>
      <c r="C2385" s="2" t="s">
        <v>4954</v>
      </c>
      <c r="D2385" s="2" t="s">
        <v>48</v>
      </c>
      <c r="E2385" s="2" t="s">
        <v>85</v>
      </c>
      <c r="F2385" s="2" t="s">
        <v>39</v>
      </c>
      <c r="G2385" s="2" t="s">
        <v>371</v>
      </c>
      <c r="H2385" s="3">
        <v>45596.70416666667</v>
      </c>
      <c r="I2385" s="3">
        <v>45596.852083333331</v>
      </c>
      <c r="J2385" s="2">
        <v>117</v>
      </c>
      <c r="K2385" s="2">
        <v>213</v>
      </c>
      <c r="L2385" s="2">
        <v>1</v>
      </c>
      <c r="M2385" s="2" t="s">
        <v>29</v>
      </c>
      <c r="N2385" s="2">
        <v>9</v>
      </c>
      <c r="O2385" s="2">
        <v>140.53</v>
      </c>
      <c r="P2385" s="2">
        <f t="shared" si="185"/>
        <v>96</v>
      </c>
      <c r="Q2385" s="4">
        <f t="shared" si="186"/>
        <v>0.54929577464788737</v>
      </c>
      <c r="R2385" s="2" t="str">
        <f t="shared" si="187"/>
        <v>Inefficient</v>
      </c>
      <c r="S2385" s="2" t="str">
        <f t="shared" si="188"/>
        <v>Very Long</v>
      </c>
      <c r="T2385" s="2" t="str">
        <f t="shared" si="189"/>
        <v>Major Delay</v>
      </c>
    </row>
    <row r="2386" spans="1:20" x14ac:dyDescent="0.35">
      <c r="A2386" s="2" t="s">
        <v>4955</v>
      </c>
      <c r="B2386" s="2" t="s">
        <v>63</v>
      </c>
      <c r="C2386" s="2" t="s">
        <v>4956</v>
      </c>
      <c r="D2386" s="2" t="s">
        <v>48</v>
      </c>
      <c r="E2386" s="2" t="s">
        <v>38</v>
      </c>
      <c r="F2386" s="2" t="s">
        <v>20</v>
      </c>
      <c r="G2386" s="2" t="s">
        <v>602</v>
      </c>
      <c r="H2386" s="3">
        <v>45578.519444444442</v>
      </c>
      <c r="I2386" s="3">
        <v>45578.670138888891</v>
      </c>
      <c r="J2386" s="2">
        <v>219</v>
      </c>
      <c r="K2386" s="2">
        <v>217</v>
      </c>
      <c r="L2386" s="2">
        <v>0</v>
      </c>
      <c r="M2386" s="2" t="s">
        <v>29</v>
      </c>
      <c r="N2386" s="2">
        <v>4</v>
      </c>
      <c r="O2386" s="2">
        <v>269.85000000000002</v>
      </c>
      <c r="P2386" s="2">
        <f t="shared" si="185"/>
        <v>-2</v>
      </c>
      <c r="Q2386" s="4">
        <f t="shared" si="186"/>
        <v>1.0092165898617511</v>
      </c>
      <c r="R2386" s="2" t="str">
        <f t="shared" si="187"/>
        <v>Efficient</v>
      </c>
      <c r="S2386" s="2" t="str">
        <f t="shared" si="188"/>
        <v>Very Long</v>
      </c>
      <c r="T2386" s="2" t="str">
        <f t="shared" si="189"/>
        <v>On Time</v>
      </c>
    </row>
    <row r="2387" spans="1:20" x14ac:dyDescent="0.35">
      <c r="A2387" s="2" t="s">
        <v>4957</v>
      </c>
      <c r="B2387" s="2" t="s">
        <v>16</v>
      </c>
      <c r="C2387" s="2" t="s">
        <v>4958</v>
      </c>
      <c r="D2387" s="2" t="s">
        <v>18</v>
      </c>
      <c r="E2387" s="2" t="s">
        <v>38</v>
      </c>
      <c r="F2387" s="2" t="s">
        <v>20</v>
      </c>
      <c r="G2387" s="2" t="s">
        <v>91</v>
      </c>
      <c r="H2387" s="3">
        <v>45598.238194444442</v>
      </c>
      <c r="I2387" s="3">
        <v>45598.421527777777</v>
      </c>
      <c r="J2387" s="2">
        <v>201</v>
      </c>
      <c r="K2387" s="2">
        <v>264</v>
      </c>
      <c r="L2387" s="2">
        <v>1</v>
      </c>
      <c r="M2387" s="2" t="s">
        <v>29</v>
      </c>
      <c r="N2387" s="2">
        <v>7</v>
      </c>
      <c r="O2387" s="2">
        <v>157.9</v>
      </c>
      <c r="P2387" s="2">
        <f t="shared" si="185"/>
        <v>63</v>
      </c>
      <c r="Q2387" s="4">
        <f t="shared" si="186"/>
        <v>0.76136363636363635</v>
      </c>
      <c r="R2387" s="2" t="str">
        <f t="shared" si="187"/>
        <v>Inefficient</v>
      </c>
      <c r="S2387" s="2" t="str">
        <f t="shared" si="188"/>
        <v>Very Long</v>
      </c>
      <c r="T2387" s="2" t="str">
        <f t="shared" si="189"/>
        <v>Major Delay</v>
      </c>
    </row>
    <row r="2388" spans="1:20" x14ac:dyDescent="0.35">
      <c r="A2388" s="2" t="s">
        <v>4959</v>
      </c>
      <c r="B2388" s="2" t="s">
        <v>31</v>
      </c>
      <c r="C2388" s="2" t="s">
        <v>4960</v>
      </c>
      <c r="D2388" s="2" t="s">
        <v>48</v>
      </c>
      <c r="E2388" s="2" t="s">
        <v>85</v>
      </c>
      <c r="F2388" s="2" t="s">
        <v>34</v>
      </c>
      <c r="G2388" s="2" t="s">
        <v>129</v>
      </c>
      <c r="H2388" s="3">
        <v>45458.745138888888</v>
      </c>
      <c r="I2388" s="3">
        <v>45458.925694444442</v>
      </c>
      <c r="J2388" s="2">
        <v>186</v>
      </c>
      <c r="K2388" s="2">
        <v>260</v>
      </c>
      <c r="L2388" s="2">
        <v>1</v>
      </c>
      <c r="M2388" s="2" t="s">
        <v>41</v>
      </c>
      <c r="N2388" s="2">
        <v>2</v>
      </c>
      <c r="O2388" s="2">
        <v>469.27</v>
      </c>
      <c r="P2388" s="2">
        <f t="shared" si="185"/>
        <v>74</v>
      </c>
      <c r="Q2388" s="4">
        <f t="shared" si="186"/>
        <v>0.7153846153846154</v>
      </c>
      <c r="R2388" s="2" t="str">
        <f t="shared" si="187"/>
        <v>Inefficient</v>
      </c>
      <c r="S2388" s="2" t="str">
        <f t="shared" si="188"/>
        <v>Very Long</v>
      </c>
      <c r="T2388" s="2" t="str">
        <f t="shared" si="189"/>
        <v>Major Delay</v>
      </c>
    </row>
    <row r="2389" spans="1:20" x14ac:dyDescent="0.35">
      <c r="A2389" s="2" t="s">
        <v>4961</v>
      </c>
      <c r="B2389" s="2" t="s">
        <v>16</v>
      </c>
      <c r="C2389" s="2" t="s">
        <v>4962</v>
      </c>
      <c r="D2389" s="2" t="s">
        <v>48</v>
      </c>
      <c r="E2389" s="2" t="s">
        <v>19</v>
      </c>
      <c r="F2389" s="2" t="s">
        <v>34</v>
      </c>
      <c r="G2389" s="2" t="s">
        <v>430</v>
      </c>
      <c r="H2389" s="3">
        <v>45292.140972222223</v>
      </c>
      <c r="I2389" s="3">
        <v>45292.226388888892</v>
      </c>
      <c r="J2389" s="2">
        <v>112</v>
      </c>
      <c r="K2389" s="2">
        <v>123</v>
      </c>
      <c r="L2389" s="2">
        <v>1</v>
      </c>
      <c r="M2389" s="2" t="s">
        <v>29</v>
      </c>
      <c r="N2389" s="2">
        <v>8</v>
      </c>
      <c r="O2389" s="2">
        <v>124.53</v>
      </c>
      <c r="P2389" s="2">
        <f t="shared" si="185"/>
        <v>11</v>
      </c>
      <c r="Q2389" s="4">
        <f t="shared" si="186"/>
        <v>0.91056910569105687</v>
      </c>
      <c r="R2389" s="2" t="str">
        <f t="shared" si="187"/>
        <v>Inefficient</v>
      </c>
      <c r="S2389" s="2" t="str">
        <f t="shared" si="188"/>
        <v>Very Long</v>
      </c>
      <c r="T2389" s="2" t="str">
        <f t="shared" si="189"/>
        <v>Minor Delay</v>
      </c>
    </row>
    <row r="2390" spans="1:20" x14ac:dyDescent="0.35">
      <c r="A2390" s="2" t="s">
        <v>4963</v>
      </c>
      <c r="B2390" s="2" t="s">
        <v>24</v>
      </c>
      <c r="C2390" s="2" t="s">
        <v>4964</v>
      </c>
      <c r="D2390" s="2" t="s">
        <v>44</v>
      </c>
      <c r="E2390" s="2" t="s">
        <v>85</v>
      </c>
      <c r="F2390" s="2" t="s">
        <v>27</v>
      </c>
      <c r="G2390" s="2" t="s">
        <v>456</v>
      </c>
      <c r="H2390" s="3">
        <v>45351.544444444444</v>
      </c>
      <c r="I2390" s="3">
        <v>45351.585416666669</v>
      </c>
      <c r="J2390" s="2">
        <v>51</v>
      </c>
      <c r="K2390" s="2">
        <v>59</v>
      </c>
      <c r="L2390" s="2">
        <v>1</v>
      </c>
      <c r="M2390" s="2" t="s">
        <v>29</v>
      </c>
      <c r="N2390" s="2">
        <v>1</v>
      </c>
      <c r="O2390" s="2">
        <v>63.21</v>
      </c>
      <c r="P2390" s="2">
        <f t="shared" si="185"/>
        <v>8</v>
      </c>
      <c r="Q2390" s="4">
        <f t="shared" si="186"/>
        <v>0.86440677966101698</v>
      </c>
      <c r="R2390" s="2" t="str">
        <f t="shared" si="187"/>
        <v>Inefficient</v>
      </c>
      <c r="S2390" s="2" t="str">
        <f t="shared" si="188"/>
        <v>Medium</v>
      </c>
      <c r="T2390" s="2" t="str">
        <f t="shared" si="189"/>
        <v>Minor Delay</v>
      </c>
    </row>
    <row r="2391" spans="1:20" x14ac:dyDescent="0.35">
      <c r="A2391" s="2" t="s">
        <v>4965</v>
      </c>
      <c r="B2391" s="2" t="s">
        <v>51</v>
      </c>
      <c r="C2391" s="2" t="s">
        <v>4966</v>
      </c>
      <c r="D2391" s="2" t="s">
        <v>56</v>
      </c>
      <c r="E2391" s="2" t="s">
        <v>85</v>
      </c>
      <c r="F2391" s="2" t="s">
        <v>20</v>
      </c>
      <c r="G2391" s="2" t="s">
        <v>146</v>
      </c>
      <c r="H2391" s="3">
        <v>45299.887499999997</v>
      </c>
      <c r="I2391" s="3">
        <v>45300.015972222223</v>
      </c>
      <c r="J2391" s="2">
        <v>136</v>
      </c>
      <c r="K2391" s="2">
        <v>185</v>
      </c>
      <c r="L2391" s="2">
        <v>1</v>
      </c>
      <c r="M2391" s="2" t="s">
        <v>22</v>
      </c>
      <c r="N2391" s="2">
        <v>3</v>
      </c>
      <c r="O2391" s="2">
        <v>484.85</v>
      </c>
      <c r="P2391" s="2">
        <f t="shared" si="185"/>
        <v>49</v>
      </c>
      <c r="Q2391" s="4">
        <f t="shared" si="186"/>
        <v>0.73513513513513518</v>
      </c>
      <c r="R2391" s="2" t="str">
        <f t="shared" si="187"/>
        <v>Inefficient</v>
      </c>
      <c r="S2391" s="2" t="str">
        <f t="shared" si="188"/>
        <v>Very Long</v>
      </c>
      <c r="T2391" s="2" t="str">
        <f t="shared" si="189"/>
        <v>Major Delay</v>
      </c>
    </row>
    <row r="2392" spans="1:20" x14ac:dyDescent="0.35">
      <c r="A2392" s="2" t="s">
        <v>4967</v>
      </c>
      <c r="B2392" s="2" t="s">
        <v>63</v>
      </c>
      <c r="C2392" s="2" t="s">
        <v>4968</v>
      </c>
      <c r="D2392" s="2" t="s">
        <v>44</v>
      </c>
      <c r="E2392" s="2" t="s">
        <v>19</v>
      </c>
      <c r="F2392" s="2" t="s">
        <v>57</v>
      </c>
      <c r="G2392" s="2" t="s">
        <v>359</v>
      </c>
      <c r="H2392" s="3">
        <v>45330.34097222222</v>
      </c>
      <c r="I2392" s="3">
        <v>45330.453472222223</v>
      </c>
      <c r="J2392" s="2">
        <v>103</v>
      </c>
      <c r="K2392" s="2">
        <v>162</v>
      </c>
      <c r="L2392" s="2">
        <v>1</v>
      </c>
      <c r="M2392" s="2" t="s">
        <v>41</v>
      </c>
      <c r="N2392" s="2">
        <v>2</v>
      </c>
      <c r="O2392" s="2">
        <v>136.41</v>
      </c>
      <c r="P2392" s="2">
        <f t="shared" si="185"/>
        <v>59</v>
      </c>
      <c r="Q2392" s="4">
        <f t="shared" si="186"/>
        <v>0.63580246913580252</v>
      </c>
      <c r="R2392" s="2" t="str">
        <f t="shared" si="187"/>
        <v>Inefficient</v>
      </c>
      <c r="S2392" s="2" t="str">
        <f t="shared" si="188"/>
        <v>Very Long</v>
      </c>
      <c r="T2392" s="2" t="str">
        <f t="shared" si="189"/>
        <v>Major Delay</v>
      </c>
    </row>
    <row r="2393" spans="1:20" x14ac:dyDescent="0.35">
      <c r="A2393" s="2" t="s">
        <v>4969</v>
      </c>
      <c r="B2393" s="2" t="s">
        <v>24</v>
      </c>
      <c r="C2393" s="2" t="s">
        <v>4970</v>
      </c>
      <c r="D2393" s="2" t="s">
        <v>56</v>
      </c>
      <c r="E2393" s="2" t="s">
        <v>38</v>
      </c>
      <c r="F2393" s="2" t="s">
        <v>27</v>
      </c>
      <c r="G2393" s="2" t="s">
        <v>402</v>
      </c>
      <c r="H2393" s="3">
        <v>45614.543055555558</v>
      </c>
      <c r="I2393" s="3">
        <v>45614.640972222223</v>
      </c>
      <c r="J2393" s="2">
        <v>112</v>
      </c>
      <c r="K2393" s="2">
        <v>141</v>
      </c>
      <c r="L2393" s="2">
        <v>1</v>
      </c>
      <c r="M2393" s="2" t="s">
        <v>29</v>
      </c>
      <c r="N2393" s="2">
        <v>2</v>
      </c>
      <c r="O2393" s="2">
        <v>392.14</v>
      </c>
      <c r="P2393" s="2">
        <f t="shared" si="185"/>
        <v>29</v>
      </c>
      <c r="Q2393" s="4">
        <f t="shared" si="186"/>
        <v>0.79432624113475181</v>
      </c>
      <c r="R2393" s="2" t="str">
        <f t="shared" si="187"/>
        <v>Inefficient</v>
      </c>
      <c r="S2393" s="2" t="str">
        <f t="shared" si="188"/>
        <v>Very Long</v>
      </c>
      <c r="T2393" s="2" t="str">
        <f t="shared" si="189"/>
        <v>Minor Delay</v>
      </c>
    </row>
    <row r="2394" spans="1:20" x14ac:dyDescent="0.35">
      <c r="A2394" s="2" t="s">
        <v>4971</v>
      </c>
      <c r="B2394" s="2" t="s">
        <v>51</v>
      </c>
      <c r="C2394" s="2" t="s">
        <v>4972</v>
      </c>
      <c r="D2394" s="2" t="s">
        <v>56</v>
      </c>
      <c r="E2394" s="2" t="s">
        <v>38</v>
      </c>
      <c r="F2394" s="2" t="s">
        <v>20</v>
      </c>
      <c r="G2394" s="2" t="s">
        <v>53</v>
      </c>
      <c r="H2394" s="3">
        <v>45328.880555555559</v>
      </c>
      <c r="I2394" s="3">
        <v>45329.098611111112</v>
      </c>
      <c r="J2394" s="2">
        <v>220</v>
      </c>
      <c r="K2394" s="2">
        <v>314</v>
      </c>
      <c r="L2394" s="2">
        <v>1</v>
      </c>
      <c r="M2394" s="2" t="s">
        <v>41</v>
      </c>
      <c r="N2394" s="2">
        <v>2</v>
      </c>
      <c r="O2394" s="2">
        <v>52.85</v>
      </c>
      <c r="P2394" s="2">
        <f t="shared" si="185"/>
        <v>94</v>
      </c>
      <c r="Q2394" s="4">
        <f t="shared" si="186"/>
        <v>0.70063694267515919</v>
      </c>
      <c r="R2394" s="2" t="str">
        <f t="shared" si="187"/>
        <v>Inefficient</v>
      </c>
      <c r="S2394" s="2" t="str">
        <f t="shared" si="188"/>
        <v>Very Long</v>
      </c>
      <c r="T2394" s="2" t="str">
        <f t="shared" si="189"/>
        <v>Major Delay</v>
      </c>
    </row>
    <row r="2395" spans="1:20" x14ac:dyDescent="0.35">
      <c r="A2395" s="2" t="s">
        <v>4973</v>
      </c>
      <c r="B2395" s="2" t="s">
        <v>16</v>
      </c>
      <c r="C2395" s="2" t="s">
        <v>4974</v>
      </c>
      <c r="D2395" s="2" t="s">
        <v>26</v>
      </c>
      <c r="E2395" s="2" t="s">
        <v>38</v>
      </c>
      <c r="F2395" s="2" t="s">
        <v>20</v>
      </c>
      <c r="G2395" s="2" t="s">
        <v>521</v>
      </c>
      <c r="H2395" s="3">
        <v>45632.57916666667</v>
      </c>
      <c r="I2395" s="3">
        <v>45632.775000000001</v>
      </c>
      <c r="J2395" s="2">
        <v>183</v>
      </c>
      <c r="K2395" s="2">
        <v>282</v>
      </c>
      <c r="L2395" s="2">
        <v>1</v>
      </c>
      <c r="M2395" s="2" t="s">
        <v>29</v>
      </c>
      <c r="N2395" s="2">
        <v>4</v>
      </c>
      <c r="O2395" s="2">
        <v>342.56</v>
      </c>
      <c r="P2395" s="2">
        <f t="shared" si="185"/>
        <v>99</v>
      </c>
      <c r="Q2395" s="4">
        <f t="shared" si="186"/>
        <v>0.64893617021276595</v>
      </c>
      <c r="R2395" s="2" t="str">
        <f t="shared" si="187"/>
        <v>Inefficient</v>
      </c>
      <c r="S2395" s="2" t="str">
        <f t="shared" si="188"/>
        <v>Very Long</v>
      </c>
      <c r="T2395" s="2" t="str">
        <f t="shared" si="189"/>
        <v>Major Delay</v>
      </c>
    </row>
    <row r="2396" spans="1:20" x14ac:dyDescent="0.35">
      <c r="A2396" s="2" t="s">
        <v>4975</v>
      </c>
      <c r="B2396" s="2" t="s">
        <v>16</v>
      </c>
      <c r="C2396" s="2" t="s">
        <v>4976</v>
      </c>
      <c r="D2396" s="2" t="s">
        <v>44</v>
      </c>
      <c r="E2396" s="2" t="s">
        <v>38</v>
      </c>
      <c r="F2396" s="2" t="s">
        <v>27</v>
      </c>
      <c r="G2396" s="2" t="s">
        <v>1125</v>
      </c>
      <c r="H2396" s="3">
        <v>45306.720833333333</v>
      </c>
      <c r="I2396" s="3">
        <v>45306.817361111112</v>
      </c>
      <c r="J2396" s="2">
        <v>74</v>
      </c>
      <c r="K2396" s="2">
        <v>139</v>
      </c>
      <c r="L2396" s="2">
        <v>1</v>
      </c>
      <c r="M2396" s="2" t="s">
        <v>22</v>
      </c>
      <c r="N2396" s="2">
        <v>3</v>
      </c>
      <c r="O2396" s="2">
        <v>106.58</v>
      </c>
      <c r="P2396" s="2">
        <f t="shared" si="185"/>
        <v>65</v>
      </c>
      <c r="Q2396" s="4">
        <f t="shared" si="186"/>
        <v>0.53237410071942448</v>
      </c>
      <c r="R2396" s="2" t="str">
        <f t="shared" si="187"/>
        <v>Inefficient</v>
      </c>
      <c r="S2396" s="2" t="str">
        <f t="shared" si="188"/>
        <v>Very Long</v>
      </c>
      <c r="T2396" s="2" t="str">
        <f t="shared" si="189"/>
        <v>Major Delay</v>
      </c>
    </row>
    <row r="2397" spans="1:20" x14ac:dyDescent="0.35">
      <c r="A2397" s="2" t="s">
        <v>4977</v>
      </c>
      <c r="B2397" s="2" t="s">
        <v>16</v>
      </c>
      <c r="C2397" s="2" t="s">
        <v>4978</v>
      </c>
      <c r="D2397" s="2" t="s">
        <v>48</v>
      </c>
      <c r="E2397" s="2" t="s">
        <v>38</v>
      </c>
      <c r="F2397" s="2" t="s">
        <v>57</v>
      </c>
      <c r="G2397" s="2" t="s">
        <v>465</v>
      </c>
      <c r="H2397" s="3">
        <v>45647.217361111114</v>
      </c>
      <c r="I2397" s="3">
        <v>45647.438194444447</v>
      </c>
      <c r="J2397" s="2">
        <v>222</v>
      </c>
      <c r="K2397" s="2">
        <v>318</v>
      </c>
      <c r="L2397" s="2">
        <v>1</v>
      </c>
      <c r="M2397" s="2" t="s">
        <v>22</v>
      </c>
      <c r="N2397" s="2">
        <v>1</v>
      </c>
      <c r="O2397" s="2">
        <v>243.21</v>
      </c>
      <c r="P2397" s="2">
        <f t="shared" si="185"/>
        <v>96</v>
      </c>
      <c r="Q2397" s="4">
        <f t="shared" si="186"/>
        <v>0.69811320754716977</v>
      </c>
      <c r="R2397" s="2" t="str">
        <f t="shared" si="187"/>
        <v>Inefficient</v>
      </c>
      <c r="S2397" s="2" t="str">
        <f t="shared" si="188"/>
        <v>Very Long</v>
      </c>
      <c r="T2397" s="2" t="str">
        <f t="shared" si="189"/>
        <v>Major Delay</v>
      </c>
    </row>
    <row r="2398" spans="1:20" x14ac:dyDescent="0.35">
      <c r="A2398" s="2" t="s">
        <v>4979</v>
      </c>
      <c r="B2398" s="2" t="s">
        <v>24</v>
      </c>
      <c r="C2398" s="2" t="s">
        <v>4980</v>
      </c>
      <c r="D2398" s="2" t="s">
        <v>44</v>
      </c>
      <c r="E2398" s="2" t="s">
        <v>38</v>
      </c>
      <c r="F2398" s="2" t="s">
        <v>39</v>
      </c>
      <c r="G2398" s="2" t="s">
        <v>388</v>
      </c>
      <c r="H2398" s="3">
        <v>45644.667361111111</v>
      </c>
      <c r="I2398" s="3">
        <v>45644.819444444445</v>
      </c>
      <c r="J2398" s="2">
        <v>107</v>
      </c>
      <c r="K2398" s="2">
        <v>219</v>
      </c>
      <c r="L2398" s="2">
        <v>1</v>
      </c>
      <c r="M2398" s="2" t="s">
        <v>41</v>
      </c>
      <c r="N2398" s="2">
        <v>9</v>
      </c>
      <c r="O2398" s="2">
        <v>362.58</v>
      </c>
      <c r="P2398" s="2">
        <f t="shared" si="185"/>
        <v>112</v>
      </c>
      <c r="Q2398" s="4">
        <f t="shared" si="186"/>
        <v>0.48858447488584472</v>
      </c>
      <c r="R2398" s="2" t="str">
        <f t="shared" si="187"/>
        <v>Inefficient</v>
      </c>
      <c r="S2398" s="2" t="str">
        <f t="shared" si="188"/>
        <v>Very Long</v>
      </c>
      <c r="T2398" s="2" t="str">
        <f t="shared" si="189"/>
        <v>Major Delay</v>
      </c>
    </row>
    <row r="2399" spans="1:20" x14ac:dyDescent="0.35">
      <c r="A2399" s="2" t="s">
        <v>4981</v>
      </c>
      <c r="B2399" s="2" t="s">
        <v>24</v>
      </c>
      <c r="C2399" s="2" t="s">
        <v>4982</v>
      </c>
      <c r="D2399" s="2" t="s">
        <v>48</v>
      </c>
      <c r="E2399" s="2" t="s">
        <v>38</v>
      </c>
      <c r="F2399" s="2" t="s">
        <v>39</v>
      </c>
      <c r="G2399" s="2" t="s">
        <v>1719</v>
      </c>
      <c r="H2399" s="3">
        <v>45614.99722222222</v>
      </c>
      <c r="I2399" s="3">
        <v>45615.116666666669</v>
      </c>
      <c r="J2399" s="2">
        <v>156</v>
      </c>
      <c r="K2399" s="2">
        <v>172</v>
      </c>
      <c r="L2399" s="2">
        <v>1</v>
      </c>
      <c r="M2399" s="2" t="s">
        <v>29</v>
      </c>
      <c r="N2399" s="2">
        <v>5</v>
      </c>
      <c r="O2399" s="2">
        <v>451.97</v>
      </c>
      <c r="P2399" s="2">
        <f t="shared" si="185"/>
        <v>16</v>
      </c>
      <c r="Q2399" s="4">
        <f t="shared" si="186"/>
        <v>0.90697674418604646</v>
      </c>
      <c r="R2399" s="2" t="str">
        <f t="shared" si="187"/>
        <v>Inefficient</v>
      </c>
      <c r="S2399" s="2" t="str">
        <f t="shared" si="188"/>
        <v>Very Long</v>
      </c>
      <c r="T2399" s="2" t="str">
        <f t="shared" si="189"/>
        <v>Minor Delay</v>
      </c>
    </row>
    <row r="2400" spans="1:20" x14ac:dyDescent="0.35">
      <c r="A2400" s="2" t="s">
        <v>4983</v>
      </c>
      <c r="B2400" s="2" t="s">
        <v>24</v>
      </c>
      <c r="C2400" s="2" t="s">
        <v>4984</v>
      </c>
      <c r="D2400" s="2" t="s">
        <v>44</v>
      </c>
      <c r="E2400" s="2" t="s">
        <v>19</v>
      </c>
      <c r="F2400" s="2" t="s">
        <v>34</v>
      </c>
      <c r="G2400" s="2" t="s">
        <v>640</v>
      </c>
      <c r="H2400" s="3">
        <v>45492.580555555556</v>
      </c>
      <c r="I2400" s="3">
        <v>45492.640972222223</v>
      </c>
      <c r="J2400" s="2">
        <v>62</v>
      </c>
      <c r="K2400" s="2">
        <v>87</v>
      </c>
      <c r="L2400" s="2">
        <v>1</v>
      </c>
      <c r="M2400" s="2" t="s">
        <v>41</v>
      </c>
      <c r="N2400" s="2">
        <v>2</v>
      </c>
      <c r="O2400" s="2">
        <v>197.63</v>
      </c>
      <c r="P2400" s="2">
        <f t="shared" si="185"/>
        <v>25</v>
      </c>
      <c r="Q2400" s="4">
        <f t="shared" si="186"/>
        <v>0.71264367816091956</v>
      </c>
      <c r="R2400" s="2" t="str">
        <f t="shared" si="187"/>
        <v>Inefficient</v>
      </c>
      <c r="S2400" s="2" t="str">
        <f t="shared" si="188"/>
        <v>Long</v>
      </c>
      <c r="T2400" s="2" t="str">
        <f t="shared" si="189"/>
        <v>Minor Delay</v>
      </c>
    </row>
    <row r="2401" spans="1:20" x14ac:dyDescent="0.35">
      <c r="A2401" s="2" t="s">
        <v>4985</v>
      </c>
      <c r="B2401" s="2" t="s">
        <v>24</v>
      </c>
      <c r="C2401" s="2" t="s">
        <v>4986</v>
      </c>
      <c r="D2401" s="2" t="s">
        <v>56</v>
      </c>
      <c r="E2401" s="2" t="s">
        <v>33</v>
      </c>
      <c r="F2401" s="2" t="s">
        <v>27</v>
      </c>
      <c r="G2401" s="2" t="s">
        <v>599</v>
      </c>
      <c r="H2401" s="3">
        <v>45402.542361111111</v>
      </c>
      <c r="I2401" s="3">
        <v>45402.75</v>
      </c>
      <c r="J2401" s="2">
        <v>221</v>
      </c>
      <c r="K2401" s="2">
        <v>299</v>
      </c>
      <c r="L2401" s="2">
        <v>1</v>
      </c>
      <c r="M2401" s="2" t="s">
        <v>29</v>
      </c>
      <c r="N2401" s="2">
        <v>7</v>
      </c>
      <c r="O2401" s="2">
        <v>180.05</v>
      </c>
      <c r="P2401" s="2">
        <f t="shared" si="185"/>
        <v>78</v>
      </c>
      <c r="Q2401" s="4">
        <f t="shared" si="186"/>
        <v>0.73913043478260865</v>
      </c>
      <c r="R2401" s="2" t="str">
        <f t="shared" si="187"/>
        <v>Inefficient</v>
      </c>
      <c r="S2401" s="2" t="str">
        <f t="shared" si="188"/>
        <v>Very Long</v>
      </c>
      <c r="T2401" s="2" t="str">
        <f t="shared" si="189"/>
        <v>Major Delay</v>
      </c>
    </row>
    <row r="2402" spans="1:20" x14ac:dyDescent="0.35">
      <c r="A2402" s="2" t="s">
        <v>4987</v>
      </c>
      <c r="B2402" s="2" t="s">
        <v>24</v>
      </c>
      <c r="C2402" s="2" t="s">
        <v>4988</v>
      </c>
      <c r="D2402" s="2" t="s">
        <v>44</v>
      </c>
      <c r="E2402" s="2" t="s">
        <v>85</v>
      </c>
      <c r="F2402" s="2" t="s">
        <v>39</v>
      </c>
      <c r="G2402" s="2" t="s">
        <v>188</v>
      </c>
      <c r="H2402" s="3">
        <v>45652.546527777777</v>
      </c>
      <c r="I2402" s="3">
        <v>45652.716666666667</v>
      </c>
      <c r="J2402" s="2">
        <v>223</v>
      </c>
      <c r="K2402" s="2">
        <v>245</v>
      </c>
      <c r="L2402" s="2">
        <v>1</v>
      </c>
      <c r="M2402" s="2" t="s">
        <v>22</v>
      </c>
      <c r="N2402" s="2">
        <v>4</v>
      </c>
      <c r="O2402" s="2">
        <v>165.54</v>
      </c>
      <c r="P2402" s="2">
        <f t="shared" si="185"/>
        <v>22</v>
      </c>
      <c r="Q2402" s="4">
        <f t="shared" si="186"/>
        <v>0.91020408163265309</v>
      </c>
      <c r="R2402" s="2" t="str">
        <f t="shared" si="187"/>
        <v>Inefficient</v>
      </c>
      <c r="S2402" s="2" t="str">
        <f t="shared" si="188"/>
        <v>Very Long</v>
      </c>
      <c r="T2402" s="2" t="str">
        <f t="shared" si="189"/>
        <v>Minor Delay</v>
      </c>
    </row>
    <row r="2403" spans="1:20" x14ac:dyDescent="0.35">
      <c r="A2403" s="2" t="s">
        <v>4989</v>
      </c>
      <c r="B2403" s="2" t="s">
        <v>16</v>
      </c>
      <c r="C2403" s="2" t="s">
        <v>4990</v>
      </c>
      <c r="D2403" s="2" t="s">
        <v>44</v>
      </c>
      <c r="E2403" s="2" t="s">
        <v>19</v>
      </c>
      <c r="F2403" s="2" t="s">
        <v>39</v>
      </c>
      <c r="G2403" s="2" t="s">
        <v>114</v>
      </c>
      <c r="H2403" s="3">
        <v>45496.512499999997</v>
      </c>
      <c r="I2403" s="3">
        <v>45496.67291666667</v>
      </c>
      <c r="J2403" s="2">
        <v>160</v>
      </c>
      <c r="K2403" s="2">
        <v>231</v>
      </c>
      <c r="L2403" s="2">
        <v>1</v>
      </c>
      <c r="M2403" s="2" t="s">
        <v>29</v>
      </c>
      <c r="N2403" s="2">
        <v>9</v>
      </c>
      <c r="O2403" s="2">
        <v>58.32</v>
      </c>
      <c r="P2403" s="2">
        <f t="shared" si="185"/>
        <v>71</v>
      </c>
      <c r="Q2403" s="4">
        <f t="shared" si="186"/>
        <v>0.69264069264069261</v>
      </c>
      <c r="R2403" s="2" t="str">
        <f t="shared" si="187"/>
        <v>Inefficient</v>
      </c>
      <c r="S2403" s="2" t="str">
        <f t="shared" si="188"/>
        <v>Very Long</v>
      </c>
      <c r="T2403" s="2" t="str">
        <f t="shared" si="189"/>
        <v>Major Delay</v>
      </c>
    </row>
    <row r="2404" spans="1:20" x14ac:dyDescent="0.35">
      <c r="A2404" s="2" t="s">
        <v>4991</v>
      </c>
      <c r="B2404" s="2" t="s">
        <v>31</v>
      </c>
      <c r="C2404" s="2" t="s">
        <v>4992</v>
      </c>
      <c r="D2404" s="2" t="s">
        <v>26</v>
      </c>
      <c r="E2404" s="2" t="s">
        <v>85</v>
      </c>
      <c r="F2404" s="2" t="s">
        <v>34</v>
      </c>
      <c r="G2404" s="2" t="s">
        <v>146</v>
      </c>
      <c r="H2404" s="3">
        <v>45546.65347222222</v>
      </c>
      <c r="I2404" s="3">
        <v>45546.770833333336</v>
      </c>
      <c r="J2404" s="2">
        <v>136</v>
      </c>
      <c r="K2404" s="2">
        <v>169</v>
      </c>
      <c r="L2404" s="2">
        <v>1</v>
      </c>
      <c r="M2404" s="2" t="s">
        <v>41</v>
      </c>
      <c r="N2404" s="2">
        <v>3</v>
      </c>
      <c r="O2404" s="2">
        <v>137.93</v>
      </c>
      <c r="P2404" s="2">
        <f t="shared" si="185"/>
        <v>33</v>
      </c>
      <c r="Q2404" s="4">
        <f t="shared" si="186"/>
        <v>0.80473372781065089</v>
      </c>
      <c r="R2404" s="2" t="str">
        <f t="shared" si="187"/>
        <v>Inefficient</v>
      </c>
      <c r="S2404" s="2" t="str">
        <f t="shared" si="188"/>
        <v>Very Long</v>
      </c>
      <c r="T2404" s="2" t="str">
        <f t="shared" si="189"/>
        <v>Major Delay</v>
      </c>
    </row>
    <row r="2405" spans="1:20" x14ac:dyDescent="0.35">
      <c r="A2405" s="2" t="s">
        <v>4993</v>
      </c>
      <c r="B2405" s="2" t="s">
        <v>51</v>
      </c>
      <c r="C2405" s="2" t="s">
        <v>4994</v>
      </c>
      <c r="D2405" s="2" t="s">
        <v>18</v>
      </c>
      <c r="E2405" s="2" t="s">
        <v>33</v>
      </c>
      <c r="F2405" s="2" t="s">
        <v>20</v>
      </c>
      <c r="G2405" s="2" t="s">
        <v>28</v>
      </c>
      <c r="H2405" s="3">
        <v>45409.995138888888</v>
      </c>
      <c r="I2405" s="3">
        <v>45410.057638888888</v>
      </c>
      <c r="J2405" s="2">
        <v>39</v>
      </c>
      <c r="K2405" s="2">
        <v>90</v>
      </c>
      <c r="L2405" s="2">
        <v>1</v>
      </c>
      <c r="M2405" s="2" t="s">
        <v>29</v>
      </c>
      <c r="N2405" s="2">
        <v>6</v>
      </c>
      <c r="O2405" s="2">
        <v>333.67</v>
      </c>
      <c r="P2405" s="2">
        <f t="shared" si="185"/>
        <v>51</v>
      </c>
      <c r="Q2405" s="4">
        <f t="shared" si="186"/>
        <v>0.43333333333333335</v>
      </c>
      <c r="R2405" s="2" t="str">
        <f t="shared" si="187"/>
        <v>Inefficient</v>
      </c>
      <c r="S2405" s="2" t="str">
        <f t="shared" si="188"/>
        <v>Long</v>
      </c>
      <c r="T2405" s="2" t="str">
        <f t="shared" si="189"/>
        <v>Major Delay</v>
      </c>
    </row>
    <row r="2406" spans="1:20" x14ac:dyDescent="0.35">
      <c r="A2406" s="2" t="s">
        <v>4995</v>
      </c>
      <c r="B2406" s="2" t="s">
        <v>31</v>
      </c>
      <c r="C2406" s="2" t="s">
        <v>4996</v>
      </c>
      <c r="D2406" s="2" t="s">
        <v>18</v>
      </c>
      <c r="E2406" s="2" t="s">
        <v>85</v>
      </c>
      <c r="F2406" s="2" t="s">
        <v>34</v>
      </c>
      <c r="G2406" s="2" t="s">
        <v>129</v>
      </c>
      <c r="H2406" s="3">
        <v>45567.588194444441</v>
      </c>
      <c r="I2406" s="3">
        <v>45567.717361111114</v>
      </c>
      <c r="J2406" s="2">
        <v>69</v>
      </c>
      <c r="K2406" s="2">
        <v>186</v>
      </c>
      <c r="L2406" s="2">
        <v>1</v>
      </c>
      <c r="M2406" s="2" t="s">
        <v>41</v>
      </c>
      <c r="N2406" s="2">
        <v>2</v>
      </c>
      <c r="O2406" s="2">
        <v>272.85000000000002</v>
      </c>
      <c r="P2406" s="2">
        <f t="shared" si="185"/>
        <v>117</v>
      </c>
      <c r="Q2406" s="4">
        <f t="shared" si="186"/>
        <v>0.37096774193548387</v>
      </c>
      <c r="R2406" s="2" t="str">
        <f t="shared" si="187"/>
        <v>Inefficient</v>
      </c>
      <c r="S2406" s="2" t="str">
        <f t="shared" si="188"/>
        <v>Very Long</v>
      </c>
      <c r="T2406" s="2" t="str">
        <f t="shared" si="189"/>
        <v>Major Delay</v>
      </c>
    </row>
    <row r="2407" spans="1:20" x14ac:dyDescent="0.35">
      <c r="A2407" s="2" t="s">
        <v>4997</v>
      </c>
      <c r="B2407" s="2" t="s">
        <v>63</v>
      </c>
      <c r="C2407" s="2" t="s">
        <v>4998</v>
      </c>
      <c r="D2407" s="2" t="s">
        <v>56</v>
      </c>
      <c r="E2407" s="2" t="s">
        <v>19</v>
      </c>
      <c r="F2407" s="2" t="s">
        <v>57</v>
      </c>
      <c r="G2407" s="2" t="s">
        <v>201</v>
      </c>
      <c r="H2407" s="3">
        <v>45519.742361111108</v>
      </c>
      <c r="I2407" s="3">
        <v>45519.867361111108</v>
      </c>
      <c r="J2407" s="2">
        <v>111</v>
      </c>
      <c r="K2407" s="2">
        <v>180</v>
      </c>
      <c r="L2407" s="2">
        <v>1</v>
      </c>
      <c r="M2407" s="2" t="s">
        <v>41</v>
      </c>
      <c r="N2407" s="2">
        <v>3</v>
      </c>
      <c r="O2407" s="2">
        <v>270.43</v>
      </c>
      <c r="P2407" s="2">
        <f t="shared" si="185"/>
        <v>69</v>
      </c>
      <c r="Q2407" s="4">
        <f t="shared" si="186"/>
        <v>0.6166666666666667</v>
      </c>
      <c r="R2407" s="2" t="str">
        <f t="shared" si="187"/>
        <v>Inefficient</v>
      </c>
      <c r="S2407" s="2" t="str">
        <f t="shared" si="188"/>
        <v>Very Long</v>
      </c>
      <c r="T2407" s="2" t="str">
        <f t="shared" si="189"/>
        <v>Major Delay</v>
      </c>
    </row>
    <row r="2408" spans="1:20" x14ac:dyDescent="0.35">
      <c r="A2408" s="2" t="s">
        <v>4999</v>
      </c>
      <c r="B2408" s="2" t="s">
        <v>16</v>
      </c>
      <c r="C2408" s="2" t="s">
        <v>5000</v>
      </c>
      <c r="D2408" s="2" t="s">
        <v>48</v>
      </c>
      <c r="E2408" s="2" t="s">
        <v>85</v>
      </c>
      <c r="F2408" s="2" t="s">
        <v>57</v>
      </c>
      <c r="G2408" s="2" t="s">
        <v>58</v>
      </c>
      <c r="H2408" s="3">
        <v>45388.928472222222</v>
      </c>
      <c r="I2408" s="3">
        <v>45389.074999999997</v>
      </c>
      <c r="J2408" s="2">
        <v>105</v>
      </c>
      <c r="K2408" s="2">
        <v>211</v>
      </c>
      <c r="L2408" s="2">
        <v>1</v>
      </c>
      <c r="M2408" s="2" t="s">
        <v>41</v>
      </c>
      <c r="N2408" s="2">
        <v>3</v>
      </c>
      <c r="O2408" s="2">
        <v>335.84</v>
      </c>
      <c r="P2408" s="2">
        <f t="shared" si="185"/>
        <v>106</v>
      </c>
      <c r="Q2408" s="4">
        <f t="shared" si="186"/>
        <v>0.49763033175355448</v>
      </c>
      <c r="R2408" s="2" t="str">
        <f t="shared" si="187"/>
        <v>Inefficient</v>
      </c>
      <c r="S2408" s="2" t="str">
        <f t="shared" si="188"/>
        <v>Very Long</v>
      </c>
      <c r="T2408" s="2" t="str">
        <f t="shared" si="189"/>
        <v>Major Delay</v>
      </c>
    </row>
    <row r="2409" spans="1:20" x14ac:dyDescent="0.35">
      <c r="A2409" s="2" t="s">
        <v>5001</v>
      </c>
      <c r="B2409" s="2" t="s">
        <v>63</v>
      </c>
      <c r="C2409" s="2" t="s">
        <v>5002</v>
      </c>
      <c r="D2409" s="2" t="s">
        <v>56</v>
      </c>
      <c r="E2409" s="2" t="s">
        <v>33</v>
      </c>
      <c r="F2409" s="2" t="s">
        <v>57</v>
      </c>
      <c r="G2409" s="2" t="s">
        <v>293</v>
      </c>
      <c r="H2409" s="3">
        <v>45400.803472222222</v>
      </c>
      <c r="I2409" s="3">
        <v>45401.035416666666</v>
      </c>
      <c r="J2409" s="2">
        <v>220</v>
      </c>
      <c r="K2409" s="2">
        <v>334</v>
      </c>
      <c r="L2409" s="2">
        <v>1</v>
      </c>
      <c r="M2409" s="2" t="s">
        <v>41</v>
      </c>
      <c r="N2409" s="2">
        <v>9</v>
      </c>
      <c r="O2409" s="2">
        <v>337.09</v>
      </c>
      <c r="P2409" s="2">
        <f t="shared" si="185"/>
        <v>114</v>
      </c>
      <c r="Q2409" s="4">
        <f t="shared" si="186"/>
        <v>0.6586826347305389</v>
      </c>
      <c r="R2409" s="2" t="str">
        <f t="shared" si="187"/>
        <v>Inefficient</v>
      </c>
      <c r="S2409" s="2" t="str">
        <f t="shared" si="188"/>
        <v>Very Long</v>
      </c>
      <c r="T2409" s="2" t="str">
        <f t="shared" si="189"/>
        <v>Major Delay</v>
      </c>
    </row>
    <row r="2410" spans="1:20" x14ac:dyDescent="0.35">
      <c r="A2410" s="2" t="s">
        <v>5003</v>
      </c>
      <c r="B2410" s="2" t="s">
        <v>24</v>
      </c>
      <c r="C2410" s="2" t="s">
        <v>5004</v>
      </c>
      <c r="D2410" s="2" t="s">
        <v>48</v>
      </c>
      <c r="E2410" s="2" t="s">
        <v>85</v>
      </c>
      <c r="F2410" s="2" t="s">
        <v>34</v>
      </c>
      <c r="G2410" s="2" t="s">
        <v>599</v>
      </c>
      <c r="H2410" s="3">
        <v>45482.743750000001</v>
      </c>
      <c r="I2410" s="3">
        <v>45482.873611111114</v>
      </c>
      <c r="J2410" s="2">
        <v>139</v>
      </c>
      <c r="K2410" s="2">
        <v>187</v>
      </c>
      <c r="L2410" s="2">
        <v>1</v>
      </c>
      <c r="M2410" s="2" t="s">
        <v>41</v>
      </c>
      <c r="N2410" s="2">
        <v>7</v>
      </c>
      <c r="O2410" s="2">
        <v>489.28</v>
      </c>
      <c r="P2410" s="2">
        <f t="shared" si="185"/>
        <v>48</v>
      </c>
      <c r="Q2410" s="4">
        <f t="shared" si="186"/>
        <v>0.74331550802139035</v>
      </c>
      <c r="R2410" s="2" t="str">
        <f t="shared" si="187"/>
        <v>Inefficient</v>
      </c>
      <c r="S2410" s="2" t="str">
        <f t="shared" si="188"/>
        <v>Very Long</v>
      </c>
      <c r="T2410" s="2" t="str">
        <f t="shared" si="189"/>
        <v>Major Delay</v>
      </c>
    </row>
    <row r="2411" spans="1:20" x14ac:dyDescent="0.35">
      <c r="A2411" s="2" t="s">
        <v>5005</v>
      </c>
      <c r="B2411" s="2" t="s">
        <v>31</v>
      </c>
      <c r="C2411" s="2" t="s">
        <v>5006</v>
      </c>
      <c r="D2411" s="2" t="s">
        <v>48</v>
      </c>
      <c r="E2411" s="2" t="s">
        <v>38</v>
      </c>
      <c r="F2411" s="2" t="s">
        <v>39</v>
      </c>
      <c r="G2411" s="2" t="s">
        <v>810</v>
      </c>
      <c r="H2411" s="3">
        <v>45584.909722222219</v>
      </c>
      <c r="I2411" s="3">
        <v>45585.069444444445</v>
      </c>
      <c r="J2411" s="2">
        <v>136</v>
      </c>
      <c r="K2411" s="2">
        <v>230</v>
      </c>
      <c r="L2411" s="2">
        <v>1</v>
      </c>
      <c r="M2411" s="2" t="s">
        <v>22</v>
      </c>
      <c r="N2411" s="2">
        <v>8</v>
      </c>
      <c r="O2411" s="2">
        <v>481.44</v>
      </c>
      <c r="P2411" s="2">
        <f t="shared" si="185"/>
        <v>94</v>
      </c>
      <c r="Q2411" s="4">
        <f t="shared" si="186"/>
        <v>0.59130434782608698</v>
      </c>
      <c r="R2411" s="2" t="str">
        <f t="shared" si="187"/>
        <v>Inefficient</v>
      </c>
      <c r="S2411" s="2" t="str">
        <f t="shared" si="188"/>
        <v>Very Long</v>
      </c>
      <c r="T2411" s="2" t="str">
        <f t="shared" si="189"/>
        <v>Major Delay</v>
      </c>
    </row>
    <row r="2412" spans="1:20" x14ac:dyDescent="0.35">
      <c r="A2412" s="2" t="s">
        <v>5007</v>
      </c>
      <c r="B2412" s="2" t="s">
        <v>51</v>
      </c>
      <c r="C2412" s="2" t="s">
        <v>5008</v>
      </c>
      <c r="D2412" s="2" t="s">
        <v>56</v>
      </c>
      <c r="E2412" s="2" t="s">
        <v>33</v>
      </c>
      <c r="F2412" s="2" t="s">
        <v>27</v>
      </c>
      <c r="G2412" s="2" t="s">
        <v>321</v>
      </c>
      <c r="H2412" s="3">
        <v>45404.020833333336</v>
      </c>
      <c r="I2412" s="3">
        <v>45404.088194444441</v>
      </c>
      <c r="J2412" s="2">
        <v>52</v>
      </c>
      <c r="K2412" s="2">
        <v>97</v>
      </c>
      <c r="L2412" s="2">
        <v>1</v>
      </c>
      <c r="M2412" s="2" t="s">
        <v>29</v>
      </c>
      <c r="N2412" s="2">
        <v>4</v>
      </c>
      <c r="O2412" s="2">
        <v>440.85</v>
      </c>
      <c r="P2412" s="2">
        <f t="shared" si="185"/>
        <v>45</v>
      </c>
      <c r="Q2412" s="4">
        <f t="shared" si="186"/>
        <v>0.53608247422680411</v>
      </c>
      <c r="R2412" s="2" t="str">
        <f t="shared" si="187"/>
        <v>Inefficient</v>
      </c>
      <c r="S2412" s="2" t="str">
        <f t="shared" si="188"/>
        <v>Long</v>
      </c>
      <c r="T2412" s="2" t="str">
        <f t="shared" si="189"/>
        <v>Major Delay</v>
      </c>
    </row>
    <row r="2413" spans="1:20" x14ac:dyDescent="0.35">
      <c r="A2413" s="2" t="s">
        <v>5009</v>
      </c>
      <c r="B2413" s="2" t="s">
        <v>16</v>
      </c>
      <c r="C2413" s="2" t="s">
        <v>5010</v>
      </c>
      <c r="D2413" s="2" t="s">
        <v>56</v>
      </c>
      <c r="E2413" s="2" t="s">
        <v>38</v>
      </c>
      <c r="F2413" s="2" t="s">
        <v>20</v>
      </c>
      <c r="G2413" s="2" t="s">
        <v>35</v>
      </c>
      <c r="H2413" s="3">
        <v>45615.286111111112</v>
      </c>
      <c r="I2413" s="3">
        <v>45615.359722222223</v>
      </c>
      <c r="J2413" s="2">
        <v>91</v>
      </c>
      <c r="K2413" s="2">
        <v>106</v>
      </c>
      <c r="L2413" s="2">
        <v>1</v>
      </c>
      <c r="M2413" s="2" t="s">
        <v>29</v>
      </c>
      <c r="N2413" s="2">
        <v>3</v>
      </c>
      <c r="O2413" s="2">
        <v>411.2</v>
      </c>
      <c r="P2413" s="2">
        <f t="shared" si="185"/>
        <v>15</v>
      </c>
      <c r="Q2413" s="4">
        <f t="shared" si="186"/>
        <v>0.85849056603773588</v>
      </c>
      <c r="R2413" s="2" t="str">
        <f t="shared" si="187"/>
        <v>Inefficient</v>
      </c>
      <c r="S2413" s="2" t="str">
        <f t="shared" si="188"/>
        <v>Long</v>
      </c>
      <c r="T2413" s="2" t="str">
        <f t="shared" si="189"/>
        <v>Minor Delay</v>
      </c>
    </row>
    <row r="2414" spans="1:20" x14ac:dyDescent="0.35">
      <c r="A2414" s="2" t="s">
        <v>5011</v>
      </c>
      <c r="B2414" s="2" t="s">
        <v>51</v>
      </c>
      <c r="C2414" s="2" t="s">
        <v>5012</v>
      </c>
      <c r="D2414" s="2" t="s">
        <v>18</v>
      </c>
      <c r="E2414" s="2" t="s">
        <v>19</v>
      </c>
      <c r="F2414" s="2" t="s">
        <v>34</v>
      </c>
      <c r="G2414" s="2" t="s">
        <v>152</v>
      </c>
      <c r="H2414" s="3">
        <v>45546.831250000003</v>
      </c>
      <c r="I2414" s="3">
        <v>45547.043749999997</v>
      </c>
      <c r="J2414" s="2">
        <v>226</v>
      </c>
      <c r="K2414" s="2">
        <v>306</v>
      </c>
      <c r="L2414" s="2">
        <v>1</v>
      </c>
      <c r="M2414" s="2" t="s">
        <v>22</v>
      </c>
      <c r="N2414" s="2">
        <v>6</v>
      </c>
      <c r="O2414" s="2">
        <v>261.2</v>
      </c>
      <c r="P2414" s="2">
        <f t="shared" si="185"/>
        <v>80</v>
      </c>
      <c r="Q2414" s="4">
        <f t="shared" si="186"/>
        <v>0.73856209150326801</v>
      </c>
      <c r="R2414" s="2" t="str">
        <f t="shared" si="187"/>
        <v>Inefficient</v>
      </c>
      <c r="S2414" s="2" t="str">
        <f t="shared" si="188"/>
        <v>Very Long</v>
      </c>
      <c r="T2414" s="2" t="str">
        <f t="shared" si="189"/>
        <v>Major Delay</v>
      </c>
    </row>
    <row r="2415" spans="1:20" x14ac:dyDescent="0.35">
      <c r="A2415" s="2" t="s">
        <v>5013</v>
      </c>
      <c r="B2415" s="2" t="s">
        <v>24</v>
      </c>
      <c r="C2415" s="2" t="s">
        <v>5014</v>
      </c>
      <c r="D2415" s="2" t="s">
        <v>18</v>
      </c>
      <c r="E2415" s="2" t="s">
        <v>38</v>
      </c>
      <c r="F2415" s="2" t="s">
        <v>27</v>
      </c>
      <c r="G2415" s="2" t="s">
        <v>288</v>
      </c>
      <c r="H2415" s="3">
        <v>45473.725694444445</v>
      </c>
      <c r="I2415" s="3">
        <v>45473.946527777778</v>
      </c>
      <c r="J2415" s="2">
        <v>224</v>
      </c>
      <c r="K2415" s="2">
        <v>318</v>
      </c>
      <c r="L2415" s="2">
        <v>1</v>
      </c>
      <c r="M2415" s="2" t="s">
        <v>29</v>
      </c>
      <c r="N2415" s="2">
        <v>3</v>
      </c>
      <c r="O2415" s="2">
        <v>418.32</v>
      </c>
      <c r="P2415" s="2">
        <f t="shared" si="185"/>
        <v>94</v>
      </c>
      <c r="Q2415" s="4">
        <f t="shared" si="186"/>
        <v>0.70440251572327039</v>
      </c>
      <c r="R2415" s="2" t="str">
        <f t="shared" si="187"/>
        <v>Inefficient</v>
      </c>
      <c r="S2415" s="2" t="str">
        <f t="shared" si="188"/>
        <v>Very Long</v>
      </c>
      <c r="T2415" s="2" t="str">
        <f t="shared" si="189"/>
        <v>Major Delay</v>
      </c>
    </row>
    <row r="2416" spans="1:20" x14ac:dyDescent="0.35">
      <c r="A2416" s="2" t="s">
        <v>5015</v>
      </c>
      <c r="B2416" s="2" t="s">
        <v>24</v>
      </c>
      <c r="C2416" s="2" t="s">
        <v>5016</v>
      </c>
      <c r="D2416" s="2" t="s">
        <v>44</v>
      </c>
      <c r="E2416" s="2" t="s">
        <v>85</v>
      </c>
      <c r="F2416" s="2" t="s">
        <v>57</v>
      </c>
      <c r="G2416" s="2" t="s">
        <v>418</v>
      </c>
      <c r="H2416" s="3">
        <v>45400.67083333333</v>
      </c>
      <c r="I2416" s="3">
        <v>45400.844444444447</v>
      </c>
      <c r="J2416" s="2">
        <v>135</v>
      </c>
      <c r="K2416" s="2">
        <v>250</v>
      </c>
      <c r="L2416" s="2">
        <v>1</v>
      </c>
      <c r="M2416" s="2" t="s">
        <v>29</v>
      </c>
      <c r="N2416" s="2">
        <v>6</v>
      </c>
      <c r="O2416" s="2">
        <v>462.71</v>
      </c>
      <c r="P2416" s="2">
        <f t="shared" si="185"/>
        <v>115</v>
      </c>
      <c r="Q2416" s="4">
        <f t="shared" si="186"/>
        <v>0.54</v>
      </c>
      <c r="R2416" s="2" t="str">
        <f t="shared" si="187"/>
        <v>Inefficient</v>
      </c>
      <c r="S2416" s="2" t="str">
        <f t="shared" si="188"/>
        <v>Very Long</v>
      </c>
      <c r="T2416" s="2" t="str">
        <f t="shared" si="189"/>
        <v>Major Delay</v>
      </c>
    </row>
    <row r="2417" spans="1:20" x14ac:dyDescent="0.35">
      <c r="A2417" s="2" t="s">
        <v>5017</v>
      </c>
      <c r="B2417" s="2" t="s">
        <v>63</v>
      </c>
      <c r="C2417" s="2" t="s">
        <v>5018</v>
      </c>
      <c r="D2417" s="2" t="s">
        <v>56</v>
      </c>
      <c r="E2417" s="2" t="s">
        <v>33</v>
      </c>
      <c r="F2417" s="2" t="s">
        <v>34</v>
      </c>
      <c r="G2417" s="2" t="s">
        <v>681</v>
      </c>
      <c r="H2417" s="3">
        <v>45570.434027777781</v>
      </c>
      <c r="I2417" s="3">
        <v>45570.564583333333</v>
      </c>
      <c r="J2417" s="2">
        <v>156</v>
      </c>
      <c r="K2417" s="2">
        <v>188</v>
      </c>
      <c r="L2417" s="2">
        <v>1</v>
      </c>
      <c r="M2417" s="2" t="s">
        <v>29</v>
      </c>
      <c r="N2417" s="2">
        <v>3</v>
      </c>
      <c r="O2417" s="2">
        <v>363.73</v>
      </c>
      <c r="P2417" s="2">
        <f t="shared" si="185"/>
        <v>32</v>
      </c>
      <c r="Q2417" s="4">
        <f t="shared" si="186"/>
        <v>0.82978723404255317</v>
      </c>
      <c r="R2417" s="2" t="str">
        <f t="shared" si="187"/>
        <v>Inefficient</v>
      </c>
      <c r="S2417" s="2" t="str">
        <f t="shared" si="188"/>
        <v>Very Long</v>
      </c>
      <c r="T2417" s="2" t="str">
        <f t="shared" si="189"/>
        <v>Major Delay</v>
      </c>
    </row>
    <row r="2418" spans="1:20" x14ac:dyDescent="0.35">
      <c r="A2418" s="2" t="s">
        <v>5019</v>
      </c>
      <c r="B2418" s="2" t="s">
        <v>16</v>
      </c>
      <c r="C2418" s="2" t="s">
        <v>5020</v>
      </c>
      <c r="D2418" s="2" t="s">
        <v>26</v>
      </c>
      <c r="E2418" s="2" t="s">
        <v>38</v>
      </c>
      <c r="F2418" s="2" t="s">
        <v>27</v>
      </c>
      <c r="G2418" s="2" t="s">
        <v>288</v>
      </c>
      <c r="H2418" s="3">
        <v>45544.444444444445</v>
      </c>
      <c r="I2418" s="3">
        <v>45544.557638888888</v>
      </c>
      <c r="J2418" s="2">
        <v>84</v>
      </c>
      <c r="K2418" s="2">
        <v>163</v>
      </c>
      <c r="L2418" s="2">
        <v>1</v>
      </c>
      <c r="M2418" s="2" t="s">
        <v>29</v>
      </c>
      <c r="N2418" s="2">
        <v>1</v>
      </c>
      <c r="O2418" s="2">
        <v>286.62</v>
      </c>
      <c r="P2418" s="2">
        <f t="shared" si="185"/>
        <v>79</v>
      </c>
      <c r="Q2418" s="4">
        <f t="shared" si="186"/>
        <v>0.51533742331288346</v>
      </c>
      <c r="R2418" s="2" t="str">
        <f t="shared" si="187"/>
        <v>Inefficient</v>
      </c>
      <c r="S2418" s="2" t="str">
        <f t="shared" si="188"/>
        <v>Very Long</v>
      </c>
      <c r="T2418" s="2" t="str">
        <f t="shared" si="189"/>
        <v>Major Delay</v>
      </c>
    </row>
    <row r="2419" spans="1:20" x14ac:dyDescent="0.35">
      <c r="A2419" s="2" t="s">
        <v>5021</v>
      </c>
      <c r="B2419" s="2" t="s">
        <v>31</v>
      </c>
      <c r="C2419" s="2" t="s">
        <v>5022</v>
      </c>
      <c r="D2419" s="2" t="s">
        <v>26</v>
      </c>
      <c r="E2419" s="2" t="s">
        <v>19</v>
      </c>
      <c r="F2419" s="2" t="s">
        <v>57</v>
      </c>
      <c r="G2419" s="2" t="s">
        <v>240</v>
      </c>
      <c r="H2419" s="3">
        <v>45589.548611111109</v>
      </c>
      <c r="I2419" s="3">
        <v>45589.672222222223</v>
      </c>
      <c r="J2419" s="2">
        <v>171</v>
      </c>
      <c r="K2419" s="2">
        <v>178</v>
      </c>
      <c r="L2419" s="2">
        <v>1</v>
      </c>
      <c r="M2419" s="2" t="s">
        <v>22</v>
      </c>
      <c r="N2419" s="2">
        <v>10</v>
      </c>
      <c r="O2419" s="2">
        <v>360.38</v>
      </c>
      <c r="P2419" s="2">
        <f t="shared" si="185"/>
        <v>7</v>
      </c>
      <c r="Q2419" s="4">
        <f t="shared" si="186"/>
        <v>0.9606741573033708</v>
      </c>
      <c r="R2419" s="2" t="str">
        <f t="shared" si="187"/>
        <v>Inefficient</v>
      </c>
      <c r="S2419" s="2" t="str">
        <f t="shared" si="188"/>
        <v>Very Long</v>
      </c>
      <c r="T2419" s="2" t="str">
        <f t="shared" si="189"/>
        <v>Minor Delay</v>
      </c>
    </row>
    <row r="2420" spans="1:20" x14ac:dyDescent="0.35">
      <c r="A2420" s="2" t="s">
        <v>5023</v>
      </c>
      <c r="B2420" s="2" t="s">
        <v>63</v>
      </c>
      <c r="C2420" s="2" t="s">
        <v>5024</v>
      </c>
      <c r="D2420" s="2" t="s">
        <v>44</v>
      </c>
      <c r="E2420" s="2" t="s">
        <v>19</v>
      </c>
      <c r="F2420" s="2" t="s">
        <v>27</v>
      </c>
      <c r="G2420" s="2" t="s">
        <v>28</v>
      </c>
      <c r="H2420" s="3">
        <v>45391.42291666667</v>
      </c>
      <c r="I2420" s="3">
        <v>45391.55972222222</v>
      </c>
      <c r="J2420" s="2">
        <v>184</v>
      </c>
      <c r="K2420" s="2">
        <v>197</v>
      </c>
      <c r="L2420" s="2">
        <v>1</v>
      </c>
      <c r="M2420" s="2" t="s">
        <v>41</v>
      </c>
      <c r="N2420" s="2">
        <v>10</v>
      </c>
      <c r="O2420" s="2">
        <v>377.54</v>
      </c>
      <c r="P2420" s="2">
        <f t="shared" si="185"/>
        <v>13</v>
      </c>
      <c r="Q2420" s="4">
        <f t="shared" si="186"/>
        <v>0.93401015228426398</v>
      </c>
      <c r="R2420" s="2" t="str">
        <f t="shared" si="187"/>
        <v>Inefficient</v>
      </c>
      <c r="S2420" s="2" t="str">
        <f t="shared" si="188"/>
        <v>Very Long</v>
      </c>
      <c r="T2420" s="2" t="str">
        <f t="shared" si="189"/>
        <v>Minor Delay</v>
      </c>
    </row>
    <row r="2421" spans="1:20" x14ac:dyDescent="0.35">
      <c r="A2421" s="2" t="s">
        <v>5025</v>
      </c>
      <c r="B2421" s="2" t="s">
        <v>51</v>
      </c>
      <c r="C2421" s="2" t="s">
        <v>5026</v>
      </c>
      <c r="D2421" s="2" t="s">
        <v>26</v>
      </c>
      <c r="E2421" s="2" t="s">
        <v>85</v>
      </c>
      <c r="F2421" s="2" t="s">
        <v>27</v>
      </c>
      <c r="G2421" s="2" t="s">
        <v>485</v>
      </c>
      <c r="H2421" s="3">
        <v>45304.129861111112</v>
      </c>
      <c r="I2421" s="3">
        <v>45304.227083333331</v>
      </c>
      <c r="J2421" s="2">
        <v>127</v>
      </c>
      <c r="K2421" s="2">
        <v>140</v>
      </c>
      <c r="L2421" s="2">
        <v>1</v>
      </c>
      <c r="M2421" s="2" t="s">
        <v>29</v>
      </c>
      <c r="N2421" s="2">
        <v>9</v>
      </c>
      <c r="O2421" s="2">
        <v>279.62</v>
      </c>
      <c r="P2421" s="2">
        <f t="shared" si="185"/>
        <v>13</v>
      </c>
      <c r="Q2421" s="4">
        <f t="shared" si="186"/>
        <v>0.90714285714285714</v>
      </c>
      <c r="R2421" s="2" t="str">
        <f t="shared" si="187"/>
        <v>Inefficient</v>
      </c>
      <c r="S2421" s="2" t="str">
        <f t="shared" si="188"/>
        <v>Very Long</v>
      </c>
      <c r="T2421" s="2" t="str">
        <f t="shared" si="189"/>
        <v>Minor Delay</v>
      </c>
    </row>
    <row r="2422" spans="1:20" x14ac:dyDescent="0.35">
      <c r="A2422" s="2" t="s">
        <v>5027</v>
      </c>
      <c r="B2422" s="2" t="s">
        <v>16</v>
      </c>
      <c r="C2422" s="2" t="s">
        <v>5028</v>
      </c>
      <c r="D2422" s="2" t="s">
        <v>56</v>
      </c>
      <c r="E2422" s="2" t="s">
        <v>85</v>
      </c>
      <c r="F2422" s="2" t="s">
        <v>20</v>
      </c>
      <c r="G2422" s="2" t="s">
        <v>700</v>
      </c>
      <c r="H2422" s="3">
        <v>45503.942361111112</v>
      </c>
      <c r="I2422" s="3">
        <v>45504.097916666666</v>
      </c>
      <c r="J2422" s="2">
        <v>114</v>
      </c>
      <c r="K2422" s="2">
        <v>224</v>
      </c>
      <c r="L2422" s="2">
        <v>1</v>
      </c>
      <c r="M2422" s="2" t="s">
        <v>29</v>
      </c>
      <c r="N2422" s="2">
        <v>10</v>
      </c>
      <c r="O2422" s="2">
        <v>486.64</v>
      </c>
      <c r="P2422" s="2">
        <f t="shared" si="185"/>
        <v>110</v>
      </c>
      <c r="Q2422" s="4">
        <f t="shared" si="186"/>
        <v>0.5089285714285714</v>
      </c>
      <c r="R2422" s="2" t="str">
        <f t="shared" si="187"/>
        <v>Inefficient</v>
      </c>
      <c r="S2422" s="2" t="str">
        <f t="shared" si="188"/>
        <v>Very Long</v>
      </c>
      <c r="T2422" s="2" t="str">
        <f t="shared" si="189"/>
        <v>Major Delay</v>
      </c>
    </row>
    <row r="2423" spans="1:20" x14ac:dyDescent="0.35">
      <c r="A2423" s="2" t="s">
        <v>5029</v>
      </c>
      <c r="B2423" s="2" t="s">
        <v>31</v>
      </c>
      <c r="C2423" s="2" t="s">
        <v>5030</v>
      </c>
      <c r="D2423" s="2" t="s">
        <v>44</v>
      </c>
      <c r="E2423" s="2" t="s">
        <v>38</v>
      </c>
      <c r="F2423" s="2" t="s">
        <v>34</v>
      </c>
      <c r="G2423" s="2" t="s">
        <v>114</v>
      </c>
      <c r="H2423" s="3">
        <v>45470.499305555553</v>
      </c>
      <c r="I2423" s="3">
        <v>45470.542361111111</v>
      </c>
      <c r="J2423" s="2">
        <v>27</v>
      </c>
      <c r="K2423" s="2">
        <v>62</v>
      </c>
      <c r="L2423" s="2">
        <v>1</v>
      </c>
      <c r="M2423" s="2" t="s">
        <v>41</v>
      </c>
      <c r="N2423" s="2">
        <v>4</v>
      </c>
      <c r="O2423" s="2">
        <v>123.5</v>
      </c>
      <c r="P2423" s="2">
        <f t="shared" si="185"/>
        <v>35</v>
      </c>
      <c r="Q2423" s="4">
        <f t="shared" si="186"/>
        <v>0.43548387096774194</v>
      </c>
      <c r="R2423" s="2" t="str">
        <f t="shared" si="187"/>
        <v>Inefficient</v>
      </c>
      <c r="S2423" s="2" t="str">
        <f t="shared" si="188"/>
        <v>Long</v>
      </c>
      <c r="T2423" s="2" t="str">
        <f t="shared" si="189"/>
        <v>Major Delay</v>
      </c>
    </row>
    <row r="2424" spans="1:20" x14ac:dyDescent="0.35">
      <c r="A2424" s="2" t="s">
        <v>5031</v>
      </c>
      <c r="B2424" s="2" t="s">
        <v>31</v>
      </c>
      <c r="C2424" s="2" t="s">
        <v>5032</v>
      </c>
      <c r="D2424" s="2" t="s">
        <v>18</v>
      </c>
      <c r="E2424" s="2" t="s">
        <v>38</v>
      </c>
      <c r="F2424" s="2" t="s">
        <v>27</v>
      </c>
      <c r="G2424" s="2" t="s">
        <v>155</v>
      </c>
      <c r="H2424" s="3">
        <v>45647.368055555555</v>
      </c>
      <c r="I2424" s="3">
        <v>45647.599305555559</v>
      </c>
      <c r="J2424" s="2">
        <v>223</v>
      </c>
      <c r="K2424" s="2">
        <v>333</v>
      </c>
      <c r="L2424" s="2">
        <v>1</v>
      </c>
      <c r="M2424" s="2" t="s">
        <v>22</v>
      </c>
      <c r="N2424" s="2">
        <v>8</v>
      </c>
      <c r="O2424" s="2">
        <v>59.92</v>
      </c>
      <c r="P2424" s="2">
        <f t="shared" si="185"/>
        <v>110</v>
      </c>
      <c r="Q2424" s="4">
        <f t="shared" si="186"/>
        <v>0.66966966966966968</v>
      </c>
      <c r="R2424" s="2" t="str">
        <f t="shared" si="187"/>
        <v>Inefficient</v>
      </c>
      <c r="S2424" s="2" t="str">
        <f t="shared" si="188"/>
        <v>Very Long</v>
      </c>
      <c r="T2424" s="2" t="str">
        <f t="shared" si="189"/>
        <v>Major Delay</v>
      </c>
    </row>
    <row r="2425" spans="1:20" x14ac:dyDescent="0.35">
      <c r="A2425" s="2" t="s">
        <v>5033</v>
      </c>
      <c r="B2425" s="2" t="s">
        <v>16</v>
      </c>
      <c r="C2425" s="2" t="s">
        <v>5034</v>
      </c>
      <c r="D2425" s="2" t="s">
        <v>18</v>
      </c>
      <c r="E2425" s="2" t="s">
        <v>19</v>
      </c>
      <c r="F2425" s="2" t="s">
        <v>34</v>
      </c>
      <c r="G2425" s="2" t="s">
        <v>293</v>
      </c>
      <c r="H2425" s="3">
        <v>45510.354861111111</v>
      </c>
      <c r="I2425" s="3">
        <v>45510.499305555553</v>
      </c>
      <c r="J2425" s="2">
        <v>134</v>
      </c>
      <c r="K2425" s="2">
        <v>208</v>
      </c>
      <c r="L2425" s="2">
        <v>1</v>
      </c>
      <c r="M2425" s="2" t="s">
        <v>29</v>
      </c>
      <c r="N2425" s="2">
        <v>9</v>
      </c>
      <c r="O2425" s="2">
        <v>137.96</v>
      </c>
      <c r="P2425" s="2">
        <f t="shared" si="185"/>
        <v>74</v>
      </c>
      <c r="Q2425" s="4">
        <f t="shared" si="186"/>
        <v>0.64423076923076927</v>
      </c>
      <c r="R2425" s="2" t="str">
        <f t="shared" si="187"/>
        <v>Inefficient</v>
      </c>
      <c r="S2425" s="2" t="str">
        <f t="shared" si="188"/>
        <v>Very Long</v>
      </c>
      <c r="T2425" s="2" t="str">
        <f t="shared" si="189"/>
        <v>Major Delay</v>
      </c>
    </row>
    <row r="2426" spans="1:20" x14ac:dyDescent="0.35">
      <c r="A2426" s="2" t="s">
        <v>5035</v>
      </c>
      <c r="B2426" s="2" t="s">
        <v>24</v>
      </c>
      <c r="C2426" s="2" t="s">
        <v>5036</v>
      </c>
      <c r="D2426" s="2" t="s">
        <v>18</v>
      </c>
      <c r="E2426" s="2" t="s">
        <v>19</v>
      </c>
      <c r="F2426" s="2" t="s">
        <v>34</v>
      </c>
      <c r="G2426" s="2" t="s">
        <v>155</v>
      </c>
      <c r="H2426" s="3">
        <v>45402.486805555556</v>
      </c>
      <c r="I2426" s="3">
        <v>45402.663194444445</v>
      </c>
      <c r="J2426" s="2">
        <v>157</v>
      </c>
      <c r="K2426" s="2">
        <v>254</v>
      </c>
      <c r="L2426" s="2">
        <v>1</v>
      </c>
      <c r="M2426" s="2" t="s">
        <v>29</v>
      </c>
      <c r="N2426" s="2">
        <v>3</v>
      </c>
      <c r="O2426" s="2">
        <v>452.55</v>
      </c>
      <c r="P2426" s="2">
        <f t="shared" si="185"/>
        <v>97</v>
      </c>
      <c r="Q2426" s="4">
        <f t="shared" si="186"/>
        <v>0.61811023622047245</v>
      </c>
      <c r="R2426" s="2" t="str">
        <f t="shared" si="187"/>
        <v>Inefficient</v>
      </c>
      <c r="S2426" s="2" t="str">
        <f t="shared" si="188"/>
        <v>Very Long</v>
      </c>
      <c r="T2426" s="2" t="str">
        <f t="shared" si="189"/>
        <v>Major Delay</v>
      </c>
    </row>
    <row r="2427" spans="1:20" x14ac:dyDescent="0.35">
      <c r="A2427" s="2" t="s">
        <v>5037</v>
      </c>
      <c r="B2427" s="2" t="s">
        <v>24</v>
      </c>
      <c r="C2427" s="2" t="s">
        <v>5038</v>
      </c>
      <c r="D2427" s="2" t="s">
        <v>44</v>
      </c>
      <c r="E2427" s="2" t="s">
        <v>19</v>
      </c>
      <c r="F2427" s="2" t="s">
        <v>39</v>
      </c>
      <c r="G2427" s="2" t="s">
        <v>161</v>
      </c>
      <c r="H2427" s="3">
        <v>45476.377083333333</v>
      </c>
      <c r="I2427" s="3">
        <v>45476.525694444441</v>
      </c>
      <c r="J2427" s="2">
        <v>206</v>
      </c>
      <c r="K2427" s="2">
        <v>214</v>
      </c>
      <c r="L2427" s="2">
        <v>1</v>
      </c>
      <c r="M2427" s="2" t="s">
        <v>22</v>
      </c>
      <c r="N2427" s="2">
        <v>6</v>
      </c>
      <c r="O2427" s="2">
        <v>241.59</v>
      </c>
      <c r="P2427" s="2">
        <f t="shared" si="185"/>
        <v>8</v>
      </c>
      <c r="Q2427" s="4">
        <f t="shared" si="186"/>
        <v>0.96261682242990654</v>
      </c>
      <c r="R2427" s="2" t="str">
        <f t="shared" si="187"/>
        <v>Inefficient</v>
      </c>
      <c r="S2427" s="2" t="str">
        <f t="shared" si="188"/>
        <v>Very Long</v>
      </c>
      <c r="T2427" s="2" t="str">
        <f t="shared" si="189"/>
        <v>Minor Delay</v>
      </c>
    </row>
    <row r="2428" spans="1:20" x14ac:dyDescent="0.35">
      <c r="A2428" s="2" t="s">
        <v>5039</v>
      </c>
      <c r="B2428" s="2" t="s">
        <v>31</v>
      </c>
      <c r="C2428" s="2" t="s">
        <v>5040</v>
      </c>
      <c r="D2428" s="2" t="s">
        <v>56</v>
      </c>
      <c r="E2428" s="2" t="s">
        <v>33</v>
      </c>
      <c r="F2428" s="2" t="s">
        <v>39</v>
      </c>
      <c r="G2428" s="2" t="s">
        <v>691</v>
      </c>
      <c r="H2428" s="3">
        <v>45558.019444444442</v>
      </c>
      <c r="I2428" s="3">
        <v>45558.107638888891</v>
      </c>
      <c r="J2428" s="2">
        <v>43</v>
      </c>
      <c r="K2428" s="2">
        <v>127</v>
      </c>
      <c r="L2428" s="2">
        <v>1</v>
      </c>
      <c r="M2428" s="2" t="s">
        <v>41</v>
      </c>
      <c r="N2428" s="2">
        <v>1</v>
      </c>
      <c r="O2428" s="2">
        <v>455.06</v>
      </c>
      <c r="P2428" s="2">
        <f t="shared" si="185"/>
        <v>84</v>
      </c>
      <c r="Q2428" s="4">
        <f t="shared" si="186"/>
        <v>0.33858267716535434</v>
      </c>
      <c r="R2428" s="2" t="str">
        <f t="shared" si="187"/>
        <v>Inefficient</v>
      </c>
      <c r="S2428" s="2" t="str">
        <f t="shared" si="188"/>
        <v>Very Long</v>
      </c>
      <c r="T2428" s="2" t="str">
        <f t="shared" si="189"/>
        <v>Major Delay</v>
      </c>
    </row>
    <row r="2429" spans="1:20" x14ac:dyDescent="0.35">
      <c r="A2429" s="2" t="s">
        <v>5041</v>
      </c>
      <c r="B2429" s="2" t="s">
        <v>16</v>
      </c>
      <c r="C2429" s="2" t="s">
        <v>5042</v>
      </c>
      <c r="D2429" s="2" t="s">
        <v>18</v>
      </c>
      <c r="E2429" s="2" t="s">
        <v>33</v>
      </c>
      <c r="F2429" s="2" t="s">
        <v>27</v>
      </c>
      <c r="G2429" s="2" t="s">
        <v>397</v>
      </c>
      <c r="H2429" s="3">
        <v>45614.385416666664</v>
      </c>
      <c r="I2429" s="3">
        <v>45614.501388888886</v>
      </c>
      <c r="J2429" s="2">
        <v>158</v>
      </c>
      <c r="K2429" s="2">
        <v>167</v>
      </c>
      <c r="L2429" s="2">
        <v>1</v>
      </c>
      <c r="M2429" s="2" t="s">
        <v>22</v>
      </c>
      <c r="N2429" s="2">
        <v>7</v>
      </c>
      <c r="O2429" s="2">
        <v>196.93</v>
      </c>
      <c r="P2429" s="2">
        <f t="shared" si="185"/>
        <v>9</v>
      </c>
      <c r="Q2429" s="4">
        <f t="shared" si="186"/>
        <v>0.94610778443113774</v>
      </c>
      <c r="R2429" s="2" t="str">
        <f t="shared" si="187"/>
        <v>Inefficient</v>
      </c>
      <c r="S2429" s="2" t="str">
        <f t="shared" si="188"/>
        <v>Very Long</v>
      </c>
      <c r="T2429" s="2" t="str">
        <f t="shared" si="189"/>
        <v>Minor Delay</v>
      </c>
    </row>
    <row r="2430" spans="1:20" x14ac:dyDescent="0.35">
      <c r="A2430" s="2" t="s">
        <v>5043</v>
      </c>
      <c r="B2430" s="2" t="s">
        <v>63</v>
      </c>
      <c r="C2430" s="2" t="s">
        <v>5044</v>
      </c>
      <c r="D2430" s="2" t="s">
        <v>48</v>
      </c>
      <c r="E2430" s="2" t="s">
        <v>85</v>
      </c>
      <c r="F2430" s="2" t="s">
        <v>34</v>
      </c>
      <c r="G2430" s="2" t="s">
        <v>28</v>
      </c>
      <c r="H2430" s="3">
        <v>45454.955555555556</v>
      </c>
      <c r="I2430" s="3">
        <v>45455.1875</v>
      </c>
      <c r="J2430" s="2">
        <v>229</v>
      </c>
      <c r="K2430" s="2">
        <v>334</v>
      </c>
      <c r="L2430" s="2">
        <v>1</v>
      </c>
      <c r="M2430" s="2" t="s">
        <v>41</v>
      </c>
      <c r="N2430" s="2">
        <v>5</v>
      </c>
      <c r="O2430" s="2">
        <v>220.48</v>
      </c>
      <c r="P2430" s="2">
        <f t="shared" si="185"/>
        <v>105</v>
      </c>
      <c r="Q2430" s="4">
        <f t="shared" si="186"/>
        <v>0.68562874251497008</v>
      </c>
      <c r="R2430" s="2" t="str">
        <f t="shared" si="187"/>
        <v>Inefficient</v>
      </c>
      <c r="S2430" s="2" t="str">
        <f t="shared" si="188"/>
        <v>Very Long</v>
      </c>
      <c r="T2430" s="2" t="str">
        <f t="shared" si="189"/>
        <v>Major Delay</v>
      </c>
    </row>
    <row r="2431" spans="1:20" x14ac:dyDescent="0.35">
      <c r="A2431" s="2" t="s">
        <v>5045</v>
      </c>
      <c r="B2431" s="2" t="s">
        <v>24</v>
      </c>
      <c r="C2431" s="2" t="s">
        <v>5046</v>
      </c>
      <c r="D2431" s="2" t="s">
        <v>48</v>
      </c>
      <c r="E2431" s="2" t="s">
        <v>33</v>
      </c>
      <c r="F2431" s="2" t="s">
        <v>20</v>
      </c>
      <c r="G2431" s="2" t="s">
        <v>111</v>
      </c>
      <c r="H2431" s="3">
        <v>45543.692361111112</v>
      </c>
      <c r="I2431" s="3">
        <v>45543.854166666664</v>
      </c>
      <c r="J2431" s="2">
        <v>178</v>
      </c>
      <c r="K2431" s="2">
        <v>233</v>
      </c>
      <c r="L2431" s="2">
        <v>1</v>
      </c>
      <c r="M2431" s="2" t="s">
        <v>41</v>
      </c>
      <c r="N2431" s="2">
        <v>6</v>
      </c>
      <c r="O2431" s="2">
        <v>389.28</v>
      </c>
      <c r="P2431" s="2">
        <f t="shared" si="185"/>
        <v>55</v>
      </c>
      <c r="Q2431" s="4">
        <f t="shared" si="186"/>
        <v>0.76394849785407726</v>
      </c>
      <c r="R2431" s="2" t="str">
        <f t="shared" si="187"/>
        <v>Inefficient</v>
      </c>
      <c r="S2431" s="2" t="str">
        <f t="shared" si="188"/>
        <v>Very Long</v>
      </c>
      <c r="T2431" s="2" t="str">
        <f t="shared" si="189"/>
        <v>Major Delay</v>
      </c>
    </row>
    <row r="2432" spans="1:20" x14ac:dyDescent="0.35">
      <c r="A2432" s="2" t="s">
        <v>5047</v>
      </c>
      <c r="B2432" s="2" t="s">
        <v>31</v>
      </c>
      <c r="C2432" s="2" t="s">
        <v>5048</v>
      </c>
      <c r="D2432" s="2" t="s">
        <v>44</v>
      </c>
      <c r="E2432" s="2" t="s">
        <v>19</v>
      </c>
      <c r="F2432" s="2" t="s">
        <v>39</v>
      </c>
      <c r="G2432" s="2" t="s">
        <v>45</v>
      </c>
      <c r="H2432" s="3">
        <v>45589.302777777775</v>
      </c>
      <c r="I2432" s="3">
        <v>45589.426388888889</v>
      </c>
      <c r="J2432" s="2">
        <v>84</v>
      </c>
      <c r="K2432" s="2">
        <v>178</v>
      </c>
      <c r="L2432" s="2">
        <v>1</v>
      </c>
      <c r="M2432" s="2" t="s">
        <v>22</v>
      </c>
      <c r="N2432" s="2">
        <v>8</v>
      </c>
      <c r="O2432" s="2">
        <v>206.05</v>
      </c>
      <c r="P2432" s="2">
        <f t="shared" si="185"/>
        <v>94</v>
      </c>
      <c r="Q2432" s="4">
        <f t="shared" si="186"/>
        <v>0.47191011235955055</v>
      </c>
      <c r="R2432" s="2" t="str">
        <f t="shared" si="187"/>
        <v>Inefficient</v>
      </c>
      <c r="S2432" s="2" t="str">
        <f t="shared" si="188"/>
        <v>Very Long</v>
      </c>
      <c r="T2432" s="2" t="str">
        <f t="shared" si="189"/>
        <v>Major Delay</v>
      </c>
    </row>
    <row r="2433" spans="1:20" x14ac:dyDescent="0.35">
      <c r="A2433" s="2" t="s">
        <v>5049</v>
      </c>
      <c r="B2433" s="2" t="s">
        <v>24</v>
      </c>
      <c r="C2433" s="2" t="s">
        <v>5050</v>
      </c>
      <c r="D2433" s="2" t="s">
        <v>44</v>
      </c>
      <c r="E2433" s="2" t="s">
        <v>33</v>
      </c>
      <c r="F2433" s="2" t="s">
        <v>57</v>
      </c>
      <c r="G2433" s="2" t="s">
        <v>164</v>
      </c>
      <c r="H2433" s="3">
        <v>45477.125</v>
      </c>
      <c r="I2433" s="3">
        <v>45477.279861111114</v>
      </c>
      <c r="J2433" s="2">
        <v>220</v>
      </c>
      <c r="K2433" s="2">
        <v>223</v>
      </c>
      <c r="L2433" s="2">
        <v>1</v>
      </c>
      <c r="M2433" s="2" t="s">
        <v>41</v>
      </c>
      <c r="N2433" s="2">
        <v>8</v>
      </c>
      <c r="O2433" s="2">
        <v>293.45999999999998</v>
      </c>
      <c r="P2433" s="2">
        <f t="shared" si="185"/>
        <v>3</v>
      </c>
      <c r="Q2433" s="4">
        <f t="shared" si="186"/>
        <v>0.98654708520179368</v>
      </c>
      <c r="R2433" s="2" t="str">
        <f t="shared" si="187"/>
        <v>Inefficient</v>
      </c>
      <c r="S2433" s="2" t="str">
        <f t="shared" si="188"/>
        <v>Very Long</v>
      </c>
      <c r="T2433" s="2" t="str">
        <f t="shared" si="189"/>
        <v>Minor Delay</v>
      </c>
    </row>
    <row r="2434" spans="1:20" x14ac:dyDescent="0.35">
      <c r="A2434" s="2" t="s">
        <v>5051</v>
      </c>
      <c r="B2434" s="2" t="s">
        <v>51</v>
      </c>
      <c r="C2434" s="2" t="s">
        <v>5052</v>
      </c>
      <c r="D2434" s="2" t="s">
        <v>56</v>
      </c>
      <c r="E2434" s="2" t="s">
        <v>85</v>
      </c>
      <c r="F2434" s="2" t="s">
        <v>27</v>
      </c>
      <c r="G2434" s="2" t="s">
        <v>225</v>
      </c>
      <c r="H2434" s="3">
        <v>45313.676388888889</v>
      </c>
      <c r="I2434" s="3">
        <v>45313.759027777778</v>
      </c>
      <c r="J2434" s="2">
        <v>111</v>
      </c>
      <c r="K2434" s="2">
        <v>119</v>
      </c>
      <c r="L2434" s="2">
        <v>1</v>
      </c>
      <c r="M2434" s="2" t="s">
        <v>41</v>
      </c>
      <c r="N2434" s="2">
        <v>3</v>
      </c>
      <c r="O2434" s="2">
        <v>279.23</v>
      </c>
      <c r="P2434" s="2">
        <f t="shared" si="185"/>
        <v>8</v>
      </c>
      <c r="Q2434" s="4">
        <f t="shared" si="186"/>
        <v>0.9327731092436975</v>
      </c>
      <c r="R2434" s="2" t="str">
        <f t="shared" si="187"/>
        <v>Inefficient</v>
      </c>
      <c r="S2434" s="2" t="str">
        <f t="shared" si="188"/>
        <v>Long</v>
      </c>
      <c r="T2434" s="2" t="str">
        <f t="shared" si="189"/>
        <v>Minor Delay</v>
      </c>
    </row>
    <row r="2435" spans="1:20" x14ac:dyDescent="0.35">
      <c r="A2435" s="2" t="s">
        <v>5053</v>
      </c>
      <c r="B2435" s="2" t="s">
        <v>31</v>
      </c>
      <c r="C2435" s="2" t="s">
        <v>5054</v>
      </c>
      <c r="D2435" s="2" t="s">
        <v>48</v>
      </c>
      <c r="E2435" s="2" t="s">
        <v>19</v>
      </c>
      <c r="F2435" s="2" t="s">
        <v>57</v>
      </c>
      <c r="G2435" s="2" t="s">
        <v>359</v>
      </c>
      <c r="H2435" s="3">
        <v>45319.456250000003</v>
      </c>
      <c r="I2435" s="3">
        <v>45319.663194444445</v>
      </c>
      <c r="J2435" s="2">
        <v>207</v>
      </c>
      <c r="K2435" s="2">
        <v>298</v>
      </c>
      <c r="L2435" s="2">
        <v>1</v>
      </c>
      <c r="M2435" s="2" t="s">
        <v>29</v>
      </c>
      <c r="N2435" s="2">
        <v>10</v>
      </c>
      <c r="O2435" s="2">
        <v>299</v>
      </c>
      <c r="P2435" s="2">
        <f t="shared" ref="P2435:P2498" si="190">K2435-J2435</f>
        <v>91</v>
      </c>
      <c r="Q2435" s="4">
        <f t="shared" ref="Q2435:Q2498" si="191">J2435/K2435</f>
        <v>0.69463087248322153</v>
      </c>
      <c r="R2435" s="2" t="str">
        <f t="shared" ref="R2435:R2498" si="192">IF(Q2435&gt;1,"Efficient",
IF(Q2435=1,"On Target","Inefficient"))</f>
        <v>Inefficient</v>
      </c>
      <c r="S2435" s="2" t="str">
        <f t="shared" ref="S2435:S2498" si="193">IF(K2435&lt;30,"Short",
IF(K2435&lt;60,"Medium",
IF(K2435&lt;120,"Long","Very Long")))</f>
        <v>Very Long</v>
      </c>
      <c r="T2435" s="2" t="str">
        <f t="shared" ref="T2435:T2498" si="194">IF(K2435&lt;=J2435,"On Time",
IF(K2435-J2435&lt;=30,"Minor Delay","Major Delay"))</f>
        <v>Major Delay</v>
      </c>
    </row>
    <row r="2436" spans="1:20" x14ac:dyDescent="0.35">
      <c r="A2436" s="2" t="s">
        <v>5055</v>
      </c>
      <c r="B2436" s="2" t="s">
        <v>51</v>
      </c>
      <c r="C2436" s="2" t="s">
        <v>5056</v>
      </c>
      <c r="D2436" s="2" t="s">
        <v>26</v>
      </c>
      <c r="E2436" s="2" t="s">
        <v>85</v>
      </c>
      <c r="F2436" s="2" t="s">
        <v>57</v>
      </c>
      <c r="G2436" s="2" t="s">
        <v>999</v>
      </c>
      <c r="H2436" s="3">
        <v>45335.875</v>
      </c>
      <c r="I2436" s="3">
        <v>45336.0625</v>
      </c>
      <c r="J2436" s="2">
        <v>156</v>
      </c>
      <c r="K2436" s="2">
        <v>270</v>
      </c>
      <c r="L2436" s="2">
        <v>1</v>
      </c>
      <c r="M2436" s="2" t="s">
        <v>41</v>
      </c>
      <c r="N2436" s="2">
        <v>6</v>
      </c>
      <c r="O2436" s="2">
        <v>334.71</v>
      </c>
      <c r="P2436" s="2">
        <f t="shared" si="190"/>
        <v>114</v>
      </c>
      <c r="Q2436" s="4">
        <f t="shared" si="191"/>
        <v>0.57777777777777772</v>
      </c>
      <c r="R2436" s="2" t="str">
        <f t="shared" si="192"/>
        <v>Inefficient</v>
      </c>
      <c r="S2436" s="2" t="str">
        <f t="shared" si="193"/>
        <v>Very Long</v>
      </c>
      <c r="T2436" s="2" t="str">
        <f t="shared" si="194"/>
        <v>Major Delay</v>
      </c>
    </row>
    <row r="2437" spans="1:20" x14ac:dyDescent="0.35">
      <c r="A2437" s="2" t="s">
        <v>5057</v>
      </c>
      <c r="B2437" s="2" t="s">
        <v>51</v>
      </c>
      <c r="C2437" s="2" t="s">
        <v>5058</v>
      </c>
      <c r="D2437" s="2" t="s">
        <v>18</v>
      </c>
      <c r="E2437" s="2" t="s">
        <v>38</v>
      </c>
      <c r="F2437" s="2" t="s">
        <v>27</v>
      </c>
      <c r="G2437" s="2" t="s">
        <v>335</v>
      </c>
      <c r="H2437" s="3">
        <v>45362.568749999999</v>
      </c>
      <c r="I2437" s="3">
        <v>45362.749305555553</v>
      </c>
      <c r="J2437" s="2">
        <v>159</v>
      </c>
      <c r="K2437" s="2">
        <v>260</v>
      </c>
      <c r="L2437" s="2">
        <v>1</v>
      </c>
      <c r="M2437" s="2" t="s">
        <v>29</v>
      </c>
      <c r="N2437" s="2">
        <v>5</v>
      </c>
      <c r="O2437" s="2">
        <v>66.819999999999993</v>
      </c>
      <c r="P2437" s="2">
        <f t="shared" si="190"/>
        <v>101</v>
      </c>
      <c r="Q2437" s="4">
        <f t="shared" si="191"/>
        <v>0.61153846153846159</v>
      </c>
      <c r="R2437" s="2" t="str">
        <f t="shared" si="192"/>
        <v>Inefficient</v>
      </c>
      <c r="S2437" s="2" t="str">
        <f t="shared" si="193"/>
        <v>Very Long</v>
      </c>
      <c r="T2437" s="2" t="str">
        <f t="shared" si="194"/>
        <v>Major Delay</v>
      </c>
    </row>
    <row r="2438" spans="1:20" x14ac:dyDescent="0.35">
      <c r="A2438" s="2" t="s">
        <v>5059</v>
      </c>
      <c r="B2438" s="2" t="s">
        <v>31</v>
      </c>
      <c r="C2438" s="2" t="s">
        <v>5060</v>
      </c>
      <c r="D2438" s="2" t="s">
        <v>18</v>
      </c>
      <c r="E2438" s="2" t="s">
        <v>19</v>
      </c>
      <c r="F2438" s="2" t="s">
        <v>27</v>
      </c>
      <c r="G2438" s="2" t="s">
        <v>231</v>
      </c>
      <c r="H2438" s="3">
        <v>45507.681250000001</v>
      </c>
      <c r="I2438" s="3">
        <v>45507.887499999997</v>
      </c>
      <c r="J2438" s="2">
        <v>181</v>
      </c>
      <c r="K2438" s="2">
        <v>297</v>
      </c>
      <c r="L2438" s="2">
        <v>1</v>
      </c>
      <c r="M2438" s="2" t="s">
        <v>29</v>
      </c>
      <c r="N2438" s="2">
        <v>9</v>
      </c>
      <c r="O2438" s="2">
        <v>325.45999999999998</v>
      </c>
      <c r="P2438" s="2">
        <f t="shared" si="190"/>
        <v>116</v>
      </c>
      <c r="Q2438" s="4">
        <f t="shared" si="191"/>
        <v>0.60942760942760943</v>
      </c>
      <c r="R2438" s="2" t="str">
        <f t="shared" si="192"/>
        <v>Inefficient</v>
      </c>
      <c r="S2438" s="2" t="str">
        <f t="shared" si="193"/>
        <v>Very Long</v>
      </c>
      <c r="T2438" s="2" t="str">
        <f t="shared" si="194"/>
        <v>Major Delay</v>
      </c>
    </row>
    <row r="2439" spans="1:20" x14ac:dyDescent="0.35">
      <c r="A2439" s="2" t="s">
        <v>5061</v>
      </c>
      <c r="B2439" s="2" t="s">
        <v>31</v>
      </c>
      <c r="C2439" s="2" t="s">
        <v>5062</v>
      </c>
      <c r="D2439" s="2" t="s">
        <v>48</v>
      </c>
      <c r="E2439" s="2" t="s">
        <v>85</v>
      </c>
      <c r="F2439" s="2" t="s">
        <v>39</v>
      </c>
      <c r="G2439" s="2" t="s">
        <v>296</v>
      </c>
      <c r="H2439" s="3">
        <v>45625.640277777777</v>
      </c>
      <c r="I2439" s="3">
        <v>45625.73541666667</v>
      </c>
      <c r="J2439" s="2">
        <v>116</v>
      </c>
      <c r="K2439" s="2">
        <v>137</v>
      </c>
      <c r="L2439" s="2">
        <v>1</v>
      </c>
      <c r="M2439" s="2" t="s">
        <v>29</v>
      </c>
      <c r="N2439" s="2">
        <v>9</v>
      </c>
      <c r="O2439" s="2">
        <v>268.94</v>
      </c>
      <c r="P2439" s="2">
        <f t="shared" si="190"/>
        <v>21</v>
      </c>
      <c r="Q2439" s="4">
        <f t="shared" si="191"/>
        <v>0.84671532846715325</v>
      </c>
      <c r="R2439" s="2" t="str">
        <f t="shared" si="192"/>
        <v>Inefficient</v>
      </c>
      <c r="S2439" s="2" t="str">
        <f t="shared" si="193"/>
        <v>Very Long</v>
      </c>
      <c r="T2439" s="2" t="str">
        <f t="shared" si="194"/>
        <v>Minor Delay</v>
      </c>
    </row>
    <row r="2440" spans="1:20" x14ac:dyDescent="0.35">
      <c r="A2440" s="2" t="s">
        <v>5063</v>
      </c>
      <c r="B2440" s="2" t="s">
        <v>63</v>
      </c>
      <c r="C2440" s="2" t="s">
        <v>5064</v>
      </c>
      <c r="D2440" s="2" t="s">
        <v>48</v>
      </c>
      <c r="E2440" s="2" t="s">
        <v>85</v>
      </c>
      <c r="F2440" s="2" t="s">
        <v>27</v>
      </c>
      <c r="G2440" s="2" t="s">
        <v>1730</v>
      </c>
      <c r="H2440" s="3">
        <v>45301.368750000001</v>
      </c>
      <c r="I2440" s="3">
        <v>45301.472916666666</v>
      </c>
      <c r="J2440" s="2">
        <v>48</v>
      </c>
      <c r="K2440" s="2">
        <v>150</v>
      </c>
      <c r="L2440" s="2">
        <v>1</v>
      </c>
      <c r="M2440" s="2" t="s">
        <v>22</v>
      </c>
      <c r="N2440" s="2">
        <v>5</v>
      </c>
      <c r="O2440" s="2">
        <v>454.01</v>
      </c>
      <c r="P2440" s="2">
        <f t="shared" si="190"/>
        <v>102</v>
      </c>
      <c r="Q2440" s="4">
        <f t="shared" si="191"/>
        <v>0.32</v>
      </c>
      <c r="R2440" s="2" t="str">
        <f t="shared" si="192"/>
        <v>Inefficient</v>
      </c>
      <c r="S2440" s="2" t="str">
        <f t="shared" si="193"/>
        <v>Very Long</v>
      </c>
      <c r="T2440" s="2" t="str">
        <f t="shared" si="194"/>
        <v>Major Delay</v>
      </c>
    </row>
    <row r="2441" spans="1:20" x14ac:dyDescent="0.35">
      <c r="A2441" s="2" t="s">
        <v>5065</v>
      </c>
      <c r="B2441" s="2" t="s">
        <v>31</v>
      </c>
      <c r="C2441" s="2" t="s">
        <v>5066</v>
      </c>
      <c r="D2441" s="2" t="s">
        <v>48</v>
      </c>
      <c r="E2441" s="2" t="s">
        <v>85</v>
      </c>
      <c r="F2441" s="2" t="s">
        <v>34</v>
      </c>
      <c r="G2441" s="2" t="s">
        <v>418</v>
      </c>
      <c r="H2441" s="3">
        <v>45556.645138888889</v>
      </c>
      <c r="I2441" s="3">
        <v>45556.79583333333</v>
      </c>
      <c r="J2441" s="2">
        <v>209</v>
      </c>
      <c r="K2441" s="2">
        <v>217</v>
      </c>
      <c r="L2441" s="2">
        <v>1</v>
      </c>
      <c r="M2441" s="2" t="s">
        <v>41</v>
      </c>
      <c r="N2441" s="2">
        <v>9</v>
      </c>
      <c r="O2441" s="2">
        <v>311.35000000000002</v>
      </c>
      <c r="P2441" s="2">
        <f t="shared" si="190"/>
        <v>8</v>
      </c>
      <c r="Q2441" s="4">
        <f t="shared" si="191"/>
        <v>0.96313364055299544</v>
      </c>
      <c r="R2441" s="2" t="str">
        <f t="shared" si="192"/>
        <v>Inefficient</v>
      </c>
      <c r="S2441" s="2" t="str">
        <f t="shared" si="193"/>
        <v>Very Long</v>
      </c>
      <c r="T2441" s="2" t="str">
        <f t="shared" si="194"/>
        <v>Minor Delay</v>
      </c>
    </row>
    <row r="2442" spans="1:20" x14ac:dyDescent="0.35">
      <c r="A2442" s="2" t="s">
        <v>5067</v>
      </c>
      <c r="B2442" s="2" t="s">
        <v>16</v>
      </c>
      <c r="C2442" s="2" t="s">
        <v>5068</v>
      </c>
      <c r="D2442" s="2" t="s">
        <v>48</v>
      </c>
      <c r="E2442" s="2" t="s">
        <v>85</v>
      </c>
      <c r="F2442" s="2" t="s">
        <v>27</v>
      </c>
      <c r="G2442" s="2" t="s">
        <v>983</v>
      </c>
      <c r="H2442" s="3">
        <v>45392.418749999997</v>
      </c>
      <c r="I2442" s="3">
        <v>45392.492361111108</v>
      </c>
      <c r="J2442" s="2">
        <v>110</v>
      </c>
      <c r="K2442" s="2">
        <v>106</v>
      </c>
      <c r="L2442" s="2">
        <v>0</v>
      </c>
      <c r="M2442" s="2" t="s">
        <v>29</v>
      </c>
      <c r="N2442" s="2">
        <v>3</v>
      </c>
      <c r="O2442" s="2">
        <v>300.13</v>
      </c>
      <c r="P2442" s="2">
        <f t="shared" si="190"/>
        <v>-4</v>
      </c>
      <c r="Q2442" s="4">
        <f t="shared" si="191"/>
        <v>1.0377358490566038</v>
      </c>
      <c r="R2442" s="2" t="str">
        <f t="shared" si="192"/>
        <v>Efficient</v>
      </c>
      <c r="S2442" s="2" t="str">
        <f t="shared" si="193"/>
        <v>Long</v>
      </c>
      <c r="T2442" s="2" t="str">
        <f t="shared" si="194"/>
        <v>On Time</v>
      </c>
    </row>
    <row r="2443" spans="1:20" x14ac:dyDescent="0.35">
      <c r="A2443" s="2" t="s">
        <v>5069</v>
      </c>
      <c r="B2443" s="2" t="s">
        <v>24</v>
      </c>
      <c r="C2443" s="2" t="s">
        <v>5070</v>
      </c>
      <c r="D2443" s="2" t="s">
        <v>26</v>
      </c>
      <c r="E2443" s="2" t="s">
        <v>33</v>
      </c>
      <c r="F2443" s="2" t="s">
        <v>27</v>
      </c>
      <c r="G2443" s="2" t="s">
        <v>234</v>
      </c>
      <c r="H2443" s="3">
        <v>45415.390972222223</v>
      </c>
      <c r="I2443" s="3">
        <v>45415.504166666666</v>
      </c>
      <c r="J2443" s="2">
        <v>168</v>
      </c>
      <c r="K2443" s="2">
        <v>163</v>
      </c>
      <c r="L2443" s="2">
        <v>0</v>
      </c>
      <c r="M2443" s="2" t="s">
        <v>29</v>
      </c>
      <c r="N2443" s="2">
        <v>3</v>
      </c>
      <c r="O2443" s="2">
        <v>209.58</v>
      </c>
      <c r="P2443" s="2">
        <f t="shared" si="190"/>
        <v>-5</v>
      </c>
      <c r="Q2443" s="4">
        <f t="shared" si="191"/>
        <v>1.0306748466257669</v>
      </c>
      <c r="R2443" s="2" t="str">
        <f t="shared" si="192"/>
        <v>Efficient</v>
      </c>
      <c r="S2443" s="2" t="str">
        <f t="shared" si="193"/>
        <v>Very Long</v>
      </c>
      <c r="T2443" s="2" t="str">
        <f t="shared" si="194"/>
        <v>On Time</v>
      </c>
    </row>
    <row r="2444" spans="1:20" x14ac:dyDescent="0.35">
      <c r="A2444" s="2" t="s">
        <v>5071</v>
      </c>
      <c r="B2444" s="2" t="s">
        <v>31</v>
      </c>
      <c r="C2444" s="2" t="s">
        <v>5072</v>
      </c>
      <c r="D2444" s="2" t="s">
        <v>26</v>
      </c>
      <c r="E2444" s="2" t="s">
        <v>33</v>
      </c>
      <c r="F2444" s="2" t="s">
        <v>39</v>
      </c>
      <c r="G2444" s="2" t="s">
        <v>842</v>
      </c>
      <c r="H2444" s="3">
        <v>45467.047222222223</v>
      </c>
      <c r="I2444" s="3">
        <v>45467.075694444444</v>
      </c>
      <c r="J2444" s="2">
        <v>18</v>
      </c>
      <c r="K2444" s="2">
        <v>41</v>
      </c>
      <c r="L2444" s="2">
        <v>1</v>
      </c>
      <c r="M2444" s="2" t="s">
        <v>29</v>
      </c>
      <c r="N2444" s="2">
        <v>7</v>
      </c>
      <c r="O2444" s="2">
        <v>402.27</v>
      </c>
      <c r="P2444" s="2">
        <f t="shared" si="190"/>
        <v>23</v>
      </c>
      <c r="Q2444" s="4">
        <f t="shared" si="191"/>
        <v>0.43902439024390244</v>
      </c>
      <c r="R2444" s="2" t="str">
        <f t="shared" si="192"/>
        <v>Inefficient</v>
      </c>
      <c r="S2444" s="2" t="str">
        <f t="shared" si="193"/>
        <v>Medium</v>
      </c>
      <c r="T2444" s="2" t="str">
        <f t="shared" si="194"/>
        <v>Minor Delay</v>
      </c>
    </row>
    <row r="2445" spans="1:20" x14ac:dyDescent="0.35">
      <c r="A2445" s="2" t="s">
        <v>5073</v>
      </c>
      <c r="B2445" s="2" t="s">
        <v>24</v>
      </c>
      <c r="C2445" s="2" t="s">
        <v>5074</v>
      </c>
      <c r="D2445" s="2" t="s">
        <v>44</v>
      </c>
      <c r="E2445" s="2" t="s">
        <v>85</v>
      </c>
      <c r="F2445" s="2" t="s">
        <v>20</v>
      </c>
      <c r="G2445" s="2" t="s">
        <v>650</v>
      </c>
      <c r="H2445" s="3">
        <v>45412.42083333333</v>
      </c>
      <c r="I2445" s="3">
        <v>45412.476388888892</v>
      </c>
      <c r="J2445" s="2">
        <v>41</v>
      </c>
      <c r="K2445" s="2">
        <v>80</v>
      </c>
      <c r="L2445" s="2">
        <v>1</v>
      </c>
      <c r="M2445" s="2" t="s">
        <v>41</v>
      </c>
      <c r="N2445" s="2">
        <v>8</v>
      </c>
      <c r="O2445" s="2">
        <v>385.19</v>
      </c>
      <c r="P2445" s="2">
        <f t="shared" si="190"/>
        <v>39</v>
      </c>
      <c r="Q2445" s="4">
        <f t="shared" si="191"/>
        <v>0.51249999999999996</v>
      </c>
      <c r="R2445" s="2" t="str">
        <f t="shared" si="192"/>
        <v>Inefficient</v>
      </c>
      <c r="S2445" s="2" t="str">
        <f t="shared" si="193"/>
        <v>Long</v>
      </c>
      <c r="T2445" s="2" t="str">
        <f t="shared" si="194"/>
        <v>Major Delay</v>
      </c>
    </row>
    <row r="2446" spans="1:20" x14ac:dyDescent="0.35">
      <c r="A2446" s="2" t="s">
        <v>5075</v>
      </c>
      <c r="B2446" s="2" t="s">
        <v>24</v>
      </c>
      <c r="C2446" s="2" t="s">
        <v>5076</v>
      </c>
      <c r="D2446" s="2" t="s">
        <v>56</v>
      </c>
      <c r="E2446" s="2" t="s">
        <v>19</v>
      </c>
      <c r="F2446" s="2" t="s">
        <v>20</v>
      </c>
      <c r="G2446" s="2" t="s">
        <v>251</v>
      </c>
      <c r="H2446" s="3">
        <v>45465.179166666669</v>
      </c>
      <c r="I2446" s="3">
        <v>45465.210416666669</v>
      </c>
      <c r="J2446" s="2">
        <v>42</v>
      </c>
      <c r="K2446" s="2">
        <v>45</v>
      </c>
      <c r="L2446" s="2">
        <v>1</v>
      </c>
      <c r="M2446" s="2" t="s">
        <v>22</v>
      </c>
      <c r="N2446" s="2">
        <v>9</v>
      </c>
      <c r="O2446" s="2">
        <v>355.78</v>
      </c>
      <c r="P2446" s="2">
        <f t="shared" si="190"/>
        <v>3</v>
      </c>
      <c r="Q2446" s="4">
        <f t="shared" si="191"/>
        <v>0.93333333333333335</v>
      </c>
      <c r="R2446" s="2" t="str">
        <f t="shared" si="192"/>
        <v>Inefficient</v>
      </c>
      <c r="S2446" s="2" t="str">
        <f t="shared" si="193"/>
        <v>Medium</v>
      </c>
      <c r="T2446" s="2" t="str">
        <f t="shared" si="194"/>
        <v>Minor Delay</v>
      </c>
    </row>
    <row r="2447" spans="1:20" x14ac:dyDescent="0.35">
      <c r="A2447" s="2" t="s">
        <v>5077</v>
      </c>
      <c r="B2447" s="2" t="s">
        <v>63</v>
      </c>
      <c r="C2447" s="2" t="s">
        <v>5078</v>
      </c>
      <c r="D2447" s="2" t="s">
        <v>44</v>
      </c>
      <c r="E2447" s="2" t="s">
        <v>33</v>
      </c>
      <c r="F2447" s="2" t="s">
        <v>27</v>
      </c>
      <c r="G2447" s="2" t="s">
        <v>512</v>
      </c>
      <c r="H2447" s="3">
        <v>45465.363888888889</v>
      </c>
      <c r="I2447" s="3">
        <v>45465.383333333331</v>
      </c>
      <c r="J2447" s="2">
        <v>26</v>
      </c>
      <c r="K2447" s="2">
        <v>28</v>
      </c>
      <c r="L2447" s="2">
        <v>1</v>
      </c>
      <c r="M2447" s="2" t="s">
        <v>41</v>
      </c>
      <c r="N2447" s="2">
        <v>4</v>
      </c>
      <c r="O2447" s="2">
        <v>379.08</v>
      </c>
      <c r="P2447" s="2">
        <f t="shared" si="190"/>
        <v>2</v>
      </c>
      <c r="Q2447" s="4">
        <f t="shared" si="191"/>
        <v>0.9285714285714286</v>
      </c>
      <c r="R2447" s="2" t="str">
        <f t="shared" si="192"/>
        <v>Inefficient</v>
      </c>
      <c r="S2447" s="2" t="str">
        <f t="shared" si="193"/>
        <v>Short</v>
      </c>
      <c r="T2447" s="2" t="str">
        <f t="shared" si="194"/>
        <v>Minor Delay</v>
      </c>
    </row>
    <row r="2448" spans="1:20" x14ac:dyDescent="0.35">
      <c r="A2448" s="2" t="s">
        <v>5079</v>
      </c>
      <c r="B2448" s="2" t="s">
        <v>24</v>
      </c>
      <c r="C2448" s="2" t="s">
        <v>5080</v>
      </c>
      <c r="D2448" s="2" t="s">
        <v>18</v>
      </c>
      <c r="E2448" s="2" t="s">
        <v>38</v>
      </c>
      <c r="F2448" s="2" t="s">
        <v>39</v>
      </c>
      <c r="G2448" s="2" t="s">
        <v>210</v>
      </c>
      <c r="H2448" s="3">
        <v>45489.15347222222</v>
      </c>
      <c r="I2448" s="3">
        <v>45489.328472222223</v>
      </c>
      <c r="J2448" s="2">
        <v>226</v>
      </c>
      <c r="K2448" s="2">
        <v>252</v>
      </c>
      <c r="L2448" s="2">
        <v>1</v>
      </c>
      <c r="M2448" s="2" t="s">
        <v>29</v>
      </c>
      <c r="N2448" s="2">
        <v>6</v>
      </c>
      <c r="O2448" s="2">
        <v>281.19</v>
      </c>
      <c r="P2448" s="2">
        <f t="shared" si="190"/>
        <v>26</v>
      </c>
      <c r="Q2448" s="4">
        <f t="shared" si="191"/>
        <v>0.89682539682539686</v>
      </c>
      <c r="R2448" s="2" t="str">
        <f t="shared" si="192"/>
        <v>Inefficient</v>
      </c>
      <c r="S2448" s="2" t="str">
        <f t="shared" si="193"/>
        <v>Very Long</v>
      </c>
      <c r="T2448" s="2" t="str">
        <f t="shared" si="194"/>
        <v>Minor Delay</v>
      </c>
    </row>
    <row r="2449" spans="1:20" x14ac:dyDescent="0.35">
      <c r="A2449" s="2" t="s">
        <v>5081</v>
      </c>
      <c r="B2449" s="2" t="s">
        <v>51</v>
      </c>
      <c r="C2449" s="2" t="s">
        <v>5082</v>
      </c>
      <c r="D2449" s="2" t="s">
        <v>56</v>
      </c>
      <c r="E2449" s="2" t="s">
        <v>19</v>
      </c>
      <c r="F2449" s="2" t="s">
        <v>27</v>
      </c>
      <c r="G2449" s="2" t="s">
        <v>577</v>
      </c>
      <c r="H2449" s="3">
        <v>45440.295138888891</v>
      </c>
      <c r="I2449" s="3">
        <v>45440.49722222222</v>
      </c>
      <c r="J2449" s="2">
        <v>211</v>
      </c>
      <c r="K2449" s="2">
        <v>291</v>
      </c>
      <c r="L2449" s="2">
        <v>1</v>
      </c>
      <c r="M2449" s="2" t="s">
        <v>22</v>
      </c>
      <c r="N2449" s="2">
        <v>8</v>
      </c>
      <c r="O2449" s="2">
        <v>435.03</v>
      </c>
      <c r="P2449" s="2">
        <f t="shared" si="190"/>
        <v>80</v>
      </c>
      <c r="Q2449" s="4">
        <f t="shared" si="191"/>
        <v>0.72508591065292094</v>
      </c>
      <c r="R2449" s="2" t="str">
        <f t="shared" si="192"/>
        <v>Inefficient</v>
      </c>
      <c r="S2449" s="2" t="str">
        <f t="shared" si="193"/>
        <v>Very Long</v>
      </c>
      <c r="T2449" s="2" t="str">
        <f t="shared" si="194"/>
        <v>Major Delay</v>
      </c>
    </row>
    <row r="2450" spans="1:20" x14ac:dyDescent="0.35">
      <c r="A2450" s="2" t="s">
        <v>5083</v>
      </c>
      <c r="B2450" s="2" t="s">
        <v>16</v>
      </c>
      <c r="C2450" s="2" t="s">
        <v>5084</v>
      </c>
      <c r="D2450" s="2" t="s">
        <v>56</v>
      </c>
      <c r="E2450" s="2" t="s">
        <v>19</v>
      </c>
      <c r="F2450" s="2" t="s">
        <v>20</v>
      </c>
      <c r="G2450" s="2" t="s">
        <v>114</v>
      </c>
      <c r="H2450" s="3">
        <v>45348.635416666664</v>
      </c>
      <c r="I2450" s="3">
        <v>45348.831250000003</v>
      </c>
      <c r="J2450" s="2">
        <v>228</v>
      </c>
      <c r="K2450" s="2">
        <v>282</v>
      </c>
      <c r="L2450" s="2">
        <v>1</v>
      </c>
      <c r="M2450" s="2" t="s">
        <v>29</v>
      </c>
      <c r="N2450" s="2">
        <v>7</v>
      </c>
      <c r="O2450" s="2">
        <v>128.79</v>
      </c>
      <c r="P2450" s="2">
        <f t="shared" si="190"/>
        <v>54</v>
      </c>
      <c r="Q2450" s="4">
        <f t="shared" si="191"/>
        <v>0.80851063829787229</v>
      </c>
      <c r="R2450" s="2" t="str">
        <f t="shared" si="192"/>
        <v>Inefficient</v>
      </c>
      <c r="S2450" s="2" t="str">
        <f t="shared" si="193"/>
        <v>Very Long</v>
      </c>
      <c r="T2450" s="2" t="str">
        <f t="shared" si="194"/>
        <v>Major Delay</v>
      </c>
    </row>
    <row r="2451" spans="1:20" x14ac:dyDescent="0.35">
      <c r="A2451" s="2" t="s">
        <v>5085</v>
      </c>
      <c r="B2451" s="2" t="s">
        <v>24</v>
      </c>
      <c r="C2451" s="2" t="s">
        <v>5086</v>
      </c>
      <c r="D2451" s="2" t="s">
        <v>56</v>
      </c>
      <c r="E2451" s="2" t="s">
        <v>33</v>
      </c>
      <c r="F2451" s="2" t="s">
        <v>57</v>
      </c>
      <c r="G2451" s="2" t="s">
        <v>359</v>
      </c>
      <c r="H2451" s="3">
        <v>45589.645833333336</v>
      </c>
      <c r="I2451" s="3">
        <v>45589.775000000001</v>
      </c>
      <c r="J2451" s="2">
        <v>68</v>
      </c>
      <c r="K2451" s="2">
        <v>186</v>
      </c>
      <c r="L2451" s="2">
        <v>1</v>
      </c>
      <c r="M2451" s="2" t="s">
        <v>41</v>
      </c>
      <c r="N2451" s="2">
        <v>1</v>
      </c>
      <c r="O2451" s="2">
        <v>112.92</v>
      </c>
      <c r="P2451" s="2">
        <f t="shared" si="190"/>
        <v>118</v>
      </c>
      <c r="Q2451" s="4">
        <f t="shared" si="191"/>
        <v>0.36559139784946237</v>
      </c>
      <c r="R2451" s="2" t="str">
        <f t="shared" si="192"/>
        <v>Inefficient</v>
      </c>
      <c r="S2451" s="2" t="str">
        <f t="shared" si="193"/>
        <v>Very Long</v>
      </c>
      <c r="T2451" s="2" t="str">
        <f t="shared" si="194"/>
        <v>Major Delay</v>
      </c>
    </row>
    <row r="2452" spans="1:20" x14ac:dyDescent="0.35">
      <c r="A2452" s="2" t="s">
        <v>5087</v>
      </c>
      <c r="B2452" s="2" t="s">
        <v>31</v>
      </c>
      <c r="C2452" s="2" t="s">
        <v>5088</v>
      </c>
      <c r="D2452" s="2" t="s">
        <v>48</v>
      </c>
      <c r="E2452" s="2" t="s">
        <v>38</v>
      </c>
      <c r="F2452" s="2" t="s">
        <v>27</v>
      </c>
      <c r="G2452" s="2" t="s">
        <v>228</v>
      </c>
      <c r="H2452" s="3">
        <v>45532.902777777781</v>
      </c>
      <c r="I2452" s="3">
        <v>45533.054861111108</v>
      </c>
      <c r="J2452" s="2">
        <v>124</v>
      </c>
      <c r="K2452" s="2">
        <v>219</v>
      </c>
      <c r="L2452" s="2">
        <v>1</v>
      </c>
      <c r="M2452" s="2" t="s">
        <v>41</v>
      </c>
      <c r="N2452" s="2">
        <v>6</v>
      </c>
      <c r="O2452" s="2">
        <v>494.56</v>
      </c>
      <c r="P2452" s="2">
        <f t="shared" si="190"/>
        <v>95</v>
      </c>
      <c r="Q2452" s="4">
        <f t="shared" si="191"/>
        <v>0.56621004566210043</v>
      </c>
      <c r="R2452" s="2" t="str">
        <f t="shared" si="192"/>
        <v>Inefficient</v>
      </c>
      <c r="S2452" s="2" t="str">
        <f t="shared" si="193"/>
        <v>Very Long</v>
      </c>
      <c r="T2452" s="2" t="str">
        <f t="shared" si="194"/>
        <v>Major Delay</v>
      </c>
    </row>
    <row r="2453" spans="1:20" x14ac:dyDescent="0.35">
      <c r="A2453" s="2" t="s">
        <v>5089</v>
      </c>
      <c r="B2453" s="2" t="s">
        <v>51</v>
      </c>
      <c r="C2453" s="2" t="s">
        <v>5090</v>
      </c>
      <c r="D2453" s="2" t="s">
        <v>48</v>
      </c>
      <c r="E2453" s="2" t="s">
        <v>19</v>
      </c>
      <c r="F2453" s="2" t="s">
        <v>34</v>
      </c>
      <c r="G2453" s="2" t="s">
        <v>126</v>
      </c>
      <c r="H2453" s="3">
        <v>45543.603472222225</v>
      </c>
      <c r="I2453" s="3">
        <v>45543.765972222223</v>
      </c>
      <c r="J2453" s="2">
        <v>179</v>
      </c>
      <c r="K2453" s="2">
        <v>234</v>
      </c>
      <c r="L2453" s="2">
        <v>1</v>
      </c>
      <c r="M2453" s="2" t="s">
        <v>22</v>
      </c>
      <c r="N2453" s="2">
        <v>8</v>
      </c>
      <c r="O2453" s="2">
        <v>189.43</v>
      </c>
      <c r="P2453" s="2">
        <f t="shared" si="190"/>
        <v>55</v>
      </c>
      <c r="Q2453" s="4">
        <f t="shared" si="191"/>
        <v>0.7649572649572649</v>
      </c>
      <c r="R2453" s="2" t="str">
        <f t="shared" si="192"/>
        <v>Inefficient</v>
      </c>
      <c r="S2453" s="2" t="str">
        <f t="shared" si="193"/>
        <v>Very Long</v>
      </c>
      <c r="T2453" s="2" t="str">
        <f t="shared" si="194"/>
        <v>Major Delay</v>
      </c>
    </row>
    <row r="2454" spans="1:20" x14ac:dyDescent="0.35">
      <c r="A2454" s="2" t="s">
        <v>5091</v>
      </c>
      <c r="B2454" s="2" t="s">
        <v>51</v>
      </c>
      <c r="C2454" s="2" t="s">
        <v>5092</v>
      </c>
      <c r="D2454" s="2" t="s">
        <v>56</v>
      </c>
      <c r="E2454" s="2" t="s">
        <v>33</v>
      </c>
      <c r="F2454" s="2" t="s">
        <v>34</v>
      </c>
      <c r="G2454" s="2" t="s">
        <v>316</v>
      </c>
      <c r="H2454" s="3">
        <v>45609.121527777781</v>
      </c>
      <c r="I2454" s="3">
        <v>45609.34375</v>
      </c>
      <c r="J2454" s="2">
        <v>209</v>
      </c>
      <c r="K2454" s="2">
        <v>320</v>
      </c>
      <c r="L2454" s="2">
        <v>1</v>
      </c>
      <c r="M2454" s="2" t="s">
        <v>29</v>
      </c>
      <c r="N2454" s="2">
        <v>3</v>
      </c>
      <c r="O2454" s="2">
        <v>96.71</v>
      </c>
      <c r="P2454" s="2">
        <f t="shared" si="190"/>
        <v>111</v>
      </c>
      <c r="Q2454" s="4">
        <f t="shared" si="191"/>
        <v>0.65312499999999996</v>
      </c>
      <c r="R2454" s="2" t="str">
        <f t="shared" si="192"/>
        <v>Inefficient</v>
      </c>
      <c r="S2454" s="2" t="str">
        <f t="shared" si="193"/>
        <v>Very Long</v>
      </c>
      <c r="T2454" s="2" t="str">
        <f t="shared" si="194"/>
        <v>Major Delay</v>
      </c>
    </row>
    <row r="2455" spans="1:20" x14ac:dyDescent="0.35">
      <c r="A2455" s="2" t="s">
        <v>5093</v>
      </c>
      <c r="B2455" s="2" t="s">
        <v>24</v>
      </c>
      <c r="C2455" s="2" t="s">
        <v>5094</v>
      </c>
      <c r="D2455" s="2" t="s">
        <v>48</v>
      </c>
      <c r="E2455" s="2" t="s">
        <v>38</v>
      </c>
      <c r="F2455" s="2" t="s">
        <v>27</v>
      </c>
      <c r="G2455" s="2" t="s">
        <v>1030</v>
      </c>
      <c r="H2455" s="3">
        <v>45437.361805555556</v>
      </c>
      <c r="I2455" s="3">
        <v>45437.570833333331</v>
      </c>
      <c r="J2455" s="2">
        <v>225</v>
      </c>
      <c r="K2455" s="2">
        <v>301</v>
      </c>
      <c r="L2455" s="2">
        <v>1</v>
      </c>
      <c r="M2455" s="2" t="s">
        <v>29</v>
      </c>
      <c r="N2455" s="2">
        <v>4</v>
      </c>
      <c r="O2455" s="2">
        <v>466.41</v>
      </c>
      <c r="P2455" s="2">
        <f t="shared" si="190"/>
        <v>76</v>
      </c>
      <c r="Q2455" s="4">
        <f t="shared" si="191"/>
        <v>0.74750830564784054</v>
      </c>
      <c r="R2455" s="2" t="str">
        <f t="shared" si="192"/>
        <v>Inefficient</v>
      </c>
      <c r="S2455" s="2" t="str">
        <f t="shared" si="193"/>
        <v>Very Long</v>
      </c>
      <c r="T2455" s="2" t="str">
        <f t="shared" si="194"/>
        <v>Major Delay</v>
      </c>
    </row>
    <row r="2456" spans="1:20" x14ac:dyDescent="0.35">
      <c r="A2456" s="2" t="s">
        <v>5095</v>
      </c>
      <c r="B2456" s="2" t="s">
        <v>63</v>
      </c>
      <c r="C2456" s="2" t="s">
        <v>5096</v>
      </c>
      <c r="D2456" s="2" t="s">
        <v>44</v>
      </c>
      <c r="E2456" s="2" t="s">
        <v>38</v>
      </c>
      <c r="F2456" s="2" t="s">
        <v>57</v>
      </c>
      <c r="G2456" s="2" t="s">
        <v>49</v>
      </c>
      <c r="H2456" s="3">
        <v>45444.039583333331</v>
      </c>
      <c r="I2456" s="3">
        <v>45444.140277777777</v>
      </c>
      <c r="J2456" s="2">
        <v>73</v>
      </c>
      <c r="K2456" s="2">
        <v>145</v>
      </c>
      <c r="L2456" s="2">
        <v>1</v>
      </c>
      <c r="M2456" s="2" t="s">
        <v>41</v>
      </c>
      <c r="N2456" s="2">
        <v>7</v>
      </c>
      <c r="O2456" s="2">
        <v>66.14</v>
      </c>
      <c r="P2456" s="2">
        <f t="shared" si="190"/>
        <v>72</v>
      </c>
      <c r="Q2456" s="4">
        <f t="shared" si="191"/>
        <v>0.50344827586206897</v>
      </c>
      <c r="R2456" s="2" t="str">
        <f t="shared" si="192"/>
        <v>Inefficient</v>
      </c>
      <c r="S2456" s="2" t="str">
        <f t="shared" si="193"/>
        <v>Very Long</v>
      </c>
      <c r="T2456" s="2" t="str">
        <f t="shared" si="194"/>
        <v>Major Delay</v>
      </c>
    </row>
    <row r="2457" spans="1:20" x14ac:dyDescent="0.35">
      <c r="A2457" s="2" t="s">
        <v>5097</v>
      </c>
      <c r="B2457" s="2" t="s">
        <v>16</v>
      </c>
      <c r="C2457" s="2" t="s">
        <v>5098</v>
      </c>
      <c r="D2457" s="2" t="s">
        <v>26</v>
      </c>
      <c r="E2457" s="2" t="s">
        <v>38</v>
      </c>
      <c r="F2457" s="2" t="s">
        <v>39</v>
      </c>
      <c r="G2457" s="2" t="s">
        <v>117</v>
      </c>
      <c r="H2457" s="3">
        <v>45532.122916666667</v>
      </c>
      <c r="I2457" s="3">
        <v>45532.204861111109</v>
      </c>
      <c r="J2457" s="2">
        <v>102</v>
      </c>
      <c r="K2457" s="2">
        <v>118</v>
      </c>
      <c r="L2457" s="2">
        <v>1</v>
      </c>
      <c r="M2457" s="2" t="s">
        <v>29</v>
      </c>
      <c r="N2457" s="2">
        <v>4</v>
      </c>
      <c r="O2457" s="2">
        <v>147.28</v>
      </c>
      <c r="P2457" s="2">
        <f t="shared" si="190"/>
        <v>16</v>
      </c>
      <c r="Q2457" s="4">
        <f t="shared" si="191"/>
        <v>0.86440677966101698</v>
      </c>
      <c r="R2457" s="2" t="str">
        <f t="shared" si="192"/>
        <v>Inefficient</v>
      </c>
      <c r="S2457" s="2" t="str">
        <f t="shared" si="193"/>
        <v>Long</v>
      </c>
      <c r="T2457" s="2" t="str">
        <f t="shared" si="194"/>
        <v>Minor Delay</v>
      </c>
    </row>
    <row r="2458" spans="1:20" x14ac:dyDescent="0.35">
      <c r="A2458" s="2" t="s">
        <v>5099</v>
      </c>
      <c r="B2458" s="2" t="s">
        <v>63</v>
      </c>
      <c r="C2458" s="2" t="s">
        <v>5100</v>
      </c>
      <c r="D2458" s="2" t="s">
        <v>18</v>
      </c>
      <c r="E2458" s="2" t="s">
        <v>19</v>
      </c>
      <c r="F2458" s="2" t="s">
        <v>34</v>
      </c>
      <c r="G2458" s="2" t="s">
        <v>505</v>
      </c>
      <c r="H2458" s="3">
        <v>45604.697916666664</v>
      </c>
      <c r="I2458" s="3">
        <v>45604.82916666667</v>
      </c>
      <c r="J2458" s="2">
        <v>91</v>
      </c>
      <c r="K2458" s="2">
        <v>189</v>
      </c>
      <c r="L2458" s="2">
        <v>1</v>
      </c>
      <c r="M2458" s="2" t="s">
        <v>41</v>
      </c>
      <c r="N2458" s="2">
        <v>1</v>
      </c>
      <c r="O2458" s="2">
        <v>194.22</v>
      </c>
      <c r="P2458" s="2">
        <f t="shared" si="190"/>
        <v>98</v>
      </c>
      <c r="Q2458" s="4">
        <f t="shared" si="191"/>
        <v>0.48148148148148145</v>
      </c>
      <c r="R2458" s="2" t="str">
        <f t="shared" si="192"/>
        <v>Inefficient</v>
      </c>
      <c r="S2458" s="2" t="str">
        <f t="shared" si="193"/>
        <v>Very Long</v>
      </c>
      <c r="T2458" s="2" t="str">
        <f t="shared" si="194"/>
        <v>Major Delay</v>
      </c>
    </row>
    <row r="2459" spans="1:20" x14ac:dyDescent="0.35">
      <c r="A2459" s="2" t="s">
        <v>5101</v>
      </c>
      <c r="B2459" s="2" t="s">
        <v>63</v>
      </c>
      <c r="C2459" s="2" t="s">
        <v>5102</v>
      </c>
      <c r="D2459" s="2" t="s">
        <v>26</v>
      </c>
      <c r="E2459" s="2" t="s">
        <v>33</v>
      </c>
      <c r="F2459" s="2" t="s">
        <v>57</v>
      </c>
      <c r="G2459" s="2" t="s">
        <v>754</v>
      </c>
      <c r="H2459" s="3">
        <v>45374.834722222222</v>
      </c>
      <c r="I2459" s="3">
        <v>45375.05</v>
      </c>
      <c r="J2459" s="2">
        <v>224</v>
      </c>
      <c r="K2459" s="2">
        <v>310</v>
      </c>
      <c r="L2459" s="2">
        <v>1</v>
      </c>
      <c r="M2459" s="2" t="s">
        <v>22</v>
      </c>
      <c r="N2459" s="2">
        <v>10</v>
      </c>
      <c r="O2459" s="2">
        <v>223.12</v>
      </c>
      <c r="P2459" s="2">
        <f t="shared" si="190"/>
        <v>86</v>
      </c>
      <c r="Q2459" s="4">
        <f t="shared" si="191"/>
        <v>0.72258064516129028</v>
      </c>
      <c r="R2459" s="2" t="str">
        <f t="shared" si="192"/>
        <v>Inefficient</v>
      </c>
      <c r="S2459" s="2" t="str">
        <f t="shared" si="193"/>
        <v>Very Long</v>
      </c>
      <c r="T2459" s="2" t="str">
        <f t="shared" si="194"/>
        <v>Major Delay</v>
      </c>
    </row>
    <row r="2460" spans="1:20" x14ac:dyDescent="0.35">
      <c r="A2460" s="2" t="s">
        <v>5103</v>
      </c>
      <c r="B2460" s="2" t="s">
        <v>51</v>
      </c>
      <c r="C2460" s="2" t="s">
        <v>5104</v>
      </c>
      <c r="D2460" s="2" t="s">
        <v>56</v>
      </c>
      <c r="E2460" s="2" t="s">
        <v>33</v>
      </c>
      <c r="F2460" s="2" t="s">
        <v>34</v>
      </c>
      <c r="G2460" s="2" t="s">
        <v>149</v>
      </c>
      <c r="H2460" s="3">
        <v>45433.214583333334</v>
      </c>
      <c r="I2460" s="3">
        <v>45433.302083333336</v>
      </c>
      <c r="J2460" s="2">
        <v>83</v>
      </c>
      <c r="K2460" s="2">
        <v>126</v>
      </c>
      <c r="L2460" s="2">
        <v>1</v>
      </c>
      <c r="M2460" s="2" t="s">
        <v>22</v>
      </c>
      <c r="N2460" s="2">
        <v>5</v>
      </c>
      <c r="O2460" s="2">
        <v>159.41</v>
      </c>
      <c r="P2460" s="2">
        <f t="shared" si="190"/>
        <v>43</v>
      </c>
      <c r="Q2460" s="4">
        <f t="shared" si="191"/>
        <v>0.65873015873015872</v>
      </c>
      <c r="R2460" s="2" t="str">
        <f t="shared" si="192"/>
        <v>Inefficient</v>
      </c>
      <c r="S2460" s="2" t="str">
        <f t="shared" si="193"/>
        <v>Very Long</v>
      </c>
      <c r="T2460" s="2" t="str">
        <f t="shared" si="194"/>
        <v>Major Delay</v>
      </c>
    </row>
    <row r="2461" spans="1:20" x14ac:dyDescent="0.35">
      <c r="A2461" s="2" t="s">
        <v>5105</v>
      </c>
      <c r="B2461" s="2" t="s">
        <v>31</v>
      </c>
      <c r="C2461" s="2" t="s">
        <v>5106</v>
      </c>
      <c r="D2461" s="2" t="s">
        <v>44</v>
      </c>
      <c r="E2461" s="2" t="s">
        <v>19</v>
      </c>
      <c r="F2461" s="2" t="s">
        <v>57</v>
      </c>
      <c r="G2461" s="2" t="s">
        <v>94</v>
      </c>
      <c r="H2461" s="3">
        <v>45340.414583333331</v>
      </c>
      <c r="I2461" s="3">
        <v>45340.582638888889</v>
      </c>
      <c r="J2461" s="2">
        <v>139</v>
      </c>
      <c r="K2461" s="2">
        <v>242</v>
      </c>
      <c r="L2461" s="2">
        <v>1</v>
      </c>
      <c r="M2461" s="2" t="s">
        <v>41</v>
      </c>
      <c r="N2461" s="2">
        <v>3</v>
      </c>
      <c r="O2461" s="2">
        <v>210.84</v>
      </c>
      <c r="P2461" s="2">
        <f t="shared" si="190"/>
        <v>103</v>
      </c>
      <c r="Q2461" s="4">
        <f t="shared" si="191"/>
        <v>0.57438016528925617</v>
      </c>
      <c r="R2461" s="2" t="str">
        <f t="shared" si="192"/>
        <v>Inefficient</v>
      </c>
      <c r="S2461" s="2" t="str">
        <f t="shared" si="193"/>
        <v>Very Long</v>
      </c>
      <c r="T2461" s="2" t="str">
        <f t="shared" si="194"/>
        <v>Major Delay</v>
      </c>
    </row>
    <row r="2462" spans="1:20" x14ac:dyDescent="0.35">
      <c r="A2462" s="2" t="s">
        <v>5107</v>
      </c>
      <c r="B2462" s="2" t="s">
        <v>31</v>
      </c>
      <c r="C2462" s="2" t="s">
        <v>5108</v>
      </c>
      <c r="D2462" s="2" t="s">
        <v>26</v>
      </c>
      <c r="E2462" s="2" t="s">
        <v>33</v>
      </c>
      <c r="F2462" s="2" t="s">
        <v>57</v>
      </c>
      <c r="G2462" s="2" t="s">
        <v>512</v>
      </c>
      <c r="H2462" s="3">
        <v>45619.352083333331</v>
      </c>
      <c r="I2462" s="3">
        <v>45619.5</v>
      </c>
      <c r="J2462" s="2">
        <v>140</v>
      </c>
      <c r="K2462" s="2">
        <v>213</v>
      </c>
      <c r="L2462" s="2">
        <v>1</v>
      </c>
      <c r="M2462" s="2" t="s">
        <v>22</v>
      </c>
      <c r="N2462" s="2">
        <v>6</v>
      </c>
      <c r="O2462" s="2">
        <v>249.5</v>
      </c>
      <c r="P2462" s="2">
        <f t="shared" si="190"/>
        <v>73</v>
      </c>
      <c r="Q2462" s="4">
        <f t="shared" si="191"/>
        <v>0.65727699530516437</v>
      </c>
      <c r="R2462" s="2" t="str">
        <f t="shared" si="192"/>
        <v>Inefficient</v>
      </c>
      <c r="S2462" s="2" t="str">
        <f t="shared" si="193"/>
        <v>Very Long</v>
      </c>
      <c r="T2462" s="2" t="str">
        <f t="shared" si="194"/>
        <v>Major Delay</v>
      </c>
    </row>
    <row r="2463" spans="1:20" x14ac:dyDescent="0.35">
      <c r="A2463" s="2" t="s">
        <v>5109</v>
      </c>
      <c r="B2463" s="2" t="s">
        <v>16</v>
      </c>
      <c r="C2463" s="2" t="s">
        <v>5110</v>
      </c>
      <c r="D2463" s="2" t="s">
        <v>44</v>
      </c>
      <c r="E2463" s="2" t="s">
        <v>33</v>
      </c>
      <c r="F2463" s="2" t="s">
        <v>57</v>
      </c>
      <c r="G2463" s="2" t="s">
        <v>415</v>
      </c>
      <c r="H2463" s="3">
        <v>45375.697222222225</v>
      </c>
      <c r="I2463" s="3">
        <v>45375.870833333334</v>
      </c>
      <c r="J2463" s="2">
        <v>140</v>
      </c>
      <c r="K2463" s="2">
        <v>250</v>
      </c>
      <c r="L2463" s="2">
        <v>1</v>
      </c>
      <c r="M2463" s="2" t="s">
        <v>29</v>
      </c>
      <c r="N2463" s="2">
        <v>7</v>
      </c>
      <c r="O2463" s="2">
        <v>291.73</v>
      </c>
      <c r="P2463" s="2">
        <f t="shared" si="190"/>
        <v>110</v>
      </c>
      <c r="Q2463" s="4">
        <f t="shared" si="191"/>
        <v>0.56000000000000005</v>
      </c>
      <c r="R2463" s="2" t="str">
        <f t="shared" si="192"/>
        <v>Inefficient</v>
      </c>
      <c r="S2463" s="2" t="str">
        <f t="shared" si="193"/>
        <v>Very Long</v>
      </c>
      <c r="T2463" s="2" t="str">
        <f t="shared" si="194"/>
        <v>Major Delay</v>
      </c>
    </row>
    <row r="2464" spans="1:20" x14ac:dyDescent="0.35">
      <c r="A2464" s="2" t="s">
        <v>5111</v>
      </c>
      <c r="B2464" s="2" t="s">
        <v>51</v>
      </c>
      <c r="C2464" s="2" t="s">
        <v>5112</v>
      </c>
      <c r="D2464" s="2" t="s">
        <v>56</v>
      </c>
      <c r="E2464" s="2" t="s">
        <v>19</v>
      </c>
      <c r="F2464" s="2" t="s">
        <v>20</v>
      </c>
      <c r="G2464" s="2" t="s">
        <v>445</v>
      </c>
      <c r="H2464" s="3">
        <v>45404.512499999997</v>
      </c>
      <c r="I2464" s="3">
        <v>45404.617361111108</v>
      </c>
      <c r="J2464" s="2">
        <v>73</v>
      </c>
      <c r="K2464" s="2">
        <v>151</v>
      </c>
      <c r="L2464" s="2">
        <v>1</v>
      </c>
      <c r="M2464" s="2" t="s">
        <v>41</v>
      </c>
      <c r="N2464" s="2">
        <v>3</v>
      </c>
      <c r="O2464" s="2">
        <v>285.32</v>
      </c>
      <c r="P2464" s="2">
        <f t="shared" si="190"/>
        <v>78</v>
      </c>
      <c r="Q2464" s="4">
        <f t="shared" si="191"/>
        <v>0.48344370860927155</v>
      </c>
      <c r="R2464" s="2" t="str">
        <f t="shared" si="192"/>
        <v>Inefficient</v>
      </c>
      <c r="S2464" s="2" t="str">
        <f t="shared" si="193"/>
        <v>Very Long</v>
      </c>
      <c r="T2464" s="2" t="str">
        <f t="shared" si="194"/>
        <v>Major Delay</v>
      </c>
    </row>
    <row r="2465" spans="1:20" x14ac:dyDescent="0.35">
      <c r="A2465" s="2" t="s">
        <v>5113</v>
      </c>
      <c r="B2465" s="2" t="s">
        <v>31</v>
      </c>
      <c r="C2465" s="2" t="s">
        <v>5114</v>
      </c>
      <c r="D2465" s="2" t="s">
        <v>48</v>
      </c>
      <c r="E2465" s="2" t="s">
        <v>85</v>
      </c>
      <c r="F2465" s="2" t="s">
        <v>57</v>
      </c>
      <c r="G2465" s="2" t="s">
        <v>916</v>
      </c>
      <c r="H2465" s="3">
        <v>45339.07916666667</v>
      </c>
      <c r="I2465" s="3">
        <v>45339.194444444445</v>
      </c>
      <c r="J2465" s="2">
        <v>159</v>
      </c>
      <c r="K2465" s="2">
        <v>166</v>
      </c>
      <c r="L2465" s="2">
        <v>1</v>
      </c>
      <c r="M2465" s="2" t="s">
        <v>41</v>
      </c>
      <c r="N2465" s="2">
        <v>9</v>
      </c>
      <c r="O2465" s="2">
        <v>310.43</v>
      </c>
      <c r="P2465" s="2">
        <f t="shared" si="190"/>
        <v>7</v>
      </c>
      <c r="Q2465" s="4">
        <f t="shared" si="191"/>
        <v>0.95783132530120485</v>
      </c>
      <c r="R2465" s="2" t="str">
        <f t="shared" si="192"/>
        <v>Inefficient</v>
      </c>
      <c r="S2465" s="2" t="str">
        <f t="shared" si="193"/>
        <v>Very Long</v>
      </c>
      <c r="T2465" s="2" t="str">
        <f t="shared" si="194"/>
        <v>Minor Delay</v>
      </c>
    </row>
    <row r="2466" spans="1:20" x14ac:dyDescent="0.35">
      <c r="A2466" s="2" t="s">
        <v>5115</v>
      </c>
      <c r="B2466" s="2" t="s">
        <v>63</v>
      </c>
      <c r="C2466" s="2" t="s">
        <v>5116</v>
      </c>
      <c r="D2466" s="2" t="s">
        <v>56</v>
      </c>
      <c r="E2466" s="2" t="s">
        <v>19</v>
      </c>
      <c r="F2466" s="2" t="s">
        <v>27</v>
      </c>
      <c r="G2466" s="2" t="s">
        <v>599</v>
      </c>
      <c r="H2466" s="3">
        <v>45542.561805555553</v>
      </c>
      <c r="I2466" s="3">
        <v>45542.716666666667</v>
      </c>
      <c r="J2466" s="2">
        <v>207</v>
      </c>
      <c r="K2466" s="2">
        <v>223</v>
      </c>
      <c r="L2466" s="2">
        <v>1</v>
      </c>
      <c r="M2466" s="2" t="s">
        <v>29</v>
      </c>
      <c r="N2466" s="2">
        <v>1</v>
      </c>
      <c r="O2466" s="2">
        <v>251.88</v>
      </c>
      <c r="P2466" s="2">
        <f t="shared" si="190"/>
        <v>16</v>
      </c>
      <c r="Q2466" s="4">
        <f t="shared" si="191"/>
        <v>0.9282511210762332</v>
      </c>
      <c r="R2466" s="2" t="str">
        <f t="shared" si="192"/>
        <v>Inefficient</v>
      </c>
      <c r="S2466" s="2" t="str">
        <f t="shared" si="193"/>
        <v>Very Long</v>
      </c>
      <c r="T2466" s="2" t="str">
        <f t="shared" si="194"/>
        <v>Minor Delay</v>
      </c>
    </row>
    <row r="2467" spans="1:20" x14ac:dyDescent="0.35">
      <c r="A2467" s="2" t="s">
        <v>5117</v>
      </c>
      <c r="B2467" s="2" t="s">
        <v>16</v>
      </c>
      <c r="C2467" s="2" t="s">
        <v>5118</v>
      </c>
      <c r="D2467" s="2" t="s">
        <v>56</v>
      </c>
      <c r="E2467" s="2" t="s">
        <v>33</v>
      </c>
      <c r="F2467" s="2" t="s">
        <v>39</v>
      </c>
      <c r="G2467" s="2" t="s">
        <v>100</v>
      </c>
      <c r="H2467" s="3">
        <v>45292.231249999997</v>
      </c>
      <c r="I2467" s="3">
        <v>45292.373611111114</v>
      </c>
      <c r="J2467" s="2">
        <v>112</v>
      </c>
      <c r="K2467" s="2">
        <v>205</v>
      </c>
      <c r="L2467" s="2">
        <v>1</v>
      </c>
      <c r="M2467" s="2" t="s">
        <v>29</v>
      </c>
      <c r="N2467" s="2">
        <v>4</v>
      </c>
      <c r="O2467" s="2">
        <v>302.47000000000003</v>
      </c>
      <c r="P2467" s="2">
        <f t="shared" si="190"/>
        <v>93</v>
      </c>
      <c r="Q2467" s="4">
        <f t="shared" si="191"/>
        <v>0.54634146341463419</v>
      </c>
      <c r="R2467" s="2" t="str">
        <f t="shared" si="192"/>
        <v>Inefficient</v>
      </c>
      <c r="S2467" s="2" t="str">
        <f t="shared" si="193"/>
        <v>Very Long</v>
      </c>
      <c r="T2467" s="2" t="str">
        <f t="shared" si="194"/>
        <v>Major Delay</v>
      </c>
    </row>
    <row r="2468" spans="1:20" x14ac:dyDescent="0.35">
      <c r="A2468" s="2" t="s">
        <v>5119</v>
      </c>
      <c r="B2468" s="2" t="s">
        <v>24</v>
      </c>
      <c r="C2468" s="2" t="s">
        <v>5120</v>
      </c>
      <c r="D2468" s="2" t="s">
        <v>56</v>
      </c>
      <c r="E2468" s="2" t="s">
        <v>19</v>
      </c>
      <c r="F2468" s="2" t="s">
        <v>57</v>
      </c>
      <c r="G2468" s="2" t="s">
        <v>170</v>
      </c>
      <c r="H2468" s="3">
        <v>45492.645138888889</v>
      </c>
      <c r="I2468" s="3">
        <v>45492.681944444441</v>
      </c>
      <c r="J2468" s="2">
        <v>33</v>
      </c>
      <c r="K2468" s="2">
        <v>53</v>
      </c>
      <c r="L2468" s="2">
        <v>1</v>
      </c>
      <c r="M2468" s="2" t="s">
        <v>29</v>
      </c>
      <c r="N2468" s="2">
        <v>8</v>
      </c>
      <c r="O2468" s="2">
        <v>369.76</v>
      </c>
      <c r="P2468" s="2">
        <f t="shared" si="190"/>
        <v>20</v>
      </c>
      <c r="Q2468" s="4">
        <f t="shared" si="191"/>
        <v>0.62264150943396224</v>
      </c>
      <c r="R2468" s="2" t="str">
        <f t="shared" si="192"/>
        <v>Inefficient</v>
      </c>
      <c r="S2468" s="2" t="str">
        <f t="shared" si="193"/>
        <v>Medium</v>
      </c>
      <c r="T2468" s="2" t="str">
        <f t="shared" si="194"/>
        <v>Minor Delay</v>
      </c>
    </row>
    <row r="2469" spans="1:20" x14ac:dyDescent="0.35">
      <c r="A2469" s="2" t="s">
        <v>5121</v>
      </c>
      <c r="B2469" s="2" t="s">
        <v>51</v>
      </c>
      <c r="C2469" s="2" t="s">
        <v>5122</v>
      </c>
      <c r="D2469" s="2" t="s">
        <v>26</v>
      </c>
      <c r="E2469" s="2" t="s">
        <v>38</v>
      </c>
      <c r="F2469" s="2" t="s">
        <v>39</v>
      </c>
      <c r="G2469" s="2" t="s">
        <v>293</v>
      </c>
      <c r="H2469" s="3">
        <v>45556.498611111114</v>
      </c>
      <c r="I2469" s="3">
        <v>45556.655555555553</v>
      </c>
      <c r="J2469" s="2">
        <v>119</v>
      </c>
      <c r="K2469" s="2">
        <v>226</v>
      </c>
      <c r="L2469" s="2">
        <v>1</v>
      </c>
      <c r="M2469" s="2" t="s">
        <v>41</v>
      </c>
      <c r="N2469" s="2">
        <v>8</v>
      </c>
      <c r="O2469" s="2">
        <v>69.72</v>
      </c>
      <c r="P2469" s="2">
        <f t="shared" si="190"/>
        <v>107</v>
      </c>
      <c r="Q2469" s="4">
        <f t="shared" si="191"/>
        <v>0.52654867256637172</v>
      </c>
      <c r="R2469" s="2" t="str">
        <f t="shared" si="192"/>
        <v>Inefficient</v>
      </c>
      <c r="S2469" s="2" t="str">
        <f t="shared" si="193"/>
        <v>Very Long</v>
      </c>
      <c r="T2469" s="2" t="str">
        <f t="shared" si="194"/>
        <v>Major Delay</v>
      </c>
    </row>
    <row r="2470" spans="1:20" x14ac:dyDescent="0.35">
      <c r="A2470" s="2" t="s">
        <v>5123</v>
      </c>
      <c r="B2470" s="2" t="s">
        <v>24</v>
      </c>
      <c r="C2470" s="2" t="s">
        <v>5124</v>
      </c>
      <c r="D2470" s="2" t="s">
        <v>44</v>
      </c>
      <c r="E2470" s="2" t="s">
        <v>85</v>
      </c>
      <c r="F2470" s="2" t="s">
        <v>20</v>
      </c>
      <c r="G2470" s="2" t="s">
        <v>343</v>
      </c>
      <c r="H2470" s="3">
        <v>45301.736805555556</v>
      </c>
      <c r="I2470" s="3">
        <v>45301.802777777775</v>
      </c>
      <c r="J2470" s="2">
        <v>80</v>
      </c>
      <c r="K2470" s="2">
        <v>95</v>
      </c>
      <c r="L2470" s="2">
        <v>1</v>
      </c>
      <c r="M2470" s="2" t="s">
        <v>29</v>
      </c>
      <c r="N2470" s="2">
        <v>9</v>
      </c>
      <c r="O2470" s="2">
        <v>172.08</v>
      </c>
      <c r="P2470" s="2">
        <f t="shared" si="190"/>
        <v>15</v>
      </c>
      <c r="Q2470" s="4">
        <f t="shared" si="191"/>
        <v>0.84210526315789469</v>
      </c>
      <c r="R2470" s="2" t="str">
        <f t="shared" si="192"/>
        <v>Inefficient</v>
      </c>
      <c r="S2470" s="2" t="str">
        <f t="shared" si="193"/>
        <v>Long</v>
      </c>
      <c r="T2470" s="2" t="str">
        <f t="shared" si="194"/>
        <v>Minor Delay</v>
      </c>
    </row>
    <row r="2471" spans="1:20" x14ac:dyDescent="0.35">
      <c r="A2471" s="2" t="s">
        <v>5125</v>
      </c>
      <c r="B2471" s="2" t="s">
        <v>31</v>
      </c>
      <c r="C2471" s="2" t="s">
        <v>5126</v>
      </c>
      <c r="D2471" s="2" t="s">
        <v>44</v>
      </c>
      <c r="E2471" s="2" t="s">
        <v>38</v>
      </c>
      <c r="F2471" s="2" t="s">
        <v>20</v>
      </c>
      <c r="G2471" s="2" t="s">
        <v>1622</v>
      </c>
      <c r="H2471" s="3">
        <v>45637.027083333334</v>
      </c>
      <c r="I2471" s="3">
        <v>45637.057638888888</v>
      </c>
      <c r="J2471" s="2">
        <v>30</v>
      </c>
      <c r="K2471" s="2">
        <v>44</v>
      </c>
      <c r="L2471" s="2">
        <v>1</v>
      </c>
      <c r="M2471" s="2" t="s">
        <v>29</v>
      </c>
      <c r="N2471" s="2">
        <v>10</v>
      </c>
      <c r="O2471" s="2">
        <v>466.67</v>
      </c>
      <c r="P2471" s="2">
        <f t="shared" si="190"/>
        <v>14</v>
      </c>
      <c r="Q2471" s="4">
        <f t="shared" si="191"/>
        <v>0.68181818181818177</v>
      </c>
      <c r="R2471" s="2" t="str">
        <f t="shared" si="192"/>
        <v>Inefficient</v>
      </c>
      <c r="S2471" s="2" t="str">
        <f t="shared" si="193"/>
        <v>Medium</v>
      </c>
      <c r="T2471" s="2" t="str">
        <f t="shared" si="194"/>
        <v>Minor Delay</v>
      </c>
    </row>
    <row r="2472" spans="1:20" x14ac:dyDescent="0.35">
      <c r="A2472" s="2" t="s">
        <v>5127</v>
      </c>
      <c r="B2472" s="2" t="s">
        <v>16</v>
      </c>
      <c r="C2472" s="2" t="s">
        <v>5128</v>
      </c>
      <c r="D2472" s="2" t="s">
        <v>18</v>
      </c>
      <c r="E2472" s="2" t="s">
        <v>19</v>
      </c>
      <c r="F2472" s="2" t="s">
        <v>20</v>
      </c>
      <c r="G2472" s="2" t="s">
        <v>188</v>
      </c>
      <c r="H2472" s="3">
        <v>45363.833333333336</v>
      </c>
      <c r="I2472" s="3">
        <v>45364.034722222219</v>
      </c>
      <c r="J2472" s="2">
        <v>220</v>
      </c>
      <c r="K2472" s="2">
        <v>290</v>
      </c>
      <c r="L2472" s="2">
        <v>1</v>
      </c>
      <c r="M2472" s="2" t="s">
        <v>22</v>
      </c>
      <c r="N2472" s="2">
        <v>7</v>
      </c>
      <c r="O2472" s="2">
        <v>430.08</v>
      </c>
      <c r="P2472" s="2">
        <f t="shared" si="190"/>
        <v>70</v>
      </c>
      <c r="Q2472" s="4">
        <f t="shared" si="191"/>
        <v>0.75862068965517238</v>
      </c>
      <c r="R2472" s="2" t="str">
        <f t="shared" si="192"/>
        <v>Inefficient</v>
      </c>
      <c r="S2472" s="2" t="str">
        <f t="shared" si="193"/>
        <v>Very Long</v>
      </c>
      <c r="T2472" s="2" t="str">
        <f t="shared" si="194"/>
        <v>Major Delay</v>
      </c>
    </row>
    <row r="2473" spans="1:20" x14ac:dyDescent="0.35">
      <c r="A2473" s="2" t="s">
        <v>5129</v>
      </c>
      <c r="B2473" s="2" t="s">
        <v>16</v>
      </c>
      <c r="C2473" s="2" t="s">
        <v>5130</v>
      </c>
      <c r="D2473" s="2" t="s">
        <v>26</v>
      </c>
      <c r="E2473" s="2" t="s">
        <v>33</v>
      </c>
      <c r="F2473" s="2" t="s">
        <v>27</v>
      </c>
      <c r="G2473" s="2" t="s">
        <v>210</v>
      </c>
      <c r="H2473" s="3">
        <v>45304.727777777778</v>
      </c>
      <c r="I2473" s="3">
        <v>45304.915972222225</v>
      </c>
      <c r="J2473" s="2">
        <v>173</v>
      </c>
      <c r="K2473" s="2">
        <v>271</v>
      </c>
      <c r="L2473" s="2">
        <v>1</v>
      </c>
      <c r="M2473" s="2" t="s">
        <v>29</v>
      </c>
      <c r="N2473" s="2">
        <v>7</v>
      </c>
      <c r="O2473" s="2">
        <v>135.05000000000001</v>
      </c>
      <c r="P2473" s="2">
        <f t="shared" si="190"/>
        <v>98</v>
      </c>
      <c r="Q2473" s="4">
        <f t="shared" si="191"/>
        <v>0.63837638376383765</v>
      </c>
      <c r="R2473" s="2" t="str">
        <f t="shared" si="192"/>
        <v>Inefficient</v>
      </c>
      <c r="S2473" s="2" t="str">
        <f t="shared" si="193"/>
        <v>Very Long</v>
      </c>
      <c r="T2473" s="2" t="str">
        <f t="shared" si="194"/>
        <v>Major Delay</v>
      </c>
    </row>
    <row r="2474" spans="1:20" x14ac:dyDescent="0.35">
      <c r="A2474" s="2" t="s">
        <v>5131</v>
      </c>
      <c r="B2474" s="2" t="s">
        <v>31</v>
      </c>
      <c r="C2474" s="2" t="s">
        <v>5132</v>
      </c>
      <c r="D2474" s="2" t="s">
        <v>26</v>
      </c>
      <c r="E2474" s="2" t="s">
        <v>19</v>
      </c>
      <c r="F2474" s="2" t="s">
        <v>39</v>
      </c>
      <c r="G2474" s="2" t="s">
        <v>237</v>
      </c>
      <c r="H2474" s="3">
        <v>45342.966666666667</v>
      </c>
      <c r="I2474" s="3">
        <v>45343.052083333336</v>
      </c>
      <c r="J2474" s="2">
        <v>113</v>
      </c>
      <c r="K2474" s="2">
        <v>123</v>
      </c>
      <c r="L2474" s="2">
        <v>1</v>
      </c>
      <c r="M2474" s="2" t="s">
        <v>41</v>
      </c>
      <c r="N2474" s="2">
        <v>9</v>
      </c>
      <c r="O2474" s="2">
        <v>385.35</v>
      </c>
      <c r="P2474" s="2">
        <f t="shared" si="190"/>
        <v>10</v>
      </c>
      <c r="Q2474" s="4">
        <f t="shared" si="191"/>
        <v>0.91869918699186992</v>
      </c>
      <c r="R2474" s="2" t="str">
        <f t="shared" si="192"/>
        <v>Inefficient</v>
      </c>
      <c r="S2474" s="2" t="str">
        <f t="shared" si="193"/>
        <v>Very Long</v>
      </c>
      <c r="T2474" s="2" t="str">
        <f t="shared" si="194"/>
        <v>Minor Delay</v>
      </c>
    </row>
    <row r="2475" spans="1:20" x14ac:dyDescent="0.35">
      <c r="A2475" s="2" t="s">
        <v>5133</v>
      </c>
      <c r="B2475" s="2" t="s">
        <v>24</v>
      </c>
      <c r="C2475" s="2" t="s">
        <v>5134</v>
      </c>
      <c r="D2475" s="2" t="s">
        <v>44</v>
      </c>
      <c r="E2475" s="2" t="s">
        <v>85</v>
      </c>
      <c r="F2475" s="2" t="s">
        <v>57</v>
      </c>
      <c r="G2475" s="2" t="s">
        <v>594</v>
      </c>
      <c r="H2475" s="3">
        <v>45430.823611111111</v>
      </c>
      <c r="I2475" s="3">
        <v>45430.947916666664</v>
      </c>
      <c r="J2475" s="2">
        <v>184</v>
      </c>
      <c r="K2475" s="2">
        <v>179</v>
      </c>
      <c r="L2475" s="2">
        <v>0</v>
      </c>
      <c r="M2475" s="2" t="s">
        <v>41</v>
      </c>
      <c r="N2475" s="2">
        <v>4</v>
      </c>
      <c r="O2475" s="2">
        <v>210.66</v>
      </c>
      <c r="P2475" s="2">
        <f t="shared" si="190"/>
        <v>-5</v>
      </c>
      <c r="Q2475" s="4">
        <f t="shared" si="191"/>
        <v>1.0279329608938548</v>
      </c>
      <c r="R2475" s="2" t="str">
        <f t="shared" si="192"/>
        <v>Efficient</v>
      </c>
      <c r="S2475" s="2" t="str">
        <f t="shared" si="193"/>
        <v>Very Long</v>
      </c>
      <c r="T2475" s="2" t="str">
        <f t="shared" si="194"/>
        <v>On Time</v>
      </c>
    </row>
    <row r="2476" spans="1:20" x14ac:dyDescent="0.35">
      <c r="A2476" s="2" t="s">
        <v>5135</v>
      </c>
      <c r="B2476" s="2" t="s">
        <v>16</v>
      </c>
      <c r="C2476" s="2" t="s">
        <v>5136</v>
      </c>
      <c r="D2476" s="2" t="s">
        <v>44</v>
      </c>
      <c r="E2476" s="2" t="s">
        <v>19</v>
      </c>
      <c r="F2476" s="2" t="s">
        <v>39</v>
      </c>
      <c r="G2476" s="2" t="s">
        <v>53</v>
      </c>
      <c r="H2476" s="3">
        <v>45430.114583333336</v>
      </c>
      <c r="I2476" s="3">
        <v>45430.331944444442</v>
      </c>
      <c r="J2476" s="2">
        <v>224</v>
      </c>
      <c r="K2476" s="2">
        <v>313</v>
      </c>
      <c r="L2476" s="2">
        <v>1</v>
      </c>
      <c r="M2476" s="2" t="s">
        <v>29</v>
      </c>
      <c r="N2476" s="2">
        <v>7</v>
      </c>
      <c r="O2476" s="2">
        <v>68.540000000000006</v>
      </c>
      <c r="P2476" s="2">
        <f t="shared" si="190"/>
        <v>89</v>
      </c>
      <c r="Q2476" s="4">
        <f t="shared" si="191"/>
        <v>0.71565495207667729</v>
      </c>
      <c r="R2476" s="2" t="str">
        <f t="shared" si="192"/>
        <v>Inefficient</v>
      </c>
      <c r="S2476" s="2" t="str">
        <f t="shared" si="193"/>
        <v>Very Long</v>
      </c>
      <c r="T2476" s="2" t="str">
        <f t="shared" si="194"/>
        <v>Major Delay</v>
      </c>
    </row>
    <row r="2477" spans="1:20" x14ac:dyDescent="0.35">
      <c r="A2477" s="2" t="s">
        <v>5137</v>
      </c>
      <c r="B2477" s="2" t="s">
        <v>16</v>
      </c>
      <c r="C2477" s="2" t="s">
        <v>5138</v>
      </c>
      <c r="D2477" s="2" t="s">
        <v>44</v>
      </c>
      <c r="E2477" s="2" t="s">
        <v>33</v>
      </c>
      <c r="F2477" s="2" t="s">
        <v>34</v>
      </c>
      <c r="G2477" s="2" t="s">
        <v>1413</v>
      </c>
      <c r="H2477" s="3">
        <v>45379.967361111114</v>
      </c>
      <c r="I2477" s="3">
        <v>45380.070138888892</v>
      </c>
      <c r="J2477" s="2">
        <v>71</v>
      </c>
      <c r="K2477" s="2">
        <v>148</v>
      </c>
      <c r="L2477" s="2">
        <v>1</v>
      </c>
      <c r="M2477" s="2" t="s">
        <v>41</v>
      </c>
      <c r="N2477" s="2">
        <v>2</v>
      </c>
      <c r="O2477" s="2">
        <v>233.12</v>
      </c>
      <c r="P2477" s="2">
        <f t="shared" si="190"/>
        <v>77</v>
      </c>
      <c r="Q2477" s="4">
        <f t="shared" si="191"/>
        <v>0.47972972972972971</v>
      </c>
      <c r="R2477" s="2" t="str">
        <f t="shared" si="192"/>
        <v>Inefficient</v>
      </c>
      <c r="S2477" s="2" t="str">
        <f t="shared" si="193"/>
        <v>Very Long</v>
      </c>
      <c r="T2477" s="2" t="str">
        <f t="shared" si="194"/>
        <v>Major Delay</v>
      </c>
    </row>
    <row r="2478" spans="1:20" x14ac:dyDescent="0.35">
      <c r="A2478" s="2" t="s">
        <v>5139</v>
      </c>
      <c r="B2478" s="2" t="s">
        <v>24</v>
      </c>
      <c r="C2478" s="2" t="s">
        <v>5140</v>
      </c>
      <c r="D2478" s="2" t="s">
        <v>26</v>
      </c>
      <c r="E2478" s="2" t="s">
        <v>38</v>
      </c>
      <c r="F2478" s="2" t="s">
        <v>20</v>
      </c>
      <c r="G2478" s="2" t="s">
        <v>777</v>
      </c>
      <c r="H2478" s="3">
        <v>45321.502083333333</v>
      </c>
      <c r="I2478" s="3">
        <v>45321.65902777778</v>
      </c>
      <c r="J2478" s="2">
        <v>214</v>
      </c>
      <c r="K2478" s="2">
        <v>226</v>
      </c>
      <c r="L2478" s="2">
        <v>1</v>
      </c>
      <c r="M2478" s="2" t="s">
        <v>41</v>
      </c>
      <c r="N2478" s="2">
        <v>1</v>
      </c>
      <c r="O2478" s="2">
        <v>204.34</v>
      </c>
      <c r="P2478" s="2">
        <f t="shared" si="190"/>
        <v>12</v>
      </c>
      <c r="Q2478" s="4">
        <f t="shared" si="191"/>
        <v>0.94690265486725667</v>
      </c>
      <c r="R2478" s="2" t="str">
        <f t="shared" si="192"/>
        <v>Inefficient</v>
      </c>
      <c r="S2478" s="2" t="str">
        <f t="shared" si="193"/>
        <v>Very Long</v>
      </c>
      <c r="T2478" s="2" t="str">
        <f t="shared" si="194"/>
        <v>Minor Delay</v>
      </c>
    </row>
    <row r="2479" spans="1:20" x14ac:dyDescent="0.35">
      <c r="A2479" s="2" t="s">
        <v>5141</v>
      </c>
      <c r="B2479" s="2" t="s">
        <v>31</v>
      </c>
      <c r="C2479" s="2" t="s">
        <v>5142</v>
      </c>
      <c r="D2479" s="2" t="s">
        <v>44</v>
      </c>
      <c r="E2479" s="2" t="s">
        <v>33</v>
      </c>
      <c r="F2479" s="2" t="s">
        <v>39</v>
      </c>
      <c r="G2479" s="2" t="s">
        <v>204</v>
      </c>
      <c r="H2479" s="3">
        <v>45486.243055555555</v>
      </c>
      <c r="I2479" s="3">
        <v>45486.301388888889</v>
      </c>
      <c r="J2479" s="2">
        <v>60</v>
      </c>
      <c r="K2479" s="2">
        <v>84</v>
      </c>
      <c r="L2479" s="2">
        <v>1</v>
      </c>
      <c r="M2479" s="2" t="s">
        <v>41</v>
      </c>
      <c r="N2479" s="2">
        <v>1</v>
      </c>
      <c r="O2479" s="2">
        <v>353.05</v>
      </c>
      <c r="P2479" s="2">
        <f t="shared" si="190"/>
        <v>24</v>
      </c>
      <c r="Q2479" s="4">
        <f t="shared" si="191"/>
        <v>0.7142857142857143</v>
      </c>
      <c r="R2479" s="2" t="str">
        <f t="shared" si="192"/>
        <v>Inefficient</v>
      </c>
      <c r="S2479" s="2" t="str">
        <f t="shared" si="193"/>
        <v>Long</v>
      </c>
      <c r="T2479" s="2" t="str">
        <f t="shared" si="194"/>
        <v>Minor Delay</v>
      </c>
    </row>
    <row r="2480" spans="1:20" x14ac:dyDescent="0.35">
      <c r="A2480" s="2" t="s">
        <v>5143</v>
      </c>
      <c r="B2480" s="2" t="s">
        <v>16</v>
      </c>
      <c r="C2480" s="2" t="s">
        <v>5144</v>
      </c>
      <c r="D2480" s="2" t="s">
        <v>48</v>
      </c>
      <c r="E2480" s="2" t="s">
        <v>19</v>
      </c>
      <c r="F2480" s="2" t="s">
        <v>27</v>
      </c>
      <c r="G2480" s="2" t="s">
        <v>108</v>
      </c>
      <c r="H2480" s="3">
        <v>45563.200694444444</v>
      </c>
      <c r="I2480" s="3">
        <v>45563.442361111112</v>
      </c>
      <c r="J2480" s="2">
        <v>239</v>
      </c>
      <c r="K2480" s="2">
        <v>348</v>
      </c>
      <c r="L2480" s="2">
        <v>1</v>
      </c>
      <c r="M2480" s="2" t="s">
        <v>29</v>
      </c>
      <c r="N2480" s="2">
        <v>8</v>
      </c>
      <c r="O2480" s="2">
        <v>322.91000000000003</v>
      </c>
      <c r="P2480" s="2">
        <f t="shared" si="190"/>
        <v>109</v>
      </c>
      <c r="Q2480" s="4">
        <f t="shared" si="191"/>
        <v>0.68678160919540232</v>
      </c>
      <c r="R2480" s="2" t="str">
        <f t="shared" si="192"/>
        <v>Inefficient</v>
      </c>
      <c r="S2480" s="2" t="str">
        <f t="shared" si="193"/>
        <v>Very Long</v>
      </c>
      <c r="T2480" s="2" t="str">
        <f t="shared" si="194"/>
        <v>Major Delay</v>
      </c>
    </row>
    <row r="2481" spans="1:20" x14ac:dyDescent="0.35">
      <c r="A2481" s="2" t="s">
        <v>5145</v>
      </c>
      <c r="B2481" s="2" t="s">
        <v>16</v>
      </c>
      <c r="C2481" s="2" t="s">
        <v>5146</v>
      </c>
      <c r="D2481" s="2" t="s">
        <v>18</v>
      </c>
      <c r="E2481" s="2" t="s">
        <v>38</v>
      </c>
      <c r="F2481" s="2" t="s">
        <v>57</v>
      </c>
      <c r="G2481" s="2" t="s">
        <v>681</v>
      </c>
      <c r="H2481" s="3">
        <v>45536.017361111109</v>
      </c>
      <c r="I2481" s="3">
        <v>45536.165277777778</v>
      </c>
      <c r="J2481" s="2">
        <v>95</v>
      </c>
      <c r="K2481" s="2">
        <v>213</v>
      </c>
      <c r="L2481" s="2">
        <v>1</v>
      </c>
      <c r="M2481" s="2" t="s">
        <v>22</v>
      </c>
      <c r="N2481" s="2">
        <v>5</v>
      </c>
      <c r="O2481" s="2">
        <v>357.55</v>
      </c>
      <c r="P2481" s="2">
        <f t="shared" si="190"/>
        <v>118</v>
      </c>
      <c r="Q2481" s="4">
        <f t="shared" si="191"/>
        <v>0.4460093896713615</v>
      </c>
      <c r="R2481" s="2" t="str">
        <f t="shared" si="192"/>
        <v>Inefficient</v>
      </c>
      <c r="S2481" s="2" t="str">
        <f t="shared" si="193"/>
        <v>Very Long</v>
      </c>
      <c r="T2481" s="2" t="str">
        <f t="shared" si="194"/>
        <v>Major Delay</v>
      </c>
    </row>
    <row r="2482" spans="1:20" x14ac:dyDescent="0.35">
      <c r="A2482" s="2" t="s">
        <v>5147</v>
      </c>
      <c r="B2482" s="2" t="s">
        <v>24</v>
      </c>
      <c r="C2482" s="2" t="s">
        <v>5148</v>
      </c>
      <c r="D2482" s="2" t="s">
        <v>18</v>
      </c>
      <c r="E2482" s="2" t="s">
        <v>33</v>
      </c>
      <c r="F2482" s="2" t="s">
        <v>20</v>
      </c>
      <c r="G2482" s="2" t="s">
        <v>21</v>
      </c>
      <c r="H2482" s="3">
        <v>45357.821527777778</v>
      </c>
      <c r="I2482" s="3">
        <v>45358.00277777778</v>
      </c>
      <c r="J2482" s="2">
        <v>206</v>
      </c>
      <c r="K2482" s="2">
        <v>261</v>
      </c>
      <c r="L2482" s="2">
        <v>1</v>
      </c>
      <c r="M2482" s="2" t="s">
        <v>22</v>
      </c>
      <c r="N2482" s="2">
        <v>5</v>
      </c>
      <c r="O2482" s="2">
        <v>335.37</v>
      </c>
      <c r="P2482" s="2">
        <f t="shared" si="190"/>
        <v>55</v>
      </c>
      <c r="Q2482" s="4">
        <f t="shared" si="191"/>
        <v>0.78927203065134099</v>
      </c>
      <c r="R2482" s="2" t="str">
        <f t="shared" si="192"/>
        <v>Inefficient</v>
      </c>
      <c r="S2482" s="2" t="str">
        <f t="shared" si="193"/>
        <v>Very Long</v>
      </c>
      <c r="T2482" s="2" t="str">
        <f t="shared" si="194"/>
        <v>Major Delay</v>
      </c>
    </row>
    <row r="2483" spans="1:20" x14ac:dyDescent="0.35">
      <c r="A2483" s="2" t="s">
        <v>5149</v>
      </c>
      <c r="B2483" s="2" t="s">
        <v>24</v>
      </c>
      <c r="C2483" s="2" t="s">
        <v>5150</v>
      </c>
      <c r="D2483" s="2" t="s">
        <v>44</v>
      </c>
      <c r="E2483" s="2" t="s">
        <v>38</v>
      </c>
      <c r="F2483" s="2" t="s">
        <v>34</v>
      </c>
      <c r="G2483" s="2" t="s">
        <v>684</v>
      </c>
      <c r="H2483" s="3">
        <v>45597.285416666666</v>
      </c>
      <c r="I2483" s="3">
        <v>45597.454861111109</v>
      </c>
      <c r="J2483" s="2">
        <v>211</v>
      </c>
      <c r="K2483" s="2">
        <v>244</v>
      </c>
      <c r="L2483" s="2">
        <v>1</v>
      </c>
      <c r="M2483" s="2" t="s">
        <v>41</v>
      </c>
      <c r="N2483" s="2">
        <v>9</v>
      </c>
      <c r="O2483" s="2">
        <v>166.41</v>
      </c>
      <c r="P2483" s="2">
        <f t="shared" si="190"/>
        <v>33</v>
      </c>
      <c r="Q2483" s="4">
        <f t="shared" si="191"/>
        <v>0.86475409836065575</v>
      </c>
      <c r="R2483" s="2" t="str">
        <f t="shared" si="192"/>
        <v>Inefficient</v>
      </c>
      <c r="S2483" s="2" t="str">
        <f t="shared" si="193"/>
        <v>Very Long</v>
      </c>
      <c r="T2483" s="2" t="str">
        <f t="shared" si="194"/>
        <v>Major Delay</v>
      </c>
    </row>
    <row r="2484" spans="1:20" x14ac:dyDescent="0.35">
      <c r="A2484" s="2" t="s">
        <v>5151</v>
      </c>
      <c r="B2484" s="2" t="s">
        <v>24</v>
      </c>
      <c r="C2484" s="2" t="s">
        <v>5152</v>
      </c>
      <c r="D2484" s="2" t="s">
        <v>44</v>
      </c>
      <c r="E2484" s="2" t="s">
        <v>38</v>
      </c>
      <c r="F2484" s="2" t="s">
        <v>20</v>
      </c>
      <c r="G2484" s="2" t="s">
        <v>129</v>
      </c>
      <c r="H2484" s="3">
        <v>45295.136111111111</v>
      </c>
      <c r="I2484" s="3">
        <v>45295.240277777775</v>
      </c>
      <c r="J2484" s="2">
        <v>130</v>
      </c>
      <c r="K2484" s="2">
        <v>150</v>
      </c>
      <c r="L2484" s="2">
        <v>1</v>
      </c>
      <c r="M2484" s="2" t="s">
        <v>29</v>
      </c>
      <c r="N2484" s="2">
        <v>7</v>
      </c>
      <c r="O2484" s="2">
        <v>167.83</v>
      </c>
      <c r="P2484" s="2">
        <f t="shared" si="190"/>
        <v>20</v>
      </c>
      <c r="Q2484" s="4">
        <f t="shared" si="191"/>
        <v>0.8666666666666667</v>
      </c>
      <c r="R2484" s="2" t="str">
        <f t="shared" si="192"/>
        <v>Inefficient</v>
      </c>
      <c r="S2484" s="2" t="str">
        <f t="shared" si="193"/>
        <v>Very Long</v>
      </c>
      <c r="T2484" s="2" t="str">
        <f t="shared" si="194"/>
        <v>Minor Delay</v>
      </c>
    </row>
    <row r="2485" spans="1:20" x14ac:dyDescent="0.35">
      <c r="A2485" s="2" t="s">
        <v>5153</v>
      </c>
      <c r="B2485" s="2" t="s">
        <v>24</v>
      </c>
      <c r="C2485" s="2" t="s">
        <v>5154</v>
      </c>
      <c r="D2485" s="2" t="s">
        <v>26</v>
      </c>
      <c r="E2485" s="2" t="s">
        <v>38</v>
      </c>
      <c r="F2485" s="2" t="s">
        <v>27</v>
      </c>
      <c r="G2485" s="2" t="s">
        <v>999</v>
      </c>
      <c r="H2485" s="3">
        <v>45645.970138888886</v>
      </c>
      <c r="I2485" s="3">
        <v>45646.138888888891</v>
      </c>
      <c r="J2485" s="2">
        <v>148</v>
      </c>
      <c r="K2485" s="2">
        <v>243</v>
      </c>
      <c r="L2485" s="2">
        <v>1</v>
      </c>
      <c r="M2485" s="2" t="s">
        <v>22</v>
      </c>
      <c r="N2485" s="2">
        <v>5</v>
      </c>
      <c r="O2485" s="2">
        <v>59.95</v>
      </c>
      <c r="P2485" s="2">
        <f t="shared" si="190"/>
        <v>95</v>
      </c>
      <c r="Q2485" s="4">
        <f t="shared" si="191"/>
        <v>0.60905349794238683</v>
      </c>
      <c r="R2485" s="2" t="str">
        <f t="shared" si="192"/>
        <v>Inefficient</v>
      </c>
      <c r="S2485" s="2" t="str">
        <f t="shared" si="193"/>
        <v>Very Long</v>
      </c>
      <c r="T2485" s="2" t="str">
        <f t="shared" si="194"/>
        <v>Major Delay</v>
      </c>
    </row>
    <row r="2486" spans="1:20" x14ac:dyDescent="0.35">
      <c r="A2486" s="2" t="s">
        <v>5155</v>
      </c>
      <c r="B2486" s="2" t="s">
        <v>24</v>
      </c>
      <c r="C2486" s="2" t="s">
        <v>5156</v>
      </c>
      <c r="D2486" s="2" t="s">
        <v>44</v>
      </c>
      <c r="E2486" s="2" t="s">
        <v>19</v>
      </c>
      <c r="F2486" s="2" t="s">
        <v>57</v>
      </c>
      <c r="G2486" s="2" t="s">
        <v>842</v>
      </c>
      <c r="H2486" s="3">
        <v>45520.375694444447</v>
      </c>
      <c r="I2486" s="3">
        <v>45520.532638888886</v>
      </c>
      <c r="J2486" s="2">
        <v>131</v>
      </c>
      <c r="K2486" s="2">
        <v>226</v>
      </c>
      <c r="L2486" s="2">
        <v>1</v>
      </c>
      <c r="M2486" s="2" t="s">
        <v>22</v>
      </c>
      <c r="N2486" s="2">
        <v>10</v>
      </c>
      <c r="O2486" s="2">
        <v>92.53</v>
      </c>
      <c r="P2486" s="2">
        <f t="shared" si="190"/>
        <v>95</v>
      </c>
      <c r="Q2486" s="4">
        <f t="shared" si="191"/>
        <v>0.57964601769911506</v>
      </c>
      <c r="R2486" s="2" t="str">
        <f t="shared" si="192"/>
        <v>Inefficient</v>
      </c>
      <c r="S2486" s="2" t="str">
        <f t="shared" si="193"/>
        <v>Very Long</v>
      </c>
      <c r="T2486" s="2" t="str">
        <f t="shared" si="194"/>
        <v>Major Delay</v>
      </c>
    </row>
    <row r="2487" spans="1:20" x14ac:dyDescent="0.35">
      <c r="A2487" s="2" t="s">
        <v>5157</v>
      </c>
      <c r="B2487" s="2" t="s">
        <v>51</v>
      </c>
      <c r="C2487" s="2" t="s">
        <v>5158</v>
      </c>
      <c r="D2487" s="2" t="s">
        <v>44</v>
      </c>
      <c r="E2487" s="2" t="s">
        <v>33</v>
      </c>
      <c r="F2487" s="2" t="s">
        <v>34</v>
      </c>
      <c r="G2487" s="2" t="s">
        <v>485</v>
      </c>
      <c r="H2487" s="3">
        <v>45305.40625</v>
      </c>
      <c r="I2487" s="3">
        <v>45305.578472222223</v>
      </c>
      <c r="J2487" s="2">
        <v>224</v>
      </c>
      <c r="K2487" s="2">
        <v>248</v>
      </c>
      <c r="L2487" s="2">
        <v>1</v>
      </c>
      <c r="M2487" s="2" t="s">
        <v>22</v>
      </c>
      <c r="N2487" s="2">
        <v>4</v>
      </c>
      <c r="O2487" s="2">
        <v>344.1</v>
      </c>
      <c r="P2487" s="2">
        <f t="shared" si="190"/>
        <v>24</v>
      </c>
      <c r="Q2487" s="4">
        <f t="shared" si="191"/>
        <v>0.90322580645161288</v>
      </c>
      <c r="R2487" s="2" t="str">
        <f t="shared" si="192"/>
        <v>Inefficient</v>
      </c>
      <c r="S2487" s="2" t="str">
        <f t="shared" si="193"/>
        <v>Very Long</v>
      </c>
      <c r="T2487" s="2" t="str">
        <f t="shared" si="194"/>
        <v>Minor Delay</v>
      </c>
    </row>
    <row r="2488" spans="1:20" x14ac:dyDescent="0.35">
      <c r="A2488" s="2" t="s">
        <v>5159</v>
      </c>
      <c r="B2488" s="2" t="s">
        <v>63</v>
      </c>
      <c r="C2488" s="2" t="s">
        <v>5160</v>
      </c>
      <c r="D2488" s="2" t="s">
        <v>26</v>
      </c>
      <c r="E2488" s="2" t="s">
        <v>85</v>
      </c>
      <c r="F2488" s="2" t="s">
        <v>34</v>
      </c>
      <c r="G2488" s="2" t="s">
        <v>1413</v>
      </c>
      <c r="H2488" s="3">
        <v>45606.950694444444</v>
      </c>
      <c r="I2488" s="3">
        <v>45607.035416666666</v>
      </c>
      <c r="J2488" s="2">
        <v>45</v>
      </c>
      <c r="K2488" s="2">
        <v>122</v>
      </c>
      <c r="L2488" s="2">
        <v>1</v>
      </c>
      <c r="M2488" s="2" t="s">
        <v>29</v>
      </c>
      <c r="N2488" s="2">
        <v>5</v>
      </c>
      <c r="O2488" s="2">
        <v>298.33</v>
      </c>
      <c r="P2488" s="2">
        <f t="shared" si="190"/>
        <v>77</v>
      </c>
      <c r="Q2488" s="4">
        <f t="shared" si="191"/>
        <v>0.36885245901639346</v>
      </c>
      <c r="R2488" s="2" t="str">
        <f t="shared" si="192"/>
        <v>Inefficient</v>
      </c>
      <c r="S2488" s="2" t="str">
        <f t="shared" si="193"/>
        <v>Very Long</v>
      </c>
      <c r="T2488" s="2" t="str">
        <f t="shared" si="194"/>
        <v>Major Delay</v>
      </c>
    </row>
    <row r="2489" spans="1:20" x14ac:dyDescent="0.35">
      <c r="A2489" s="2" t="s">
        <v>5161</v>
      </c>
      <c r="B2489" s="2" t="s">
        <v>51</v>
      </c>
      <c r="C2489" s="2" t="s">
        <v>5162</v>
      </c>
      <c r="D2489" s="2" t="s">
        <v>44</v>
      </c>
      <c r="E2489" s="2" t="s">
        <v>33</v>
      </c>
      <c r="F2489" s="2" t="s">
        <v>20</v>
      </c>
      <c r="G2489" s="2" t="s">
        <v>842</v>
      </c>
      <c r="H2489" s="3">
        <v>45489.268055555556</v>
      </c>
      <c r="I2489" s="3">
        <v>45489.331944444442</v>
      </c>
      <c r="J2489" s="2">
        <v>48</v>
      </c>
      <c r="K2489" s="2">
        <v>92</v>
      </c>
      <c r="L2489" s="2">
        <v>1</v>
      </c>
      <c r="M2489" s="2" t="s">
        <v>22</v>
      </c>
      <c r="N2489" s="2">
        <v>6</v>
      </c>
      <c r="O2489" s="2">
        <v>91.67</v>
      </c>
      <c r="P2489" s="2">
        <f t="shared" si="190"/>
        <v>44</v>
      </c>
      <c r="Q2489" s="4">
        <f t="shared" si="191"/>
        <v>0.52173913043478259</v>
      </c>
      <c r="R2489" s="2" t="str">
        <f t="shared" si="192"/>
        <v>Inefficient</v>
      </c>
      <c r="S2489" s="2" t="str">
        <f t="shared" si="193"/>
        <v>Long</v>
      </c>
      <c r="T2489" s="2" t="str">
        <f t="shared" si="194"/>
        <v>Major Delay</v>
      </c>
    </row>
    <row r="2490" spans="1:20" x14ac:dyDescent="0.35">
      <c r="A2490" s="2" t="s">
        <v>5163</v>
      </c>
      <c r="B2490" s="2" t="s">
        <v>51</v>
      </c>
      <c r="C2490" s="2" t="s">
        <v>5164</v>
      </c>
      <c r="D2490" s="2" t="s">
        <v>44</v>
      </c>
      <c r="E2490" s="2" t="s">
        <v>38</v>
      </c>
      <c r="F2490" s="2" t="s">
        <v>34</v>
      </c>
      <c r="G2490" s="2" t="s">
        <v>397</v>
      </c>
      <c r="H2490" s="3">
        <v>45347.01458333333</v>
      </c>
      <c r="I2490" s="3">
        <v>45347.196527777778</v>
      </c>
      <c r="J2490" s="2">
        <v>186</v>
      </c>
      <c r="K2490" s="2">
        <v>262</v>
      </c>
      <c r="L2490" s="2">
        <v>1</v>
      </c>
      <c r="M2490" s="2" t="s">
        <v>29</v>
      </c>
      <c r="N2490" s="2">
        <v>3</v>
      </c>
      <c r="O2490" s="2">
        <v>245</v>
      </c>
      <c r="P2490" s="2">
        <f t="shared" si="190"/>
        <v>76</v>
      </c>
      <c r="Q2490" s="4">
        <f t="shared" si="191"/>
        <v>0.70992366412213737</v>
      </c>
      <c r="R2490" s="2" t="str">
        <f t="shared" si="192"/>
        <v>Inefficient</v>
      </c>
      <c r="S2490" s="2" t="str">
        <f t="shared" si="193"/>
        <v>Very Long</v>
      </c>
      <c r="T2490" s="2" t="str">
        <f t="shared" si="194"/>
        <v>Major Delay</v>
      </c>
    </row>
    <row r="2491" spans="1:20" x14ac:dyDescent="0.35">
      <c r="A2491" s="2" t="s">
        <v>5165</v>
      </c>
      <c r="B2491" s="2" t="s">
        <v>51</v>
      </c>
      <c r="C2491" s="2" t="s">
        <v>5166</v>
      </c>
      <c r="D2491" s="2" t="s">
        <v>18</v>
      </c>
      <c r="E2491" s="2" t="s">
        <v>33</v>
      </c>
      <c r="F2491" s="2" t="s">
        <v>39</v>
      </c>
      <c r="G2491" s="2" t="s">
        <v>410</v>
      </c>
      <c r="H2491" s="3">
        <v>45305.17083333333</v>
      </c>
      <c r="I2491" s="3">
        <v>45305.306250000001</v>
      </c>
      <c r="J2491" s="2">
        <v>128</v>
      </c>
      <c r="K2491" s="2">
        <v>195</v>
      </c>
      <c r="L2491" s="2">
        <v>1</v>
      </c>
      <c r="M2491" s="2" t="s">
        <v>22</v>
      </c>
      <c r="N2491" s="2">
        <v>10</v>
      </c>
      <c r="O2491" s="2">
        <v>473.13</v>
      </c>
      <c r="P2491" s="2">
        <f t="shared" si="190"/>
        <v>67</v>
      </c>
      <c r="Q2491" s="4">
        <f t="shared" si="191"/>
        <v>0.65641025641025641</v>
      </c>
      <c r="R2491" s="2" t="str">
        <f t="shared" si="192"/>
        <v>Inefficient</v>
      </c>
      <c r="S2491" s="2" t="str">
        <f t="shared" si="193"/>
        <v>Very Long</v>
      </c>
      <c r="T2491" s="2" t="str">
        <f t="shared" si="194"/>
        <v>Major Delay</v>
      </c>
    </row>
    <row r="2492" spans="1:20" x14ac:dyDescent="0.35">
      <c r="A2492" s="2" t="s">
        <v>5167</v>
      </c>
      <c r="B2492" s="2" t="s">
        <v>24</v>
      </c>
      <c r="C2492" s="2" t="s">
        <v>5168</v>
      </c>
      <c r="D2492" s="2" t="s">
        <v>44</v>
      </c>
      <c r="E2492" s="2" t="s">
        <v>85</v>
      </c>
      <c r="F2492" s="2" t="s">
        <v>57</v>
      </c>
      <c r="G2492" s="2" t="s">
        <v>650</v>
      </c>
      <c r="H2492" s="3">
        <v>45550.708333333336</v>
      </c>
      <c r="I2492" s="3">
        <v>45550.797222222223</v>
      </c>
      <c r="J2492" s="2">
        <v>38</v>
      </c>
      <c r="K2492" s="2">
        <v>128</v>
      </c>
      <c r="L2492" s="2">
        <v>1</v>
      </c>
      <c r="M2492" s="2" t="s">
        <v>29</v>
      </c>
      <c r="N2492" s="2">
        <v>8</v>
      </c>
      <c r="O2492" s="2">
        <v>110.51</v>
      </c>
      <c r="P2492" s="2">
        <f t="shared" si="190"/>
        <v>90</v>
      </c>
      <c r="Q2492" s="4">
        <f t="shared" si="191"/>
        <v>0.296875</v>
      </c>
      <c r="R2492" s="2" t="str">
        <f t="shared" si="192"/>
        <v>Inefficient</v>
      </c>
      <c r="S2492" s="2" t="str">
        <f t="shared" si="193"/>
        <v>Very Long</v>
      </c>
      <c r="T2492" s="2" t="str">
        <f t="shared" si="194"/>
        <v>Major Delay</v>
      </c>
    </row>
    <row r="2493" spans="1:20" x14ac:dyDescent="0.35">
      <c r="A2493" s="2" t="s">
        <v>5169</v>
      </c>
      <c r="B2493" s="2" t="s">
        <v>51</v>
      </c>
      <c r="C2493" s="2" t="s">
        <v>5170</v>
      </c>
      <c r="D2493" s="2" t="s">
        <v>48</v>
      </c>
      <c r="E2493" s="2" t="s">
        <v>38</v>
      </c>
      <c r="F2493" s="2" t="s">
        <v>27</v>
      </c>
      <c r="G2493" s="2" t="s">
        <v>785</v>
      </c>
      <c r="H2493" s="3">
        <v>45340.67083333333</v>
      </c>
      <c r="I2493" s="3">
        <v>45340.804861111108</v>
      </c>
      <c r="J2493" s="2">
        <v>133</v>
      </c>
      <c r="K2493" s="2">
        <v>193</v>
      </c>
      <c r="L2493" s="2">
        <v>1</v>
      </c>
      <c r="M2493" s="2" t="s">
        <v>22</v>
      </c>
      <c r="N2493" s="2">
        <v>7</v>
      </c>
      <c r="O2493" s="2">
        <v>132.4</v>
      </c>
      <c r="P2493" s="2">
        <f t="shared" si="190"/>
        <v>60</v>
      </c>
      <c r="Q2493" s="4">
        <f t="shared" si="191"/>
        <v>0.68911917098445596</v>
      </c>
      <c r="R2493" s="2" t="str">
        <f t="shared" si="192"/>
        <v>Inefficient</v>
      </c>
      <c r="S2493" s="2" t="str">
        <f t="shared" si="193"/>
        <v>Very Long</v>
      </c>
      <c r="T2493" s="2" t="str">
        <f t="shared" si="194"/>
        <v>Major Delay</v>
      </c>
    </row>
    <row r="2494" spans="1:20" x14ac:dyDescent="0.35">
      <c r="A2494" s="2" t="s">
        <v>5171</v>
      </c>
      <c r="B2494" s="2" t="s">
        <v>24</v>
      </c>
      <c r="C2494" s="2" t="s">
        <v>5172</v>
      </c>
      <c r="D2494" s="2" t="s">
        <v>44</v>
      </c>
      <c r="E2494" s="2" t="s">
        <v>33</v>
      </c>
      <c r="F2494" s="2" t="s">
        <v>27</v>
      </c>
      <c r="G2494" s="2" t="s">
        <v>602</v>
      </c>
      <c r="H2494" s="3">
        <v>45396.039583333331</v>
      </c>
      <c r="I2494" s="3">
        <v>45396.115277777775</v>
      </c>
      <c r="J2494" s="2">
        <v>29</v>
      </c>
      <c r="K2494" s="2">
        <v>109</v>
      </c>
      <c r="L2494" s="2">
        <v>1</v>
      </c>
      <c r="M2494" s="2" t="s">
        <v>22</v>
      </c>
      <c r="N2494" s="2">
        <v>10</v>
      </c>
      <c r="O2494" s="2">
        <v>406.57</v>
      </c>
      <c r="P2494" s="2">
        <f t="shared" si="190"/>
        <v>80</v>
      </c>
      <c r="Q2494" s="4">
        <f t="shared" si="191"/>
        <v>0.26605504587155965</v>
      </c>
      <c r="R2494" s="2" t="str">
        <f t="shared" si="192"/>
        <v>Inefficient</v>
      </c>
      <c r="S2494" s="2" t="str">
        <f t="shared" si="193"/>
        <v>Long</v>
      </c>
      <c r="T2494" s="2" t="str">
        <f t="shared" si="194"/>
        <v>Major Delay</v>
      </c>
    </row>
    <row r="2495" spans="1:20" x14ac:dyDescent="0.35">
      <c r="A2495" s="2" t="s">
        <v>5173</v>
      </c>
      <c r="B2495" s="2" t="s">
        <v>16</v>
      </c>
      <c r="C2495" s="2" t="s">
        <v>5174</v>
      </c>
      <c r="D2495" s="2" t="s">
        <v>26</v>
      </c>
      <c r="E2495" s="2" t="s">
        <v>85</v>
      </c>
      <c r="F2495" s="2" t="s">
        <v>34</v>
      </c>
      <c r="G2495" s="2" t="s">
        <v>376</v>
      </c>
      <c r="H2495" s="3">
        <v>45639.663194444445</v>
      </c>
      <c r="I2495" s="3">
        <v>45639.803472222222</v>
      </c>
      <c r="J2495" s="2">
        <v>93</v>
      </c>
      <c r="K2495" s="2">
        <v>202</v>
      </c>
      <c r="L2495" s="2">
        <v>1</v>
      </c>
      <c r="M2495" s="2" t="s">
        <v>41</v>
      </c>
      <c r="N2495" s="2">
        <v>9</v>
      </c>
      <c r="O2495" s="2">
        <v>56.92</v>
      </c>
      <c r="P2495" s="2">
        <f t="shared" si="190"/>
        <v>109</v>
      </c>
      <c r="Q2495" s="4">
        <f t="shared" si="191"/>
        <v>0.46039603960396042</v>
      </c>
      <c r="R2495" s="2" t="str">
        <f t="shared" si="192"/>
        <v>Inefficient</v>
      </c>
      <c r="S2495" s="2" t="str">
        <f t="shared" si="193"/>
        <v>Very Long</v>
      </c>
      <c r="T2495" s="2" t="str">
        <f t="shared" si="194"/>
        <v>Major Delay</v>
      </c>
    </row>
    <row r="2496" spans="1:20" x14ac:dyDescent="0.35">
      <c r="A2496" s="2" t="s">
        <v>5175</v>
      </c>
      <c r="B2496" s="2" t="s">
        <v>16</v>
      </c>
      <c r="C2496" s="2" t="s">
        <v>5176</v>
      </c>
      <c r="D2496" s="2" t="s">
        <v>48</v>
      </c>
      <c r="E2496" s="2" t="s">
        <v>19</v>
      </c>
      <c r="F2496" s="2" t="s">
        <v>34</v>
      </c>
      <c r="G2496" s="2" t="s">
        <v>473</v>
      </c>
      <c r="H2496" s="3">
        <v>45314.401388888888</v>
      </c>
      <c r="I2496" s="3">
        <v>45314.454861111109</v>
      </c>
      <c r="J2496" s="2">
        <v>21</v>
      </c>
      <c r="K2496" s="2">
        <v>77</v>
      </c>
      <c r="L2496" s="2">
        <v>1</v>
      </c>
      <c r="M2496" s="2" t="s">
        <v>41</v>
      </c>
      <c r="N2496" s="2">
        <v>2</v>
      </c>
      <c r="O2496" s="2">
        <v>221.98</v>
      </c>
      <c r="P2496" s="2">
        <f t="shared" si="190"/>
        <v>56</v>
      </c>
      <c r="Q2496" s="4">
        <f t="shared" si="191"/>
        <v>0.27272727272727271</v>
      </c>
      <c r="R2496" s="2" t="str">
        <f t="shared" si="192"/>
        <v>Inefficient</v>
      </c>
      <c r="S2496" s="2" t="str">
        <f t="shared" si="193"/>
        <v>Long</v>
      </c>
      <c r="T2496" s="2" t="str">
        <f t="shared" si="194"/>
        <v>Major Delay</v>
      </c>
    </row>
    <row r="2497" spans="1:20" x14ac:dyDescent="0.35">
      <c r="A2497" s="2" t="s">
        <v>5177</v>
      </c>
      <c r="B2497" s="2" t="s">
        <v>24</v>
      </c>
      <c r="C2497" s="2" t="s">
        <v>5178</v>
      </c>
      <c r="D2497" s="2" t="s">
        <v>26</v>
      </c>
      <c r="E2497" s="2" t="s">
        <v>85</v>
      </c>
      <c r="F2497" s="2" t="s">
        <v>20</v>
      </c>
      <c r="G2497" s="2" t="s">
        <v>526</v>
      </c>
      <c r="H2497" s="3">
        <v>45320.408333333333</v>
      </c>
      <c r="I2497" s="3">
        <v>45320.456944444442</v>
      </c>
      <c r="J2497" s="2">
        <v>33</v>
      </c>
      <c r="K2497" s="2">
        <v>70</v>
      </c>
      <c r="L2497" s="2">
        <v>1</v>
      </c>
      <c r="M2497" s="2" t="s">
        <v>41</v>
      </c>
      <c r="N2497" s="2">
        <v>8</v>
      </c>
      <c r="O2497" s="2">
        <v>143.87</v>
      </c>
      <c r="P2497" s="2">
        <f t="shared" si="190"/>
        <v>37</v>
      </c>
      <c r="Q2497" s="4">
        <f t="shared" si="191"/>
        <v>0.47142857142857142</v>
      </c>
      <c r="R2497" s="2" t="str">
        <f t="shared" si="192"/>
        <v>Inefficient</v>
      </c>
      <c r="S2497" s="2" t="str">
        <f t="shared" si="193"/>
        <v>Long</v>
      </c>
      <c r="T2497" s="2" t="str">
        <f t="shared" si="194"/>
        <v>Major Delay</v>
      </c>
    </row>
    <row r="2498" spans="1:20" x14ac:dyDescent="0.35">
      <c r="A2498" s="2" t="s">
        <v>5179</v>
      </c>
      <c r="B2498" s="2" t="s">
        <v>24</v>
      </c>
      <c r="C2498" s="2" t="s">
        <v>5180</v>
      </c>
      <c r="D2498" s="2" t="s">
        <v>18</v>
      </c>
      <c r="E2498" s="2" t="s">
        <v>85</v>
      </c>
      <c r="F2498" s="2" t="s">
        <v>57</v>
      </c>
      <c r="G2498" s="2" t="s">
        <v>240</v>
      </c>
      <c r="H2498" s="3">
        <v>45412.240972222222</v>
      </c>
      <c r="I2498" s="3">
        <v>45412.416666666664</v>
      </c>
      <c r="J2498" s="2">
        <v>227</v>
      </c>
      <c r="K2498" s="2">
        <v>253</v>
      </c>
      <c r="L2498" s="2">
        <v>1</v>
      </c>
      <c r="M2498" s="2" t="s">
        <v>29</v>
      </c>
      <c r="N2498" s="2">
        <v>10</v>
      </c>
      <c r="O2498" s="2">
        <v>335.42</v>
      </c>
      <c r="P2498" s="2">
        <f t="shared" si="190"/>
        <v>26</v>
      </c>
      <c r="Q2498" s="4">
        <f t="shared" si="191"/>
        <v>0.89723320158102771</v>
      </c>
      <c r="R2498" s="2" t="str">
        <f t="shared" si="192"/>
        <v>Inefficient</v>
      </c>
      <c r="S2498" s="2" t="str">
        <f t="shared" si="193"/>
        <v>Very Long</v>
      </c>
      <c r="T2498" s="2" t="str">
        <f t="shared" si="194"/>
        <v>Minor Delay</v>
      </c>
    </row>
    <row r="2499" spans="1:20" x14ac:dyDescent="0.35">
      <c r="A2499" s="2" t="s">
        <v>5181</v>
      </c>
      <c r="B2499" s="2" t="s">
        <v>63</v>
      </c>
      <c r="C2499" s="2" t="s">
        <v>5182</v>
      </c>
      <c r="D2499" s="2" t="s">
        <v>26</v>
      </c>
      <c r="E2499" s="2" t="s">
        <v>33</v>
      </c>
      <c r="F2499" s="2" t="s">
        <v>57</v>
      </c>
      <c r="G2499" s="2" t="s">
        <v>1278</v>
      </c>
      <c r="H2499" s="3">
        <v>45376.418055555558</v>
      </c>
      <c r="I2499" s="3">
        <v>45376.601388888892</v>
      </c>
      <c r="J2499" s="2">
        <v>167</v>
      </c>
      <c r="K2499" s="2">
        <v>264</v>
      </c>
      <c r="L2499" s="2">
        <v>1</v>
      </c>
      <c r="M2499" s="2" t="s">
        <v>29</v>
      </c>
      <c r="N2499" s="2">
        <v>4</v>
      </c>
      <c r="O2499" s="2">
        <v>451.91</v>
      </c>
      <c r="P2499" s="2">
        <f t="shared" ref="P2499:P2501" si="195">K2499-J2499</f>
        <v>97</v>
      </c>
      <c r="Q2499" s="4">
        <f t="shared" ref="Q2499:Q2501" si="196">J2499/K2499</f>
        <v>0.63257575757575757</v>
      </c>
      <c r="R2499" s="2" t="str">
        <f t="shared" ref="R2499:R2501" si="197">IF(Q2499&gt;1,"Efficient",
IF(Q2499=1,"On Target","Inefficient"))</f>
        <v>Inefficient</v>
      </c>
      <c r="S2499" s="2" t="str">
        <f t="shared" ref="S2499:S2501" si="198">IF(K2499&lt;30,"Short",
IF(K2499&lt;60,"Medium",
IF(K2499&lt;120,"Long","Very Long")))</f>
        <v>Very Long</v>
      </c>
      <c r="T2499" s="2" t="str">
        <f t="shared" ref="T2499:T2501" si="199">IF(K2499&lt;=J2499,"On Time",
IF(K2499-J2499&lt;=30,"Minor Delay","Major Delay"))</f>
        <v>Major Delay</v>
      </c>
    </row>
    <row r="2500" spans="1:20" x14ac:dyDescent="0.35">
      <c r="A2500" s="2" t="s">
        <v>5183</v>
      </c>
      <c r="B2500" s="2" t="s">
        <v>16</v>
      </c>
      <c r="C2500" s="2" t="s">
        <v>5184</v>
      </c>
      <c r="D2500" s="2" t="s">
        <v>48</v>
      </c>
      <c r="E2500" s="2" t="s">
        <v>33</v>
      </c>
      <c r="F2500" s="2" t="s">
        <v>57</v>
      </c>
      <c r="G2500" s="2" t="s">
        <v>817</v>
      </c>
      <c r="H2500" s="3">
        <v>45485.377083333333</v>
      </c>
      <c r="I2500" s="3">
        <v>45485.539583333331</v>
      </c>
      <c r="J2500" s="2">
        <v>169</v>
      </c>
      <c r="K2500" s="2">
        <v>234</v>
      </c>
      <c r="L2500" s="2">
        <v>1</v>
      </c>
      <c r="M2500" s="2" t="s">
        <v>22</v>
      </c>
      <c r="N2500" s="2">
        <v>7</v>
      </c>
      <c r="O2500" s="2">
        <v>334.07</v>
      </c>
      <c r="P2500" s="2">
        <f t="shared" si="195"/>
        <v>65</v>
      </c>
      <c r="Q2500" s="4">
        <f t="shared" si="196"/>
        <v>0.72222222222222221</v>
      </c>
      <c r="R2500" s="2" t="str">
        <f t="shared" si="197"/>
        <v>Inefficient</v>
      </c>
      <c r="S2500" s="2" t="str">
        <f t="shared" si="198"/>
        <v>Very Long</v>
      </c>
      <c r="T2500" s="2" t="str">
        <f t="shared" si="199"/>
        <v>Major Delay</v>
      </c>
    </row>
    <row r="2501" spans="1:20" x14ac:dyDescent="0.35">
      <c r="A2501" s="2" t="s">
        <v>5185</v>
      </c>
      <c r="B2501" s="2" t="s">
        <v>63</v>
      </c>
      <c r="C2501" s="2" t="s">
        <v>5186</v>
      </c>
      <c r="D2501" s="2" t="s">
        <v>56</v>
      </c>
      <c r="E2501" s="2" t="s">
        <v>38</v>
      </c>
      <c r="F2501" s="2" t="s">
        <v>34</v>
      </c>
      <c r="G2501" s="2" t="s">
        <v>259</v>
      </c>
      <c r="H2501" s="3">
        <v>45324.069444444445</v>
      </c>
      <c r="I2501" s="3">
        <v>45324.136111111111</v>
      </c>
      <c r="J2501" s="2">
        <v>89</v>
      </c>
      <c r="K2501" s="2">
        <v>96</v>
      </c>
      <c r="L2501" s="2">
        <v>1</v>
      </c>
      <c r="M2501" s="2" t="s">
        <v>41</v>
      </c>
      <c r="N2501" s="2">
        <v>7</v>
      </c>
      <c r="O2501" s="2">
        <v>274.87</v>
      </c>
      <c r="P2501" s="2">
        <f t="shared" si="195"/>
        <v>7</v>
      </c>
      <c r="Q2501" s="4">
        <f t="shared" si="196"/>
        <v>0.92708333333333337</v>
      </c>
      <c r="R2501" s="2" t="str">
        <f t="shared" si="197"/>
        <v>Inefficient</v>
      </c>
      <c r="S2501" s="2" t="str">
        <f t="shared" si="198"/>
        <v>Long</v>
      </c>
      <c r="T2501" s="2" t="str">
        <f t="shared" si="199"/>
        <v>Minor Delay</v>
      </c>
    </row>
  </sheetData>
  <autoFilter ref="A1:T2501" xr:uid="{4D087EAE-1EC4-4F16-89DA-605D1B29122E}"/>
  <conditionalFormatting sqref="L1:L1048576">
    <cfRule type="cellIs" dxfId="114" priority="4" operator="equal">
      <formula>1</formula>
    </cfRule>
  </conditionalFormatting>
  <conditionalFormatting sqref="N2:N2501">
    <cfRule type="cellIs" dxfId="113" priority="1" operator="greaterThan">
      <formula>8</formula>
    </cfRule>
  </conditionalFormatting>
  <conditionalFormatting sqref="P2:P2501">
    <cfRule type="cellIs" dxfId="112" priority="2" operator="greaterThan">
      <formula>60</formula>
    </cfRule>
    <cfRule type="cellIs" dxfId="111" priority="3" operator="equal">
      <formula>30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8711-2205-4E65-B5C6-E4543A270618}">
  <dimension ref="A2:H32"/>
  <sheetViews>
    <sheetView showGridLines="0" zoomScale="70" workbookViewId="0">
      <selection activeCell="X18" sqref="X18"/>
    </sheetView>
  </sheetViews>
  <sheetFormatPr defaultRowHeight="14.5" x14ac:dyDescent="0.35"/>
  <cols>
    <col min="1" max="1" width="21.08984375" bestFit="1" customWidth="1"/>
    <col min="2" max="3" width="18.90625" bestFit="1" customWidth="1"/>
    <col min="4" max="4" width="22" bestFit="1" customWidth="1"/>
    <col min="5" max="5" width="6.54296875" customWidth="1"/>
    <col min="6" max="6" width="16.54296875" bestFit="1" customWidth="1"/>
    <col min="7" max="7" width="27.90625" bestFit="1" customWidth="1"/>
    <col min="8" max="8" width="18.90625" bestFit="1" customWidth="1"/>
  </cols>
  <sheetData>
    <row r="2" spans="1:8" x14ac:dyDescent="0.35">
      <c r="A2" s="12" t="s">
        <v>5196</v>
      </c>
      <c r="B2" s="12"/>
      <c r="C2" s="12"/>
      <c r="D2" s="12"/>
      <c r="F2" s="12" t="s">
        <v>5200</v>
      </c>
      <c r="G2" s="12"/>
      <c r="H2" s="12"/>
    </row>
    <row r="3" spans="1:8" x14ac:dyDescent="0.35">
      <c r="A3" s="6" t="s">
        <v>1</v>
      </c>
      <c r="B3" s="2" t="s">
        <v>5188</v>
      </c>
      <c r="C3" s="2" t="s">
        <v>5190</v>
      </c>
      <c r="F3" s="6" t="s">
        <v>3</v>
      </c>
      <c r="G3" s="2" t="s">
        <v>5189</v>
      </c>
      <c r="H3" s="2" t="s">
        <v>5190</v>
      </c>
    </row>
    <row r="4" spans="1:8" x14ac:dyDescent="0.35">
      <c r="A4" s="7" t="s">
        <v>16</v>
      </c>
      <c r="B4" s="2">
        <v>501</v>
      </c>
      <c r="C4" s="11">
        <v>0.94810379241516962</v>
      </c>
      <c r="F4" s="7" t="s">
        <v>26</v>
      </c>
      <c r="G4" s="8">
        <v>178.51115618661257</v>
      </c>
      <c r="H4" s="4">
        <v>0.94117647058823528</v>
      </c>
    </row>
    <row r="5" spans="1:8" x14ac:dyDescent="0.35">
      <c r="A5" s="7" t="s">
        <v>24</v>
      </c>
      <c r="B5" s="2">
        <v>510</v>
      </c>
      <c r="C5" s="11">
        <v>0.94117647058823528</v>
      </c>
      <c r="F5" s="7" t="s">
        <v>56</v>
      </c>
      <c r="G5" s="8">
        <v>180.39583333333334</v>
      </c>
      <c r="H5" s="4">
        <v>0.95208333333333328</v>
      </c>
    </row>
    <row r="6" spans="1:8" x14ac:dyDescent="0.35">
      <c r="A6" s="7" t="s">
        <v>31</v>
      </c>
      <c r="B6" s="2">
        <v>480</v>
      </c>
      <c r="C6" s="11">
        <v>0.96250000000000002</v>
      </c>
      <c r="F6" s="7" t="s">
        <v>44</v>
      </c>
      <c r="G6" s="8">
        <v>179.4345238095238</v>
      </c>
      <c r="H6" s="4">
        <v>0.94246031746031744</v>
      </c>
    </row>
    <row r="7" spans="1:8" x14ac:dyDescent="0.35">
      <c r="A7" s="7" t="s">
        <v>63</v>
      </c>
      <c r="B7" s="2">
        <v>492</v>
      </c>
      <c r="C7" s="11">
        <v>0.94105691056910568</v>
      </c>
      <c r="F7" s="7" t="s">
        <v>18</v>
      </c>
      <c r="G7" s="8">
        <v>180.6</v>
      </c>
      <c r="H7" s="4">
        <v>0.94905660377358492</v>
      </c>
    </row>
    <row r="8" spans="1:8" x14ac:dyDescent="0.35">
      <c r="A8" s="7" t="s">
        <v>51</v>
      </c>
      <c r="B8" s="2">
        <v>517</v>
      </c>
      <c r="C8" s="11">
        <v>0.95357833655705992</v>
      </c>
      <c r="F8" s="7" t="s">
        <v>48</v>
      </c>
      <c r="G8" s="8">
        <v>185.41784989858013</v>
      </c>
      <c r="H8" s="4">
        <v>0.96146044624746452</v>
      </c>
    </row>
    <row r="9" spans="1:8" x14ac:dyDescent="0.35">
      <c r="A9" s="7" t="s">
        <v>5187</v>
      </c>
      <c r="B9" s="2">
        <v>2500</v>
      </c>
      <c r="C9" s="11">
        <v>0.94920000000000004</v>
      </c>
      <c r="F9" s="7" t="s">
        <v>5187</v>
      </c>
      <c r="G9" s="8">
        <v>180.864</v>
      </c>
      <c r="H9" s="4">
        <v>0.94920000000000004</v>
      </c>
    </row>
    <row r="11" spans="1:8" s="9" customFormat="1" ht="16" customHeight="1" x14ac:dyDescent="0.35">
      <c r="A11" s="13" t="s">
        <v>5197</v>
      </c>
      <c r="B11" s="13"/>
      <c r="C11" s="13"/>
      <c r="D11" s="13"/>
      <c r="F11" s="13" t="s">
        <v>5201</v>
      </c>
      <c r="G11" s="13"/>
      <c r="H11" s="13"/>
    </row>
    <row r="12" spans="1:8" x14ac:dyDescent="0.35">
      <c r="A12" s="6" t="s">
        <v>5199</v>
      </c>
      <c r="B12" s="2" t="s">
        <v>5188</v>
      </c>
      <c r="C12" s="2" t="s">
        <v>5190</v>
      </c>
      <c r="D12" s="2" t="s">
        <v>5198</v>
      </c>
      <c r="F12" s="6" t="s">
        <v>12</v>
      </c>
      <c r="G12" s="2" t="s">
        <v>5189</v>
      </c>
      <c r="H12" s="2" t="s">
        <v>5190</v>
      </c>
    </row>
    <row r="13" spans="1:8" x14ac:dyDescent="0.35">
      <c r="A13" s="7" t="s">
        <v>20</v>
      </c>
      <c r="B13" s="21">
        <v>492</v>
      </c>
      <c r="C13" s="4">
        <v>0.93902439024390238</v>
      </c>
      <c r="D13" s="10">
        <v>273.90436991869927</v>
      </c>
      <c r="F13" s="7" t="s">
        <v>22</v>
      </c>
      <c r="G13" s="8">
        <v>180.77723970944311</v>
      </c>
      <c r="H13" s="4">
        <v>0.96004842615012109</v>
      </c>
    </row>
    <row r="14" spans="1:8" x14ac:dyDescent="0.35">
      <c r="A14" s="7" t="s">
        <v>34</v>
      </c>
      <c r="B14" s="21">
        <v>504</v>
      </c>
      <c r="C14" s="4">
        <v>0.95238095238095233</v>
      </c>
      <c r="D14" s="10">
        <v>275.06549603174631</v>
      </c>
      <c r="F14" s="7" t="s">
        <v>29</v>
      </c>
      <c r="G14" s="8">
        <v>180.44579780755177</v>
      </c>
      <c r="H14" s="4">
        <v>0.9464068209500609</v>
      </c>
    </row>
    <row r="15" spans="1:8" x14ac:dyDescent="0.35">
      <c r="A15" s="7" t="s">
        <v>27</v>
      </c>
      <c r="B15" s="21">
        <v>502</v>
      </c>
      <c r="C15" s="4">
        <v>0.952191235059761</v>
      </c>
      <c r="D15" s="10">
        <v>277.11065737051797</v>
      </c>
      <c r="F15" s="7" t="s">
        <v>41</v>
      </c>
      <c r="G15" s="8">
        <v>181.35052754982414</v>
      </c>
      <c r="H15" s="4">
        <v>0.94138335287221575</v>
      </c>
    </row>
    <row r="16" spans="1:8" x14ac:dyDescent="0.35">
      <c r="A16" s="7" t="s">
        <v>57</v>
      </c>
      <c r="B16" s="21">
        <v>497</v>
      </c>
      <c r="C16" s="4">
        <v>0.95372233400402417</v>
      </c>
      <c r="D16" s="10">
        <v>283.00704225352126</v>
      </c>
      <c r="F16" s="7" t="s">
        <v>5187</v>
      </c>
      <c r="G16" s="8">
        <v>180.864</v>
      </c>
      <c r="H16" s="4">
        <v>0.94920000000000004</v>
      </c>
    </row>
    <row r="17" spans="1:4" x14ac:dyDescent="0.35">
      <c r="A17" s="7" t="s">
        <v>39</v>
      </c>
      <c r="B17" s="21">
        <v>505</v>
      </c>
      <c r="C17" s="4">
        <v>0.94851485148514847</v>
      </c>
      <c r="D17" s="10">
        <v>280.75992079207936</v>
      </c>
    </row>
    <row r="18" spans="1:4" x14ac:dyDescent="0.35">
      <c r="A18" s="7" t="s">
        <v>5187</v>
      </c>
      <c r="B18" s="21">
        <v>2500</v>
      </c>
      <c r="C18" s="4">
        <v>0.94920000000000004</v>
      </c>
      <c r="D18" s="10">
        <v>277.9767079999998</v>
      </c>
    </row>
    <row r="20" spans="1:4" x14ac:dyDescent="0.35">
      <c r="A20" s="12" t="s">
        <v>5202</v>
      </c>
      <c r="B20" s="12"/>
    </row>
    <row r="21" spans="1:4" x14ac:dyDescent="0.35">
      <c r="A21" s="6" t="s">
        <v>13</v>
      </c>
      <c r="B21" s="2" t="s">
        <v>5190</v>
      </c>
    </row>
    <row r="22" spans="1:4" x14ac:dyDescent="0.35">
      <c r="A22" s="7">
        <v>1</v>
      </c>
      <c r="B22" s="4">
        <v>0.9642857142857143</v>
      </c>
    </row>
    <row r="23" spans="1:4" x14ac:dyDescent="0.35">
      <c r="A23" s="7">
        <v>2</v>
      </c>
      <c r="B23" s="4">
        <v>0.95217391304347831</v>
      </c>
    </row>
    <row r="24" spans="1:4" x14ac:dyDescent="0.35">
      <c r="A24" s="7">
        <v>3</v>
      </c>
      <c r="B24" s="4">
        <v>0.9291666666666667</v>
      </c>
    </row>
    <row r="25" spans="1:4" x14ac:dyDescent="0.35">
      <c r="A25" s="7">
        <v>4</v>
      </c>
      <c r="B25" s="4">
        <v>0.96799999999999997</v>
      </c>
    </row>
    <row r="26" spans="1:4" x14ac:dyDescent="0.35">
      <c r="A26" s="7">
        <v>5</v>
      </c>
      <c r="B26" s="4">
        <v>0.94833948339483398</v>
      </c>
    </row>
    <row r="27" spans="1:4" x14ac:dyDescent="0.35">
      <c r="A27" s="7">
        <v>6</v>
      </c>
      <c r="B27" s="4">
        <v>0.94186046511627908</v>
      </c>
    </row>
    <row r="28" spans="1:4" x14ac:dyDescent="0.35">
      <c r="A28" s="7">
        <v>7</v>
      </c>
      <c r="B28" s="4">
        <v>0.94901960784313721</v>
      </c>
    </row>
    <row r="29" spans="1:4" x14ac:dyDescent="0.35">
      <c r="A29" s="7">
        <v>8</v>
      </c>
      <c r="B29" s="4">
        <v>0.95238095238095233</v>
      </c>
    </row>
    <row r="30" spans="1:4" x14ac:dyDescent="0.35">
      <c r="A30" s="7">
        <v>9</v>
      </c>
      <c r="B30" s="4">
        <v>0.93333333333333335</v>
      </c>
    </row>
    <row r="31" spans="1:4" x14ac:dyDescent="0.35">
      <c r="A31" s="7">
        <v>10</v>
      </c>
      <c r="B31" s="4">
        <v>0.95358649789029537</v>
      </c>
    </row>
    <row r="32" spans="1:4" x14ac:dyDescent="0.35">
      <c r="A32" s="7" t="s">
        <v>5187</v>
      </c>
      <c r="B32" s="4">
        <v>0.94920000000000004</v>
      </c>
    </row>
  </sheetData>
  <mergeCells count="5">
    <mergeCell ref="A2:D2"/>
    <mergeCell ref="F11:H11"/>
    <mergeCell ref="A11:D11"/>
    <mergeCell ref="F2:H2"/>
    <mergeCell ref="A20:B20"/>
  </mergeCells>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206C-B039-4A50-8509-876C24FFFC21}">
  <dimension ref="A2:H50"/>
  <sheetViews>
    <sheetView topLeftCell="A30" workbookViewId="0">
      <selection activeCell="B46" sqref="B46"/>
    </sheetView>
  </sheetViews>
  <sheetFormatPr defaultRowHeight="14.5" x14ac:dyDescent="0.35"/>
  <cols>
    <col min="1" max="1" width="15.1796875" bestFit="1" customWidth="1"/>
    <col min="2" max="2" width="19.90625" bestFit="1" customWidth="1"/>
  </cols>
  <sheetData>
    <row r="2" spans="1:8" x14ac:dyDescent="0.35">
      <c r="D2" t="s">
        <v>5205</v>
      </c>
      <c r="E2" t="s">
        <v>5206</v>
      </c>
      <c r="F2" t="s">
        <v>5207</v>
      </c>
      <c r="G2" t="s">
        <v>5208</v>
      </c>
      <c r="H2" t="s">
        <v>5209</v>
      </c>
    </row>
    <row r="3" spans="1:8" ht="24" customHeight="1" x14ac:dyDescent="0.35">
      <c r="A3" s="14" t="s">
        <v>5203</v>
      </c>
      <c r="B3" t="s">
        <v>5190</v>
      </c>
      <c r="D3">
        <f xml:space="preserve"> COUNTA(calculated_columns!C2:C2501)</f>
        <v>2500</v>
      </c>
      <c r="E3">
        <f>SUM(calculated_columns!L2:L2501)</f>
        <v>2373</v>
      </c>
      <c r="F3" s="23">
        <f>SUM(calculated_columns!L2:L2501)/COUNTA(calculated_columns!C2:C2501)</f>
        <v>0.94920000000000004</v>
      </c>
      <c r="G3" s="18">
        <f>AVERAGE(calculated_columns!K2:K2501)</f>
        <v>180.864</v>
      </c>
      <c r="H3" s="18">
        <f>AVERAGE(calculated_columns!O2:O2501)</f>
        <v>277.97670799999963</v>
      </c>
    </row>
    <row r="4" spans="1:8" x14ac:dyDescent="0.35">
      <c r="A4" s="15" t="s">
        <v>16</v>
      </c>
      <c r="B4" s="17">
        <v>0.94810379241516962</v>
      </c>
    </row>
    <row r="5" spans="1:8" x14ac:dyDescent="0.35">
      <c r="A5" s="15" t="s">
        <v>24</v>
      </c>
      <c r="B5" s="17">
        <v>0.94117647058823528</v>
      </c>
    </row>
    <row r="6" spans="1:8" x14ac:dyDescent="0.35">
      <c r="A6" s="15" t="s">
        <v>31</v>
      </c>
      <c r="B6" s="17">
        <v>0.96250000000000002</v>
      </c>
    </row>
    <row r="7" spans="1:8" x14ac:dyDescent="0.35">
      <c r="A7" s="15" t="s">
        <v>63</v>
      </c>
      <c r="B7" s="17">
        <v>0.94105691056910568</v>
      </c>
    </row>
    <row r="8" spans="1:8" x14ac:dyDescent="0.35">
      <c r="A8" s="15" t="s">
        <v>51</v>
      </c>
      <c r="B8" s="17">
        <v>0.95357833655705992</v>
      </c>
    </row>
    <row r="9" spans="1:8" x14ac:dyDescent="0.35">
      <c r="A9" s="15" t="s">
        <v>5187</v>
      </c>
      <c r="B9" s="17">
        <v>0.94920000000000004</v>
      </c>
    </row>
    <row r="12" spans="1:8" x14ac:dyDescent="0.35">
      <c r="A12" s="14" t="s">
        <v>5203</v>
      </c>
      <c r="B12" t="s">
        <v>5189</v>
      </c>
    </row>
    <row r="13" spans="1:8" x14ac:dyDescent="0.35">
      <c r="A13" s="15" t="s">
        <v>26</v>
      </c>
      <c r="B13" s="19">
        <v>178.51115618661257</v>
      </c>
    </row>
    <row r="14" spans="1:8" x14ac:dyDescent="0.35">
      <c r="A14" s="15" t="s">
        <v>56</v>
      </c>
      <c r="B14" s="19">
        <v>180.39583333333334</v>
      </c>
    </row>
    <row r="15" spans="1:8" x14ac:dyDescent="0.35">
      <c r="A15" s="15" t="s">
        <v>44</v>
      </c>
      <c r="B15" s="19">
        <v>179.4345238095238</v>
      </c>
    </row>
    <row r="16" spans="1:8" x14ac:dyDescent="0.35">
      <c r="A16" s="15" t="s">
        <v>18</v>
      </c>
      <c r="B16" s="19">
        <v>180.6</v>
      </c>
    </row>
    <row r="17" spans="1:2" x14ac:dyDescent="0.35">
      <c r="A17" s="15" t="s">
        <v>48</v>
      </c>
      <c r="B17" s="19">
        <v>185.41784989858013</v>
      </c>
    </row>
    <row r="18" spans="1:2" x14ac:dyDescent="0.35">
      <c r="A18" s="15" t="s">
        <v>5187</v>
      </c>
      <c r="B18" s="19">
        <v>180.864</v>
      </c>
    </row>
    <row r="21" spans="1:2" x14ac:dyDescent="0.35">
      <c r="A21" s="14" t="s">
        <v>5203</v>
      </c>
      <c r="B21" t="s">
        <v>5190</v>
      </c>
    </row>
    <row r="22" spans="1:2" x14ac:dyDescent="0.35">
      <c r="A22" s="15">
        <v>1</v>
      </c>
      <c r="B22" s="17">
        <v>0.9642857142857143</v>
      </c>
    </row>
    <row r="23" spans="1:2" x14ac:dyDescent="0.35">
      <c r="A23" s="15">
        <v>2</v>
      </c>
      <c r="B23" s="17">
        <v>0.95217391304347831</v>
      </c>
    </row>
    <row r="24" spans="1:2" x14ac:dyDescent="0.35">
      <c r="A24" s="15">
        <v>3</v>
      </c>
      <c r="B24" s="17">
        <v>0.9291666666666667</v>
      </c>
    </row>
    <row r="25" spans="1:2" x14ac:dyDescent="0.35">
      <c r="A25" s="15">
        <v>4</v>
      </c>
      <c r="B25" s="17">
        <v>0.96799999999999997</v>
      </c>
    </row>
    <row r="26" spans="1:2" x14ac:dyDescent="0.35">
      <c r="A26" s="15">
        <v>5</v>
      </c>
      <c r="B26" s="17">
        <v>0.94833948339483398</v>
      </c>
    </row>
    <row r="27" spans="1:2" x14ac:dyDescent="0.35">
      <c r="A27" s="15">
        <v>6</v>
      </c>
      <c r="B27" s="17">
        <v>0.94186046511627908</v>
      </c>
    </row>
    <row r="28" spans="1:2" x14ac:dyDescent="0.35">
      <c r="A28" s="15">
        <v>7</v>
      </c>
      <c r="B28" s="17">
        <v>0.94901960784313721</v>
      </c>
    </row>
    <row r="29" spans="1:2" x14ac:dyDescent="0.35">
      <c r="A29" s="15">
        <v>8</v>
      </c>
      <c r="B29" s="17">
        <v>0.95238095238095233</v>
      </c>
    </row>
    <row r="30" spans="1:2" x14ac:dyDescent="0.35">
      <c r="A30" s="15">
        <v>9</v>
      </c>
      <c r="B30" s="17">
        <v>0.93333333333333335</v>
      </c>
    </row>
    <row r="31" spans="1:2" x14ac:dyDescent="0.35">
      <c r="A31" s="15">
        <v>10</v>
      </c>
      <c r="B31" s="17">
        <v>0.95358649789029537</v>
      </c>
    </row>
    <row r="32" spans="1:2" x14ac:dyDescent="0.35">
      <c r="A32" s="15" t="s">
        <v>5187</v>
      </c>
      <c r="B32" s="17">
        <v>0.94920000000000004</v>
      </c>
    </row>
    <row r="35" spans="1:2" x14ac:dyDescent="0.35">
      <c r="A35" s="14" t="s">
        <v>5203</v>
      </c>
      <c r="B35" s="20" t="s">
        <v>5204</v>
      </c>
    </row>
    <row r="36" spans="1:2" x14ac:dyDescent="0.35">
      <c r="A36" s="15" t="s">
        <v>20</v>
      </c>
      <c r="B36" s="20">
        <v>134760.95000000004</v>
      </c>
    </row>
    <row r="37" spans="1:2" x14ac:dyDescent="0.35">
      <c r="A37" s="15" t="s">
        <v>34</v>
      </c>
      <c r="B37" s="20">
        <v>138633.01000000013</v>
      </c>
    </row>
    <row r="38" spans="1:2" x14ac:dyDescent="0.35">
      <c r="A38" s="15" t="s">
        <v>27</v>
      </c>
      <c r="B38" s="20">
        <v>139109.55000000002</v>
      </c>
    </row>
    <row r="39" spans="1:2" x14ac:dyDescent="0.35">
      <c r="A39" s="15" t="s">
        <v>57</v>
      </c>
      <c r="B39" s="20">
        <v>140654.50000000006</v>
      </c>
    </row>
    <row r="40" spans="1:2" x14ac:dyDescent="0.35">
      <c r="A40" s="15" t="s">
        <v>39</v>
      </c>
      <c r="B40" s="20">
        <v>141783.76000000007</v>
      </c>
    </row>
    <row r="41" spans="1:2" x14ac:dyDescent="0.35">
      <c r="A41" s="15" t="s">
        <v>5187</v>
      </c>
      <c r="B41" s="20">
        <v>694941.77000000025</v>
      </c>
    </row>
    <row r="44" spans="1:2" x14ac:dyDescent="0.35">
      <c r="A44" s="14" t="s">
        <v>5203</v>
      </c>
      <c r="B44" t="s">
        <v>5188</v>
      </c>
    </row>
    <row r="45" spans="1:2" x14ac:dyDescent="0.35">
      <c r="A45" s="15" t="s">
        <v>26</v>
      </c>
      <c r="B45" s="16">
        <v>493</v>
      </c>
    </row>
    <row r="46" spans="1:2" x14ac:dyDescent="0.35">
      <c r="A46" s="15" t="s">
        <v>56</v>
      </c>
      <c r="B46" s="16">
        <v>480</v>
      </c>
    </row>
    <row r="47" spans="1:2" x14ac:dyDescent="0.35">
      <c r="A47" s="15" t="s">
        <v>44</v>
      </c>
      <c r="B47" s="16">
        <v>504</v>
      </c>
    </row>
    <row r="48" spans="1:2" x14ac:dyDescent="0.35">
      <c r="A48" s="15" t="s">
        <v>18</v>
      </c>
      <c r="B48" s="16">
        <v>530</v>
      </c>
    </row>
    <row r="49" spans="1:2" x14ac:dyDescent="0.35">
      <c r="A49" s="15" t="s">
        <v>48</v>
      </c>
      <c r="B49" s="16">
        <v>493</v>
      </c>
    </row>
    <row r="50" spans="1:2" x14ac:dyDescent="0.35">
      <c r="A50" s="15" t="s">
        <v>5187</v>
      </c>
      <c r="B50" s="16">
        <v>2500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FA5C-2CAF-45A6-B911-0B870541EAD4}">
  <dimension ref="I2:L27"/>
  <sheetViews>
    <sheetView showGridLines="0" tabSelected="1" topLeftCell="E8" zoomScale="50" zoomScaleNormal="53" workbookViewId="0">
      <selection activeCell="AU10" sqref="AU10"/>
    </sheetView>
  </sheetViews>
  <sheetFormatPr defaultRowHeight="14.5" x14ac:dyDescent="0.35"/>
  <sheetData>
    <row r="2" spans="10:12" x14ac:dyDescent="0.35">
      <c r="J2" s="23"/>
      <c r="K2" s="18"/>
      <c r="L2" s="18"/>
    </row>
    <row r="27" spans="9:9" x14ac:dyDescent="0.35">
      <c r="I27" s="22"/>
    </row>
  </sheetData>
  <pageMargins left="0.70866141732283472" right="0.70866141732283472" top="0.74803149606299213" bottom="0.74803149606299213" header="0.31496062992125984" footer="0.31496062992125984"/>
  <pageSetup paperSize="8" scale="40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calculated_columns</vt:lpstr>
      <vt:lpstr>pivot_tables</vt:lpstr>
      <vt:lpstr>Sheet2</vt:lpstr>
      <vt:lpstr>operations_performance_dashboar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Mishra</dc:creator>
  <cp:lastModifiedBy>Ishita Mishra</cp:lastModifiedBy>
  <cp:lastPrinted>2026-03-08T03:16:02Z</cp:lastPrinted>
  <dcterms:created xsi:type="dcterms:W3CDTF">2026-03-07T17:44:20Z</dcterms:created>
  <dcterms:modified xsi:type="dcterms:W3CDTF">2026-03-08T04:46:35Z</dcterms:modified>
</cp:coreProperties>
</file>